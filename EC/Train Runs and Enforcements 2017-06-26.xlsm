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esktop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8" i="1" l="1"/>
  <c r="X139" i="1"/>
  <c r="X140" i="1"/>
  <c r="K137" i="1"/>
  <c r="L137" i="1"/>
  <c r="M137" i="1"/>
  <c r="N137" i="1" s="1"/>
  <c r="V137" i="1"/>
  <c r="AA137" i="1"/>
  <c r="AB137" i="1"/>
  <c r="AC137" i="1"/>
  <c r="AD137" i="1"/>
  <c r="T137" i="1" s="1"/>
  <c r="AE137" i="1"/>
  <c r="AF137" i="1"/>
  <c r="AH137" i="1"/>
  <c r="AM137" i="1"/>
  <c r="AN137" i="1"/>
  <c r="X136" i="1"/>
  <c r="P135" i="1"/>
  <c r="K135" i="1"/>
  <c r="M135" i="1"/>
  <c r="V135" i="1"/>
  <c r="AA135" i="1"/>
  <c r="AB135" i="1"/>
  <c r="AC135" i="1"/>
  <c r="AD135" i="1"/>
  <c r="T135" i="1" s="1"/>
  <c r="AE135" i="1"/>
  <c r="AF135" i="1"/>
  <c r="AH135" i="1"/>
  <c r="AM135" i="1"/>
  <c r="AN135" i="1"/>
  <c r="X15" i="1"/>
  <c r="K14" i="1"/>
  <c r="L14" i="1"/>
  <c r="M14" i="1"/>
  <c r="N14" i="1"/>
  <c r="V14" i="1"/>
  <c r="Y14" i="1"/>
  <c r="Z14" i="1"/>
  <c r="AA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S30" i="3" s="1"/>
  <c r="Y22" i="1"/>
  <c r="Z22" i="1"/>
  <c r="AB22" i="1"/>
  <c r="AC22" i="1"/>
  <c r="AD22" i="1"/>
  <c r="AE22" i="1"/>
  <c r="R30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S18" i="3" s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15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21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S27" i="3" s="1"/>
  <c r="Y49" i="1"/>
  <c r="Z49" i="1"/>
  <c r="AB49" i="1"/>
  <c r="AC49" i="1"/>
  <c r="AD49" i="1"/>
  <c r="T49" i="1" s="1"/>
  <c r="AE49" i="1"/>
  <c r="R27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S26" i="3" s="1"/>
  <c r="Y51" i="1"/>
  <c r="Z51" i="1"/>
  <c r="AB51" i="1"/>
  <c r="AC51" i="1"/>
  <c r="AD51" i="1"/>
  <c r="T51" i="1" s="1"/>
  <c r="AE51" i="1"/>
  <c r="R26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S12" i="3" s="1"/>
  <c r="Y58" i="1"/>
  <c r="Z58" i="1"/>
  <c r="AB58" i="1"/>
  <c r="AC58" i="1"/>
  <c r="AD58" i="1"/>
  <c r="AE58" i="1"/>
  <c r="R12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R13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23" i="3" s="1"/>
  <c r="Y64" i="1"/>
  <c r="Z64" i="1"/>
  <c r="AB64" i="1"/>
  <c r="AC64" i="1"/>
  <c r="AD64" i="1"/>
  <c r="AE64" i="1"/>
  <c r="R28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19" i="3" s="1"/>
  <c r="Y70" i="1"/>
  <c r="Z70" i="1"/>
  <c r="AB70" i="1"/>
  <c r="AC70" i="1"/>
  <c r="AD70" i="1"/>
  <c r="T70" i="1" s="1"/>
  <c r="AE70" i="1"/>
  <c r="R32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16" i="3" s="1"/>
  <c r="Y72" i="1"/>
  <c r="Z72" i="1"/>
  <c r="AB72" i="1"/>
  <c r="AC72" i="1"/>
  <c r="AD72" i="1"/>
  <c r="AE72" i="1"/>
  <c r="R16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33" i="3" s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S9" i="3" s="1"/>
  <c r="Y83" i="1"/>
  <c r="Z83" i="1"/>
  <c r="AB83" i="1"/>
  <c r="AC83" i="1"/>
  <c r="AD83" i="1"/>
  <c r="T83" i="1" s="1"/>
  <c r="AE83" i="1"/>
  <c r="R9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S20" i="3" s="1"/>
  <c r="Y89" i="1"/>
  <c r="Z89" i="1"/>
  <c r="AB89" i="1"/>
  <c r="AC89" i="1"/>
  <c r="AD89" i="1"/>
  <c r="T89" i="1" s="1"/>
  <c r="AE89" i="1"/>
  <c r="R36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P93" i="1" s="1"/>
  <c r="V93" i="1"/>
  <c r="S25" i="3" s="1"/>
  <c r="Y93" i="1"/>
  <c r="Z93" i="1"/>
  <c r="AB93" i="1"/>
  <c r="AC93" i="1"/>
  <c r="AD93" i="1"/>
  <c r="T93" i="1" s="1"/>
  <c r="AE93" i="1"/>
  <c r="R25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P96" i="1" s="1"/>
  <c r="V96" i="1"/>
  <c r="S8" i="3" s="1"/>
  <c r="Y96" i="1"/>
  <c r="Z96" i="1"/>
  <c r="AB96" i="1"/>
  <c r="AC96" i="1"/>
  <c r="AD96" i="1"/>
  <c r="T96" i="1" s="1"/>
  <c r="AE96" i="1"/>
  <c r="R8" i="3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R34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35" i="3" s="1"/>
  <c r="Y112" i="1"/>
  <c r="Z112" i="1"/>
  <c r="AB112" i="1"/>
  <c r="AC112" i="1"/>
  <c r="AD112" i="1"/>
  <c r="T112" i="1" s="1"/>
  <c r="AE112" i="1"/>
  <c r="R35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37" i="3" s="1"/>
  <c r="Y117" i="1"/>
  <c r="Z117" i="1"/>
  <c r="AB117" i="1"/>
  <c r="AC117" i="1"/>
  <c r="AD117" i="1"/>
  <c r="AE117" i="1"/>
  <c r="R37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14" i="3" s="1"/>
  <c r="Y124" i="1"/>
  <c r="Z124" i="1"/>
  <c r="AB124" i="1"/>
  <c r="AC124" i="1"/>
  <c r="AD124" i="1"/>
  <c r="T124" i="1" s="1"/>
  <c r="AE124" i="1"/>
  <c r="R14" i="3" s="1"/>
  <c r="AF124" i="1"/>
  <c r="AH124" i="1"/>
  <c r="AM124" i="1"/>
  <c r="AN124" i="1"/>
  <c r="K125" i="1"/>
  <c r="L125" i="1"/>
  <c r="M125" i="1"/>
  <c r="N125" i="1" s="1"/>
  <c r="V125" i="1"/>
  <c r="AA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11" i="3" s="1"/>
  <c r="Y134" i="1"/>
  <c r="Z134" i="1"/>
  <c r="AB134" i="1"/>
  <c r="AC134" i="1"/>
  <c r="AD134" i="1"/>
  <c r="T134" i="1" s="1"/>
  <c r="AE134" i="1"/>
  <c r="R11" i="3" s="1"/>
  <c r="AF134" i="1"/>
  <c r="AH134" i="1"/>
  <c r="AM134" i="1"/>
  <c r="AN134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S38" i="3" s="1"/>
  <c r="Y139" i="1"/>
  <c r="Z139" i="1"/>
  <c r="AB139" i="1"/>
  <c r="AC139" i="1"/>
  <c r="AD139" i="1"/>
  <c r="T139" i="1" s="1"/>
  <c r="AE139" i="1"/>
  <c r="R38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P144" i="1" s="1"/>
  <c r="V144" i="1"/>
  <c r="S24" i="3" s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S17" i="3" s="1"/>
  <c r="Y149" i="1"/>
  <c r="Z149" i="1"/>
  <c r="AB149" i="1"/>
  <c r="AC149" i="1"/>
  <c r="AD149" i="1"/>
  <c r="T149" i="1" s="1"/>
  <c r="AE149" i="1"/>
  <c r="R17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E229" i="1"/>
  <c r="R51" i="3" s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S53" i="3" s="1"/>
  <c r="Y239" i="1"/>
  <c r="Z239" i="1"/>
  <c r="AB239" i="1"/>
  <c r="AC239" i="1"/>
  <c r="AD239" i="1"/>
  <c r="T239" i="1" s="1"/>
  <c r="AE239" i="1"/>
  <c r="R48" i="3" s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8" i="1"/>
  <c r="AM188" i="1"/>
  <c r="AN188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1" i="1"/>
  <c r="AM191" i="1"/>
  <c r="AN191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2" i="1"/>
  <c r="AM192" i="1"/>
  <c r="AN192" i="1"/>
  <c r="K248" i="1"/>
  <c r="L248" i="1"/>
  <c r="M248" i="1"/>
  <c r="N248" i="1" s="1"/>
  <c r="V248" i="1"/>
  <c r="S50" i="3" s="1"/>
  <c r="Y248" i="1"/>
  <c r="Z248" i="1"/>
  <c r="AB248" i="1"/>
  <c r="AC248" i="1"/>
  <c r="AD248" i="1"/>
  <c r="T248" i="1" s="1"/>
  <c r="AE248" i="1"/>
  <c r="R50" i="3" s="1"/>
  <c r="AF248" i="1"/>
  <c r="AH193" i="1"/>
  <c r="AM193" i="1"/>
  <c r="AN193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4" i="1"/>
  <c r="AM194" i="1"/>
  <c r="AN194" i="1"/>
  <c r="K250" i="1"/>
  <c r="L250" i="1"/>
  <c r="M250" i="1"/>
  <c r="N250" i="1" s="1"/>
  <c r="V250" i="1"/>
  <c r="S49" i="3" s="1"/>
  <c r="Y250" i="1"/>
  <c r="Z250" i="1"/>
  <c r="AB250" i="1"/>
  <c r="AC250" i="1"/>
  <c r="AD250" i="1"/>
  <c r="T250" i="1" s="1"/>
  <c r="AE250" i="1"/>
  <c r="R49" i="3" s="1"/>
  <c r="AF250" i="1"/>
  <c r="AH195" i="1"/>
  <c r="AM195" i="1"/>
  <c r="AN195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6" i="1"/>
  <c r="AM196" i="1"/>
  <c r="AN196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197" i="1"/>
  <c r="AM197" i="1"/>
  <c r="AN197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198" i="1"/>
  <c r="AM198" i="1"/>
  <c r="AN198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199" i="1"/>
  <c r="AM199" i="1"/>
  <c r="AN199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00" i="1"/>
  <c r="AM200" i="1"/>
  <c r="AN20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201" i="1"/>
  <c r="AM201" i="1"/>
  <c r="AN20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2" i="1"/>
  <c r="AM202" i="1"/>
  <c r="AN20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03" i="1"/>
  <c r="AM203" i="1"/>
  <c r="AN20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204" i="1"/>
  <c r="AM204" i="1"/>
  <c r="AN20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5" i="1"/>
  <c r="AM205" i="1"/>
  <c r="AN20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06" i="1"/>
  <c r="AM206" i="1"/>
  <c r="AN20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7" i="1"/>
  <c r="AM207" i="1"/>
  <c r="AN20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8" i="1"/>
  <c r="AM208" i="1"/>
  <c r="AN20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9" i="1"/>
  <c r="AM209" i="1"/>
  <c r="AN20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0" i="1"/>
  <c r="AM210" i="1"/>
  <c r="AN21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11" i="1"/>
  <c r="AM211" i="1"/>
  <c r="AN21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12" i="1"/>
  <c r="AM212" i="1"/>
  <c r="AN21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3" i="1"/>
  <c r="AM213" i="1"/>
  <c r="AN21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4" i="1"/>
  <c r="AM214" i="1"/>
  <c r="AN21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5" i="1"/>
  <c r="AM215" i="1"/>
  <c r="AN21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6" i="1"/>
  <c r="AM216" i="1"/>
  <c r="AN21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7" i="1"/>
  <c r="AM217" i="1"/>
  <c r="AN21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8" i="1"/>
  <c r="AM218" i="1"/>
  <c r="AN21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9" i="1"/>
  <c r="AM219" i="1"/>
  <c r="AN21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0" i="1"/>
  <c r="AM220" i="1"/>
  <c r="AN22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1" i="1"/>
  <c r="AM221" i="1"/>
  <c r="AN221" i="1"/>
  <c r="K178" i="1"/>
  <c r="L178" i="1"/>
  <c r="M178" i="1"/>
  <c r="N178" i="1" s="1"/>
  <c r="V178" i="1"/>
  <c r="S42" i="3" s="1"/>
  <c r="Y178" i="1"/>
  <c r="Z178" i="1"/>
  <c r="AB178" i="1"/>
  <c r="AC178" i="1"/>
  <c r="AD178" i="1"/>
  <c r="AE178" i="1"/>
  <c r="R42" i="3" s="1"/>
  <c r="AF178" i="1"/>
  <c r="AH222" i="1"/>
  <c r="AM222" i="1"/>
  <c r="AN22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3" i="1"/>
  <c r="AM223" i="1"/>
  <c r="AN22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4" i="1"/>
  <c r="AM224" i="1"/>
  <c r="AN22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5" i="1"/>
  <c r="AM225" i="1"/>
  <c r="AN22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6" i="1"/>
  <c r="AM226" i="1"/>
  <c r="AN22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7" i="1"/>
  <c r="AM227" i="1"/>
  <c r="AN22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8" i="1"/>
  <c r="AM228" i="1"/>
  <c r="AN22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9" i="1"/>
  <c r="AM229" i="1"/>
  <c r="AN229" i="1"/>
  <c r="K186" i="1"/>
  <c r="L186" i="1"/>
  <c r="M186" i="1"/>
  <c r="N186" i="1"/>
  <c r="V186" i="1"/>
  <c r="Y186" i="1"/>
  <c r="AA186" i="1" s="1"/>
  <c r="Z186" i="1"/>
  <c r="AB186" i="1"/>
  <c r="AC186" i="1"/>
  <c r="AD186" i="1"/>
  <c r="X186" i="1" s="1"/>
  <c r="AE186" i="1"/>
  <c r="AF186" i="1"/>
  <c r="AH230" i="1"/>
  <c r="AM230" i="1"/>
  <c r="AN230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231" i="1"/>
  <c r="AM231" i="1"/>
  <c r="AN231" i="1"/>
  <c r="AH232" i="1"/>
  <c r="AM232" i="1"/>
  <c r="AN23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33" i="1"/>
  <c r="AM233" i="1"/>
  <c r="AN23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4" i="1"/>
  <c r="AM234" i="1"/>
  <c r="AN234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35" i="1"/>
  <c r="AM235" i="1"/>
  <c r="AN23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6" i="1"/>
  <c r="AM236" i="1"/>
  <c r="AN23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7" i="1"/>
  <c r="AM237" i="1"/>
  <c r="AN237" i="1"/>
  <c r="K193" i="1"/>
  <c r="L193" i="1"/>
  <c r="M193" i="1"/>
  <c r="N193" i="1" s="1"/>
  <c r="V193" i="1"/>
  <c r="S39" i="3" s="1"/>
  <c r="Y193" i="1"/>
  <c r="Z193" i="1"/>
  <c r="AB193" i="1"/>
  <c r="AC193" i="1"/>
  <c r="AD193" i="1"/>
  <c r="T193" i="1" s="1"/>
  <c r="AE193" i="1"/>
  <c r="R40" i="3" s="1"/>
  <c r="AF193" i="1"/>
  <c r="AH238" i="1"/>
  <c r="AM238" i="1"/>
  <c r="AN23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9" i="1"/>
  <c r="AM239" i="1"/>
  <c r="AN239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40" i="1"/>
  <c r="AM240" i="1"/>
  <c r="AN24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1" i="1"/>
  <c r="AM241" i="1"/>
  <c r="AN241" i="1"/>
  <c r="K197" i="1"/>
  <c r="L197" i="1"/>
  <c r="M197" i="1"/>
  <c r="N197" i="1"/>
  <c r="V197" i="1"/>
  <c r="Y197" i="1"/>
  <c r="Z197" i="1"/>
  <c r="AB197" i="1"/>
  <c r="AC197" i="1"/>
  <c r="AD197" i="1"/>
  <c r="T197" i="1" s="1"/>
  <c r="AE197" i="1"/>
  <c r="AF197" i="1"/>
  <c r="AH242" i="1"/>
  <c r="AM242" i="1"/>
  <c r="AN24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3" i="1"/>
  <c r="AM243" i="1"/>
  <c r="AN24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4" i="1"/>
  <c r="AM244" i="1"/>
  <c r="AN244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45" i="1"/>
  <c r="AM245" i="1"/>
  <c r="AN245" i="1"/>
  <c r="K201" i="1"/>
  <c r="L201" i="1"/>
  <c r="M201" i="1"/>
  <c r="N201" i="1" s="1"/>
  <c r="V201" i="1"/>
  <c r="S41" i="3" s="1"/>
  <c r="Y201" i="1"/>
  <c r="Z201" i="1"/>
  <c r="AB201" i="1"/>
  <c r="AC201" i="1"/>
  <c r="AD201" i="1"/>
  <c r="T201" i="1" s="1"/>
  <c r="AE201" i="1"/>
  <c r="AF201" i="1"/>
  <c r="AH246" i="1"/>
  <c r="AM246" i="1"/>
  <c r="AN246" i="1"/>
  <c r="K202" i="1"/>
  <c r="L202" i="1"/>
  <c r="M202" i="1"/>
  <c r="N202" i="1" s="1"/>
  <c r="V202" i="1"/>
  <c r="Y202" i="1"/>
  <c r="AA202" i="1" s="1"/>
  <c r="Z202" i="1"/>
  <c r="AB202" i="1"/>
  <c r="AC202" i="1"/>
  <c r="AD202" i="1"/>
  <c r="T202" i="1" s="1"/>
  <c r="AE202" i="1"/>
  <c r="AF202" i="1"/>
  <c r="AH247" i="1"/>
  <c r="AM247" i="1"/>
  <c r="AN24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8" i="1"/>
  <c r="AM248" i="1"/>
  <c r="AN248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49" i="1"/>
  <c r="AM249" i="1"/>
  <c r="AN249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0" i="1"/>
  <c r="AM250" i="1"/>
  <c r="AN250" i="1"/>
  <c r="K222" i="1"/>
  <c r="L222" i="1"/>
  <c r="M222" i="1"/>
  <c r="N222" i="1" s="1"/>
  <c r="V222" i="1"/>
  <c r="S45" i="3" s="1"/>
  <c r="Y222" i="1"/>
  <c r="Z222" i="1"/>
  <c r="AB222" i="1"/>
  <c r="AC222" i="1"/>
  <c r="AD222" i="1"/>
  <c r="T222" i="1" s="1"/>
  <c r="AE222" i="1"/>
  <c r="R45" i="3" s="1"/>
  <c r="AF222" i="1"/>
  <c r="AH251" i="1"/>
  <c r="AM251" i="1"/>
  <c r="AN25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52" i="1"/>
  <c r="AM252" i="1"/>
  <c r="AN25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53" i="1"/>
  <c r="AM253" i="1"/>
  <c r="AN253" i="1"/>
  <c r="K225" i="1"/>
  <c r="L225" i="1"/>
  <c r="M225" i="1"/>
  <c r="N225" i="1"/>
  <c r="V225" i="1"/>
  <c r="S44" i="3" s="1"/>
  <c r="Y225" i="1"/>
  <c r="Z225" i="1"/>
  <c r="AB225" i="1"/>
  <c r="AC225" i="1"/>
  <c r="AD225" i="1"/>
  <c r="T225" i="1" s="1"/>
  <c r="AE225" i="1"/>
  <c r="R44" i="3" s="1"/>
  <c r="AF225" i="1"/>
  <c r="AH254" i="1"/>
  <c r="AM254" i="1"/>
  <c r="AN25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55" i="1"/>
  <c r="AM255" i="1"/>
  <c r="AN255" i="1"/>
  <c r="M29" i="3"/>
  <c r="S29" i="3"/>
  <c r="U29" i="3"/>
  <c r="T29" i="3" s="1"/>
  <c r="V29" i="3"/>
  <c r="X29" i="3"/>
  <c r="M30" i="3"/>
  <c r="U30" i="3"/>
  <c r="T30" i="3" s="1"/>
  <c r="V30" i="3"/>
  <c r="X30" i="3"/>
  <c r="M18" i="3"/>
  <c r="R18" i="3"/>
  <c r="U18" i="3"/>
  <c r="AC18" i="3" s="1"/>
  <c r="V18" i="3"/>
  <c r="X18" i="3"/>
  <c r="M15" i="3"/>
  <c r="S15" i="3"/>
  <c r="U15" i="3"/>
  <c r="V15" i="3"/>
  <c r="X15" i="3"/>
  <c r="M27" i="3"/>
  <c r="U27" i="3"/>
  <c r="T27" i="3" s="1"/>
  <c r="V27" i="3"/>
  <c r="X27" i="3"/>
  <c r="M21" i="3"/>
  <c r="S21" i="3"/>
  <c r="U21" i="3"/>
  <c r="T21" i="3" s="1"/>
  <c r="V21" i="3"/>
  <c r="X21" i="3"/>
  <c r="M26" i="3"/>
  <c r="U26" i="3"/>
  <c r="AC26" i="3" s="1"/>
  <c r="V26" i="3"/>
  <c r="X26" i="3"/>
  <c r="M45" i="3"/>
  <c r="U45" i="3"/>
  <c r="T45" i="3" s="1"/>
  <c r="V45" i="3"/>
  <c r="X45" i="3"/>
  <c r="M51" i="3"/>
  <c r="S51" i="3"/>
  <c r="U51" i="3"/>
  <c r="T51" i="3" s="1"/>
  <c r="V51" i="3"/>
  <c r="X51" i="3"/>
  <c r="M52" i="3"/>
  <c r="R52" i="3"/>
  <c r="S52" i="3"/>
  <c r="U52" i="3"/>
  <c r="T52" i="3" s="1"/>
  <c r="V52" i="3"/>
  <c r="X52" i="3"/>
  <c r="M12" i="3"/>
  <c r="U12" i="3"/>
  <c r="AC12" i="3" s="1"/>
  <c r="V12" i="3"/>
  <c r="X12" i="3"/>
  <c r="M13" i="3"/>
  <c r="S13" i="3"/>
  <c r="U13" i="3"/>
  <c r="V13" i="3"/>
  <c r="X13" i="3"/>
  <c r="M22" i="3"/>
  <c r="U22" i="3"/>
  <c r="T22" i="3" s="1"/>
  <c r="V22" i="3"/>
  <c r="X22" i="3"/>
  <c r="M23" i="3"/>
  <c r="R23" i="3"/>
  <c r="U23" i="3"/>
  <c r="T23" i="3" s="1"/>
  <c r="V23" i="3"/>
  <c r="X23" i="3"/>
  <c r="M28" i="3"/>
  <c r="U28" i="3"/>
  <c r="AC28" i="3" s="1"/>
  <c r="V28" i="3"/>
  <c r="X28" i="3"/>
  <c r="M31" i="3"/>
  <c r="U31" i="3"/>
  <c r="AC31" i="3" s="1"/>
  <c r="V31" i="3"/>
  <c r="X31" i="3"/>
  <c r="M19" i="3"/>
  <c r="U19" i="3"/>
  <c r="T19" i="3" s="1"/>
  <c r="V19" i="3"/>
  <c r="X19" i="3"/>
  <c r="M16" i="3"/>
  <c r="U16" i="3"/>
  <c r="AD16" i="3" s="1"/>
  <c r="V16" i="3"/>
  <c r="X16" i="3"/>
  <c r="M32" i="3"/>
  <c r="U32" i="3"/>
  <c r="AC32" i="3" s="1"/>
  <c r="V32" i="3"/>
  <c r="X32" i="3"/>
  <c r="M9" i="3"/>
  <c r="U9" i="3"/>
  <c r="AC9" i="3" s="1"/>
  <c r="V9" i="3"/>
  <c r="X9" i="3"/>
  <c r="M33" i="3"/>
  <c r="R33" i="3"/>
  <c r="U33" i="3"/>
  <c r="V33" i="3"/>
  <c r="X33" i="3"/>
  <c r="M42" i="3"/>
  <c r="U42" i="3"/>
  <c r="AC42" i="3" s="1"/>
  <c r="V42" i="3"/>
  <c r="X42" i="3"/>
  <c r="M20" i="3"/>
  <c r="R20" i="3"/>
  <c r="U20" i="3"/>
  <c r="V20" i="3"/>
  <c r="X20" i="3"/>
  <c r="M36" i="3"/>
  <c r="U36" i="3"/>
  <c r="AC36" i="3" s="1"/>
  <c r="V36" i="3"/>
  <c r="X36" i="3"/>
  <c r="M25" i="3"/>
  <c r="U25" i="3"/>
  <c r="T25" i="3" s="1"/>
  <c r="V25" i="3"/>
  <c r="X25" i="3"/>
  <c r="M53" i="3"/>
  <c r="R53" i="3"/>
  <c r="U53" i="3"/>
  <c r="V53" i="3"/>
  <c r="X53" i="3"/>
  <c r="M8" i="3"/>
  <c r="U8" i="3"/>
  <c r="AC8" i="3" s="1"/>
  <c r="V8" i="3"/>
  <c r="X8" i="3"/>
  <c r="M7" i="3"/>
  <c r="S7" i="3"/>
  <c r="U7" i="3"/>
  <c r="T7" i="3" s="1"/>
  <c r="V7" i="3"/>
  <c r="X7" i="3"/>
  <c r="M48" i="3"/>
  <c r="S48" i="3"/>
  <c r="U48" i="3"/>
  <c r="AC48" i="3" s="1"/>
  <c r="V48" i="3"/>
  <c r="X48" i="3"/>
  <c r="M50" i="3"/>
  <c r="U50" i="3"/>
  <c r="V50" i="3"/>
  <c r="X50" i="3"/>
  <c r="M47" i="3"/>
  <c r="S47" i="3"/>
  <c r="U47" i="3"/>
  <c r="AC47" i="3" s="1"/>
  <c r="V47" i="3"/>
  <c r="X47" i="3"/>
  <c r="M49" i="3"/>
  <c r="U49" i="3"/>
  <c r="T49" i="3" s="1"/>
  <c r="V49" i="3"/>
  <c r="X49" i="3"/>
  <c r="M54" i="3"/>
  <c r="U54" i="3"/>
  <c r="AC54" i="3" s="1"/>
  <c r="V54" i="3"/>
  <c r="X54" i="3"/>
  <c r="M46" i="3"/>
  <c r="S46" i="3"/>
  <c r="U46" i="3"/>
  <c r="AC46" i="3" s="1"/>
  <c r="V46" i="3"/>
  <c r="X46" i="3"/>
  <c r="M34" i="3"/>
  <c r="S34" i="3"/>
  <c r="U34" i="3"/>
  <c r="AC34" i="3" s="1"/>
  <c r="V34" i="3"/>
  <c r="X34" i="3"/>
  <c r="M55" i="3"/>
  <c r="U55" i="3"/>
  <c r="AD55" i="3" s="1"/>
  <c r="V55" i="3"/>
  <c r="X55" i="3"/>
  <c r="M37" i="3"/>
  <c r="U37" i="3"/>
  <c r="AC37" i="3" s="1"/>
  <c r="V37" i="3"/>
  <c r="X37" i="3"/>
  <c r="M35" i="3"/>
  <c r="U35" i="3"/>
  <c r="V35" i="3"/>
  <c r="X35" i="3"/>
  <c r="M39" i="3"/>
  <c r="U39" i="3"/>
  <c r="AC39" i="3" s="1"/>
  <c r="V39" i="3"/>
  <c r="X39" i="3"/>
  <c r="M40" i="3"/>
  <c r="U40" i="3"/>
  <c r="T40" i="3" s="1"/>
  <c r="V40" i="3"/>
  <c r="X40" i="3"/>
  <c r="M14" i="3"/>
  <c r="U14" i="3"/>
  <c r="AC14" i="3" s="1"/>
  <c r="V14" i="3"/>
  <c r="X14" i="3"/>
  <c r="M11" i="3"/>
  <c r="U11" i="3"/>
  <c r="V11" i="3"/>
  <c r="X11" i="3"/>
  <c r="M38" i="3"/>
  <c r="U38" i="3"/>
  <c r="AC38" i="3" s="1"/>
  <c r="V38" i="3"/>
  <c r="X38" i="3"/>
  <c r="M41" i="3"/>
  <c r="R41" i="3"/>
  <c r="U41" i="3"/>
  <c r="T41" i="3" s="1"/>
  <c r="V41" i="3"/>
  <c r="X41" i="3"/>
  <c r="M44" i="3"/>
  <c r="U44" i="3"/>
  <c r="AC44" i="3" s="1"/>
  <c r="V44" i="3"/>
  <c r="X44" i="3"/>
  <c r="M24" i="3"/>
  <c r="R24" i="3"/>
  <c r="U24" i="3"/>
  <c r="V24" i="3"/>
  <c r="X24" i="3"/>
  <c r="M17" i="3"/>
  <c r="U17" i="3"/>
  <c r="AD17" i="3" s="1"/>
  <c r="V17" i="3"/>
  <c r="X17" i="3"/>
  <c r="M43" i="3"/>
  <c r="R43" i="3"/>
  <c r="S43" i="3"/>
  <c r="U43" i="3"/>
  <c r="T43" i="3" s="1"/>
  <c r="V43" i="3"/>
  <c r="X43" i="3"/>
  <c r="AG137" i="1"/>
  <c r="AG135" i="1"/>
  <c r="AG14" i="1"/>
  <c r="AG17" i="1"/>
  <c r="AG33" i="1"/>
  <c r="AG49" i="1"/>
  <c r="AG28" i="1"/>
  <c r="AG44" i="1"/>
  <c r="AG19" i="1"/>
  <c r="AG35" i="1"/>
  <c r="AG51" i="1"/>
  <c r="AG30" i="1"/>
  <c r="AG46" i="1"/>
  <c r="AG64" i="1"/>
  <c r="AG80" i="1"/>
  <c r="AG55" i="1"/>
  <c r="AG71" i="1"/>
  <c r="AG87" i="1"/>
  <c r="AG66" i="1"/>
  <c r="AG82" i="1"/>
  <c r="AG57" i="1"/>
  <c r="AG73" i="1"/>
  <c r="AG21" i="1"/>
  <c r="AG41" i="1"/>
  <c r="AG48" i="1"/>
  <c r="AG27" i="1"/>
  <c r="AG47" i="1"/>
  <c r="AG56" i="1"/>
  <c r="AG76" i="1"/>
  <c r="AG79" i="1"/>
  <c r="AG86" i="1"/>
  <c r="AG85" i="1"/>
  <c r="AG116" i="1"/>
  <c r="AG95" i="1"/>
  <c r="AG91" i="1"/>
  <c r="AG144" i="1"/>
  <c r="AG154" i="1"/>
  <c r="AG131" i="1"/>
  <c r="AG251" i="1"/>
  <c r="AG171" i="1"/>
  <c r="AG182" i="1"/>
  <c r="AG188" i="1"/>
  <c r="AG201" i="1"/>
  <c r="AG25" i="1"/>
  <c r="AG45" i="1"/>
  <c r="AG32" i="1"/>
  <c r="AG52" i="1"/>
  <c r="AG31" i="1"/>
  <c r="AG18" i="1"/>
  <c r="AG38" i="1"/>
  <c r="AG60" i="1"/>
  <c r="AG84" i="1"/>
  <c r="AG63" i="1"/>
  <c r="AG83" i="1"/>
  <c r="AG70" i="1"/>
  <c r="AG90" i="1"/>
  <c r="AG69" i="1"/>
  <c r="AG89" i="1"/>
  <c r="AG105" i="1"/>
  <c r="AG120" i="1"/>
  <c r="AG104" i="1"/>
  <c r="AG119" i="1"/>
  <c r="AG99" i="1"/>
  <c r="AG114" i="1"/>
  <c r="AG94" i="1"/>
  <c r="AG110" i="1"/>
  <c r="AG130" i="1"/>
  <c r="AG147" i="1"/>
  <c r="AG210" i="1"/>
  <c r="AG143" i="1"/>
  <c r="AG205" i="1"/>
  <c r="AG126" i="1"/>
  <c r="AG142" i="1"/>
  <c r="AG204" i="1"/>
  <c r="AG136" i="1"/>
  <c r="AG152" i="1"/>
  <c r="AG216" i="1"/>
  <c r="AG239" i="1"/>
  <c r="AG255" i="1"/>
  <c r="AG172" i="1"/>
  <c r="AG219" i="1"/>
  <c r="AG242" i="1"/>
  <c r="AG159" i="1"/>
  <c r="AG175" i="1"/>
  <c r="AG190" i="1"/>
  <c r="AG237" i="1"/>
  <c r="AG253" i="1"/>
  <c r="AG170" i="1"/>
  <c r="AG186" i="1"/>
  <c r="AG228" i="1"/>
  <c r="AG244" i="1"/>
  <c r="AG161" i="1"/>
  <c r="AG177" i="1"/>
  <c r="AG192" i="1"/>
  <c r="AG223" i="1"/>
  <c r="AG198" i="1"/>
  <c r="AG220" i="1"/>
  <c r="AG221" i="1"/>
  <c r="AG238" i="1"/>
  <c r="AG203" i="1"/>
  <c r="AG29" i="1"/>
  <c r="AG16" i="1"/>
  <c r="AG36" i="1"/>
  <c r="AG15" i="1"/>
  <c r="AG39" i="1"/>
  <c r="AG22" i="1"/>
  <c r="AG42" i="1"/>
  <c r="AG68" i="1"/>
  <c r="AG88" i="1"/>
  <c r="AG67" i="1"/>
  <c r="AG54" i="1"/>
  <c r="AG74" i="1"/>
  <c r="AG53" i="1"/>
  <c r="AG77" i="1"/>
  <c r="AG93" i="1"/>
  <c r="AG109" i="1"/>
  <c r="AG124" i="1"/>
  <c r="AG108" i="1"/>
  <c r="AG123" i="1"/>
  <c r="AG103" i="1"/>
  <c r="AG118" i="1"/>
  <c r="AG98" i="1"/>
  <c r="AG113" i="1"/>
  <c r="AG134" i="1"/>
  <c r="AG151" i="1"/>
  <c r="AG129" i="1"/>
  <c r="AG209" i="1"/>
  <c r="AG128" i="1"/>
  <c r="AG146" i="1"/>
  <c r="AG208" i="1"/>
  <c r="AG141" i="1"/>
  <c r="AG156" i="1"/>
  <c r="AG227" i="1"/>
  <c r="AG243" i="1"/>
  <c r="AG160" i="1"/>
  <c r="AG176" i="1"/>
  <c r="AG191" i="1"/>
  <c r="AG230" i="1"/>
  <c r="AG246" i="1"/>
  <c r="AG163" i="1"/>
  <c r="AG179" i="1"/>
  <c r="AG218" i="1"/>
  <c r="AG241" i="1"/>
  <c r="AG158" i="1"/>
  <c r="AG174" i="1"/>
  <c r="AG189" i="1"/>
  <c r="AG232" i="1"/>
  <c r="AG248" i="1"/>
  <c r="AG165" i="1"/>
  <c r="AG181" i="1"/>
  <c r="AG195" i="1"/>
  <c r="AG226" i="1"/>
  <c r="AG202" i="1"/>
  <c r="AG194" i="1"/>
  <c r="AG224" i="1"/>
  <c r="AG37" i="1"/>
  <c r="AG20" i="1"/>
  <c r="AG40" i="1"/>
  <c r="AG23" i="1"/>
  <c r="AG43" i="1"/>
  <c r="AG26" i="1"/>
  <c r="AG50" i="1"/>
  <c r="AG72" i="1"/>
  <c r="AG92" i="1"/>
  <c r="AG75" i="1"/>
  <c r="AG58" i="1"/>
  <c r="AG78" i="1"/>
  <c r="AG61" i="1"/>
  <c r="AG81" i="1"/>
  <c r="AG97" i="1"/>
  <c r="AG112" i="1"/>
  <c r="AG96" i="1"/>
  <c r="AG127" i="1"/>
  <c r="AG107" i="1"/>
  <c r="AG102" i="1"/>
  <c r="AG117" i="1"/>
  <c r="AG140" i="1"/>
  <c r="AG133" i="1"/>
  <c r="AG213" i="1"/>
  <c r="AG149" i="1"/>
  <c r="AG145" i="1"/>
  <c r="AG231" i="1"/>
  <c r="AG164" i="1"/>
  <c r="AG214" i="1"/>
  <c r="AG250" i="1"/>
  <c r="AG183" i="1"/>
  <c r="AG245" i="1"/>
  <c r="AG193" i="1"/>
  <c r="AG252" i="1"/>
  <c r="AG185" i="1"/>
  <c r="AG225" i="1"/>
  <c r="AG222" i="1"/>
  <c r="AG24" i="1"/>
  <c r="AG34" i="1"/>
  <c r="AG59" i="1"/>
  <c r="AG62" i="1"/>
  <c r="AG65" i="1"/>
  <c r="AG101" i="1"/>
  <c r="AG115" i="1"/>
  <c r="AG111" i="1"/>
  <c r="AG121" i="1"/>
  <c r="AG139" i="1"/>
  <c r="AG138" i="1"/>
  <c r="AG148" i="1"/>
  <c r="AG235" i="1"/>
  <c r="AG184" i="1"/>
  <c r="AG254" i="1"/>
  <c r="AG233" i="1"/>
  <c r="AG166" i="1"/>
  <c r="AG240" i="1"/>
  <c r="AG173" i="1"/>
  <c r="AG200" i="1"/>
  <c r="AG122" i="1"/>
  <c r="AG155" i="1"/>
  <c r="AG150" i="1"/>
  <c r="AG132" i="1"/>
  <c r="AG212" i="1"/>
  <c r="AG207" i="1"/>
  <c r="AG247" i="1"/>
  <c r="AG180" i="1"/>
  <c r="AG234" i="1"/>
  <c r="AG167" i="1"/>
  <c r="AG229" i="1"/>
  <c r="AG162" i="1"/>
  <c r="AG178" i="1"/>
  <c r="AG236" i="1"/>
  <c r="AG169" i="1"/>
  <c r="AG199" i="1"/>
  <c r="AG197" i="1"/>
  <c r="AG100" i="1"/>
  <c r="AG106" i="1"/>
  <c r="AG206" i="1"/>
  <c r="AG125" i="1"/>
  <c r="AG153" i="1"/>
  <c r="AG211" i="1"/>
  <c r="AG168" i="1"/>
  <c r="AG215" i="1"/>
  <c r="AG187" i="1"/>
  <c r="AG249" i="1"/>
  <c r="AG217" i="1"/>
  <c r="AG157" i="1"/>
  <c r="AG196" i="1"/>
  <c r="W18" i="3"/>
  <c r="W32" i="3"/>
  <c r="W46" i="3"/>
  <c r="W15" i="3"/>
  <c r="W23" i="3"/>
  <c r="W14" i="3"/>
  <c r="W36" i="3"/>
  <c r="W39" i="3"/>
  <c r="W21" i="3"/>
  <c r="W44" i="3"/>
  <c r="W9" i="3"/>
  <c r="W34" i="3"/>
  <c r="W12" i="3"/>
  <c r="W53" i="3"/>
  <c r="W11" i="3"/>
  <c r="W13" i="3"/>
  <c r="W31" i="3"/>
  <c r="W47" i="3"/>
  <c r="W17" i="3"/>
  <c r="W48" i="3"/>
  <c r="W27" i="3"/>
  <c r="W8" i="3"/>
  <c r="W41" i="3"/>
  <c r="W26" i="3"/>
  <c r="W20" i="3"/>
  <c r="W35" i="3"/>
  <c r="W45" i="3"/>
  <c r="W16" i="3"/>
  <c r="W22" i="3"/>
  <c r="W25" i="3"/>
  <c r="W40" i="3"/>
  <c r="W42" i="3"/>
  <c r="W29" i="3"/>
  <c r="W33" i="3"/>
  <c r="W55" i="3"/>
  <c r="W30" i="3"/>
  <c r="W28" i="3"/>
  <c r="W50" i="3"/>
  <c r="W24" i="3"/>
  <c r="W51" i="3"/>
  <c r="W54" i="3"/>
  <c r="W19" i="3"/>
  <c r="W49" i="3"/>
  <c r="W43" i="3"/>
  <c r="W37" i="3"/>
  <c r="W52" i="3"/>
  <c r="W7" i="3"/>
  <c r="W38" i="3"/>
  <c r="AI137" i="1" l="1"/>
  <c r="U137" i="1"/>
  <c r="S137" i="1" s="1"/>
  <c r="W137" i="1"/>
  <c r="X137" i="1"/>
  <c r="R22" i="3"/>
  <c r="R31" i="3"/>
  <c r="R39" i="3"/>
  <c r="AI135" i="1"/>
  <c r="U135" i="1"/>
  <c r="S135" i="1" s="1"/>
  <c r="W135" i="1"/>
  <c r="X135" i="1"/>
  <c r="U14" i="1"/>
  <c r="S14" i="1" s="1"/>
  <c r="AI14" i="1"/>
  <c r="W14" i="1"/>
  <c r="X190" i="1"/>
  <c r="AD36" i="3"/>
  <c r="X237" i="1"/>
  <c r="X229" i="1"/>
  <c r="X193" i="1"/>
  <c r="X189" i="1"/>
  <c r="X150" i="1"/>
  <c r="T220" i="1"/>
  <c r="U220" i="1" s="1"/>
  <c r="S220" i="1" s="1"/>
  <c r="T187" i="1"/>
  <c r="X241" i="1"/>
  <c r="X233" i="1"/>
  <c r="X214" i="1"/>
  <c r="AA134" i="1"/>
  <c r="AE55" i="3"/>
  <c r="AA201" i="1"/>
  <c r="W201" i="1" s="1"/>
  <c r="AA199" i="1"/>
  <c r="X151" i="1"/>
  <c r="AA129" i="1"/>
  <c r="X111" i="1"/>
  <c r="X192" i="1"/>
  <c r="X188" i="1"/>
  <c r="AE45" i="3"/>
  <c r="X191" i="1"/>
  <c r="X210" i="1"/>
  <c r="X74" i="1"/>
  <c r="AA65" i="1"/>
  <c r="AA26" i="1"/>
  <c r="W26" i="1" s="1"/>
  <c r="X149" i="1"/>
  <c r="X209" i="1"/>
  <c r="AE42" i="3"/>
  <c r="R46" i="3"/>
  <c r="R7" i="3"/>
  <c r="AD33" i="3"/>
  <c r="X155" i="1"/>
  <c r="AA112" i="1"/>
  <c r="AA97" i="1"/>
  <c r="AA93" i="1"/>
  <c r="AA85" i="1"/>
  <c r="AA81" i="1"/>
  <c r="W81" i="1" s="1"/>
  <c r="AA57" i="1"/>
  <c r="AA45" i="1"/>
  <c r="T34" i="1"/>
  <c r="X148" i="1"/>
  <c r="R29" i="3"/>
  <c r="S55" i="3"/>
  <c r="S54" i="3"/>
  <c r="X195" i="1"/>
  <c r="X178" i="1"/>
  <c r="X174" i="1"/>
  <c r="X162" i="1"/>
  <c r="X158" i="1"/>
  <c r="X253" i="1"/>
  <c r="X249" i="1"/>
  <c r="X245" i="1"/>
  <c r="AA207" i="1"/>
  <c r="W207" i="1" s="1"/>
  <c r="X114" i="1"/>
  <c r="AA102" i="1"/>
  <c r="X66" i="1"/>
  <c r="AA48" i="1"/>
  <c r="W48" i="1" s="1"/>
  <c r="T46" i="1"/>
  <c r="T38" i="1"/>
  <c r="AA37" i="1"/>
  <c r="X113" i="1"/>
  <c r="R55" i="3"/>
  <c r="AA212" i="1"/>
  <c r="X206" i="1"/>
  <c r="X112" i="1"/>
  <c r="R54" i="3"/>
  <c r="R47" i="3"/>
  <c r="R19" i="3"/>
  <c r="S22" i="3"/>
  <c r="X194" i="1"/>
  <c r="AA192" i="1"/>
  <c r="AA190" i="1"/>
  <c r="AA188" i="1"/>
  <c r="AA181" i="1"/>
  <c r="AA161" i="1"/>
  <c r="AA157" i="1"/>
  <c r="AA217" i="1"/>
  <c r="W217" i="1" s="1"/>
  <c r="AA139" i="1"/>
  <c r="AA109" i="1"/>
  <c r="AA100" i="1"/>
  <c r="AA64" i="1"/>
  <c r="W64" i="1" s="1"/>
  <c r="AA62" i="1"/>
  <c r="AA49" i="1"/>
  <c r="X45" i="1"/>
  <c r="AA170" i="1"/>
  <c r="W170" i="1" s="1"/>
  <c r="X205" i="1"/>
  <c r="AA153" i="1"/>
  <c r="S40" i="3"/>
  <c r="AA195" i="1"/>
  <c r="W195" i="1" s="1"/>
  <c r="AA193" i="1"/>
  <c r="AA211" i="1"/>
  <c r="AA152" i="1"/>
  <c r="X129" i="1"/>
  <c r="X127" i="1"/>
  <c r="AA101" i="1"/>
  <c r="X98" i="1"/>
  <c r="X82" i="1"/>
  <c r="AA44" i="1"/>
  <c r="AE35" i="3"/>
  <c r="AD27" i="3"/>
  <c r="AE37" i="3"/>
  <c r="AE33" i="3"/>
  <c r="AD43" i="3"/>
  <c r="AD53" i="3"/>
  <c r="AC41" i="3"/>
  <c r="AD47" i="3"/>
  <c r="AD44" i="3"/>
  <c r="AC25" i="3"/>
  <c r="S36" i="3"/>
  <c r="AE26" i="3"/>
  <c r="S32" i="3"/>
  <c r="AE31" i="3"/>
  <c r="S28" i="3"/>
  <c r="AA198" i="1"/>
  <c r="AA162" i="1"/>
  <c r="AA158" i="1"/>
  <c r="AA253" i="1"/>
  <c r="W253" i="1" s="1"/>
  <c r="AA249" i="1"/>
  <c r="AA245" i="1"/>
  <c r="AA241" i="1"/>
  <c r="AA237" i="1"/>
  <c r="W237" i="1" s="1"/>
  <c r="AA233" i="1"/>
  <c r="AA229" i="1"/>
  <c r="AA227" i="1"/>
  <c r="AA218" i="1"/>
  <c r="W218" i="1" s="1"/>
  <c r="AA215" i="1"/>
  <c r="T214" i="1"/>
  <c r="AA204" i="1"/>
  <c r="T155" i="1"/>
  <c r="AA148" i="1"/>
  <c r="X144" i="1"/>
  <c r="AA142" i="1"/>
  <c r="AA138" i="1"/>
  <c r="X133" i="1"/>
  <c r="X130" i="1"/>
  <c r="AA124" i="1"/>
  <c r="AA118" i="1"/>
  <c r="W118" i="1" s="1"/>
  <c r="AA116" i="1"/>
  <c r="X105" i="1"/>
  <c r="X94" i="1"/>
  <c r="AA87" i="1"/>
  <c r="AA84" i="1"/>
  <c r="AA82" i="1"/>
  <c r="T82" i="1"/>
  <c r="AA80" i="1"/>
  <c r="W80" i="1" s="1"/>
  <c r="AA73" i="1"/>
  <c r="X70" i="1"/>
  <c r="X62" i="1"/>
  <c r="T42" i="1"/>
  <c r="AA41" i="1"/>
  <c r="T30" i="1"/>
  <c r="AA24" i="1"/>
  <c r="AA20" i="1"/>
  <c r="W20" i="1" s="1"/>
  <c r="AA15" i="1"/>
  <c r="AE49" i="3"/>
  <c r="AC40" i="3"/>
  <c r="AD37" i="3"/>
  <c r="AD29" i="3"/>
  <c r="S31" i="3"/>
  <c r="AA252" i="1"/>
  <c r="W252" i="1" s="1"/>
  <c r="AA248" i="1"/>
  <c r="AA244" i="1"/>
  <c r="AA240" i="1"/>
  <c r="AA236" i="1"/>
  <c r="W236" i="1" s="1"/>
  <c r="AA232" i="1"/>
  <c r="AA228" i="1"/>
  <c r="X215" i="1"/>
  <c r="X213" i="1"/>
  <c r="AA156" i="1"/>
  <c r="AA149" i="1"/>
  <c r="AA146" i="1"/>
  <c r="AA143" i="1"/>
  <c r="W143" i="1" s="1"/>
  <c r="AA133" i="1"/>
  <c r="AA132" i="1"/>
  <c r="AA115" i="1"/>
  <c r="AA104" i="1"/>
  <c r="AA94" i="1"/>
  <c r="X86" i="1"/>
  <c r="AA77" i="1"/>
  <c r="AA72" i="1"/>
  <c r="W72" i="1" s="1"/>
  <c r="AA70" i="1"/>
  <c r="AA69" i="1"/>
  <c r="AA61" i="1"/>
  <c r="X58" i="1"/>
  <c r="AA55" i="1"/>
  <c r="AA16" i="1"/>
  <c r="AD8" i="3"/>
  <c r="X196" i="1"/>
  <c r="AD51" i="3"/>
  <c r="AD49" i="3"/>
  <c r="AE41" i="3"/>
  <c r="AD39" i="3"/>
  <c r="AE47" i="3"/>
  <c r="AE29" i="3"/>
  <c r="AD21" i="3"/>
  <c r="AE51" i="3"/>
  <c r="AA223" i="1"/>
  <c r="T194" i="1"/>
  <c r="AA182" i="1"/>
  <c r="AA175" i="1"/>
  <c r="W175" i="1" s="1"/>
  <c r="X167" i="1"/>
  <c r="AA167" i="1"/>
  <c r="X143" i="1"/>
  <c r="X117" i="1"/>
  <c r="X29" i="1"/>
  <c r="X25" i="1"/>
  <c r="T18" i="1"/>
  <c r="X223" i="1"/>
  <c r="AA225" i="1"/>
  <c r="AA224" i="1"/>
  <c r="AA222" i="1"/>
  <c r="X182" i="1"/>
  <c r="AA178" i="1"/>
  <c r="AA176" i="1"/>
  <c r="AA174" i="1"/>
  <c r="AA172" i="1"/>
  <c r="W172" i="1" s="1"/>
  <c r="X171" i="1"/>
  <c r="AA169" i="1"/>
  <c r="X166" i="1"/>
  <c r="AA164" i="1"/>
  <c r="X163" i="1"/>
  <c r="X159" i="1"/>
  <c r="X254" i="1"/>
  <c r="X250" i="1"/>
  <c r="X246" i="1"/>
  <c r="X242" i="1"/>
  <c r="X238" i="1"/>
  <c r="X234" i="1"/>
  <c r="X230" i="1"/>
  <c r="AA213" i="1"/>
  <c r="AA205" i="1"/>
  <c r="AA150" i="1"/>
  <c r="W150" i="1" s="1"/>
  <c r="AA126" i="1"/>
  <c r="AA119" i="1"/>
  <c r="X116" i="1"/>
  <c r="AA113" i="1"/>
  <c r="W113" i="1" s="1"/>
  <c r="AA107" i="1"/>
  <c r="AA105" i="1"/>
  <c r="AA103" i="1"/>
  <c r="X102" i="1"/>
  <c r="AA98" i="1"/>
  <c r="T98" i="1"/>
  <c r="AA96" i="1"/>
  <c r="X93" i="1"/>
  <c r="AA89" i="1"/>
  <c r="AA83" i="1"/>
  <c r="X78" i="1"/>
  <c r="AA63" i="1"/>
  <c r="W63" i="1" s="1"/>
  <c r="AA36" i="1"/>
  <c r="X33" i="1"/>
  <c r="AA27" i="1"/>
  <c r="AA25" i="1"/>
  <c r="X22" i="1"/>
  <c r="X21" i="1"/>
  <c r="T147" i="1"/>
  <c r="AA145" i="1"/>
  <c r="W145" i="1" s="1"/>
  <c r="T140" i="1"/>
  <c r="AA136" i="1"/>
  <c r="X134" i="1"/>
  <c r="AA108" i="1"/>
  <c r="W108" i="1" s="1"/>
  <c r="X54" i="1"/>
  <c r="AA52" i="1"/>
  <c r="AA32" i="1"/>
  <c r="AA18" i="1"/>
  <c r="AA203" i="1"/>
  <c r="AA200" i="1"/>
  <c r="AA189" i="1"/>
  <c r="AA185" i="1"/>
  <c r="AA183" i="1"/>
  <c r="AA177" i="1"/>
  <c r="AA173" i="1"/>
  <c r="AA166" i="1"/>
  <c r="AA165" i="1"/>
  <c r="AA219" i="1"/>
  <c r="AA209" i="1"/>
  <c r="AA154" i="1"/>
  <c r="X115" i="1"/>
  <c r="X110" i="1"/>
  <c r="T102" i="1"/>
  <c r="X100" i="1"/>
  <c r="AA86" i="1"/>
  <c r="AA71" i="1"/>
  <c r="X41" i="1"/>
  <c r="AA28" i="1"/>
  <c r="T22" i="1"/>
  <c r="AA21" i="1"/>
  <c r="AA226" i="1"/>
  <c r="AA179" i="1"/>
  <c r="W179" i="1" s="1"/>
  <c r="X154" i="1"/>
  <c r="AA141" i="1"/>
  <c r="T127" i="1"/>
  <c r="U127" i="1" s="1"/>
  <c r="S127" i="1" s="1"/>
  <c r="X124" i="1"/>
  <c r="X123" i="1"/>
  <c r="T105" i="1"/>
  <c r="X97" i="1"/>
  <c r="AA56" i="1"/>
  <c r="AA54" i="1"/>
  <c r="AA53" i="1"/>
  <c r="X50" i="1"/>
  <c r="AA40" i="1"/>
  <c r="X37" i="1"/>
  <c r="X26" i="1"/>
  <c r="X224" i="1"/>
  <c r="T224" i="1"/>
  <c r="X199" i="1"/>
  <c r="T183" i="1"/>
  <c r="X183" i="1"/>
  <c r="T200" i="1"/>
  <c r="X200" i="1"/>
  <c r="T179" i="1"/>
  <c r="X179" i="1"/>
  <c r="T178" i="1"/>
  <c r="T169" i="1"/>
  <c r="U169" i="1" s="1"/>
  <c r="S169" i="1" s="1"/>
  <c r="X170" i="1"/>
  <c r="T190" i="1"/>
  <c r="U190" i="1" s="1"/>
  <c r="S190" i="1" s="1"/>
  <c r="T175" i="1"/>
  <c r="X175" i="1"/>
  <c r="T174" i="1"/>
  <c r="U174" i="1" s="1"/>
  <c r="S174" i="1" s="1"/>
  <c r="X203" i="1"/>
  <c r="AA197" i="1"/>
  <c r="AA196" i="1"/>
  <c r="T195" i="1"/>
  <c r="U195" i="1" s="1"/>
  <c r="S195" i="1" s="1"/>
  <c r="AA187" i="1"/>
  <c r="T186" i="1"/>
  <c r="AA184" i="1"/>
  <c r="AA180" i="1"/>
  <c r="T167" i="1"/>
  <c r="U167" i="1" s="1"/>
  <c r="S167" i="1" s="1"/>
  <c r="AA163" i="1"/>
  <c r="T162" i="1"/>
  <c r="AA160" i="1"/>
  <c r="AA159" i="1"/>
  <c r="W159" i="1" s="1"/>
  <c r="T158" i="1"/>
  <c r="U158" i="1" s="1"/>
  <c r="S158" i="1" s="1"/>
  <c r="AA255" i="1"/>
  <c r="AA254" i="1"/>
  <c r="T253" i="1"/>
  <c r="U253" i="1" s="1"/>
  <c r="S253" i="1" s="1"/>
  <c r="AA251" i="1"/>
  <c r="AA250" i="1"/>
  <c r="T249" i="1"/>
  <c r="AA247" i="1"/>
  <c r="W247" i="1" s="1"/>
  <c r="AA246" i="1"/>
  <c r="T245" i="1"/>
  <c r="AA243" i="1"/>
  <c r="AA242" i="1"/>
  <c r="W242" i="1" s="1"/>
  <c r="T241" i="1"/>
  <c r="U241" i="1" s="1"/>
  <c r="S241" i="1" s="1"/>
  <c r="AA239" i="1"/>
  <c r="AA238" i="1"/>
  <c r="T237" i="1"/>
  <c r="U237" i="1" s="1"/>
  <c r="S237" i="1" s="1"/>
  <c r="AA235" i="1"/>
  <c r="AA234" i="1"/>
  <c r="T233" i="1"/>
  <c r="AA231" i="1"/>
  <c r="W231" i="1" s="1"/>
  <c r="AA230" i="1"/>
  <c r="T229" i="1"/>
  <c r="X219" i="1"/>
  <c r="X120" i="1"/>
  <c r="AA120" i="1"/>
  <c r="X218" i="1"/>
  <c r="AA130" i="1"/>
  <c r="AA127" i="1"/>
  <c r="W127" i="1" s="1"/>
  <c r="AA123" i="1"/>
  <c r="T117" i="1"/>
  <c r="T116" i="1"/>
  <c r="AA221" i="1"/>
  <c r="AA220" i="1"/>
  <c r="AA194" i="1"/>
  <c r="AA191" i="1"/>
  <c r="AA171" i="1"/>
  <c r="AA168" i="1"/>
  <c r="AA216" i="1"/>
  <c r="AA214" i="1"/>
  <c r="AA210" i="1"/>
  <c r="W210" i="1" s="1"/>
  <c r="AA206" i="1"/>
  <c r="AA155" i="1"/>
  <c r="AA151" i="1"/>
  <c r="AA147" i="1"/>
  <c r="W147" i="1" s="1"/>
  <c r="AA144" i="1"/>
  <c r="AA140" i="1"/>
  <c r="AA131" i="1"/>
  <c r="AA128" i="1"/>
  <c r="T120" i="1"/>
  <c r="AA117" i="1"/>
  <c r="X109" i="1"/>
  <c r="T108" i="1"/>
  <c r="U108" i="1" s="1"/>
  <c r="S108" i="1" s="1"/>
  <c r="X106" i="1"/>
  <c r="T106" i="1"/>
  <c r="X90" i="1"/>
  <c r="T90" i="1"/>
  <c r="X89" i="1"/>
  <c r="AA122" i="1"/>
  <c r="AA111" i="1"/>
  <c r="AA106" i="1"/>
  <c r="W106" i="1" s="1"/>
  <c r="X101" i="1"/>
  <c r="AA90" i="1"/>
  <c r="AA88" i="1"/>
  <c r="X77" i="1"/>
  <c r="AA74" i="1"/>
  <c r="T74" i="1"/>
  <c r="X69" i="1"/>
  <c r="AA66" i="1"/>
  <c r="W66" i="1" s="1"/>
  <c r="T66" i="1"/>
  <c r="X61" i="1"/>
  <c r="AA58" i="1"/>
  <c r="T58" i="1"/>
  <c r="AA51" i="1"/>
  <c r="AA47" i="1"/>
  <c r="T26" i="1"/>
  <c r="AA23" i="1"/>
  <c r="W23" i="1" s="1"/>
  <c r="X17" i="1"/>
  <c r="T25" i="1"/>
  <c r="X108" i="1"/>
  <c r="X85" i="1"/>
  <c r="AA79" i="1"/>
  <c r="X73" i="1"/>
  <c r="X65" i="1"/>
  <c r="X57" i="1"/>
  <c r="X53" i="1"/>
  <c r="X49" i="1"/>
  <c r="AA121" i="1"/>
  <c r="X119" i="1"/>
  <c r="AA114" i="1"/>
  <c r="AA110" i="1"/>
  <c r="X104" i="1"/>
  <c r="AA99" i="1"/>
  <c r="W99" i="1" s="1"/>
  <c r="AA95" i="1"/>
  <c r="AA92" i="1"/>
  <c r="AA91" i="1"/>
  <c r="X81" i="1"/>
  <c r="AA78" i="1"/>
  <c r="AA76" i="1"/>
  <c r="AA75" i="1"/>
  <c r="AA68" i="1"/>
  <c r="W68" i="1" s="1"/>
  <c r="AA67" i="1"/>
  <c r="AA60" i="1"/>
  <c r="AA59" i="1"/>
  <c r="AA50" i="1"/>
  <c r="W50" i="1" s="1"/>
  <c r="AA46" i="1"/>
  <c r="AA43" i="1"/>
  <c r="AA42" i="1"/>
  <c r="AA39" i="1"/>
  <c r="AA38" i="1"/>
  <c r="AA35" i="1"/>
  <c r="AA34" i="1"/>
  <c r="AA31" i="1"/>
  <c r="W31" i="1" s="1"/>
  <c r="AA30" i="1"/>
  <c r="AA22" i="1"/>
  <c r="AA19" i="1"/>
  <c r="AI253" i="1"/>
  <c r="U224" i="1"/>
  <c r="S224" i="1" s="1"/>
  <c r="AI250" i="1"/>
  <c r="U221" i="1"/>
  <c r="S221" i="1" s="1"/>
  <c r="AI246" i="1"/>
  <c r="U201" i="1"/>
  <c r="S201" i="1" s="1"/>
  <c r="AI242" i="1"/>
  <c r="U197" i="1"/>
  <c r="S197" i="1" s="1"/>
  <c r="AI239" i="1"/>
  <c r="U194" i="1"/>
  <c r="S194" i="1" s="1"/>
  <c r="AI249" i="1"/>
  <c r="AI245" i="1"/>
  <c r="U200" i="1"/>
  <c r="S200" i="1" s="1"/>
  <c r="AI251" i="1"/>
  <c r="U222" i="1"/>
  <c r="S222" i="1" s="1"/>
  <c r="AI247" i="1"/>
  <c r="U202" i="1"/>
  <c r="S202" i="1" s="1"/>
  <c r="U198" i="1"/>
  <c r="S198" i="1" s="1"/>
  <c r="AI243" i="1"/>
  <c r="U196" i="1"/>
  <c r="S196" i="1" s="1"/>
  <c r="AI241" i="1"/>
  <c r="AI254" i="1"/>
  <c r="U225" i="1"/>
  <c r="S225" i="1" s="1"/>
  <c r="U226" i="1"/>
  <c r="S226" i="1" s="1"/>
  <c r="AI255" i="1"/>
  <c r="U223" i="1"/>
  <c r="S223" i="1" s="1"/>
  <c r="AI252" i="1"/>
  <c r="U203" i="1"/>
  <c r="S203" i="1" s="1"/>
  <c r="AI248" i="1"/>
  <c r="U199" i="1"/>
  <c r="S199" i="1" s="1"/>
  <c r="AI244" i="1"/>
  <c r="AI240" i="1"/>
  <c r="U192" i="1"/>
  <c r="S192" i="1" s="1"/>
  <c r="AI237" i="1"/>
  <c r="AI233" i="1"/>
  <c r="U188" i="1"/>
  <c r="S188" i="1" s="1"/>
  <c r="AI229" i="1"/>
  <c r="U185" i="1"/>
  <c r="S185" i="1" s="1"/>
  <c r="AI225" i="1"/>
  <c r="U181" i="1"/>
  <c r="S181" i="1" s="1"/>
  <c r="AI221" i="1"/>
  <c r="U177" i="1"/>
  <c r="S177" i="1" s="1"/>
  <c r="AI217" i="1"/>
  <c r="U173" i="1"/>
  <c r="S173" i="1" s="1"/>
  <c r="AI213" i="1"/>
  <c r="AI209" i="1"/>
  <c r="U165" i="1"/>
  <c r="S165" i="1" s="1"/>
  <c r="AI205" i="1"/>
  <c r="U161" i="1"/>
  <c r="S161" i="1" s="1"/>
  <c r="AI201" i="1"/>
  <c r="U157" i="1"/>
  <c r="S157" i="1" s="1"/>
  <c r="AI197" i="1"/>
  <c r="U252" i="1"/>
  <c r="S252" i="1" s="1"/>
  <c r="AI193" i="1"/>
  <c r="U248" i="1"/>
  <c r="S248" i="1" s="1"/>
  <c r="AI189" i="1"/>
  <c r="U244" i="1"/>
  <c r="S244" i="1" s="1"/>
  <c r="AI186" i="1"/>
  <c r="U240" i="1"/>
  <c r="S240" i="1" s="1"/>
  <c r="AI182" i="1"/>
  <c r="U236" i="1"/>
  <c r="S236" i="1" s="1"/>
  <c r="AI178" i="1"/>
  <c r="U232" i="1"/>
  <c r="S232" i="1" s="1"/>
  <c r="AI174" i="1"/>
  <c r="U228" i="1"/>
  <c r="S228" i="1" s="1"/>
  <c r="AI170" i="1"/>
  <c r="U217" i="1"/>
  <c r="S217" i="1" s="1"/>
  <c r="U193" i="1"/>
  <c r="S193" i="1" s="1"/>
  <c r="AI238" i="1"/>
  <c r="AI234" i="1"/>
  <c r="U189" i="1"/>
  <c r="S189" i="1" s="1"/>
  <c r="AI230" i="1"/>
  <c r="U186" i="1"/>
  <c r="S186" i="1" s="1"/>
  <c r="AI226" i="1"/>
  <c r="U182" i="1"/>
  <c r="S182" i="1" s="1"/>
  <c r="AI222" i="1"/>
  <c r="U178" i="1"/>
  <c r="S178" i="1" s="1"/>
  <c r="AI218" i="1"/>
  <c r="AI214" i="1"/>
  <c r="U170" i="1"/>
  <c r="S170" i="1" s="1"/>
  <c r="AI210" i="1"/>
  <c r="U166" i="1"/>
  <c r="S166" i="1" s="1"/>
  <c r="AI206" i="1"/>
  <c r="U162" i="1"/>
  <c r="S162" i="1" s="1"/>
  <c r="AI202" i="1"/>
  <c r="AI198" i="1"/>
  <c r="AI194" i="1"/>
  <c r="U249" i="1"/>
  <c r="S249" i="1" s="1"/>
  <c r="AI190" i="1"/>
  <c r="U245" i="1"/>
  <c r="S245" i="1" s="1"/>
  <c r="AI187" i="1"/>
  <c r="AI183" i="1"/>
  <c r="AI179" i="1"/>
  <c r="U233" i="1"/>
  <c r="S233" i="1" s="1"/>
  <c r="AI175" i="1"/>
  <c r="U229" i="1"/>
  <c r="S229" i="1" s="1"/>
  <c r="AI171" i="1"/>
  <c r="U218" i="1"/>
  <c r="S218" i="1" s="1"/>
  <c r="AI235" i="1"/>
  <c r="U187" i="1"/>
  <c r="S187" i="1" s="1"/>
  <c r="AI231" i="1"/>
  <c r="U183" i="1"/>
  <c r="S183" i="1" s="1"/>
  <c r="AI227" i="1"/>
  <c r="U179" i="1"/>
  <c r="S179" i="1" s="1"/>
  <c r="AI223" i="1"/>
  <c r="U175" i="1"/>
  <c r="S175" i="1" s="1"/>
  <c r="AI219" i="1"/>
  <c r="U171" i="1"/>
  <c r="S171" i="1" s="1"/>
  <c r="AI215" i="1"/>
  <c r="AI211" i="1"/>
  <c r="U163" i="1"/>
  <c r="S163" i="1" s="1"/>
  <c r="AI207" i="1"/>
  <c r="U159" i="1"/>
  <c r="S159" i="1" s="1"/>
  <c r="AI203" i="1"/>
  <c r="U254" i="1"/>
  <c r="S254" i="1" s="1"/>
  <c r="AI199" i="1"/>
  <c r="U250" i="1"/>
  <c r="S250" i="1" s="1"/>
  <c r="AI195" i="1"/>
  <c r="U246" i="1"/>
  <c r="S246" i="1" s="1"/>
  <c r="AI191" i="1"/>
  <c r="U242" i="1"/>
  <c r="S242" i="1" s="1"/>
  <c r="U238" i="1"/>
  <c r="S238" i="1" s="1"/>
  <c r="AI184" i="1"/>
  <c r="U234" i="1"/>
  <c r="S234" i="1" s="1"/>
  <c r="AI180" i="1"/>
  <c r="U230" i="1"/>
  <c r="S230" i="1" s="1"/>
  <c r="AI176" i="1"/>
  <c r="U219" i="1"/>
  <c r="S219" i="1" s="1"/>
  <c r="AI172" i="1"/>
  <c r="U215" i="1"/>
  <c r="S215" i="1" s="1"/>
  <c r="AI168" i="1"/>
  <c r="U214" i="1"/>
  <c r="S214" i="1" s="1"/>
  <c r="AI167" i="1"/>
  <c r="U191" i="1"/>
  <c r="S191" i="1" s="1"/>
  <c r="AI236" i="1"/>
  <c r="AI232" i="1"/>
  <c r="U184" i="1"/>
  <c r="S184" i="1" s="1"/>
  <c r="AI228" i="1"/>
  <c r="U180" i="1"/>
  <c r="S180" i="1" s="1"/>
  <c r="AI224" i="1"/>
  <c r="U176" i="1"/>
  <c r="S176" i="1" s="1"/>
  <c r="AI220" i="1"/>
  <c r="U172" i="1"/>
  <c r="S172" i="1" s="1"/>
  <c r="AI216" i="1"/>
  <c r="U168" i="1"/>
  <c r="S168" i="1" s="1"/>
  <c r="AI212" i="1"/>
  <c r="U164" i="1"/>
  <c r="S164" i="1" s="1"/>
  <c r="AI208" i="1"/>
  <c r="U160" i="1"/>
  <c r="S160" i="1" s="1"/>
  <c r="AI204" i="1"/>
  <c r="U255" i="1"/>
  <c r="S255" i="1" s="1"/>
  <c r="AI200" i="1"/>
  <c r="U251" i="1"/>
  <c r="S251" i="1" s="1"/>
  <c r="AI196" i="1"/>
  <c r="U247" i="1"/>
  <c r="S247" i="1" s="1"/>
  <c r="AI192" i="1"/>
  <c r="U243" i="1"/>
  <c r="S243" i="1" s="1"/>
  <c r="AI188" i="1"/>
  <c r="U239" i="1"/>
  <c r="S239" i="1" s="1"/>
  <c r="AI185" i="1"/>
  <c r="U235" i="1"/>
  <c r="S235" i="1" s="1"/>
  <c r="AI181" i="1"/>
  <c r="U231" i="1"/>
  <c r="S231" i="1" s="1"/>
  <c r="AI177" i="1"/>
  <c r="U227" i="1"/>
  <c r="S227" i="1" s="1"/>
  <c r="AI173" i="1"/>
  <c r="U216" i="1"/>
  <c r="S216" i="1" s="1"/>
  <c r="AI169" i="1"/>
  <c r="AI164" i="1"/>
  <c r="U211" i="1"/>
  <c r="S211" i="1" s="1"/>
  <c r="AI160" i="1"/>
  <c r="U207" i="1"/>
  <c r="S207" i="1" s="1"/>
  <c r="AI156" i="1"/>
  <c r="U156" i="1"/>
  <c r="S156" i="1" s="1"/>
  <c r="AI152" i="1"/>
  <c r="U152" i="1"/>
  <c r="S152" i="1" s="1"/>
  <c r="AI148" i="1"/>
  <c r="U148" i="1"/>
  <c r="S148" i="1" s="1"/>
  <c r="AI145" i="1"/>
  <c r="U145" i="1"/>
  <c r="S145" i="1" s="1"/>
  <c r="AI141" i="1"/>
  <c r="U141" i="1"/>
  <c r="S141" i="1" s="1"/>
  <c r="AI136" i="1"/>
  <c r="U136" i="1"/>
  <c r="S136" i="1" s="1"/>
  <c r="AI131" i="1"/>
  <c r="U131" i="1"/>
  <c r="S131" i="1" s="1"/>
  <c r="U212" i="1"/>
  <c r="S212" i="1" s="1"/>
  <c r="AI165" i="1"/>
  <c r="AI161" i="1"/>
  <c r="U208" i="1"/>
  <c r="S208" i="1" s="1"/>
  <c r="AI157" i="1"/>
  <c r="U204" i="1"/>
  <c r="S204" i="1" s="1"/>
  <c r="AI153" i="1"/>
  <c r="U153" i="1"/>
  <c r="S153" i="1" s="1"/>
  <c r="AI149" i="1"/>
  <c r="U149" i="1"/>
  <c r="S149" i="1" s="1"/>
  <c r="AI146" i="1"/>
  <c r="U146" i="1"/>
  <c r="S146" i="1" s="1"/>
  <c r="AI142" i="1"/>
  <c r="U142" i="1"/>
  <c r="S142" i="1" s="1"/>
  <c r="AI138" i="1"/>
  <c r="U138" i="1"/>
  <c r="S138" i="1" s="1"/>
  <c r="AI132" i="1"/>
  <c r="U132" i="1"/>
  <c r="S132" i="1" s="1"/>
  <c r="AI128" i="1"/>
  <c r="U128" i="1"/>
  <c r="S128" i="1" s="1"/>
  <c r="AI126" i="1"/>
  <c r="AI125" i="1"/>
  <c r="U213" i="1"/>
  <c r="S213" i="1" s="1"/>
  <c r="AI166" i="1"/>
  <c r="U209" i="1"/>
  <c r="S209" i="1" s="1"/>
  <c r="AI162" i="1"/>
  <c r="U205" i="1"/>
  <c r="S205" i="1" s="1"/>
  <c r="AI158" i="1"/>
  <c r="U154" i="1"/>
  <c r="S154" i="1" s="1"/>
  <c r="AI154" i="1"/>
  <c r="U150" i="1"/>
  <c r="S150" i="1" s="1"/>
  <c r="AI150" i="1"/>
  <c r="U143" i="1"/>
  <c r="S143" i="1" s="1"/>
  <c r="AI143" i="1"/>
  <c r="U139" i="1"/>
  <c r="S139" i="1" s="1"/>
  <c r="AI139" i="1"/>
  <c r="U133" i="1"/>
  <c r="S133" i="1" s="1"/>
  <c r="AI133" i="1"/>
  <c r="U129" i="1"/>
  <c r="S129" i="1" s="1"/>
  <c r="AI129" i="1"/>
  <c r="U210" i="1"/>
  <c r="S210" i="1" s="1"/>
  <c r="AI163" i="1"/>
  <c r="U206" i="1"/>
  <c r="S206" i="1" s="1"/>
  <c r="AI159" i="1"/>
  <c r="U155" i="1"/>
  <c r="S155" i="1" s="1"/>
  <c r="AI155" i="1"/>
  <c r="U151" i="1"/>
  <c r="S151" i="1" s="1"/>
  <c r="AI151" i="1"/>
  <c r="U147" i="1"/>
  <c r="S147" i="1" s="1"/>
  <c r="AI147" i="1"/>
  <c r="U144" i="1"/>
  <c r="S144" i="1" s="1"/>
  <c r="AI144" i="1"/>
  <c r="U140" i="1"/>
  <c r="S140" i="1" s="1"/>
  <c r="AI140" i="1"/>
  <c r="U134" i="1"/>
  <c r="S134" i="1" s="1"/>
  <c r="AI134" i="1"/>
  <c r="U130" i="1"/>
  <c r="S130" i="1" s="1"/>
  <c r="AI130" i="1"/>
  <c r="AI121" i="1"/>
  <c r="U121" i="1"/>
  <c r="S121" i="1" s="1"/>
  <c r="AI117" i="1"/>
  <c r="U117" i="1"/>
  <c r="S117" i="1" s="1"/>
  <c r="AI113" i="1"/>
  <c r="U113" i="1"/>
  <c r="S113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U91" i="1"/>
  <c r="S91" i="1" s="1"/>
  <c r="AI91" i="1"/>
  <c r="AI122" i="1"/>
  <c r="AI118" i="1"/>
  <c r="AI114" i="1"/>
  <c r="AI111" i="1"/>
  <c r="AI107" i="1"/>
  <c r="AI103" i="1"/>
  <c r="AI99" i="1"/>
  <c r="AI95" i="1"/>
  <c r="U95" i="1"/>
  <c r="S95" i="1" s="1"/>
  <c r="AI127" i="1"/>
  <c r="U123" i="1"/>
  <c r="S123" i="1" s="1"/>
  <c r="AI123" i="1"/>
  <c r="U119" i="1"/>
  <c r="S119" i="1" s="1"/>
  <c r="AI119" i="1"/>
  <c r="U115" i="1"/>
  <c r="S115" i="1" s="1"/>
  <c r="AI115" i="1"/>
  <c r="AI108" i="1"/>
  <c r="U104" i="1"/>
  <c r="S104" i="1" s="1"/>
  <c r="AI104" i="1"/>
  <c r="U100" i="1"/>
  <c r="S100" i="1" s="1"/>
  <c r="AI100" i="1"/>
  <c r="U96" i="1"/>
  <c r="S96" i="1" s="1"/>
  <c r="AI96" i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U53" i="1"/>
  <c r="S53" i="1" s="1"/>
  <c r="AI53" i="1"/>
  <c r="AI90" i="1"/>
  <c r="U90" i="1"/>
  <c r="S90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92" i="1"/>
  <c r="AI88" i="1"/>
  <c r="AI84" i="1"/>
  <c r="AI80" i="1"/>
  <c r="AI76" i="1"/>
  <c r="AI72" i="1"/>
  <c r="AI68" i="1"/>
  <c r="AI64" i="1"/>
  <c r="AI60" i="1"/>
  <c r="AI56" i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U25" i="1"/>
  <c r="S25" i="1" s="1"/>
  <c r="AI25" i="1"/>
  <c r="U21" i="1"/>
  <c r="S21" i="1" s="1"/>
  <c r="AI21" i="1"/>
  <c r="U17" i="1"/>
  <c r="S17" i="1" s="1"/>
  <c r="AI17" i="1"/>
  <c r="W223" i="1"/>
  <c r="W197" i="1"/>
  <c r="W225" i="1"/>
  <c r="W203" i="1"/>
  <c r="W222" i="1"/>
  <c r="W221" i="1"/>
  <c r="W220" i="1"/>
  <c r="W199" i="1"/>
  <c r="W194" i="1"/>
  <c r="W198" i="1"/>
  <c r="W196" i="1"/>
  <c r="W226" i="1"/>
  <c r="W224" i="1"/>
  <c r="W202" i="1"/>
  <c r="W200" i="1"/>
  <c r="W187" i="1"/>
  <c r="W180" i="1"/>
  <c r="W177" i="1"/>
  <c r="W161" i="1"/>
  <c r="W255" i="1"/>
  <c r="W244" i="1"/>
  <c r="W190" i="1"/>
  <c r="W185" i="1"/>
  <c r="W167" i="1"/>
  <c r="W165" i="1"/>
  <c r="W164" i="1"/>
  <c r="W213" i="1"/>
  <c r="W184" i="1"/>
  <c r="W173" i="1"/>
  <c r="W166" i="1"/>
  <c r="W160" i="1"/>
  <c r="W254" i="1"/>
  <c r="W251" i="1"/>
  <c r="W248" i="1"/>
  <c r="W243" i="1"/>
  <c r="W239" i="1"/>
  <c r="W234" i="1"/>
  <c r="W232" i="1"/>
  <c r="X225" i="1"/>
  <c r="X221" i="1"/>
  <c r="X201" i="1"/>
  <c r="X197" i="1"/>
  <c r="W191" i="1"/>
  <c r="W188" i="1"/>
  <c r="W182" i="1"/>
  <c r="W178" i="1"/>
  <c r="W174" i="1"/>
  <c r="W171" i="1"/>
  <c r="W169" i="1"/>
  <c r="W168" i="1"/>
  <c r="W216" i="1"/>
  <c r="W193" i="1"/>
  <c r="W189" i="1"/>
  <c r="W181" i="1"/>
  <c r="W163" i="1"/>
  <c r="W157" i="1"/>
  <c r="W250" i="1"/>
  <c r="W246" i="1"/>
  <c r="W240" i="1"/>
  <c r="W238" i="1"/>
  <c r="W235" i="1"/>
  <c r="W230" i="1"/>
  <c r="W228" i="1"/>
  <c r="X226" i="1"/>
  <c r="X222" i="1"/>
  <c r="X202" i="1"/>
  <c r="X198" i="1"/>
  <c r="W192" i="1"/>
  <c r="W186" i="1"/>
  <c r="W183" i="1"/>
  <c r="W176" i="1"/>
  <c r="W162" i="1"/>
  <c r="W158" i="1"/>
  <c r="W249" i="1"/>
  <c r="W245" i="1"/>
  <c r="W241" i="1"/>
  <c r="W233" i="1"/>
  <c r="W229" i="1"/>
  <c r="W227" i="1"/>
  <c r="W219" i="1"/>
  <c r="X184" i="1"/>
  <c r="X180" i="1"/>
  <c r="X176" i="1"/>
  <c r="X172" i="1"/>
  <c r="X168" i="1"/>
  <c r="X164" i="1"/>
  <c r="X160" i="1"/>
  <c r="X255" i="1"/>
  <c r="X251" i="1"/>
  <c r="X247" i="1"/>
  <c r="X243" i="1"/>
  <c r="X239" i="1"/>
  <c r="X235" i="1"/>
  <c r="X231" i="1"/>
  <c r="X227" i="1"/>
  <c r="X216" i="1"/>
  <c r="W215" i="1"/>
  <c r="W129" i="1"/>
  <c r="X185" i="1"/>
  <c r="X181" i="1"/>
  <c r="X177" i="1"/>
  <c r="X173" i="1"/>
  <c r="X169" i="1"/>
  <c r="X165" i="1"/>
  <c r="X161" i="1"/>
  <c r="X157" i="1"/>
  <c r="X252" i="1"/>
  <c r="X248" i="1"/>
  <c r="X244" i="1"/>
  <c r="X240" i="1"/>
  <c r="X236" i="1"/>
  <c r="X232" i="1"/>
  <c r="X228" i="1"/>
  <c r="X217" i="1"/>
  <c r="W214" i="1"/>
  <c r="W209" i="1"/>
  <c r="W205" i="1"/>
  <c r="W154" i="1"/>
  <c r="W139" i="1"/>
  <c r="W133" i="1"/>
  <c r="W130" i="1"/>
  <c r="W206" i="1"/>
  <c r="W155" i="1"/>
  <c r="W151" i="1"/>
  <c r="W144" i="1"/>
  <c r="W140" i="1"/>
  <c r="W134" i="1"/>
  <c r="W131" i="1"/>
  <c r="W128" i="1"/>
  <c r="W126" i="1"/>
  <c r="W212" i="1"/>
  <c r="W211" i="1"/>
  <c r="W208" i="1"/>
  <c r="W204" i="1"/>
  <c r="W156" i="1"/>
  <c r="W153" i="1"/>
  <c r="W152" i="1"/>
  <c r="W149" i="1"/>
  <c r="W148" i="1"/>
  <c r="W146" i="1"/>
  <c r="W142" i="1"/>
  <c r="W141" i="1"/>
  <c r="W138" i="1"/>
  <c r="W136" i="1"/>
  <c r="W132" i="1"/>
  <c r="T126" i="1"/>
  <c r="U126" i="1" s="1"/>
  <c r="S126" i="1" s="1"/>
  <c r="X126" i="1"/>
  <c r="T125" i="1"/>
  <c r="U125" i="1" s="1"/>
  <c r="S125" i="1" s="1"/>
  <c r="X125" i="1"/>
  <c r="W122" i="1"/>
  <c r="W111" i="1"/>
  <c r="W105" i="1"/>
  <c r="X211" i="1"/>
  <c r="X207" i="1"/>
  <c r="X156" i="1"/>
  <c r="X152" i="1"/>
  <c r="X145" i="1"/>
  <c r="X141" i="1"/>
  <c r="X131" i="1"/>
  <c r="W119" i="1"/>
  <c r="W117" i="1"/>
  <c r="W116" i="1"/>
  <c r="W107" i="1"/>
  <c r="W104" i="1"/>
  <c r="W102" i="1"/>
  <c r="W101" i="1"/>
  <c r="X212" i="1"/>
  <c r="X208" i="1"/>
  <c r="X204" i="1"/>
  <c r="X153" i="1"/>
  <c r="X146" i="1"/>
  <c r="X142" i="1"/>
  <c r="X132" i="1"/>
  <c r="X128" i="1"/>
  <c r="W120" i="1"/>
  <c r="W115" i="1"/>
  <c r="W112" i="1"/>
  <c r="W103" i="1"/>
  <c r="W100" i="1"/>
  <c r="W98" i="1"/>
  <c r="W97" i="1"/>
  <c r="W94" i="1"/>
  <c r="W93" i="1"/>
  <c r="W125" i="1"/>
  <c r="W124" i="1"/>
  <c r="W123" i="1"/>
  <c r="W121" i="1"/>
  <c r="W114" i="1"/>
  <c r="W110" i="1"/>
  <c r="W109" i="1"/>
  <c r="W96" i="1"/>
  <c r="W95" i="1"/>
  <c r="W90" i="1"/>
  <c r="W89" i="1"/>
  <c r="W88" i="1"/>
  <c r="W87" i="1"/>
  <c r="W74" i="1"/>
  <c r="W58" i="1"/>
  <c r="W52" i="1"/>
  <c r="X121" i="1"/>
  <c r="W86" i="1"/>
  <c r="W85" i="1"/>
  <c r="W84" i="1"/>
  <c r="W83" i="1"/>
  <c r="W73" i="1"/>
  <c r="W71" i="1"/>
  <c r="W65" i="1"/>
  <c r="W57" i="1"/>
  <c r="W56" i="1"/>
  <c r="W55" i="1"/>
  <c r="X122" i="1"/>
  <c r="T122" i="1"/>
  <c r="U122" i="1" s="1"/>
  <c r="S122" i="1" s="1"/>
  <c r="X118" i="1"/>
  <c r="T118" i="1"/>
  <c r="U118" i="1" s="1"/>
  <c r="S118" i="1" s="1"/>
  <c r="T114" i="1"/>
  <c r="U114" i="1" s="1"/>
  <c r="S114" i="1" s="1"/>
  <c r="T111" i="1"/>
  <c r="U111" i="1" s="1"/>
  <c r="S111" i="1" s="1"/>
  <c r="X107" i="1"/>
  <c r="T107" i="1"/>
  <c r="U107" i="1" s="1"/>
  <c r="S107" i="1" s="1"/>
  <c r="X103" i="1"/>
  <c r="T103" i="1"/>
  <c r="U103" i="1" s="1"/>
  <c r="S103" i="1" s="1"/>
  <c r="X99" i="1"/>
  <c r="T99" i="1"/>
  <c r="U99" i="1" s="1"/>
  <c r="S99" i="1" s="1"/>
  <c r="X95" i="1"/>
  <c r="W92" i="1"/>
  <c r="W82" i="1"/>
  <c r="W79" i="1"/>
  <c r="W70" i="1"/>
  <c r="W62" i="1"/>
  <c r="W54" i="1"/>
  <c r="X96" i="1"/>
  <c r="T92" i="1"/>
  <c r="U92" i="1" s="1"/>
  <c r="S92" i="1" s="1"/>
  <c r="X92" i="1"/>
  <c r="W91" i="1"/>
  <c r="W78" i="1"/>
  <c r="W77" i="1"/>
  <c r="W76" i="1"/>
  <c r="W75" i="1"/>
  <c r="W69" i="1"/>
  <c r="W67" i="1"/>
  <c r="W61" i="1"/>
  <c r="W60" i="1"/>
  <c r="W59" i="1"/>
  <c r="W53" i="1"/>
  <c r="X88" i="1"/>
  <c r="T88" i="1"/>
  <c r="U88" i="1" s="1"/>
  <c r="S88" i="1" s="1"/>
  <c r="X84" i="1"/>
  <c r="T84" i="1"/>
  <c r="U84" i="1" s="1"/>
  <c r="S84" i="1" s="1"/>
  <c r="X80" i="1"/>
  <c r="T80" i="1"/>
  <c r="U80" i="1" s="1"/>
  <c r="S80" i="1" s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W51" i="1"/>
  <c r="W47" i="1"/>
  <c r="W25" i="1"/>
  <c r="W24" i="1"/>
  <c r="W18" i="1"/>
  <c r="W17" i="1"/>
  <c r="W45" i="1"/>
  <c r="W41" i="1"/>
  <c r="W37" i="1"/>
  <c r="W33" i="1"/>
  <c r="W29" i="1"/>
  <c r="W27" i="1"/>
  <c r="W21" i="1"/>
  <c r="W16" i="1"/>
  <c r="W15" i="1"/>
  <c r="X91" i="1"/>
  <c r="X87" i="1"/>
  <c r="X83" i="1"/>
  <c r="X79" i="1"/>
  <c r="X75" i="1"/>
  <c r="X71" i="1"/>
  <c r="X67" i="1"/>
  <c r="X63" i="1"/>
  <c r="X59" i="1"/>
  <c r="X55" i="1"/>
  <c r="W49" i="1"/>
  <c r="W46" i="1"/>
  <c r="W44" i="1"/>
  <c r="W43" i="1"/>
  <c r="W42" i="1"/>
  <c r="W40" i="1"/>
  <c r="W39" i="1"/>
  <c r="W38" i="1"/>
  <c r="W36" i="1"/>
  <c r="W35" i="1"/>
  <c r="W34" i="1"/>
  <c r="W32" i="1"/>
  <c r="W30" i="1"/>
  <c r="W28" i="1"/>
  <c r="W22" i="1"/>
  <c r="W19" i="1"/>
  <c r="X51" i="1"/>
  <c r="X47" i="1"/>
  <c r="X43" i="1"/>
  <c r="X39" i="1"/>
  <c r="X35" i="1"/>
  <c r="X31" i="1"/>
  <c r="X27" i="1"/>
  <c r="X23" i="1"/>
  <c r="X19" i="1"/>
  <c r="X52" i="1"/>
  <c r="X48" i="1"/>
  <c r="X44" i="1"/>
  <c r="X40" i="1"/>
  <c r="X36" i="1"/>
  <c r="X32" i="1"/>
  <c r="X28" i="1"/>
  <c r="X24" i="1"/>
  <c r="X20" i="1"/>
  <c r="X16" i="1"/>
  <c r="AC24" i="3"/>
  <c r="T24" i="3"/>
  <c r="AE19" i="3"/>
  <c r="AD52" i="3"/>
  <c r="AE50" i="3"/>
  <c r="AD41" i="3"/>
  <c r="AD31" i="3"/>
  <c r="AE27" i="3"/>
  <c r="AC16" i="3"/>
  <c r="AE24" i="3"/>
  <c r="AC23" i="3"/>
  <c r="AE20" i="3"/>
  <c r="AC52" i="3"/>
  <c r="AE16" i="3"/>
  <c r="AD13" i="3"/>
  <c r="AE12" i="3"/>
  <c r="AE53" i="3"/>
  <c r="AD45" i="3"/>
  <c r="AE43" i="3"/>
  <c r="AE39" i="3"/>
  <c r="AD35" i="3"/>
  <c r="AE34" i="3"/>
  <c r="AD28" i="3"/>
  <c r="AD24" i="3"/>
  <c r="AE22" i="3"/>
  <c r="AD20" i="3"/>
  <c r="AD12" i="3"/>
  <c r="AE11" i="3"/>
  <c r="AD9" i="3"/>
  <c r="AE8" i="3"/>
  <c r="AC35" i="3"/>
  <c r="T35" i="3"/>
  <c r="AC55" i="3"/>
  <c r="T55" i="3"/>
  <c r="AD34" i="3"/>
  <c r="AC20" i="3"/>
  <c r="T20" i="3"/>
  <c r="AC33" i="3"/>
  <c r="T33" i="3"/>
  <c r="AC21" i="3"/>
  <c r="AC30" i="3"/>
  <c r="AD50" i="3"/>
  <c r="AC11" i="3"/>
  <c r="AC49" i="3"/>
  <c r="AC53" i="3"/>
  <c r="AC19" i="3"/>
  <c r="AC22" i="3"/>
  <c r="AC51" i="3"/>
  <c r="AC43" i="3"/>
  <c r="AD42" i="3"/>
  <c r="AC50" i="3"/>
  <c r="T50" i="3"/>
  <c r="AC7" i="3"/>
  <c r="AD26" i="3"/>
  <c r="AE15" i="3"/>
  <c r="AC27" i="3"/>
  <c r="AC29" i="3"/>
  <c r="Y38" i="3"/>
  <c r="Y41" i="3"/>
  <c r="Y55" i="3"/>
  <c r="Y34" i="3"/>
  <c r="Y7" i="3"/>
  <c r="Y8" i="3"/>
  <c r="Y33" i="3"/>
  <c r="Y9" i="3"/>
  <c r="Y52" i="3"/>
  <c r="Y27" i="3"/>
  <c r="Y29" i="3"/>
  <c r="Y44" i="3"/>
  <c r="Y37" i="3"/>
  <c r="Y48" i="3"/>
  <c r="Y42" i="3"/>
  <c r="Y21" i="3"/>
  <c r="Y43" i="3"/>
  <c r="Y17" i="3"/>
  <c r="Y40" i="3"/>
  <c r="Y39" i="3"/>
  <c r="Y49" i="3"/>
  <c r="Y47" i="3"/>
  <c r="Y25" i="3"/>
  <c r="Y36" i="3"/>
  <c r="Y19" i="3"/>
  <c r="Y31" i="3"/>
  <c r="Y22" i="3"/>
  <c r="Y14" i="3"/>
  <c r="Y54" i="3"/>
  <c r="Y16" i="3"/>
  <c r="Y23" i="3"/>
  <c r="Y51" i="3"/>
  <c r="Y13" i="3"/>
  <c r="Y45" i="3"/>
  <c r="Y15" i="3"/>
  <c r="Y24" i="3"/>
  <c r="Y11" i="3"/>
  <c r="Y35" i="3"/>
  <c r="Y46" i="3"/>
  <c r="Y50" i="3"/>
  <c r="Y53" i="3"/>
  <c r="Y20" i="3"/>
  <c r="Y32" i="3"/>
  <c r="Y28" i="3"/>
  <c r="Y12" i="3"/>
  <c r="Y26" i="3"/>
  <c r="Y18" i="3"/>
  <c r="Y30" i="3"/>
  <c r="AC17" i="3"/>
  <c r="AD54" i="3"/>
  <c r="AE54" i="3"/>
  <c r="T17" i="3"/>
  <c r="AD18" i="3"/>
  <c r="T12" i="3"/>
  <c r="AE18" i="3"/>
  <c r="AC15" i="3"/>
  <c r="AD11" i="3"/>
  <c r="T14" i="3"/>
  <c r="AE48" i="3"/>
  <c r="T39" i="3"/>
  <c r="T54" i="3"/>
  <c r="AE40" i="3"/>
  <c r="T47" i="3"/>
  <c r="AE32" i="3"/>
  <c r="T36" i="3"/>
  <c r="T16" i="3"/>
  <c r="AE25" i="3"/>
  <c r="T31" i="3"/>
  <c r="AD14" i="3"/>
  <c r="T26" i="3"/>
  <c r="AE14" i="3"/>
  <c r="T15" i="3"/>
  <c r="T11" i="3"/>
  <c r="AE46" i="3"/>
  <c r="T46" i="3"/>
  <c r="AE38" i="3"/>
  <c r="T53" i="3"/>
  <c r="AE30" i="3"/>
  <c r="T32" i="3"/>
  <c r="AE23" i="3"/>
  <c r="AC13" i="3"/>
  <c r="AD19" i="3"/>
  <c r="T18" i="3"/>
  <c r="T44" i="3"/>
  <c r="AE52" i="3"/>
  <c r="T38" i="3"/>
  <c r="AD48" i="3"/>
  <c r="AD46" i="3"/>
  <c r="T37" i="3"/>
  <c r="AE44" i="3"/>
  <c r="T34" i="3"/>
  <c r="AD40" i="3"/>
  <c r="AD38" i="3"/>
  <c r="T48" i="3"/>
  <c r="AE36" i="3"/>
  <c r="T8" i="3"/>
  <c r="AD32" i="3"/>
  <c r="AD30" i="3"/>
  <c r="T42" i="3"/>
  <c r="AE28" i="3"/>
  <c r="T9" i="3"/>
  <c r="AD25" i="3"/>
  <c r="AD23" i="3"/>
  <c r="AD22" i="3"/>
  <c r="T28" i="3"/>
  <c r="T13" i="3"/>
  <c r="AC45" i="3"/>
  <c r="AD15" i="3"/>
  <c r="AE21" i="3"/>
  <c r="AE17" i="3"/>
  <c r="AE13" i="3"/>
  <c r="AE9" i="3"/>
  <c r="S10" i="3"/>
  <c r="M10" i="3"/>
  <c r="R10" i="3"/>
  <c r="U10" i="3"/>
  <c r="AC10" i="3" s="1"/>
  <c r="V10" i="3"/>
  <c r="X10" i="3"/>
  <c r="W10" i="3"/>
  <c r="AD10" i="3" l="1"/>
  <c r="AE10" i="3"/>
  <c r="Y10" i="3"/>
  <c r="T10" i="3"/>
  <c r="K13" i="1" l="1"/>
  <c r="L13" i="1"/>
  <c r="M13" i="1"/>
  <c r="V13" i="1"/>
  <c r="AB13" i="1"/>
  <c r="AC13" i="1"/>
  <c r="AD13" i="1"/>
  <c r="AE13" i="1"/>
  <c r="AF13" i="1"/>
  <c r="AM13" i="1"/>
  <c r="AN13" i="1"/>
  <c r="AG13" i="1"/>
  <c r="X14" i="1" l="1"/>
  <c r="T13" i="1"/>
  <c r="U13" i="1" s="1"/>
  <c r="S13" i="1" s="1"/>
  <c r="X13" i="1"/>
  <c r="AA13" i="1"/>
  <c r="W13" i="1" s="1"/>
  <c r="AI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18" i="3" s="1"/>
  <c r="G45" i="4"/>
  <c r="G46" i="4"/>
  <c r="G47" i="4"/>
  <c r="G48" i="4"/>
  <c r="G49" i="4"/>
  <c r="G50" i="4"/>
  <c r="G51" i="4"/>
  <c r="G52" i="4"/>
  <c r="G53" i="4"/>
  <c r="G54" i="4"/>
  <c r="G55" i="4"/>
  <c r="G56" i="4"/>
  <c r="N15" i="3" s="1"/>
  <c r="G57" i="4"/>
  <c r="G58" i="4"/>
  <c r="G59" i="4"/>
  <c r="G60" i="4"/>
  <c r="N10" i="3" s="1"/>
  <c r="G61" i="4"/>
  <c r="G62" i="4"/>
  <c r="G63" i="4"/>
  <c r="G64" i="4"/>
  <c r="G65" i="4"/>
  <c r="N27" i="3" s="1"/>
  <c r="G66" i="4"/>
  <c r="N21" i="3" s="1"/>
  <c r="G67" i="4"/>
  <c r="G68" i="4"/>
  <c r="N26" i="3" s="1"/>
  <c r="G69" i="4"/>
  <c r="N45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12" i="3" s="1"/>
  <c r="G90" i="4"/>
  <c r="G91" i="4"/>
  <c r="G92" i="4"/>
  <c r="G93" i="4"/>
  <c r="N13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16" i="3" s="1"/>
  <c r="G112" i="4"/>
  <c r="G113" i="4"/>
  <c r="G114" i="4"/>
  <c r="N33" i="3" s="1"/>
  <c r="G115" i="4"/>
  <c r="G116" i="4"/>
  <c r="G117" i="4"/>
  <c r="N9" i="3" s="1"/>
  <c r="G118" i="4"/>
  <c r="G119" i="4"/>
  <c r="G120" i="4"/>
  <c r="G121" i="4"/>
  <c r="G122" i="4"/>
  <c r="G123" i="4"/>
  <c r="G124" i="4"/>
  <c r="G125" i="4"/>
  <c r="G126" i="4"/>
  <c r="G127" i="4"/>
  <c r="N42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50" i="3" s="1"/>
  <c r="G157" i="4"/>
  <c r="G158" i="4"/>
  <c r="G159" i="4"/>
  <c r="G160" i="4"/>
  <c r="G161" i="4"/>
  <c r="G162" i="4"/>
  <c r="G163" i="4"/>
  <c r="G164" i="4"/>
  <c r="G165" i="4"/>
  <c r="G166" i="4"/>
  <c r="N49" i="3" s="1"/>
  <c r="G167" i="4"/>
  <c r="G168" i="4"/>
  <c r="G169" i="4"/>
  <c r="G170" i="4"/>
  <c r="N34" i="3" s="1"/>
  <c r="G171" i="4"/>
  <c r="G172" i="4"/>
  <c r="G173" i="4"/>
  <c r="G174" i="4"/>
  <c r="N37" i="3" s="1"/>
  <c r="G175" i="4"/>
  <c r="G176" i="4"/>
  <c r="G177" i="4"/>
  <c r="G178" i="4"/>
  <c r="N35" i="3" s="1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4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11" i="3" s="1"/>
  <c r="G222" i="4"/>
  <c r="G223" i="4"/>
  <c r="G224" i="4"/>
  <c r="G225" i="4"/>
  <c r="N38" i="3" s="1"/>
  <c r="G226" i="4"/>
  <c r="G227" i="4"/>
  <c r="G228" i="4"/>
  <c r="G229" i="4"/>
  <c r="G230" i="4"/>
  <c r="G231" i="4"/>
  <c r="G232" i="4"/>
  <c r="N41" i="3" s="1"/>
  <c r="G233" i="4"/>
  <c r="G234" i="4"/>
  <c r="G235" i="4"/>
  <c r="G236" i="4"/>
  <c r="N24" i="3" s="1"/>
  <c r="G237" i="4"/>
  <c r="G238" i="4"/>
  <c r="N44" i="3" s="1"/>
  <c r="G239" i="4"/>
  <c r="N1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N43" i="3" s="1"/>
  <c r="G252" i="4"/>
  <c r="G253" i="4"/>
  <c r="G254" i="4"/>
  <c r="G255" i="4"/>
  <c r="G256" i="4"/>
  <c r="G257" i="4"/>
  <c r="G258" i="4"/>
  <c r="G2" i="4"/>
  <c r="N25" i="3" l="1"/>
  <c r="N19" i="3"/>
  <c r="N32" i="3"/>
  <c r="N39" i="3"/>
  <c r="N40" i="3"/>
  <c r="N7" i="3"/>
  <c r="N8" i="3"/>
  <c r="N31" i="3"/>
  <c r="N23" i="3"/>
  <c r="N28" i="3"/>
  <c r="N22" i="3"/>
  <c r="N55" i="3"/>
  <c r="N54" i="3"/>
  <c r="N46" i="3"/>
  <c r="N53" i="3"/>
  <c r="N47" i="3"/>
  <c r="N48" i="3"/>
  <c r="N51" i="3"/>
  <c r="N52" i="3"/>
  <c r="N29" i="3"/>
  <c r="N30" i="3"/>
  <c r="N36" i="3"/>
  <c r="N20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<sst xmlns="http://schemas.openxmlformats.org/spreadsheetml/2006/main" count="3038" uniqueCount="1075">
  <si>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</si>
  <si>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</si>
  <si>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</si>
  <si>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</si>
  <si>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</si>
  <si>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</si>
  <si>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</si>
  <si>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</si>
  <si>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</si>
  <si>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</si>
  <si>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</si>
  <si>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</si>
  <si>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</si>
  <si>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</si>
  <si>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</si>
  <si>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</si>
  <si>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</si>
  <si>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</si>
  <si>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</si>
  <si>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</si>
  <si>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</si>
  <si>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</si>
  <si>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</si>
  <si>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</si>
  <si>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</si>
  <si>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</si>
  <si>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</si>
  <si>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</si>
  <si>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</si>
  <si>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</si>
  <si>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</si>
  <si>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</si>
  <si>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</si>
  <si>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</si>
  <si>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</si>
  <si>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</si>
  <si>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</si>
  <si>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</si>
  <si>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</si>
  <si>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</si>
  <si>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</si>
  <si>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</si>
  <si>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</si>
  <si>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</si>
  <si>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</si>
  <si>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</si>
  <si>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</si>
  <si>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</si>
  <si>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</si>
  <si>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</si>
  <si>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</si>
  <si>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</si>
  <si>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</si>
  <si>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</si>
  <si>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</si>
  <si>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</si>
  <si>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</si>
  <si>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</si>
  <si>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</si>
  <si>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</si>
  <si>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</si>
  <si>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</si>
  <si>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</si>
  <si>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</si>
  <si>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</si>
  <si>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</si>
  <si>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</si>
  <si>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</si>
  <si>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</si>
  <si>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</si>
  <si>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</si>
  <si>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</si>
  <si>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</si>
  <si>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</si>
  <si>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</si>
  <si>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</si>
  <si>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</si>
  <si>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</si>
  <si>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</si>
  <si>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</si>
  <si>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</si>
  <si>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</si>
  <si>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</si>
  <si>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</si>
  <si>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</si>
  <si>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</si>
  <si>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</si>
  <si>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</si>
  <si>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</si>
  <si>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</si>
  <si>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</si>
  <si>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</si>
  <si>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</si>
  <si>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</si>
  <si>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</si>
  <si>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</si>
  <si>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</si>
  <si>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</si>
  <si>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</si>
  <si>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</si>
  <si>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</si>
  <si>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</si>
  <si>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</si>
  <si>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</si>
  <si>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</si>
  <si>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</si>
  <si>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</si>
  <si>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</si>
  <si>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</si>
  <si>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</si>
  <si>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</si>
  <si>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</si>
  <si>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</si>
  <si>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</si>
  <si>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</si>
  <si>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</si>
  <si>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</si>
  <si>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</si>
  <si>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</si>
  <si>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</si>
  <si>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</si>
  <si>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</si>
  <si>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</si>
  <si>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</si>
  <si>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</si>
  <si>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</si>
  <si>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</si>
  <si>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</si>
  <si>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</si>
  <si>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</si>
  <si>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</si>
  <si>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</si>
  <si>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</si>
  <si>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</si>
  <si>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</si>
  <si>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</si>
  <si>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</si>
  <si>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</si>
  <si>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</si>
  <si>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</si>
  <si>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</si>
  <si>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</si>
  <si>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</si>
  <si>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</si>
  <si>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</si>
  <si>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</si>
  <si>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</si>
  <si>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</si>
  <si>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</si>
  <si>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</si>
  <si>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</si>
  <si>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</si>
  <si>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</si>
  <si>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</si>
  <si>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</si>
  <si>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</si>
  <si>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</si>
  <si>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</si>
  <si>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</si>
  <si>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</si>
  <si>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</si>
  <si>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</si>
  <si>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</si>
  <si>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</si>
  <si>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</si>
  <si>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</si>
  <si>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</si>
  <si>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</si>
  <si>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</si>
  <si>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</si>
  <si>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</si>
  <si>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</si>
  <si>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</si>
  <si>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</si>
  <si>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</si>
  <si>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</si>
  <si>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</si>
  <si>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</si>
  <si>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</si>
  <si>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</si>
  <si>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</si>
  <si>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</si>
  <si>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</si>
  <si>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</si>
  <si>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</si>
  <si>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</si>
  <si>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</si>
  <si>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</si>
  <si>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</si>
  <si>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</si>
  <si>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</si>
  <si>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</si>
  <si>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</si>
  <si>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</si>
  <si>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</si>
  <si>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</si>
  <si>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</si>
  <si>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</si>
  <si>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</si>
  <si>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</si>
  <si>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</si>
  <si>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</si>
  <si>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</si>
  <si>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</si>
  <si>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</si>
  <si>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</si>
  <si>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</si>
  <si>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</si>
  <si>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</si>
  <si>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</si>
  <si>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</si>
  <si>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</si>
  <si>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</si>
  <si>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</si>
  <si>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</si>
  <si>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</si>
  <si>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</si>
  <si>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</si>
  <si>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</si>
  <si>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</si>
  <si>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</si>
  <si>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</si>
  <si>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</si>
  <si>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</si>
  <si>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</si>
  <si>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</si>
  <si>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</si>
  <si>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</si>
  <si>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</si>
  <si>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</si>
  <si>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</si>
  <si>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</si>
  <si>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</si>
  <si>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</si>
  <si>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</si>
  <si>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</si>
  <si>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</si>
  <si>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</si>
  <si>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</si>
  <si>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</si>
  <si>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</si>
  <si>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</si>
  <si>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</si>
  <si>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</si>
  <si>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</si>
  <si>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</si>
  <si>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</si>
  <si>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</si>
  <si>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</si>
  <si>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</si>
  <si>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</si>
  <si>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</si>
  <si>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</si>
  <si>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</si>
  <si>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</si>
  <si>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</si>
  <si>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</si>
  <si>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</si>
  <si>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</si>
  <si>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</si>
  <si>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</si>
  <si>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</si>
  <si>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</si>
  <si>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</si>
  <si>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</si>
  <si>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</si>
  <si>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</si>
  <si>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</si>
  <si>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</si>
  <si>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</si>
  <si>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</si>
  <si>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</si>
  <si>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</si>
  <si>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</si>
  <si>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</si>
  <si>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</si>
  <si>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</si>
  <si>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</si>
  <si>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</si>
  <si>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</si>
  <si>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</si>
  <si>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</si>
  <si>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</si>
  <si>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</si>
  <si>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</si>
  <si>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</si>
  <si>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</si>
  <si>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</si>
  <si>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</si>
  <si>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</si>
  <si>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</si>
  <si>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</si>
  <si>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</si>
  <si>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</si>
  <si>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</si>
  <si>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</si>
  <si>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</si>
  <si>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</si>
  <si>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</si>
  <si>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</si>
  <si>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</si>
  <si>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</si>
  <si>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</si>
  <si>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</si>
  <si>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</si>
  <si>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</si>
  <si>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</si>
  <si>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</si>
  <si>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</si>
  <si>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</si>
  <si>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</si>
  <si>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</si>
  <si>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</si>
  <si>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</si>
  <si>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</si>
  <si>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</si>
  <si>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</si>
  <si>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</si>
  <si>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</si>
  <si>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</si>
  <si>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</si>
  <si>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</si>
  <si>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</si>
  <si>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</si>
  <si>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</si>
  <si>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</si>
  <si>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</si>
  <si>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</si>
  <si>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</si>
  <si>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</si>
  <si>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</si>
  <si>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</si>
  <si>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</si>
  <si>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</si>
  <si>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</si>
  <si>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</si>
  <si>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</si>
  <si>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</si>
  <si>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</si>
  <si>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</si>
  <si>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</si>
  <si>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</si>
  <si>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</si>
  <si>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</si>
  <si>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</si>
  <si>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</si>
  <si>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</si>
  <si>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</si>
  <si>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</si>
  <si>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</si>
  <si>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</si>
  <si>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</si>
  <si>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</si>
  <si>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</si>
  <si>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</si>
  <si>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</si>
  <si>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</si>
  <si>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</si>
  <si>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</si>
  <si>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</si>
  <si>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</si>
  <si>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</si>
  <si>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</si>
  <si>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</si>
  <si>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</si>
  <si>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</si>
  <si>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</si>
  <si>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</si>
  <si>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</si>
  <si>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</si>
  <si>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</si>
  <si>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</si>
  <si>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</si>
  <si>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</si>
  <si>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</si>
  <si>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</si>
  <si>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</si>
  <si>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</si>
  <si>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</si>
  <si>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</si>
  <si>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</si>
  <si>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</si>
  <si>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</si>
  <si>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</si>
  <si>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</si>
  <si>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</si>
  <si>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</si>
  <si>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</si>
  <si>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</si>
  <si>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</si>
  <si>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</si>
  <si>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</si>
  <si>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</si>
  <si>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</si>
  <si>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</si>
  <si>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</si>
  <si>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</si>
  <si>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</si>
  <si>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</si>
  <si>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</si>
  <si>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</si>
  <si>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</si>
  <si>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</si>
  <si>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</si>
  <si>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</si>
  <si>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</si>
  <si>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</si>
  <si>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</si>
  <si>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</si>
  <si>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</si>
  <si>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</si>
  <si>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</si>
  <si>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</si>
  <si>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</si>
  <si>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</si>
  <si>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</si>
  <si>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</si>
  <si>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</si>
  <si>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</si>
  <si>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</si>
  <si>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</si>
  <si>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</si>
  <si>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</si>
  <si>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</si>
  <si>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</si>
  <si>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</si>
  <si>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</si>
  <si>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</si>
  <si>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</si>
  <si>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</si>
  <si>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</si>
  <si>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</si>
  <si>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</si>
  <si>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</si>
  <si>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</si>
  <si>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</si>
  <si>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</si>
  <si>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</si>
  <si>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</si>
  <si>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</si>
  <si>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</si>
  <si>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</si>
  <si>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204:232996</t>
  </si>
  <si>
    <t>204:232994</t>
  </si>
  <si>
    <t>204:469</t>
  </si>
  <si>
    <t>HAITHCOX</t>
  </si>
  <si>
    <t>204:442</t>
  </si>
  <si>
    <t>rtdc.l.rtdc.4006:itc</t>
  </si>
  <si>
    <t>clear-night</t>
  </si>
  <si>
    <t>Clear</t>
  </si>
  <si>
    <t>clear-day</t>
  </si>
  <si>
    <t>204:138</t>
  </si>
  <si>
    <t>204:160</t>
  </si>
  <si>
    <t>rtdc.l.rtdc.4032:itc</t>
  </si>
  <si>
    <t>307-13</t>
  </si>
  <si>
    <t>244-13</t>
  </si>
  <si>
    <t>309-13</t>
  </si>
  <si>
    <t>311-13</t>
  </si>
  <si>
    <t>313-13</t>
  </si>
  <si>
    <t>204:438</t>
  </si>
  <si>
    <t>rtdc.l.rtdc.4003:itc</t>
  </si>
  <si>
    <t>rtdc.l.rtdc.4004:itc</t>
  </si>
  <si>
    <t>STAMBAUGH</t>
  </si>
  <si>
    <t>uvIndex</t>
  </si>
  <si>
    <t>windGust</t>
  </si>
  <si>
    <t>204:455</t>
  </si>
  <si>
    <t>204:464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</si>
  <si>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</si>
  <si>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</si>
  <si>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</si>
  <si>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</si>
  <si>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</si>
  <si>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</si>
  <si>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</si>
  <si>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</si>
  <si>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</si>
  <si>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</si>
  <si>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</si>
  <si>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300:58619</t>
  </si>
  <si>
    <t>ROMERO</t>
  </si>
  <si>
    <t>CHAD</t>
  </si>
  <si>
    <t>204:232986</t>
  </si>
  <si>
    <t>204:161</t>
  </si>
  <si>
    <t>204:233305</t>
  </si>
  <si>
    <t>204:232977</t>
  </si>
  <si>
    <t>204:233004</t>
  </si>
  <si>
    <t>204:233309</t>
  </si>
  <si>
    <t>204:680</t>
  </si>
  <si>
    <t>rtdc.l.rtdc.4018:itc</t>
  </si>
  <si>
    <t>204:233315</t>
  </si>
  <si>
    <t>204:232991</t>
  </si>
  <si>
    <t>204:232978</t>
  </si>
  <si>
    <t>204:458</t>
  </si>
  <si>
    <t>204:473</t>
  </si>
  <si>
    <t>204:233000</t>
  </si>
  <si>
    <t>204:232985</t>
  </si>
  <si>
    <t>204:979</t>
  </si>
  <si>
    <t>rtdc.l.rtdc.4010:itc</t>
  </si>
  <si>
    <t>partly-cloudy-night</t>
  </si>
  <si>
    <t>204:233308</t>
  </si>
  <si>
    <t>204:433</t>
  </si>
  <si>
    <t>204:974</t>
  </si>
  <si>
    <t>rtdc.l.rtdc.4017:itc</t>
  </si>
  <si>
    <t>SWITCH UNKNOWN</t>
  </si>
  <si>
    <t>Track device (7)</t>
  </si>
  <si>
    <t>rtdc.l.rtdc.4009:itc</t>
  </si>
  <si>
    <t>204:134</t>
  </si>
  <si>
    <t>204:233312</t>
  </si>
  <si>
    <t>204:444</t>
  </si>
  <si>
    <t>204:232984</t>
  </si>
  <si>
    <t>204:233382</t>
  </si>
  <si>
    <t>204:440</t>
  </si>
  <si>
    <t>204:132</t>
  </si>
  <si>
    <t>204:165</t>
  </si>
  <si>
    <t>204:233299</t>
  </si>
  <si>
    <t>300:23312</t>
  </si>
  <si>
    <t>300:58634</t>
  </si>
  <si>
    <t>204:981</t>
  </si>
  <si>
    <t>300:58948</t>
  </si>
  <si>
    <t>Early arrival</t>
  </si>
  <si>
    <t>rtdc.l.rtdc.4007:itc</t>
  </si>
  <si>
    <t>PERKINS</t>
  </si>
  <si>
    <t>DARREN</t>
  </si>
  <si>
    <t>rtdc.l.rtdc.4063:itc</t>
  </si>
  <si>
    <t>rtdc.l.rtdc.4064:itc</t>
  </si>
  <si>
    <t>204:477</t>
  </si>
  <si>
    <t>204:233015</t>
  </si>
  <si>
    <t>204:163</t>
  </si>
  <si>
    <t>204:233301</t>
  </si>
  <si>
    <t>204:233055</t>
  </si>
  <si>
    <t>204:233288</t>
  </si>
  <si>
    <t>204:484</t>
  </si>
  <si>
    <t>204:233329</t>
  </si>
  <si>
    <t>204:233351</t>
  </si>
  <si>
    <t>204:233289</t>
  </si>
  <si>
    <t>204:232973</t>
  </si>
  <si>
    <t>204:233025</t>
  </si>
  <si>
    <t>204:437</t>
  </si>
  <si>
    <t>204:233284</t>
  </si>
  <si>
    <t>204:475</t>
  </si>
  <si>
    <t>204:482</t>
  </si>
  <si>
    <t>300:23310</t>
  </si>
  <si>
    <t>204:687</t>
  </si>
  <si>
    <t>204:677</t>
  </si>
  <si>
    <t>204:983</t>
  </si>
  <si>
    <t>300:28770</t>
  </si>
  <si>
    <t>Wi-MAX data drop</t>
  </si>
  <si>
    <t>rtdc.l.rtdc.4031:itc</t>
  </si>
  <si>
    <t>rtdc.l.rtdc.4057:itc</t>
  </si>
  <si>
    <t>rtdc.l.rtdc.4058:itc</t>
  </si>
  <si>
    <t>MAELZER</t>
  </si>
  <si>
    <t>KURT</t>
  </si>
  <si>
    <t>MAYBERRY</t>
  </si>
  <si>
    <t>BILL</t>
  </si>
  <si>
    <t>LALONDE</t>
  </si>
  <si>
    <t>GREGORY</t>
  </si>
  <si>
    <t>DAVIDSON</t>
  </si>
  <si>
    <t>DAVID</t>
  </si>
  <si>
    <t>MACDONALD</t>
  </si>
  <si>
    <t>BRANDNER</t>
  </si>
  <si>
    <t>MELINDA</t>
  </si>
  <si>
    <t>BRUDER</t>
  </si>
  <si>
    <t>RICHARD</t>
  </si>
  <si>
    <t>MCREYNOLDS</t>
  </si>
  <si>
    <t>KYLE</t>
  </si>
  <si>
    <t>BROWN</t>
  </si>
  <si>
    <t>JACOB</t>
  </si>
  <si>
    <t>rtdc.l.rtdc.4015:itc</t>
  </si>
  <si>
    <t>242-25</t>
  </si>
  <si>
    <t>244-25</t>
  </si>
  <si>
    <t>309-25</t>
  </si>
  <si>
    <t>311-25</t>
  </si>
  <si>
    <t>313-25</t>
  </si>
  <si>
    <t>204:130</t>
  </si>
  <si>
    <t>204:233336</t>
  </si>
  <si>
    <t>204:233005</t>
  </si>
  <si>
    <t>204:233331</t>
  </si>
  <si>
    <t>204:232990</t>
  </si>
  <si>
    <t>204:174</t>
  </si>
  <si>
    <t>204:233317</t>
  </si>
  <si>
    <t>204:233283</t>
  </si>
  <si>
    <t>204:233346</t>
  </si>
  <si>
    <t>204:233021</t>
  </si>
  <si>
    <t>204:233334</t>
  </si>
  <si>
    <t>204:232989</t>
  </si>
  <si>
    <t>204:233293</t>
  </si>
  <si>
    <t>204:1152</t>
  </si>
  <si>
    <t>204:971</t>
  </si>
  <si>
    <t>300:58944</t>
  </si>
  <si>
    <t>204:694</t>
  </si>
  <si>
    <t>300:58628</t>
  </si>
  <si>
    <t>300:58952</t>
  </si>
  <si>
    <t>204:962</t>
  </si>
  <si>
    <t>300:58943</t>
  </si>
  <si>
    <t>204:233328</t>
  </si>
  <si>
    <t>300:58624</t>
  </si>
  <si>
    <t>300:58939</t>
  </si>
  <si>
    <t>204:701</t>
  </si>
  <si>
    <t>204:978</t>
  </si>
  <si>
    <t>300:58638</t>
  </si>
  <si>
    <t>204:985</t>
  </si>
  <si>
    <t>204:692</t>
  </si>
  <si>
    <t>204:233408</t>
  </si>
  <si>
    <t>204:233398</t>
  </si>
  <si>
    <t>300:23302</t>
  </si>
  <si>
    <t>204:478</t>
  </si>
  <si>
    <t>204:233100</t>
  </si>
  <si>
    <t>204:232987</t>
  </si>
  <si>
    <t>204:431</t>
  </si>
  <si>
    <t>204:232965</t>
  </si>
  <si>
    <t>204:232959</t>
  </si>
  <si>
    <t>204:233042</t>
  </si>
  <si>
    <t>204:429</t>
  </si>
  <si>
    <t>300:30765</t>
  </si>
  <si>
    <t>300:23314</t>
  </si>
  <si>
    <t>204:1477</t>
  </si>
  <si>
    <t>Selected wrong track at first</t>
  </si>
  <si>
    <t>Onboard in-route failure</t>
  </si>
  <si>
    <t>rtdc.l.rtdc.4029:itc</t>
  </si>
  <si>
    <t>110-26</t>
  </si>
  <si>
    <t>rtdc.l.rtdc.4030:itc</t>
  </si>
  <si>
    <t>123-26</t>
  </si>
  <si>
    <t>131-26</t>
  </si>
  <si>
    <t>137-26</t>
  </si>
  <si>
    <t>132-26</t>
  </si>
  <si>
    <t>139-26</t>
  </si>
  <si>
    <t>903-26</t>
  </si>
  <si>
    <t>51-26</t>
  </si>
  <si>
    <t>rtdc.l.rtdc.4055:itc</t>
  </si>
  <si>
    <t>146-26</t>
  </si>
  <si>
    <t>rtdc.l.rtdc.4053:itc</t>
  </si>
  <si>
    <t>148-26</t>
  </si>
  <si>
    <t>152-26</t>
  </si>
  <si>
    <t>158-26</t>
  </si>
  <si>
    <t>160-26</t>
  </si>
  <si>
    <t>171-26</t>
  </si>
  <si>
    <t>162-26</t>
  </si>
  <si>
    <t>821-26</t>
  </si>
  <si>
    <t>177-26</t>
  </si>
  <si>
    <t>181-26</t>
  </si>
  <si>
    <t>59-26</t>
  </si>
  <si>
    <t>184-26</t>
  </si>
  <si>
    <t>62-26</t>
  </si>
  <si>
    <t>65-26</t>
  </si>
  <si>
    <t>196-26</t>
  </si>
  <si>
    <t>205-26</t>
  </si>
  <si>
    <t>200-26</t>
  </si>
  <si>
    <t>836-26</t>
  </si>
  <si>
    <t>212-26</t>
  </si>
  <si>
    <t>222-26</t>
  </si>
  <si>
    <t>227-26</t>
  </si>
  <si>
    <t>rtdc.l.rtdc.4041:itc</t>
  </si>
  <si>
    <t>844-26</t>
  </si>
  <si>
    <t>908-26</t>
  </si>
  <si>
    <t>232-26</t>
  </si>
  <si>
    <t>rtdc.l.rtdc.4016:itc</t>
  </si>
  <si>
    <t>237-26</t>
  </si>
  <si>
    <t>309-26</t>
  </si>
  <si>
    <t>300-26</t>
  </si>
  <si>
    <t>rtdc.l.rtdc.4056:itc</t>
  </si>
  <si>
    <t>50-26</t>
  </si>
  <si>
    <t>YANAI</t>
  </si>
  <si>
    <t>IAN</t>
  </si>
  <si>
    <t>101-26</t>
  </si>
  <si>
    <t>302-26</t>
  </si>
  <si>
    <t>BONDS</t>
  </si>
  <si>
    <t>REYNALDO</t>
  </si>
  <si>
    <t>103-26</t>
  </si>
  <si>
    <t>304-26</t>
  </si>
  <si>
    <t>STARKS</t>
  </si>
  <si>
    <t>ANGELINA</t>
  </si>
  <si>
    <t>102-26</t>
  </si>
  <si>
    <t>306-26</t>
  </si>
  <si>
    <t>105-26</t>
  </si>
  <si>
    <t>308-26</t>
  </si>
  <si>
    <t>107-26</t>
  </si>
  <si>
    <t>104-26</t>
  </si>
  <si>
    <t>109-26</t>
  </si>
  <si>
    <t>901-26</t>
  </si>
  <si>
    <t>310-26</t>
  </si>
  <si>
    <t>HELVIE</t>
  </si>
  <si>
    <t>ADAM</t>
  </si>
  <si>
    <t>111-26</t>
  </si>
  <si>
    <t>800-26</t>
  </si>
  <si>
    <t>108-26</t>
  </si>
  <si>
    <t>106-26</t>
  </si>
  <si>
    <t>113-26</t>
  </si>
  <si>
    <t>312-26</t>
  </si>
  <si>
    <t>115-26</t>
  </si>
  <si>
    <t>801-26</t>
  </si>
  <si>
    <t>117-26</t>
  </si>
  <si>
    <t>112-26</t>
  </si>
  <si>
    <t>902-26</t>
  </si>
  <si>
    <t>LOZA</t>
  </si>
  <si>
    <t>FIDEL</t>
  </si>
  <si>
    <t>119-26</t>
  </si>
  <si>
    <t>114-26</t>
  </si>
  <si>
    <t>121-26</t>
  </si>
  <si>
    <t>802-26</t>
  </si>
  <si>
    <t>803-26</t>
  </si>
  <si>
    <t>116-26</t>
  </si>
  <si>
    <t>805-26</t>
  </si>
  <si>
    <t>804-26</t>
  </si>
  <si>
    <t>125-26</t>
  </si>
  <si>
    <t>118-26</t>
  </si>
  <si>
    <t>122-26</t>
  </si>
  <si>
    <t>120-26</t>
  </si>
  <si>
    <t>127-26</t>
  </si>
  <si>
    <t>807-26</t>
  </si>
  <si>
    <t>806-26</t>
  </si>
  <si>
    <t>129-26</t>
  </si>
  <si>
    <t>124-26</t>
  </si>
  <si>
    <t>126-26</t>
  </si>
  <si>
    <t>809-26</t>
  </si>
  <si>
    <t>808-26</t>
  </si>
  <si>
    <t>133-26</t>
  </si>
  <si>
    <t>128-26</t>
  </si>
  <si>
    <t>135-26</t>
  </si>
  <si>
    <t>130-26</t>
  </si>
  <si>
    <t>810-26</t>
  </si>
  <si>
    <t>811-26</t>
  </si>
  <si>
    <t>812-26</t>
  </si>
  <si>
    <t>134-26</t>
  </si>
  <si>
    <t>136-26</t>
  </si>
  <si>
    <t>141-26</t>
  </si>
  <si>
    <t>ACKERMAN</t>
  </si>
  <si>
    <t>JARED</t>
  </si>
  <si>
    <t>143-26</t>
  </si>
  <si>
    <t>138-26</t>
  </si>
  <si>
    <t>145-26</t>
  </si>
  <si>
    <t>813-26</t>
  </si>
  <si>
    <t>53-26</t>
  </si>
  <si>
    <t>140-26</t>
  </si>
  <si>
    <t>147-26</t>
  </si>
  <si>
    <t>814-26</t>
  </si>
  <si>
    <t>149-26</t>
  </si>
  <si>
    <t>142-26</t>
  </si>
  <si>
    <t>144-26</t>
  </si>
  <si>
    <t>151-26</t>
  </si>
  <si>
    <t>153-26</t>
  </si>
  <si>
    <t>815-26</t>
  </si>
  <si>
    <t>150-26</t>
  </si>
  <si>
    <t>155-26</t>
  </si>
  <si>
    <t>57-26</t>
  </si>
  <si>
    <t>DE LA ROSA</t>
  </si>
  <si>
    <t>ALEX</t>
  </si>
  <si>
    <t>55-26</t>
  </si>
  <si>
    <t>816-26</t>
  </si>
  <si>
    <t>157-26</t>
  </si>
  <si>
    <t>154-26</t>
  </si>
  <si>
    <t>159-26</t>
  </si>
  <si>
    <t>817-26</t>
  </si>
  <si>
    <t>161-26</t>
  </si>
  <si>
    <t>156-26</t>
  </si>
  <si>
    <t>163-26</t>
  </si>
  <si>
    <t>54-26</t>
  </si>
  <si>
    <t>818-26</t>
  </si>
  <si>
    <t>165-26</t>
  </si>
  <si>
    <t>LEVERE</t>
  </si>
  <si>
    <t>CRAIG</t>
  </si>
  <si>
    <t>167-26</t>
  </si>
  <si>
    <t>819-26</t>
  </si>
  <si>
    <t>164-26</t>
  </si>
  <si>
    <t>169-26</t>
  </si>
  <si>
    <t>166-26</t>
  </si>
  <si>
    <t>820-26</t>
  </si>
  <si>
    <t>173-26</t>
  </si>
  <si>
    <t>168-26</t>
  </si>
  <si>
    <t>175-26</t>
  </si>
  <si>
    <t>170-26</t>
  </si>
  <si>
    <t>52-26</t>
  </si>
  <si>
    <t>NELSON</t>
  </si>
  <si>
    <t>ARIANE</t>
  </si>
  <si>
    <t>172-26</t>
  </si>
  <si>
    <t>179-26</t>
  </si>
  <si>
    <t>174-26</t>
  </si>
  <si>
    <t>822-26</t>
  </si>
  <si>
    <t>178-26</t>
  </si>
  <si>
    <t>STORY</t>
  </si>
  <si>
    <t>SAMANTHA</t>
  </si>
  <si>
    <t>176-26</t>
  </si>
  <si>
    <t>183-26</t>
  </si>
  <si>
    <t>185-26</t>
  </si>
  <si>
    <t>823-26</t>
  </si>
  <si>
    <t>180-26</t>
  </si>
  <si>
    <t>187-26</t>
  </si>
  <si>
    <t>182-26</t>
  </si>
  <si>
    <t>824-26</t>
  </si>
  <si>
    <t>189-26</t>
  </si>
  <si>
    <t>191-26</t>
  </si>
  <si>
    <t>186-26</t>
  </si>
  <si>
    <t>904-26</t>
  </si>
  <si>
    <t>193-26</t>
  </si>
  <si>
    <t>825-26</t>
  </si>
  <si>
    <t>188-26</t>
  </si>
  <si>
    <t>195-26</t>
  </si>
  <si>
    <t>827-26</t>
  </si>
  <si>
    <t>MOSES</t>
  </si>
  <si>
    <t>BRADLEY</t>
  </si>
  <si>
    <t>192-26</t>
  </si>
  <si>
    <t>190-26</t>
  </si>
  <si>
    <t>826-26</t>
  </si>
  <si>
    <t>197-26</t>
  </si>
  <si>
    <t>199-26</t>
  </si>
  <si>
    <t>194-26</t>
  </si>
  <si>
    <t>828-26</t>
  </si>
  <si>
    <t>201-26</t>
  </si>
  <si>
    <t>829-26</t>
  </si>
  <si>
    <t>203-26</t>
  </si>
  <si>
    <t>831-26</t>
  </si>
  <si>
    <t>830-26</t>
  </si>
  <si>
    <t>198-26</t>
  </si>
  <si>
    <t>69-26</t>
  </si>
  <si>
    <t>207-26</t>
  </si>
  <si>
    <t>202-26</t>
  </si>
  <si>
    <t>832-26</t>
  </si>
  <si>
    <t>209-26</t>
  </si>
  <si>
    <t>833-26</t>
  </si>
  <si>
    <t>71-26</t>
  </si>
  <si>
    <t>204-26</t>
  </si>
  <si>
    <t>206-26</t>
  </si>
  <si>
    <t>211-26</t>
  </si>
  <si>
    <t>835-26</t>
  </si>
  <si>
    <t>213-26</t>
  </si>
  <si>
    <t>834-26</t>
  </si>
  <si>
    <t>208-26</t>
  </si>
  <si>
    <t>56-26</t>
  </si>
  <si>
    <t>215-26</t>
  </si>
  <si>
    <t>210-26</t>
  </si>
  <si>
    <t>217-26</t>
  </si>
  <si>
    <t>837-26</t>
  </si>
  <si>
    <t>219-26</t>
  </si>
  <si>
    <t>THOMPSON</t>
  </si>
  <si>
    <t>LESTER</t>
  </si>
  <si>
    <t>214-26</t>
  </si>
  <si>
    <t>838-26</t>
  </si>
  <si>
    <t>301-26</t>
  </si>
  <si>
    <t>839-26</t>
  </si>
  <si>
    <t>216-26</t>
  </si>
  <si>
    <t>221-26</t>
  </si>
  <si>
    <t>218-26</t>
  </si>
  <si>
    <t>906-26</t>
  </si>
  <si>
    <t>303-26</t>
  </si>
  <si>
    <t>841-26</t>
  </si>
  <si>
    <t>220-26</t>
  </si>
  <si>
    <t>305-26</t>
  </si>
  <si>
    <t>840-26</t>
  </si>
  <si>
    <t>225-26</t>
  </si>
  <si>
    <t>843-26</t>
  </si>
  <si>
    <t>224-26</t>
  </si>
  <si>
    <t>226-26</t>
  </si>
  <si>
    <t>842-26</t>
  </si>
  <si>
    <t>229-26</t>
  </si>
  <si>
    <t>845-26</t>
  </si>
  <si>
    <t>231-26</t>
  </si>
  <si>
    <t>228-26</t>
  </si>
  <si>
    <t>230-26</t>
  </si>
  <si>
    <t>233-26</t>
  </si>
  <si>
    <t>847-26</t>
  </si>
  <si>
    <t>235-26</t>
  </si>
  <si>
    <t>234-26</t>
  </si>
  <si>
    <t>239-26</t>
  </si>
  <si>
    <t>236-26</t>
  </si>
  <si>
    <t>241-26</t>
  </si>
  <si>
    <t>238-26</t>
  </si>
  <si>
    <t>240-26</t>
  </si>
  <si>
    <t>243-26</t>
  </si>
  <si>
    <t>242-26</t>
  </si>
  <si>
    <t>307-26</t>
  </si>
  <si>
    <t>244-26</t>
  </si>
  <si>
    <t>311-26</t>
  </si>
  <si>
    <t>313-26</t>
  </si>
  <si>
    <t>204:136</t>
  </si>
  <si>
    <t>204:233316</t>
  </si>
  <si>
    <t>204:233291</t>
  </si>
  <si>
    <t>204:233010</t>
  </si>
  <si>
    <t>204:233303</t>
  </si>
  <si>
    <t>204:233310</t>
  </si>
  <si>
    <t>204:232993</t>
  </si>
  <si>
    <t>204:233319</t>
  </si>
  <si>
    <t>204:233295</t>
  </si>
  <si>
    <t>204:232979</t>
  </si>
  <si>
    <t>204:233347</t>
  </si>
  <si>
    <t>204:232980</t>
  </si>
  <si>
    <t>204:233276</t>
  </si>
  <si>
    <t>204:232966</t>
  </si>
  <si>
    <t>204:427</t>
  </si>
  <si>
    <t>204:233340</t>
  </si>
  <si>
    <t>204:233028</t>
  </si>
  <si>
    <t>204:233311</t>
  </si>
  <si>
    <t>204:233001</t>
  </si>
  <si>
    <t>204:233008</t>
  </si>
  <si>
    <t>204:232942</t>
  </si>
  <si>
    <t>204:233281</t>
  </si>
  <si>
    <t>204:232981</t>
  </si>
  <si>
    <t>204:233332</t>
  </si>
  <si>
    <t>204:233026</t>
  </si>
  <si>
    <t>204:203</t>
  </si>
  <si>
    <t>204:233307</t>
  </si>
  <si>
    <t>204:232988</t>
  </si>
  <si>
    <t>204:233359</t>
  </si>
  <si>
    <t>204:233048</t>
  </si>
  <si>
    <t>204:181</t>
  </si>
  <si>
    <t>204:232974</t>
  </si>
  <si>
    <t>204:169</t>
  </si>
  <si>
    <t>204:232982</t>
  </si>
  <si>
    <t>204:233106</t>
  </si>
  <si>
    <t>204:535</t>
  </si>
  <si>
    <t>204:233049</t>
  </si>
  <si>
    <t>204:176</t>
  </si>
  <si>
    <t>204:233101</t>
  </si>
  <si>
    <t>204:233349</t>
  </si>
  <si>
    <t>204:190314</t>
  </si>
  <si>
    <t>204:27271</t>
  </si>
  <si>
    <t>204:233330</t>
  </si>
  <si>
    <t>204:1154</t>
  </si>
  <si>
    <t>204:233387</t>
  </si>
  <si>
    <t>204:233282</t>
  </si>
  <si>
    <t>204:233412</t>
  </si>
  <si>
    <t>204:233068</t>
  </si>
  <si>
    <t>204:233337</t>
  </si>
  <si>
    <t>204:233009</t>
  </si>
  <si>
    <t>204:907</t>
  </si>
  <si>
    <t>204:233066</t>
  </si>
  <si>
    <t>204:1003</t>
  </si>
  <si>
    <t>204:233385</t>
  </si>
  <si>
    <t>204:233051</t>
  </si>
  <si>
    <t>204:233036</t>
  </si>
  <si>
    <t>204:495</t>
  </si>
  <si>
    <t>204:3560</t>
  </si>
  <si>
    <t>204:233072</t>
  </si>
  <si>
    <t>204:233338</t>
  </si>
  <si>
    <t>204:232975</t>
  </si>
  <si>
    <t>204:123</t>
  </si>
  <si>
    <t>204:232969</t>
  </si>
  <si>
    <t>204:14569</t>
  </si>
  <si>
    <t>204:233263</t>
  </si>
  <si>
    <t>204:232946</t>
  </si>
  <si>
    <t>204:232955</t>
  </si>
  <si>
    <t>300:22297</t>
  </si>
  <si>
    <t>300:23039</t>
  </si>
  <si>
    <t>300:23563</t>
  </si>
  <si>
    <t>300:22996</t>
  </si>
  <si>
    <t>300:21081</t>
  </si>
  <si>
    <t>300:23476</t>
  </si>
  <si>
    <t>300:23858</t>
  </si>
  <si>
    <t>300:23252</t>
  </si>
  <si>
    <t>300:25770</t>
  </si>
  <si>
    <t>204:3305</t>
  </si>
  <si>
    <t>204:3614</t>
  </si>
  <si>
    <t>300:30318</t>
  </si>
  <si>
    <t>300:112464</t>
  </si>
  <si>
    <t>300:23003</t>
  </si>
  <si>
    <t>300:21753</t>
  </si>
  <si>
    <t>300:22066</t>
  </si>
  <si>
    <t>300:24216</t>
  </si>
  <si>
    <t>204:3246</t>
  </si>
  <si>
    <t>204:3581</t>
  </si>
  <si>
    <t>204:1339</t>
  </si>
  <si>
    <t>300:21998</t>
  </si>
  <si>
    <t>204:1027</t>
  </si>
  <si>
    <t>300:22181</t>
  </si>
  <si>
    <t>204:1858</t>
  </si>
  <si>
    <t>300:21744</t>
  </si>
  <si>
    <t>204:1160</t>
  </si>
  <si>
    <t>204:1490</t>
  </si>
  <si>
    <t>300:23299</t>
  </si>
  <si>
    <t>300:112163</t>
  </si>
  <si>
    <t>300:37586</t>
  </si>
  <si>
    <t>300:112195</t>
  </si>
  <si>
    <t>300:37746</t>
  </si>
  <si>
    <t>300:112201</t>
  </si>
  <si>
    <t>300:26617</t>
  </si>
  <si>
    <t>300:112245</t>
  </si>
  <si>
    <t>300:21676</t>
  </si>
  <si>
    <t>300:22005</t>
  </si>
  <si>
    <t>300:26937</t>
  </si>
  <si>
    <t>300:112515</t>
  </si>
  <si>
    <t>300:29731</t>
  </si>
  <si>
    <t>300:112477</t>
  </si>
  <si>
    <t>300:37921</t>
  </si>
  <si>
    <t>300:112513</t>
  </si>
  <si>
    <t>300:38088</t>
  </si>
  <si>
    <t>300:112578</t>
  </si>
  <si>
    <t>204:3285</t>
  </si>
  <si>
    <t>204:1464</t>
  </si>
  <si>
    <t>204:3609</t>
  </si>
  <si>
    <t>204:1483</t>
  </si>
  <si>
    <t>204:1869</t>
  </si>
  <si>
    <t>204:3195</t>
  </si>
  <si>
    <t>204:3530</t>
  </si>
  <si>
    <t>204:1332</t>
  </si>
  <si>
    <t>204:3221</t>
  </si>
  <si>
    <t>204:1181</t>
  </si>
  <si>
    <t>300:58636</t>
  </si>
  <si>
    <t>204:682</t>
  </si>
  <si>
    <t>300:58621</t>
  </si>
  <si>
    <t>300:58630</t>
  </si>
  <si>
    <t>204:699</t>
  </si>
  <si>
    <t>300:58626</t>
  </si>
  <si>
    <t>204:670</t>
  </si>
  <si>
    <t>300:58617</t>
  </si>
  <si>
    <t>204:719</t>
  </si>
  <si>
    <t>300:58956</t>
  </si>
  <si>
    <t>300:58641</t>
  </si>
  <si>
    <t>204:969</t>
  </si>
  <si>
    <t>300:58935</t>
  </si>
  <si>
    <t>204:972</t>
  </si>
  <si>
    <t>300:58946</t>
  </si>
  <si>
    <t>300:58941</t>
  </si>
  <si>
    <t>204:671</t>
  </si>
  <si>
    <t>204:689</t>
  </si>
  <si>
    <t>204:948</t>
  </si>
  <si>
    <t>300:58963</t>
  </si>
  <si>
    <t>300:58623</t>
  </si>
  <si>
    <t>204:708</t>
  </si>
  <si>
    <t>300:58960</t>
  </si>
  <si>
    <t>204:668</t>
  </si>
  <si>
    <t>204:918</t>
  </si>
  <si>
    <t>300:58933</t>
  </si>
  <si>
    <t>300:58643</t>
  </si>
  <si>
    <t>204:965</t>
  </si>
  <si>
    <t>300:58929</t>
  </si>
  <si>
    <t>300:58653</t>
  </si>
  <si>
    <t>204:958</t>
  </si>
  <si>
    <t>204:663</t>
  </si>
  <si>
    <t>300:58950</t>
  </si>
  <si>
    <t>300:58645</t>
  </si>
  <si>
    <t>300:58958</t>
  </si>
  <si>
    <t>300:58658</t>
  </si>
  <si>
    <t>300:58975</t>
  </si>
  <si>
    <t>204:1004</t>
  </si>
  <si>
    <t>300:58911</t>
  </si>
  <si>
    <t>300:30241</t>
  </si>
  <si>
    <t>300:23319</t>
  </si>
  <si>
    <t>204:997</t>
  </si>
  <si>
    <t>300:23186</t>
  </si>
  <si>
    <t>300:23353</t>
  </si>
  <si>
    <t>204:633</t>
  </si>
  <si>
    <t>300:58632</t>
  </si>
  <si>
    <t>300:21629</t>
  </si>
  <si>
    <t>300:58592</t>
  </si>
  <si>
    <t>300:21752</t>
  </si>
  <si>
    <t>300:22072</t>
  </si>
  <si>
    <t>300:22374</t>
  </si>
  <si>
    <t>start /low /b %USERPROFILE%\Documents\GitHub\eaglep3\Utilities\DownloadLogsFromS3.py --loco 4058 --day 2017-06-26</t>
  </si>
  <si>
    <t>start /low /b %USERPROFILE%\Documents\GitHub\eaglep3\Utilities\DownloadLogsFromS3.py --loco 4045 --day 2017-06-26</t>
  </si>
  <si>
    <t>start /low /b %USERPROFILE%\Documents\GitHub\eaglep3\Utilities\DownloadLogsFromS3.py --loco 4057 --day 2017-06-26</t>
  </si>
  <si>
    <t>start /low /b %USERPROFILE%\Documents\GitHub\eaglep3\Utilities\DownloadLogsFromS3.py --loco 4014 --day 2017-06-27</t>
  </si>
  <si>
    <t>start /low /b %USERPROFILE%\Documents\GitHub\eaglep3\Utilities\DownloadLogsFromS3.py --loco 4022 --day 2017-06-26</t>
  </si>
  <si>
    <t>start /low /b %USERPROFILE%\Documents\GitHub\eaglep3\Utilities\DownloadLogsFromS3.py --loco 4004 --day 2017-06-26</t>
  </si>
  <si>
    <t>start /low /b %USERPROFILE%\Documents\GitHub\eaglep3\Utilities\DownloadLogsFromS3.py --loco 4029 --day 2017-06-26</t>
  </si>
  <si>
    <t>start /low /b %USERPROFILE%\Documents\GitHub\eaglep3\Utilities\DownloadLogsFromS3.py --loco 4015 --day 2017-06-27</t>
  </si>
  <si>
    <t>start /low /b %USERPROFILE%\Documents\GitHub\eaglep3\Utilities\DownloadLogsFromS3.py --loco 4055 --day 2017-06-26</t>
  </si>
  <si>
    <t>start /low /b %USERPROFILE%\Documents\GitHub\eaglep3\Utilities\DownloadLogsFromS3.py --loco 4053 --day 2017-06-26</t>
  </si>
  <si>
    <t>start /low /b %USERPROFILE%\Documents\GitHub\eaglep3\Utilities\DownloadLogsFromS3.py --loco 4045 --day 2017-06-27</t>
  </si>
  <si>
    <t>start /low /b %USERPROFILE%\Documents\GitHub\eaglep3\Utilities\DownloadLogsFromS3.py --loco 4020 --day 2017-06-26</t>
  </si>
  <si>
    <t>start /low /b %USERPROFILE%\Documents\GitHub\eaglep3\Utilities\DownloadLogsFromS3.py --loco 4016 --day 2017-06-27</t>
  </si>
  <si>
    <t>start /low /b %USERPROFILE%\Documents\GitHub\eaglep3\Utilities\DownloadLogsFromS3.py --loco 4030 --day 2017-06-26</t>
  </si>
  <si>
    <t>start /low /b %USERPROFILE%\Documents\GitHub\eaglep3\Utilities\DownloadLogsFromS3.py --loco 4003 --day 2017-06-26</t>
  </si>
  <si>
    <t>start /low /b %USERPROFILE%\Documents\GitHub\eaglep3\Utilities\DownloadLogsFromS3.py --loco 4014 --day 2017-06-26</t>
  </si>
  <si>
    <t>start /low /b %USERPROFILE%\Documents\GitHub\eaglep3\Utilities\DownloadLogsFromS3.py --loco 4019 --day 2017-06-26</t>
  </si>
  <si>
    <t>start /low /b %USERPROFILE%\Documents\GitHub\eaglep3\Utilities\DownloadLogsFromS3.py --loco 4057 --day 2017-06-27</t>
  </si>
  <si>
    <t>start /low /b %USERPROFILE%\Documents\GitHub\eaglep3\Utilities\DownloadLogsFromS3.py --loco 4009 --day 2017-06-26</t>
  </si>
  <si>
    <t>start /low /b %USERPROFILE%\Documents\GitHub\eaglep3\Utilities\DownloadLogsFromS3.py --loco 4021 --day 2017-06-27</t>
  </si>
  <si>
    <t>start /low /b %USERPROFILE%\Documents\GitHub\eaglep3\Utilities\DownloadLogsFromS3.py --loco 4041 --day 2017-06-27</t>
  </si>
  <si>
    <t>start /low /b %USERPROFILE%\Documents\GitHub\eaglep3\Utilities\DownloadLogsFromS3.py --loco 4042 --day 2017-06-26</t>
  </si>
  <si>
    <t>Premature downgrade Bright 4S</t>
  </si>
  <si>
    <t>approx 23:01:35 - train was about 0.4 mi away from Bright 4S, it dropped from Proceed Cab to Stop. Do logs show anything unusual during this time?</t>
  </si>
  <si>
    <t>Mechanical issue? PTC released penalty (15:30:33) after early arrival enforcement, could not rebuild air</t>
  </si>
  <si>
    <t>223-26</t>
  </si>
  <si>
    <t>Unhealthy at Chambers due to 40th stop</t>
  </si>
  <si>
    <t>Wi-MAX data drop (could not init)</t>
  </si>
  <si>
    <t>SMITH MICHAEL</t>
  </si>
  <si>
    <t>Unhealthy at Chambers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</si>
</sst>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>
      <selection activeCell="R96" sqref="R9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42912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42912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COUNTIFS($N$13:$N$9320,"&gt;0",$AG$13:$AG$9320,I1)</f>
        <v>139</v>
      </c>
      <c r="K5" s="39"/>
      <c r="L5" s="39"/>
      <c r="M5" s="40">
        <f>AVERAGEIFS($N$13:$N$9320,$AG$13:$AG$9320,I1)</f>
        <v>37.987889688606074</v>
      </c>
      <c r="N5" s="38">
        <f t="array" ref="N5">MIN(IF($AG$13:$AG$9320=I1,IF(ISNUMBER($N$13:$N$9320),IF($N$13:$N$9320&gt;0,$N$13:$N$9320))))</f>
        <v>34.68333333148621</v>
      </c>
      <c r="O5" s="3">
        <f t="array" ref="O5">MAX(IF($AG$13:$AG$9320=I1,IF(ISNUMBER($N$13:$N$9320),IF($N$13:$N$9320&gt;0,$N$13:$N$9320))))</f>
        <v>44.04999999795109</v>
      </c>
      <c r="P5" s="2"/>
      <c r="R5" s="166" t="s">
        <v>17</v>
      </c>
      <c r="S5" s="186">
        <f>COUNTIFS($N$13:$N$9320,"&gt;0",$AG$13:$AG$9320,R1)</f>
        <v>47</v>
      </c>
      <c r="T5" s="187"/>
      <c r="U5" s="187"/>
      <c r="V5" s="183">
        <f>AVERAGEIFS($N$13:$N$9320,$AG$13:$AG$9320,R1)</f>
        <v>15.042198581913327</v>
      </c>
      <c r="W5" s="184">
        <f t="array" ref="W5">MIN(IF($AG$13:$AG$9320=R1,IF(ISNUMBER($N$13:$N$9320),IF($N$13:$N$9320&gt;0,$N$13:$N$9320))))</f>
        <v>12.899999998044223</v>
      </c>
      <c r="X5" s="185">
        <f t="array" ref="X5">MAX(IF($AG$13:$AG$9320=R1,IF(ISNUMBER($N$13:$N$9320),IF($N$13:$N$9320&gt;0,$N$13:$N$9320))))</f>
        <v>22.066666670143604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COUNTIFS($P$13:$P$9320,"&gt;0",$AG$13:$AG$9320,I1)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COUNTIFS($P$13:$P$9320,"&gt;0",$AG$13:$AG$9320,R1)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37.987889688606074</v>
      </c>
      <c r="N8" s="38">
        <f>N5</f>
        <v>34.68333333148621</v>
      </c>
      <c r="O8" s="3">
        <f>O5</f>
        <v>44.04999999795109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15.042198581913327</v>
      </c>
      <c r="W8" s="184">
        <f>W5</f>
        <v>12.899999998044223</v>
      </c>
      <c r="X8" s="185">
        <f>X5</f>
        <v>22.066666670143604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0.98795180722891562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663</v>
      </c>
      <c r="B13" s="7">
        <v>4058</v>
      </c>
      <c r="C13" s="21" t="s">
        <v>202</v>
      </c>
      <c r="D13" s="21" t="s">
        <v>611</v>
      </c>
      <c r="E13" s="13">
        <v>42912.1721412037</v>
      </c>
      <c r="F13" s="13">
        <v>42912.128738425927</v>
      </c>
      <c r="G13" s="7">
        <v>1</v>
      </c>
      <c r="H13" s="21" t="s">
        <v>872</v>
      </c>
      <c r="I13" s="13">
        <v>42912.128888888888</v>
      </c>
      <c r="J13" s="7">
        <v>0</v>
      </c>
      <c r="K13" s="89" t="str">
        <f t="shared" ref="K13:K76" si="0">IF(ISEVEN(B13),(B13-1)&amp;"/"&amp;B13,B13&amp;"/"&amp;(B13+1))</f>
        <v>4057/4058</v>
      </c>
      <c r="L13" s="21" t="str">
        <f>VLOOKUP(A13,'Trips&amp;Operators'!$C$1:$G$99999,5,FALSE)</f>
        <v>MAELZER KURT</v>
      </c>
      <c r="M13" s="6">
        <f t="shared" ref="M13:M76" si="1">I13-F13</f>
        <v>1.5046296175569296E-4</v>
      </c>
      <c r="N13" s="7"/>
      <c r="O13" s="7"/>
      <c r="P13" s="7">
        <v>1</v>
      </c>
      <c r="Q13" s="22"/>
      <c r="R13" s="170" t="s">
        <v>617</v>
      </c>
      <c r="S13" s="213">
        <f t="shared" ref="S13:S76" si="2">SUM(U13:U13)/IF(AG13="EC",12,1)</f>
        <v>0</v>
      </c>
      <c r="T13" s="195" t="str">
        <f t="shared" ref="T13:T76" si="3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9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-26T03:07:53-0600',mode:absolute,to:'2017-06-26T04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197" t="str">
        <f>IF(AA13&lt;VLOOKUP(AG13,Variables!$AC$3:$AD$8,2,FALSE),"Y","N")</f>
        <v>Y</v>
      </c>
      <c r="X13" s="197" t="e">
        <f t="shared" ref="X13:X44" si="5">VALUE(LEFT(AD13,4))-VALUE(LEFT(AD12,4))</f>
        <v>#VALUE!</v>
      </c>
      <c r="Y13" s="197">
        <v>0</v>
      </c>
      <c r="Z13" s="197">
        <v>0</v>
      </c>
      <c r="AA13" s="197">
        <f t="shared" ref="AA13:AA76" si="6">ABS(Z13-Y13)</f>
        <v>0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7">VALUE(LEFT(A13,LEN(A13)-3))</f>
        <v>101</v>
      </c>
      <c r="AE13" s="77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13" s="74" t="str">
        <f t="shared" ref="AF13:AF76" si="9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/stypes="app*4058*20170626*"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0">DetSubdiv(A13)</f>
        <v>EC</v>
      </c>
      <c r="AH13" s="78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4058 --swversion DE.1.0.9.0 --startMP 204:233042 --initTime 2017-06-26T04:07:53 --startdatetime 2017-06-26T03:05:23 --delay 1 --endMP 204:136 --enddatetime 2017-06-26T03:05:36 --enforcementcount 0 &gt;&gt;C:\Users\stu\Documents\GitHub\eaglep3-reporting\EC\2017-06-26-refined-times.txt</v>
      </c>
      <c r="AI13" s="96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failure","project_id":79,"tracker_id":40,"status_id":1,"priority_id":2,"assigned_to_id":23,"start_date":"2017-06-26","description":"","custom_fields":[{"id":1,"name":"Subdivision","value":"EC"},{"id":4,"name":"Milepost","value":"0"},{"id":17,"name":"Train ID","value":"101-26"},{"id":16,"name":"Locomotive ID","value":"4058"},{"id":130,"name":"Impact","value":""},{"id":150,"name":"Time of Event (Mountain Time)","value":"03:05:36"},{"id":151,"name":"Denver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3">"start /low /b "&amp;dls3logs&amp;" --loco "&amp;B13&amp;" --day "&amp;TEXT(F13,"YYYY-MM-DD")</f>
        <v>start /low /b %USERPROFILE%\Documents\GitHub\eaglep3\Utilities\DownloadLogsFromS3.py --loco 4058 --day 2017-06-26</v>
      </c>
      <c r="AN13" s="151" t="str">
        <f t="shared" ref="AN13" si="14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09:05:36"},{"id":29,"name":"Sharepoint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671</v>
      </c>
      <c r="B14" s="7">
        <v>4057</v>
      </c>
      <c r="C14" s="21" t="s">
        <v>202</v>
      </c>
      <c r="D14" s="21" t="s">
        <v>611</v>
      </c>
      <c r="E14" s="13">
        <v>42912.1721412037</v>
      </c>
      <c r="F14" s="13">
        <v>42912.175208333334</v>
      </c>
      <c r="G14" s="7">
        <v>1</v>
      </c>
      <c r="H14" s="21" t="s">
        <v>872</v>
      </c>
      <c r="I14" s="13">
        <v>42912.20171296296</v>
      </c>
      <c r="J14" s="7">
        <v>0</v>
      </c>
      <c r="K14" s="89" t="str">
        <f t="shared" si="0"/>
        <v>4057/4058</v>
      </c>
      <c r="L14" s="21" t="str">
        <f>VLOOKUP(A14,'Trips&amp;Operators'!$C$1:$G$99999,5,FALSE)</f>
        <v>MAELZER KURT</v>
      </c>
      <c r="M14" s="6">
        <f t="shared" si="1"/>
        <v>2.6504629626288079E-2</v>
      </c>
      <c r="N14" s="7">
        <f t="shared" ref="N14:N45" si="15">24*60*SUM($M14:$M14)</f>
        <v>38.166666661854833</v>
      </c>
      <c r="O14" s="7"/>
      <c r="P14" s="7"/>
      <c r="Q14" s="22"/>
      <c r="R14" s="170"/>
      <c r="S14" s="213">
        <f t="shared" si="2"/>
        <v>1</v>
      </c>
      <c r="T14" s="195" t="str">
        <f t="shared" si="3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4"/>
        <v>https://d0f6bd738d7f1b3e5a7ca70fe4ff75f0.us-east-1.aws.found.io/app/kibana#/discover/Steve-Slow-Train-Analysis-(2080s-and-2083s)?_g=(refreshInterval:(display:Off,pause:!f,section:0,value:0),time:(from:'2017-06-26T03:07:53-0600',mode:absolute,to:'2017-06-26T05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197" t="str">
        <f>IF(AA14&lt;VLOOKUP(AG14,Variables!$AC$3:$AD$8,2,FALSE),"Y","N")</f>
        <v>N</v>
      </c>
      <c r="X14" s="197">
        <f t="shared" si="5"/>
        <v>1</v>
      </c>
      <c r="Y14" s="197">
        <f t="shared" ref="Y14:Y44" si="16">RIGHT(D14,LEN(D14)-4)/10000</f>
        <v>23.304200000000002</v>
      </c>
      <c r="Z14" s="197">
        <f t="shared" ref="Z14:Z44" si="17">RIGHT(H14,LEN(H14)-4)/10000</f>
        <v>1.3599999999999999E-2</v>
      </c>
      <c r="AA14" s="197">
        <f t="shared" si="6"/>
        <v>23.290600000000001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7"/>
        <v>102</v>
      </c>
      <c r="AE14" s="77" t="str">
        <f t="shared" si="8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14" s="74" t="str">
        <f t="shared" si="9"/>
        <v>"C:\Program Files (x86)\AstroGrep\AstroGrep.exe" /e /r /s /spath="%USERPROFILE%\AppData\Local\Temp\OnboardLogs" /stypes="app*4057*20170626*" /stext=" 10:.+((SYSTEM_STATE.+slice.+state.+changed )|(ment ac)|(multiple cpu faults)|(system.+state.+changed )|(\[timeout)|(PRM\|1\|D)|(kpr)|(kdp)|(train st.+moving)|(\|lc)|(penalty))"</v>
      </c>
      <c r="AG14" s="209" t="str">
        <f t="shared" si="10"/>
        <v>EC</v>
      </c>
      <c r="AH14" s="78" t="str">
        <f t="shared" ref="AH14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4057 --swversion DE.1.0.9.0 --startMP 204:233042 --initTime 2017-06-26T04:07:53 --startdatetime 2017-06-26T04:12:18 --delay 1 --endMP 204:136 --enddatetime 2017-06-26T04:50:28 --enforcementcount 0 &gt;&gt;C:\Users\stu\Documents\GitHub\eaglep3-reporting\EC\2017-06-26-refined-times.txt</v>
      </c>
      <c r="AI14" s="96" t="str">
        <f t="shared" ref="AI14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{"issue":{"subject":"","project_id":79,"tracker_id":40,"status_id":1,"priority_id":2,"assigned_to_id":23,"start_date":"2017-06-26","description":"","custom_fields":[{"id":1,"name":"Subdivision","value":"EC"},{"id":4,"name":"Milepost","value":"0.0136"},{"id":17,"name":"Train ID","value":"102-26"},{"id":16,"name":"Locomotive ID","value":"4057"},{"id":130,"name":"Impact","value":""},{"id":150,"name":"Time of Event (Mountain Time)","value":"04:50:28"},{"id":151,"name":"Denver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" si="20">"start /low /b "&amp;dls3logs&amp;" --loco "&amp;B14&amp;" --day "&amp;TEXT(F14,"YYYY-MM-DD")</f>
        <v>start /low /b %USERPROFILE%\Documents\GitHub\eaglep3\Utilities\DownloadLogsFromS3.py --loco 4057 --day 2017-06-26</v>
      </c>
      <c r="AN14" s="151" t="str">
        <f t="shared" ref="AN14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72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667</v>
      </c>
      <c r="B15" s="7">
        <v>4004</v>
      </c>
      <c r="C15" s="21" t="s">
        <v>202</v>
      </c>
      <c r="D15" s="21" t="s">
        <v>540</v>
      </c>
      <c r="E15" s="13">
        <v>42912.14949074074</v>
      </c>
      <c r="F15" s="13">
        <v>42912.156446759262</v>
      </c>
      <c r="G15" s="7">
        <v>1</v>
      </c>
      <c r="H15" s="21" t="s">
        <v>873</v>
      </c>
      <c r="I15" s="13">
        <v>42912.183217592596</v>
      </c>
      <c r="J15" s="7">
        <v>0</v>
      </c>
      <c r="K15" s="89" t="str">
        <f t="shared" si="0"/>
        <v>4003/4004</v>
      </c>
      <c r="L15" s="21" t="str">
        <f>VLOOKUP(A15,'Trips&amp;Operators'!$C$1:$G$99999,5,FALSE)</f>
        <v>BONDS REYNALDO</v>
      </c>
      <c r="M15" s="6">
        <f t="shared" si="1"/>
        <v>2.6770833334012423E-2</v>
      </c>
      <c r="N15" s="7">
        <f t="shared" si="15"/>
        <v>38.550000000977889</v>
      </c>
      <c r="O15" s="7"/>
      <c r="P15" s="7"/>
      <c r="Q15" s="22"/>
      <c r="R15" s="170"/>
      <c r="S15" s="213">
        <f t="shared" si="2"/>
        <v>1</v>
      </c>
      <c r="T15" s="195" t="str">
        <f t="shared" si="3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4"/>
        <v>https://d0f6bd738d7f1b3e5a7ca70fe4ff75f0.us-east-1.aws.found.io/app/kibana#/discover/Steve-Slow-Train-Analysis-(2080s-and-2083s)?_g=(refreshInterval:(display:Off,pause:!f,section:0,value:0),time:(from:'2017-06-26T02:35:16-0600',mode:absolute,to:'2017-06-26T05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97" t="str">
        <f>IF(AA15&lt;VLOOKUP(AG15,Variables!$AC$3:$AD$8,2,FALSE),"Y","N")</f>
        <v>N</v>
      </c>
      <c r="X15" s="197">
        <f t="shared" si="5"/>
        <v>1</v>
      </c>
      <c r="Y15" s="197">
        <f t="shared" si="16"/>
        <v>4.82E-2</v>
      </c>
      <c r="Z15" s="197">
        <f t="shared" si="17"/>
        <v>23.331600000000002</v>
      </c>
      <c r="AA15" s="197">
        <f t="shared" si="6"/>
        <v>23.2834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7"/>
        <v>103</v>
      </c>
      <c r="AE15" s="77" t="str">
        <f t="shared" si="8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15" s="74" t="str">
        <f t="shared" si="9"/>
        <v>"C:\Program Files (x86)\AstroGrep\AstroGrep.exe" /e /r /s /spath="%USERPROFILE%\AppData\Local\Temp\OnboardLogs" /stypes="app*4004*20170626*" /stext=" 10:.+((SYSTEM_STATE.+slice.+state.+changed )|(ment ac)|(multiple cpu faults)|(system.+state.+changed )|(\[timeout)|(PRM\|1\|D)|(kpr)|(kdp)|(train st.+moving)|(\|lc)|(penalty))"</v>
      </c>
      <c r="AG15" s="209" t="str">
        <f t="shared" si="10"/>
        <v>EC</v>
      </c>
      <c r="AH15" s="78" t="str">
        <f t="shared" ref="AH15:AH78" si="22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103-26 --locoid 4004 --swversion DE.1.0.9.0 --startMP 204:482 --initTime 2017-06-26T03:35:16 --startdatetime 2017-06-26T03:45:17 --delay 1 --endMP 204:233316 --enddatetime 2017-06-26T04:23:50 --enforcementcount 0 &gt;&gt;C:\Users\stu\Documents\GitHub\eaglep3-reporting\EC\2017-06-26-refined-times.txt</v>
      </c>
      <c r="AI15" s="96" t="str">
        <f t="shared" ref="AI15:AI78" si="23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{"issue":{"subject":"","project_id":79,"tracker_id":40,"status_id":1,"priority_id":2,"assigned_to_id":23,"start_date":"2017-06-26","description":"","custom_fields":[{"id":1,"name":"Subdivision","value":"EC"},{"id":4,"name":"Milepost","value":"23.3316"},{"id":17,"name":"Train ID","value":"103-26"},{"id":16,"name":"Locomotive ID","value":"4004"},{"id":130,"name":"Impact","value":""},{"id":150,"name":"Time of Event (Mountain Time)","value":"04:23:50"},{"id":151,"name":"Denver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ref="AM15:AM78" si="24">"start /low /b "&amp;dls3logs&amp;" --loco "&amp;B15&amp;" --day "&amp;TEXT(F15,"YYYY-MM-DD")</f>
        <v>start /low /b %USERPROFILE%\Documents\GitHub\eaglep3\Utilities\DownloadLogsFromS3.py --loco 4004 --day 2017-06-26</v>
      </c>
      <c r="AN15" s="151" t="str">
        <f t="shared" ref="AN15:AN78" si="25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676</v>
      </c>
      <c r="B16" s="7">
        <v>4003</v>
      </c>
      <c r="C16" s="21" t="s">
        <v>202</v>
      </c>
      <c r="D16" s="21" t="s">
        <v>610</v>
      </c>
      <c r="E16" s="13">
        <v>42912.192893518521</v>
      </c>
      <c r="F16" s="13">
        <v>42912.196018518516</v>
      </c>
      <c r="G16" s="7">
        <v>0</v>
      </c>
      <c r="H16" s="21" t="s">
        <v>356</v>
      </c>
      <c r="I16" s="13">
        <v>42912.223449074074</v>
      </c>
      <c r="J16" s="7">
        <v>0</v>
      </c>
      <c r="K16" s="89" t="str">
        <f t="shared" si="0"/>
        <v>4003/4004</v>
      </c>
      <c r="L16" s="21" t="str">
        <f>VLOOKUP(A16,'Trips&amp;Operators'!$C$1:$G$99999,5,FALSE)</f>
        <v>BONDS REYNALDO</v>
      </c>
      <c r="M16" s="6">
        <f t="shared" si="1"/>
        <v>2.7430555557657499E-2</v>
      </c>
      <c r="N16" s="7">
        <f t="shared" si="15"/>
        <v>39.500000003026798</v>
      </c>
      <c r="O16" s="7"/>
      <c r="P16" s="7"/>
      <c r="Q16" s="22"/>
      <c r="R16" s="170"/>
      <c r="S16" s="213">
        <f t="shared" si="2"/>
        <v>1</v>
      </c>
      <c r="T16" s="195" t="str">
        <f t="shared" si="3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4"/>
        <v>https://d0f6bd738d7f1b3e5a7ca70fe4ff75f0.us-east-1.aws.found.io/app/kibana#/discover/Steve-Slow-Train-Analysis-(2080s-and-2083s)?_g=(refreshInterval:(display:Off,pause:!f,section:0,value:0),time:(from:'2017-06-26T03:37:46-0600',mode:absolute,to:'2017-06-26T06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97" t="str">
        <f>IF(AA16&lt;VLOOKUP(AG16,Variables!$AC$3:$AD$8,2,FALSE),"Y","N")</f>
        <v>N</v>
      </c>
      <c r="X16" s="197">
        <f t="shared" si="5"/>
        <v>1</v>
      </c>
      <c r="Y16" s="197">
        <f t="shared" si="16"/>
        <v>23.2959</v>
      </c>
      <c r="Z16" s="197">
        <f t="shared" si="17"/>
        <v>1.3899999999999999E-2</v>
      </c>
      <c r="AA16" s="197">
        <f t="shared" si="6"/>
        <v>23.282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7"/>
        <v>104</v>
      </c>
      <c r="AE16" s="77" t="str">
        <f t="shared" si="8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16" s="74" t="str">
        <f t="shared" si="9"/>
        <v>"C:\Program Files (x86)\AstroGrep\AstroGrep.exe" /e /r /s /spath="%USERPROFILE%\AppData\Local\Temp\OnboardLogs" /stypes="app*4003*20170626*" /stext=" 11:.+((SYSTEM_STATE.+slice.+state.+changed )|(ment ac)|(multiple cpu faults)|(system.+state.+changed )|(\[timeout)|(PRM\|1\|D)|(kpr)|(kdp)|(train st.+moving)|(\|lc)|(penalty))"</v>
      </c>
      <c r="AG16" s="209" t="str">
        <f t="shared" si="10"/>
        <v>EC</v>
      </c>
      <c r="AH16" s="78" t="str">
        <f t="shared" si="22"/>
        <v>"%USERPROFILE%\Documents\GitHub\eaglep3\Utilities\RefineRTDCRunTimes.py" --tripid 104-26 --locoid 4003 --swversion DE.1.0.9.0 --startMP 204:232959 --initTime 2017-06-26T04:37:46 --startdatetime 2017-06-26T04:42:16 --delay 0 --endMP 204:139 --enddatetime 2017-06-26T05:21:46 --enforcementcount 0 &gt;&gt;C:\Users\stu\Documents\GitHub\eaglep3-reporting\EC\2017-06-26-refined-times.txt</v>
      </c>
      <c r="AI1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{"issue":{"subject":"","project_id":79,"tracker_id":40,"status_id":1,"priority_id":2,"assigned_to_id":23,"start_date":"2017-06-26","description":"","custom_fields":[{"id":1,"name":"Subdivision","value":"EC"},{"id":4,"name":"Milepost","value":"0.0139"},{"id":17,"name":"Train ID","value":"104-26"},{"id":16,"name":"Locomotive ID","value":"4003"},{"id":130,"name":"Impact","value":""},{"id":150,"name":"Time of Event (Mountain Time)","value":"05:21:46"},{"id":151,"name":"Denver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4"/>
        <v>start /low /b %USERPROFILE%\Documents\GitHub\eaglep3\Utilities\DownloadLogsFromS3.py --loco 4003 --day 2017-06-26</v>
      </c>
      <c r="AN1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673</v>
      </c>
      <c r="B17" s="7">
        <v>4054</v>
      </c>
      <c r="C17" s="21" t="s">
        <v>202</v>
      </c>
      <c r="D17" s="21" t="s">
        <v>511</v>
      </c>
      <c r="E17" s="13">
        <v>42912.175439814811</v>
      </c>
      <c r="F17" s="13">
        <v>42912.177256944444</v>
      </c>
      <c r="G17" s="7">
        <v>1</v>
      </c>
      <c r="H17" s="21" t="s">
        <v>874</v>
      </c>
      <c r="I17" s="13">
        <v>42912.203414351854</v>
      </c>
      <c r="J17" s="7">
        <v>0</v>
      </c>
      <c r="K17" s="89" t="str">
        <f t="shared" si="0"/>
        <v>4053/4054</v>
      </c>
      <c r="L17" s="21" t="str">
        <f>VLOOKUP(A17,'Trips&amp;Operators'!$C$1:$G$99999,5,FALSE)</f>
        <v>STARKS ANGELINA</v>
      </c>
      <c r="M17" s="6">
        <f t="shared" si="1"/>
        <v>2.6157407410209998E-2</v>
      </c>
      <c r="N17" s="7">
        <f t="shared" si="15"/>
        <v>37.666666670702398</v>
      </c>
      <c r="O17" s="7"/>
      <c r="P17" s="7"/>
      <c r="Q17" s="22"/>
      <c r="R17" s="170"/>
      <c r="S17" s="213">
        <f t="shared" si="2"/>
        <v>1</v>
      </c>
      <c r="T17" s="195" t="str">
        <f t="shared" si="3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4"/>
        <v>https://d0f6bd738d7f1b3e5a7ca70fe4ff75f0.us-east-1.aws.found.io/app/kibana#/discover/Steve-Slow-Train-Analysis-(2080s-and-2083s)?_g=(refreshInterval:(display:Off,pause:!f,section:0,value:0),time:(from:'2017-06-26T03:12:38-0600',mode:absolute,to:'2017-06-26T05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97" t="str">
        <f>IF(AA17&lt;VLOOKUP(AG17,Variables!$AC$3:$AD$8,2,FALSE),"Y","N")</f>
        <v>N</v>
      </c>
      <c r="X17" s="197">
        <f t="shared" si="5"/>
        <v>1</v>
      </c>
      <c r="Y17" s="197">
        <f t="shared" si="16"/>
        <v>4.3999999999999997E-2</v>
      </c>
      <c r="Z17" s="197">
        <f t="shared" si="17"/>
        <v>23.3291</v>
      </c>
      <c r="AA17" s="197">
        <f t="shared" si="6"/>
        <v>23.2851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7"/>
        <v>105</v>
      </c>
      <c r="AE17" s="77" t="str">
        <f t="shared" si="8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17" s="74" t="str">
        <f t="shared" si="9"/>
        <v>"C:\Program Files (x86)\AstroGrep\AstroGrep.exe" /e /r /s /spath="%USERPROFILE%\AppData\Local\Temp\OnboardLogs" /stypes="app*4054*20170626*" /stext=" 10:.+((SYSTEM_STATE.+slice.+state.+changed )|(ment ac)|(multiple cpu faults)|(system.+state.+changed )|(\[timeout)|(PRM\|1\|D)|(kpr)|(kdp)|(train st.+moving)|(\|lc)|(penalty))"</v>
      </c>
      <c r="AG17" s="209" t="str">
        <f t="shared" si="10"/>
        <v>EC</v>
      </c>
      <c r="AH17" s="78" t="str">
        <f t="shared" si="22"/>
        <v>"%USERPROFILE%\Documents\GitHub\eaglep3\Utilities\RefineRTDCRunTimes.py" --tripid 105-26 --locoid 4054 --swversion DE.1.0.9.0 --startMP 204:440 --initTime 2017-06-26T04:12:38 --startdatetime 2017-06-26T04:15:15 --delay 1 --endMP 204:233291 --enddatetime 2017-06-26T04:52:55 --enforcementcount 0 &gt;&gt;C:\Users\stu\Documents\GitHub\eaglep3-reporting\EC\2017-06-26-refined-times.txt</v>
      </c>
      <c r="AI1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{"issue":{"subject":"","project_id":79,"tracker_id":40,"status_id":1,"priority_id":2,"assigned_to_id":23,"start_date":"2017-06-26","description":"","custom_fields":[{"id":1,"name":"Subdivision","value":"EC"},{"id":4,"name":"Milepost","value":"23.3291"},{"id":17,"name":"Train ID","value":"105-26"},{"id":16,"name":"Locomotive ID","value":"4054"},{"id":130,"name":"Impact","value":""},{"id":150,"name":"Time of Event (Mountain Time)","value":"04:52:55"},{"id":151,"name":"Denver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4"/>
        <v>start /low /b %USERPROFILE%\Documents\GitHub\eaglep3\Utilities\DownloadLogsFromS3.py --loco 4054 --day 2017-06-26</v>
      </c>
      <c r="AN1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685</v>
      </c>
      <c r="B18" s="7">
        <v>4053</v>
      </c>
      <c r="C18" s="21" t="s">
        <v>202</v>
      </c>
      <c r="D18" s="21" t="s">
        <v>481</v>
      </c>
      <c r="E18" s="13">
        <v>42912.214942129627</v>
      </c>
      <c r="F18" s="13">
        <v>42912.216828703706</v>
      </c>
      <c r="G18" s="7">
        <v>1</v>
      </c>
      <c r="H18" s="21" t="s">
        <v>394</v>
      </c>
      <c r="I18" s="13">
        <v>42912.245578703703</v>
      </c>
      <c r="J18" s="7">
        <v>0</v>
      </c>
      <c r="K18" s="89" t="str">
        <f t="shared" si="0"/>
        <v>4053/4054</v>
      </c>
      <c r="L18" s="21" t="str">
        <f>VLOOKUP(A18,'Trips&amp;Operators'!$C$1:$G$99999,5,FALSE)</f>
        <v>STARKS ANGELINA</v>
      </c>
      <c r="M18" s="6">
        <f t="shared" si="1"/>
        <v>2.8749999997671694E-2</v>
      </c>
      <c r="N18" s="7">
        <f t="shared" si="15"/>
        <v>41.399999996647239</v>
      </c>
      <c r="O18" s="7"/>
      <c r="P18" s="7"/>
      <c r="Q18" s="22"/>
      <c r="R18" s="170"/>
      <c r="S18" s="213">
        <f t="shared" si="2"/>
        <v>1</v>
      </c>
      <c r="T18" s="195" t="str">
        <f t="shared" si="3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4"/>
        <v>https://d0f6bd738d7f1b3e5a7ca70fe4ff75f0.us-east-1.aws.found.io/app/kibana#/discover/Steve-Slow-Train-Analysis-(2080s-and-2083s)?_g=(refreshInterval:(display:Off,pause:!f,section:0,value:0),time:(from:'2017-06-26T04:09:31-0600',mode:absolute,to:'2017-06-26T06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7" t="str">
        <f>IF(AA18&lt;VLOOKUP(AG18,Variables!$AC$3:$AD$8,2,FALSE),"Y","N")</f>
        <v>N</v>
      </c>
      <c r="X18" s="197">
        <f t="shared" si="5"/>
        <v>1</v>
      </c>
      <c r="Y18" s="197">
        <f t="shared" si="16"/>
        <v>23.2986</v>
      </c>
      <c r="Z18" s="197">
        <f t="shared" si="17"/>
        <v>1.54E-2</v>
      </c>
      <c r="AA18" s="197">
        <f t="shared" si="6"/>
        <v>23.283200000000001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7"/>
        <v>106</v>
      </c>
      <c r="AE18" s="77" t="str">
        <f t="shared" si="8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18" s="74" t="str">
        <f t="shared" si="9"/>
        <v>"C:\Program Files (x86)\AstroGrep\AstroGrep.exe" /e /r /s /spath="%USERPROFILE%\AppData\Local\Temp\OnboardLogs" /stypes="app*4053*20170626*" /stext=" 11:.+((SYSTEM_STATE.+slice.+state.+changed )|(ment ac)|(multiple cpu faults)|(system.+state.+changed )|(\[timeout)|(PRM\|1\|D)|(kpr)|(kdp)|(train st.+moving)|(\|lc)|(penalty))"</v>
      </c>
      <c r="AG18" s="209" t="str">
        <f t="shared" si="10"/>
        <v>EC</v>
      </c>
      <c r="AH18" s="78" t="str">
        <f t="shared" si="22"/>
        <v>"%USERPROFILE%\Documents\GitHub\eaglep3\Utilities\RefineRTDCRunTimes.py" --tripid 106-26 --locoid 4053 --swversion DE.1.0.9.0 --startMP 204:232986 --initTime 2017-06-26T05:09:31 --startdatetime 2017-06-26T05:12:14 --delay 1 --endMP 204:154 --enddatetime 2017-06-26T05:53:38 --enforcementcount 0 &gt;&gt;C:\Users\stu\Documents\GitHub\eaglep3-reporting\EC\2017-06-26-refined-times.txt</v>
      </c>
      <c r="AI1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{"issue":{"subject":"","project_id":79,"tracker_id":40,"status_id":1,"priority_id":2,"assigned_to_id":23,"start_date":"2017-06-26","description":"","custom_fields":[{"id":1,"name":"Subdivision","value":"EC"},{"id":4,"name":"Milepost","value":"0.0154"},{"id":17,"name":"Train ID","value":"106-26"},{"id":16,"name":"Locomotive ID","value":"4053"},{"id":130,"name":"Impact","value":""},{"id":150,"name":"Time of Event (Mountain Time)","value":"05:53:38"},{"id":151,"name":"Denver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4"/>
        <v>start /low /b %USERPROFILE%\Documents\GitHub\eaglep3\Utilities\DownloadLogsFromS3.py --loco 4053 --day 2017-06-26</v>
      </c>
      <c r="AN1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675</v>
      </c>
      <c r="B19" s="7">
        <v>4014</v>
      </c>
      <c r="C19" s="21" t="s">
        <v>202</v>
      </c>
      <c r="D19" s="21" t="s">
        <v>352</v>
      </c>
      <c r="E19" s="13">
        <v>42912.182916666665</v>
      </c>
      <c r="F19" s="13">
        <v>42912.187673611108</v>
      </c>
      <c r="G19" s="7">
        <v>1</v>
      </c>
      <c r="H19" s="21" t="s">
        <v>576</v>
      </c>
      <c r="I19" s="13">
        <v>42912.212071759262</v>
      </c>
      <c r="J19" s="7">
        <v>0</v>
      </c>
      <c r="K19" s="89" t="str">
        <f t="shared" si="0"/>
        <v>4013/4014</v>
      </c>
      <c r="L19" s="21" t="str">
        <f>VLOOKUP(A19,'Trips&amp;Operators'!$C$1:$G$99999,5,FALSE)</f>
        <v>LALONDE GREGORY</v>
      </c>
      <c r="M19" s="6">
        <f t="shared" si="1"/>
        <v>2.439814815443242E-2</v>
      </c>
      <c r="N19" s="7">
        <f t="shared" si="15"/>
        <v>35.133333342382684</v>
      </c>
      <c r="O19" s="7"/>
      <c r="P19" s="7"/>
      <c r="Q19" s="22"/>
      <c r="R19" s="170"/>
      <c r="S19" s="213">
        <f t="shared" si="2"/>
        <v>1</v>
      </c>
      <c r="T19" s="195" t="str">
        <f t="shared" si="3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4"/>
        <v>https://d0f6bd738d7f1b3e5a7ca70fe4ff75f0.us-east-1.aws.found.io/app/kibana#/discover/Steve-Slow-Train-Analysis-(2080s-and-2083s)?_g=(refreshInterval:(display:Off,pause:!f,section:0,value:0),time:(from:'2017-06-26T03:23:24-0600',mode:absolute,to:'2017-06-26T06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7" t="str">
        <f>IF(AA19&lt;VLOOKUP(AG19,Variables!$AC$3:$AD$8,2,FALSE),"Y","N")</f>
        <v>N</v>
      </c>
      <c r="X19" s="197">
        <f t="shared" si="5"/>
        <v>1</v>
      </c>
      <c r="Y19" s="197">
        <f t="shared" si="16"/>
        <v>4.5100000000000001E-2</v>
      </c>
      <c r="Z19" s="197">
        <f t="shared" si="17"/>
        <v>23.333100000000002</v>
      </c>
      <c r="AA19" s="197">
        <f t="shared" si="6"/>
        <v>23.288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7"/>
        <v>107</v>
      </c>
      <c r="AE19" s="77" t="str">
        <f t="shared" si="8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19" s="74" t="str">
        <f t="shared" si="9"/>
        <v>"C:\Program Files (x86)\AstroGrep\AstroGrep.exe" /e /r /s /spath="%USERPROFILE%\AppData\Local\Temp\OnboardLogs" /stypes="app*4014*20170626*" /stext=" 11:.+((SYSTEM_STATE.+slice.+state.+changed )|(ment ac)|(multiple cpu faults)|(system.+state.+changed )|(\[timeout)|(PRM\|1\|D)|(kpr)|(kdp)|(train st.+moving)|(\|lc)|(penalty))"</v>
      </c>
      <c r="AG19" s="209" t="str">
        <f t="shared" si="10"/>
        <v>EC</v>
      </c>
      <c r="AH19" s="78" t="str">
        <f t="shared" si="22"/>
        <v>"%USERPROFILE%\Documents\GitHub\eaglep3\Utilities\RefineRTDCRunTimes.py" --tripid 107-26 --locoid 4014 --swversion DE.1.0.9.0 --startMP 204:451 --initTime 2017-06-26T04:23:24 --startdatetime 2017-06-26T04:30:15 --delay 1 --endMP 204:233331 --enddatetime 2017-06-26T05:05:23 --enforcementcount 0 &gt;&gt;C:\Users\stu\Documents\GitHub\eaglep3-reporting\EC\2017-06-26-refined-times.txt</v>
      </c>
      <c r="AI19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{"issue":{"subject":"","project_id":79,"tracker_id":40,"status_id":1,"priority_id":2,"assigned_to_id":23,"start_date":"2017-06-26","description":"","custom_fields":[{"id":1,"name":"Subdivision","value":"EC"},{"id":4,"name":"Milepost","value":"23.3331"},{"id":17,"name":"Train ID","value":"107-26"},{"id":16,"name":"Locomotive ID","value":"4014"},{"id":130,"name":"Impact","value":""},{"id":150,"name":"Time of Event (Mountain Time)","value":"05:05:23"},{"id":151,"name":"Denver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4"/>
        <v>start /low /b %USERPROFILE%\Documents\GitHub\eaglep3\Utilities\DownloadLogsFromS3.py --loco 4014 --day 2017-06-26</v>
      </c>
      <c r="AN19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684</v>
      </c>
      <c r="B20" s="7">
        <v>4013</v>
      </c>
      <c r="C20" s="21" t="s">
        <v>202</v>
      </c>
      <c r="D20" s="21" t="s">
        <v>875</v>
      </c>
      <c r="E20" s="13">
        <v>42912.213796296295</v>
      </c>
      <c r="F20" s="13">
        <v>42912.22724537037</v>
      </c>
      <c r="G20" s="7">
        <v>0</v>
      </c>
      <c r="H20" s="21" t="s">
        <v>359</v>
      </c>
      <c r="I20" s="13">
        <v>42912.252870370372</v>
      </c>
      <c r="J20" s="7">
        <v>0</v>
      </c>
      <c r="K20" s="89" t="str">
        <f t="shared" si="0"/>
        <v>4013/4014</v>
      </c>
      <c r="L20" s="21" t="str">
        <f>VLOOKUP(A20,'Trips&amp;Operators'!$C$1:$G$99999,5,FALSE)</f>
        <v>LALONDE GREGORY</v>
      </c>
      <c r="M20" s="6">
        <f t="shared" si="1"/>
        <v>2.5625000002037268E-2</v>
      </c>
      <c r="N20" s="7">
        <f t="shared" si="15"/>
        <v>36.900000002933666</v>
      </c>
      <c r="O20" s="7"/>
      <c r="P20" s="7"/>
      <c r="Q20" s="22"/>
      <c r="R20" s="170"/>
      <c r="S20" s="213">
        <f t="shared" si="2"/>
        <v>1</v>
      </c>
      <c r="T20" s="195" t="str">
        <f t="shared" si="3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4"/>
        <v>https://d0f6bd738d7f1b3e5a7ca70fe4ff75f0.us-east-1.aws.found.io/app/kibana#/discover/Steve-Slow-Train-Analysis-(2080s-and-2083s)?_g=(refreshInterval:(display:Off,pause:!f,section:0,value:0),time:(from:'2017-06-26T04:07:52-0600',mode:absolute,to:'2017-06-26T07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7" t="str">
        <f>IF(AA20&lt;VLOOKUP(AG20,Variables!$AC$3:$AD$8,2,FALSE),"Y","N")</f>
        <v>N</v>
      </c>
      <c r="X20" s="197">
        <f t="shared" si="5"/>
        <v>1</v>
      </c>
      <c r="Y20" s="197">
        <f t="shared" si="16"/>
        <v>23.300999999999998</v>
      </c>
      <c r="Z20" s="197">
        <f t="shared" si="17"/>
        <v>1.47E-2</v>
      </c>
      <c r="AA20" s="197">
        <f t="shared" si="6"/>
        <v>23.286299999999997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7"/>
        <v>108</v>
      </c>
      <c r="AE20" s="77" t="str">
        <f t="shared" si="8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20" s="74" t="str">
        <f t="shared" si="9"/>
        <v>"C:\Program Files (x86)\AstroGrep\AstroGrep.exe" /e /r /s /spath="%USERPROFILE%\AppData\Local\Temp\OnboardLogs" /stypes="app*4013*20170626*" /stext=" 12:.+((SYSTEM_STATE.+slice.+state.+changed )|(ment ac)|(multiple cpu faults)|(system.+state.+changed )|(\[timeout)|(PRM\|1\|D)|(kpr)|(kdp)|(train st.+moving)|(\|lc)|(penalty))"</v>
      </c>
      <c r="AG20" s="209" t="str">
        <f t="shared" si="10"/>
        <v>EC</v>
      </c>
      <c r="AH20" s="78" t="str">
        <f t="shared" si="22"/>
        <v>"%USERPROFILE%\Documents\GitHub\eaglep3\Utilities\RefineRTDCRunTimes.py" --tripid 108-26 --locoid 4013 --swversion DE.1.0.9.0 --startMP 204:233010 --initTime 2017-06-26T05:07:52 --startdatetime 2017-06-26T05:27:14 --delay 0 --endMP 204:147 --enddatetime 2017-06-26T06:04:08 --enforcementcount 0 &gt;&gt;C:\Users\stu\Documents\GitHub\eaglep3-reporting\EC\2017-06-26-refined-times.txt</v>
      </c>
      <c r="AI20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{"issue":{"subject":"","project_id":79,"tracker_id":40,"status_id":1,"priority_id":2,"assigned_to_id":23,"start_date":"2017-06-26","description":"","custom_fields":[{"id":1,"name":"Subdivision","value":"EC"},{"id":4,"name":"Milepost","value":"0.0147"},{"id":17,"name":"Train ID","value":"108-26"},{"id":16,"name":"Locomotive ID","value":"4013"},{"id":130,"name":"Impact","value":""},{"id":150,"name":"Time of Event (Mountain Time)","value":"06:04:08"},{"id":151,"name":"Denver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4"/>
        <v>start /low /b %USERPROFILE%\Documents\GitHub\eaglep3\Utilities\DownloadLogsFromS3.py --loco 4013 --day 2017-06-26</v>
      </c>
      <c r="AN20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677</v>
      </c>
      <c r="B21" s="7">
        <v>4030</v>
      </c>
      <c r="C21" s="21" t="s">
        <v>202</v>
      </c>
      <c r="D21" s="21" t="s">
        <v>508</v>
      </c>
      <c r="E21" s="13">
        <v>42912.193969907406</v>
      </c>
      <c r="F21" s="13">
        <v>42912.198229166665</v>
      </c>
      <c r="G21" s="7">
        <v>1</v>
      </c>
      <c r="H21" s="21" t="s">
        <v>876</v>
      </c>
      <c r="I21" s="13">
        <v>42912.228067129632</v>
      </c>
      <c r="J21" s="7">
        <v>0</v>
      </c>
      <c r="K21" s="89" t="str">
        <f t="shared" si="0"/>
        <v>4029/4030</v>
      </c>
      <c r="L21" s="21" t="str">
        <f>VLOOKUP(A21,'Trips&amp;Operators'!$C$1:$G$99999,5,FALSE)</f>
        <v>WILLIAMS DONTE</v>
      </c>
      <c r="M21" s="6">
        <f t="shared" si="1"/>
        <v>2.9837962967576459E-2</v>
      </c>
      <c r="N21" s="7">
        <f t="shared" si="15"/>
        <v>42.966666673310101</v>
      </c>
      <c r="O21" s="7"/>
      <c r="P21" s="7"/>
      <c r="Q21" s="22"/>
      <c r="R21" s="170"/>
      <c r="S21" s="213">
        <f t="shared" si="2"/>
        <v>1</v>
      </c>
      <c r="T21" s="195" t="str">
        <f t="shared" si="3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4"/>
        <v>https://d0f6bd738d7f1b3e5a7ca70fe4ff75f0.us-east-1.aws.found.io/app/kibana#/discover/Steve-Slow-Train-Analysis-(2080s-and-2083s)?_g=(refreshInterval:(display:Off,pause:!f,section:0,value:0),time:(from:'2017-06-26T03:39:19-0600',mode:absolute,to:'2017-06-26T06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" s="197" t="str">
        <f>IF(AA21&lt;VLOOKUP(AG21,Variables!$AC$3:$AD$8,2,FALSE),"Y","N")</f>
        <v>N</v>
      </c>
      <c r="X21" s="197">
        <f t="shared" si="5"/>
        <v>1</v>
      </c>
      <c r="Y21" s="197">
        <f t="shared" si="16"/>
        <v>4.4400000000000002E-2</v>
      </c>
      <c r="Z21" s="197">
        <f t="shared" si="17"/>
        <v>23.330300000000001</v>
      </c>
      <c r="AA21" s="197">
        <f t="shared" si="6"/>
        <v>23.285900000000002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7"/>
        <v>109</v>
      </c>
      <c r="AE21" s="77" t="str">
        <f t="shared" si="8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21" s="74" t="str">
        <f t="shared" si="9"/>
        <v>"C:\Program Files (x86)\AstroGrep\AstroGrep.exe" /e /r /s /spath="%USERPROFILE%\AppData\Local\Temp\OnboardLogs" /stypes="app*4030*20170626*" /stext=" 11:.+((SYSTEM_STATE.+slice.+state.+changed )|(ment ac)|(multiple cpu faults)|(system.+state.+changed )|(\[timeout)|(PRM\|1\|D)|(kpr)|(kdp)|(train st.+moving)|(\|lc)|(penalty))"</v>
      </c>
      <c r="AG21" s="209" t="str">
        <f t="shared" si="10"/>
        <v>EC</v>
      </c>
      <c r="AH21" s="78" t="str">
        <f t="shared" si="22"/>
        <v>"%USERPROFILE%\Documents\GitHub\eaglep3\Utilities\RefineRTDCRunTimes.py" --tripid 109-26 --locoid 4030 --swversion DE.1.0.9.0 --startMP 204:444 --initTime 2017-06-26T04:39:19 --startdatetime 2017-06-26T04:45:27 --delay 1 --endMP 204:233303 --enddatetime 2017-06-26T05:28:25 --enforcementcount 0 &gt;&gt;C:\Users\stu\Documents\GitHub\eaglep3-reporting\EC\2017-06-26-refined-times.txt</v>
      </c>
      <c r="AI21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{"issue":{"subject":"","project_id":79,"tracker_id":40,"status_id":1,"priority_id":2,"assigned_to_id":23,"start_date":"2017-06-26","description":"","custom_fields":[{"id":1,"name":"Subdivision","value":"EC"},{"id":4,"name":"Milepost","value":"23.3303"},{"id":17,"name":"Train ID","value":"109-26"},{"id":16,"name":"Locomotive ID","value":"4030"},{"id":130,"name":"Impact","value":""},{"id":150,"name":"Time of Event (Mountain Time)","value":"05:28:25"},{"id":151,"name":"Denver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4"/>
        <v>start /low /b %USERPROFILE%\Documents\GitHub\eaglep3\Utilities\DownloadLogsFromS3.py --loco 4030 --day 2017-06-26</v>
      </c>
      <c r="AN21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619</v>
      </c>
      <c r="B22" s="7">
        <v>4029</v>
      </c>
      <c r="C22" s="21" t="s">
        <v>202</v>
      </c>
      <c r="D22" s="21" t="s">
        <v>481</v>
      </c>
      <c r="E22" s="13">
        <v>42912.235034722224</v>
      </c>
      <c r="F22" s="13">
        <v>42912.237766203703</v>
      </c>
      <c r="G22" s="7">
        <v>1</v>
      </c>
      <c r="H22" s="21" t="s">
        <v>194</v>
      </c>
      <c r="I22" s="13">
        <v>42912.266192129631</v>
      </c>
      <c r="J22" s="7">
        <v>0</v>
      </c>
      <c r="K22" s="89" t="str">
        <f t="shared" si="0"/>
        <v>4029/4030</v>
      </c>
      <c r="L22" s="21" t="str">
        <f>VLOOKUP(A22,'Trips&amp;Operators'!$C$1:$G$99999,5,FALSE)</f>
        <v>WILLIAMS DONTE</v>
      </c>
      <c r="M22" s="6">
        <f t="shared" si="1"/>
        <v>2.842592592787696E-2</v>
      </c>
      <c r="N22" s="7">
        <f t="shared" si="15"/>
        <v>40.933333336142823</v>
      </c>
      <c r="O22" s="7"/>
      <c r="P22" s="7"/>
      <c r="Q22" s="22"/>
      <c r="R22" s="170"/>
      <c r="S22" s="213">
        <f t="shared" si="2"/>
        <v>1</v>
      </c>
      <c r="T22" s="195" t="str">
        <f t="shared" si="3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4"/>
        <v>https://d0f6bd738d7f1b3e5a7ca70fe4ff75f0.us-east-1.aws.found.io/app/kibana#/discover/Steve-Slow-Train-Analysis-(2080s-and-2083s)?_g=(refreshInterval:(display:Off,pause:!f,section:0,value:0),time:(from:'2017-06-26T04:38:27-0600',mode:absolute,to:'2017-06-26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" s="197" t="str">
        <f>IF(AA22&lt;VLOOKUP(AG22,Variables!$AC$3:$AD$8,2,FALSE),"Y","N")</f>
        <v>N</v>
      </c>
      <c r="X22" s="197">
        <f t="shared" si="5"/>
        <v>1</v>
      </c>
      <c r="Y22" s="197">
        <f t="shared" si="16"/>
        <v>23.2986</v>
      </c>
      <c r="Z22" s="197">
        <f t="shared" si="17"/>
        <v>1.5800000000000002E-2</v>
      </c>
      <c r="AA22" s="197">
        <f t="shared" si="6"/>
        <v>23.282800000000002</v>
      </c>
      <c r="AB22" s="54" t="str">
        <f>VLOOKUP(A22,Enforcements!$C$7:$K$13,8,0)</f>
        <v>Bulletin (2)</v>
      </c>
      <c r="AC22" s="51" t="str">
        <f>VLOOKUP(A22,Enforcements!$C$7:$E$13,3,0)</f>
        <v>GRADE CROSSING</v>
      </c>
      <c r="AD22" s="206">
        <f t="shared" si="7"/>
        <v>110</v>
      </c>
      <c r="AE22" s="77" t="str">
        <f t="shared" si="8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22" s="74" t="str">
        <f t="shared" si="9"/>
        <v>"C:\Program Files (x86)\AstroGrep\AstroGrep.exe" /e /r /s /spath="%USERPROFILE%\AppData\Local\Temp\OnboardLogs" /stypes="app*4029*20170626*" /stext=" 12:.+((SYSTEM_STATE.+slice.+state.+changed )|(ment ac)|(multiple cpu faults)|(system.+state.+changed )|(\[timeout)|(PRM\|1\|D)|(kpr)|(kdp)|(train st.+moving)|(\|lc)|(penalty))"</v>
      </c>
      <c r="AG22" s="209" t="str">
        <f t="shared" si="10"/>
        <v>EC</v>
      </c>
      <c r="AH22" s="78" t="str">
        <f t="shared" si="22"/>
        <v>"%USERPROFILE%\Documents\GitHub\eaglep3\Utilities\RefineRTDCRunTimes.py" --tripid 110-26 --locoid 4029 --swversion DE.1.0.9.0 --startMP 204:232986 --initTime 2017-06-26T05:38:27 --startdatetime 2017-06-26T05:42:23 --delay 1 --endMP 204:158 --enddatetime 2017-06-26T06:23:19 --enforcementcount 0 &gt;&gt;C:\Users\stu\Documents\GitHub\eaglep3-reporting\EC\2017-06-26-refined-times.txt</v>
      </c>
      <c r="AI22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{"issue":{"subject":"","project_id":79,"tracker_id":40,"status_id":1,"priority_id":2,"assigned_to_id":23,"start_date":"2017-06-26","description":"","custom_fields":[{"id":1,"name":"Subdivision","value":"EC"},{"id":4,"name":"Milepost","value":"0.0158"},{"id":17,"name":"Train ID","value":"110-26"},{"id":16,"name":"Locomotive ID","value":"4029"},{"id":130,"name":"Impact","value":""},{"id":150,"name":"Time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4"/>
        <v>start /low /b %USERPROFILE%\Documents\GitHub\eaglep3\Utilities\DownloadLogsFromS3.py --loco 4029 --day 2017-06-26</v>
      </c>
      <c r="AN22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682</v>
      </c>
      <c r="B23" s="7">
        <v>4058</v>
      </c>
      <c r="C23" s="21" t="s">
        <v>202</v>
      </c>
      <c r="D23" s="21" t="s">
        <v>492</v>
      </c>
      <c r="E23" s="13">
        <v>42912.20521990741</v>
      </c>
      <c r="F23" s="13">
        <v>42912.208611111113</v>
      </c>
      <c r="G23" s="7">
        <v>1</v>
      </c>
      <c r="H23" s="21" t="s">
        <v>877</v>
      </c>
      <c r="I23" s="13">
        <v>42912.234305555554</v>
      </c>
      <c r="J23" s="7">
        <v>0</v>
      </c>
      <c r="K23" s="89" t="str">
        <f t="shared" si="0"/>
        <v>4057/4058</v>
      </c>
      <c r="L23" s="21" t="str">
        <f>VLOOKUP(A23,'Trips&amp;Operators'!$C$1:$G$99999,5,FALSE)</f>
        <v>MAELZER KURT</v>
      </c>
      <c r="M23" s="6">
        <f t="shared" si="1"/>
        <v>2.569444444088731E-2</v>
      </c>
      <c r="N23" s="7">
        <f t="shared" si="15"/>
        <v>36.999999994877726</v>
      </c>
      <c r="O23" s="7"/>
      <c r="P23" s="7"/>
      <c r="Q23" s="22"/>
      <c r="R23" s="170"/>
      <c r="S23" s="213">
        <f t="shared" si="2"/>
        <v>1</v>
      </c>
      <c r="T23" s="195" t="str">
        <f t="shared" si="3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4"/>
        <v>https://d0f6bd738d7f1b3e5a7ca70fe4ff75f0.us-east-1.aws.found.io/app/kibana#/discover/Steve-Slow-Train-Analysis-(2080s-and-2083s)?_g=(refreshInterval:(display:Off,pause:!f,section:0,value:0),time:(from:'2017-06-26T03:55:31-0600',mode:absolute,to:'2017-06-26T06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197" t="str">
        <f>IF(AA23&lt;VLOOKUP(AG23,Variables!$AC$3:$AD$8,2,FALSE),"Y","N")</f>
        <v>N</v>
      </c>
      <c r="X23" s="197">
        <f t="shared" si="5"/>
        <v>1</v>
      </c>
      <c r="Y23" s="197">
        <f t="shared" si="16"/>
        <v>4.58E-2</v>
      </c>
      <c r="Z23" s="197">
        <f t="shared" si="17"/>
        <v>23.331</v>
      </c>
      <c r="AA23" s="197">
        <f t="shared" si="6"/>
        <v>23.2852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7"/>
        <v>111</v>
      </c>
      <c r="AE23" s="77" t="str">
        <f t="shared" si="8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23" s="74" t="str">
        <f t="shared" si="9"/>
        <v>"C:\Program Files (x86)\AstroGrep\AstroGrep.exe" /e /r /s /spath="%USERPROFILE%\AppData\Local\Temp\OnboardLogs" /stypes="app*4058*20170626*" /stext=" 11:.+((SYSTEM_STATE.+slice.+state.+changed )|(ment ac)|(multiple cpu faults)|(system.+state.+changed )|(\[timeout)|(PRM\|1\|D)|(kpr)|(kdp)|(train st.+moving)|(\|lc)|(penalty))"</v>
      </c>
      <c r="AG23" s="209" t="str">
        <f t="shared" si="10"/>
        <v>EC</v>
      </c>
      <c r="AH23" s="78" t="str">
        <f t="shared" si="22"/>
        <v>"%USERPROFILE%\Documents\GitHub\eaglep3\Utilities\RefineRTDCRunTimes.py" --tripid 111-26 --locoid 4058 --swversion DE.1.0.9.0 --startMP 204:458 --initTime 2017-06-26T04:55:31 --startdatetime 2017-06-26T05:00:24 --delay 1 --endMP 204:233310 --enddatetime 2017-06-26T05:37:24 --enforcementcount 0 &gt;&gt;C:\Users\stu\Documents\GitHub\eaglep3-reporting\EC\2017-06-26-refined-times.txt</v>
      </c>
      <c r="AI23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{"issue":{"subject":"","project_id":79,"tracker_id":40,"status_id":1,"priority_id":2,"assigned_to_id":23,"start_date":"2017-06-26","description":"","custom_fields":[{"id":1,"name":"Subdivision","value":"EC"},{"id":4,"name":"Milepost","value":"23.331"},{"id":17,"name":"Train ID","value":"111-26"},{"id":16,"name":"Locomotive ID","value":"4058"},{"id":130,"name":"Impact","value":""},{"id":150,"name":"Time of Event (Mountain Time)","value":"05:37:24"},{"id":151,"name":"Denver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4"/>
        <v>start /low /b %USERPROFILE%\Documents\GitHub\eaglep3\Utilities\DownloadLogsFromS3.py --loco 4058 --day 2017-06-26</v>
      </c>
      <c r="AN23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691</v>
      </c>
      <c r="B24" s="7">
        <v>4057</v>
      </c>
      <c r="C24" s="21" t="s">
        <v>202</v>
      </c>
      <c r="D24" s="21" t="s">
        <v>878</v>
      </c>
      <c r="E24" s="13">
        <v>42912.24422453704</v>
      </c>
      <c r="F24" s="13">
        <v>42912.248090277775</v>
      </c>
      <c r="G24" s="7">
        <v>1</v>
      </c>
      <c r="H24" s="21" t="s">
        <v>350</v>
      </c>
      <c r="I24" s="13">
        <v>42912.274467592593</v>
      </c>
      <c r="J24" s="7">
        <v>0</v>
      </c>
      <c r="K24" s="89" t="str">
        <f t="shared" si="0"/>
        <v>4057/4058</v>
      </c>
      <c r="L24" s="21" t="str">
        <f>VLOOKUP(A24,'Trips&amp;Operators'!$C$1:$G$99999,5,FALSE)</f>
        <v>MAELZER KURT</v>
      </c>
      <c r="M24" s="6">
        <f t="shared" si="1"/>
        <v>2.6377314818091691E-2</v>
      </c>
      <c r="N24" s="7">
        <f t="shared" si="15"/>
        <v>37.983333338052034</v>
      </c>
      <c r="O24" s="7"/>
      <c r="P24" s="7"/>
      <c r="Q24" s="22"/>
      <c r="R24" s="170"/>
      <c r="S24" s="213">
        <f t="shared" si="2"/>
        <v>1</v>
      </c>
      <c r="T24" s="195" t="str">
        <f t="shared" si="3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4"/>
        <v>https://d0f6bd738d7f1b3e5a7ca70fe4ff75f0.us-east-1.aws.found.io/app/kibana#/discover/Steve-Slow-Train-Analysis-(2080s-and-2083s)?_g=(refreshInterval:(display:Off,pause:!f,section:0,value:0),time:(from:'2017-06-26T04:51:41-0600',mode:absolute,to:'2017-06-26T07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197" t="str">
        <f>IF(AA24&lt;VLOOKUP(AG24,Variables!$AC$3:$AD$8,2,FALSE),"Y","N")</f>
        <v>N</v>
      </c>
      <c r="X24" s="197">
        <f t="shared" si="5"/>
        <v>1</v>
      </c>
      <c r="Y24" s="197">
        <f t="shared" si="16"/>
        <v>23.299299999999999</v>
      </c>
      <c r="Z24" s="197">
        <f t="shared" si="17"/>
        <v>1.43E-2</v>
      </c>
      <c r="AA24" s="197">
        <f t="shared" si="6"/>
        <v>23.285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7"/>
        <v>112</v>
      </c>
      <c r="AE24" s="77" t="str">
        <f t="shared" si="8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24" s="74" t="str">
        <f t="shared" si="9"/>
        <v>"C:\Program Files (x86)\AstroGrep\AstroGrep.exe" /e /r /s /spath="%USERPROFILE%\AppData\Local\Temp\OnboardLogs" /stypes="app*4057*20170626*" /stext=" 12:.+((SYSTEM_STATE.+slice.+state.+changed )|(ment ac)|(multiple cpu faults)|(system.+state.+changed )|(\[timeout)|(PRM\|1\|D)|(kpr)|(kdp)|(train st.+moving)|(\|lc)|(penalty))"</v>
      </c>
      <c r="AG24" s="209" t="str">
        <f t="shared" si="10"/>
        <v>EC</v>
      </c>
      <c r="AH24" s="78" t="str">
        <f t="shared" si="22"/>
        <v>"%USERPROFILE%\Documents\GitHub\eaglep3\Utilities\RefineRTDCRunTimes.py" --tripid 112-26 --locoid 4057 --swversion DE.1.0.9.0 --startMP 204:232993 --initTime 2017-06-26T05:51:41 --startdatetime 2017-06-26T05:57:15 --delay 1 --endMP 204:143 --enddatetime 2017-06-26T06:35:14 --enforcementcount 0 &gt;&gt;C:\Users\stu\Documents\GitHub\eaglep3-reporting\EC\2017-06-26-refined-times.txt</v>
      </c>
      <c r="AI24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{"issue":{"subject":"","project_id":79,"tracker_id":40,"status_id":1,"priority_id":2,"assigned_to_id":23,"start_date":"2017-06-26","description":"","custom_fields":[{"id":1,"name":"Subdivision","value":"EC"},{"id":4,"name":"Milepost","value":"0.0143"},{"id":17,"name":"Train ID","value":"112-26"},{"id":16,"name":"Locomotive ID","value":"4057"},{"id":130,"name":"Impact","value":""},{"id":150,"name":"Time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4"/>
        <v>start /low /b %USERPROFILE%\Documents\GitHub\eaglep3\Utilities\DownloadLogsFromS3.py --loco 4057 --day 2017-06-26</v>
      </c>
      <c r="AN24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686</v>
      </c>
      <c r="B25" s="7">
        <v>4046</v>
      </c>
      <c r="C25" s="21" t="s">
        <v>202</v>
      </c>
      <c r="D25" s="21" t="s">
        <v>500</v>
      </c>
      <c r="E25" s="13">
        <v>42912.217129629629</v>
      </c>
      <c r="F25" s="13">
        <v>42912.219594907408</v>
      </c>
      <c r="G25" s="7">
        <v>1</v>
      </c>
      <c r="H25" s="21" t="s">
        <v>874</v>
      </c>
      <c r="I25" s="13">
        <v>42912.244502314818</v>
      </c>
      <c r="J25" s="7">
        <v>0</v>
      </c>
      <c r="K25" s="89" t="str">
        <f t="shared" si="0"/>
        <v>4045/4046</v>
      </c>
      <c r="L25" s="21" t="str">
        <f>VLOOKUP(A25,'Trips&amp;Operators'!$C$1:$G$99999,5,FALSE)</f>
        <v>HELVIE ADAM</v>
      </c>
      <c r="M25" s="6">
        <f t="shared" si="1"/>
        <v>2.4907407409045845E-2</v>
      </c>
      <c r="N25" s="7">
        <f t="shared" si="15"/>
        <v>35.866666669026017</v>
      </c>
      <c r="O25" s="7"/>
      <c r="P25" s="7"/>
      <c r="Q25" s="22"/>
      <c r="R25" s="170"/>
      <c r="S25" s="213">
        <f t="shared" si="2"/>
        <v>1</v>
      </c>
      <c r="T25" s="195" t="str">
        <f t="shared" si="3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4"/>
        <v>https://d0f6bd738d7f1b3e5a7ca70fe4ff75f0.us-east-1.aws.found.io/app/kibana#/discover/Steve-Slow-Train-Analysis-(2080s-and-2083s)?_g=(refreshInterval:(display:Off,pause:!f,section:0,value:0),time:(from:'2017-06-26T04:12:40-0600',mode:absolute,to:'2017-06-26T06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197" t="str">
        <f>IF(AA25&lt;VLOOKUP(AG25,Variables!$AC$3:$AD$8,2,FALSE),"Y","N")</f>
        <v>N</v>
      </c>
      <c r="X25" s="197">
        <f t="shared" si="5"/>
        <v>1</v>
      </c>
      <c r="Y25" s="197">
        <f t="shared" si="16"/>
        <v>4.3299999999999998E-2</v>
      </c>
      <c r="Z25" s="197">
        <f t="shared" si="17"/>
        <v>23.3291</v>
      </c>
      <c r="AA25" s="197">
        <f t="shared" si="6"/>
        <v>23.285800000000002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7"/>
        <v>113</v>
      </c>
      <c r="AE25" s="77" t="str">
        <f t="shared" si="8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25" s="74" t="str">
        <f t="shared" si="9"/>
        <v>"C:\Program Files (x86)\AstroGrep\AstroGrep.exe" /e /r /s /spath="%USERPROFILE%\AppData\Local\Temp\OnboardLogs" /stypes="app*4046*20170626*" /stext=" 11:.+((SYSTEM_STATE.+slice.+state.+changed )|(ment ac)|(multiple cpu faults)|(system.+state.+changed )|(\[timeout)|(PRM\|1\|D)|(kpr)|(kdp)|(train st.+moving)|(\|lc)|(penalty))"</v>
      </c>
      <c r="AG25" s="209" t="str">
        <f t="shared" si="10"/>
        <v>EC</v>
      </c>
      <c r="AH25" s="78" t="str">
        <f t="shared" si="22"/>
        <v>"%USERPROFILE%\Documents\GitHub\eaglep3\Utilities\RefineRTDCRunTimes.py" --tripid 113-26 --locoid 4046 --swversion DE.1.0.9.0 --startMP 204:433 --initTime 2017-06-26T05:12:40 --startdatetime 2017-06-26T05:16:13 --delay 1 --endMP 204:233291 --enddatetime 2017-06-26T05:52:05 --enforcementcount 0 &gt;&gt;C:\Users\stu\Documents\GitHub\eaglep3-reporting\EC\2017-06-26-refined-times.txt</v>
      </c>
      <c r="AI25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{"issue":{"subject":"","project_id":79,"tracker_id":40,"status_id":1,"priority_id":2,"assigned_to_id":23,"start_date":"2017-06-26","description":"","custom_fields":[{"id":1,"name":"Subdivision","value":"EC"},{"id":4,"name":"Milepost","value":"23.3291"},{"id":17,"name":"Train ID","value":"113-26"},{"id":16,"name":"Locomotive ID","value":"4046"},{"id":130,"name":"Impact","value":""},{"id":150,"name":"Time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4"/>
        <v>start /low /b %USERPROFILE%\Documents\GitHub\eaglep3\Utilities\DownloadLogsFromS3.py --loco 4046 --day 2017-06-26</v>
      </c>
      <c r="AN25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696</v>
      </c>
      <c r="B26" s="7">
        <v>4045</v>
      </c>
      <c r="C26" s="21" t="s">
        <v>202</v>
      </c>
      <c r="D26" s="21" t="s">
        <v>484</v>
      </c>
      <c r="E26" s="13">
        <v>42912.254201388889</v>
      </c>
      <c r="F26" s="13">
        <v>42912.258692129632</v>
      </c>
      <c r="G26" s="7">
        <v>1</v>
      </c>
      <c r="H26" s="21" t="s">
        <v>194</v>
      </c>
      <c r="I26" s="13">
        <v>42912.284756944442</v>
      </c>
      <c r="J26" s="7">
        <v>0</v>
      </c>
      <c r="K26" s="89" t="str">
        <f t="shared" si="0"/>
        <v>4045/4046</v>
      </c>
      <c r="L26" s="21" t="str">
        <f>VLOOKUP(A26,'Trips&amp;Operators'!$C$1:$G$99999,5,FALSE)</f>
        <v>HELVIE ADAM</v>
      </c>
      <c r="M26" s="6">
        <f t="shared" si="1"/>
        <v>2.6064814810524695E-2</v>
      </c>
      <c r="N26" s="7">
        <f t="shared" si="15"/>
        <v>37.53333332715556</v>
      </c>
      <c r="O26" s="7"/>
      <c r="P26" s="7"/>
      <c r="Q26" s="22"/>
      <c r="R26" s="170"/>
      <c r="S26" s="213">
        <f t="shared" si="2"/>
        <v>1</v>
      </c>
      <c r="T26" s="195" t="str">
        <f t="shared" si="3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4"/>
        <v>https://d0f6bd738d7f1b3e5a7ca70fe4ff75f0.us-east-1.aws.found.io/app/kibana#/discover/Steve-Slow-Train-Analysis-(2080s-and-2083s)?_g=(refreshInterval:(display:Off,pause:!f,section:0,value:0),time:(from:'2017-06-26T05:06:03-0600',mode:absolute,to:'2017-06-26T07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197" t="str">
        <f>IF(AA26&lt;VLOOKUP(AG26,Variables!$AC$3:$AD$8,2,FALSE),"Y","N")</f>
        <v>N</v>
      </c>
      <c r="X26" s="197">
        <f t="shared" si="5"/>
        <v>1</v>
      </c>
      <c r="Y26" s="197">
        <f t="shared" si="16"/>
        <v>23.297699999999999</v>
      </c>
      <c r="Z26" s="197">
        <f t="shared" si="17"/>
        <v>1.5800000000000002E-2</v>
      </c>
      <c r="AA26" s="197">
        <f t="shared" si="6"/>
        <v>23.2819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7"/>
        <v>114</v>
      </c>
      <c r="AE26" s="77" t="str">
        <f t="shared" si="8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26" s="74" t="str">
        <f t="shared" si="9"/>
        <v>"C:\Program Files (x86)\AstroGrep\AstroGrep.exe" /e /r /s /spath="%USERPROFILE%\AppData\Local\Temp\OnboardLogs" /stypes="app*4045*20170626*" /stext=" 12:.+((SYSTEM_STATE.+slice.+state.+changed )|(ment ac)|(multiple cpu faults)|(system.+state.+changed )|(\[timeout)|(PRM\|1\|D)|(kpr)|(kdp)|(train st.+moving)|(\|lc)|(penalty))"</v>
      </c>
      <c r="AG26" s="209" t="str">
        <f t="shared" si="10"/>
        <v>EC</v>
      </c>
      <c r="AH26" s="78" t="str">
        <f t="shared" si="22"/>
        <v>"%USERPROFILE%\Documents\GitHub\eaglep3\Utilities\RefineRTDCRunTimes.py" --tripid 114-26 --locoid 4045 --swversion DE.1.0.9.0 --startMP 204:232977 --initTime 2017-06-26T06:06:03 --startdatetime 2017-06-26T06:12:31 --delay 1 --endMP 204:158 --enddatetime 2017-06-26T06:50:03 --enforcementcount 0 &gt;&gt;C:\Users\stu\Documents\GitHub\eaglep3-reporting\EC\2017-06-26-refined-times.txt</v>
      </c>
      <c r="AI2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{"issue":{"subject":"","project_id":79,"tracker_id":40,"status_id":1,"priority_id":2,"assigned_to_id":23,"start_date":"2017-06-26","description":"","custom_fields":[{"id":1,"name":"Subdivision","value":"EC"},{"id":4,"name":"Milepost","value":"0.0158"},{"id":17,"name":"Train ID","value":"114-26"},{"id":16,"name":"Locomotive ID","value":"4045"},{"id":130,"name":"Impact","value":""},{"id":150,"name":"Time of Event (Mountain Time)","value":"06:50:03"},{"id":151,"name":"Denver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4"/>
        <v>start /low /b %USERPROFILE%\Documents\GitHub\eaglep3\Utilities\DownloadLogsFromS3.py --loco 4045 --day 2017-06-26</v>
      </c>
      <c r="AN2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688</v>
      </c>
      <c r="B27" s="7">
        <v>4004</v>
      </c>
      <c r="C27" s="21" t="s">
        <v>202</v>
      </c>
      <c r="D27" s="21" t="s">
        <v>446</v>
      </c>
      <c r="E27" s="13">
        <v>42912.227418981478</v>
      </c>
      <c r="F27" s="13">
        <v>42912.229386574072</v>
      </c>
      <c r="G27" s="7">
        <v>1</v>
      </c>
      <c r="H27" s="21" t="s">
        <v>879</v>
      </c>
      <c r="I27" s="13">
        <v>42912.255601851852</v>
      </c>
      <c r="J27" s="7">
        <v>0</v>
      </c>
      <c r="K27" s="89" t="str">
        <f t="shared" si="0"/>
        <v>4003/4004</v>
      </c>
      <c r="L27" s="21" t="str">
        <f>VLOOKUP(A27,'Trips&amp;Operators'!$C$1:$G$99999,5,FALSE)</f>
        <v>BONDS REYNALDO</v>
      </c>
      <c r="M27" s="6">
        <f t="shared" si="1"/>
        <v>2.6215277779556345E-2</v>
      </c>
      <c r="N27" s="7">
        <f t="shared" si="15"/>
        <v>37.750000002561137</v>
      </c>
      <c r="O27" s="7"/>
      <c r="P27" s="7"/>
      <c r="Q27" s="22"/>
      <c r="R27" s="170"/>
      <c r="S27" s="213">
        <f t="shared" si="2"/>
        <v>1</v>
      </c>
      <c r="T27" s="195" t="str">
        <f t="shared" si="3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4"/>
        <v>https://d0f6bd738d7f1b3e5a7ca70fe4ff75f0.us-east-1.aws.found.io/app/kibana#/discover/Steve-Slow-Train-Analysis-(2080s-and-2083s)?_g=(refreshInterval:(display:Off,pause:!f,section:0,value:0),time:(from:'2017-06-26T04:27:29-0600',mode:absolute,to:'2017-06-26T07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97" t="str">
        <f>IF(AA27&lt;VLOOKUP(AG27,Variables!$AC$3:$AD$8,2,FALSE),"Y","N")</f>
        <v>N</v>
      </c>
      <c r="X27" s="197">
        <f t="shared" si="5"/>
        <v>1</v>
      </c>
      <c r="Y27" s="197">
        <f t="shared" si="16"/>
        <v>4.4200000000000003E-2</v>
      </c>
      <c r="Z27" s="197">
        <f t="shared" si="17"/>
        <v>23.331900000000001</v>
      </c>
      <c r="AA27" s="197">
        <f t="shared" si="6"/>
        <v>23.287700000000001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7"/>
        <v>115</v>
      </c>
      <c r="AE27" s="77" t="str">
        <f t="shared" si="8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27" s="74" t="str">
        <f t="shared" si="9"/>
        <v>"C:\Program Files (x86)\AstroGrep\AstroGrep.exe" /e /r /s /spath="%USERPROFILE%\AppData\Local\Temp\OnboardLogs" /stypes="app*4004*20170626*" /stext=" 12:.+((SYSTEM_STATE.+slice.+state.+changed )|(ment ac)|(multiple cpu faults)|(system.+state.+changed )|(\[timeout)|(PRM\|1\|D)|(kpr)|(kdp)|(train st.+moving)|(\|lc)|(penalty))"</v>
      </c>
      <c r="AG27" s="209" t="str">
        <f t="shared" si="10"/>
        <v>EC</v>
      </c>
      <c r="AH27" s="78" t="str">
        <f t="shared" si="22"/>
        <v>"%USERPROFILE%\Documents\GitHub\eaglep3\Utilities\RefineRTDCRunTimes.py" --tripid 115-26 --locoid 4004 --swversion DE.1.0.9.0 --startMP 204:442 --initTime 2017-06-26T05:27:29 --startdatetime 2017-06-26T05:30:19 --delay 1 --endMP 204:233319 --enddatetime 2017-06-26T06:08:04 --enforcementcount 0 &gt;&gt;C:\Users\stu\Documents\GitHub\eaglep3-reporting\EC\2017-06-26-refined-times.txt</v>
      </c>
      <c r="AI2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{"issue":{"subject":"","project_id":79,"tracker_id":40,"status_id":1,"priority_id":2,"assigned_to_id":23,"start_date":"2017-06-26","description":"","custom_fields":[{"id":1,"name":"Subdivision","value":"EC"},{"id":4,"name":"Milepost","value":"23.3319"},{"id":17,"name":"Train ID","value":"115-26"},{"id":16,"name":"Locomotive ID","value":"4004"},{"id":130,"name":"Impact","value":""},{"id":150,"name":"Time of Event (Mountain Time)","value":"06:08:04"},{"id":151,"name":"Denver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4"/>
        <v>start /low /b %USERPROFILE%\Documents\GitHub\eaglep3\Utilities\DownloadLogsFromS3.py --loco 4004 --day 2017-06-26</v>
      </c>
      <c r="AN2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700</v>
      </c>
      <c r="B28" s="7">
        <v>4003</v>
      </c>
      <c r="C28" s="21" t="s">
        <v>202</v>
      </c>
      <c r="D28" s="21" t="s">
        <v>442</v>
      </c>
      <c r="E28" s="13">
        <v>42912.266203703701</v>
      </c>
      <c r="F28" s="13">
        <v>42912.268923611111</v>
      </c>
      <c r="G28" s="7">
        <v>1</v>
      </c>
      <c r="H28" s="21" t="s">
        <v>394</v>
      </c>
      <c r="I28" s="13">
        <v>42912.296689814815</v>
      </c>
      <c r="J28" s="7">
        <v>0</v>
      </c>
      <c r="K28" s="89" t="str">
        <f t="shared" si="0"/>
        <v>4003/4004</v>
      </c>
      <c r="L28" s="21" t="str">
        <f>VLOOKUP(A28,'Trips&amp;Operators'!$C$1:$G$99999,5,FALSE)</f>
        <v>BONDS REYNALDO</v>
      </c>
      <c r="M28" s="6">
        <f t="shared" si="1"/>
        <v>2.7766203704231884E-2</v>
      </c>
      <c r="N28" s="7">
        <f t="shared" si="15"/>
        <v>39.983333334093913</v>
      </c>
      <c r="O28" s="7"/>
      <c r="P28" s="7"/>
      <c r="Q28" s="22"/>
      <c r="R28" s="170"/>
      <c r="S28" s="213">
        <f t="shared" si="2"/>
        <v>1</v>
      </c>
      <c r="T28" s="195" t="str">
        <f t="shared" si="3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4"/>
        <v>https://d0f6bd738d7f1b3e5a7ca70fe4ff75f0.us-east-1.aws.found.io/app/kibana#/discover/Steve-Slow-Train-Analysis-(2080s-and-2083s)?_g=(refreshInterval:(display:Off,pause:!f,section:0,value:0),time:(from:'2017-06-26T05:23:20-0600',mode:absolute,to:'2017-06-26T08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97" t="str">
        <f>IF(AA28&lt;VLOOKUP(AG28,Variables!$AC$3:$AD$8,2,FALSE),"Y","N")</f>
        <v>N</v>
      </c>
      <c r="X28" s="197">
        <f t="shared" si="5"/>
        <v>1</v>
      </c>
      <c r="Y28" s="197">
        <f t="shared" si="16"/>
        <v>23.299600000000002</v>
      </c>
      <c r="Z28" s="197">
        <f t="shared" si="17"/>
        <v>1.54E-2</v>
      </c>
      <c r="AA28" s="197">
        <f t="shared" si="6"/>
        <v>23.284200000000002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7"/>
        <v>116</v>
      </c>
      <c r="AE28" s="77" t="str">
        <f t="shared" si="8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28" s="74" t="str">
        <f t="shared" si="9"/>
        <v>"C:\Program Files (x86)\AstroGrep\AstroGrep.exe" /e /r /s /spath="%USERPROFILE%\AppData\Local\Temp\OnboardLogs" /stypes="app*4003*20170626*" /stext=" 13:.+((SYSTEM_STATE.+slice.+state.+changed )|(ment ac)|(multiple cpu faults)|(system.+state.+changed )|(\[timeout)|(PRM\|1\|D)|(kpr)|(kdp)|(train st.+moving)|(\|lc)|(penalty))"</v>
      </c>
      <c r="AG28" s="209" t="str">
        <f t="shared" si="10"/>
        <v>EC</v>
      </c>
      <c r="AH28" s="78" t="str">
        <f t="shared" si="22"/>
        <v>"%USERPROFILE%\Documents\GitHub\eaglep3\Utilities\RefineRTDCRunTimes.py" --tripid 116-26 --locoid 4003 --swversion DE.1.0.9.0 --startMP 204:232996 --initTime 2017-06-26T06:23:20 --startdatetime 2017-06-26T06:27:15 --delay 1 --endMP 204:154 --enddatetime 2017-06-26T07:07:14 --enforcementcount 0 &gt;&gt;C:\Users\stu\Documents\GitHub\eaglep3-reporting\EC\2017-06-26-refined-times.txt</v>
      </c>
      <c r="AI2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{"issue":{"subject":"","project_id":79,"tracker_id":40,"status_id":1,"priority_id":2,"assigned_to_id":23,"start_date":"2017-06-26","description":"","custom_fields":[{"id":1,"name":"Subdivision","value":"EC"},{"id":4,"name":"Milepost","value":"0.0154"},{"id":17,"name":"Train ID","value":"116-26"},{"id":16,"name":"Locomotive ID","value":"4003"},{"id":130,"name":"Impact","value":""},{"id":150,"name":"Time of Event (Mountain Time)","value":"07:07:14"},{"id":151,"name":"Denver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4"/>
        <v>start /low /b %USERPROFILE%\Documents\GitHub\eaglep3\Utilities\DownloadLogsFromS3.py --loco 4003 --day 2017-06-26</v>
      </c>
      <c r="AN2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690</v>
      </c>
      <c r="B29" s="7">
        <v>4020</v>
      </c>
      <c r="C29" s="21" t="s">
        <v>202</v>
      </c>
      <c r="D29" s="21" t="s">
        <v>446</v>
      </c>
      <c r="E29" s="13">
        <v>42912.237164351849</v>
      </c>
      <c r="F29" s="13">
        <v>42912.240081018521</v>
      </c>
      <c r="G29" s="7">
        <v>1</v>
      </c>
      <c r="H29" s="21" t="s">
        <v>528</v>
      </c>
      <c r="I29" s="13">
        <v>42912.264687499999</v>
      </c>
      <c r="J29" s="7">
        <v>0</v>
      </c>
      <c r="K29" s="89" t="str">
        <f t="shared" si="0"/>
        <v>4019/4020</v>
      </c>
      <c r="L29" s="21" t="str">
        <f>VLOOKUP(A29,'Trips&amp;Operators'!$C$1:$G$99999,5,FALSE)</f>
        <v>MACDONALD THOMAS</v>
      </c>
      <c r="M29" s="6">
        <f t="shared" si="1"/>
        <v>2.4606481478258502E-2</v>
      </c>
      <c r="N29" s="7">
        <f t="shared" si="15"/>
        <v>35.433333328692243</v>
      </c>
      <c r="O29" s="7"/>
      <c r="P29" s="7"/>
      <c r="Q29" s="22"/>
      <c r="R29" s="170" t="s">
        <v>616</v>
      </c>
      <c r="S29" s="213">
        <f t="shared" si="2"/>
        <v>1</v>
      </c>
      <c r="T29" s="195" t="str">
        <f t="shared" si="3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4"/>
        <v>https://d0f6bd738d7f1b3e5a7ca70fe4ff75f0.us-east-1.aws.found.io/app/kibana#/discover/Steve-Slow-Train-Analysis-(2080s-and-2083s)?_g=(refreshInterval:(display:Off,pause:!f,section:0,value:0),time:(from:'2017-06-26T04:41:31-0600',mode:absolute,to:'2017-06-26T07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97" t="str">
        <f>IF(AA29&lt;VLOOKUP(AG29,Variables!$AC$3:$AD$8,2,FALSE),"Y","N")</f>
        <v>N</v>
      </c>
      <c r="X29" s="197">
        <f t="shared" si="5"/>
        <v>1</v>
      </c>
      <c r="Y29" s="197">
        <f t="shared" si="16"/>
        <v>4.4200000000000003E-2</v>
      </c>
      <c r="Z29" s="197">
        <f t="shared" si="17"/>
        <v>23.330100000000002</v>
      </c>
      <c r="AA29" s="197">
        <f t="shared" si="6"/>
        <v>23.285900000000002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7"/>
        <v>117</v>
      </c>
      <c r="AE29" s="77" t="str">
        <f t="shared" si="8"/>
        <v>aws s3 cp s3://rtdc.mdm.uploadarchive.raw/RTDC4020/ "%USERPROFILE%\AppData\Local\Temp\OnboardLogs"\RTDC4020\2017-06-26 --exclude "*" --recursive --include "*20170626*" &amp; "%USERPROFILE%\Documents\GitHub\mrs-test-scripts\Headless Mode &amp; Sideloading\WalkAndUnGZ.bat" "%USERPROFILE%\AppData\Local\Temp\OnboardLogs"\RTDC4020\2017-06-26 &amp; 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</v>
      </c>
      <c r="AF29" s="74" t="str">
        <f t="shared" si="9"/>
        <v>"C:\Program Files (x86)\AstroGrep\AstroGrep.exe" /e /r /s /spath="%USERPROFILE%\AppData\Local\Temp\OnboardLogs" /stypes="app*4020*20170626*" /stext=" 12:.+((SYSTEM_STATE.+slice.+state.+changed )|(ment ac)|(multiple cpu faults)|(system.+state.+changed )|(\[timeout)|(PRM\|1\|D)|(kpr)|(kdp)|(train st.+moving)|(\|lc)|(penalty))"</v>
      </c>
      <c r="AG29" s="209" t="str">
        <f t="shared" si="10"/>
        <v>EC</v>
      </c>
      <c r="AH29" s="78" t="str">
        <f t="shared" si="22"/>
        <v>"%USERPROFILE%\Documents\GitHub\eaglep3\Utilities\RefineRTDCRunTimes.py" --tripid 117-26 --locoid 4020 --swversion DE.1.0.9.0 --startMP 204:442 --initTime 2017-06-26T05:41:31 --startdatetime 2017-06-26T05:45:43 --delay 1 --endMP 204:233301 --enddatetime 2017-06-26T06:21:09 --enforcementcount 0 &gt;&gt;C:\Users\stu\Documents\GitHub\eaglep3-reporting\EC\2017-06-26-refined-times.txt</v>
      </c>
      <c r="AI29" s="96" t="str">
        <f t="shared" si="23"/>
        <v>echo {"issue":{"subject":"Selected wrong track at first","project_id":79,"tracker_id":40,"status_id":1,"priority_id":2,"assigned_to_id":23,"start_date":"2017-06-26","description":"","custom_fields":[{"id":1,"name":"Subdivision","value":"EC"},{"id":4,"name":"Milepost","value":"23.3301"},{"id":17,"name":"Train ID","value":"117-26"},{"id":16,"name":"Locomotive ID","value":"4020"},{"id":130,"name":"Impact","value":""},{"id":150,"name":"Time of Event (Mountain Time)","value":"06:21:09"},{"id":151,"name":"Denver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4"/>
        <v>start /low /b %USERPROFILE%\Documents\GitHub\eaglep3\Utilities\DownloadLogsFromS3.py --loco 4020 --day 2017-06-26</v>
      </c>
      <c r="AN29" s="151" t="str">
        <f t="shared" si="25"/>
        <v>echo {"issue":{"subject":"Selected wrong track at first","project_id":30,"tracker_id":4,"status_id":1,"priority_id":1,"assigned_to_id":10,"start_date":"2017-06-26","description":"","custom_fields":[{"id":30,"name":"Category","value":"Issue"},{"id":3,"name":"Functional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704</v>
      </c>
      <c r="B30" s="7">
        <v>4019</v>
      </c>
      <c r="C30" s="21" t="s">
        <v>202</v>
      </c>
      <c r="D30" s="21" t="s">
        <v>441</v>
      </c>
      <c r="E30" s="13">
        <v>42912.277361111112</v>
      </c>
      <c r="F30" s="13">
        <v>42912.279722222222</v>
      </c>
      <c r="G30" s="7">
        <v>1</v>
      </c>
      <c r="H30" s="21" t="s">
        <v>193</v>
      </c>
      <c r="I30" s="13">
        <v>42912.306273148148</v>
      </c>
      <c r="J30" s="7">
        <v>0</v>
      </c>
      <c r="K30" s="89" t="str">
        <f t="shared" si="0"/>
        <v>4019/4020</v>
      </c>
      <c r="L30" s="21" t="str">
        <f>VLOOKUP(A30,'Trips&amp;Operators'!$C$1:$G$99999,5,FALSE)</f>
        <v>MACDONALD THOMAS</v>
      </c>
      <c r="M30" s="6">
        <f t="shared" si="1"/>
        <v>2.6550925926130731E-2</v>
      </c>
      <c r="N30" s="7">
        <f t="shared" si="15"/>
        <v>38.233333333628252</v>
      </c>
      <c r="O30" s="7"/>
      <c r="P30" s="7"/>
      <c r="Q30" s="22"/>
      <c r="R30" s="170"/>
      <c r="S30" s="213">
        <f t="shared" si="2"/>
        <v>1</v>
      </c>
      <c r="T30" s="195" t="str">
        <f t="shared" si="3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4"/>
        <v>https://d0f6bd738d7f1b3e5a7ca70fe4ff75f0.us-east-1.aws.found.io/app/kibana#/discover/Steve-Slow-Train-Analysis-(2080s-and-2083s)?_g=(refreshInterval:(display:Off,pause:!f,section:0,value:0),time:(from:'2017-06-26T05:39:24-0600',mode:absolute,to:'2017-06-26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197" t="str">
        <f>IF(AA30&lt;VLOOKUP(AG30,Variables!$AC$3:$AD$8,2,FALSE),"Y","N")</f>
        <v>N</v>
      </c>
      <c r="X30" s="197">
        <f t="shared" si="5"/>
        <v>1</v>
      </c>
      <c r="Y30" s="197">
        <f t="shared" si="16"/>
        <v>23.2971</v>
      </c>
      <c r="Z30" s="197">
        <f t="shared" si="17"/>
        <v>1.52E-2</v>
      </c>
      <c r="AA30" s="197">
        <f t="shared" si="6"/>
        <v>23.2819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7"/>
        <v>118</v>
      </c>
      <c r="AE30" s="77" t="str">
        <f t="shared" si="8"/>
        <v>aws s3 cp s3://rtdc.mdm.uploadarchive.raw/RTDC4019/ "%USERPROFILE%\AppData\Local\Temp\OnboardLogs"\RTDC4019\2017-06-26 --exclude "*" --recursive --include "*20170626*" &amp; "%USERPROFILE%\Documents\GitHub\mrs-test-scripts\Headless Mode &amp; Sideloading\WalkAndUnGZ.bat" "%USERPROFILE%\AppData\Local\Temp\OnboardLogs"\RTDC4019\2017-06-26 &amp; 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</v>
      </c>
      <c r="AF30" s="74" t="str">
        <f t="shared" si="9"/>
        <v>"C:\Program Files (x86)\AstroGrep\AstroGrep.exe" /e /r /s /spath="%USERPROFILE%\AppData\Local\Temp\OnboardLogs" /stypes="app*4019*20170626*" /stext=" 13:.+((SYSTEM_STATE.+slice.+state.+changed )|(ment ac)|(multiple cpu faults)|(system.+state.+changed )|(\[timeout)|(PRM\|1\|D)|(kpr)|(kdp)|(train st.+moving)|(\|lc)|(penalty))"</v>
      </c>
      <c r="AG30" s="209" t="str">
        <f t="shared" si="10"/>
        <v>EC</v>
      </c>
      <c r="AH30" s="78" t="str">
        <f t="shared" si="22"/>
        <v>"%USERPROFILE%\Documents\GitHub\eaglep3\Utilities\RefineRTDCRunTimes.py" --tripid 118-26 --locoid 4019 --swversion DE.1.0.9.0 --startMP 204:232971 --initTime 2017-06-26T06:39:24 --startdatetime 2017-06-26T06:42:48 --delay 1 --endMP 204:152 --enddatetime 2017-06-26T07:21:02 --enforcementcount 0 &gt;&gt;C:\Users\stu\Documents\GitHub\eaglep3-reporting\EC\2017-06-26-refined-times.txt</v>
      </c>
      <c r="AI30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ID","value":"118-26"},{"id":16,"name":"Locomotive ID","value":"4019"},{"id":130,"name":"Impact","value":""},{"id":150,"name":"Time of Event (Mountain Time)","value":"07:21:02"},{"id":151,"name":"Denver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4"/>
        <v>start /low /b %USERPROFILE%\Documents\GitHub\eaglep3\Utilities\DownloadLogsFromS3.py --loco 4019 --day 2017-06-26</v>
      </c>
      <c r="AN30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695</v>
      </c>
      <c r="B31" s="7">
        <v>4054</v>
      </c>
      <c r="C31" s="21" t="s">
        <v>202</v>
      </c>
      <c r="D31" s="21" t="s">
        <v>465</v>
      </c>
      <c r="E31" s="13">
        <v>42912.248344907406</v>
      </c>
      <c r="F31" s="13">
        <v>42912.250300925924</v>
      </c>
      <c r="G31" s="7">
        <v>1</v>
      </c>
      <c r="H31" s="21" t="s">
        <v>880</v>
      </c>
      <c r="I31" s="13">
        <v>42912.275879629633</v>
      </c>
      <c r="J31" s="7">
        <v>0</v>
      </c>
      <c r="K31" s="89" t="str">
        <f t="shared" si="0"/>
        <v>4053/4054</v>
      </c>
      <c r="L31" s="21" t="str">
        <f>VLOOKUP(A31,'Trips&amp;Operators'!$C$1:$G$99999,5,FALSE)</f>
        <v>STARKS ANGELINA</v>
      </c>
      <c r="M31" s="6">
        <f t="shared" si="1"/>
        <v>2.5578703709470574E-2</v>
      </c>
      <c r="N31" s="7">
        <f t="shared" si="15"/>
        <v>36.833333341637626</v>
      </c>
      <c r="O31" s="7"/>
      <c r="P31" s="7"/>
      <c r="Q31" s="22"/>
      <c r="R31" s="170"/>
      <c r="S31" s="213">
        <f t="shared" si="2"/>
        <v>1</v>
      </c>
      <c r="T31" s="195" t="str">
        <f t="shared" si="3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4"/>
        <v>https://d0f6bd738d7f1b3e5a7ca70fe4ff75f0.us-east-1.aws.found.io/app/kibana#/discover/Steve-Slow-Train-Analysis-(2080s-and-2083s)?_g=(refreshInterval:(display:Off,pause:!f,section:0,value:0),time:(from:'2017-06-26T04:57:37-0600',mode:absolute,to:'2017-06-26T07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97" t="str">
        <f>IF(AA31&lt;VLOOKUP(AG31,Variables!$AC$3:$AD$8,2,FALSE),"Y","N")</f>
        <v>N</v>
      </c>
      <c r="X31" s="197">
        <f t="shared" si="5"/>
        <v>1</v>
      </c>
      <c r="Y31" s="197">
        <f t="shared" si="16"/>
        <v>4.5499999999999999E-2</v>
      </c>
      <c r="Z31" s="197">
        <f t="shared" si="17"/>
        <v>23.329499999999999</v>
      </c>
      <c r="AA31" s="197">
        <f t="shared" si="6"/>
        <v>23.283999999999999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7"/>
        <v>119</v>
      </c>
      <c r="AE31" s="77" t="str">
        <f t="shared" si="8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31" s="74" t="str">
        <f t="shared" si="9"/>
        <v>"C:\Program Files (x86)\AstroGrep\AstroGrep.exe" /e /r /s /spath="%USERPROFILE%\AppData\Local\Temp\OnboardLogs" /stypes="app*4054*20170626*" /stext=" 12:.+((SYSTEM_STATE.+slice.+state.+changed )|(ment ac)|(multiple cpu faults)|(system.+state.+changed )|(\[timeout)|(PRM\|1\|D)|(kpr)|(kdp)|(train st.+moving)|(\|lc)|(penalty))"</v>
      </c>
      <c r="AG31" s="209" t="str">
        <f t="shared" si="10"/>
        <v>EC</v>
      </c>
      <c r="AH31" s="78" t="str">
        <f t="shared" si="22"/>
        <v>"%USERPROFILE%\Documents\GitHub\eaglep3\Utilities\RefineRTDCRunTimes.py" --tripid 119-26 --locoid 4054 --swversion DE.1.0.9.0 --startMP 204:455 --initTime 2017-06-26T05:57:37 --startdatetime 2017-06-26T06:00:26 --delay 1 --endMP 204:233295 --enddatetime 2017-06-26T06:37:16 --enforcementcount 0 &gt;&gt;C:\Users\stu\Documents\GitHub\eaglep3-reporting\EC\2017-06-26-refined-times.txt</v>
      </c>
      <c r="AI31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{"issue":{"subject":"","project_id":79,"tracker_id":40,"status_id":1,"priority_id":2,"assigned_to_id":23,"start_date":"2017-06-26","description":"","custom_fields":[{"id":1,"name":"Subdivision","value":"EC"},{"id":4,"name":"Milepost","value":"23.3295"},{"id":17,"name":"Train ID","value":"119-26"},{"id":16,"name":"Locomotive ID","value":"4054"},{"id":130,"name":"Impact","value":""},{"id":150,"name":"Time of Event (Mountain Time)","value":"06:37:16"},{"id":151,"name":"Denver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4"/>
        <v>start /low /b %USERPROFILE%\Documents\GitHub\eaglep3\Utilities\DownloadLogsFromS3.py --loco 4054 --day 2017-06-26</v>
      </c>
      <c r="AN31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706</v>
      </c>
      <c r="B32" s="7">
        <v>4053</v>
      </c>
      <c r="C32" s="21" t="s">
        <v>202</v>
      </c>
      <c r="D32" s="21" t="s">
        <v>881</v>
      </c>
      <c r="E32" s="13">
        <v>42912.287627314814</v>
      </c>
      <c r="F32" s="13">
        <v>42912.289756944447</v>
      </c>
      <c r="G32" s="7">
        <v>1</v>
      </c>
      <c r="H32" s="21" t="s">
        <v>358</v>
      </c>
      <c r="I32" s="13">
        <v>42912.318113425928</v>
      </c>
      <c r="J32" s="7">
        <v>0</v>
      </c>
      <c r="K32" s="89" t="str">
        <f t="shared" si="0"/>
        <v>4053/4054</v>
      </c>
      <c r="L32" s="21" t="str">
        <f>VLOOKUP(A32,'Trips&amp;Operators'!$C$1:$G$99999,5,FALSE)</f>
        <v>STARKS ANGELINA</v>
      </c>
      <c r="M32" s="6">
        <f t="shared" si="1"/>
        <v>2.8356481481750961E-2</v>
      </c>
      <c r="N32" s="7">
        <f t="shared" si="15"/>
        <v>40.833333333721384</v>
      </c>
      <c r="O32" s="7"/>
      <c r="P32" s="7"/>
      <c r="Q32" s="22"/>
      <c r="R32" s="170"/>
      <c r="S32" s="213">
        <f t="shared" si="2"/>
        <v>1</v>
      </c>
      <c r="T32" s="195" t="str">
        <f t="shared" si="3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4"/>
        <v>https://d0f6bd738d7f1b3e5a7ca70fe4ff75f0.us-east-1.aws.found.io/app/kibana#/discover/Steve-Slow-Train-Analysis-(2080s-and-2083s)?_g=(refreshInterval:(display:Off,pause:!f,section:0,value:0),time:(from:'2017-06-26T05:54:11-0600',mode:absolute,to:'2017-06-26T08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97" t="str">
        <f>IF(AA32&lt;VLOOKUP(AG32,Variables!$AC$3:$AD$8,2,FALSE),"Y","N")</f>
        <v>N</v>
      </c>
      <c r="X32" s="197">
        <f t="shared" si="5"/>
        <v>1</v>
      </c>
      <c r="Y32" s="197">
        <f t="shared" si="16"/>
        <v>23.297899999999998</v>
      </c>
      <c r="Z32" s="197">
        <f t="shared" si="17"/>
        <v>1.41E-2</v>
      </c>
      <c r="AA32" s="197">
        <f t="shared" si="6"/>
        <v>23.283799999999999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7"/>
        <v>120</v>
      </c>
      <c r="AE32" s="77" t="str">
        <f t="shared" si="8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32" s="74" t="str">
        <f t="shared" si="9"/>
        <v>"C:\Program Files (x86)\AstroGrep\AstroGrep.exe" /e /r /s /spath="%USERPROFILE%\AppData\Local\Temp\OnboardLogs" /stypes="app*4053*20170626*" /stext=" 13:.+((SYSTEM_STATE.+slice.+state.+changed )|(ment ac)|(multiple cpu faults)|(system.+state.+changed )|(\[timeout)|(PRM\|1\|D)|(kpr)|(kdp)|(train st.+moving)|(\|lc)|(penalty))"</v>
      </c>
      <c r="AG32" s="209" t="str">
        <f t="shared" si="10"/>
        <v>EC</v>
      </c>
      <c r="AH32" s="78" t="str">
        <f t="shared" si="22"/>
        <v>"%USERPROFILE%\Documents\GitHub\eaglep3\Utilities\RefineRTDCRunTimes.py" --tripid 120-26 --locoid 4053 --swversion DE.1.0.9.0 --startMP 204:232979 --initTime 2017-06-26T06:54:11 --startdatetime 2017-06-26T06:57:15 --delay 1 --endMP 204:141 --enddatetime 2017-06-26T07:38:05 --enforcementcount 0 &gt;&gt;C:\Users\stu\Documents\GitHub\eaglep3-reporting\EC\2017-06-26-refined-times.txt</v>
      </c>
      <c r="AI32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{"issue":{"subject":"","project_id":79,"tracker_id":40,"status_id":1,"priority_id":2,"assigned_to_id":23,"start_date":"2017-06-26","description":"","custom_fields":[{"id":1,"name":"Subdivision","value":"EC"},{"id":4,"name":"Milepost","value":"0.0141"},{"id":17,"name":"Train ID","value":"120-26"},{"id":16,"name":"Locomotive ID","value":"4053"},{"id":130,"name":"Impact","value":""},{"id":150,"name":"Time of Event (Mountain Time)","value":"07:38:05"},{"id":151,"name":"Denver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4"/>
        <v>start /low /b %USERPROFILE%\Documents\GitHub\eaglep3\Utilities\DownloadLogsFromS3.py --loco 4053 --day 2017-06-26</v>
      </c>
      <c r="AN32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697</v>
      </c>
      <c r="B33" s="7">
        <v>4014</v>
      </c>
      <c r="C33" s="21" t="s">
        <v>202</v>
      </c>
      <c r="D33" s="21" t="s">
        <v>508</v>
      </c>
      <c r="E33" s="13">
        <v>42912.254826388889</v>
      </c>
      <c r="F33" s="13">
        <v>42912.260578703703</v>
      </c>
      <c r="G33" s="7">
        <v>1</v>
      </c>
      <c r="H33" s="21" t="s">
        <v>882</v>
      </c>
      <c r="I33" s="13">
        <v>42912.28466435185</v>
      </c>
      <c r="J33" s="7">
        <v>0</v>
      </c>
      <c r="K33" s="89" t="str">
        <f t="shared" si="0"/>
        <v>4013/4014</v>
      </c>
      <c r="L33" s="21" t="str">
        <f>VLOOKUP(A33,'Trips&amp;Operators'!$C$1:$G$99999,5,FALSE)</f>
        <v>LALONDE GREGORY</v>
      </c>
      <c r="M33" s="6">
        <f t="shared" si="1"/>
        <v>2.4085648146865424E-2</v>
      </c>
      <c r="N33" s="7">
        <f t="shared" si="15"/>
        <v>34.68333333148621</v>
      </c>
      <c r="O33" s="7"/>
      <c r="P33" s="7"/>
      <c r="Q33" s="22"/>
      <c r="R33" s="170"/>
      <c r="S33" s="213">
        <f t="shared" si="2"/>
        <v>1</v>
      </c>
      <c r="T33" s="195" t="str">
        <f t="shared" si="3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4"/>
        <v>https://d0f6bd738d7f1b3e5a7ca70fe4ff75f0.us-east-1.aws.found.io/app/kibana#/discover/Steve-Slow-Train-Analysis-(2080s-and-2083s)?_g=(refreshInterval:(display:Off,pause:!f,section:0,value:0),time:(from:'2017-06-26T05:06:57-0600',mode:absolute,to:'2017-06-26T07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7" t="str">
        <f>IF(AA33&lt;VLOOKUP(AG33,Variables!$AC$3:$AD$8,2,FALSE),"Y","N")</f>
        <v>N</v>
      </c>
      <c r="X33" s="197">
        <f t="shared" si="5"/>
        <v>1</v>
      </c>
      <c r="Y33" s="197">
        <f t="shared" si="16"/>
        <v>4.4400000000000002E-2</v>
      </c>
      <c r="Z33" s="197">
        <f t="shared" si="17"/>
        <v>23.334700000000002</v>
      </c>
      <c r="AA33" s="197">
        <f t="shared" si="6"/>
        <v>23.290300000000002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7"/>
        <v>121</v>
      </c>
      <c r="AE33" s="77" t="str">
        <f t="shared" si="8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33" s="74" t="str">
        <f t="shared" si="9"/>
        <v>"C:\Program Files (x86)\AstroGrep\AstroGrep.exe" /e /r /s /spath="%USERPROFILE%\AppData\Local\Temp\OnboardLogs" /stypes="app*4014*20170626*" /stext=" 12:.+((SYSTEM_STATE.+slice.+state.+changed )|(ment ac)|(multiple cpu faults)|(system.+state.+changed )|(\[timeout)|(PRM\|1\|D)|(kpr)|(kdp)|(train st.+moving)|(\|lc)|(penalty))"</v>
      </c>
      <c r="AG33" s="209" t="str">
        <f t="shared" si="10"/>
        <v>EC</v>
      </c>
      <c r="AH33" s="78" t="str">
        <f t="shared" si="22"/>
        <v>"%USERPROFILE%\Documents\GitHub\eaglep3\Utilities\RefineRTDCRunTimes.py" --tripid 121-26 --locoid 4014 --swversion DE.1.0.9.0 --startMP 204:444 --initTime 2017-06-26T06:06:57 --startdatetime 2017-06-26T06:15:14 --delay 1 --endMP 204:233347 --enddatetime 2017-06-26T06:49:55 --enforcementcount 0 &gt;&gt;C:\Users\stu\Documents\GitHub\eaglep3-reporting\EC\2017-06-26-refined-times.txt</v>
      </c>
      <c r="AI33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{"issue":{"subject":"","project_id":79,"tracker_id":40,"status_id":1,"priority_id":2,"assigned_to_id":23,"start_date":"2017-06-26","description":"","custom_fields":[{"id":1,"name":"Subdivision","value":"EC"},{"id":4,"name":"Milepost","value":"23.3347"},{"id":17,"name":"Train ID","value":"121-26"},{"id":16,"name":"Locomotive ID","value":"4014"},{"id":130,"name":"Impact","value":""},{"id":150,"name":"Time of Event (Mountain Time)","value":"06:49:55"},{"id":151,"name":"Denver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4"/>
        <v>start /low /b %USERPROFILE%\Documents\GitHub\eaglep3\Utilities\DownloadLogsFromS3.py --loco 4014 --day 2017-06-26</v>
      </c>
      <c r="AN33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705</v>
      </c>
      <c r="B34" s="7">
        <v>4013</v>
      </c>
      <c r="C34" s="21" t="s">
        <v>202</v>
      </c>
      <c r="D34" s="21" t="s">
        <v>526</v>
      </c>
      <c r="E34" s="13">
        <v>42912.286134259259</v>
      </c>
      <c r="F34" s="13">
        <v>42912.300150462965</v>
      </c>
      <c r="G34" s="7">
        <v>1</v>
      </c>
      <c r="H34" s="21" t="s">
        <v>348</v>
      </c>
      <c r="I34" s="13">
        <v>42912.32603009259</v>
      </c>
      <c r="J34" s="7">
        <v>0</v>
      </c>
      <c r="K34" s="89" t="str">
        <f t="shared" si="0"/>
        <v>4013/4014</v>
      </c>
      <c r="L34" s="21" t="str">
        <f>VLOOKUP(A34,'Trips&amp;Operators'!$C$1:$G$99999,5,FALSE)</f>
        <v>LALONDE GREGORY</v>
      </c>
      <c r="M34" s="6">
        <f t="shared" si="1"/>
        <v>2.5879629625706002E-2</v>
      </c>
      <c r="N34" s="7">
        <f t="shared" si="15"/>
        <v>37.266666661016643</v>
      </c>
      <c r="O34" s="7"/>
      <c r="P34" s="7"/>
      <c r="Q34" s="22"/>
      <c r="R34" s="170"/>
      <c r="S34" s="213">
        <f t="shared" si="2"/>
        <v>1</v>
      </c>
      <c r="T34" s="195" t="str">
        <f t="shared" si="3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4"/>
        <v>https://d0f6bd738d7f1b3e5a7ca70fe4ff75f0.us-east-1.aws.found.io/app/kibana#/discover/Steve-Slow-Train-Analysis-(2080s-and-2083s)?_g=(refreshInterval:(display:Off,pause:!f,section:0,value:0),time:(from:'2017-06-26T05:52:02-0600',mode:absolute,to:'2017-06-26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97" t="str">
        <f>IF(AA34&lt;VLOOKUP(AG34,Variables!$AC$3:$AD$8,2,FALSE),"Y","N")</f>
        <v>N</v>
      </c>
      <c r="X34" s="197">
        <f t="shared" si="5"/>
        <v>1</v>
      </c>
      <c r="Y34" s="197">
        <f t="shared" si="16"/>
        <v>23.301500000000001</v>
      </c>
      <c r="Z34" s="197">
        <f t="shared" si="17"/>
        <v>1.4999999999999999E-2</v>
      </c>
      <c r="AA34" s="197">
        <f t="shared" si="6"/>
        <v>23.2865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7"/>
        <v>122</v>
      </c>
      <c r="AE34" s="77" t="str">
        <f t="shared" si="8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34" s="74" t="str">
        <f t="shared" si="9"/>
        <v>"C:\Program Files (x86)\AstroGrep\AstroGrep.exe" /e /r /s /spath="%USERPROFILE%\AppData\Local\Temp\OnboardLogs" /stypes="app*4013*20170626*" /stext=" 13:.+((SYSTEM_STATE.+slice.+state.+changed )|(ment ac)|(multiple cpu faults)|(system.+state.+changed )|(\[timeout)|(PRM\|1\|D)|(kpr)|(kdp)|(train st.+moving)|(\|lc)|(penalty))"</v>
      </c>
      <c r="AG34" s="209" t="str">
        <f t="shared" si="10"/>
        <v>EC</v>
      </c>
      <c r="AH34" s="78" t="str">
        <f t="shared" si="22"/>
        <v>"%USERPROFILE%\Documents\GitHub\eaglep3\Utilities\RefineRTDCRunTimes.py" --tripid 122-26 --locoid 4013 --swversion DE.1.0.9.0 --startMP 204:233015 --initTime 2017-06-26T06:52:02 --startdatetime 2017-06-26T07:12:13 --delay 1 --endMP 204:150 --enddatetime 2017-06-26T07:49:29 --enforcementcount 0 &gt;&gt;C:\Users\stu\Documents\GitHub\eaglep3-reporting\EC\2017-06-26-refined-times.txt</v>
      </c>
      <c r="AI34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{"issue":{"subject":"","project_id":79,"tracker_id":40,"status_id":1,"priority_id":2,"assigned_to_id":23,"start_date":"2017-06-26","description":"","custom_fields":[{"id":1,"name":"Subdivision","value":"EC"},{"id":4,"name":"Milepost","value":"0.015"},{"id":17,"name":"Train ID","value":"122-26"},{"id":16,"name":"Locomotive ID","value":"4013"},{"id":130,"name":"Impact","value":""},{"id":150,"name":"Time of Event (Mountain Time)","value":"07:49:29"},{"id":151,"name":"Denver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4"/>
        <v>start /low /b %USERPROFILE%\Documents\GitHub\eaglep3\Utilities\DownloadLogsFromS3.py --loco 4013 --day 2017-06-26</v>
      </c>
      <c r="AN34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621</v>
      </c>
      <c r="B35" s="7">
        <v>4030</v>
      </c>
      <c r="C35" s="21" t="s">
        <v>202</v>
      </c>
      <c r="D35" s="21" t="s">
        <v>351</v>
      </c>
      <c r="E35" s="13">
        <v>42912.268657407411</v>
      </c>
      <c r="F35" s="13">
        <v>42912.271307870367</v>
      </c>
      <c r="G35" s="7">
        <v>1</v>
      </c>
      <c r="H35" s="21" t="s">
        <v>499</v>
      </c>
      <c r="I35" s="13">
        <v>42912.298773148148</v>
      </c>
      <c r="J35" s="7">
        <v>0</v>
      </c>
      <c r="K35" s="89" t="str">
        <f t="shared" si="0"/>
        <v>4029/4030</v>
      </c>
      <c r="L35" s="21" t="str">
        <f>VLOOKUP(A35,'Trips&amp;Operators'!$C$1:$G$99999,5,FALSE)</f>
        <v>WILLIAMS DONTE</v>
      </c>
      <c r="M35" s="6">
        <f t="shared" si="1"/>
        <v>2.7465277780720498E-2</v>
      </c>
      <c r="N35" s="7">
        <f t="shared" si="15"/>
        <v>39.550000004237518</v>
      </c>
      <c r="O35" s="7"/>
      <c r="P35" s="7"/>
      <c r="Q35" s="22"/>
      <c r="R35" s="170"/>
      <c r="S35" s="213">
        <f t="shared" si="2"/>
        <v>1</v>
      </c>
      <c r="T35" s="195" t="str">
        <f t="shared" si="3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4"/>
        <v>https://d0f6bd738d7f1b3e5a7ca70fe4ff75f0.us-east-1.aws.found.io/app/kibana#/discover/Steve-Slow-Train-Analysis-(2080s-and-2083s)?_g=(refreshInterval:(display:Off,pause:!f,section:0,value:0),time:(from:'2017-06-26T05:26:52-0600',mode:absolute,to:'2017-06-26T08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5" s="197" t="str">
        <f>IF(AA35&lt;VLOOKUP(AG35,Variables!$AC$3:$AD$8,2,FALSE),"Y","N")</f>
        <v>N</v>
      </c>
      <c r="X35" s="197">
        <f t="shared" si="5"/>
        <v>1</v>
      </c>
      <c r="Y35" s="197">
        <f t="shared" si="16"/>
        <v>4.6600000000000003E-2</v>
      </c>
      <c r="Z35" s="197">
        <f t="shared" si="17"/>
        <v>23.3308</v>
      </c>
      <c r="AA35" s="197">
        <f t="shared" si="6"/>
        <v>23.284199999999998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7"/>
        <v>123</v>
      </c>
      <c r="AE35" s="77" t="str">
        <f t="shared" si="8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35" s="74" t="str">
        <f t="shared" si="9"/>
        <v>"C:\Program Files (x86)\AstroGrep\AstroGrep.exe" /e /r /s /spath="%USERPROFILE%\AppData\Local\Temp\OnboardLogs" /stypes="app*4030*20170626*" /stext=" 13:.+((SYSTEM_STATE.+slice.+state.+changed )|(ment ac)|(multiple cpu faults)|(system.+state.+changed )|(\[timeout)|(PRM\|1\|D)|(kpr)|(kdp)|(train st.+moving)|(\|lc)|(penalty))"</v>
      </c>
      <c r="AG35" s="209" t="str">
        <f t="shared" si="10"/>
        <v>EC</v>
      </c>
      <c r="AH35" s="78" t="str">
        <f t="shared" si="22"/>
        <v>"%USERPROFILE%\Documents\GitHub\eaglep3\Utilities\RefineRTDCRunTimes.py" --tripid 123-26 --locoid 4030 --swversion DE.1.0.9.0 --startMP 204:466 --initTime 2017-06-26T06:26:52 --startdatetime 2017-06-26T06:30:41 --delay 1 --endMP 204:233308 --enddatetime 2017-06-26T07:10:14 --enforcementcount 0 &gt;&gt;C:\Users\stu\Documents\GitHub\eaglep3-reporting\EC\2017-06-26-refined-times.txt</v>
      </c>
      <c r="AI35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{"issue":{"subject":"","project_id":79,"tracker_id":40,"status_id":1,"priority_id":2,"assigned_to_id":23,"start_date":"2017-06-26","description":"","custom_fields":[{"id":1,"name":"Subdivision","value":"EC"},{"id":4,"name":"Milepost","value":"23.3308"},{"id":17,"name":"Train ID","value":"123-26"},{"id":16,"name":"Locomotive ID","value":"4030"},{"id":130,"name":"Impact","value":""},{"id":150,"name":"Time of Event (Mountain Time)","value":"07:10:14"},{"id":151,"name":"Denver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4"/>
        <v>start /low /b %USERPROFILE%\Documents\GitHub\eaglep3\Utilities\DownloadLogsFromS3.py --loco 4030 --day 2017-06-26</v>
      </c>
      <c r="AN35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711</v>
      </c>
      <c r="B36" s="7">
        <v>4029</v>
      </c>
      <c r="C36" s="21" t="s">
        <v>202</v>
      </c>
      <c r="D36" s="21" t="s">
        <v>490</v>
      </c>
      <c r="E36" s="13">
        <v>42912.301064814812</v>
      </c>
      <c r="F36" s="13">
        <v>42912.310879629629</v>
      </c>
      <c r="G36" s="7">
        <v>1</v>
      </c>
      <c r="H36" s="21" t="s">
        <v>452</v>
      </c>
      <c r="I36" s="13">
        <v>42912.339409722219</v>
      </c>
      <c r="J36" s="7">
        <v>0</v>
      </c>
      <c r="K36" s="89" t="str">
        <f t="shared" si="0"/>
        <v>4029/4030</v>
      </c>
      <c r="L36" s="21" t="str">
        <f>VLOOKUP(A36,'Trips&amp;Operators'!$C$1:$G$99999,5,FALSE)</f>
        <v>WILLIAMS DONTE</v>
      </c>
      <c r="M36" s="6">
        <f t="shared" si="1"/>
        <v>2.8530092589790002E-2</v>
      </c>
      <c r="N36" s="7">
        <f t="shared" si="15"/>
        <v>41.083333329297602</v>
      </c>
      <c r="O36" s="7"/>
      <c r="P36" s="7"/>
      <c r="Q36" s="22"/>
      <c r="R36" s="170"/>
      <c r="S36" s="213">
        <f t="shared" si="2"/>
        <v>1</v>
      </c>
      <c r="T36" s="195" t="str">
        <f t="shared" si="3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4"/>
        <v>https://d0f6bd738d7f1b3e5a7ca70fe4ff75f0.us-east-1.aws.found.io/app/kibana#/discover/Steve-Slow-Train-Analysis-(2080s-and-2083s)?_g=(refreshInterval:(display:Off,pause:!f,section:0,value:0),time:(from:'2017-06-26T06:13:32-0600',mode:absolute,to:'2017-06-26T09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6" s="197" t="str">
        <f>IF(AA36&lt;VLOOKUP(AG36,Variables!$AC$3:$AD$8,2,FALSE),"Y","N")</f>
        <v>N</v>
      </c>
      <c r="X36" s="197">
        <f t="shared" si="5"/>
        <v>1</v>
      </c>
      <c r="Y36" s="197">
        <f t="shared" si="16"/>
        <v>23.299099999999999</v>
      </c>
      <c r="Z36" s="197">
        <f t="shared" si="17"/>
        <v>1.6E-2</v>
      </c>
      <c r="AA36" s="197">
        <f t="shared" si="6"/>
        <v>23.283100000000001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7"/>
        <v>124</v>
      </c>
      <c r="AE36" s="77" t="str">
        <f t="shared" si="8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36" s="74" t="str">
        <f t="shared" si="9"/>
        <v>"C:\Program Files (x86)\AstroGrep\AstroGrep.exe" /e /r /s /spath="%USERPROFILE%\AppData\Local\Temp\OnboardLogs" /stypes="app*4029*20170626*" /stext=" 14:.+((SYSTEM_STATE.+slice.+state.+changed )|(ment ac)|(multiple cpu faults)|(system.+state.+changed )|(\[timeout)|(PRM\|1\|D)|(kpr)|(kdp)|(train st.+moving)|(\|lc)|(penalty))"</v>
      </c>
      <c r="AG36" s="209" t="str">
        <f t="shared" si="10"/>
        <v>EC</v>
      </c>
      <c r="AH36" s="78" t="str">
        <f t="shared" si="22"/>
        <v>"%USERPROFILE%\Documents\GitHub\eaglep3\Utilities\RefineRTDCRunTimes.py" --tripid 124-26 --locoid 4029 --swversion DE.1.0.9.0 --startMP 204:232991 --initTime 2017-06-26T07:13:32 --startdatetime 2017-06-26T07:27:40 --delay 1 --endMP 204:160 --enddatetime 2017-06-26T08:08:45 --enforcementcount 0 &gt;&gt;C:\Users\stu\Documents\GitHub\eaglep3-reporting\EC\2017-06-26-refined-times.txt</v>
      </c>
      <c r="AI3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{"issue":{"subject":"","project_id":79,"tracker_id":40,"status_id":1,"priority_id":2,"assigned_to_id":23,"start_date":"2017-06-26","description":"","custom_fields":[{"id":1,"name":"Subdivision","value":"EC"},{"id":4,"name":"Milepost","value":"0.016"},{"id":17,"name":"Train ID","value":"124-26"},{"id":16,"name":"Locomotive ID","value":"4029"},{"id":130,"name":"Impact","value":""},{"id":150,"name":"Time of Event (Mountain Time)","value":"08:08:45"},{"id":151,"name":"Denver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4"/>
        <v>start /low /b %USERPROFILE%\Documents\GitHub\eaglep3\Utilities\DownloadLogsFromS3.py --loco 4029 --day 2017-06-26</v>
      </c>
      <c r="AN3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703</v>
      </c>
      <c r="B37" s="7">
        <v>4058</v>
      </c>
      <c r="C37" s="21" t="s">
        <v>202</v>
      </c>
      <c r="D37" s="21" t="s">
        <v>608</v>
      </c>
      <c r="E37" s="13">
        <v>42912.276724537034</v>
      </c>
      <c r="F37" s="13">
        <v>42912.281469907408</v>
      </c>
      <c r="G37" s="7">
        <v>0</v>
      </c>
      <c r="H37" s="21" t="s">
        <v>483</v>
      </c>
      <c r="I37" s="13">
        <v>42912.306018518517</v>
      </c>
      <c r="J37" s="7">
        <v>0</v>
      </c>
      <c r="K37" s="89" t="str">
        <f t="shared" si="0"/>
        <v>4057/4058</v>
      </c>
      <c r="L37" s="21" t="str">
        <f>VLOOKUP(A37,'Trips&amp;Operators'!$C$1:$G$99999,5,FALSE)</f>
        <v>MAELZER KURT</v>
      </c>
      <c r="M37" s="6">
        <f t="shared" si="1"/>
        <v>2.4548611108912155E-2</v>
      </c>
      <c r="N37" s="7">
        <f t="shared" si="15"/>
        <v>35.349999996833503</v>
      </c>
      <c r="O37" s="7"/>
      <c r="P37" s="7"/>
      <c r="Q37" s="22"/>
      <c r="R37" s="170"/>
      <c r="S37" s="213">
        <f t="shared" si="2"/>
        <v>1</v>
      </c>
      <c r="T37" s="195" t="str">
        <f t="shared" si="3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4"/>
        <v>https://d0f6bd738d7f1b3e5a7ca70fe4ff75f0.us-east-1.aws.found.io/app/kibana#/discover/Steve-Slow-Train-Analysis-(2080s-and-2083s)?_g=(refreshInterval:(display:Off,pause:!f,section:0,value:0),time:(from:'2017-06-26T05:38:29-0600',mode:absolute,to:'2017-06-26T08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197" t="str">
        <f>IF(AA37&lt;VLOOKUP(AG37,Variables!$AC$3:$AD$8,2,FALSE),"Y","N")</f>
        <v>N</v>
      </c>
      <c r="X37" s="197">
        <f t="shared" si="5"/>
        <v>1</v>
      </c>
      <c r="Y37" s="197">
        <f t="shared" si="16"/>
        <v>4.3099999999999999E-2</v>
      </c>
      <c r="Z37" s="197">
        <f t="shared" si="17"/>
        <v>23.330500000000001</v>
      </c>
      <c r="AA37" s="197">
        <f t="shared" si="6"/>
        <v>23.287400000000002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7"/>
        <v>125</v>
      </c>
      <c r="AE37" s="77" t="str">
        <f t="shared" si="8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37" s="74" t="str">
        <f t="shared" si="9"/>
        <v>"C:\Program Files (x86)\AstroGrep\AstroGrep.exe" /e /r /s /spath="%USERPROFILE%\AppData\Local\Temp\OnboardLogs" /stypes="app*4058*20170626*" /stext=" 13:.+((SYSTEM_STATE.+slice.+state.+changed )|(ment ac)|(multiple cpu faults)|(system.+state.+changed )|(\[timeout)|(PRM\|1\|D)|(kpr)|(kdp)|(train st.+moving)|(\|lc)|(penalty))"</v>
      </c>
      <c r="AG37" s="209" t="str">
        <f t="shared" si="10"/>
        <v>EC</v>
      </c>
      <c r="AH37" s="78" t="str">
        <f t="shared" si="22"/>
        <v>"%USERPROFILE%\Documents\GitHub\eaglep3\Utilities\RefineRTDCRunTimes.py" --tripid 125-26 --locoid 4058 --swversion DE.1.0.9.0 --startMP 204:431 --initTime 2017-06-26T06:38:29 --startdatetime 2017-06-26T06:45:19 --delay 0 --endMP 204:233305 --enddatetime 2017-06-26T07:20:40 --enforcementcount 0 &gt;&gt;C:\Users\stu\Documents\GitHub\eaglep3-reporting\EC\2017-06-26-refined-times.txt</v>
      </c>
      <c r="AI3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{"issue":{"subject":"","project_id":79,"tracker_id":40,"status_id":1,"priority_id":2,"assigned_to_id":23,"start_date":"2017-06-26","description":"","custom_fields":[{"id":1,"name":"Subdivision","value":"EC"},{"id":4,"name":"Milepost","value":"23.3305"},{"id":17,"name":"Train ID","value":"125-26"},{"id":16,"name":"Locomotive ID","value":"4058"},{"id":130,"name":"Impact","value":""},{"id":150,"name":"Time of Event (Mountain Time)","value":"07:20:40"},{"id":151,"name":"Denver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4"/>
        <v>start /low /b %USERPROFILE%\Documents\GitHub\eaglep3\Utilities\DownloadLogsFromS3.py --loco 4058 --day 2017-06-26</v>
      </c>
      <c r="AN3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712</v>
      </c>
      <c r="B38" s="7">
        <v>4057</v>
      </c>
      <c r="C38" s="21" t="s">
        <v>202</v>
      </c>
      <c r="D38" s="21" t="s">
        <v>883</v>
      </c>
      <c r="E38" s="13">
        <v>42912.310833333337</v>
      </c>
      <c r="F38" s="13">
        <v>42912.321006944447</v>
      </c>
      <c r="G38" s="7">
        <v>0</v>
      </c>
      <c r="H38" s="21" t="s">
        <v>193</v>
      </c>
      <c r="I38" s="13">
        <v>42912.348043981481</v>
      </c>
      <c r="J38" s="7">
        <v>0</v>
      </c>
      <c r="K38" s="89" t="str">
        <f t="shared" si="0"/>
        <v>4057/4058</v>
      </c>
      <c r="L38" s="21" t="str">
        <f>VLOOKUP(A38,'Trips&amp;Operators'!$C$1:$G$99999,5,FALSE)</f>
        <v>MAELZER KURT</v>
      </c>
      <c r="M38" s="6">
        <f t="shared" si="1"/>
        <v>2.7037037034460809E-2</v>
      </c>
      <c r="N38" s="7">
        <f t="shared" si="15"/>
        <v>38.933333329623565</v>
      </c>
      <c r="O38" s="7"/>
      <c r="P38" s="7"/>
      <c r="Q38" s="22"/>
      <c r="R38" s="170"/>
      <c r="S38" s="213">
        <f t="shared" si="2"/>
        <v>1</v>
      </c>
      <c r="T38" s="195" t="str">
        <f t="shared" si="3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4"/>
        <v>https://d0f6bd738d7f1b3e5a7ca70fe4ff75f0.us-east-1.aws.found.io/app/kibana#/discover/Steve-Slow-Train-Analysis-(2080s-and-2083s)?_g=(refreshInterval:(display:Off,pause:!f,section:0,value:0),time:(from:'2017-06-26T06:27:36-0600',mode:absolute,to:'2017-06-26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197" t="str">
        <f>IF(AA38&lt;VLOOKUP(AG38,Variables!$AC$3:$AD$8,2,FALSE),"Y","N")</f>
        <v>N</v>
      </c>
      <c r="X38" s="197">
        <f t="shared" si="5"/>
        <v>1</v>
      </c>
      <c r="Y38" s="197">
        <f t="shared" si="16"/>
        <v>23.297999999999998</v>
      </c>
      <c r="Z38" s="197">
        <f t="shared" si="17"/>
        <v>1.52E-2</v>
      </c>
      <c r="AA38" s="197">
        <f t="shared" si="6"/>
        <v>23.282799999999998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7"/>
        <v>126</v>
      </c>
      <c r="AE38" s="77" t="str">
        <f t="shared" si="8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38" s="74" t="str">
        <f t="shared" si="9"/>
        <v>"C:\Program Files (x86)\AstroGrep\AstroGrep.exe" /e /r /s /spath="%USERPROFILE%\AppData\Local\Temp\OnboardLogs" /stypes="app*4057*20170626*" /stext=" 14:.+((SYSTEM_STATE.+slice.+state.+changed )|(ment ac)|(multiple cpu faults)|(system.+state.+changed )|(\[timeout)|(PRM\|1\|D)|(kpr)|(kdp)|(train st.+moving)|(\|lc)|(penalty))"</v>
      </c>
      <c r="AG38" s="209" t="str">
        <f t="shared" si="10"/>
        <v>EC</v>
      </c>
      <c r="AH38" s="78" t="str">
        <f t="shared" si="22"/>
        <v>"%USERPROFILE%\Documents\GitHub\eaglep3\Utilities\RefineRTDCRunTimes.py" --tripid 126-26 --locoid 4057 --swversion DE.1.0.9.0 --startMP 204:232980 --initTime 2017-06-26T07:27:36 --startdatetime 2017-06-26T07:42:15 --delay 0 --endMP 204:152 --enddatetime 2017-06-26T08:21:11 --enforcementcount 0 &gt;&gt;C:\Users\stu\Documents\GitHub\eaglep3-reporting\EC\2017-06-26-refined-times.txt</v>
      </c>
      <c r="AI3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ID","value":"126-26"},{"id":16,"name":"Locomotive ID","value":"4057"},{"id":130,"name":"Impact","value":""},{"id":150,"name":"Time of Event (Mountain Time)","value":"08:21:11"},{"id":151,"name":"Denver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4"/>
        <v>start /low /b %USERPROFILE%\Documents\GitHub\eaglep3\Utilities\DownloadLogsFromS3.py --loco 4057 --day 2017-06-26</v>
      </c>
      <c r="AN3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707</v>
      </c>
      <c r="B39" s="7">
        <v>4046</v>
      </c>
      <c r="C39" s="21" t="s">
        <v>202</v>
      </c>
      <c r="D39" s="21" t="s">
        <v>539</v>
      </c>
      <c r="E39" s="13">
        <v>42912.289224537039</v>
      </c>
      <c r="F39" s="13">
        <v>42912.291932870372</v>
      </c>
      <c r="G39" s="7">
        <v>1</v>
      </c>
      <c r="H39" s="21" t="s">
        <v>580</v>
      </c>
      <c r="I39" s="13">
        <v>42912.317870370367</v>
      </c>
      <c r="J39" s="7">
        <v>0</v>
      </c>
      <c r="K39" s="89" t="str">
        <f t="shared" si="0"/>
        <v>4045/4046</v>
      </c>
      <c r="L39" s="21" t="str">
        <f>VLOOKUP(A39,'Trips&amp;Operators'!$C$1:$G$99999,5,FALSE)</f>
        <v>HELVIE ADAM</v>
      </c>
      <c r="M39" s="6">
        <f t="shared" si="1"/>
        <v>2.5937499995052349E-2</v>
      </c>
      <c r="N39" s="7">
        <f t="shared" si="15"/>
        <v>37.349999992875382</v>
      </c>
      <c r="O39" s="7"/>
      <c r="P39" s="7"/>
      <c r="Q39" s="22"/>
      <c r="R39" s="170"/>
      <c r="S39" s="213">
        <f t="shared" si="2"/>
        <v>1</v>
      </c>
      <c r="T39" s="195" t="str">
        <f t="shared" si="3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4"/>
        <v>https://d0f6bd738d7f1b3e5a7ca70fe4ff75f0.us-east-1.aws.found.io/app/kibana#/discover/Steve-Slow-Train-Analysis-(2080s-and-2083s)?_g=(refreshInterval:(display:Off,pause:!f,section:0,value:0),time:(from:'2017-06-26T05:56:29-0600',mode:absolute,to:'2017-06-26T08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197" t="str">
        <f>IF(AA39&lt;VLOOKUP(AG39,Variables!$AC$3:$AD$8,2,FALSE),"Y","N")</f>
        <v>N</v>
      </c>
      <c r="X39" s="197">
        <f t="shared" si="5"/>
        <v>1</v>
      </c>
      <c r="Y39" s="197">
        <f t="shared" si="16"/>
        <v>4.7500000000000001E-2</v>
      </c>
      <c r="Z39" s="197">
        <f t="shared" si="17"/>
        <v>23.328299999999999</v>
      </c>
      <c r="AA39" s="197">
        <f t="shared" si="6"/>
        <v>23.280799999999999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7"/>
        <v>127</v>
      </c>
      <c r="AE39" s="77" t="str">
        <f t="shared" si="8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39" s="74" t="str">
        <f t="shared" si="9"/>
        <v>"C:\Program Files (x86)\AstroGrep\AstroGrep.exe" /e /r /s /spath="%USERPROFILE%\AppData\Local\Temp\OnboardLogs" /stypes="app*4046*20170626*" /stext=" 13:.+((SYSTEM_STATE.+slice.+state.+changed )|(ment ac)|(multiple cpu faults)|(system.+state.+changed )|(\[timeout)|(PRM\|1\|D)|(kpr)|(kdp)|(train st.+moving)|(\|lc)|(penalty))"</v>
      </c>
      <c r="AG39" s="209" t="str">
        <f t="shared" si="10"/>
        <v>EC</v>
      </c>
      <c r="AH39" s="78" t="str">
        <f t="shared" si="22"/>
        <v>"%USERPROFILE%\Documents\GitHub\eaglep3\Utilities\RefineRTDCRunTimes.py" --tripid 127-26 --locoid 4046 --swversion DE.1.0.9.0 --startMP 204:475 --initTime 2017-06-26T06:56:29 --startdatetime 2017-06-26T07:00:23 --delay 1 --endMP 204:233283 --enddatetime 2017-06-26T07:37:44 --enforcementcount 0 &gt;&gt;C:\Users\stu\Documents\GitHub\eaglep3-reporting\EC\2017-06-26-refined-times.txt</v>
      </c>
      <c r="AI39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{"issue":{"subject":"","project_id":79,"tracker_id":40,"status_id":1,"priority_id":2,"assigned_to_id":23,"start_date":"2017-06-26","description":"","custom_fields":[{"id":1,"name":"Subdivision","value":"EC"},{"id":4,"name":"Milepost","value":"23.3283"},{"id":17,"name":"Train ID","value":"127-26"},{"id":16,"name":"Locomotive ID","value":"4046"},{"id":130,"name":"Impact","value":""},{"id":150,"name":"Time of Event (Mountain Time)","value":"07:37:44"},{"id":151,"name":"Denver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4"/>
        <v>start /low /b %USERPROFILE%\Documents\GitHub\eaglep3\Utilities\DownloadLogsFromS3.py --loco 4046 --day 2017-06-26</v>
      </c>
      <c r="AN39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716</v>
      </c>
      <c r="B40" s="7">
        <v>4045</v>
      </c>
      <c r="C40" s="21" t="s">
        <v>202</v>
      </c>
      <c r="D40" s="21" t="s">
        <v>881</v>
      </c>
      <c r="E40" s="13">
        <v>42912.327974537038</v>
      </c>
      <c r="F40" s="13">
        <v>42912.331631944442</v>
      </c>
      <c r="G40" s="7">
        <v>0</v>
      </c>
      <c r="H40" s="21" t="s">
        <v>348</v>
      </c>
      <c r="I40" s="13">
        <v>42912.358055555553</v>
      </c>
      <c r="J40" s="7">
        <v>0</v>
      </c>
      <c r="K40" s="89" t="str">
        <f t="shared" si="0"/>
        <v>4045/4046</v>
      </c>
      <c r="L40" s="21" t="str">
        <f>VLOOKUP(A40,'Trips&amp;Operators'!$C$1:$G$99999,5,FALSE)</f>
        <v>HELVIE ADAM</v>
      </c>
      <c r="M40" s="6">
        <f t="shared" si="1"/>
        <v>2.6423611110658385E-2</v>
      </c>
      <c r="N40" s="7">
        <f t="shared" si="15"/>
        <v>38.049999999348074</v>
      </c>
      <c r="O40" s="7"/>
      <c r="P40" s="7"/>
      <c r="Q40" s="22"/>
      <c r="R40" s="170"/>
      <c r="S40" s="213">
        <f t="shared" si="2"/>
        <v>1</v>
      </c>
      <c r="T40" s="195" t="str">
        <f t="shared" si="3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4"/>
        <v>https://d0f6bd738d7f1b3e5a7ca70fe4ff75f0.us-east-1.aws.found.io/app/kibana#/discover/Steve-Slow-Train-Analysis-(2080s-and-2083s)?_g=(refreshInterval:(display:Off,pause:!f,section:0,value:0),time:(from:'2017-06-26T06:52:17-0600',mode:absolute,to:'2017-06-26T09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197" t="str">
        <f>IF(AA40&lt;VLOOKUP(AG40,Variables!$AC$3:$AD$8,2,FALSE),"Y","N")</f>
        <v>N</v>
      </c>
      <c r="X40" s="197">
        <f t="shared" si="5"/>
        <v>1</v>
      </c>
      <c r="Y40" s="197">
        <f t="shared" si="16"/>
        <v>23.297899999999998</v>
      </c>
      <c r="Z40" s="197">
        <f t="shared" si="17"/>
        <v>1.4999999999999999E-2</v>
      </c>
      <c r="AA40" s="197">
        <f t="shared" si="6"/>
        <v>23.282899999999998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7"/>
        <v>128</v>
      </c>
      <c r="AE40" s="77" t="str">
        <f t="shared" si="8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40" s="74" t="str">
        <f t="shared" si="9"/>
        <v>"C:\Program Files (x86)\AstroGrep\AstroGrep.exe" /e /r /s /spath="%USERPROFILE%\AppData\Local\Temp\OnboardLogs" /stypes="app*4045*20170626*" /stext=" 14:.+((SYSTEM_STATE.+slice.+state.+changed )|(ment ac)|(multiple cpu faults)|(system.+state.+changed )|(\[timeout)|(PRM\|1\|D)|(kpr)|(kdp)|(train st.+moving)|(\|lc)|(penalty))"</v>
      </c>
      <c r="AG40" s="209" t="str">
        <f t="shared" si="10"/>
        <v>EC</v>
      </c>
      <c r="AH40" s="78" t="str">
        <f t="shared" si="22"/>
        <v>"%USERPROFILE%\Documents\GitHub\eaglep3\Utilities\RefineRTDCRunTimes.py" --tripid 128-26 --locoid 4045 --swversion DE.1.0.9.0 --startMP 204:232979 --initTime 2017-06-26T07:52:17 --startdatetime 2017-06-26T07:57:33 --delay 0 --endMP 204:150 --enddatetime 2017-06-26T08:35:36 --enforcementcount 0 &gt;&gt;C:\Users\stu\Documents\GitHub\eaglep3-reporting\EC\2017-06-26-refined-times.txt</v>
      </c>
      <c r="AI40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{"issue":{"subject":"","project_id":79,"tracker_id":40,"status_id":1,"priority_id":2,"assigned_to_id":23,"start_date":"2017-06-26","description":"","custom_fields":[{"id":1,"name":"Subdivision","value":"EC"},{"id":4,"name":"Milepost","value":"0.015"},{"id":17,"name":"Train ID","value":"128-26"},{"id":16,"name":"Locomotive ID","value":"4045"},{"id":130,"name":"Impact","value":""},{"id":150,"name":"Time of Event (Mountain Time)","value":"08:35:36"},{"id":151,"name":"Denver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4"/>
        <v>start /low /b %USERPROFILE%\Documents\GitHub\eaglep3\Utilities\DownloadLogsFromS3.py --loco 4045 --day 2017-06-26</v>
      </c>
      <c r="AN40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710</v>
      </c>
      <c r="B41" s="7">
        <v>4004</v>
      </c>
      <c r="C41" s="21" t="s">
        <v>202</v>
      </c>
      <c r="D41" s="21" t="s">
        <v>511</v>
      </c>
      <c r="E41" s="13">
        <v>42912.299479166664</v>
      </c>
      <c r="F41" s="13">
        <v>42912.302407407406</v>
      </c>
      <c r="G41" s="7">
        <v>1</v>
      </c>
      <c r="H41" s="21" t="s">
        <v>585</v>
      </c>
      <c r="I41" s="13">
        <v>42912.328055555554</v>
      </c>
      <c r="J41" s="7">
        <v>0</v>
      </c>
      <c r="K41" s="89" t="str">
        <f t="shared" si="0"/>
        <v>4003/4004</v>
      </c>
      <c r="L41" s="21" t="str">
        <f>VLOOKUP(A41,'Trips&amp;Operators'!$C$1:$G$99999,5,FALSE)</f>
        <v>BONDS REYNALDO</v>
      </c>
      <c r="M41" s="6">
        <f t="shared" si="1"/>
        <v>2.5648148148320615E-2</v>
      </c>
      <c r="N41" s="7">
        <f t="shared" si="15"/>
        <v>36.933333333581686</v>
      </c>
      <c r="O41" s="7"/>
      <c r="P41" s="7"/>
      <c r="Q41" s="22"/>
      <c r="R41" s="170"/>
      <c r="S41" s="213">
        <f t="shared" si="2"/>
        <v>1</v>
      </c>
      <c r="T41" s="195" t="str">
        <f t="shared" si="3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4"/>
        <v>https://d0f6bd738d7f1b3e5a7ca70fe4ff75f0.us-east-1.aws.found.io/app/kibana#/discover/Steve-Slow-Train-Analysis-(2080s-and-2083s)?_g=(refreshInterval:(display:Off,pause:!f,section:0,value:0),time:(from:'2017-06-26T06:11:15-0600',mode:absolute,to:'2017-06-26T08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97" t="str">
        <f>IF(AA41&lt;VLOOKUP(AG41,Variables!$AC$3:$AD$8,2,FALSE),"Y","N")</f>
        <v>N</v>
      </c>
      <c r="X41" s="197">
        <f t="shared" si="5"/>
        <v>1</v>
      </c>
      <c r="Y41" s="197">
        <f t="shared" si="16"/>
        <v>4.3999999999999997E-2</v>
      </c>
      <c r="Z41" s="197">
        <f t="shared" si="17"/>
        <v>23.3293</v>
      </c>
      <c r="AA41" s="197">
        <f t="shared" si="6"/>
        <v>23.285299999999999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7"/>
        <v>129</v>
      </c>
      <c r="AE41" s="77" t="str">
        <f t="shared" si="8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41" s="74" t="str">
        <f t="shared" si="9"/>
        <v>"C:\Program Files (x86)\AstroGrep\AstroGrep.exe" /e /r /s /spath="%USERPROFILE%\AppData\Local\Temp\OnboardLogs" /stypes="app*4004*20170626*" /stext=" 13:.+((SYSTEM_STATE.+slice.+state.+changed )|(ment ac)|(multiple cpu faults)|(system.+state.+changed )|(\[timeout)|(PRM\|1\|D)|(kpr)|(kdp)|(train st.+moving)|(\|lc)|(penalty))"</v>
      </c>
      <c r="AG41" s="209" t="str">
        <f t="shared" si="10"/>
        <v>EC</v>
      </c>
      <c r="AH41" s="78" t="str">
        <f t="shared" si="22"/>
        <v>"%USERPROFILE%\Documents\GitHub\eaglep3\Utilities\RefineRTDCRunTimes.py" --tripid 129-26 --locoid 4004 --swversion DE.1.0.9.0 --startMP 204:440 --initTime 2017-06-26T07:11:15 --startdatetime 2017-06-26T07:15:28 --delay 1 --endMP 204:233293 --enddatetime 2017-06-26T07:52:24 --enforcementcount 0 &gt;&gt;C:\Users\stu\Documents\GitHub\eaglep3-reporting\EC\2017-06-26-refined-times.txt</v>
      </c>
      <c r="AI41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{"issue":{"subject":"","project_id":79,"tracker_id":40,"status_id":1,"priority_id":2,"assigned_to_id":23,"start_date":"2017-06-26","description":"","custom_fields":[{"id":1,"name":"Subdivision","value":"EC"},{"id":4,"name":"Milepost","value":"23.3293"},{"id":17,"name":"Train ID","value":"129-26"},{"id":16,"name":"Locomotive ID","value":"4004"},{"id":130,"name":"Impact","value":""},{"id":150,"name":"Time of Event (Mountain Time)","value":"07:52:24"},{"id":151,"name":"Denver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4"/>
        <v>start /low /b %USERPROFILE%\Documents\GitHub\eaglep3\Utilities\DownloadLogsFromS3.py --loco 4004 --day 2017-06-26</v>
      </c>
      <c r="AN41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718</v>
      </c>
      <c r="B42" s="7">
        <v>4003</v>
      </c>
      <c r="C42" s="21" t="s">
        <v>202</v>
      </c>
      <c r="D42" s="21" t="s">
        <v>491</v>
      </c>
      <c r="E42" s="13">
        <v>42912.337523148148</v>
      </c>
      <c r="F42" s="13">
        <v>42912.341874999998</v>
      </c>
      <c r="G42" s="7">
        <v>1</v>
      </c>
      <c r="H42" s="21" t="s">
        <v>348</v>
      </c>
      <c r="I42" s="13">
        <v>42912.369583333333</v>
      </c>
      <c r="J42" s="7">
        <v>0</v>
      </c>
      <c r="K42" s="89" t="str">
        <f t="shared" si="0"/>
        <v>4003/4004</v>
      </c>
      <c r="L42" s="21" t="str">
        <f>VLOOKUP(A42,'Trips&amp;Operators'!$C$1:$G$99999,5,FALSE)</f>
        <v>BONDS REYNALDO</v>
      </c>
      <c r="M42" s="6">
        <f t="shared" si="1"/>
        <v>2.7708333334885538E-2</v>
      </c>
      <c r="N42" s="7">
        <f t="shared" si="15"/>
        <v>39.900000002235174</v>
      </c>
      <c r="O42" s="7"/>
      <c r="P42" s="7"/>
      <c r="Q42" s="22"/>
      <c r="R42" s="170"/>
      <c r="S42" s="213">
        <f t="shared" si="2"/>
        <v>1</v>
      </c>
      <c r="T42" s="195" t="str">
        <f t="shared" si="3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4"/>
        <v>https://d0f6bd738d7f1b3e5a7ca70fe4ff75f0.us-east-1.aws.found.io/app/kibana#/discover/Steve-Slow-Train-Analysis-(2080s-and-2083s)?_g=(refreshInterval:(display:Off,pause:!f,section:0,value:0),time:(from:'2017-06-26T07:06:02-0600',mode:absolute,to:'2017-06-26T09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97" t="str">
        <f>IF(AA42&lt;VLOOKUP(AG42,Variables!$AC$3:$AD$8,2,FALSE),"Y","N")</f>
        <v>N</v>
      </c>
      <c r="X42" s="197">
        <f t="shared" si="5"/>
        <v>1</v>
      </c>
      <c r="Y42" s="197">
        <f t="shared" si="16"/>
        <v>23.297799999999999</v>
      </c>
      <c r="Z42" s="197">
        <f t="shared" si="17"/>
        <v>1.4999999999999999E-2</v>
      </c>
      <c r="AA42" s="197">
        <f t="shared" si="6"/>
        <v>23.282799999999998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7"/>
        <v>130</v>
      </c>
      <c r="AE42" s="77" t="str">
        <f t="shared" si="8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42" s="74" t="str">
        <f t="shared" si="9"/>
        <v>"C:\Program Files (x86)\AstroGrep\AstroGrep.exe" /e /r /s /spath="%USERPROFILE%\AppData\Local\Temp\OnboardLogs" /stypes="app*4003*20170626*" /stext=" 14:.+((SYSTEM_STATE.+slice.+state.+changed )|(ment ac)|(multiple cpu faults)|(system.+state.+changed )|(\[timeout)|(PRM\|1\|D)|(kpr)|(kdp)|(train st.+moving)|(\|lc)|(penalty))"</v>
      </c>
      <c r="AG42" s="209" t="str">
        <f t="shared" si="10"/>
        <v>EC</v>
      </c>
      <c r="AH42" s="78" t="str">
        <f t="shared" si="22"/>
        <v>"%USERPROFILE%\Documents\GitHub\eaglep3\Utilities\RefineRTDCRunTimes.py" --tripid 130-26 --locoid 4003 --swversion DE.1.0.9.0 --startMP 204:232978 --initTime 2017-06-26T08:06:02 --startdatetime 2017-06-26T08:12:18 --delay 1 --endMP 204:150 --enddatetime 2017-06-26T08:52:12 --enforcementcount 0 &gt;&gt;C:\Users\stu\Documents\GitHub\eaglep3-reporting\EC\2017-06-26-refined-times.txt</v>
      </c>
      <c r="AI42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{"issue":{"subject":"","project_id":79,"tracker_id":40,"status_id":1,"priority_id":2,"assigned_to_id":23,"start_date":"2017-06-26","description":"","custom_fields":[{"id":1,"name":"Subdivision","value":"EC"},{"id":4,"name":"Milepost","value":"0.015"},{"id":17,"name":"Train ID","value":"130-26"},{"id":16,"name":"Locomotive ID","value":"4003"},{"id":130,"name":"Impact","value":""},{"id":150,"name":"Time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4"/>
        <v>start /low /b %USERPROFILE%\Documents\GitHub\eaglep3\Utilities\DownloadLogsFromS3.py --loco 4003 --day 2017-06-26</v>
      </c>
      <c r="AN42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622</v>
      </c>
      <c r="B43" s="7">
        <v>4020</v>
      </c>
      <c r="C43" s="21" t="s">
        <v>202</v>
      </c>
      <c r="D43" s="21" t="s">
        <v>492</v>
      </c>
      <c r="E43" s="13">
        <v>42912.308275462965</v>
      </c>
      <c r="F43" s="13">
        <v>42912.313043981485</v>
      </c>
      <c r="G43" s="7">
        <v>1</v>
      </c>
      <c r="H43" s="21" t="s">
        <v>884</v>
      </c>
      <c r="I43" s="13">
        <v>42912.33829861111</v>
      </c>
      <c r="J43" s="7">
        <v>0</v>
      </c>
      <c r="K43" s="89" t="str">
        <f t="shared" si="0"/>
        <v>4019/4020</v>
      </c>
      <c r="L43" s="21" t="str">
        <f>VLOOKUP(A43,'Trips&amp;Operators'!$C$1:$G$99999,5,FALSE)</f>
        <v>MACDONALD THOMAS</v>
      </c>
      <c r="M43" s="6">
        <f t="shared" si="1"/>
        <v>2.5254629625123926E-2</v>
      </c>
      <c r="N43" s="7">
        <f t="shared" si="15"/>
        <v>36.366666660178453</v>
      </c>
      <c r="O43" s="7"/>
      <c r="P43" s="7"/>
      <c r="Q43" s="22"/>
      <c r="R43" s="170"/>
      <c r="S43" s="213">
        <f t="shared" si="2"/>
        <v>1</v>
      </c>
      <c r="T43" s="195" t="str">
        <f t="shared" si="3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4"/>
        <v>https://d0f6bd738d7f1b3e5a7ca70fe4ff75f0.us-east-1.aws.found.io/app/kibana#/discover/Steve-Slow-Train-Analysis-(2080s-and-2083s)?_g=(refreshInterval:(display:Off,pause:!f,section:0,value:0),time:(from:'2017-06-26T06:23:55-0600',mode:absolute,to:'2017-06-26T09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197" t="str">
        <f>IF(AA43&lt;VLOOKUP(AG43,Variables!$AC$3:$AD$8,2,FALSE),"Y","N")</f>
        <v>N</v>
      </c>
      <c r="X43" s="197">
        <f t="shared" si="5"/>
        <v>1</v>
      </c>
      <c r="Y43" s="197">
        <f t="shared" si="16"/>
        <v>4.58E-2</v>
      </c>
      <c r="Z43" s="197">
        <f t="shared" si="17"/>
        <v>23.3276</v>
      </c>
      <c r="AA43" s="197">
        <f t="shared" si="6"/>
        <v>23.2818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7"/>
        <v>131</v>
      </c>
      <c r="AE43" s="77" t="str">
        <f t="shared" si="8"/>
        <v>aws s3 cp s3://rtdc.mdm.uploadarchive.raw/RTDC4020/ "%USERPROFILE%\AppData\Local\Temp\OnboardLogs"\RTDC4020\2017-06-26 --exclude "*" --recursive --include "*20170626*" &amp; "%USERPROFILE%\Documents\GitHub\mrs-test-scripts\Headless Mode &amp; Sideloading\WalkAndUnGZ.bat" "%USERPROFILE%\AppData\Local\Temp\OnboardLogs"\RTDC4020\2017-06-26 &amp; 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</v>
      </c>
      <c r="AF43" s="74" t="str">
        <f t="shared" si="9"/>
        <v>"C:\Program Files (x86)\AstroGrep\AstroGrep.exe" /e /r /s /spath="%USERPROFILE%\AppData\Local\Temp\OnboardLogs" /stypes="app*4020*20170626*" /stext=" 14:.+((SYSTEM_STATE.+slice.+state.+changed )|(ment ac)|(multiple cpu faults)|(system.+state.+changed )|(\[timeout)|(PRM\|1\|D)|(kpr)|(kdp)|(train st.+moving)|(\|lc)|(penalty))"</v>
      </c>
      <c r="AG43" s="209" t="str">
        <f t="shared" si="10"/>
        <v>EC</v>
      </c>
      <c r="AH43" s="78" t="str">
        <f t="shared" si="22"/>
        <v>"%USERPROFILE%\Documents\GitHub\eaglep3\Utilities\RefineRTDCRunTimes.py" --tripid 131-26 --locoid 4020 --swversion DE.1.0.9.0 --startMP 204:458 --initTime 2017-06-26T07:23:55 --startdatetime 2017-06-26T07:30:47 --delay 1 --endMP 204:233276 --enddatetime 2017-06-26T08:07:09 --enforcementcount 0 &gt;&gt;C:\Users\stu\Documents\GitHub\eaglep3-reporting\EC\2017-06-26-refined-times.txt</v>
      </c>
      <c r="AI43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{"issue":{"subject":"","project_id":79,"tracker_id":40,"status_id":1,"priority_id":2,"assigned_to_id":23,"start_date":"2017-06-26","description":"","custom_fields":[{"id":1,"name":"Subdivision","value":"EC"},{"id":4,"name":"Milepost","value":"23.3276"},{"id":17,"name":"Train ID","value":"131-26"},{"id":16,"name":"Locomotive ID","value":"4020"},{"id":130,"name":"Impact","value":""},{"id":150,"name":"Time of Event (Mountain Time)","value":"08:07:09"},{"id":151,"name":"Denver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4"/>
        <v>start /low /b %USERPROFILE%\Documents\GitHub\eaglep3\Utilities\DownloadLogsFromS3.py --loco 4020 --day 2017-06-26</v>
      </c>
      <c r="AN43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624</v>
      </c>
      <c r="B44" s="7">
        <v>4019</v>
      </c>
      <c r="C44" s="21" t="s">
        <v>202</v>
      </c>
      <c r="D44" s="21" t="s">
        <v>885</v>
      </c>
      <c r="E44" s="13">
        <v>42912.344027777777</v>
      </c>
      <c r="F44" s="13">
        <v>42912.352500000001</v>
      </c>
      <c r="G44" s="7">
        <v>4</v>
      </c>
      <c r="H44" s="21" t="s">
        <v>394</v>
      </c>
      <c r="I44" s="13">
        <v>42912.380115740743</v>
      </c>
      <c r="J44" s="7">
        <v>0</v>
      </c>
      <c r="K44" s="89" t="str">
        <f t="shared" si="0"/>
        <v>4019/4020</v>
      </c>
      <c r="L44" s="21" t="str">
        <f>VLOOKUP(A44,'Trips&amp;Operators'!$C$1:$G$99999,5,FALSE)</f>
        <v>MACDONALD THOMAS</v>
      </c>
      <c r="M44" s="6">
        <f t="shared" si="1"/>
        <v>2.7615740742476191E-2</v>
      </c>
      <c r="N44" s="7">
        <f t="shared" si="15"/>
        <v>39.766666669165716</v>
      </c>
      <c r="O44" s="7"/>
      <c r="P44" s="7"/>
      <c r="Q44" s="22"/>
      <c r="R44" s="170"/>
      <c r="S44" s="213">
        <f t="shared" si="2"/>
        <v>1</v>
      </c>
      <c r="T44" s="195" t="str">
        <f t="shared" si="3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4"/>
        <v>https://d0f6bd738d7f1b3e5a7ca70fe4ff75f0.us-east-1.aws.found.io/app/kibana#/discover/Steve-Slow-Train-Analysis-(2080s-and-2083s)?_g=(refreshInterval:(display:Off,pause:!f,section:0,value:0),time:(from:'2017-06-26T07:15:24-0600',mode:absolute,to:'2017-06-26T10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197" t="str">
        <f>IF(AA44&lt;VLOOKUP(AG44,Variables!$AC$3:$AD$8,2,FALSE),"Y","N")</f>
        <v>N</v>
      </c>
      <c r="X44" s="197">
        <f t="shared" si="5"/>
        <v>1</v>
      </c>
      <c r="Y44" s="197">
        <f t="shared" si="16"/>
        <v>23.296600000000002</v>
      </c>
      <c r="Z44" s="197">
        <f t="shared" si="17"/>
        <v>1.54E-2</v>
      </c>
      <c r="AA44" s="197">
        <f t="shared" si="6"/>
        <v>23.281200000000002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7"/>
        <v>132</v>
      </c>
      <c r="AE44" s="77" t="str">
        <f t="shared" si="8"/>
        <v>aws s3 cp s3://rtdc.mdm.uploadarchive.raw/RTDC4019/ "%USERPROFILE%\AppData\Local\Temp\OnboardLogs"\RTDC4019\2017-06-26 --exclude "*" --recursive --include "*20170626*" &amp; "%USERPROFILE%\Documents\GitHub\mrs-test-scripts\Headless Mode &amp; Sideloading\WalkAndUnGZ.bat" "%USERPROFILE%\AppData\Local\Temp\OnboardLogs"\RTDC4019\2017-06-26 &amp; 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</v>
      </c>
      <c r="AF44" s="74" t="str">
        <f t="shared" si="9"/>
        <v>"C:\Program Files (x86)\AstroGrep\AstroGrep.exe" /e /r /s /spath="%USERPROFILE%\AppData\Local\Temp\OnboardLogs" /stypes="app*4019*20170626*" /stext=" 15:.+((SYSTEM_STATE.+slice.+state.+changed )|(ment ac)|(multiple cpu faults)|(system.+state.+changed )|(\[timeout)|(PRM\|1\|D)|(kpr)|(kdp)|(train st.+moving)|(\|lc)|(penalty))"</v>
      </c>
      <c r="AG44" s="209" t="str">
        <f t="shared" si="10"/>
        <v>EC</v>
      </c>
      <c r="AH44" s="78" t="str">
        <f t="shared" si="22"/>
        <v>"%USERPROFILE%\Documents\GitHub\eaglep3\Utilities\RefineRTDCRunTimes.py" --tripid 132-26 --locoid 4019 --swversion DE.1.0.9.0 --startMP 204:232966 --initTime 2017-06-26T08:15:24 --startdatetime 2017-06-26T08:27:36 --delay 4 --endMP 204:154 --enddatetime 2017-06-26T09:07:22 --enforcementcount 0 &gt;&gt;C:\Users\stu\Documents\GitHub\eaglep3-reporting\EC\2017-06-26-refined-times.txt</v>
      </c>
      <c r="AI44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{"issue":{"subject":"","project_id":79,"tracker_id":40,"status_id":1,"priority_id":2,"assigned_to_id":23,"start_date":"2017-06-26","description":"","custom_fields":[{"id":1,"name":"Subdivision","value":"EC"},{"id":4,"name":"Milepost","value":"0.0154"},{"id":17,"name":"Train ID","value":"132-26"},{"id":16,"name":"Locomotive ID","value":"4019"},{"id":130,"name":"Impact","value":""},{"id":150,"name":"Time of Event (Mountain Time)","value":"09:07:22"},{"id":151,"name":"Denver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4"/>
        <v>start /low /b %USERPROFILE%\Documents\GitHub\eaglep3\Utilities\DownloadLogsFromS3.py --loco 4019 --day 2017-06-26</v>
      </c>
      <c r="AN44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715</v>
      </c>
      <c r="B45" s="7">
        <v>4054</v>
      </c>
      <c r="C45" s="21" t="s">
        <v>202</v>
      </c>
      <c r="D45" s="21" t="s">
        <v>351</v>
      </c>
      <c r="E45" s="13">
        <v>42912.319537037038</v>
      </c>
      <c r="F45" s="13">
        <v>42912.323078703703</v>
      </c>
      <c r="G45" s="7">
        <v>1</v>
      </c>
      <c r="H45" s="21" t="s">
        <v>874</v>
      </c>
      <c r="I45" s="13">
        <v>42912.348344907405</v>
      </c>
      <c r="J45" s="7">
        <v>0</v>
      </c>
      <c r="K45" s="89" t="str">
        <f t="shared" si="0"/>
        <v>4053/4054</v>
      </c>
      <c r="L45" s="21" t="str">
        <f>VLOOKUP(A45,'Trips&amp;Operators'!$C$1:$G$99999,5,FALSE)</f>
        <v>STARKS ANGELINA</v>
      </c>
      <c r="M45" s="6">
        <f t="shared" si="1"/>
        <v>2.5266203701903578E-2</v>
      </c>
      <c r="N45" s="7">
        <f t="shared" si="15"/>
        <v>36.383333330741152</v>
      </c>
      <c r="O45" s="7"/>
      <c r="P45" s="7"/>
      <c r="Q45" s="22"/>
      <c r="R45" s="170"/>
      <c r="S45" s="213">
        <f t="shared" si="2"/>
        <v>1</v>
      </c>
      <c r="T45" s="195" t="str">
        <f t="shared" si="3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4"/>
        <v>https://d0f6bd738d7f1b3e5a7ca70fe4ff75f0.us-east-1.aws.found.io/app/kibana#/discover/Steve-Slow-Train-Analysis-(2080s-and-2083s)?_g=(refreshInterval:(display:Off,pause:!f,section:0,value:0),time:(from:'2017-06-26T06:40:08-0600',mode:absolute,to:'2017-06-26T09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97" t="str">
        <f>IF(AA45&lt;VLOOKUP(AG45,Variables!$AC$3:$AD$8,2,FALSE),"Y","N")</f>
        <v>N</v>
      </c>
      <c r="X45" s="197">
        <f t="shared" ref="X45:X76" si="26">VALUE(LEFT(AD45,4))-VALUE(LEFT(AD44,4))</f>
        <v>1</v>
      </c>
      <c r="Y45" s="197">
        <f t="shared" ref="Y45:Y76" si="27">RIGHT(D45,LEN(D45)-4)/10000</f>
        <v>4.6600000000000003E-2</v>
      </c>
      <c r="Z45" s="197">
        <f t="shared" ref="Z45:Z76" si="28">RIGHT(H45,LEN(H45)-4)/10000</f>
        <v>23.3291</v>
      </c>
      <c r="AA45" s="197">
        <f t="shared" si="6"/>
        <v>23.282499999999999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7"/>
        <v>133</v>
      </c>
      <c r="AE45" s="77" t="str">
        <f t="shared" si="8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45" s="74" t="str">
        <f t="shared" si="9"/>
        <v>"C:\Program Files (x86)\AstroGrep\AstroGrep.exe" /e /r /s /spath="%USERPROFILE%\AppData\Local\Temp\OnboardLogs" /stypes="app*4054*20170626*" /stext=" 14:.+((SYSTEM_STATE.+slice.+state.+changed )|(ment ac)|(multiple cpu faults)|(system.+state.+changed )|(\[timeout)|(PRM\|1\|D)|(kpr)|(kdp)|(train st.+moving)|(\|lc)|(penalty))"</v>
      </c>
      <c r="AG45" s="209" t="str">
        <f t="shared" si="10"/>
        <v>EC</v>
      </c>
      <c r="AH45" s="78" t="str">
        <f t="shared" si="22"/>
        <v>"%USERPROFILE%\Documents\GitHub\eaglep3\Utilities\RefineRTDCRunTimes.py" --tripid 133-26 --locoid 4054 --swversion DE.1.0.9.0 --startMP 204:466 --initTime 2017-06-26T07:40:08 --startdatetime 2017-06-26T07:45:14 --delay 1 --endMP 204:233291 --enddatetime 2017-06-26T08:21:37 --enforcementcount 0 &gt;&gt;C:\Users\stu\Documents\GitHub\eaglep3-reporting\EC\2017-06-26-refined-times.txt</v>
      </c>
      <c r="AI45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{"issue":{"subject":"","project_id":79,"tracker_id":40,"status_id":1,"priority_id":2,"assigned_to_id":23,"start_date":"2017-06-26","description":"","custom_fields":[{"id":1,"name":"Subdivision","value":"EC"},{"id":4,"name":"Milepost","value":"23.3291"},{"id":17,"name":"Train ID","value":"133-26"},{"id":16,"name":"Locomotive ID","value":"4054"},{"id":130,"name":"Impact","value":""},{"id":150,"name":"Time of Event (Mountain Time)","value":"08:21:37"},{"id":151,"name":"Denver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4"/>
        <v>start /low /b %USERPROFILE%\Documents\GitHub\eaglep3\Utilities\DownloadLogsFromS3.py --loco 4054 --day 2017-06-26</v>
      </c>
      <c r="AN45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722</v>
      </c>
      <c r="B46" s="7">
        <v>4053</v>
      </c>
      <c r="C46" s="21" t="s">
        <v>202</v>
      </c>
      <c r="D46" s="21" t="s">
        <v>883</v>
      </c>
      <c r="E46" s="13">
        <v>42912.360219907408</v>
      </c>
      <c r="F46" s="13">
        <v>42912.362696759257</v>
      </c>
      <c r="G46" s="7">
        <v>1</v>
      </c>
      <c r="H46" s="21" t="s">
        <v>436</v>
      </c>
      <c r="I46" s="13">
        <v>42912.3908912037</v>
      </c>
      <c r="J46" s="7">
        <v>0</v>
      </c>
      <c r="K46" s="89" t="str">
        <f t="shared" si="0"/>
        <v>4053/4054</v>
      </c>
      <c r="L46" s="21" t="str">
        <f>VLOOKUP(A46,'Trips&amp;Operators'!$C$1:$G$99999,5,FALSE)</f>
        <v>STARKS ANGELINA</v>
      </c>
      <c r="M46" s="6">
        <f t="shared" si="1"/>
        <v>2.8194444443215616E-2</v>
      </c>
      <c r="N46" s="7">
        <f t="shared" ref="N46:N77" si="29">24*60*SUM($M46:$M46)</f>
        <v>40.599999998230487</v>
      </c>
      <c r="O46" s="7"/>
      <c r="P46" s="7"/>
      <c r="Q46" s="22"/>
      <c r="R46" s="170"/>
      <c r="S46" s="213">
        <f t="shared" si="2"/>
        <v>1</v>
      </c>
      <c r="T46" s="195" t="str">
        <f t="shared" si="3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4"/>
        <v>https://d0f6bd738d7f1b3e5a7ca70fe4ff75f0.us-east-1.aws.found.io/app/kibana#/discover/Steve-Slow-Train-Analysis-(2080s-and-2083s)?_g=(refreshInterval:(display:Off,pause:!f,section:0,value:0),time:(from:'2017-06-26T07:38:43-0600',mode:absolute,to:'2017-06-26T10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97" t="str">
        <f>IF(AA46&lt;VLOOKUP(AG46,Variables!$AC$3:$AD$8,2,FALSE),"Y","N")</f>
        <v>N</v>
      </c>
      <c r="X46" s="197">
        <f t="shared" si="26"/>
        <v>1</v>
      </c>
      <c r="Y46" s="197">
        <f t="shared" si="27"/>
        <v>23.297999999999998</v>
      </c>
      <c r="Z46" s="197">
        <f t="shared" si="28"/>
        <v>1.5599999999999999E-2</v>
      </c>
      <c r="AA46" s="197">
        <f t="shared" si="6"/>
        <v>23.282399999999999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7"/>
        <v>134</v>
      </c>
      <c r="AE46" s="77" t="str">
        <f t="shared" si="8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46" s="74" t="str">
        <f t="shared" si="9"/>
        <v>"C:\Program Files (x86)\AstroGrep\AstroGrep.exe" /e /r /s /spath="%USERPROFILE%\AppData\Local\Temp\OnboardLogs" /stypes="app*4053*20170626*" /stext=" 15:.+((SYSTEM_STATE.+slice.+state.+changed )|(ment ac)|(multiple cpu faults)|(system.+state.+changed )|(\[timeout)|(PRM\|1\|D)|(kpr)|(kdp)|(train st.+moving)|(\|lc)|(penalty))"</v>
      </c>
      <c r="AG46" s="209" t="str">
        <f t="shared" si="10"/>
        <v>EC</v>
      </c>
      <c r="AH46" s="78" t="str">
        <f t="shared" si="22"/>
        <v>"%USERPROFILE%\Documents\GitHub\eaglep3\Utilities\RefineRTDCRunTimes.py" --tripid 134-26 --locoid 4053 --swversion DE.1.0.9.0 --startMP 204:232980 --initTime 2017-06-26T08:38:43 --startdatetime 2017-06-26T08:42:17 --delay 1 --endMP 204:156 --enddatetime 2017-06-26T09:22:53 --enforcementcount 0 &gt;&gt;C:\Users\stu\Documents\GitHub\eaglep3-reporting\EC\2017-06-26-refined-times.txt</v>
      </c>
      <c r="AI4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{"issue":{"subject":"","project_id":79,"tracker_id":40,"status_id":1,"priority_id":2,"assigned_to_id":23,"start_date":"2017-06-26","description":"","custom_fields":[{"id":1,"name":"Subdivision","value":"EC"},{"id":4,"name":"Milepost","value":"0.0156"},{"id":17,"name":"Train ID","value":"134-26"},{"id":16,"name":"Locomotive ID","value":"4053"},{"id":130,"name":"Impact","value":""},{"id":150,"name":"Time of Event (Mountain Time)","value":"09:22:53"},{"id":151,"name":"Denver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4"/>
        <v>start /low /b %USERPROFILE%\Documents\GitHub\eaglep3\Utilities\DownloadLogsFromS3.py --loco 4053 --day 2017-06-26</v>
      </c>
      <c r="AN4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717</v>
      </c>
      <c r="B47" s="7">
        <v>4014</v>
      </c>
      <c r="C47" s="21" t="s">
        <v>202</v>
      </c>
      <c r="D47" s="21" t="s">
        <v>886</v>
      </c>
      <c r="E47" s="13">
        <v>42912.328368055554</v>
      </c>
      <c r="F47" s="13">
        <v>42912.333483796298</v>
      </c>
      <c r="G47" s="7">
        <v>1</v>
      </c>
      <c r="H47" s="21" t="s">
        <v>887</v>
      </c>
      <c r="I47" s="13">
        <v>42912.358449074076</v>
      </c>
      <c r="J47" s="7">
        <v>0</v>
      </c>
      <c r="K47" s="89" t="str">
        <f t="shared" si="0"/>
        <v>4013/4014</v>
      </c>
      <c r="L47" s="21" t="str">
        <f>VLOOKUP(A47,'Trips&amp;Operators'!$C$1:$G$99999,5,FALSE)</f>
        <v>LALONDE GREGORY</v>
      </c>
      <c r="M47" s="6">
        <f t="shared" si="1"/>
        <v>2.4965277778392192E-2</v>
      </c>
      <c r="N47" s="7">
        <f t="shared" si="29"/>
        <v>35.950000000884756</v>
      </c>
      <c r="O47" s="7"/>
      <c r="P47" s="7"/>
      <c r="Q47" s="22"/>
      <c r="R47" s="170"/>
      <c r="S47" s="213">
        <f t="shared" si="2"/>
        <v>1</v>
      </c>
      <c r="T47" s="195" t="str">
        <f t="shared" si="3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4"/>
        <v>https://d0f6bd738d7f1b3e5a7ca70fe4ff75f0.us-east-1.aws.found.io/app/kibana#/discover/Steve-Slow-Train-Analysis-(2080s-and-2083s)?_g=(refreshInterval:(display:Off,pause:!f,section:0,value:0),time:(from:'2017-06-26T06:52:51-0600',mode:absolute,to:'2017-06-26T09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97" t="str">
        <f>IF(AA47&lt;VLOOKUP(AG47,Variables!$AC$3:$AD$8,2,FALSE),"Y","N")</f>
        <v>N</v>
      </c>
      <c r="X47" s="197">
        <f t="shared" si="26"/>
        <v>1</v>
      </c>
      <c r="Y47" s="197">
        <f t="shared" si="27"/>
        <v>4.2700000000000002E-2</v>
      </c>
      <c r="Z47" s="197">
        <f t="shared" si="28"/>
        <v>23.334</v>
      </c>
      <c r="AA47" s="197">
        <f t="shared" si="6"/>
        <v>23.2913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7"/>
        <v>135</v>
      </c>
      <c r="AE47" s="77" t="str">
        <f t="shared" si="8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47" s="74" t="str">
        <f t="shared" si="9"/>
        <v>"C:\Program Files (x86)\AstroGrep\AstroGrep.exe" /e /r /s /spath="%USERPROFILE%\AppData\Local\Temp\OnboardLogs" /stypes="app*4014*20170626*" /stext=" 14:.+((SYSTEM_STATE.+slice.+state.+changed )|(ment ac)|(multiple cpu faults)|(system.+state.+changed )|(\[timeout)|(PRM\|1\|D)|(kpr)|(kdp)|(train st.+moving)|(\|lc)|(penalty))"</v>
      </c>
      <c r="AG47" s="209" t="str">
        <f t="shared" si="10"/>
        <v>EC</v>
      </c>
      <c r="AH47" s="78" t="str">
        <f t="shared" si="22"/>
        <v>"%USERPROFILE%\Documents\GitHub\eaglep3\Utilities\RefineRTDCRunTimes.py" --tripid 135-26 --locoid 4014 --swversion DE.1.0.9.0 --startMP 204:427 --initTime 2017-06-26T07:52:51 --startdatetime 2017-06-26T08:00:13 --delay 1 --endMP 204:233340 --enddatetime 2017-06-26T08:36:10 --enforcementcount 0 &gt;&gt;C:\Users\stu\Documents\GitHub\eaglep3-reporting\EC\2017-06-26-refined-times.txt</v>
      </c>
      <c r="AI4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{"issue":{"subject":"","project_id":79,"tracker_id":40,"status_id":1,"priority_id":2,"assigned_to_id":23,"start_date":"2017-06-26","description":"","custom_fields":[{"id":1,"name":"Subdivision","value":"EC"},{"id":4,"name":"Milepost","value":"23.334"},{"id":17,"name":"Train ID","value":"135-26"},{"id":16,"name":"Locomotive ID","value":"4014"},{"id":130,"name":"Impact","value":""},{"id":150,"name":"Time of Event (Mountain Time)","value":"08:36:10"},{"id":151,"name":"Denver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4"/>
        <v>start /low /b %USERPROFILE%\Documents\GitHub\eaglep3\Utilities\DownloadLogsFromS3.py --loco 4014 --day 2017-06-26</v>
      </c>
      <c r="AN4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723</v>
      </c>
      <c r="B48" s="7">
        <v>4013</v>
      </c>
      <c r="C48" s="21" t="s">
        <v>202</v>
      </c>
      <c r="D48" s="21" t="s">
        <v>888</v>
      </c>
      <c r="E48" s="13">
        <v>42912.360497685186</v>
      </c>
      <c r="F48" s="13">
        <v>42912.373101851852</v>
      </c>
      <c r="G48" s="7">
        <v>0</v>
      </c>
      <c r="H48" s="21" t="s">
        <v>193</v>
      </c>
      <c r="I48" s="13">
        <v>42912.399062500001</v>
      </c>
      <c r="J48" s="7">
        <v>0</v>
      </c>
      <c r="K48" s="89" t="str">
        <f t="shared" si="0"/>
        <v>4013/4014</v>
      </c>
      <c r="L48" s="21" t="str">
        <f>VLOOKUP(A48,'Trips&amp;Operators'!$C$1:$G$99999,5,FALSE)</f>
        <v>LALONDE GREGORY</v>
      </c>
      <c r="M48" s="6">
        <f t="shared" si="1"/>
        <v>2.5960648148611654E-2</v>
      </c>
      <c r="N48" s="7">
        <f t="shared" si="29"/>
        <v>37.383333334000781</v>
      </c>
      <c r="O48" s="7"/>
      <c r="P48" s="7"/>
      <c r="Q48" s="22"/>
      <c r="R48" s="170"/>
      <c r="S48" s="213">
        <f t="shared" si="2"/>
        <v>1</v>
      </c>
      <c r="T48" s="195" t="str">
        <f t="shared" si="3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4"/>
        <v>https://d0f6bd738d7f1b3e5a7ca70fe4ff75f0.us-east-1.aws.found.io/app/kibana#/discover/Steve-Slow-Train-Analysis-(2080s-and-2083s)?_g=(refreshInterval:(display:Off,pause:!f,section:0,value:0),time:(from:'2017-06-26T07:39:07-0600',mode:absolute,to:'2017-06-26T10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197" t="str">
        <f>IF(AA48&lt;VLOOKUP(AG48,Variables!$AC$3:$AD$8,2,FALSE),"Y","N")</f>
        <v>N</v>
      </c>
      <c r="X48" s="197">
        <f t="shared" si="26"/>
        <v>1</v>
      </c>
      <c r="Y48" s="197">
        <f t="shared" si="27"/>
        <v>23.302800000000001</v>
      </c>
      <c r="Z48" s="197">
        <f t="shared" si="28"/>
        <v>1.52E-2</v>
      </c>
      <c r="AA48" s="197">
        <f t="shared" si="6"/>
        <v>23.287600000000001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7"/>
        <v>136</v>
      </c>
      <c r="AE48" s="77" t="str">
        <f t="shared" si="8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48" s="74" t="str">
        <f t="shared" si="9"/>
        <v>"C:\Program Files (x86)\AstroGrep\AstroGrep.exe" /e /r /s /spath="%USERPROFILE%\AppData\Local\Temp\OnboardLogs" /stypes="app*4013*20170626*" /stext=" 15:.+((SYSTEM_STATE.+slice.+state.+changed )|(ment ac)|(multiple cpu faults)|(system.+state.+changed )|(\[timeout)|(PRM\|1\|D)|(kpr)|(kdp)|(train st.+moving)|(\|lc)|(penalty))"</v>
      </c>
      <c r="AG48" s="209" t="str">
        <f t="shared" si="10"/>
        <v>EC</v>
      </c>
      <c r="AH48" s="78" t="str">
        <f t="shared" si="22"/>
        <v>"%USERPROFILE%\Documents\GitHub\eaglep3\Utilities\RefineRTDCRunTimes.py" --tripid 136-26 --locoid 4013 --swversion DE.1.0.9.0 --startMP 204:233028 --initTime 2017-06-26T08:39:07 --startdatetime 2017-06-26T08:57:16 --delay 0 --endMP 204:152 --enddatetime 2017-06-26T09:34:39 --enforcementcount 0 &gt;&gt;C:\Users\stu\Documents\GitHub\eaglep3-reporting\EC\2017-06-26-refined-times.txt</v>
      </c>
      <c r="AI4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ID","value":"136-26"},{"id":16,"name":"Locomotive ID","value":"4013"},{"id":130,"name":"Impact","value":""},{"id":150,"name":"Time of Event (Mountain Time)","value":"09:34:39"},{"id":151,"name":"Denver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4"/>
        <v>start /low /b %USERPROFILE%\Documents\GitHub\eaglep3\Utilities\DownloadLogsFromS3.py --loco 4013 --day 2017-06-26</v>
      </c>
      <c r="AN4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623</v>
      </c>
      <c r="B49" s="7">
        <v>4030</v>
      </c>
      <c r="C49" s="21" t="s">
        <v>202</v>
      </c>
      <c r="D49" s="21" t="s">
        <v>391</v>
      </c>
      <c r="E49" s="13">
        <v>42912.341967592591</v>
      </c>
      <c r="F49" s="13">
        <v>42912.3440162037</v>
      </c>
      <c r="G49" s="7">
        <v>1</v>
      </c>
      <c r="H49" s="21" t="s">
        <v>889</v>
      </c>
      <c r="I49" s="13">
        <v>42912.371377314812</v>
      </c>
      <c r="J49" s="7">
        <v>0</v>
      </c>
      <c r="K49" s="89" t="str">
        <f t="shared" si="0"/>
        <v>4029/4030</v>
      </c>
      <c r="L49" s="21" t="str">
        <f>VLOOKUP(A49,'Trips&amp;Operators'!$C$1:$G$99999,5,FALSE)</f>
        <v>WILLIAMS DONTE</v>
      </c>
      <c r="M49" s="6">
        <f t="shared" si="1"/>
        <v>2.73611111115315E-2</v>
      </c>
      <c r="N49" s="7">
        <f t="shared" si="29"/>
        <v>39.40000000060536</v>
      </c>
      <c r="O49" s="7"/>
      <c r="P49" s="7"/>
      <c r="Q49" s="22"/>
      <c r="R49" s="170"/>
      <c r="S49" s="213">
        <f t="shared" si="2"/>
        <v>1</v>
      </c>
      <c r="T49" s="195" t="str">
        <f t="shared" si="3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4"/>
        <v>https://d0f6bd738d7f1b3e5a7ca70fe4ff75f0.us-east-1.aws.found.io/app/kibana#/discover/Steve-Slow-Train-Analysis-(2080s-and-2083s)?_g=(refreshInterval:(display:Off,pause:!f,section:0,value:0),time:(from:'2017-06-26T07:12:26-0600',mode:absolute,to:'2017-06-26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9" s="197" t="str">
        <f>IF(AA49&lt;VLOOKUP(AG49,Variables!$AC$3:$AD$8,2,FALSE),"Y","N")</f>
        <v>N</v>
      </c>
      <c r="X49" s="197">
        <f t="shared" si="26"/>
        <v>1</v>
      </c>
      <c r="Y49" s="197">
        <f t="shared" si="27"/>
        <v>4.6199999999999998E-2</v>
      </c>
      <c r="Z49" s="197">
        <f t="shared" si="28"/>
        <v>23.331099999999999</v>
      </c>
      <c r="AA49" s="197">
        <f t="shared" si="6"/>
        <v>23.2849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7"/>
        <v>137</v>
      </c>
      <c r="AE49" s="77" t="str">
        <f t="shared" si="8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49" s="74" t="str">
        <f t="shared" si="9"/>
        <v>"C:\Program Files (x86)\AstroGrep\AstroGrep.exe" /e /r /s /spath="%USERPROFILE%\AppData\Local\Temp\OnboardLogs" /stypes="app*4030*20170626*" /stext=" 14:.+((SYSTEM_STATE.+slice.+state.+changed )|(ment ac)|(multiple cpu faults)|(system.+state.+changed )|(\[timeout)|(PRM\|1\|D)|(kpr)|(kdp)|(train st.+moving)|(\|lc)|(penalty))"</v>
      </c>
      <c r="AG49" s="209" t="str">
        <f t="shared" si="10"/>
        <v>EC</v>
      </c>
      <c r="AH49" s="78" t="str">
        <f t="shared" si="22"/>
        <v>"%USERPROFILE%\Documents\GitHub\eaglep3\Utilities\RefineRTDCRunTimes.py" --tripid 137-26 --locoid 4030 --swversion DE.1.0.9.0 --startMP 204:462 --initTime 2017-06-26T08:12:26 --startdatetime 2017-06-26T08:15:23 --delay 1 --endMP 204:233311 --enddatetime 2017-06-26T08:54:47 --enforcementcount 0 &gt;&gt;C:\Users\stu\Documents\GitHub\eaglep3-reporting\EC\2017-06-26-refined-times.txt</v>
      </c>
      <c r="AI49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{"issue":{"subject":"","project_id":79,"tracker_id":40,"status_id":1,"priority_id":2,"assigned_to_id":23,"start_date":"2017-06-26","description":"","custom_fields":[{"id":1,"name":"Subdivision","value":"EC"},{"id":4,"name":"Milepost","value":"23.3311"},{"id":17,"name":"Train ID","value":"137-26"},{"id":16,"name":"Locomotive ID","value":"4030"},{"id":130,"name":"Impact","value":""},{"id":150,"name":"Time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4"/>
        <v>start /low /b %USERPROFILE%\Documents\GitHub\eaglep3\Utilities\DownloadLogsFromS3.py --loco 4030 --day 2017-06-26</v>
      </c>
      <c r="AN49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728</v>
      </c>
      <c r="B50" s="7">
        <v>4029</v>
      </c>
      <c r="C50" s="21" t="s">
        <v>202</v>
      </c>
      <c r="D50" s="21" t="s">
        <v>890</v>
      </c>
      <c r="E50" s="13">
        <v>42912.374363425923</v>
      </c>
      <c r="F50" s="13">
        <v>42912.383587962962</v>
      </c>
      <c r="G50" s="7">
        <v>1</v>
      </c>
      <c r="H50" s="21" t="s">
        <v>358</v>
      </c>
      <c r="I50" s="13">
        <v>42912.412442129629</v>
      </c>
      <c r="J50" s="7">
        <v>0</v>
      </c>
      <c r="K50" s="89" t="str">
        <f t="shared" si="0"/>
        <v>4029/4030</v>
      </c>
      <c r="L50" s="21" t="str">
        <f>VLOOKUP(A50,'Trips&amp;Operators'!$C$1:$G$99999,5,FALSE)</f>
        <v>WILLIAMS DONTE</v>
      </c>
      <c r="M50" s="6">
        <f t="shared" si="1"/>
        <v>2.8854166666860692E-2</v>
      </c>
      <c r="N50" s="7">
        <f t="shared" si="29"/>
        <v>41.550000000279397</v>
      </c>
      <c r="O50" s="7"/>
      <c r="P50" s="7"/>
      <c r="Q50" s="22"/>
      <c r="R50" s="170"/>
      <c r="S50" s="213">
        <f t="shared" si="2"/>
        <v>1</v>
      </c>
      <c r="T50" s="195" t="str">
        <f t="shared" si="3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4"/>
        <v>https://d0f6bd738d7f1b3e5a7ca70fe4ff75f0.us-east-1.aws.found.io/app/kibana#/discover/Steve-Slow-Train-Analysis-(2080s-and-2083s)?_g=(refreshInterval:(display:Off,pause:!f,section:0,value:0),time:(from:'2017-06-26T07:59:05-0600',mode:absolute,to:'2017-06-26T10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0" s="197" t="str">
        <f>IF(AA50&lt;VLOOKUP(AG50,Variables!$AC$3:$AD$8,2,FALSE),"Y","N")</f>
        <v>N</v>
      </c>
      <c r="X50" s="197">
        <f t="shared" si="26"/>
        <v>1</v>
      </c>
      <c r="Y50" s="197">
        <f t="shared" si="27"/>
        <v>23.3001</v>
      </c>
      <c r="Z50" s="197">
        <f t="shared" si="28"/>
        <v>1.41E-2</v>
      </c>
      <c r="AA50" s="197">
        <f t="shared" si="6"/>
        <v>23.286000000000001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7"/>
        <v>138</v>
      </c>
      <c r="AE50" s="77" t="str">
        <f t="shared" si="8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50" s="74" t="str">
        <f t="shared" si="9"/>
        <v>"C:\Program Files (x86)\AstroGrep\AstroGrep.exe" /e /r /s /spath="%USERPROFILE%\AppData\Local\Temp\OnboardLogs" /stypes="app*4029*20170626*" /stext=" 15:.+((SYSTEM_STATE.+slice.+state.+changed )|(ment ac)|(multiple cpu faults)|(system.+state.+changed )|(\[timeout)|(PRM\|1\|D)|(kpr)|(kdp)|(train st.+moving)|(\|lc)|(penalty))"</v>
      </c>
      <c r="AG50" s="209" t="str">
        <f t="shared" si="10"/>
        <v>EC</v>
      </c>
      <c r="AH50" s="78" t="str">
        <f t="shared" si="22"/>
        <v>"%USERPROFILE%\Documents\GitHub\eaglep3\Utilities\RefineRTDCRunTimes.py" --tripid 138-26 --locoid 4029 --swversion DE.1.0.9.0 --startMP 204:233001 --initTime 2017-06-26T08:59:05 --startdatetime 2017-06-26T09:12:22 --delay 1 --endMP 204:141 --enddatetime 2017-06-26T09:53:55 --enforcementcount 0 &gt;&gt;C:\Users\stu\Documents\GitHub\eaglep3-reporting\EC\2017-06-26-refined-times.txt</v>
      </c>
      <c r="AI50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{"issue":{"subject":"","project_id":79,"tracker_id":40,"status_id":1,"priority_id":2,"assigned_to_id":23,"start_date":"2017-06-26","description":"","custom_fields":[{"id":1,"name":"Subdivision","value":"EC"},{"id":4,"name":"Milepost","value":"0.0141"},{"id":17,"name":"Train ID","value":"138-26"},{"id":16,"name":"Locomotive ID","value":"4029"},{"id":130,"name":"Impact","value":""},{"id":150,"name":"Time of Event (Mountain Time)","value":"09:53:55"},{"id":151,"name":"Denver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4"/>
        <v>start /low /b %USERPROFILE%\Documents\GitHub\eaglep3\Utilities\DownloadLogsFromS3.py --loco 4029 --day 2017-06-26</v>
      </c>
      <c r="AN50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625</v>
      </c>
      <c r="B51" s="7">
        <v>4058</v>
      </c>
      <c r="C51" s="21" t="s">
        <v>202</v>
      </c>
      <c r="D51" s="21" t="s">
        <v>511</v>
      </c>
      <c r="E51" s="13">
        <v>42912.351087962961</v>
      </c>
      <c r="F51" s="13">
        <v>42912.354456018518</v>
      </c>
      <c r="G51" s="7">
        <v>1</v>
      </c>
      <c r="H51" s="21" t="s">
        <v>576</v>
      </c>
      <c r="I51" s="13">
        <v>42912.379618055558</v>
      </c>
      <c r="J51" s="7">
        <v>0</v>
      </c>
      <c r="K51" s="89" t="str">
        <f t="shared" si="0"/>
        <v>4057/4058</v>
      </c>
      <c r="L51" s="21" t="str">
        <f>VLOOKUP(A51,'Trips&amp;Operators'!$C$1:$G$99999,5,FALSE)</f>
        <v>MAELZER KURT</v>
      </c>
      <c r="M51" s="6">
        <f t="shared" si="1"/>
        <v>2.5162037039990537E-2</v>
      </c>
      <c r="N51" s="7">
        <f t="shared" si="29"/>
        <v>36.233333337586373</v>
      </c>
      <c r="O51" s="7"/>
      <c r="P51" s="7"/>
      <c r="Q51" s="22"/>
      <c r="R51" s="170"/>
      <c r="S51" s="213">
        <f t="shared" si="2"/>
        <v>1</v>
      </c>
      <c r="T51" s="195" t="str">
        <f t="shared" si="3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4"/>
        <v>https://d0f6bd738d7f1b3e5a7ca70fe4ff75f0.us-east-1.aws.found.io/app/kibana#/discover/Steve-Slow-Train-Analysis-(2080s-and-2083s)?_g=(refreshInterval:(display:Off,pause:!f,section:0,value:0),time:(from:'2017-06-26T07:25:34-0600',mode:absolute,to:'2017-06-26T10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1" s="197" t="str">
        <f>IF(AA51&lt;VLOOKUP(AG51,Variables!$AC$3:$AD$8,2,FALSE),"Y","N")</f>
        <v>N</v>
      </c>
      <c r="X51" s="197">
        <f t="shared" si="26"/>
        <v>1</v>
      </c>
      <c r="Y51" s="197">
        <f t="shared" si="27"/>
        <v>4.3999999999999997E-2</v>
      </c>
      <c r="Z51" s="197">
        <f t="shared" si="28"/>
        <v>23.333100000000002</v>
      </c>
      <c r="AA51" s="197">
        <f t="shared" si="6"/>
        <v>23.289100000000001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7"/>
        <v>139</v>
      </c>
      <c r="AE51" s="77" t="str">
        <f t="shared" si="8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51" s="74" t="str">
        <f t="shared" si="9"/>
        <v>"C:\Program Files (x86)\AstroGrep\AstroGrep.exe" /e /r /s /spath="%USERPROFILE%\AppData\Local\Temp\OnboardLogs" /stypes="app*4058*20170626*" /stext=" 15:.+((SYSTEM_STATE.+slice.+state.+changed )|(ment ac)|(multiple cpu faults)|(system.+state.+changed )|(\[timeout)|(PRM\|1\|D)|(kpr)|(kdp)|(train st.+moving)|(\|lc)|(penalty))"</v>
      </c>
      <c r="AG51" s="209" t="str">
        <f t="shared" si="10"/>
        <v>EC</v>
      </c>
      <c r="AH51" s="78" t="str">
        <f t="shared" si="22"/>
        <v>"%USERPROFILE%\Documents\GitHub\eaglep3\Utilities\RefineRTDCRunTimes.py" --tripid 139-26 --locoid 4058 --swversion DE.1.0.9.0 --startMP 204:440 --initTime 2017-06-26T08:25:34 --startdatetime 2017-06-26T08:30:25 --delay 1 --endMP 204:233331 --enddatetime 2017-06-26T09:06:39 --enforcementcount 0 &gt;&gt;C:\Users\stu\Documents\GitHub\eaglep3-reporting\EC\2017-06-26-refined-times.txt</v>
      </c>
      <c r="AI51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{"issue":{"subject":"","project_id":79,"tracker_id":40,"status_id":1,"priority_id":2,"assigned_to_id":23,"start_date":"2017-06-26","description":"","custom_fields":[{"id":1,"name":"Subdivision","value":"EC"},{"id":4,"name":"Milepost","value":"23.3331"},{"id":17,"name":"Train ID","value":"139-26"},{"id":16,"name":"Locomotive ID","value":"4058"},{"id":130,"name":"Impact","value":""},{"id":150,"name":"Time of Event (Mountain Time)","value":"09:06:39"},{"id":151,"name":"Denver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4"/>
        <v>start /low /b %USERPROFILE%\Documents\GitHub\eaglep3\Utilities\DownloadLogsFromS3.py --loco 4058 --day 2017-06-26</v>
      </c>
      <c r="AN51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732</v>
      </c>
      <c r="B52" s="7">
        <v>4057</v>
      </c>
      <c r="C52" s="21" t="s">
        <v>202</v>
      </c>
      <c r="D52" s="21" t="s">
        <v>891</v>
      </c>
      <c r="E52" s="13">
        <v>42912.390324074076</v>
      </c>
      <c r="F52" s="13">
        <v>42912.39398148148</v>
      </c>
      <c r="G52" s="7">
        <v>0</v>
      </c>
      <c r="H52" s="21" t="s">
        <v>872</v>
      </c>
      <c r="I52" s="13">
        <v>42912.420358796298</v>
      </c>
      <c r="J52" s="7">
        <v>0</v>
      </c>
      <c r="K52" s="89" t="str">
        <f t="shared" si="0"/>
        <v>4057/4058</v>
      </c>
      <c r="L52" s="21" t="str">
        <f>VLOOKUP(A52,'Trips&amp;Operators'!$C$1:$G$99999,5,FALSE)</f>
        <v>MAELZER KURT</v>
      </c>
      <c r="M52" s="6">
        <f t="shared" si="1"/>
        <v>2.6377314818091691E-2</v>
      </c>
      <c r="N52" s="7">
        <f t="shared" si="29"/>
        <v>37.983333338052034</v>
      </c>
      <c r="O52" s="7"/>
      <c r="P52" s="7"/>
      <c r="Q52" s="22"/>
      <c r="R52" s="170"/>
      <c r="S52" s="213">
        <f t="shared" si="2"/>
        <v>1</v>
      </c>
      <c r="T52" s="195" t="str">
        <f t="shared" si="3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4"/>
        <v>https://d0f6bd738d7f1b3e5a7ca70fe4ff75f0.us-east-1.aws.found.io/app/kibana#/discover/Steve-Slow-Train-Analysis-(2080s-and-2083s)?_g=(refreshInterval:(display:Off,pause:!f,section:0,value:0),time:(from:'2017-06-26T08:22:04-0600',mode:absolute,to:'2017-06-26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2" s="197" t="str">
        <f>IF(AA52&lt;VLOOKUP(AG52,Variables!$AC$3:$AD$8,2,FALSE),"Y","N")</f>
        <v>N</v>
      </c>
      <c r="X52" s="197">
        <f t="shared" si="26"/>
        <v>1</v>
      </c>
      <c r="Y52" s="197">
        <f t="shared" si="27"/>
        <v>23.300799999999999</v>
      </c>
      <c r="Z52" s="197">
        <f t="shared" si="28"/>
        <v>1.3599999999999999E-2</v>
      </c>
      <c r="AA52" s="197">
        <f t="shared" si="6"/>
        <v>23.287199999999999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7"/>
        <v>140</v>
      </c>
      <c r="AE52" s="77" t="str">
        <f t="shared" si="8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52" s="74" t="str">
        <f t="shared" si="9"/>
        <v>"C:\Program Files (x86)\AstroGrep\AstroGrep.exe" /e /r /s /spath="%USERPROFILE%\AppData\Local\Temp\OnboardLogs" /stypes="app*4057*20170626*" /stext=" 16:.+((SYSTEM_STATE.+slice.+state.+changed )|(ment ac)|(multiple cpu faults)|(system.+state.+changed )|(\[timeout)|(PRM\|1\|D)|(kpr)|(kdp)|(train st.+moving)|(\|lc)|(penalty))"</v>
      </c>
      <c r="AG52" s="209" t="str">
        <f t="shared" si="10"/>
        <v>EC</v>
      </c>
      <c r="AH52" s="78" t="str">
        <f t="shared" si="22"/>
        <v>"%USERPROFILE%\Documents\GitHub\eaglep3\Utilities\RefineRTDCRunTimes.py" --tripid 140-26 --locoid 4057 --swversion DE.1.0.9.0 --startMP 204:233008 --initTime 2017-06-26T09:22:04 --startdatetime 2017-06-26T09:27:20 --delay 0 --endMP 204:136 --enddatetime 2017-06-26T10:05:19 --enforcementcount 0 &gt;&gt;C:\Users\stu\Documents\GitHub\eaglep3-reporting\EC\2017-06-26-refined-times.txt</v>
      </c>
      <c r="AI52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{"issue":{"subject":"","project_id":79,"tracker_id":40,"status_id":1,"priority_id":2,"assigned_to_id":23,"start_date":"2017-06-26","description":"","custom_fields":[{"id":1,"name":"Subdivision","value":"EC"},{"id":4,"name":"Milepost","value":"0.0136"},{"id":17,"name":"Train ID","value":"140-26"},{"id":16,"name":"Locomotive ID","value":"4057"},{"id":130,"name":"Impact","value":""},{"id":150,"name":"Time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4"/>
        <v>start /low /b %USERPROFILE%\Documents\GitHub\eaglep3\Utilities\DownloadLogsFromS3.py --loco 4057 --day 2017-06-26</v>
      </c>
      <c r="AN52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724</v>
      </c>
      <c r="B53" s="7">
        <v>4046</v>
      </c>
      <c r="C53" s="21" t="s">
        <v>202</v>
      </c>
      <c r="D53" s="21" t="s">
        <v>351</v>
      </c>
      <c r="E53" s="13">
        <v>42912.362881944442</v>
      </c>
      <c r="F53" s="13">
        <v>42912.36482638889</v>
      </c>
      <c r="G53" s="7">
        <v>1</v>
      </c>
      <c r="H53" s="21" t="s">
        <v>483</v>
      </c>
      <c r="I53" s="13">
        <v>42912.389189814814</v>
      </c>
      <c r="J53" s="7">
        <v>0</v>
      </c>
      <c r="K53" s="89" t="str">
        <f t="shared" si="0"/>
        <v>4045/4046</v>
      </c>
      <c r="L53" s="21" t="str">
        <f>VLOOKUP(A53,'Trips&amp;Operators'!$C$1:$G$99999,5,FALSE)</f>
        <v>HELVIE ADAM</v>
      </c>
      <c r="M53" s="6">
        <f t="shared" si="1"/>
        <v>2.4363425924093463E-2</v>
      </c>
      <c r="N53" s="7">
        <f t="shared" si="29"/>
        <v>35.083333330694586</v>
      </c>
      <c r="O53" s="7"/>
      <c r="P53" s="7"/>
      <c r="Q53" s="22"/>
      <c r="R53" s="170"/>
      <c r="S53" s="213">
        <f t="shared" si="2"/>
        <v>1</v>
      </c>
      <c r="T53" s="195" t="str">
        <f t="shared" si="3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4"/>
        <v>https://d0f6bd738d7f1b3e5a7ca70fe4ff75f0.us-east-1.aws.found.io/app/kibana#/discover/Steve-Slow-Train-Analysis-(2080s-and-2083s)?_g=(refreshInterval:(display:Off,pause:!f,section:0,value:0),time:(from:'2017-06-26T07:42:33-0600',mode:absolute,to:'2017-06-26T10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3" s="197" t="str">
        <f>IF(AA53&lt;VLOOKUP(AG53,Variables!$AC$3:$AD$8,2,FALSE),"Y","N")</f>
        <v>N</v>
      </c>
      <c r="X53" s="197">
        <f t="shared" si="26"/>
        <v>1</v>
      </c>
      <c r="Y53" s="197">
        <f t="shared" si="27"/>
        <v>4.6600000000000003E-2</v>
      </c>
      <c r="Z53" s="197">
        <f t="shared" si="28"/>
        <v>23.330500000000001</v>
      </c>
      <c r="AA53" s="197">
        <f t="shared" si="6"/>
        <v>23.283899999999999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7"/>
        <v>141</v>
      </c>
      <c r="AE53" s="77" t="str">
        <f t="shared" si="8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53" s="74" t="str">
        <f t="shared" si="9"/>
        <v>"C:\Program Files (x86)\AstroGrep\AstroGrep.exe" /e /r /s /spath="%USERPROFILE%\AppData\Local\Temp\OnboardLogs" /stypes="app*4046*20170626*" /stext=" 15:.+((SYSTEM_STATE.+slice.+state.+changed )|(ment ac)|(multiple cpu faults)|(system.+state.+changed )|(\[timeout)|(PRM\|1\|D)|(kpr)|(kdp)|(train st.+moving)|(\|lc)|(penalty))"</v>
      </c>
      <c r="AG53" s="209" t="str">
        <f t="shared" si="10"/>
        <v>EC</v>
      </c>
      <c r="AH53" s="78" t="str">
        <f t="shared" si="22"/>
        <v>"%USERPROFILE%\Documents\GitHub\eaglep3\Utilities\RefineRTDCRunTimes.py" --tripid 141-26 --locoid 4046 --swversion DE.1.0.9.0 --startMP 204:466 --initTime 2017-06-26T08:42:33 --startdatetime 2017-06-26T08:45:21 --delay 1 --endMP 204:233305 --enddatetime 2017-06-26T09:20:26 --enforcementcount 0 &gt;&gt;C:\Users\stu\Documents\GitHub\eaglep3-reporting\EC\2017-06-26-refined-times.txt</v>
      </c>
      <c r="AI53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{"issue":{"subject":"","project_id":79,"tracker_id":40,"status_id":1,"priority_id":2,"assigned_to_id":23,"start_date":"2017-06-26","description":"","custom_fields":[{"id":1,"name":"Subdivision","value":"EC"},{"id":4,"name":"Milepost","value":"23.3305"},{"id":17,"name":"Train ID","value":"141-26"},{"id":16,"name":"Locomotive ID","value":"4046"},{"id":130,"name":"Impact","value":""},{"id":150,"name":"Time of Event (Mountain Time)","value":"09:20:26"},{"id":151,"name":"Denver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4"/>
        <v>start /low /b %USERPROFILE%\Documents\GitHub\eaglep3\Utilities\DownloadLogsFromS3.py --loco 4046 --day 2017-06-26</v>
      </c>
      <c r="AN53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4045</v>
      </c>
      <c r="C54" s="21" t="s">
        <v>202</v>
      </c>
      <c r="D54" s="21" t="s">
        <v>509</v>
      </c>
      <c r="E54" s="13">
        <v>42912.402800925927</v>
      </c>
      <c r="F54" s="13">
        <v>42912.404479166667</v>
      </c>
      <c r="G54" s="7">
        <v>1</v>
      </c>
      <c r="H54" s="21" t="s">
        <v>394</v>
      </c>
      <c r="I54" s="13">
        <v>42912.430671296293</v>
      </c>
      <c r="J54" s="7">
        <v>0</v>
      </c>
      <c r="K54" s="89" t="str">
        <f t="shared" si="0"/>
        <v>4045/4046</v>
      </c>
      <c r="L54" s="21" t="str">
        <f>VLOOKUP(A54,'Trips&amp;Operators'!$C$1:$G$99999,5,FALSE)</f>
        <v>HELVIE ADAM</v>
      </c>
      <c r="M54" s="6">
        <f t="shared" si="1"/>
        <v>2.619212962599704E-2</v>
      </c>
      <c r="N54" s="7">
        <f t="shared" si="29"/>
        <v>37.716666661435738</v>
      </c>
      <c r="O54" s="7"/>
      <c r="P54" s="7"/>
      <c r="Q54" s="22"/>
      <c r="R54" s="170"/>
      <c r="S54" s="213">
        <f t="shared" si="2"/>
        <v>1</v>
      </c>
      <c r="T54" s="195" t="str">
        <f t="shared" si="3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4"/>
        <v>https://d0f6bd738d7f1b3e5a7ca70fe4ff75f0.us-east-1.aws.found.io/app/kibana#/discover/Steve-Slow-Train-Analysis-(2080s-and-2083s)?_g=(refreshInterval:(display:Off,pause:!f,section:0,value:0),time:(from:'2017-06-26T08:40:02-0600',mode:absolute,to:'2017-06-26T11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4" s="197" t="str">
        <f>IF(AA54&lt;VLOOKUP(AG54,Variables!$AC$3:$AD$8,2,FALSE),"Y","N")</f>
        <v>N</v>
      </c>
      <c r="X54" s="197">
        <f t="shared" si="26"/>
        <v>1</v>
      </c>
      <c r="Y54" s="197">
        <f t="shared" si="27"/>
        <v>23.298400000000001</v>
      </c>
      <c r="Z54" s="197">
        <f t="shared" si="28"/>
        <v>1.54E-2</v>
      </c>
      <c r="AA54" s="197">
        <f t="shared" si="6"/>
        <v>23.283000000000001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7"/>
        <v>142</v>
      </c>
      <c r="AE54" s="77" t="str">
        <f t="shared" si="8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54" s="74" t="str">
        <f t="shared" si="9"/>
        <v>"C:\Program Files (x86)\AstroGrep\AstroGrep.exe" /e /r /s /spath="%USERPROFILE%\AppData\Local\Temp\OnboardLogs" /stypes="app*4045*20170626*" /stext=" 16:.+((SYSTEM_STATE.+slice.+state.+changed )|(ment ac)|(multiple cpu faults)|(system.+state.+changed )|(\[timeout)|(PRM\|1\|D)|(kpr)|(kdp)|(train st.+moving)|(\|lc)|(penalty))"</v>
      </c>
      <c r="AG54" s="209" t="str">
        <f t="shared" si="10"/>
        <v>EC</v>
      </c>
      <c r="AH54" s="78" t="str">
        <f t="shared" si="22"/>
        <v>"%USERPROFILE%\Documents\GitHub\eaglep3\Utilities\RefineRTDCRunTimes.py" --tripid 142-26 --locoid 4045 --swversion DE.1.0.9.0 --startMP 204:232984 --initTime 2017-06-26T09:40:02 --startdatetime 2017-06-26T09:42:27 --delay 1 --endMP 204:154 --enddatetime 2017-06-26T10:20:10 --enforcementcount 0 &gt;&gt;C:\Users\stu\Documents\GitHub\eaglep3-reporting\EC\2017-06-26-refined-times.txt</v>
      </c>
      <c r="AI54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{"issue":{"subject":"","project_id":79,"tracker_id":40,"status_id":1,"priority_id":2,"assigned_to_id":23,"start_date":"2017-06-26","description":"","custom_fields":[{"id":1,"name":"Subdivision","value":"EC"},{"id":4,"name":"Milepost","value":"0.0154"},{"id":17,"name":"Train ID","value":"142-26"},{"id":16,"name":"Locomotive ID","value":"4045"},{"id":130,"name":"Impact","value":""},{"id":150,"name":"Time of Event (Mountain Time)","value":"10:20:10"},{"id":151,"name":"Denver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4"/>
        <v>start /low /b %USERPROFILE%\Documents\GitHub\eaglep3\Utilities\DownloadLogsFromS3.py --loco 4045 --day 2017-06-26</v>
      </c>
      <c r="AN54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727</v>
      </c>
      <c r="B55" s="7">
        <v>4004</v>
      </c>
      <c r="C55" s="21" t="s">
        <v>202</v>
      </c>
      <c r="D55" s="21" t="s">
        <v>435</v>
      </c>
      <c r="E55" s="13">
        <v>42912.371469907404</v>
      </c>
      <c r="F55" s="13">
        <v>42912.375162037039</v>
      </c>
      <c r="G55" s="7">
        <v>3</v>
      </c>
      <c r="H55" s="21" t="s">
        <v>580</v>
      </c>
      <c r="I55" s="13">
        <v>42912.401458333334</v>
      </c>
      <c r="J55" s="7">
        <v>0</v>
      </c>
      <c r="K55" s="89" t="str">
        <f t="shared" si="0"/>
        <v>4003/4004</v>
      </c>
      <c r="L55" s="21" t="str">
        <f>VLOOKUP(A55,'Trips&amp;Operators'!$C$1:$G$99999,5,FALSE)</f>
        <v>BONDS REYNALDO</v>
      </c>
      <c r="M55" s="6">
        <f t="shared" si="1"/>
        <v>2.6296296295186039E-2</v>
      </c>
      <c r="N55" s="7">
        <f t="shared" si="29"/>
        <v>37.866666665067896</v>
      </c>
      <c r="O55" s="7"/>
      <c r="P55" s="7"/>
      <c r="Q55" s="22"/>
      <c r="R55" s="170"/>
      <c r="S55" s="213">
        <f t="shared" si="2"/>
        <v>1</v>
      </c>
      <c r="T55" s="195" t="str">
        <f t="shared" si="3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4"/>
        <v>https://d0f6bd738d7f1b3e5a7ca70fe4ff75f0.us-east-1.aws.found.io/app/kibana#/discover/Steve-Slow-Train-Analysis-(2080s-and-2083s)?_g=(refreshInterval:(display:Off,pause:!f,section:0,value:0),time:(from:'2017-06-26T07:54:55-0600',mode:absolute,to:'2017-06-26T10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97" t="str">
        <f>IF(AA55&lt;VLOOKUP(AG55,Variables!$AC$3:$AD$8,2,FALSE),"Y","N")</f>
        <v>N</v>
      </c>
      <c r="X55" s="197">
        <f t="shared" si="26"/>
        <v>1</v>
      </c>
      <c r="Y55" s="197">
        <f t="shared" si="27"/>
        <v>4.6699999999999998E-2</v>
      </c>
      <c r="Z55" s="197">
        <f t="shared" si="28"/>
        <v>23.328299999999999</v>
      </c>
      <c r="AA55" s="197">
        <f t="shared" si="6"/>
        <v>23.281599999999997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7"/>
        <v>143</v>
      </c>
      <c r="AE55" s="77" t="str">
        <f t="shared" si="8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55" s="74" t="str">
        <f t="shared" si="9"/>
        <v>"C:\Program Files (x86)\AstroGrep\AstroGrep.exe" /e /r /s /spath="%USERPROFILE%\AppData\Local\Temp\OnboardLogs" /stypes="app*4004*20170626*" /stext=" 15:.+((SYSTEM_STATE.+slice.+state.+changed )|(ment ac)|(multiple cpu faults)|(system.+state.+changed )|(\[timeout)|(PRM\|1\|D)|(kpr)|(kdp)|(train st.+moving)|(\|lc)|(penalty))"</v>
      </c>
      <c r="AG55" s="209" t="str">
        <f t="shared" si="10"/>
        <v>EC</v>
      </c>
      <c r="AH55" s="78" t="str">
        <f t="shared" si="22"/>
        <v>"%USERPROFILE%\Documents\GitHub\eaglep3\Utilities\RefineRTDCRunTimes.py" --tripid 143-26 --locoid 4004 --swversion DE.1.0.9.0 --startMP 204:467 --initTime 2017-06-26T08:54:55 --startdatetime 2017-06-26T09:00:14 --delay 3 --endMP 204:233283 --enddatetime 2017-06-26T09:38:06 --enforcementcount 0 &gt;&gt;C:\Users\stu\Documents\GitHub\eaglep3-reporting\EC\2017-06-26-refined-times.txt</v>
      </c>
      <c r="AI55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{"issue":{"subject":"","project_id":79,"tracker_id":40,"status_id":1,"priority_id":2,"assigned_to_id":23,"start_date":"2017-06-26","description":"","custom_fields":[{"id":1,"name":"Subdivision","value":"EC"},{"id":4,"name":"Milepost","value":"23.3283"},{"id":17,"name":"Train ID","value":"143-26"},{"id":16,"name":"Locomotive ID","value":"4004"},{"id":130,"name":"Impact","value":""},{"id":150,"name":"Time of Event (Mountain Time)","value":"09:38:06"},{"id":151,"name":"Denver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4"/>
        <v>start /low /b %USERPROFILE%\Documents\GitHub\eaglep3\Utilities\DownloadLogsFromS3.py --loco 4004 --day 2017-06-26</v>
      </c>
      <c r="AN55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737</v>
      </c>
      <c r="B56" s="7">
        <v>4003</v>
      </c>
      <c r="C56" s="21" t="s">
        <v>202</v>
      </c>
      <c r="D56" s="21" t="s">
        <v>607</v>
      </c>
      <c r="E56" s="13">
        <v>42912.412592592591</v>
      </c>
      <c r="F56" s="13">
        <v>42912.414803240739</v>
      </c>
      <c r="G56" s="7">
        <v>1</v>
      </c>
      <c r="H56" s="21" t="s">
        <v>513</v>
      </c>
      <c r="I56" s="13">
        <v>42912.442430555559</v>
      </c>
      <c r="J56" s="7">
        <v>0</v>
      </c>
      <c r="K56" s="89" t="str">
        <f t="shared" si="0"/>
        <v>4003/4004</v>
      </c>
      <c r="L56" s="21" t="str">
        <f>VLOOKUP(A56,'Trips&amp;Operators'!$C$1:$G$99999,5,FALSE)</f>
        <v>BONDS REYNALDO</v>
      </c>
      <c r="M56" s="6">
        <f t="shared" si="1"/>
        <v>2.7627314819255844E-2</v>
      </c>
      <c r="N56" s="7">
        <f t="shared" si="29"/>
        <v>39.783333339728415</v>
      </c>
      <c r="O56" s="7"/>
      <c r="P56" s="7"/>
      <c r="Q56" s="22"/>
      <c r="R56" s="170"/>
      <c r="S56" s="213">
        <f t="shared" si="2"/>
        <v>1</v>
      </c>
      <c r="T56" s="195" t="str">
        <f t="shared" si="3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4"/>
        <v>https://d0f6bd738d7f1b3e5a7ca70fe4ff75f0.us-east-1.aws.found.io/app/kibana#/discover/Steve-Slow-Train-Analysis-(2080s-and-2083s)?_g=(refreshInterval:(display:Off,pause:!f,section:0,value:0),time:(from:'2017-06-26T08:54:08-0600',mode:absolute,to:'2017-06-26T11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97" t="str">
        <f>IF(AA56&lt;VLOOKUP(AG56,Variables!$AC$3:$AD$8,2,FALSE),"Y","N")</f>
        <v>N</v>
      </c>
      <c r="X56" s="197">
        <f t="shared" si="26"/>
        <v>1</v>
      </c>
      <c r="Y56" s="197">
        <f t="shared" si="27"/>
        <v>23.2987</v>
      </c>
      <c r="Z56" s="197">
        <f t="shared" si="28"/>
        <v>1.6500000000000001E-2</v>
      </c>
      <c r="AA56" s="197">
        <f t="shared" si="6"/>
        <v>23.2822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7"/>
        <v>144</v>
      </c>
      <c r="AE56" s="77" t="str">
        <f t="shared" si="8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56" s="74" t="str">
        <f t="shared" si="9"/>
        <v>"C:\Program Files (x86)\AstroGrep\AstroGrep.exe" /e /r /s /spath="%USERPROFILE%\AppData\Local\Temp\OnboardLogs" /stypes="app*4003*20170626*" /stext=" 16:.+((SYSTEM_STATE.+slice.+state.+changed )|(ment ac)|(multiple cpu faults)|(system.+state.+changed )|(\[timeout)|(PRM\|1\|D)|(kpr)|(kdp)|(train st.+moving)|(\|lc)|(penalty))"</v>
      </c>
      <c r="AG56" s="209" t="str">
        <f t="shared" si="10"/>
        <v>EC</v>
      </c>
      <c r="AH56" s="78" t="str">
        <f t="shared" si="22"/>
        <v>"%USERPROFILE%\Documents\GitHub\eaglep3\Utilities\RefineRTDCRunTimes.py" --tripid 144-26 --locoid 4003 --swversion DE.1.0.9.0 --startMP 204:232987 --initTime 2017-06-26T09:54:08 --startdatetime 2017-06-26T09:57:19 --delay 1 --endMP 204:165 --enddatetime 2017-06-26T10:37:06 --enforcementcount 0 &gt;&gt;C:\Users\stu\Documents\GitHub\eaglep3-reporting\EC\2017-06-26-refined-times.txt</v>
      </c>
      <c r="AI5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{"issue":{"subject":"","project_id":79,"tracker_id":40,"status_id":1,"priority_id":2,"assigned_to_id":23,"start_date":"2017-06-26","description":"","custom_fields":[{"id":1,"name":"Subdivision","value":"EC"},{"id":4,"name":"Milepost","value":"0.0165"},{"id":17,"name":"Train ID","value":"144-26"},{"id":16,"name":"Locomotive ID","value":"4003"},{"id":130,"name":"Impact","value":""},{"id":150,"name":"Time of Event (Mountain Time)","value":"10:37:06"},{"id":151,"name":"Denver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4"/>
        <v>start /low /b %USERPROFILE%\Documents\GitHub\eaglep3\Utilities\DownloadLogsFromS3.py --loco 4003 --day 2017-06-26</v>
      </c>
      <c r="AN5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729</v>
      </c>
      <c r="B57" s="7">
        <v>4056</v>
      </c>
      <c r="C57" s="21" t="s">
        <v>202</v>
      </c>
      <c r="D57" s="21" t="s">
        <v>615</v>
      </c>
      <c r="E57" s="13">
        <v>42912.378298611111</v>
      </c>
      <c r="F57" s="13">
        <v>42912.386481481481</v>
      </c>
      <c r="G57" s="7">
        <v>2</v>
      </c>
      <c r="H57" s="21" t="s">
        <v>874</v>
      </c>
      <c r="I57" s="13">
        <v>42912.411412037036</v>
      </c>
      <c r="J57" s="7">
        <v>0</v>
      </c>
      <c r="K57" s="89" t="str">
        <f t="shared" si="0"/>
        <v>4055/4056</v>
      </c>
      <c r="L57" s="21" t="str">
        <f>VLOOKUP(A57,'Trips&amp;Operators'!$C$1:$G$99999,5,FALSE)</f>
        <v>MAYBERRY BILL</v>
      </c>
      <c r="M57" s="6">
        <f t="shared" si="1"/>
        <v>2.4930555555329192E-2</v>
      </c>
      <c r="N57" s="7">
        <f t="shared" si="29"/>
        <v>35.899999999674037</v>
      </c>
      <c r="O57" s="7"/>
      <c r="P57" s="7"/>
      <c r="Q57" s="22"/>
      <c r="R57" s="170"/>
      <c r="S57" s="213">
        <f t="shared" si="2"/>
        <v>1</v>
      </c>
      <c r="T57" s="195" t="str">
        <f t="shared" si="3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4"/>
        <v>https://d0f6bd738d7f1b3e5a7ca70fe4ff75f0.us-east-1.aws.found.io/app/kibana#/discover/Steve-Slow-Train-Analysis-(2080s-and-2083s)?_g=(refreshInterval:(display:Off,pause:!f,section:0,value:0),time:(from:'2017-06-26T08:04:45-0600',mode:absolute,to:'2017-06-26T10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197" t="str">
        <f>IF(AA57&lt;VLOOKUP(AG57,Variables!$AC$3:$AD$8,2,FALSE),"Y","N")</f>
        <v>N</v>
      </c>
      <c r="X57" s="197">
        <f t="shared" si="26"/>
        <v>1</v>
      </c>
      <c r="Y57" s="197">
        <f t="shared" si="27"/>
        <v>0.1477</v>
      </c>
      <c r="Z57" s="197">
        <f t="shared" si="28"/>
        <v>23.3291</v>
      </c>
      <c r="AA57" s="197">
        <f t="shared" si="6"/>
        <v>23.1814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7"/>
        <v>145</v>
      </c>
      <c r="AE57" s="77" t="str">
        <f t="shared" si="8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57" s="74" t="str">
        <f t="shared" si="9"/>
        <v>"C:\Program Files (x86)\AstroGrep\AstroGrep.exe" /e /r /s /spath="%USERPROFILE%\AppData\Local\Temp\OnboardLogs" /stypes="app*4056*20170626*" /stext=" 15:.+((SYSTEM_STATE.+slice.+state.+changed )|(ment ac)|(multiple cpu faults)|(system.+state.+changed )|(\[timeout)|(PRM\|1\|D)|(kpr)|(kdp)|(train st.+moving)|(\|lc)|(penalty))"</v>
      </c>
      <c r="AG57" s="209" t="str">
        <f t="shared" si="10"/>
        <v>EC</v>
      </c>
      <c r="AH57" s="78" t="str">
        <f t="shared" si="22"/>
        <v>"%USERPROFILE%\Documents\GitHub\eaglep3\Utilities\RefineRTDCRunTimes.py" --tripid 145-26 --locoid 4056 --swversion DE.1.0.9.0 --startMP 204:1477 --initTime 2017-06-26T09:04:45 --startdatetime 2017-06-26T09:16:32 --delay 2 --endMP 204:233291 --enddatetime 2017-06-26T09:52:26 --enforcementcount 0 &gt;&gt;C:\Users\stu\Documents\GitHub\eaglep3-reporting\EC\2017-06-26-refined-times.txt</v>
      </c>
      <c r="AI5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{"issue":{"subject":"","project_id":79,"tracker_id":40,"status_id":1,"priority_id":2,"assigned_to_id":23,"start_date":"2017-06-26","description":"","custom_fields":[{"id":1,"name":"Subdivision","value":"EC"},{"id":4,"name":"Milepost","value":"23.3291"},{"id":17,"name":"Train ID","value":"145-26"},{"id":16,"name":"Locomotive ID","value":"4056"},{"id":130,"name":"Impact","value":""},{"id":150,"name":"Time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4"/>
        <v>start /low /b %USERPROFILE%\Documents\GitHub\eaglep3\Utilities\DownloadLogsFromS3.py --loco 4056 --day 2017-06-26</v>
      </c>
      <c r="AN5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629</v>
      </c>
      <c r="B58" s="7">
        <v>4055</v>
      </c>
      <c r="C58" s="21" t="s">
        <v>202</v>
      </c>
      <c r="D58" s="21" t="s">
        <v>892</v>
      </c>
      <c r="E58" s="13">
        <v>42912.421967592592</v>
      </c>
      <c r="F58" s="13">
        <v>42912.425219907411</v>
      </c>
      <c r="G58" s="7">
        <v>1</v>
      </c>
      <c r="H58" s="21" t="s">
        <v>359</v>
      </c>
      <c r="I58" s="13">
        <v>42912.452326388891</v>
      </c>
      <c r="J58" s="7">
        <v>0</v>
      </c>
      <c r="K58" s="89" t="str">
        <f t="shared" si="0"/>
        <v>4055/4056</v>
      </c>
      <c r="L58" s="21" t="str">
        <f>VLOOKUP(A58,'Trips&amp;Operators'!$C$1:$G$99999,5,FALSE)</f>
        <v>MAYBERRY BILL</v>
      </c>
      <c r="M58" s="6">
        <f t="shared" si="1"/>
        <v>2.7106481480586808E-2</v>
      </c>
      <c r="N58" s="7">
        <f t="shared" si="29"/>
        <v>39.033333332045004</v>
      </c>
      <c r="O58" s="7"/>
      <c r="P58" s="7"/>
      <c r="Q58" s="22"/>
      <c r="R58" s="170"/>
      <c r="S58" s="213">
        <f t="shared" si="2"/>
        <v>1</v>
      </c>
      <c r="T58" s="195" t="str">
        <f t="shared" si="3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4"/>
        <v>https://d0f6bd738d7f1b3e5a7ca70fe4ff75f0.us-east-1.aws.found.io/app/kibana#/discover/Steve-Slow-Train-Analysis-(2080s-and-2083s)?_g=(refreshInterval:(display:Off,pause:!f,section:0,value:0),time:(from:'2017-06-26T09:07:38-0600',mode:absolute,to:'2017-06-26T11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197" t="str">
        <f>IF(AA58&lt;VLOOKUP(AG58,Variables!$AC$3:$AD$8,2,FALSE),"Y","N")</f>
        <v>N</v>
      </c>
      <c r="X58" s="197">
        <f t="shared" si="26"/>
        <v>1</v>
      </c>
      <c r="Y58" s="197">
        <f t="shared" si="27"/>
        <v>23.2942</v>
      </c>
      <c r="Z58" s="197">
        <f t="shared" si="28"/>
        <v>1.47E-2</v>
      </c>
      <c r="AA58" s="197">
        <f t="shared" si="6"/>
        <v>23.279499999999999</v>
      </c>
      <c r="AB58" s="54" t="str">
        <f>VLOOKUP(A58,Enforcements!$C$7:$K$13,8,0)</f>
        <v>Bulletin (2)</v>
      </c>
      <c r="AC58" s="51" t="str">
        <f>VLOOKUP(A58,Enforcements!$C$7:$E$13,3,0)</f>
        <v>GRADE CROSSING</v>
      </c>
      <c r="AD58" s="206">
        <f t="shared" si="7"/>
        <v>146</v>
      </c>
      <c r="AE58" s="77" t="str">
        <f t="shared" si="8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58" s="74" t="str">
        <f t="shared" si="9"/>
        <v>"C:\Program Files (x86)\AstroGrep\AstroGrep.exe" /e /r /s /spath="%USERPROFILE%\AppData\Local\Temp\OnboardLogs" /stypes="app*4055*20170626*" /stext=" 16:.+((SYSTEM_STATE.+slice.+state.+changed )|(ment ac)|(multiple cpu faults)|(system.+state.+changed )|(\[timeout)|(PRM\|1\|D)|(kpr)|(kdp)|(train st.+moving)|(\|lc)|(penalty))"</v>
      </c>
      <c r="AG58" s="209" t="str">
        <f t="shared" si="10"/>
        <v>EC</v>
      </c>
      <c r="AH58" s="78" t="str">
        <f t="shared" si="22"/>
        <v>"%USERPROFILE%\Documents\GitHub\eaglep3\Utilities\RefineRTDCRunTimes.py" --tripid 146-26 --locoid 4055 --swversion DE.1.0.9.0 --startMP 204:232942 --initTime 2017-06-26T10:07:38 --startdatetime 2017-06-26T10:12:19 --delay 1 --endMP 204:147 --enddatetime 2017-06-26T10:51:21 --enforcementcount 0 &gt;&gt;C:\Users\stu\Documents\GitHub\eaglep3-reporting\EC\2017-06-26-refined-times.txt</v>
      </c>
      <c r="AI5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{"issue":{"subject":"","project_id":79,"tracker_id":40,"status_id":1,"priority_id":2,"assigned_to_id":23,"start_date":"2017-06-26","description":"","custom_fields":[{"id":1,"name":"Subdivision","value":"EC"},{"id":4,"name":"Milepost","value":"0.0147"},{"id":17,"name":"Train ID","value":"146-26"},{"id":16,"name":"Locomotive ID","value":"4055"},{"id":130,"name":"Impact","value":""},{"id":150,"name":"Time of Event (Mountain Time)","value":"10:51:21"},{"id":151,"name":"Denver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4"/>
        <v>start /low /b %USERPROFILE%\Documents\GitHub\eaglep3\Utilities\DownloadLogsFromS3.py --loco 4055 --day 2017-06-26</v>
      </c>
      <c r="AN5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733</v>
      </c>
      <c r="B59" s="7">
        <v>4054</v>
      </c>
      <c r="C59" s="21" t="s">
        <v>202</v>
      </c>
      <c r="D59" s="21" t="s">
        <v>446</v>
      </c>
      <c r="E59" s="13">
        <v>42912.393240740741</v>
      </c>
      <c r="F59" s="13">
        <v>42912.396747685183</v>
      </c>
      <c r="G59" s="7">
        <v>1</v>
      </c>
      <c r="H59" s="21" t="s">
        <v>893</v>
      </c>
      <c r="I59" s="13">
        <v>42912.421655092592</v>
      </c>
      <c r="J59" s="7">
        <v>0</v>
      </c>
      <c r="K59" s="89" t="str">
        <f t="shared" si="0"/>
        <v>4053/4054</v>
      </c>
      <c r="L59" s="21" t="str">
        <f>VLOOKUP(A59,'Trips&amp;Operators'!$C$1:$G$99999,5,FALSE)</f>
        <v>STARKS ANGELINA</v>
      </c>
      <c r="M59" s="6">
        <f t="shared" si="1"/>
        <v>2.4907407409045845E-2</v>
      </c>
      <c r="N59" s="7">
        <f t="shared" si="29"/>
        <v>35.866666669026017</v>
      </c>
      <c r="O59" s="7"/>
      <c r="P59" s="7"/>
      <c r="Q59" s="22"/>
      <c r="R59" s="170"/>
      <c r="S59" s="213">
        <f t="shared" si="2"/>
        <v>1</v>
      </c>
      <c r="T59" s="195" t="str">
        <f t="shared" si="3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4"/>
        <v>https://d0f6bd738d7f1b3e5a7ca70fe4ff75f0.us-east-1.aws.found.io/app/kibana#/discover/Steve-Slow-Train-Analysis-(2080s-and-2083s)?_g=(refreshInterval:(display:Off,pause:!f,section:0,value:0),time:(from:'2017-06-26T08:26:16-0600',mode:absolute,to:'2017-06-26T11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97" t="str">
        <f>IF(AA59&lt;VLOOKUP(AG59,Variables!$AC$3:$AD$8,2,FALSE),"Y","N")</f>
        <v>N</v>
      </c>
      <c r="X59" s="197">
        <f t="shared" si="26"/>
        <v>1</v>
      </c>
      <c r="Y59" s="197">
        <f t="shared" si="27"/>
        <v>4.4200000000000003E-2</v>
      </c>
      <c r="Z59" s="197">
        <f t="shared" si="28"/>
        <v>23.328099999999999</v>
      </c>
      <c r="AA59" s="197">
        <f t="shared" si="6"/>
        <v>23.283899999999999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7"/>
        <v>147</v>
      </c>
      <c r="AE59" s="77" t="str">
        <f t="shared" si="8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59" s="74" t="str">
        <f t="shared" si="9"/>
        <v>"C:\Program Files (x86)\AstroGrep\AstroGrep.exe" /e /r /s /spath="%USERPROFILE%\AppData\Local\Temp\OnboardLogs" /stypes="app*4054*20170626*" /stext=" 16:.+((SYSTEM_STATE.+slice.+state.+changed )|(ment ac)|(multiple cpu faults)|(system.+state.+changed )|(\[timeout)|(PRM\|1\|D)|(kpr)|(kdp)|(train st.+moving)|(\|lc)|(penalty))"</v>
      </c>
      <c r="AG59" s="209" t="str">
        <f t="shared" si="10"/>
        <v>EC</v>
      </c>
      <c r="AH59" s="78" t="str">
        <f t="shared" si="22"/>
        <v>"%USERPROFILE%\Documents\GitHub\eaglep3\Utilities\RefineRTDCRunTimes.py" --tripid 147-26 --locoid 4054 --swversion DE.1.0.9.0 --startMP 204:442 --initTime 2017-06-26T09:26:16 --startdatetime 2017-06-26T09:31:19 --delay 1 --endMP 204:233281 --enddatetime 2017-06-26T10:07:11 --enforcementcount 0 &gt;&gt;C:\Users\stu\Documents\GitHub\eaglep3-reporting\EC\2017-06-26-refined-times.txt</v>
      </c>
      <c r="AI59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{"issue":{"subject":"","project_id":79,"tracker_id":40,"status_id":1,"priority_id":2,"assigned_to_id":23,"start_date":"2017-06-26","description":"","custom_fields":[{"id":1,"name":"Subdivision","value":"EC"},{"id":4,"name":"Milepost","value":"23.3281"},{"id":17,"name":"Train ID","value":"147-26"},{"id":16,"name":"Locomotive ID","value":"4054"},{"id":130,"name":"Impact","value":""},{"id":150,"name":"Time of Event (Mountain Time)","value":"10:07:11"},{"id":151,"name":"Denver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4"/>
        <v>start /low /b %USERPROFILE%\Documents\GitHub\eaglep3\Utilities\DownloadLogsFromS3.py --loco 4054 --day 2017-06-26</v>
      </c>
      <c r="AN59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631</v>
      </c>
      <c r="B60" s="7">
        <v>4053</v>
      </c>
      <c r="C60" s="21" t="s">
        <v>202</v>
      </c>
      <c r="D60" s="21" t="s">
        <v>894</v>
      </c>
      <c r="E60" s="13">
        <v>42912.433136574073</v>
      </c>
      <c r="F60" s="13">
        <v>42912.435648148145</v>
      </c>
      <c r="G60" s="7">
        <v>1</v>
      </c>
      <c r="H60" s="21" t="s">
        <v>350</v>
      </c>
      <c r="I60" s="13">
        <v>42912.463622685187</v>
      </c>
      <c r="J60" s="7">
        <v>0</v>
      </c>
      <c r="K60" s="89" t="str">
        <f t="shared" si="0"/>
        <v>4053/4054</v>
      </c>
      <c r="L60" s="21" t="str">
        <f>VLOOKUP(A60,'Trips&amp;Operators'!$C$1:$G$99999,5,FALSE)</f>
        <v>STARKS ANGELINA</v>
      </c>
      <c r="M60" s="6">
        <f t="shared" si="1"/>
        <v>2.7974537042609882E-2</v>
      </c>
      <c r="N60" s="7">
        <f t="shared" si="29"/>
        <v>40.28333334135823</v>
      </c>
      <c r="O60" s="7"/>
      <c r="P60" s="7"/>
      <c r="Q60" s="22"/>
      <c r="R60" s="170"/>
      <c r="S60" s="213">
        <f t="shared" si="2"/>
        <v>1</v>
      </c>
      <c r="T60" s="195" t="str">
        <f t="shared" si="3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4"/>
        <v>https://d0f6bd738d7f1b3e5a7ca70fe4ff75f0.us-east-1.aws.found.io/app/kibana#/discover/Steve-Slow-Train-Analysis-(2080s-and-2083s)?_g=(refreshInterval:(display:Off,pause:!f,section:0,value:0),time:(from:'2017-06-26T09:23:43-0600',mode:absolute,to:'2017-06-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197" t="str">
        <f>IF(AA60&lt;VLOOKUP(AG60,Variables!$AC$3:$AD$8,2,FALSE),"Y","N")</f>
        <v>N</v>
      </c>
      <c r="X60" s="197">
        <f t="shared" si="26"/>
        <v>1</v>
      </c>
      <c r="Y60" s="197">
        <f t="shared" si="27"/>
        <v>23.298100000000002</v>
      </c>
      <c r="Z60" s="197">
        <f t="shared" si="28"/>
        <v>1.43E-2</v>
      </c>
      <c r="AA60" s="197">
        <f t="shared" si="6"/>
        <v>23.283800000000003</v>
      </c>
      <c r="AB60" s="54" t="str">
        <f>VLOOKUP(A60,Enforcements!$C$7:$K$13,8,0)</f>
        <v>Bulletin (2)</v>
      </c>
      <c r="AC60" s="51" t="str">
        <f>VLOOKUP(A60,Enforcements!$C$7:$E$13,3,0)</f>
        <v>GRADE CROSSING</v>
      </c>
      <c r="AD60" s="206">
        <f t="shared" si="7"/>
        <v>148</v>
      </c>
      <c r="AE60" s="77" t="str">
        <f t="shared" si="8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60" s="74" t="str">
        <f t="shared" si="9"/>
        <v>"C:\Program Files (x86)\AstroGrep\AstroGrep.exe" /e /r /s /spath="%USERPROFILE%\AppData\Local\Temp\OnboardLogs" /stypes="app*4053*20170626*" /stext=" 17:.+((SYSTEM_STATE.+slice.+state.+changed )|(ment ac)|(multiple cpu faults)|(system.+state.+changed )|(\[timeout)|(PRM\|1\|D)|(kpr)|(kdp)|(train st.+moving)|(\|lc)|(penalty))"</v>
      </c>
      <c r="AG60" s="209" t="str">
        <f t="shared" si="10"/>
        <v>EC</v>
      </c>
      <c r="AH60" s="78" t="str">
        <f t="shared" si="22"/>
        <v>"%USERPROFILE%\Documents\GitHub\eaglep3\Utilities\RefineRTDCRunTimes.py" --tripid 148-26 --locoid 4053 --swversion DE.1.0.9.0 --startMP 204:232981 --initTime 2017-06-26T10:23:43 --startdatetime 2017-06-26T10:27:20 --delay 1 --endMP 204:143 --enddatetime 2017-06-26T11:07:37 --enforcementcount 0 &gt;&gt;C:\Users\stu\Documents\GitHub\eaglep3-reporting\EC\2017-06-26-refined-times.txt</v>
      </c>
      <c r="AI60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{"issue":{"subject":"","project_id":79,"tracker_id":40,"status_id":1,"priority_id":2,"assigned_to_id":23,"start_date":"2017-06-26","description":"","custom_fields":[{"id":1,"name":"Subdivision","value":"EC"},{"id":4,"name":"Milepost","value":"0.0143"},{"id":17,"name":"Train ID","value":"148-26"},{"id":16,"name":"Locomotive ID","value":"4053"},{"id":130,"name":"Impact","value":""},{"id":150,"name":"Time of Event (Mountain Time)","value":"11:07:37"},{"id":151,"name":"Denver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4"/>
        <v>start /low /b %USERPROFILE%\Documents\GitHub\eaglep3\Utilities\DownloadLogsFromS3.py --loco 4053 --day 2017-06-26</v>
      </c>
      <c r="AN60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735</v>
      </c>
      <c r="B61" s="7">
        <v>4014</v>
      </c>
      <c r="C61" s="21" t="s">
        <v>202</v>
      </c>
      <c r="D61" s="21" t="s">
        <v>354</v>
      </c>
      <c r="E61" s="13">
        <v>42912.40116898148</v>
      </c>
      <c r="F61" s="13">
        <v>42912.406400462962</v>
      </c>
      <c r="G61" s="7">
        <v>1</v>
      </c>
      <c r="H61" s="21" t="s">
        <v>895</v>
      </c>
      <c r="I61" s="13">
        <v>42912.430543981478</v>
      </c>
      <c r="J61" s="7">
        <v>0</v>
      </c>
      <c r="K61" s="89" t="str">
        <f t="shared" si="0"/>
        <v>4013/4014</v>
      </c>
      <c r="L61" s="21" t="str">
        <f>VLOOKUP(A61,'Trips&amp;Operators'!$C$1:$G$99999,5,FALSE)</f>
        <v>LALONDE GREGORY</v>
      </c>
      <c r="M61" s="6">
        <f t="shared" si="1"/>
        <v>2.414351851621177E-2</v>
      </c>
      <c r="N61" s="7">
        <f t="shared" si="29"/>
        <v>34.766666663344949</v>
      </c>
      <c r="O61" s="7"/>
      <c r="P61" s="7"/>
      <c r="Q61" s="22"/>
      <c r="R61" s="170"/>
      <c r="S61" s="213">
        <f t="shared" si="2"/>
        <v>1</v>
      </c>
      <c r="T61" s="195" t="str">
        <f t="shared" si="3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4"/>
        <v>https://d0f6bd738d7f1b3e5a7ca70fe4ff75f0.us-east-1.aws.found.io/app/kibana#/discover/Steve-Slow-Train-Analysis-(2080s-and-2083s)?_g=(refreshInterval:(display:Off,pause:!f,section:0,value:0),time:(from:'2017-06-26T08:37:41-0600',mode:absolute,to:'2017-06-26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197" t="str">
        <f>IF(AA61&lt;VLOOKUP(AG61,Variables!$AC$3:$AD$8,2,FALSE),"Y","N")</f>
        <v>N</v>
      </c>
      <c r="X61" s="197">
        <f t="shared" si="26"/>
        <v>1</v>
      </c>
      <c r="Y61" s="197">
        <f t="shared" si="27"/>
        <v>4.53E-2</v>
      </c>
      <c r="Z61" s="197">
        <f t="shared" si="28"/>
        <v>23.333200000000001</v>
      </c>
      <c r="AA61" s="197">
        <f t="shared" si="6"/>
        <v>23.2879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7"/>
        <v>149</v>
      </c>
      <c r="AE61" s="77" t="str">
        <f t="shared" si="8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61" s="74" t="str">
        <f t="shared" si="9"/>
        <v>"C:\Program Files (x86)\AstroGrep\AstroGrep.exe" /e /r /s /spath="%USERPROFILE%\AppData\Local\Temp\OnboardLogs" /stypes="app*4014*20170626*" /stext=" 16:.+((SYSTEM_STATE.+slice.+state.+changed )|(ment ac)|(multiple cpu faults)|(system.+state.+changed )|(\[timeout)|(PRM\|1\|D)|(kpr)|(kdp)|(train st.+moving)|(\|lc)|(penalty))"</v>
      </c>
      <c r="AG61" s="209" t="str">
        <f t="shared" si="10"/>
        <v>EC</v>
      </c>
      <c r="AH61" s="78" t="str">
        <f t="shared" si="22"/>
        <v>"%USERPROFILE%\Documents\GitHub\eaglep3\Utilities\RefineRTDCRunTimes.py" --tripid 149-26 --locoid 4014 --swversion DE.1.0.9.0 --startMP 204:453 --initTime 2017-06-26T09:37:41 --startdatetime 2017-06-26T09:45:13 --delay 1 --endMP 204:233332 --enddatetime 2017-06-26T10:19:59 --enforcementcount 0 &gt;&gt;C:\Users\stu\Documents\GitHub\eaglep3-reporting\EC\2017-06-26-refined-times.txt</v>
      </c>
      <c r="AI61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{"issue":{"subject":"","project_id":79,"tracker_id":40,"status_id":1,"priority_id":2,"assigned_to_id":23,"start_date":"2017-06-26","description":"","custom_fields":[{"id":1,"name":"Subdivision","value":"EC"},{"id":4,"name":"Milepost","value":"23.3332"},{"id":17,"name":"Train ID","value":"149-26"},{"id":16,"name":"Locomotive ID","value":"4014"},{"id":130,"name":"Impact","value":""},{"id":150,"name":"Time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4"/>
        <v>start /low /b %USERPROFILE%\Documents\GitHub\eaglep3\Utilities\DownloadLogsFromS3.py --loco 4014 --day 2017-06-26</v>
      </c>
      <c r="AN61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741</v>
      </c>
      <c r="B62" s="7">
        <v>4013</v>
      </c>
      <c r="C62" s="21" t="s">
        <v>202</v>
      </c>
      <c r="D62" s="21" t="s">
        <v>896</v>
      </c>
      <c r="E62" s="13">
        <v>42912.432083333333</v>
      </c>
      <c r="F62" s="13">
        <v>42912.445972222224</v>
      </c>
      <c r="G62" s="7">
        <v>1</v>
      </c>
      <c r="H62" s="21" t="s">
        <v>350</v>
      </c>
      <c r="I62" s="13">
        <v>42912.471921296295</v>
      </c>
      <c r="J62" s="7">
        <v>0</v>
      </c>
      <c r="K62" s="89" t="str">
        <f t="shared" si="0"/>
        <v>4013/4014</v>
      </c>
      <c r="L62" s="21" t="str">
        <f>VLOOKUP(A62,'Trips&amp;Operators'!$C$1:$G$99999,5,FALSE)</f>
        <v>LALONDE GREGORY</v>
      </c>
      <c r="M62" s="6">
        <f t="shared" si="1"/>
        <v>2.5949074071832001E-2</v>
      </c>
      <c r="N62" s="7">
        <f t="shared" si="29"/>
        <v>37.366666663438082</v>
      </c>
      <c r="O62" s="7"/>
      <c r="P62" s="7"/>
      <c r="Q62" s="22"/>
      <c r="R62" s="170"/>
      <c r="S62" s="213">
        <f t="shared" si="2"/>
        <v>1</v>
      </c>
      <c r="T62" s="195" t="str">
        <f t="shared" si="3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4"/>
        <v>https://d0f6bd738d7f1b3e5a7ca70fe4ff75f0.us-east-1.aws.found.io/app/kibana#/discover/Steve-Slow-Train-Analysis-(2080s-and-2083s)?_g=(refreshInterval:(display:Off,pause:!f,section:0,value:0),time:(from:'2017-06-26T09:22:12-0600',mode:absolute,to:'2017-06-26T12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197" t="str">
        <f>IF(AA62&lt;VLOOKUP(AG62,Variables!$AC$3:$AD$8,2,FALSE),"Y","N")</f>
        <v>N</v>
      </c>
      <c r="X62" s="197">
        <f t="shared" si="26"/>
        <v>1</v>
      </c>
      <c r="Y62" s="197">
        <f t="shared" si="27"/>
        <v>23.302600000000002</v>
      </c>
      <c r="Z62" s="197">
        <f t="shared" si="28"/>
        <v>1.43E-2</v>
      </c>
      <c r="AA62" s="197">
        <f t="shared" si="6"/>
        <v>23.288300000000003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7"/>
        <v>150</v>
      </c>
      <c r="AE62" s="77" t="str">
        <f t="shared" si="8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62" s="74" t="str">
        <f t="shared" si="9"/>
        <v>"C:\Program Files (x86)\AstroGrep\AstroGrep.exe" /e /r /s /spath="%USERPROFILE%\AppData\Local\Temp\OnboardLogs" /stypes="app*4013*20170626*" /stext=" 17:.+((SYSTEM_STATE.+slice.+state.+changed )|(ment ac)|(multiple cpu faults)|(system.+state.+changed )|(\[timeout)|(PRM\|1\|D)|(kpr)|(kdp)|(train st.+moving)|(\|lc)|(penalty))"</v>
      </c>
      <c r="AG62" s="209" t="str">
        <f t="shared" si="10"/>
        <v>EC</v>
      </c>
      <c r="AH62" s="78" t="str">
        <f t="shared" si="22"/>
        <v>"%USERPROFILE%\Documents\GitHub\eaglep3\Utilities\RefineRTDCRunTimes.py" --tripid 150-26 --locoid 4013 --swversion DE.1.0.9.0 --startMP 204:233026 --initTime 2017-06-26T10:22:12 --startdatetime 2017-06-26T10:42:12 --delay 1 --endMP 204:143 --enddatetime 2017-06-26T11:19:34 --enforcementcount 0 &gt;&gt;C:\Users\stu\Documents\GitHub\eaglep3-reporting\EC\2017-06-26-refined-times.txt</v>
      </c>
      <c r="AI62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{"issue":{"subject":"","project_id":79,"tracker_id":40,"status_id":1,"priority_id":2,"assigned_to_id":23,"start_date":"2017-06-26","description":"","custom_fields":[{"id":1,"name":"Subdivision","value":"EC"},{"id":4,"name":"Milepost","value":"0.0143"},{"id":17,"name":"Train ID","value":"150-26"},{"id":16,"name":"Locomotive ID","value":"4013"},{"id":130,"name":"Impact","value":""},{"id":150,"name":"Time of Event (Mountain Time)","value":"11:19:34"},{"id":151,"name":"Denver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4"/>
        <v>start /low /b %USERPROFILE%\Documents\GitHub\eaglep3\Utilities\DownloadLogsFromS3.py --loco 4013 --day 2017-06-26</v>
      </c>
      <c r="AN62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738</v>
      </c>
      <c r="B63" s="7">
        <v>4030</v>
      </c>
      <c r="C63" s="21" t="s">
        <v>202</v>
      </c>
      <c r="D63" s="21" t="s">
        <v>466</v>
      </c>
      <c r="E63" s="13">
        <v>42912.414756944447</v>
      </c>
      <c r="F63" s="13">
        <v>42912.416863425926</v>
      </c>
      <c r="G63" s="7">
        <v>1</v>
      </c>
      <c r="H63" s="21" t="s">
        <v>579</v>
      </c>
      <c r="I63" s="13">
        <v>42912.44425925926</v>
      </c>
      <c r="J63" s="7">
        <v>0</v>
      </c>
      <c r="K63" s="89" t="str">
        <f t="shared" si="0"/>
        <v>4029/4030</v>
      </c>
      <c r="L63" s="21" t="str">
        <f>VLOOKUP(A63,'Trips&amp;Operators'!$C$1:$G$99999,5,FALSE)</f>
        <v>WILLIAMS DONTE</v>
      </c>
      <c r="M63" s="6">
        <f t="shared" si="1"/>
        <v>2.7395833334594499E-2</v>
      </c>
      <c r="N63" s="7">
        <f t="shared" si="29"/>
        <v>39.450000001816079</v>
      </c>
      <c r="O63" s="7"/>
      <c r="P63" s="7"/>
      <c r="Q63" s="22"/>
      <c r="R63" s="170"/>
      <c r="S63" s="213">
        <f t="shared" si="2"/>
        <v>1</v>
      </c>
      <c r="T63" s="195" t="str">
        <f t="shared" si="3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4"/>
        <v>https://d0f6bd738d7f1b3e5a7ca70fe4ff75f0.us-east-1.aws.found.io/app/kibana#/discover/Steve-Slow-Train-Analysis-(2080s-and-2083s)?_g=(refreshInterval:(display:Off,pause:!f,section:0,value:0),time:(from:'2017-06-26T08:57:15-0600',mode:absolute,to:'2017-06-26T11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3" s="197" t="str">
        <f>IF(AA63&lt;VLOOKUP(AG63,Variables!$AC$3:$AD$8,2,FALSE),"Y","N")</f>
        <v>N</v>
      </c>
      <c r="X63" s="197">
        <f t="shared" si="26"/>
        <v>1</v>
      </c>
      <c r="Y63" s="197">
        <f t="shared" si="27"/>
        <v>4.6399999999999997E-2</v>
      </c>
      <c r="Z63" s="197">
        <f t="shared" si="28"/>
        <v>23.331700000000001</v>
      </c>
      <c r="AA63" s="197">
        <f t="shared" si="6"/>
        <v>23.285300000000003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7"/>
        <v>151</v>
      </c>
      <c r="AE63" s="77" t="str">
        <f t="shared" si="8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63" s="74" t="str">
        <f t="shared" si="9"/>
        <v>"C:\Program Files (x86)\AstroGrep\AstroGrep.exe" /e /r /s /spath="%USERPROFILE%\AppData\Local\Temp\OnboardLogs" /stypes="app*4030*20170626*" /stext=" 16:.+((SYSTEM_STATE.+slice.+state.+changed )|(ment ac)|(multiple cpu faults)|(system.+state.+changed )|(\[timeout)|(PRM\|1\|D)|(kpr)|(kdp)|(train st.+moving)|(\|lc)|(penalty))"</v>
      </c>
      <c r="AG63" s="209" t="str">
        <f t="shared" si="10"/>
        <v>EC</v>
      </c>
      <c r="AH63" s="78" t="str">
        <f t="shared" si="22"/>
        <v>"%USERPROFILE%\Documents\GitHub\eaglep3\Utilities\RefineRTDCRunTimes.py" --tripid 151-26 --locoid 4030 --swversion DE.1.0.9.0 --startMP 204:464 --initTime 2017-06-26T09:57:15 --startdatetime 2017-06-26T10:00:17 --delay 1 --endMP 204:233317 --enddatetime 2017-06-26T10:39:44 --enforcementcount 0 &gt;&gt;C:\Users\stu\Documents\GitHub\eaglep3-reporting\EC\2017-06-26-refined-times.txt</v>
      </c>
      <c r="AI63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{"issue":{"subject":"","project_id":79,"tracker_id":40,"status_id":1,"priority_id":2,"assigned_to_id":23,"start_date":"2017-06-26","description":"","custom_fields":[{"id":1,"name":"Subdivision","value":"EC"},{"id":4,"name":"Milepost","value":"23.3317"},{"id":17,"name":"Train ID","value":"151-26"},{"id":16,"name":"Locomotive ID","value":"4030"},{"id":130,"name":"Impact","value":""},{"id":150,"name":"Time of Event (Mountain Time)","value":"10:39:44"},{"id":151,"name":"Denver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4"/>
        <v>start /low /b %USERPROFILE%\Documents\GitHub\eaglep3\Utilities\DownloadLogsFromS3.py --loco 4030 --day 2017-06-26</v>
      </c>
      <c r="AN63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632</v>
      </c>
      <c r="B64" s="7">
        <v>4029</v>
      </c>
      <c r="C64" s="21" t="s">
        <v>202</v>
      </c>
      <c r="D64" s="21" t="s">
        <v>485</v>
      </c>
      <c r="E64" s="13">
        <v>42912.446666666663</v>
      </c>
      <c r="F64" s="13">
        <v>42912.45653935185</v>
      </c>
      <c r="G64" s="7">
        <v>1</v>
      </c>
      <c r="H64" s="21" t="s">
        <v>897</v>
      </c>
      <c r="I64" s="13">
        <v>42912.486342592594</v>
      </c>
      <c r="J64" s="7">
        <v>0</v>
      </c>
      <c r="K64" s="89" t="str">
        <f t="shared" si="0"/>
        <v>4029/4030</v>
      </c>
      <c r="L64" s="21" t="str">
        <f>VLOOKUP(A64,'Trips&amp;Operators'!$C$1:$G$99999,5,FALSE)</f>
        <v>WILLIAMS DONTE</v>
      </c>
      <c r="M64" s="6">
        <f t="shared" si="1"/>
        <v>2.980324074451346E-2</v>
      </c>
      <c r="N64" s="7">
        <f t="shared" si="29"/>
        <v>42.916666672099382</v>
      </c>
      <c r="O64" s="7"/>
      <c r="P64" s="7"/>
      <c r="Q64" s="22"/>
      <c r="R64" s="170" t="s">
        <v>1074</v>
      </c>
      <c r="S64" s="213">
        <f t="shared" si="2"/>
        <v>1</v>
      </c>
      <c r="T64" s="195" t="str">
        <f t="shared" si="3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4"/>
        <v>https://d0f6bd738d7f1b3e5a7ca70fe4ff75f0.us-east-1.aws.found.io/app/kibana#/discover/Steve-Slow-Train-Analysis-(2080s-and-2083s)?_g=(refreshInterval:(display:Off,pause:!f,section:0,value:0),time:(from:'2017-06-26T09:43:12-0600',mode:absolute,to:'2017-06-26T12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4" s="197" t="str">
        <f>IF(AA64&lt;VLOOKUP(AG64,Variables!$AC$3:$AD$8,2,FALSE),"Y","N")</f>
        <v>N</v>
      </c>
      <c r="X64" s="197">
        <f t="shared" si="26"/>
        <v>1</v>
      </c>
      <c r="Y64" s="197">
        <f t="shared" si="27"/>
        <v>23.3004</v>
      </c>
      <c r="Z64" s="197">
        <f t="shared" si="28"/>
        <v>2.0299999999999999E-2</v>
      </c>
      <c r="AA64" s="197">
        <f t="shared" si="6"/>
        <v>23.280100000000001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7"/>
        <v>152</v>
      </c>
      <c r="AE64" s="77" t="str">
        <f t="shared" si="8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64" s="74" t="str">
        <f t="shared" si="9"/>
        <v>"C:\Program Files (x86)\AstroGrep\AstroGrep.exe" /e /r /s /spath="%USERPROFILE%\AppData\Local\Temp\OnboardLogs" /stypes="app*4029*20170626*" /stext=" 17:.+((SYSTEM_STATE.+slice.+state.+changed )|(ment ac)|(multiple cpu faults)|(system.+state.+changed )|(\[timeout)|(PRM\|1\|D)|(kpr)|(kdp)|(train st.+moving)|(\|lc)|(penalty))"</v>
      </c>
      <c r="AG64" s="209" t="str">
        <f t="shared" si="10"/>
        <v>EC</v>
      </c>
      <c r="AH64" s="78" t="str">
        <f t="shared" si="22"/>
        <v>"%USERPROFILE%\Documents\GitHub\eaglep3\Utilities\RefineRTDCRunTimes.py" --tripid 152-26 --locoid 4029 --swversion DE.1.0.9.0 --startMP 204:233004 --initTime 2017-06-26T10:43:12 --startdatetime 2017-06-26T10:57:25 --delay 1 --endMP 204:203 --enddatetime 2017-06-26T11:40:20 --enforcementcount 0 &gt;&gt;C:\Users\stu\Documents\GitHub\eaglep3-reporting\EC\2017-06-26-refined-times.txt</v>
      </c>
      <c r="AI64" s="96" t="str">
        <f t="shared" si="23"/>
        <v>echo {"issue":{"subject":"Unhealthy at Chambers due to Wi-MAX data drop","project_id":79,"tracker_id":40,"status_id":1,"priority_id":2,"assigned_to_id":23,"start_date":"2017-06-26","description":"","custom_fields":[{"id":1,"name":"Subdivision","value":"EC"},{"id":4,"name":"Milepost","value":"0.0203"},{"id":17,"name":"Train ID","value":"152-26"},{"id":16,"name":"Locomotive ID","value":"4029"},{"id":130,"name":"Impact","value":""},{"id":150,"name":"Time of Event (Mountain Time)","value":"11:40:20"},{"id":151,"name":"Denver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4"/>
        <v>start /low /b %USERPROFILE%\Documents\GitHub\eaglep3\Utilities\DownloadLogsFromS3.py --loco 4029 --day 2017-06-26</v>
      </c>
      <c r="AN64" s="151" t="str">
        <f t="shared" si="25"/>
        <v>echo {"issue":{"subject":"Unhealthy at Chambers due to Wi-MAX data drop","project_id":30,"tracker_id":4,"status_id":1,"priority_id":1,"assigned_to_id":10,"start_date":"2017-06-26","description":"","custom_fields":[{"id":30,"name":"Category","value":"Issue"},{"id":3,"name":"Functional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739</v>
      </c>
      <c r="B65" s="7">
        <v>4058</v>
      </c>
      <c r="C65" s="21" t="s">
        <v>202</v>
      </c>
      <c r="D65" s="21" t="s">
        <v>459</v>
      </c>
      <c r="E65" s="13">
        <v>42912.422939814816</v>
      </c>
      <c r="F65" s="13">
        <v>42912.427291666667</v>
      </c>
      <c r="G65" s="7">
        <v>1</v>
      </c>
      <c r="H65" s="21" t="s">
        <v>898</v>
      </c>
      <c r="I65" s="13">
        <v>42912.452824074076</v>
      </c>
      <c r="J65" s="7">
        <v>0</v>
      </c>
      <c r="K65" s="89" t="str">
        <f t="shared" si="0"/>
        <v>4057/4058</v>
      </c>
      <c r="L65" s="21" t="str">
        <f>VLOOKUP(A65,'Trips&amp;Operators'!$C$1:$G$99999,5,FALSE)</f>
        <v>DAVIDSON DAVID</v>
      </c>
      <c r="M65" s="6">
        <f t="shared" si="1"/>
        <v>2.5532407409627922E-2</v>
      </c>
      <c r="N65" s="7">
        <f t="shared" si="29"/>
        <v>36.766666669864208</v>
      </c>
      <c r="O65" s="7"/>
      <c r="P65" s="7"/>
      <c r="Q65" s="22"/>
      <c r="R65" s="170"/>
      <c r="S65" s="213">
        <f t="shared" si="2"/>
        <v>1</v>
      </c>
      <c r="T65" s="195" t="str">
        <f t="shared" si="3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4"/>
        <v>https://d0f6bd738d7f1b3e5a7ca70fe4ff75f0.us-east-1.aws.found.io/app/kibana#/discover/Steve-Slow-Train-Analysis-(2080s-and-2083s)?_g=(refreshInterval:(display:Off,pause:!f,section:0,value:0),time:(from:'2017-06-26T09:09:02-0600',mode:absolute,to:'2017-06-26T11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5" s="197" t="str">
        <f>IF(AA65&lt;VLOOKUP(AG65,Variables!$AC$3:$AD$8,2,FALSE),"Y","N")</f>
        <v>N</v>
      </c>
      <c r="X65" s="197">
        <f t="shared" si="26"/>
        <v>1</v>
      </c>
      <c r="Y65" s="197">
        <f t="shared" si="27"/>
        <v>4.3799999999999999E-2</v>
      </c>
      <c r="Z65" s="197">
        <f t="shared" si="28"/>
        <v>23.3307</v>
      </c>
      <c r="AA65" s="197">
        <f t="shared" si="6"/>
        <v>23.286899999999999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7"/>
        <v>153</v>
      </c>
      <c r="AE65" s="77" t="str">
        <f t="shared" si="8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65" s="74" t="str">
        <f t="shared" si="9"/>
        <v>"C:\Program Files (x86)\AstroGrep\AstroGrep.exe" /e /r /s /spath="%USERPROFILE%\AppData\Local\Temp\OnboardLogs" /stypes="app*4058*20170626*" /stext=" 16:.+((SYSTEM_STATE.+slice.+state.+changed )|(ment ac)|(multiple cpu faults)|(system.+state.+changed )|(\[timeout)|(PRM\|1\|D)|(kpr)|(kdp)|(train st.+moving)|(\|lc)|(penalty))"</v>
      </c>
      <c r="AG65" s="209" t="str">
        <f t="shared" si="10"/>
        <v>EC</v>
      </c>
      <c r="AH65" s="78" t="str">
        <f t="shared" si="22"/>
        <v>"%USERPROFILE%\Documents\GitHub\eaglep3\Utilities\RefineRTDCRunTimes.py" --tripid 153-26 --locoid 4058 --swversion DE.1.0.9.0 --startMP 204:438 --initTime 2017-06-26T10:09:02 --startdatetime 2017-06-26T10:15:18 --delay 1 --endMP 204:233307 --enddatetime 2017-06-26T10:52:04 --enforcementcount 0 &gt;&gt;C:\Users\stu\Documents\GitHub\eaglep3-reporting\EC\2017-06-26-refined-times.txt</v>
      </c>
      <c r="AI65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{"issue":{"subject":"","project_id":79,"tracker_id":40,"status_id":1,"priority_id":2,"assigned_to_id":23,"start_date":"2017-06-26","description":"","custom_fields":[{"id":1,"name":"Subdivision","value":"EC"},{"id":4,"name":"Milepost","value":"23.3307"},{"id":17,"name":"Train ID","value":"153-26"},{"id":16,"name":"Locomotive ID","value":"4058"},{"id":130,"name":"Impact","value":""},{"id":150,"name":"Time of Event (Mountain Time)","value":"10:52:04"},{"id":151,"name":"Denver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4"/>
        <v>start /low /b %USERPROFILE%\Documents\GitHub\eaglep3\Utilities\DownloadLogsFromS3.py --loco 4058 --day 2017-06-26</v>
      </c>
      <c r="AN65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4057</v>
      </c>
      <c r="C66" s="21" t="s">
        <v>202</v>
      </c>
      <c r="D66" s="21" t="s">
        <v>899</v>
      </c>
      <c r="E66" s="13">
        <v>42912.454548611109</v>
      </c>
      <c r="F66" s="13">
        <v>42912.466851851852</v>
      </c>
      <c r="G66" s="7">
        <v>1</v>
      </c>
      <c r="H66" s="21" t="s">
        <v>193</v>
      </c>
      <c r="I66" s="13">
        <v>42912.494351851848</v>
      </c>
      <c r="J66" s="7">
        <v>0</v>
      </c>
      <c r="K66" s="89" t="str">
        <f t="shared" si="0"/>
        <v>4057/4058</v>
      </c>
      <c r="L66" s="21" t="str">
        <f>VLOOKUP(A66,'Trips&amp;Operators'!$C$1:$G$99999,5,FALSE)</f>
        <v>DAVIDSON DAVID</v>
      </c>
      <c r="M66" s="6">
        <f t="shared" si="1"/>
        <v>2.749999999650754E-2</v>
      </c>
      <c r="N66" s="7">
        <f t="shared" si="29"/>
        <v>39.599999994970858</v>
      </c>
      <c r="O66" s="7"/>
      <c r="P66" s="7"/>
      <c r="Q66" s="22"/>
      <c r="R66" s="170"/>
      <c r="S66" s="213">
        <f t="shared" si="2"/>
        <v>1</v>
      </c>
      <c r="T66" s="195" t="str">
        <f t="shared" si="3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4"/>
        <v>https://d0f6bd738d7f1b3e5a7ca70fe4ff75f0.us-east-1.aws.found.io/app/kibana#/discover/Steve-Slow-Train-Analysis-(2080s-and-2083s)?_g=(refreshInterval:(display:Off,pause:!f,section:0,value:0),time:(from:'2017-06-26T09:54:33-0600',mode:absolute,to:'2017-06-26T12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6" s="197" t="str">
        <f>IF(AA66&lt;VLOOKUP(AG66,Variables!$AC$3:$AD$8,2,FALSE),"Y","N")</f>
        <v>N</v>
      </c>
      <c r="X66" s="197">
        <f t="shared" si="26"/>
        <v>1</v>
      </c>
      <c r="Y66" s="197">
        <f t="shared" si="27"/>
        <v>23.2988</v>
      </c>
      <c r="Z66" s="197">
        <f t="shared" si="28"/>
        <v>1.52E-2</v>
      </c>
      <c r="AA66" s="197">
        <f t="shared" si="6"/>
        <v>23.2836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7"/>
        <v>154</v>
      </c>
      <c r="AE66" s="77" t="str">
        <f t="shared" si="8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66" s="74" t="str">
        <f t="shared" si="9"/>
        <v>"C:\Program Files (x86)\AstroGrep\AstroGrep.exe" /e /r /s /spath="%USERPROFILE%\AppData\Local\Temp\OnboardLogs" /stypes="app*4057*20170626*" /stext=" 17:.+((SYSTEM_STATE.+slice.+state.+changed )|(ment ac)|(multiple cpu faults)|(system.+state.+changed )|(\[timeout)|(PRM\|1\|D)|(kpr)|(kdp)|(train st.+moving)|(\|lc)|(penalty))"</v>
      </c>
      <c r="AG66" s="209" t="str">
        <f t="shared" si="10"/>
        <v>EC</v>
      </c>
      <c r="AH66" s="78" t="str">
        <f t="shared" si="22"/>
        <v>"%USERPROFILE%\Documents\GitHub\eaglep3\Utilities\RefineRTDCRunTimes.py" --tripid 154-26 --locoid 4057 --swversion DE.1.0.9.0 --startMP 204:232988 --initTime 2017-06-26T10:54:33 --startdatetime 2017-06-26T11:12:16 --delay 1 --endMP 204:152 --enddatetime 2017-06-26T11:51:52 --enforcementcount 0 &gt;&gt;C:\Users\stu\Documents\GitHub\eaglep3-reporting\EC\2017-06-26-refined-times.txt</v>
      </c>
      <c r="AI6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ID","value":"154-26"},{"id":16,"name":"Locomotive ID","value":"4057"},{"id":130,"name":"Impact","value":""},{"id":150,"name":"Time of Event (Mountain Time)","value":"11:51:52"},{"id":151,"name":"Denver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4"/>
        <v>start /low /b %USERPROFILE%\Documents\GitHub\eaglep3\Utilities\DownloadLogsFromS3.py --loco 4057 --day 2017-06-26</v>
      </c>
      <c r="AN6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742</v>
      </c>
      <c r="B67" s="7">
        <v>4046</v>
      </c>
      <c r="C67" s="21" t="s">
        <v>202</v>
      </c>
      <c r="D67" s="21" t="s">
        <v>525</v>
      </c>
      <c r="E67" s="13">
        <v>42912.435289351852</v>
      </c>
      <c r="F67" s="13">
        <v>42912.437824074077</v>
      </c>
      <c r="G67" s="7">
        <v>1</v>
      </c>
      <c r="H67" s="21" t="s">
        <v>489</v>
      </c>
      <c r="I67" s="13">
        <v>42912.463368055556</v>
      </c>
      <c r="J67" s="7">
        <v>0</v>
      </c>
      <c r="K67" s="89" t="str">
        <f t="shared" si="0"/>
        <v>4045/4046</v>
      </c>
      <c r="L67" s="21" t="str">
        <f>VLOOKUP(A67,'Trips&amp;Operators'!$C$1:$G$99999,5,FALSE)</f>
        <v>HELVIE ADAM</v>
      </c>
      <c r="M67" s="6">
        <f t="shared" si="1"/>
        <v>2.5543981479131617E-2</v>
      </c>
      <c r="N67" s="7">
        <f t="shared" si="29"/>
        <v>36.783333329949528</v>
      </c>
      <c r="O67" s="7"/>
      <c r="P67" s="7"/>
      <c r="Q67" s="22"/>
      <c r="R67" s="170"/>
      <c r="S67" s="213">
        <f t="shared" si="2"/>
        <v>1</v>
      </c>
      <c r="T67" s="195" t="str">
        <f t="shared" si="3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4"/>
        <v>https://d0f6bd738d7f1b3e5a7ca70fe4ff75f0.us-east-1.aws.found.io/app/kibana#/discover/Steve-Slow-Train-Analysis-(2080s-and-2083s)?_g=(refreshInterval:(display:Off,pause:!f,section:0,value:0),time:(from:'2017-06-26T09:26:49-0600',mode:absolute,to:'2017-06-26T12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7" s="197" t="str">
        <f>IF(AA67&lt;VLOOKUP(AG67,Variables!$AC$3:$AD$8,2,FALSE),"Y","N")</f>
        <v>N</v>
      </c>
      <c r="X67" s="197">
        <f t="shared" si="26"/>
        <v>1</v>
      </c>
      <c r="Y67" s="197">
        <f t="shared" si="27"/>
        <v>4.7699999999999999E-2</v>
      </c>
      <c r="Z67" s="197">
        <f t="shared" si="28"/>
        <v>23.331499999999998</v>
      </c>
      <c r="AA67" s="197">
        <f t="shared" si="6"/>
        <v>23.283799999999999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7"/>
        <v>155</v>
      </c>
      <c r="AE67" s="77" t="str">
        <f t="shared" si="8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67" s="74" t="str">
        <f t="shared" si="9"/>
        <v>"C:\Program Files (x86)\AstroGrep\AstroGrep.exe" /e /r /s /spath="%USERPROFILE%\AppData\Local\Temp\OnboardLogs" /stypes="app*4046*20170626*" /stext=" 17:.+((SYSTEM_STATE.+slice.+state.+changed )|(ment ac)|(multiple cpu faults)|(system.+state.+changed )|(\[timeout)|(PRM\|1\|D)|(kpr)|(kdp)|(train st.+moving)|(\|lc)|(penalty))"</v>
      </c>
      <c r="AG67" s="209" t="str">
        <f t="shared" si="10"/>
        <v>EC</v>
      </c>
      <c r="AH67" s="78" t="str">
        <f t="shared" si="22"/>
        <v>"%USERPROFILE%\Documents\GitHub\eaglep3\Utilities\RefineRTDCRunTimes.py" --tripid 155-26 --locoid 4046 --swversion DE.1.0.9.0 --startMP 204:477 --initTime 2017-06-26T10:26:49 --startdatetime 2017-06-26T10:30:28 --delay 1 --endMP 204:233315 --enddatetime 2017-06-26T11:07:15 --enforcementcount 0 &gt;&gt;C:\Users\stu\Documents\GitHub\eaglep3-reporting\EC\2017-06-26-refined-times.txt</v>
      </c>
      <c r="AI6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{"issue":{"subject":"","project_id":79,"tracker_id":40,"status_id":1,"priority_id":2,"assigned_to_id":23,"start_date":"2017-06-26","description":"","custom_fields":[{"id":1,"name":"Subdivision","value":"EC"},{"id":4,"name":"Milepost","value":"23.3315"},{"id":17,"name":"Train ID","value":"155-26"},{"id":16,"name":"Locomotive ID","value":"4046"},{"id":130,"name":"Impact","value":""},{"id":150,"name":"Time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4"/>
        <v>start /low /b %USERPROFILE%\Documents\GitHub\eaglep3\Utilities\DownloadLogsFromS3.py --loco 4046 --day 2017-06-26</v>
      </c>
      <c r="AN6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753</v>
      </c>
      <c r="B68" s="7">
        <v>4045</v>
      </c>
      <c r="C68" s="21" t="s">
        <v>202</v>
      </c>
      <c r="D68" s="21" t="s">
        <v>607</v>
      </c>
      <c r="E68" s="13">
        <v>42912.472731481481</v>
      </c>
      <c r="F68" s="13">
        <v>42912.477303240739</v>
      </c>
      <c r="G68" s="7">
        <v>1</v>
      </c>
      <c r="H68" s="21" t="s">
        <v>349</v>
      </c>
      <c r="I68" s="13">
        <v>42912.503425925926</v>
      </c>
      <c r="J68" s="7">
        <v>0</v>
      </c>
      <c r="K68" s="89" t="str">
        <f t="shared" si="0"/>
        <v>4045/4046</v>
      </c>
      <c r="L68" s="21" t="str">
        <f>VLOOKUP(A68,'Trips&amp;Operators'!$C$1:$G$99999,5,FALSE)</f>
        <v>HELVIE ADAM</v>
      </c>
      <c r="M68" s="6">
        <f t="shared" si="1"/>
        <v>2.6122685187146999E-2</v>
      </c>
      <c r="N68" s="7">
        <f t="shared" si="29"/>
        <v>37.616666669491678</v>
      </c>
      <c r="O68" s="7"/>
      <c r="P68" s="7"/>
      <c r="Q68" s="22"/>
      <c r="R68" s="170"/>
      <c r="S68" s="213">
        <f t="shared" si="2"/>
        <v>1</v>
      </c>
      <c r="T68" s="195" t="str">
        <f t="shared" si="3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4"/>
        <v>https://d0f6bd738d7f1b3e5a7ca70fe4ff75f0.us-east-1.aws.found.io/app/kibana#/discover/Steve-Slow-Train-Analysis-(2080s-and-2083s)?_g=(refreshInterval:(display:Off,pause:!f,section:0,value:0),time:(from:'2017-06-26T10:20:44-0600',mode:absolute,to:'2017-06-26T13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8" s="197" t="str">
        <f>IF(AA68&lt;VLOOKUP(AG68,Variables!$AC$3:$AD$8,2,FALSE),"Y","N")</f>
        <v>N</v>
      </c>
      <c r="X68" s="197">
        <f t="shared" si="26"/>
        <v>1</v>
      </c>
      <c r="Y68" s="197">
        <f t="shared" si="27"/>
        <v>23.2987</v>
      </c>
      <c r="Z68" s="197">
        <f t="shared" si="28"/>
        <v>1.49E-2</v>
      </c>
      <c r="AA68" s="197">
        <f t="shared" si="6"/>
        <v>23.283799999999999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7"/>
        <v>156</v>
      </c>
      <c r="AE68" s="77" t="str">
        <f t="shared" si="8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68" s="74" t="str">
        <f t="shared" si="9"/>
        <v>"C:\Program Files (x86)\AstroGrep\AstroGrep.exe" /e /r /s /spath="%USERPROFILE%\AppData\Local\Temp\OnboardLogs" /stypes="app*4045*20170626*" /stext=" 18:.+((SYSTEM_STATE.+slice.+state.+changed )|(ment ac)|(multiple cpu faults)|(system.+state.+changed )|(\[timeout)|(PRM\|1\|D)|(kpr)|(kdp)|(train st.+moving)|(\|lc)|(penalty))"</v>
      </c>
      <c r="AG68" s="209" t="str">
        <f t="shared" si="10"/>
        <v>EC</v>
      </c>
      <c r="AH68" s="78" t="str">
        <f t="shared" si="22"/>
        <v>"%USERPROFILE%\Documents\GitHub\eaglep3\Utilities\RefineRTDCRunTimes.py" --tripid 156-26 --locoid 4045 --swversion DE.1.0.9.0 --startMP 204:232987 --initTime 2017-06-26T11:20:44 --startdatetime 2017-06-26T11:27:19 --delay 1 --endMP 204:149 --enddatetime 2017-06-26T12:04:56 --enforcementcount 0 &gt;&gt;C:\Users\stu\Documents\GitHub\eaglep3-reporting\EC\2017-06-26-refined-times.txt</v>
      </c>
      <c r="AI6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{"issue":{"subject":"","project_id":79,"tracker_id":40,"status_id":1,"priority_id":2,"assigned_to_id":23,"start_date":"2017-06-26","description":"","custom_fields":[{"id":1,"name":"Subdivision","value":"EC"},{"id":4,"name":"Milepost","value":"0.0149"},{"id":17,"name":"Train ID","value":"156-26"},{"id":16,"name":"Locomotive ID","value":"4045"},{"id":130,"name":"Impact","value":""},{"id":150,"name":"Time of Event (Mountain Time)","value":"12:04:56"},{"id":151,"name":"Denver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4"/>
        <v>start /low /b %USERPROFILE%\Documents\GitHub\eaglep3\Utilities\DownloadLogsFromS3.py --loco 4045 --day 2017-06-26</v>
      </c>
      <c r="AN6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748</v>
      </c>
      <c r="B69" s="7">
        <v>4004</v>
      </c>
      <c r="C69" s="21" t="s">
        <v>202</v>
      </c>
      <c r="D69" s="21" t="s">
        <v>435</v>
      </c>
      <c r="E69" s="13">
        <v>42912.444479166668</v>
      </c>
      <c r="F69" s="13">
        <v>42912.448067129626</v>
      </c>
      <c r="G69" s="7">
        <v>2</v>
      </c>
      <c r="H69" s="21" t="s">
        <v>900</v>
      </c>
      <c r="I69" s="13">
        <v>42912.473252314812</v>
      </c>
      <c r="J69" s="7">
        <v>0</v>
      </c>
      <c r="K69" s="89" t="str">
        <f t="shared" si="0"/>
        <v>4003/4004</v>
      </c>
      <c r="L69" s="21" t="str">
        <f>VLOOKUP(A69,'Trips&amp;Operators'!$C$1:$G$99999,5,FALSE)</f>
        <v>SULLIVAN BRANDON</v>
      </c>
      <c r="M69" s="6">
        <f t="shared" si="1"/>
        <v>2.5185185186273884E-2</v>
      </c>
      <c r="N69" s="7">
        <f t="shared" si="29"/>
        <v>36.266666668234393</v>
      </c>
      <c r="O69" s="7"/>
      <c r="P69" s="7"/>
      <c r="Q69" s="22"/>
      <c r="R69" s="170"/>
      <c r="S69" s="213">
        <f t="shared" si="2"/>
        <v>1</v>
      </c>
      <c r="T69" s="195" t="str">
        <f t="shared" si="3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4"/>
        <v>https://d0f6bd738d7f1b3e5a7ca70fe4ff75f0.us-east-1.aws.found.io/app/kibana#/discover/Steve-Slow-Train-Analysis-(2080s-and-2083s)?_g=(refreshInterval:(display:Off,pause:!f,section:0,value:0),time:(from:'2017-06-26T09:40:03-0600',mode:absolute,to:'2017-06-26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197" t="str">
        <f>IF(AA69&lt;VLOOKUP(AG69,Variables!$AC$3:$AD$8,2,FALSE),"Y","N")</f>
        <v>N</v>
      </c>
      <c r="X69" s="197">
        <f t="shared" si="26"/>
        <v>1</v>
      </c>
      <c r="Y69" s="197">
        <f t="shared" si="27"/>
        <v>4.6699999999999998E-2</v>
      </c>
      <c r="Z69" s="197">
        <f t="shared" si="28"/>
        <v>23.335899999999999</v>
      </c>
      <c r="AA69" s="197">
        <f t="shared" si="6"/>
        <v>23.289199999999997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7"/>
        <v>157</v>
      </c>
      <c r="AE69" s="77" t="str">
        <f t="shared" si="8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69" s="74" t="str">
        <f t="shared" si="9"/>
        <v>"C:\Program Files (x86)\AstroGrep\AstroGrep.exe" /e /r /s /spath="%USERPROFILE%\AppData\Local\Temp\OnboardLogs" /stypes="app*4004*20170626*" /stext=" 17:.+((SYSTEM_STATE.+slice.+state.+changed )|(ment ac)|(multiple cpu faults)|(system.+state.+changed )|(\[timeout)|(PRM\|1\|D)|(kpr)|(kdp)|(train st.+moving)|(\|lc)|(penalty))"</v>
      </c>
      <c r="AG69" s="209" t="str">
        <f t="shared" si="10"/>
        <v>EC</v>
      </c>
      <c r="AH69" s="78" t="str">
        <f t="shared" si="22"/>
        <v>"%USERPROFILE%\Documents\GitHub\eaglep3\Utilities\RefineRTDCRunTimes.py" --tripid 157-26 --locoid 4004 --swversion DE.1.0.9.0 --startMP 204:467 --initTime 2017-06-26T10:40:03 --startdatetime 2017-06-26T10:45:13 --delay 2 --endMP 204:233359 --enddatetime 2017-06-26T11:21:29 --enforcementcount 0 &gt;&gt;C:\Users\stu\Documents\GitHub\eaglep3-reporting\EC\2017-06-26-refined-times.txt</v>
      </c>
      <c r="AI69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{"issue":{"subject":"","project_id":79,"tracker_id":40,"status_id":1,"priority_id":2,"assigned_to_id":23,"start_date":"2017-06-26","description":"","custom_fields":[{"id":1,"name":"Subdivision","value":"EC"},{"id":4,"name":"Milepost","value":"23.3359"},{"id":17,"name":"Train ID","value":"157-26"},{"id":16,"name":"Locomotive ID","value":"4004"},{"id":130,"name":"Impact","value":""},{"id":150,"name":"Time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4"/>
        <v>start /low /b %USERPROFILE%\Documents\GitHub\eaglep3\Utilities\DownloadLogsFromS3.py --loco 4004 --day 2017-06-26</v>
      </c>
      <c r="AN69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633</v>
      </c>
      <c r="B70" s="7">
        <v>4003</v>
      </c>
      <c r="C70" s="21" t="s">
        <v>202</v>
      </c>
      <c r="D70" s="21" t="s">
        <v>901</v>
      </c>
      <c r="E70" s="13">
        <v>42912.482708333337</v>
      </c>
      <c r="F70" s="13">
        <v>42912.487673611111</v>
      </c>
      <c r="G70" s="7">
        <v>1</v>
      </c>
      <c r="H70" s="21" t="s">
        <v>902</v>
      </c>
      <c r="I70" s="13">
        <v>42912.515243055554</v>
      </c>
      <c r="J70" s="7">
        <v>0</v>
      </c>
      <c r="K70" s="89" t="str">
        <f t="shared" si="0"/>
        <v>4003/4004</v>
      </c>
      <c r="L70" s="21" t="str">
        <f>VLOOKUP(A70,'Trips&amp;Operators'!$C$1:$G$99999,5,FALSE)</f>
        <v>SULLIVAN BRANDON</v>
      </c>
      <c r="M70" s="6">
        <f t="shared" si="1"/>
        <v>2.7569444442633539E-2</v>
      </c>
      <c r="N70" s="7">
        <f t="shared" si="29"/>
        <v>39.699999997392297</v>
      </c>
      <c r="O70" s="7"/>
      <c r="P70" s="7"/>
      <c r="Q70" s="22"/>
      <c r="R70" s="170"/>
      <c r="S70" s="213">
        <f t="shared" si="2"/>
        <v>1</v>
      </c>
      <c r="T70" s="195" t="str">
        <f t="shared" si="3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4"/>
        <v>https://d0f6bd738d7f1b3e5a7ca70fe4ff75f0.us-east-1.aws.found.io/app/kibana#/discover/Steve-Slow-Train-Analysis-(2080s-and-2083s)?_g=(refreshInterval:(display:Off,pause:!f,section:0,value:0),time:(from:'2017-06-26T10:35:06-0600',mode:absolute,to:'2017-06-26T13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0" s="197" t="str">
        <f>IF(AA70&lt;VLOOKUP(AG70,Variables!$AC$3:$AD$8,2,FALSE),"Y","N")</f>
        <v>N</v>
      </c>
      <c r="X70" s="197">
        <f t="shared" si="26"/>
        <v>1</v>
      </c>
      <c r="Y70" s="197">
        <f t="shared" si="27"/>
        <v>23.3048</v>
      </c>
      <c r="Z70" s="197">
        <f t="shared" si="28"/>
        <v>1.8100000000000002E-2</v>
      </c>
      <c r="AA70" s="197">
        <f t="shared" si="6"/>
        <v>23.2867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7"/>
        <v>158</v>
      </c>
      <c r="AE70" s="77" t="str">
        <f t="shared" si="8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70" s="74" t="str">
        <f t="shared" si="9"/>
        <v>"C:\Program Files (x86)\AstroGrep\AstroGrep.exe" /e /r /s /spath="%USERPROFILE%\AppData\Local\Temp\OnboardLogs" /stypes="app*4003*20170626*" /stext=" 18:.+((SYSTEM_STATE.+slice.+state.+changed )|(ment ac)|(multiple cpu faults)|(system.+state.+changed )|(\[timeout)|(PRM\|1\|D)|(kpr)|(kdp)|(train st.+moving)|(\|lc)|(penalty))"</v>
      </c>
      <c r="AG70" s="209" t="str">
        <f t="shared" si="10"/>
        <v>EC</v>
      </c>
      <c r="AH70" s="78" t="str">
        <f t="shared" si="22"/>
        <v>"%USERPROFILE%\Documents\GitHub\eaglep3\Utilities\RefineRTDCRunTimes.py" --tripid 158-26 --locoid 4003 --swversion DE.1.0.9.0 --startMP 204:233048 --initTime 2017-06-26T11:35:06 --startdatetime 2017-06-26T11:42:15 --delay 1 --endMP 204:181 --enddatetime 2017-06-26T12:21:57 --enforcementcount 0 &gt;&gt;C:\Users\stu\Documents\GitHub\eaglep3-reporting\EC\2017-06-26-refined-times.txt</v>
      </c>
      <c r="AI70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{"issue":{"subject":"","project_id":79,"tracker_id":40,"status_id":1,"priority_id":2,"assigned_to_id":23,"start_date":"2017-06-26","description":"","custom_fields":[{"id":1,"name":"Subdivision","value":"EC"},{"id":4,"name":"Milepost","value":"0.0181"},{"id":17,"name":"Train ID","value":"158-26"},{"id":16,"name":"Locomotive ID","value":"4003"},{"id":130,"name":"Impact","value":""},{"id":150,"name":"Time of Event (Mountain Time)","value":"12:21:57"},{"id":151,"name":"Denver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4"/>
        <v>start /low /b %USERPROFILE%\Documents\GitHub\eaglep3\Utilities\DownloadLogsFromS3.py --loco 4003 --day 2017-06-26</v>
      </c>
      <c r="AN70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750</v>
      </c>
      <c r="B71" s="7">
        <v>4056</v>
      </c>
      <c r="C71" s="21" t="s">
        <v>202</v>
      </c>
      <c r="D71" s="21" t="s">
        <v>343</v>
      </c>
      <c r="E71" s="13">
        <v>42912.454456018517</v>
      </c>
      <c r="F71" s="13">
        <v>42912.458831018521</v>
      </c>
      <c r="G71" s="7">
        <v>2</v>
      </c>
      <c r="H71" s="21" t="s">
        <v>585</v>
      </c>
      <c r="I71" s="13">
        <v>42912.483981481484</v>
      </c>
      <c r="J71" s="7">
        <v>0</v>
      </c>
      <c r="K71" s="89" t="str">
        <f t="shared" si="0"/>
        <v>4055/4056</v>
      </c>
      <c r="L71" s="21" t="str">
        <f>VLOOKUP(A71,'Trips&amp;Operators'!$C$1:$G$99999,5,FALSE)</f>
        <v>MACDONALD THOMAS</v>
      </c>
      <c r="M71" s="6">
        <f t="shared" si="1"/>
        <v>2.5150462963210884E-2</v>
      </c>
      <c r="N71" s="7">
        <f t="shared" si="29"/>
        <v>36.216666667023674</v>
      </c>
      <c r="O71" s="7"/>
      <c r="P71" s="7"/>
      <c r="Q71" s="22"/>
      <c r="R71" s="170"/>
      <c r="S71" s="213">
        <f t="shared" si="2"/>
        <v>1</v>
      </c>
      <c r="T71" s="195" t="str">
        <f t="shared" si="3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4"/>
        <v>https://d0f6bd738d7f1b3e5a7ca70fe4ff75f0.us-east-1.aws.found.io/app/kibana#/discover/Steve-Slow-Train-Analysis-(2080s-and-2083s)?_g=(refreshInterval:(display:Off,pause:!f,section:0,value:0),time:(from:'2017-06-26T09:54:25-0600',mode:absolute,to:'2017-06-26T12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197" t="str">
        <f>IF(AA71&lt;VLOOKUP(AG71,Variables!$AC$3:$AD$8,2,FALSE),"Y","N")</f>
        <v>N</v>
      </c>
      <c r="X71" s="197">
        <f t="shared" si="26"/>
        <v>1</v>
      </c>
      <c r="Y71" s="197">
        <f t="shared" si="27"/>
        <v>4.4900000000000002E-2</v>
      </c>
      <c r="Z71" s="197">
        <f t="shared" si="28"/>
        <v>23.3293</v>
      </c>
      <c r="AA71" s="197">
        <f t="shared" si="6"/>
        <v>23.284400000000002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7"/>
        <v>159</v>
      </c>
      <c r="AE71" s="77" t="str">
        <f t="shared" si="8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71" s="74" t="str">
        <f t="shared" si="9"/>
        <v>"C:\Program Files (x86)\AstroGrep\AstroGrep.exe" /e /r /s /spath="%USERPROFILE%\AppData\Local\Temp\OnboardLogs" /stypes="app*4056*20170626*" /stext=" 17:.+((SYSTEM_STATE.+slice.+state.+changed )|(ment ac)|(multiple cpu faults)|(system.+state.+changed )|(\[timeout)|(PRM\|1\|D)|(kpr)|(kdp)|(train st.+moving)|(\|lc)|(penalty))"</v>
      </c>
      <c r="AG71" s="209" t="str">
        <f t="shared" si="10"/>
        <v>EC</v>
      </c>
      <c r="AH71" s="78" t="str">
        <f t="shared" si="22"/>
        <v>"%USERPROFILE%\Documents\GitHub\eaglep3\Utilities\RefineRTDCRunTimes.py" --tripid 159-26 --locoid 4056 --swversion DE.1.0.9.0 --startMP 204:449 --initTime 2017-06-26T10:54:25 --startdatetime 2017-06-26T11:00:43 --delay 2 --endMP 204:233293 --enddatetime 2017-06-26T11:36:56 --enforcementcount 0 &gt;&gt;C:\Users\stu\Documents\GitHub\eaglep3-reporting\EC\2017-06-26-refined-times.txt</v>
      </c>
      <c r="AI71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{"issue":{"subject":"","project_id":79,"tracker_id":40,"status_id":1,"priority_id":2,"assigned_to_id":23,"start_date":"2017-06-26","description":"","custom_fields":[{"id":1,"name":"Subdivision","value":"EC"},{"id":4,"name":"Milepost","value":"23.3293"},{"id":17,"name":"Train ID","value":"159-26"},{"id":16,"name":"Locomotive ID","value":"4056"},{"id":130,"name":"Impact","value":""},{"id":150,"name":"Time of Event (Mountain Time)","value":"11:36:56"},{"id":151,"name":"Denver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4"/>
        <v>start /low /b %USERPROFILE%\Documents\GitHub\eaglep3\Utilities\DownloadLogsFromS3.py --loco 4056 --day 2017-06-26</v>
      </c>
      <c r="AN71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634</v>
      </c>
      <c r="B72" s="7">
        <v>4055</v>
      </c>
      <c r="C72" s="21" t="s">
        <v>202</v>
      </c>
      <c r="D72" s="21" t="s">
        <v>903</v>
      </c>
      <c r="E72" s="13">
        <v>42912.492615740739</v>
      </c>
      <c r="F72" s="13">
        <v>42912.498344907406</v>
      </c>
      <c r="G72" s="7">
        <v>1</v>
      </c>
      <c r="H72" s="21" t="s">
        <v>904</v>
      </c>
      <c r="I72" s="13">
        <v>42912.526145833333</v>
      </c>
      <c r="J72" s="7">
        <v>0</v>
      </c>
      <c r="K72" s="89" t="str">
        <f t="shared" si="0"/>
        <v>4055/4056</v>
      </c>
      <c r="L72" s="21" t="str">
        <f>VLOOKUP(A72,'Trips&amp;Operators'!$C$1:$G$99999,5,FALSE)</f>
        <v>MACDONALD THOMAS</v>
      </c>
      <c r="M72" s="6">
        <f t="shared" si="1"/>
        <v>2.7800925927294884E-2</v>
      </c>
      <c r="N72" s="7">
        <f t="shared" si="29"/>
        <v>40.033333335304633</v>
      </c>
      <c r="O72" s="7"/>
      <c r="P72" s="7"/>
      <c r="Q72" s="22"/>
      <c r="R72" s="170"/>
      <c r="S72" s="213">
        <f t="shared" si="2"/>
        <v>1</v>
      </c>
      <c r="T72" s="195" t="str">
        <f t="shared" si="3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4"/>
        <v>https://d0f6bd738d7f1b3e5a7ca70fe4ff75f0.us-east-1.aws.found.io/app/kibana#/discover/Steve-Slow-Train-Analysis-(2080s-and-2083s)?_g=(refreshInterval:(display:Off,pause:!f,section:0,value:0),time:(from:'2017-06-26T10:49:22-0600',mode:absolute,to:'2017-06-26T13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197" t="str">
        <f>IF(AA72&lt;VLOOKUP(AG72,Variables!$AC$3:$AD$8,2,FALSE),"Y","N")</f>
        <v>N</v>
      </c>
      <c r="X72" s="197">
        <f t="shared" si="26"/>
        <v>1</v>
      </c>
      <c r="Y72" s="197">
        <f t="shared" si="27"/>
        <v>23.2974</v>
      </c>
      <c r="Z72" s="197">
        <f t="shared" si="28"/>
        <v>1.6899999999999998E-2</v>
      </c>
      <c r="AA72" s="197">
        <f t="shared" si="6"/>
        <v>23.2805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7"/>
        <v>160</v>
      </c>
      <c r="AE72" s="77" t="str">
        <f t="shared" si="8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72" s="74" t="str">
        <f t="shared" si="9"/>
        <v>"C:\Program Files (x86)\AstroGrep\AstroGrep.exe" /e /r /s /spath="%USERPROFILE%\AppData\Local\Temp\OnboardLogs" /stypes="app*4055*20170626*" /stext=" 18:.+((SYSTEM_STATE.+slice.+state.+changed )|(ment ac)|(multiple cpu faults)|(system.+state.+changed )|(\[timeout)|(PRM\|1\|D)|(kpr)|(kdp)|(train st.+moving)|(\|lc)|(penalty))"</v>
      </c>
      <c r="AG72" s="209" t="str">
        <f t="shared" si="10"/>
        <v>EC</v>
      </c>
      <c r="AH72" s="78" t="str">
        <f t="shared" si="22"/>
        <v>"%USERPROFILE%\Documents\GitHub\eaglep3\Utilities\RefineRTDCRunTimes.py" --tripid 160-26 --locoid 4055 --swversion DE.1.0.9.0 --startMP 204:232974 --initTime 2017-06-26T11:49:22 --startdatetime 2017-06-26T11:57:37 --delay 1 --endMP 204:169 --enddatetime 2017-06-26T12:37:39 --enforcementcount 0 &gt;&gt;C:\Users\stu\Documents\GitHub\eaglep3-reporting\EC\2017-06-26-refined-times.txt</v>
      </c>
      <c r="AI72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{"issue":{"subject":"","project_id":79,"tracker_id":40,"status_id":1,"priority_id":2,"assigned_to_id":23,"start_date":"2017-06-26","description":"","custom_fields":[{"id":1,"name":"Subdivision","value":"EC"},{"id":4,"name":"Milepost","value":"0.0169"},{"id":17,"name":"Train ID","value":"160-26"},{"id":16,"name":"Locomotive ID","value":"4055"},{"id":130,"name":"Impact","value":""},{"id":150,"name":"Time of Event (Mountain Time)","value":"12:37:39"},{"id":151,"name":"Denver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4"/>
        <v>start /low /b %USERPROFILE%\Documents\GitHub\eaglep3\Utilities\DownloadLogsFromS3.py --loco 4055 --day 2017-06-26</v>
      </c>
      <c r="AN72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752</v>
      </c>
      <c r="B73" s="7">
        <v>4054</v>
      </c>
      <c r="C73" s="21" t="s">
        <v>202</v>
      </c>
      <c r="D73" s="21" t="s">
        <v>347</v>
      </c>
      <c r="E73" s="13">
        <v>42912.467372685183</v>
      </c>
      <c r="F73" s="13">
        <v>42912.469328703701</v>
      </c>
      <c r="G73" s="7">
        <v>1</v>
      </c>
      <c r="H73" s="21" t="s">
        <v>889</v>
      </c>
      <c r="I73" s="13">
        <v>42912.495266203703</v>
      </c>
      <c r="J73" s="7">
        <v>0</v>
      </c>
      <c r="K73" s="89" t="str">
        <f t="shared" si="0"/>
        <v>4053/4054</v>
      </c>
      <c r="L73" s="21" t="str">
        <f>VLOOKUP(A73,'Trips&amp;Operators'!$C$1:$G$99999,5,FALSE)</f>
        <v>DAVIS MICHAEL</v>
      </c>
      <c r="M73" s="6">
        <f t="shared" si="1"/>
        <v>2.5937500002328306E-2</v>
      </c>
      <c r="N73" s="7">
        <f t="shared" si="29"/>
        <v>37.350000003352761</v>
      </c>
      <c r="O73" s="7"/>
      <c r="P73" s="7"/>
      <c r="Q73" s="22"/>
      <c r="R73" s="170"/>
      <c r="S73" s="213">
        <f t="shared" si="2"/>
        <v>1</v>
      </c>
      <c r="T73" s="195" t="str">
        <f t="shared" si="3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4"/>
        <v>https://d0f6bd738d7f1b3e5a7ca70fe4ff75f0.us-east-1.aws.found.io/app/kibana#/discover/Steve-Slow-Train-Analysis-(2080s-and-2083s)?_g=(refreshInterval:(display:Off,pause:!f,section:0,value:0),time:(from:'2017-06-26T10:13:01-0600',mode:absolute,to:'2017-06-26T12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97" t="str">
        <f>IF(AA73&lt;VLOOKUP(AG73,Variables!$AC$3:$AD$8,2,FALSE),"Y","N")</f>
        <v>N</v>
      </c>
      <c r="X73" s="197">
        <f t="shared" si="26"/>
        <v>1</v>
      </c>
      <c r="Y73" s="197">
        <f t="shared" si="27"/>
        <v>4.4600000000000001E-2</v>
      </c>
      <c r="Z73" s="197">
        <f t="shared" si="28"/>
        <v>23.331099999999999</v>
      </c>
      <c r="AA73" s="197">
        <f t="shared" si="6"/>
        <v>23.2865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7"/>
        <v>161</v>
      </c>
      <c r="AE73" s="77" t="str">
        <f t="shared" si="8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73" s="74" t="str">
        <f t="shared" si="9"/>
        <v>"C:\Program Files (x86)\AstroGrep\AstroGrep.exe" /e /r /s /spath="%USERPROFILE%\AppData\Local\Temp\OnboardLogs" /stypes="app*4054*20170626*" /stext=" 17:.+((SYSTEM_STATE.+slice.+state.+changed )|(ment ac)|(multiple cpu faults)|(system.+state.+changed )|(\[timeout)|(PRM\|1\|D)|(kpr)|(kdp)|(train st.+moving)|(\|lc)|(penalty))"</v>
      </c>
      <c r="AG73" s="209" t="str">
        <f t="shared" si="10"/>
        <v>EC</v>
      </c>
      <c r="AH73" s="78" t="str">
        <f t="shared" si="22"/>
        <v>"%USERPROFILE%\Documents\GitHub\eaglep3\Utilities\RefineRTDCRunTimes.py" --tripid 161-26 --locoid 4054 --swversion DE.1.0.9.0 --startMP 204:446 --initTime 2017-06-26T11:13:01 --startdatetime 2017-06-26T11:15:50 --delay 1 --endMP 204:233311 --enddatetime 2017-06-26T11:53:11 --enforcementcount 0 &gt;&gt;C:\Users\stu\Documents\GitHub\eaglep3-reporting\EC\2017-06-26-refined-times.txt</v>
      </c>
      <c r="AI73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{"issue":{"subject":"","project_id":79,"tracker_id":40,"status_id":1,"priority_id":2,"assigned_to_id":23,"start_date":"2017-06-26","description":"","custom_fields":[{"id":1,"name":"Subdivision","value":"EC"},{"id":4,"name":"Milepost","value":"23.3311"},{"id":17,"name":"Train ID","value":"161-26"},{"id":16,"name":"Locomotive ID","value":"4054"},{"id":130,"name":"Impact","value":""},{"id":150,"name":"Time of Event (Mountain Time)","value":"11:53:11"},{"id":151,"name":"Denver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4"/>
        <v>start /low /b %USERPROFILE%\Documents\GitHub\eaglep3\Utilities\DownloadLogsFromS3.py --loco 4054 --day 2017-06-26</v>
      </c>
      <c r="AN73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636</v>
      </c>
      <c r="B74" s="7">
        <v>4053</v>
      </c>
      <c r="C74" s="21" t="s">
        <v>202</v>
      </c>
      <c r="D74" s="21" t="s">
        <v>905</v>
      </c>
      <c r="E74" s="13">
        <v>42912.50503472222</v>
      </c>
      <c r="F74" s="13">
        <v>42912.508900462963</v>
      </c>
      <c r="G74" s="7">
        <v>1</v>
      </c>
      <c r="H74" s="21" t="s">
        <v>349</v>
      </c>
      <c r="I74" s="13">
        <v>42912.536273148151</v>
      </c>
      <c r="J74" s="7">
        <v>0</v>
      </c>
      <c r="K74" s="89" t="str">
        <f t="shared" si="0"/>
        <v>4053/4054</v>
      </c>
      <c r="L74" s="21" t="str">
        <f>VLOOKUP(A74,'Trips&amp;Operators'!$C$1:$G$99999,5,FALSE)</f>
        <v>DAVIS MICHAEL</v>
      </c>
      <c r="M74" s="6">
        <f t="shared" si="1"/>
        <v>2.7372685188311152E-2</v>
      </c>
      <c r="N74" s="7">
        <f t="shared" si="29"/>
        <v>39.416666671168059</v>
      </c>
      <c r="O74" s="7"/>
      <c r="P74" s="7"/>
      <c r="Q74" s="22"/>
      <c r="R74" s="170"/>
      <c r="S74" s="213">
        <f t="shared" si="2"/>
        <v>1</v>
      </c>
      <c r="T74" s="195" t="str">
        <f t="shared" si="3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4"/>
        <v>https://d0f6bd738d7f1b3e5a7ca70fe4ff75f0.us-east-1.aws.found.io/app/kibana#/discover/Steve-Slow-Train-Analysis-(2080s-and-2083s)?_g=(refreshInterval:(display:Off,pause:!f,section:0,value:0),time:(from:'2017-06-26T11:07:15-0600',mode:absolute,to:'2017-06-26T13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97" t="str">
        <f>IF(AA74&lt;VLOOKUP(AG74,Variables!$AC$3:$AD$8,2,FALSE),"Y","N")</f>
        <v>N</v>
      </c>
      <c r="X74" s="197">
        <f t="shared" si="26"/>
        <v>1</v>
      </c>
      <c r="Y74" s="197">
        <f t="shared" si="27"/>
        <v>23.298200000000001</v>
      </c>
      <c r="Z74" s="197">
        <f t="shared" si="28"/>
        <v>1.49E-2</v>
      </c>
      <c r="AA74" s="197">
        <f t="shared" si="6"/>
        <v>23.283300000000001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7"/>
        <v>162</v>
      </c>
      <c r="AE74" s="77" t="str">
        <f t="shared" si="8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74" s="74" t="str">
        <f t="shared" si="9"/>
        <v>"C:\Program Files (x86)\AstroGrep\AstroGrep.exe" /e /r /s /spath="%USERPROFILE%\AppData\Local\Temp\OnboardLogs" /stypes="app*4053*20170626*" /stext=" 18:.+((SYSTEM_STATE.+slice.+state.+changed )|(ment ac)|(multiple cpu faults)|(system.+state.+changed )|(\[timeout)|(PRM\|1\|D)|(kpr)|(kdp)|(train st.+moving)|(\|lc)|(penalty))"</v>
      </c>
      <c r="AG74" s="209" t="str">
        <f t="shared" si="10"/>
        <v>EC</v>
      </c>
      <c r="AH74" s="78" t="str">
        <f t="shared" si="22"/>
        <v>"%USERPROFILE%\Documents\GitHub\eaglep3\Utilities\RefineRTDCRunTimes.py" --tripid 162-26 --locoid 4053 --swversion DE.1.0.9.0 --startMP 204:232982 --initTime 2017-06-26T12:07:15 --startdatetime 2017-06-26T12:12:49 --delay 1 --endMP 204:149 --enddatetime 2017-06-26T12:52:14 --enforcementcount 0 &gt;&gt;C:\Users\stu\Documents\GitHub\eaglep3-reporting\EC\2017-06-26-refined-times.txt</v>
      </c>
      <c r="AI74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{"issue":{"subject":"","project_id":79,"tracker_id":40,"status_id":1,"priority_id":2,"assigned_to_id":23,"start_date":"2017-06-26","description":"","custom_fields":[{"id":1,"name":"Subdivision","value":"EC"},{"id":4,"name":"Milepost","value":"0.0149"},{"id":17,"name":"Train ID","value":"162-26"},{"id":16,"name":"Locomotive ID","value":"4053"},{"id":130,"name":"Impact","value":""},{"id":150,"name":"Time of Event (Mountain Time)","value":"12:52:14"},{"id":151,"name":"Denver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4"/>
        <v>start /low /b %USERPROFILE%\Documents\GitHub\eaglep3\Utilities\DownloadLogsFromS3.py --loco 4053 --day 2017-06-26</v>
      </c>
      <c r="AN74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754</v>
      </c>
      <c r="B75" s="7">
        <v>4014</v>
      </c>
      <c r="C75" s="21" t="s">
        <v>202</v>
      </c>
      <c r="D75" s="21" t="s">
        <v>354</v>
      </c>
      <c r="E75" s="13">
        <v>42912.474305555559</v>
      </c>
      <c r="F75" s="13">
        <v>42912.479409722226</v>
      </c>
      <c r="G75" s="7">
        <v>1</v>
      </c>
      <c r="H75" s="21" t="s">
        <v>603</v>
      </c>
      <c r="I75" s="13">
        <v>42912.504131944443</v>
      </c>
      <c r="J75" s="7">
        <v>0</v>
      </c>
      <c r="K75" s="89" t="str">
        <f t="shared" si="0"/>
        <v>4013/4014</v>
      </c>
      <c r="L75" s="21" t="str">
        <f>VLOOKUP(A75,'Trips&amp;Operators'!$C$1:$G$99999,5,FALSE)</f>
        <v>ROMERO CHAD</v>
      </c>
      <c r="M75" s="6">
        <f t="shared" si="1"/>
        <v>2.4722222216951195E-2</v>
      </c>
      <c r="N75" s="7">
        <f t="shared" si="29"/>
        <v>35.599999992409721</v>
      </c>
      <c r="O75" s="7"/>
      <c r="P75" s="7"/>
      <c r="Q75" s="22"/>
      <c r="R75" s="170"/>
      <c r="S75" s="213">
        <f t="shared" si="2"/>
        <v>1</v>
      </c>
      <c r="T75" s="195" t="str">
        <f t="shared" si="3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4"/>
        <v>https://d0f6bd738d7f1b3e5a7ca70fe4ff75f0.us-east-1.aws.found.io/app/kibana#/discover/Steve-Slow-Train-Analysis-(2080s-and-2083s)?_g=(refreshInterval:(display:Off,pause:!f,section:0,value:0),time:(from:'2017-06-26T10:23:00-0600',mode:absolute,to:'2017-06-26T13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197" t="str">
        <f>IF(AA75&lt;VLOOKUP(AG75,Variables!$AC$3:$AD$8,2,FALSE),"Y","N")</f>
        <v>N</v>
      </c>
      <c r="X75" s="197">
        <f t="shared" si="26"/>
        <v>1</v>
      </c>
      <c r="Y75" s="197">
        <f t="shared" si="27"/>
        <v>4.53E-2</v>
      </c>
      <c r="Z75" s="197">
        <f t="shared" si="28"/>
        <v>23.3398</v>
      </c>
      <c r="AA75" s="197">
        <f t="shared" si="6"/>
        <v>23.294499999999999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7"/>
        <v>163</v>
      </c>
      <c r="AE75" s="77" t="str">
        <f t="shared" si="8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75" s="74" t="str">
        <f t="shared" si="9"/>
        <v>"C:\Program Files (x86)\AstroGrep\AstroGrep.exe" /e /r /s /spath="%USERPROFILE%\AppData\Local\Temp\OnboardLogs" /stypes="app*4014*20170626*" /stext=" 18:.+((SYSTEM_STATE.+slice.+state.+changed )|(ment ac)|(multiple cpu faults)|(system.+state.+changed )|(\[timeout)|(PRM\|1\|D)|(kpr)|(kdp)|(train st.+moving)|(\|lc)|(penalty))"</v>
      </c>
      <c r="AG75" s="209" t="str">
        <f t="shared" si="10"/>
        <v>EC</v>
      </c>
      <c r="AH75" s="78" t="str">
        <f t="shared" si="22"/>
        <v>"%USERPROFILE%\Documents\GitHub\eaglep3\Utilities\RefineRTDCRunTimes.py" --tripid 163-26 --locoid 4014 --swversion DE.1.0.9.0 --startMP 204:453 --initTime 2017-06-26T11:23:00 --startdatetime 2017-06-26T11:30:21 --delay 1 --endMP 204:233398 --enddatetime 2017-06-26T12:05:57 --enforcementcount 0 &gt;&gt;C:\Users\stu\Documents\GitHub\eaglep3-reporting\EC\2017-06-26-refined-times.txt</v>
      </c>
      <c r="AI75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{"issue":{"subject":"","project_id":79,"tracker_id":40,"status_id":1,"priority_id":2,"assigned_to_id":23,"start_date":"2017-06-26","description":"","custom_fields":[{"id":1,"name":"Subdivision","value":"EC"},{"id":4,"name":"Milepost","value":"23.3398"},{"id":17,"name":"Train ID","value":"163-26"},{"id":16,"name":"Locomotive ID","value":"4014"},{"id":130,"name":"Impact","value":""},{"id":150,"name":"Time of Event (Mountain Time)","value":"12:05:57"},{"id":151,"name":"Denver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4"/>
        <v>start /low /b %USERPROFILE%\Documents\GitHub\eaglep3\Utilities\DownloadLogsFromS3.py --loco 4014 --day 2017-06-26</v>
      </c>
      <c r="AN75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762</v>
      </c>
      <c r="B76" s="7">
        <v>4013</v>
      </c>
      <c r="C76" s="21" t="s">
        <v>202</v>
      </c>
      <c r="D76" s="21" t="s">
        <v>906</v>
      </c>
      <c r="E76" s="13">
        <v>42912.505567129629</v>
      </c>
      <c r="F76" s="13">
        <v>42912.518900462965</v>
      </c>
      <c r="G76" s="7">
        <v>2</v>
      </c>
      <c r="H76" s="21" t="s">
        <v>348</v>
      </c>
      <c r="I76" s="13">
        <v>42912.544074074074</v>
      </c>
      <c r="J76" s="7">
        <v>0</v>
      </c>
      <c r="K76" s="89" t="str">
        <f t="shared" si="0"/>
        <v>4013/4014</v>
      </c>
      <c r="L76" s="21" t="str">
        <f>VLOOKUP(A76,'Trips&amp;Operators'!$C$1:$G$99999,5,FALSE)</f>
        <v>ROMERO CHAD</v>
      </c>
      <c r="M76" s="6">
        <f t="shared" si="1"/>
        <v>2.5173611109494232E-2</v>
      </c>
      <c r="N76" s="7">
        <f t="shared" si="29"/>
        <v>36.249999997671694</v>
      </c>
      <c r="O76" s="7"/>
      <c r="P76" s="7"/>
      <c r="Q76" s="22"/>
      <c r="R76" s="170"/>
      <c r="S76" s="213">
        <f t="shared" si="2"/>
        <v>1</v>
      </c>
      <c r="T76" s="195" t="str">
        <f t="shared" si="3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4"/>
        <v>https://d0f6bd738d7f1b3e5a7ca70fe4ff75f0.us-east-1.aws.found.io/app/kibana#/discover/Steve-Slow-Train-Analysis-(2080s-and-2083s)?_g=(refreshInterval:(display:Off,pause:!f,section:0,value:0),time:(from:'2017-06-26T11:08:01-0600',mode:absolute,to:'2017-06-26T14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197" t="str">
        <f>IF(AA76&lt;VLOOKUP(AG76,Variables!$AC$3:$AD$8,2,FALSE),"Y","N")</f>
        <v>N</v>
      </c>
      <c r="X76" s="197">
        <f t="shared" si="26"/>
        <v>1</v>
      </c>
      <c r="Y76" s="197">
        <f t="shared" si="27"/>
        <v>23.310600000000001</v>
      </c>
      <c r="Z76" s="197">
        <f t="shared" si="28"/>
        <v>1.4999999999999999E-2</v>
      </c>
      <c r="AA76" s="197">
        <f t="shared" si="6"/>
        <v>23.2956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7"/>
        <v>164</v>
      </c>
      <c r="AE76" s="77" t="str">
        <f t="shared" si="8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76" s="74" t="str">
        <f t="shared" si="9"/>
        <v>"C:\Program Files (x86)\AstroGrep\AstroGrep.exe" /e /r /s /spath="%USERPROFILE%\AppData\Local\Temp\OnboardLogs" /stypes="app*4013*20170626*" /stext=" 19:.+((SYSTEM_STATE.+slice.+state.+changed )|(ment ac)|(multiple cpu faults)|(system.+state.+changed )|(\[timeout)|(PRM\|1\|D)|(kpr)|(kdp)|(train st.+moving)|(\|lc)|(penalty))"</v>
      </c>
      <c r="AG76" s="209" t="str">
        <f t="shared" si="10"/>
        <v>EC</v>
      </c>
      <c r="AH76" s="78" t="str">
        <f t="shared" si="22"/>
        <v>"%USERPROFILE%\Documents\GitHub\eaglep3\Utilities\RefineRTDCRunTimes.py" --tripid 164-26 --locoid 4013 --swversion DE.1.0.9.0 --startMP 204:233106 --initTime 2017-06-26T12:08:01 --startdatetime 2017-06-26T12:27:13 --delay 2 --endMP 204:150 --enddatetime 2017-06-26T13:03:28 --enforcementcount 0 &gt;&gt;C:\Users\stu\Documents\GitHub\eaglep3-reporting\EC\2017-06-26-refined-times.txt</v>
      </c>
      <c r="AI76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{"issue":{"subject":"","project_id":79,"tracker_id":40,"status_id":1,"priority_id":2,"assigned_to_id":23,"start_date":"2017-06-26","description":"","custom_fields":[{"id":1,"name":"Subdivision","value":"EC"},{"id":4,"name":"Milepost","value":"0.015"},{"id":17,"name":"Train ID","value":"164-26"},{"id":16,"name":"Locomotive ID","value":"4013"},{"id":130,"name":"Impact","value":""},{"id":150,"name":"Time of Event (Mountain Time)","value":"13:03:28"},{"id":151,"name":"Denver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4"/>
        <v>start /low /b %USERPROFILE%\Documents\GitHub\eaglep3\Utilities\DownloadLogsFromS3.py --loco 4013 --day 2017-06-26</v>
      </c>
      <c r="AN76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757</v>
      </c>
      <c r="B77" s="7">
        <v>4030</v>
      </c>
      <c r="C77" s="21" t="s">
        <v>202</v>
      </c>
      <c r="D77" s="21" t="s">
        <v>907</v>
      </c>
      <c r="E77" s="13">
        <v>42912.488229166665</v>
      </c>
      <c r="F77" s="13">
        <v>42912.489791666667</v>
      </c>
      <c r="G77" s="7">
        <v>1</v>
      </c>
      <c r="H77" s="21" t="s">
        <v>876</v>
      </c>
      <c r="I77" s="13">
        <v>42912.515659722223</v>
      </c>
      <c r="J77" s="7">
        <v>0</v>
      </c>
      <c r="K77" s="89" t="str">
        <f t="shared" ref="K77:K140" si="30">IF(ISEVEN(B77),(B77-1)&amp;"/"&amp;B77,B77&amp;"/"&amp;(B77+1))</f>
        <v>4029/4030</v>
      </c>
      <c r="L77" s="21" t="str">
        <f>VLOOKUP(A77,'Trips&amp;Operators'!$C$1:$G$99999,5,FALSE)</f>
        <v>LEVERE CRAIG</v>
      </c>
      <c r="M77" s="6">
        <f t="shared" ref="M77:M140" si="31">I77-F77</f>
        <v>2.5868055556202307E-2</v>
      </c>
      <c r="N77" s="7">
        <f t="shared" si="29"/>
        <v>37.250000000931323</v>
      </c>
      <c r="O77" s="7"/>
      <c r="P77" s="7"/>
      <c r="Q77" s="22"/>
      <c r="R77" s="170"/>
      <c r="S77" s="213">
        <f t="shared" ref="S77:S140" si="32">SUM(U77:U77)/IF(AG77="EC",12,1)</f>
        <v>1</v>
      </c>
      <c r="T77" s="195" t="str">
        <f t="shared" ref="T77:T140" si="33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-26T10:43:03-0600',mode:absolute,to:'2017-06-26T13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7" s="197" t="str">
        <f>IF(AA77&lt;VLOOKUP(AG77,Variables!$AC$3:$AD$8,2,FALSE),"Y","N")</f>
        <v>N</v>
      </c>
      <c r="X77" s="197">
        <f t="shared" ref="X77:X110" si="35">VALUE(LEFT(AD77,4))-VALUE(LEFT(AD76,4))</f>
        <v>1</v>
      </c>
      <c r="Y77" s="197">
        <f t="shared" ref="Y77:Y108" si="36">RIGHT(D77,LEN(D77)-4)/10000</f>
        <v>5.3499999999999999E-2</v>
      </c>
      <c r="Z77" s="197">
        <f t="shared" ref="Z77:Z108" si="37">RIGHT(H77,LEN(H77)-4)/10000</f>
        <v>23.330300000000001</v>
      </c>
      <c r="AA77" s="197">
        <f t="shared" ref="AA77:AA140" si="38">ABS(Z77-Y77)</f>
        <v>23.276800000000001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9">VALUE(LEFT(A77,LEN(A77)-3))</f>
        <v>165</v>
      </c>
      <c r="AE77" s="77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77" s="7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/stypes="app*4030*20170626*"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2">DetSubdiv(A77)</f>
        <v>EC</v>
      </c>
      <c r="AH77" s="78" t="str">
        <f t="shared" si="22"/>
        <v>"%USERPROFILE%\Documents\GitHub\eaglep3\Utilities\RefineRTDCRunTimes.py" --tripid 165-26 --locoid 4030 --swversion DE.1.0.9.0 --startMP 204:535 --initTime 2017-06-26T11:43:03 --startdatetime 2017-06-26T11:45:18 --delay 1 --endMP 204:233303 --enddatetime 2017-06-26T12:22:33 --enforcementcount 0 &gt;&gt;C:\Users\stu\Documents\GitHub\eaglep3-reporting\EC\2017-06-26-refined-times.txt</v>
      </c>
      <c r="AI77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{"issue":{"subject":"","project_id":79,"tracker_id":40,"status_id":1,"priority_id":2,"assigned_to_id":23,"start_date":"2017-06-26","description":"","custom_fields":[{"id":1,"name":"Subdivision","value":"EC"},{"id":4,"name":"Milepost","value":"23.3303"},{"id":17,"name":"Train ID","value":"165-26"},{"id":16,"name":"Locomotive ID","value":"4030"},{"id":130,"name":"Impact","value":""},{"id":150,"name":"Time of Event (Mountain Time)","value":"12:22:33"},{"id":151,"name":"Denver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4"/>
        <v>start /low /b %USERPROFILE%\Documents\GitHub\eaglep3\Utilities\DownloadLogsFromS3.py --loco 4030 --day 2017-06-26</v>
      </c>
      <c r="AN77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764</v>
      </c>
      <c r="B78" s="7">
        <v>4029</v>
      </c>
      <c r="C78" s="21" t="s">
        <v>202</v>
      </c>
      <c r="D78" s="21" t="s">
        <v>890</v>
      </c>
      <c r="E78" s="13">
        <v>42912.523009259261</v>
      </c>
      <c r="F78" s="13">
        <v>42912.529340277775</v>
      </c>
      <c r="G78" s="7">
        <v>1</v>
      </c>
      <c r="H78" s="21" t="s">
        <v>416</v>
      </c>
      <c r="I78" s="13">
        <v>42912.556701388887</v>
      </c>
      <c r="J78" s="7">
        <v>0</v>
      </c>
      <c r="K78" s="89" t="str">
        <f t="shared" si="30"/>
        <v>4029/4030</v>
      </c>
      <c r="L78" s="21" t="str">
        <f>VLOOKUP(A78,'Trips&amp;Operators'!$C$1:$G$99999,5,FALSE)</f>
        <v>LEVERE CRAIG</v>
      </c>
      <c r="M78" s="6">
        <f t="shared" si="31"/>
        <v>2.73611111115315E-2</v>
      </c>
      <c r="N78" s="7">
        <f t="shared" ref="N78:N92" si="43">24*60*SUM($M78:$M78)</f>
        <v>39.40000000060536</v>
      </c>
      <c r="O78" s="7"/>
      <c r="P78" s="7"/>
      <c r="Q78" s="22"/>
      <c r="R78" s="170"/>
      <c r="S78" s="213">
        <f t="shared" si="32"/>
        <v>1</v>
      </c>
      <c r="T78" s="195" t="str">
        <f t="shared" si="33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4"/>
        <v>https://d0f6bd738d7f1b3e5a7ca70fe4ff75f0.us-east-1.aws.found.io/app/kibana#/discover/Steve-Slow-Train-Analysis-(2080s-and-2083s)?_g=(refreshInterval:(display:Off,pause:!f,section:0,value:0),time:(from:'2017-06-26T11:33:08-0600',mode:absolute,to:'2017-06-26T14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8" s="197" t="str">
        <f>IF(AA78&lt;VLOOKUP(AG78,Variables!$AC$3:$AD$8,2,FALSE),"Y","N")</f>
        <v>N</v>
      </c>
      <c r="X78" s="197">
        <f t="shared" si="35"/>
        <v>1</v>
      </c>
      <c r="Y78" s="197">
        <f t="shared" si="36"/>
        <v>23.3001</v>
      </c>
      <c r="Z78" s="197">
        <f t="shared" si="37"/>
        <v>1.4500000000000001E-2</v>
      </c>
      <c r="AA78" s="197">
        <f t="shared" si="38"/>
        <v>23.285599999999999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9"/>
        <v>166</v>
      </c>
      <c r="AE78" s="77" t="str">
        <f t="shared" si="40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78" s="74" t="str">
        <f t="shared" si="41"/>
        <v>"C:\Program Files (x86)\AstroGrep\AstroGrep.exe" /e /r /s /spath="%USERPROFILE%\AppData\Local\Temp\OnboardLogs" /stypes="app*4029*20170626*" /stext=" 19:.+((SYSTEM_STATE.+slice.+state.+changed )|(ment ac)|(multiple cpu faults)|(system.+state.+changed )|(\[timeout)|(PRM\|1\|D)|(kpr)|(kdp)|(train st.+moving)|(\|lc)|(penalty))"</v>
      </c>
      <c r="AG78" s="209" t="str">
        <f t="shared" si="42"/>
        <v>EC</v>
      </c>
      <c r="AH78" s="78" t="str">
        <f t="shared" si="22"/>
        <v>"%USERPROFILE%\Documents\GitHub\eaglep3\Utilities\RefineRTDCRunTimes.py" --tripid 166-26 --locoid 4029 --swversion DE.1.0.9.0 --startMP 204:233001 --initTime 2017-06-26T12:33:08 --startdatetime 2017-06-26T12:42:15 --delay 1 --endMP 204:145 --enddatetime 2017-06-26T13:21:39 --enforcementcount 0 &gt;&gt;C:\Users\stu\Documents\GitHub\eaglep3-reporting\EC\2017-06-26-refined-times.txt</v>
      </c>
      <c r="AI78" s="96" t="str">
        <f t="shared" si="23"/>
        <v>echo {"issue":{"subject":"","project_id":79,"tracker_id":40,"status_id":1,"priority_id":2,"assigned_to_id":23,"start_date":"2017-06-26","description":"","custom_fields":[{"id":1,"name":"Subdivision","value":"EC"},{"id":4,"name":"Milepost","value":"0.0145"},{"id":17,"name":"Train ID","value":"166-26"},{"id":16,"name":"Locomotive ID","value":"4029"},{"id":130,"name":"Impact","value":""},{"id":150,"name":"Time of Event (Mountain Time)","value":"13:21:39"},{"id":151,"name":"Denver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4"/>
        <v>start /low /b %USERPROFILE%\Documents\GitHub\eaglep3\Utilities\DownloadLogsFromS3.py --loco 4029 --day 2017-06-26</v>
      </c>
      <c r="AN78" s="151" t="str">
        <f t="shared" si="2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760</v>
      </c>
      <c r="B79" s="7">
        <v>4058</v>
      </c>
      <c r="C79" s="21" t="s">
        <v>202</v>
      </c>
      <c r="D79" s="21" t="s">
        <v>525</v>
      </c>
      <c r="E79" s="13">
        <v>42912.496944444443</v>
      </c>
      <c r="F79" s="13">
        <v>42912.500219907408</v>
      </c>
      <c r="G79" s="7">
        <v>1</v>
      </c>
      <c r="H79" s="21" t="s">
        <v>489</v>
      </c>
      <c r="I79" s="13">
        <v>42912.525520833333</v>
      </c>
      <c r="J79" s="7">
        <v>0</v>
      </c>
      <c r="K79" s="89" t="str">
        <f t="shared" si="30"/>
        <v>4057/4058</v>
      </c>
      <c r="L79" s="21" t="str">
        <f>VLOOKUP(A79,'Trips&amp;Operators'!$C$1:$G$99999,5,FALSE)</f>
        <v>BRUDER RICHARD</v>
      </c>
      <c r="M79" s="6">
        <f t="shared" si="31"/>
        <v>2.5300925924966577E-2</v>
      </c>
      <c r="N79" s="7">
        <f t="shared" si="43"/>
        <v>36.433333331951872</v>
      </c>
      <c r="O79" s="7"/>
      <c r="P79" s="7"/>
      <c r="Q79" s="22"/>
      <c r="R79" s="170"/>
      <c r="S79" s="213">
        <f t="shared" si="32"/>
        <v>1</v>
      </c>
      <c r="T79" s="195" t="str">
        <f t="shared" si="33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4"/>
        <v>https://d0f6bd738d7f1b3e5a7ca70fe4ff75f0.us-east-1.aws.found.io/app/kibana#/discover/Steve-Slow-Train-Analysis-(2080s-and-2083s)?_g=(refreshInterval:(display:Off,pause:!f,section:0,value:0),time:(from:'2017-06-26T10:55:36-0600',mode:absolute,to:'2017-06-26T13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9" s="197" t="str">
        <f>IF(AA79&lt;VLOOKUP(AG79,Variables!$AC$3:$AD$8,2,FALSE),"Y","N")</f>
        <v>N</v>
      </c>
      <c r="X79" s="197">
        <f t="shared" si="35"/>
        <v>1</v>
      </c>
      <c r="Y79" s="197">
        <f t="shared" si="36"/>
        <v>4.7699999999999999E-2</v>
      </c>
      <c r="Z79" s="197">
        <f t="shared" si="37"/>
        <v>23.331499999999998</v>
      </c>
      <c r="AA79" s="197">
        <f t="shared" si="38"/>
        <v>23.283799999999999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9"/>
        <v>167</v>
      </c>
      <c r="AE79" s="77" t="str">
        <f t="shared" si="40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79" s="74" t="str">
        <f t="shared" si="41"/>
        <v>"C:\Program Files (x86)\AstroGrep\AstroGrep.exe" /e /r /s /spath="%USERPROFILE%\AppData\Local\Temp\OnboardLogs" /stypes="app*4058*20170626*" /stext=" 18:.+((SYSTEM_STATE.+slice.+state.+changed )|(ment ac)|(multiple cpu faults)|(system.+state.+changed )|(\[timeout)|(PRM\|1\|D)|(kpr)|(kdp)|(train st.+moving)|(\|lc)|(penalty))"</v>
      </c>
      <c r="AG79" s="209" t="str">
        <f t="shared" si="42"/>
        <v>EC</v>
      </c>
      <c r="AH79" s="78" t="str">
        <f t="shared" ref="AH79:AH143" si="4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167-26 --locoid 4058 --swversion DE.1.0.9.0 --startMP 204:477 --initTime 2017-06-26T11:55:36 --startdatetime 2017-06-26T12:00:19 --delay 1 --endMP 204:233315 --enddatetime 2017-06-26T12:36:45 --enforcementcount 0 &gt;&gt;C:\Users\stu\Documents\GitHub\eaglep3-reporting\EC\2017-06-26-refined-times.txt</v>
      </c>
      <c r="AI79" s="96" t="str">
        <f t="shared" ref="AI79:AI143" si="4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{"issue":{"subject":"","project_id":79,"tracker_id":40,"status_id":1,"priority_id":2,"assigned_to_id":23,"start_date":"2017-06-26","description":"","custom_fields":[{"id":1,"name":"Subdivision","value":"EC"},{"id":4,"name":"Milepost","value":"23.3315"},{"id":17,"name":"Train ID","value":"167-26"},{"id":16,"name":"Locomotive ID","value":"4058"},{"id":130,"name":"Impact","value":""},{"id":150,"name":"Time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3" si="46">"start /low /b "&amp;dls3logs&amp;" --loco "&amp;B79&amp;" --day "&amp;TEXT(F79,"YYYY-MM-DD")</f>
        <v>start /low /b %USERPROFILE%\Documents\GitHub\eaglep3\Utilities\DownloadLogsFromS3.py --loco 4058 --day 2017-06-26</v>
      </c>
      <c r="AN79" s="151" t="str">
        <f t="shared" ref="AN79:AN143" si="4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767</v>
      </c>
      <c r="B80" s="7">
        <v>4057</v>
      </c>
      <c r="C80" s="21" t="s">
        <v>202</v>
      </c>
      <c r="D80" s="21" t="s">
        <v>495</v>
      </c>
      <c r="E80" s="13">
        <v>42912.53601851852</v>
      </c>
      <c r="F80" s="13">
        <v>42912.53974537037</v>
      </c>
      <c r="G80" s="7">
        <v>2</v>
      </c>
      <c r="H80" s="21" t="s">
        <v>436</v>
      </c>
      <c r="I80" s="13">
        <v>42912.565810185188</v>
      </c>
      <c r="J80" s="7">
        <v>0</v>
      </c>
      <c r="K80" s="89" t="str">
        <f t="shared" si="30"/>
        <v>4057/4058</v>
      </c>
      <c r="L80" s="21" t="str">
        <f>VLOOKUP(A80,'Trips&amp;Operators'!$C$1:$G$99999,5,FALSE)</f>
        <v>BRUDER RICHARD</v>
      </c>
      <c r="M80" s="6">
        <f t="shared" si="31"/>
        <v>2.6064814817800652E-2</v>
      </c>
      <c r="N80" s="7">
        <f t="shared" si="43"/>
        <v>37.533333337632939</v>
      </c>
      <c r="O80" s="7"/>
      <c r="P80" s="7"/>
      <c r="Q80" s="22"/>
      <c r="R80" s="170"/>
      <c r="S80" s="213">
        <f t="shared" si="32"/>
        <v>1</v>
      </c>
      <c r="T80" s="195" t="str">
        <f t="shared" si="33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4"/>
        <v>https://d0f6bd738d7f1b3e5a7ca70fe4ff75f0.us-east-1.aws.found.io/app/kibana#/discover/Steve-Slow-Train-Analysis-(2080s-and-2083s)?_g=(refreshInterval:(display:Off,pause:!f,section:0,value:0),time:(from:'2017-06-26T11:51:52-0600',mode:absolute,to:'2017-06-26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0" s="197" t="str">
        <f>IF(AA80&lt;VLOOKUP(AG80,Variables!$AC$3:$AD$8,2,FALSE),"Y","N")</f>
        <v>N</v>
      </c>
      <c r="X80" s="197">
        <f t="shared" si="35"/>
        <v>1</v>
      </c>
      <c r="Y80" s="197">
        <f t="shared" si="36"/>
        <v>23.298500000000001</v>
      </c>
      <c r="Z80" s="197">
        <f t="shared" si="37"/>
        <v>1.5599999999999999E-2</v>
      </c>
      <c r="AA80" s="197">
        <f t="shared" si="38"/>
        <v>23.282900000000001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9"/>
        <v>168</v>
      </c>
      <c r="AE80" s="77" t="str">
        <f t="shared" si="40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80" s="74" t="str">
        <f t="shared" si="41"/>
        <v>"C:\Program Files (x86)\AstroGrep\AstroGrep.exe" /e /r /s /spath="%USERPROFILE%\AppData\Local\Temp\OnboardLogs" /stypes="app*4057*20170626*" /stext=" 19:.+((SYSTEM_STATE.+slice.+state.+changed )|(ment ac)|(multiple cpu faults)|(system.+state.+changed )|(\[timeout)|(PRM\|1\|D)|(kpr)|(kdp)|(train st.+moving)|(\|lc)|(penalty))"</v>
      </c>
      <c r="AG80" s="209" t="str">
        <f t="shared" si="42"/>
        <v>EC</v>
      </c>
      <c r="AH80" s="78" t="str">
        <f t="shared" si="44"/>
        <v>"%USERPROFILE%\Documents\GitHub\eaglep3\Utilities\RefineRTDCRunTimes.py" --tripid 168-26 --locoid 4057 --swversion DE.1.0.9.0 --startMP 204:232985 --initTime 2017-06-26T12:51:52 --startdatetime 2017-06-26T12:57:14 --delay 2 --endMP 204:156 --enddatetime 2017-06-26T13:34:46 --enforcementcount 0 &gt;&gt;C:\Users\stu\Documents\GitHub\eaglep3-reporting\EC\2017-06-26-refined-times.txt</v>
      </c>
      <c r="AI8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{"issue":{"subject":"","project_id":79,"tracker_id":40,"status_id":1,"priority_id":2,"assigned_to_id":23,"start_date":"2017-06-26","description":"","custom_fields":[{"id":1,"name":"Subdivision","value":"EC"},{"id":4,"name":"Milepost","value":"0.0156"},{"id":17,"name":"Train ID","value":"168-26"},{"id":16,"name":"Locomotive ID","value":"4057"},{"id":130,"name":"Impact","value":""},{"id":150,"name":"Time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6"/>
        <v>start /low /b %USERPROFILE%\Documents\GitHub\eaglep3\Utilities\DownloadLogsFromS3.py --loco 4057 --day 2017-06-26</v>
      </c>
      <c r="AN80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763</v>
      </c>
      <c r="B81" s="7">
        <v>4046</v>
      </c>
      <c r="C81" s="21" t="s">
        <v>202</v>
      </c>
      <c r="D81" s="21" t="s">
        <v>444</v>
      </c>
      <c r="E81" s="13">
        <v>42912.506886574076</v>
      </c>
      <c r="F81" s="13">
        <v>42912.510891203703</v>
      </c>
      <c r="G81" s="7">
        <v>4</v>
      </c>
      <c r="H81" s="21" t="s">
        <v>534</v>
      </c>
      <c r="I81" s="13">
        <v>42912.536712962959</v>
      </c>
      <c r="J81" s="7">
        <v>0</v>
      </c>
      <c r="K81" s="89" t="str">
        <f t="shared" si="30"/>
        <v>4045/4046</v>
      </c>
      <c r="L81" s="21" t="str">
        <f>VLOOKUP(A81,'Trips&amp;Operators'!$C$1:$G$99999,5,FALSE)</f>
        <v>BRANDNER MELINDA</v>
      </c>
      <c r="M81" s="6">
        <f t="shared" si="31"/>
        <v>2.5821759256359655E-2</v>
      </c>
      <c r="N81" s="7">
        <f t="shared" si="43"/>
        <v>37.183333329157904</v>
      </c>
      <c r="O81" s="7"/>
      <c r="P81" s="7"/>
      <c r="Q81" s="22"/>
      <c r="R81" s="170"/>
      <c r="S81" s="213">
        <f t="shared" si="32"/>
        <v>1</v>
      </c>
      <c r="T81" s="195" t="str">
        <f t="shared" si="33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4"/>
        <v>https://d0f6bd738d7f1b3e5a7ca70fe4ff75f0.us-east-1.aws.found.io/app/kibana#/discover/Steve-Slow-Train-Analysis-(2080s-and-2083s)?_g=(refreshInterval:(display:Off,pause:!f,section:0,value:0),time:(from:'2017-06-26T11:09:55-0600',mode:absolute,to:'2017-06-26T13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1" s="197" t="str">
        <f>IF(AA81&lt;VLOOKUP(AG81,Variables!$AC$3:$AD$8,2,FALSE),"Y","N")</f>
        <v>N</v>
      </c>
      <c r="X81" s="197">
        <f t="shared" si="35"/>
        <v>1</v>
      </c>
      <c r="Y81" s="197">
        <f t="shared" si="36"/>
        <v>4.6899999999999997E-2</v>
      </c>
      <c r="Z81" s="197">
        <f t="shared" si="37"/>
        <v>23.328900000000001</v>
      </c>
      <c r="AA81" s="197">
        <f t="shared" si="38"/>
        <v>23.282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9"/>
        <v>169</v>
      </c>
      <c r="AE81" s="77" t="str">
        <f t="shared" si="40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81" s="74" t="str">
        <f t="shared" si="41"/>
        <v>"C:\Program Files (x86)\AstroGrep\AstroGrep.exe" /e /r /s /spath="%USERPROFILE%\AppData\Local\Temp\OnboardLogs" /stypes="app*4046*20170626*" /stext=" 18:.+((SYSTEM_STATE.+slice.+state.+changed )|(ment ac)|(multiple cpu faults)|(system.+state.+changed )|(\[timeout)|(PRM\|1\|D)|(kpr)|(kdp)|(train st.+moving)|(\|lc)|(penalty))"</v>
      </c>
      <c r="AG81" s="209" t="str">
        <f t="shared" si="42"/>
        <v>EC</v>
      </c>
      <c r="AH81" s="78" t="str">
        <f t="shared" si="44"/>
        <v>"%USERPROFILE%\Documents\GitHub\eaglep3\Utilities\RefineRTDCRunTimes.py" --tripid 169-26 --locoid 4046 --swversion DE.1.0.9.0 --startMP 204:469 --initTime 2017-06-26T12:09:55 --startdatetime 2017-06-26T12:15:41 --delay 4 --endMP 204:233289 --enddatetime 2017-06-26T12:52:52 --enforcementcount 0 &gt;&gt;C:\Users\stu\Documents\GitHub\eaglep3-reporting\EC\2017-06-26-refined-times.txt</v>
      </c>
      <c r="AI8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{"issue":{"subject":"","project_id":79,"tracker_id":40,"status_id":1,"priority_id":2,"assigned_to_id":23,"start_date":"2017-06-26","description":"","custom_fields":[{"id":1,"name":"Subdivision","value":"EC"},{"id":4,"name":"Milepost","value":"23.3289"},{"id":17,"name":"Train ID","value":"169-26"},{"id":16,"name":"Locomotive ID","value":"4046"},{"id":130,"name":"Impact","value":""},{"id":150,"name":"Time of Event (Mountain Time)","value":"12:52:52"},{"id":151,"name":"Denver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6"/>
        <v>start /low /b %USERPROFILE%\Documents\GitHub\eaglep3\Utilities\DownloadLogsFromS3.py --loco 4046 --day 2017-06-26</v>
      </c>
      <c r="AN81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769</v>
      </c>
      <c r="B82" s="7">
        <v>4045</v>
      </c>
      <c r="C82" s="21" t="s">
        <v>202</v>
      </c>
      <c r="D82" s="21" t="s">
        <v>494</v>
      </c>
      <c r="E82" s="13">
        <v>42912.547500000001</v>
      </c>
      <c r="F82" s="13">
        <v>42912.550300925926</v>
      </c>
      <c r="G82" s="7">
        <v>3</v>
      </c>
      <c r="H82" s="21" t="s">
        <v>506</v>
      </c>
      <c r="I82" s="13">
        <v>42912.577569444446</v>
      </c>
      <c r="J82" s="7">
        <v>0</v>
      </c>
      <c r="K82" s="89" t="str">
        <f t="shared" si="30"/>
        <v>4045/4046</v>
      </c>
      <c r="L82" s="21" t="str">
        <f>VLOOKUP(A82,'Trips&amp;Operators'!$C$1:$G$99999,5,FALSE)</f>
        <v>BRANDNER MELINDA</v>
      </c>
      <c r="M82" s="6">
        <f t="shared" si="31"/>
        <v>2.7268518519122154E-2</v>
      </c>
      <c r="N82" s="7">
        <f t="shared" si="43"/>
        <v>39.266666667535901</v>
      </c>
      <c r="O82" s="7"/>
      <c r="P82" s="7"/>
      <c r="Q82" s="22"/>
      <c r="R82" s="170"/>
      <c r="S82" s="213">
        <f t="shared" si="32"/>
        <v>1</v>
      </c>
      <c r="T82" s="195" t="str">
        <f t="shared" si="33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4"/>
        <v>https://d0f6bd738d7f1b3e5a7ca70fe4ff75f0.us-east-1.aws.found.io/app/kibana#/discover/Steve-Slow-Train-Analysis-(2080s-and-2083s)?_g=(refreshInterval:(display:Off,pause:!f,section:0,value:0),time:(from:'2017-06-26T12:08:24-0600',mode:absolute,to:'2017-06-26T14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2" s="197" t="str">
        <f>IF(AA82&lt;VLOOKUP(AG82,Variables!$AC$3:$AD$8,2,FALSE),"Y","N")</f>
        <v>N</v>
      </c>
      <c r="X82" s="197">
        <f t="shared" si="35"/>
        <v>1</v>
      </c>
      <c r="Y82" s="197">
        <f t="shared" si="36"/>
        <v>23.3</v>
      </c>
      <c r="Z82" s="197">
        <f t="shared" si="37"/>
        <v>1.34E-2</v>
      </c>
      <c r="AA82" s="197">
        <f t="shared" si="38"/>
        <v>23.2866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9"/>
        <v>170</v>
      </c>
      <c r="AE82" s="77" t="str">
        <f t="shared" si="40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82" s="74" t="str">
        <f t="shared" si="41"/>
        <v>"C:\Program Files (x86)\AstroGrep\AstroGrep.exe" /e /r /s /spath="%USERPROFILE%\AppData\Local\Temp\OnboardLogs" /stypes="app*4045*20170626*" /stext=" 19:.+((SYSTEM_STATE.+slice.+state.+changed )|(ment ac)|(multiple cpu faults)|(system.+state.+changed )|(\[timeout)|(PRM\|1\|D)|(kpr)|(kdp)|(train st.+moving)|(\|lc)|(penalty))"</v>
      </c>
      <c r="AG82" s="209" t="str">
        <f t="shared" si="42"/>
        <v>EC</v>
      </c>
      <c r="AH82" s="78" t="str">
        <f t="shared" si="44"/>
        <v>"%USERPROFILE%\Documents\GitHub\eaglep3\Utilities\RefineRTDCRunTimes.py" --tripid 170-26 --locoid 4045 --swversion DE.1.0.9.0 --startMP 204:233000 --initTime 2017-06-26T13:08:24 --startdatetime 2017-06-26T13:12:26 --delay 3 --endMP 204:134 --enddatetime 2017-06-26T13:51:42 --enforcementcount 0 &gt;&gt;C:\Users\stu\Documents\GitHub\eaglep3-reporting\EC\2017-06-26-refined-times.txt</v>
      </c>
      <c r="AI8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{"issue":{"subject":"","project_id":79,"tracker_id":40,"status_id":1,"priority_id":2,"assigned_to_id":23,"start_date":"2017-06-26","description":"","custom_fields":[{"id":1,"name":"Subdivision","value":"EC"},{"id":4,"name":"Milepost","value":"0.0134"},{"id":17,"name":"Train ID","value":"170-26"},{"id":16,"name":"Locomotive ID","value":"4045"},{"id":130,"name":"Impact","value":""},{"id":150,"name":"Time of Event (Mountain Time)","value":"13:51:42"},{"id":151,"name":"Denver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6"/>
        <v>start /low /b %USERPROFILE%\Documents\GitHub\eaglep3\Utilities\DownloadLogsFromS3.py --loco 4045 --day 2017-06-26</v>
      </c>
      <c r="AN82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635</v>
      </c>
      <c r="B83" s="7">
        <v>4004</v>
      </c>
      <c r="C83" s="21" t="s">
        <v>202</v>
      </c>
      <c r="D83" s="21" t="s">
        <v>605</v>
      </c>
      <c r="E83" s="13">
        <v>42912.516724537039</v>
      </c>
      <c r="F83" s="13">
        <v>42912.520995370367</v>
      </c>
      <c r="G83" s="7">
        <v>1</v>
      </c>
      <c r="H83" s="21" t="s">
        <v>533</v>
      </c>
      <c r="I83" s="13">
        <v>42912.546354166669</v>
      </c>
      <c r="J83" s="7">
        <v>0</v>
      </c>
      <c r="K83" s="89" t="str">
        <f t="shared" si="30"/>
        <v>4003/4004</v>
      </c>
      <c r="L83" s="21" t="str">
        <f>VLOOKUP(A83,'Trips&amp;Operators'!$C$1:$G$99999,5,FALSE)</f>
        <v>SULLIVAN BRANDON</v>
      </c>
      <c r="M83" s="6">
        <f t="shared" si="31"/>
        <v>2.5358796301588882E-2</v>
      </c>
      <c r="N83" s="7">
        <f t="shared" si="43"/>
        <v>36.51666667428799</v>
      </c>
      <c r="O83" s="7"/>
      <c r="P83" s="7"/>
      <c r="Q83" s="22"/>
      <c r="R83" s="170"/>
      <c r="S83" s="213">
        <f t="shared" si="32"/>
        <v>1</v>
      </c>
      <c r="T83" s="195" t="str">
        <f t="shared" si="33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4"/>
        <v>https://d0f6bd738d7f1b3e5a7ca70fe4ff75f0.us-east-1.aws.found.io/app/kibana#/discover/Steve-Slow-Train-Analysis-(2080s-and-2083s)?_g=(refreshInterval:(display:Off,pause:!f,section:0,value:0),time:(from:'2017-06-26T11:24:05-0600',mode:absolute,to:'2017-06-26T14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197" t="str">
        <f>IF(AA83&lt;VLOOKUP(AG83,Variables!$AC$3:$AD$8,2,FALSE),"Y","N")</f>
        <v>N</v>
      </c>
      <c r="X83" s="197">
        <f t="shared" si="35"/>
        <v>1</v>
      </c>
      <c r="Y83" s="197">
        <f t="shared" si="36"/>
        <v>4.7800000000000002E-2</v>
      </c>
      <c r="Z83" s="197">
        <f t="shared" si="37"/>
        <v>23.335100000000001</v>
      </c>
      <c r="AA83" s="197">
        <f t="shared" si="38"/>
        <v>23.287300000000002</v>
      </c>
      <c r="AB83" s="54" t="str">
        <f>VLOOKUP(A83,Enforcements!$C$7:$K$13,8,0)</f>
        <v>Bulletin (2)</v>
      </c>
      <c r="AC83" s="51" t="str">
        <f>VLOOKUP(A83,Enforcements!$C$7:$E$13,3,0)</f>
        <v>GRADE CROSSING</v>
      </c>
      <c r="AD83" s="206">
        <f t="shared" si="39"/>
        <v>171</v>
      </c>
      <c r="AE83" s="77" t="str">
        <f t="shared" si="40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83" s="74" t="str">
        <f t="shared" si="41"/>
        <v>"C:\Program Files (x86)\AstroGrep\AstroGrep.exe" /e /r /s /spath="%USERPROFILE%\AppData\Local\Temp\OnboardLogs" /stypes="app*4004*20170626*" /stext=" 19:.+((SYSTEM_STATE.+slice.+state.+changed )|(ment ac)|(multiple cpu faults)|(system.+state.+changed )|(\[timeout)|(PRM\|1\|D)|(kpr)|(kdp)|(train st.+moving)|(\|lc)|(penalty))"</v>
      </c>
      <c r="AG83" s="209" t="str">
        <f t="shared" si="42"/>
        <v>EC</v>
      </c>
      <c r="AH83" s="78" t="str">
        <f t="shared" si="44"/>
        <v>"%USERPROFILE%\Documents\GitHub\eaglep3\Utilities\RefineRTDCRunTimes.py" --tripid 171-26 --locoid 4004 --swversion DE.1.0.9.0 --startMP 204:478 --initTime 2017-06-26T12:24:05 --startdatetime 2017-06-26T12:30:14 --delay 1 --endMP 204:233351 --enddatetime 2017-06-26T13:06:45 --enforcementcount 0 &gt;&gt;C:\Users\stu\Documents\GitHub\eaglep3-reporting\EC\2017-06-26-refined-times.txt</v>
      </c>
      <c r="AI83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{"issue":{"subject":"","project_id":79,"tracker_id":40,"status_id":1,"priority_id":2,"assigned_to_id":23,"start_date":"2017-06-26","description":"","custom_fields":[{"id":1,"name":"Subdivision","value":"EC"},{"id":4,"name":"Milepost","value":"23.3351"},{"id":17,"name":"Train ID","value":"171-26"},{"id":16,"name":"Locomotive ID","value":"4004"},{"id":130,"name":"Impact","value":""},{"id":150,"name":"Time of Event (Mountain Time)","value":"13:06:45"},{"id":151,"name":"Denver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6"/>
        <v>start /low /b %USERPROFILE%\Documents\GitHub\eaglep3\Utilities\DownloadLogsFromS3.py --loco 4004 --day 2017-06-26</v>
      </c>
      <c r="AN83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773</v>
      </c>
      <c r="B84" s="7">
        <v>4003</v>
      </c>
      <c r="C84" s="21" t="s">
        <v>202</v>
      </c>
      <c r="D84" s="21" t="s">
        <v>908</v>
      </c>
      <c r="E84" s="13">
        <v>42912.553298611114</v>
      </c>
      <c r="F84" s="13">
        <v>42912.560578703706</v>
      </c>
      <c r="G84" s="7">
        <v>1</v>
      </c>
      <c r="H84" s="21" t="s">
        <v>909</v>
      </c>
      <c r="I84" s="13">
        <v>42912.587291666663</v>
      </c>
      <c r="J84" s="7">
        <v>0</v>
      </c>
      <c r="K84" s="89" t="str">
        <f t="shared" si="30"/>
        <v>4003/4004</v>
      </c>
      <c r="L84" s="21" t="str">
        <f>VLOOKUP(A84,'Trips&amp;Operators'!$C$1:$G$99999,5,FALSE)</f>
        <v>SULLIVAN BRANDON</v>
      </c>
      <c r="M84" s="6">
        <f t="shared" si="31"/>
        <v>2.6712962957390118E-2</v>
      </c>
      <c r="N84" s="7">
        <f t="shared" si="43"/>
        <v>38.46666665864177</v>
      </c>
      <c r="O84" s="7"/>
      <c r="P84" s="7"/>
      <c r="Q84" s="22"/>
      <c r="R84" s="170"/>
      <c r="S84" s="213">
        <f t="shared" si="32"/>
        <v>1</v>
      </c>
      <c r="T84" s="195" t="str">
        <f t="shared" si="33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4"/>
        <v>https://d0f6bd738d7f1b3e5a7ca70fe4ff75f0.us-east-1.aws.found.io/app/kibana#/discover/Steve-Slow-Train-Analysis-(2080s-and-2083s)?_g=(refreshInterval:(display:Off,pause:!f,section:0,value:0),time:(from:'2017-06-26T12:16:45-0600',mode:absolute,to:'2017-06-26T15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197" t="str">
        <f>IF(AA84&lt;VLOOKUP(AG84,Variables!$AC$3:$AD$8,2,FALSE),"Y","N")</f>
        <v>N</v>
      </c>
      <c r="X84" s="197">
        <f t="shared" si="35"/>
        <v>1</v>
      </c>
      <c r="Y84" s="197">
        <f t="shared" si="36"/>
        <v>23.3049</v>
      </c>
      <c r="Z84" s="197">
        <f t="shared" si="37"/>
        <v>1.7600000000000001E-2</v>
      </c>
      <c r="AA84" s="197">
        <f t="shared" si="38"/>
        <v>23.287299999999998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9"/>
        <v>172</v>
      </c>
      <c r="AE84" s="77" t="str">
        <f t="shared" si="40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84" s="74" t="str">
        <f t="shared" si="41"/>
        <v>"C:\Program Files (x86)\AstroGrep\AstroGrep.exe" /e /r /s /spath="%USERPROFILE%\AppData\Local\Temp\OnboardLogs" /stypes="app*4003*20170626*" /stext=" 20:.+((SYSTEM_STATE.+slice.+state.+changed )|(ment ac)|(multiple cpu faults)|(system.+state.+changed )|(\[timeout)|(PRM\|1\|D)|(kpr)|(kdp)|(train st.+moving)|(\|lc)|(penalty))"</v>
      </c>
      <c r="AG84" s="209" t="str">
        <f t="shared" si="42"/>
        <v>EC</v>
      </c>
      <c r="AH84" s="78" t="str">
        <f t="shared" si="44"/>
        <v>"%USERPROFILE%\Documents\GitHub\eaglep3\Utilities\RefineRTDCRunTimes.py" --tripid 172-26 --locoid 4003 --swversion DE.1.0.9.0 --startMP 204:233049 --initTime 2017-06-26T13:16:45 --startdatetime 2017-06-26T13:27:14 --delay 1 --endMP 204:176 --enddatetime 2017-06-26T14:05:42 --enforcementcount 0 &gt;&gt;C:\Users\stu\Documents\GitHub\eaglep3-reporting\EC\2017-06-26-refined-times.txt</v>
      </c>
      <c r="AI84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{"issue":{"subject":"","project_id":79,"tracker_id":40,"status_id":1,"priority_id":2,"assigned_to_id":23,"start_date":"2017-06-26","description":"","custom_fields":[{"id":1,"name":"Subdivision","value":"EC"},{"id":4,"name":"Milepost","value":"0.0176"},{"id":17,"name":"Train ID","value":"172-26"},{"id":16,"name":"Locomotive ID","value":"4003"},{"id":130,"name":"Impact","value":""},{"id":150,"name":"Time of Event (Mountain Time)","value":"14:05:42"},{"id":151,"name":"Denver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6"/>
        <v>start /low /b %USERPROFILE%\Documents\GitHub\eaglep3\Utilities\DownloadLogsFromS3.py --loco 4003 --day 2017-06-26</v>
      </c>
      <c r="AN84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766</v>
      </c>
      <c r="B85" s="7">
        <v>4056</v>
      </c>
      <c r="C85" s="21" t="s">
        <v>202</v>
      </c>
      <c r="D85" s="21" t="s">
        <v>347</v>
      </c>
      <c r="E85" s="13">
        <v>42912.527662037035</v>
      </c>
      <c r="F85" s="13">
        <v>42912.531493055554</v>
      </c>
      <c r="G85" s="7">
        <v>1</v>
      </c>
      <c r="H85" s="21" t="s">
        <v>510</v>
      </c>
      <c r="I85" s="13">
        <v>42912.555879629632</v>
      </c>
      <c r="J85" s="7">
        <v>0</v>
      </c>
      <c r="K85" s="89" t="str">
        <f t="shared" si="30"/>
        <v>4055/4056</v>
      </c>
      <c r="L85" s="21" t="str">
        <f>VLOOKUP(A85,'Trips&amp;Operators'!$C$1:$G$99999,5,FALSE)</f>
        <v>MCREYNOLDS KYLE</v>
      </c>
      <c r="M85" s="6">
        <f t="shared" si="31"/>
        <v>2.4386574077652767E-2</v>
      </c>
      <c r="N85" s="7">
        <f t="shared" si="43"/>
        <v>35.116666671819985</v>
      </c>
      <c r="O85" s="7"/>
      <c r="P85" s="7"/>
      <c r="Q85" s="22"/>
      <c r="R85" s="170"/>
      <c r="S85" s="213">
        <f t="shared" si="32"/>
        <v>1</v>
      </c>
      <c r="T85" s="195" t="str">
        <f t="shared" si="33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4"/>
        <v>https://d0f6bd738d7f1b3e5a7ca70fe4ff75f0.us-east-1.aws.found.io/app/kibana#/discover/Steve-Slow-Train-Analysis-(2080s-and-2083s)?_g=(refreshInterval:(display:Off,pause:!f,section:0,value:0),time:(from:'2017-06-26T11:39:50-0600',mode:absolute,to:'2017-06-26T14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197" t="str">
        <f>IF(AA85&lt;VLOOKUP(AG85,Variables!$AC$3:$AD$8,2,FALSE),"Y","N")</f>
        <v>N</v>
      </c>
      <c r="X85" s="197">
        <f t="shared" si="35"/>
        <v>1</v>
      </c>
      <c r="Y85" s="197">
        <f t="shared" si="36"/>
        <v>4.4600000000000001E-2</v>
      </c>
      <c r="Z85" s="197">
        <f t="shared" si="37"/>
        <v>23.338200000000001</v>
      </c>
      <c r="AA85" s="197">
        <f t="shared" si="38"/>
        <v>23.293600000000001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9"/>
        <v>173</v>
      </c>
      <c r="AE85" s="77" t="str">
        <f t="shared" si="40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85" s="74" t="str">
        <f t="shared" si="41"/>
        <v>"C:\Program Files (x86)\AstroGrep\AstroGrep.exe" /e /r /s /spath="%USERPROFILE%\AppData\Local\Temp\OnboardLogs" /stypes="app*4056*20170626*" /stext=" 19:.+((SYSTEM_STATE.+slice.+state.+changed )|(ment ac)|(multiple cpu faults)|(system.+state.+changed )|(\[timeout)|(PRM\|1\|D)|(kpr)|(kdp)|(train st.+moving)|(\|lc)|(penalty))"</v>
      </c>
      <c r="AG85" s="209" t="str">
        <f t="shared" si="42"/>
        <v>EC</v>
      </c>
      <c r="AH85" s="78" t="str">
        <f t="shared" si="44"/>
        <v>"%USERPROFILE%\Documents\GitHub\eaglep3\Utilities\RefineRTDCRunTimes.py" --tripid 173-26 --locoid 4056 --swversion DE.1.0.9.0 --startMP 204:446 --initTime 2017-06-26T12:39:50 --startdatetime 2017-06-26T12:45:21 --delay 1 --endMP 204:233382 --enddatetime 2017-06-26T13:20:28 --enforcementcount 0 &gt;&gt;C:\Users\stu\Documents\GitHub\eaglep3-reporting\EC\2017-06-26-refined-times.txt</v>
      </c>
      <c r="AI85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{"issue":{"subject":"","project_id":79,"tracker_id":40,"status_id":1,"priority_id":2,"assigned_to_id":23,"start_date":"2017-06-26","description":"","custom_fields":[{"id":1,"name":"Subdivision","value":"EC"},{"id":4,"name":"Milepost","value":"23.3382"},{"id":17,"name":"Train ID","value":"173-26"},{"id":16,"name":"Locomotive ID","value":"4056"},{"id":130,"name":"Impact","value":""},{"id":150,"name":"Time of Event (Mountain Time)","value":"13:20:28"},{"id":151,"name":"Denver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6"/>
        <v>start /low /b %USERPROFILE%\Documents\GitHub\eaglep3\Utilities\DownloadLogsFromS3.py --loco 4056 --day 2017-06-26</v>
      </c>
      <c r="AN85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775</v>
      </c>
      <c r="B86" s="7">
        <v>4055</v>
      </c>
      <c r="C86" s="21" t="s">
        <v>202</v>
      </c>
      <c r="D86" s="21" t="s">
        <v>910</v>
      </c>
      <c r="E86" s="13">
        <v>42912.56486111111</v>
      </c>
      <c r="F86" s="13">
        <v>42912.571064814816</v>
      </c>
      <c r="G86" s="7">
        <v>1</v>
      </c>
      <c r="H86" s="21" t="s">
        <v>436</v>
      </c>
      <c r="I86" s="13">
        <v>42912.597037037034</v>
      </c>
      <c r="J86" s="7">
        <v>0</v>
      </c>
      <c r="K86" s="89" t="str">
        <f t="shared" si="30"/>
        <v>4055/4056</v>
      </c>
      <c r="L86" s="21" t="str">
        <f>VLOOKUP(A86,'Trips&amp;Operators'!$C$1:$G$99999,5,FALSE)</f>
        <v>MCREYNOLDS KYLE</v>
      </c>
      <c r="M86" s="6">
        <f t="shared" si="31"/>
        <v>2.5972222218115348E-2</v>
      </c>
      <c r="N86" s="7">
        <f t="shared" si="43"/>
        <v>37.399999994086102</v>
      </c>
      <c r="O86" s="7"/>
      <c r="P86" s="7"/>
      <c r="Q86" s="22"/>
      <c r="R86" s="170"/>
      <c r="S86" s="213">
        <f t="shared" si="32"/>
        <v>1</v>
      </c>
      <c r="T86" s="195" t="str">
        <f t="shared" si="33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4"/>
        <v>https://d0f6bd738d7f1b3e5a7ca70fe4ff75f0.us-east-1.aws.found.io/app/kibana#/discover/Steve-Slow-Train-Analysis-(2080s-and-2083s)?_g=(refreshInterval:(display:Off,pause:!f,section:0,value:0),time:(from:'2017-06-26T12:33:24-0600',mode:absolute,to:'2017-06-26T15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197" t="str">
        <f>IF(AA86&lt;VLOOKUP(AG86,Variables!$AC$3:$AD$8,2,FALSE),"Y","N")</f>
        <v>N</v>
      </c>
      <c r="X86" s="197">
        <f t="shared" si="35"/>
        <v>1</v>
      </c>
      <c r="Y86" s="197">
        <f t="shared" si="36"/>
        <v>23.310099999999998</v>
      </c>
      <c r="Z86" s="197">
        <f t="shared" si="37"/>
        <v>1.5599999999999999E-2</v>
      </c>
      <c r="AA86" s="197">
        <f t="shared" si="38"/>
        <v>23.294499999999999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9"/>
        <v>174</v>
      </c>
      <c r="AE86" s="77" t="str">
        <f t="shared" si="40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86" s="74" t="str">
        <f t="shared" si="41"/>
        <v>"C:\Program Files (x86)\AstroGrep\AstroGrep.exe" /e /r /s /spath="%USERPROFILE%\AppData\Local\Temp\OnboardLogs" /stypes="app*4055*20170626*" /stext=" 20:.+((SYSTEM_STATE.+slice.+state.+changed )|(ment ac)|(multiple cpu faults)|(system.+state.+changed )|(\[timeout)|(PRM\|1\|D)|(kpr)|(kdp)|(train st.+moving)|(\|lc)|(penalty))"</v>
      </c>
      <c r="AG86" s="209" t="str">
        <f t="shared" si="42"/>
        <v>EC</v>
      </c>
      <c r="AH86" s="78" t="str">
        <f t="shared" si="44"/>
        <v>"%USERPROFILE%\Documents\GitHub\eaglep3\Utilities\RefineRTDCRunTimes.py" --tripid 174-26 --locoid 4055 --swversion DE.1.0.9.0 --startMP 204:233101 --initTime 2017-06-26T13:33:24 --startdatetime 2017-06-26T13:42:20 --delay 1 --endMP 204:156 --enddatetime 2017-06-26T14:19:44 --enforcementcount 0 &gt;&gt;C:\Users\stu\Documents\GitHub\eaglep3-reporting\EC\2017-06-26-refined-times.txt</v>
      </c>
      <c r="AI86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{"issue":{"subject":"","project_id":79,"tracker_id":40,"status_id":1,"priority_id":2,"assigned_to_id":23,"start_date":"2017-06-26","description":"","custom_fields":[{"id":1,"name":"Subdivision","value":"EC"},{"id":4,"name":"Milepost","value":"0.0156"},{"id":17,"name":"Train ID","value":"174-26"},{"id":16,"name":"Locomotive ID","value":"4055"},{"id":130,"name":"Impact","value":""},{"id":150,"name":"Time of Event (Mountain Time)","value":"14:19:44"},{"id":151,"name":"Denver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6"/>
        <v>start /low /b %USERPROFILE%\Documents\GitHub\eaglep3\Utilities\DownloadLogsFromS3.py --loco 4055 --day 2017-06-26</v>
      </c>
      <c r="AN86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768</v>
      </c>
      <c r="B87" s="7">
        <v>4054</v>
      </c>
      <c r="C87" s="21" t="s">
        <v>202</v>
      </c>
      <c r="D87" s="21" t="s">
        <v>466</v>
      </c>
      <c r="E87" s="13">
        <v>42912.539803240739</v>
      </c>
      <c r="F87" s="13">
        <v>42912.542037037034</v>
      </c>
      <c r="G87" s="7">
        <v>1</v>
      </c>
      <c r="H87" s="21" t="s">
        <v>877</v>
      </c>
      <c r="I87" s="13">
        <v>42912.567442129628</v>
      </c>
      <c r="J87" s="7">
        <v>0</v>
      </c>
      <c r="K87" s="89" t="str">
        <f t="shared" si="30"/>
        <v>4053/4054</v>
      </c>
      <c r="L87" s="21" t="str">
        <f>VLOOKUP(A87,'Trips&amp;Operators'!$C$1:$G$99999,5,FALSE)</f>
        <v>DAVIS MICHAEL</v>
      </c>
      <c r="M87" s="6">
        <f t="shared" si="31"/>
        <v>2.5405092594155576E-2</v>
      </c>
      <c r="N87" s="7">
        <f t="shared" si="43"/>
        <v>36.58333333558403</v>
      </c>
      <c r="O87" s="7"/>
      <c r="P87" s="7"/>
      <c r="Q87" s="22"/>
      <c r="R87" s="170"/>
      <c r="S87" s="213">
        <f t="shared" si="32"/>
        <v>1</v>
      </c>
      <c r="T87" s="195" t="str">
        <f t="shared" si="33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4"/>
        <v>https://d0f6bd738d7f1b3e5a7ca70fe4ff75f0.us-east-1.aws.found.io/app/kibana#/discover/Steve-Slow-Train-Analysis-(2080s-and-2083s)?_g=(refreshInterval:(display:Off,pause:!f,section:0,value:0),time:(from:'2017-06-26T11:57:19-0600',mode:absolute,to:'2017-06-26T14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97" t="str">
        <f>IF(AA87&lt;VLOOKUP(AG87,Variables!$AC$3:$AD$8,2,FALSE),"Y","N")</f>
        <v>N</v>
      </c>
      <c r="X87" s="197">
        <f t="shared" si="35"/>
        <v>1</v>
      </c>
      <c r="Y87" s="197">
        <f t="shared" si="36"/>
        <v>4.6399999999999997E-2</v>
      </c>
      <c r="Z87" s="197">
        <f t="shared" si="37"/>
        <v>23.331</v>
      </c>
      <c r="AA87" s="197">
        <f t="shared" si="38"/>
        <v>23.284600000000001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9"/>
        <v>175</v>
      </c>
      <c r="AE87" s="77" t="str">
        <f t="shared" si="40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87" s="74" t="str">
        <f t="shared" si="41"/>
        <v>"C:\Program Files (x86)\AstroGrep\AstroGrep.exe" /e /r /s /spath="%USERPROFILE%\AppData\Local\Temp\OnboardLogs" /stypes="app*4054*20170626*" /stext=" 19:.+((SYSTEM_STATE.+slice.+state.+changed )|(ment ac)|(multiple cpu faults)|(system.+state.+changed )|(\[timeout)|(PRM\|1\|D)|(kpr)|(kdp)|(train st.+moving)|(\|lc)|(penalty))"</v>
      </c>
      <c r="AG87" s="209" t="str">
        <f t="shared" si="42"/>
        <v>EC</v>
      </c>
      <c r="AH87" s="78" t="str">
        <f t="shared" si="44"/>
        <v>"%USERPROFILE%\Documents\GitHub\eaglep3\Utilities\RefineRTDCRunTimes.py" --tripid 175-26 --locoid 4054 --swversion DE.1.0.9.0 --startMP 204:464 --initTime 2017-06-26T12:57:19 --startdatetime 2017-06-26T13:00:32 --delay 1 --endMP 204:233310 --enddatetime 2017-06-26T13:37:07 --enforcementcount 0 &gt;&gt;C:\Users\stu\Documents\GitHub\eaglep3-reporting\EC\2017-06-26-refined-times.txt</v>
      </c>
      <c r="AI87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{"issue":{"subject":"","project_id":79,"tracker_id":40,"status_id":1,"priority_id":2,"assigned_to_id":23,"start_date":"2017-06-26","description":"","custom_fields":[{"id":1,"name":"Subdivision","value":"EC"},{"id":4,"name":"Milepost","value":"23.331"},{"id":17,"name":"Train ID","value":"175-26"},{"id":16,"name":"Locomotive ID","value":"4054"},{"id":130,"name":"Impact","value":""},{"id":150,"name":"Time of Event (Mountain Time)","value":"13:37:07"},{"id":151,"name":"Denver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6"/>
        <v>start /low /b %USERPROFILE%\Documents\GitHub\eaglep3\Utilities\DownloadLogsFromS3.py --loco 4054 --day 2017-06-26</v>
      </c>
      <c r="AN87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780</v>
      </c>
      <c r="B88" s="7">
        <v>4053</v>
      </c>
      <c r="C88" s="21" t="s">
        <v>202</v>
      </c>
      <c r="D88" s="21" t="s">
        <v>584</v>
      </c>
      <c r="E88" s="13">
        <v>42912.579212962963</v>
      </c>
      <c r="F88" s="13">
        <v>42912.581655092596</v>
      </c>
      <c r="G88" s="7">
        <v>1</v>
      </c>
      <c r="H88" s="21" t="s">
        <v>359</v>
      </c>
      <c r="I88" s="13">
        <v>42912.608842592592</v>
      </c>
      <c r="J88" s="7">
        <v>0</v>
      </c>
      <c r="K88" s="89" t="str">
        <f t="shared" si="30"/>
        <v>4053/4054</v>
      </c>
      <c r="L88" s="21" t="str">
        <f>VLOOKUP(A88,'Trips&amp;Operators'!$C$1:$G$99999,5,FALSE)</f>
        <v>DAVIS MICHAEL</v>
      </c>
      <c r="M88" s="6">
        <f t="shared" si="31"/>
        <v>2.7187499996216502E-2</v>
      </c>
      <c r="N88" s="7">
        <f t="shared" si="43"/>
        <v>39.149999994551763</v>
      </c>
      <c r="O88" s="7"/>
      <c r="P88" s="7"/>
      <c r="Q88" s="22"/>
      <c r="R88" s="170"/>
      <c r="S88" s="213">
        <f t="shared" si="32"/>
        <v>1</v>
      </c>
      <c r="T88" s="195" t="str">
        <f t="shared" si="33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4"/>
        <v>https://d0f6bd738d7f1b3e5a7ca70fe4ff75f0.us-east-1.aws.found.io/app/kibana#/discover/Steve-Slow-Train-Analysis-(2080s-and-2083s)?_g=(refreshInterval:(display:Off,pause:!f,section:0,value:0),time:(from:'2017-06-26T12:54:04-0600',mode:absolute,to:'2017-06-26T15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97" t="str">
        <f>IF(AA88&lt;VLOOKUP(AG88,Variables!$AC$3:$AD$8,2,FALSE),"Y","N")</f>
        <v>N</v>
      </c>
      <c r="X88" s="197">
        <f t="shared" si="35"/>
        <v>1</v>
      </c>
      <c r="Y88" s="197">
        <f t="shared" si="36"/>
        <v>23.2989</v>
      </c>
      <c r="Z88" s="197">
        <f t="shared" si="37"/>
        <v>1.47E-2</v>
      </c>
      <c r="AA88" s="197">
        <f t="shared" si="38"/>
        <v>23.284199999999998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9"/>
        <v>176</v>
      </c>
      <c r="AE88" s="77" t="str">
        <f t="shared" si="40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88" s="74" t="str">
        <f t="shared" si="41"/>
        <v>"C:\Program Files (x86)\AstroGrep\AstroGrep.exe" /e /r /s /spath="%USERPROFILE%\AppData\Local\Temp\OnboardLogs" /stypes="app*4053*20170626*" /stext=" 20:.+((SYSTEM_STATE.+slice.+state.+changed )|(ment ac)|(multiple cpu faults)|(system.+state.+changed )|(\[timeout)|(PRM\|1\|D)|(kpr)|(kdp)|(train st.+moving)|(\|lc)|(penalty))"</v>
      </c>
      <c r="AG88" s="209" t="str">
        <f t="shared" si="42"/>
        <v>EC</v>
      </c>
      <c r="AH88" s="78" t="str">
        <f t="shared" si="44"/>
        <v>"%USERPROFILE%\Documents\GitHub\eaglep3\Utilities\RefineRTDCRunTimes.py" --tripid 176-26 --locoid 4053 --swversion DE.1.0.9.0 --startMP 204:232989 --initTime 2017-06-26T13:54:04 --startdatetime 2017-06-26T13:57:35 --delay 1 --endMP 204:147 --enddatetime 2017-06-26T14:36:44 --enforcementcount 0 &gt;&gt;C:\Users\stu\Documents\GitHub\eaglep3-reporting\EC\2017-06-26-refined-times.txt</v>
      </c>
      <c r="AI88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{"issue":{"subject":"","project_id":79,"tracker_id":40,"status_id":1,"priority_id":2,"assigned_to_id":23,"start_date":"2017-06-26","description":"","custom_fields":[{"id":1,"name":"Subdivision","value":"EC"},{"id":4,"name":"Milepost","value":"0.0147"},{"id":17,"name":"Train ID","value":"176-26"},{"id":16,"name":"Locomotive ID","value":"4053"},{"id":130,"name":"Impact","value":""},{"id":150,"name":"Time of Event (Mountain Time)","value":"14:36:44"},{"id":151,"name":"Denver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6"/>
        <v>start /low /b %USERPROFILE%\Documents\GitHub\eaglep3\Utilities\DownloadLogsFromS3.py --loco 4053 --day 2017-06-26</v>
      </c>
      <c r="AN88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638</v>
      </c>
      <c r="B89" s="7">
        <v>4014</v>
      </c>
      <c r="C89" s="21" t="s">
        <v>202</v>
      </c>
      <c r="D89" s="21" t="s">
        <v>537</v>
      </c>
      <c r="E89" s="13">
        <v>42912.548333333332</v>
      </c>
      <c r="F89" s="13">
        <v>42912.552314814813</v>
      </c>
      <c r="G89" s="7">
        <v>2</v>
      </c>
      <c r="H89" s="21" t="s">
        <v>911</v>
      </c>
      <c r="I89" s="13">
        <v>42912.577013888891</v>
      </c>
      <c r="J89" s="7">
        <v>0</v>
      </c>
      <c r="K89" s="89" t="str">
        <f t="shared" si="30"/>
        <v>4013/4014</v>
      </c>
      <c r="L89" s="21" t="str">
        <f>VLOOKUP(A89,'Trips&amp;Operators'!$C$1:$G$99999,5,FALSE)</f>
        <v>ROMERO CHAD</v>
      </c>
      <c r="M89" s="6">
        <f t="shared" si="31"/>
        <v>2.4699074077943806E-2</v>
      </c>
      <c r="N89" s="7">
        <f t="shared" si="43"/>
        <v>35.56666667223908</v>
      </c>
      <c r="O89" s="7"/>
      <c r="P89" s="7"/>
      <c r="Q89" s="22"/>
      <c r="R89" s="170"/>
      <c r="S89" s="213">
        <f t="shared" si="32"/>
        <v>1</v>
      </c>
      <c r="T89" s="195" t="str">
        <f t="shared" si="33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4"/>
        <v>https://d0f6bd738d7f1b3e5a7ca70fe4ff75f0.us-east-1.aws.found.io/app/kibana#/discover/Steve-Slow-Train-Analysis-(2080s-and-2083s)?_g=(refreshInterval:(display:Off,pause:!f,section:0,value:0),time:(from:'2017-06-26T12:09:36-0600',mode:absolute,to:'2017-06-26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9" s="197" t="str">
        <f>IF(AA89&lt;VLOOKUP(AG89,Variables!$AC$3:$AD$8,2,FALSE),"Y","N")</f>
        <v>N</v>
      </c>
      <c r="X89" s="197">
        <f t="shared" si="35"/>
        <v>1</v>
      </c>
      <c r="Y89" s="197">
        <f t="shared" si="36"/>
        <v>4.3700000000000003E-2</v>
      </c>
      <c r="Z89" s="197">
        <f t="shared" si="37"/>
        <v>23.334900000000001</v>
      </c>
      <c r="AA89" s="197">
        <f t="shared" si="38"/>
        <v>23.2912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9"/>
        <v>177</v>
      </c>
      <c r="AE89" s="77" t="str">
        <f t="shared" si="40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89" s="74" t="str">
        <f t="shared" si="41"/>
        <v>"C:\Program Files (x86)\AstroGrep\AstroGrep.exe" /e /r /s /spath="%USERPROFILE%\AppData\Local\Temp\OnboardLogs" /stypes="app*4014*20170626*" /stext=" 19:.+((SYSTEM_STATE.+slice.+state.+changed )|(ment ac)|(multiple cpu faults)|(system.+state.+changed )|(\[timeout)|(PRM\|1\|D)|(kpr)|(kdp)|(train st.+moving)|(\|lc)|(penalty))"</v>
      </c>
      <c r="AG89" s="209" t="str">
        <f t="shared" si="42"/>
        <v>EC</v>
      </c>
      <c r="AH89" s="78" t="str">
        <f t="shared" si="44"/>
        <v>"%USERPROFILE%\Documents\GitHub\eaglep3\Utilities\RefineRTDCRunTimes.py" --tripid 177-26 --locoid 4014 --swversion DE.1.0.9.0 --startMP 204:437 --initTime 2017-06-26T13:09:36 --startdatetime 2017-06-26T13:15:20 --delay 2 --endMP 204:233349 --enddatetime 2017-06-26T13:50:54 --enforcementcount 0 &gt;&gt;C:\Users\stu\Documents\GitHub\eaglep3-reporting\EC\2017-06-26-refined-times.txt</v>
      </c>
      <c r="AI89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{"issue":{"subject":"","project_id":79,"tracker_id":40,"status_id":1,"priority_id":2,"assigned_to_id":23,"start_date":"2017-06-26","description":"","custom_fields":[{"id":1,"name":"Subdivision","value":"EC"},{"id":4,"name":"Milepost","value":"23.3349"},{"id":17,"name":"Train ID","value":"177-26"},{"id":16,"name":"Locomotive ID","value":"4014"},{"id":130,"name":"Impact","value":""},{"id":150,"name":"Time of Event (Mountain Time)","value":"13:50:54"},{"id":151,"name":"Denver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6"/>
        <v>start /low /b %USERPROFILE%\Documents\GitHub\eaglep3\Utilities\DownloadLogsFromS3.py --loco 4014 --day 2017-06-26</v>
      </c>
      <c r="AN89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777</v>
      </c>
      <c r="B90" s="7">
        <v>4013</v>
      </c>
      <c r="C90" s="21" t="s">
        <v>202</v>
      </c>
      <c r="D90" s="21" t="s">
        <v>529</v>
      </c>
      <c r="E90" s="13">
        <v>42912.578368055554</v>
      </c>
      <c r="F90" s="13">
        <v>42912.591851851852</v>
      </c>
      <c r="G90" s="7">
        <v>1</v>
      </c>
      <c r="H90" s="21" t="s">
        <v>512</v>
      </c>
      <c r="I90" s="13">
        <v>42912.617372685185</v>
      </c>
      <c r="J90" s="7">
        <v>0</v>
      </c>
      <c r="K90" s="89" t="str">
        <f t="shared" si="30"/>
        <v>4013/4014</v>
      </c>
      <c r="L90" s="21" t="str">
        <f>VLOOKUP(A90,'Trips&amp;Operators'!$C$1:$G$99999,5,FALSE)</f>
        <v>ROMERO CHAD</v>
      </c>
      <c r="M90" s="6">
        <f t="shared" si="31"/>
        <v>2.5520833332848269E-2</v>
      </c>
      <c r="N90" s="7">
        <f t="shared" si="43"/>
        <v>36.749999999301508</v>
      </c>
      <c r="O90" s="7"/>
      <c r="P90" s="7"/>
      <c r="Q90" s="22"/>
      <c r="R90" s="170"/>
      <c r="S90" s="213">
        <f t="shared" si="32"/>
        <v>1</v>
      </c>
      <c r="T90" s="195" t="str">
        <f t="shared" si="33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4"/>
        <v>https://d0f6bd738d7f1b3e5a7ca70fe4ff75f0.us-east-1.aws.found.io/app/kibana#/discover/Steve-Slow-Train-Analysis-(2080s-and-2083s)?_g=(refreshInterval:(display:Off,pause:!f,section:0,value:0),time:(from:'2017-06-26T12:52:51-0600',mode:absolute,to:'2017-06-26T15:49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0" s="197" t="str">
        <f>IF(AA90&lt;VLOOKUP(AG90,Variables!$AC$3:$AD$8,2,FALSE),"Y","N")</f>
        <v>N</v>
      </c>
      <c r="X90" s="197">
        <f t="shared" si="35"/>
        <v>1</v>
      </c>
      <c r="Y90" s="197">
        <f t="shared" si="36"/>
        <v>23.305499999999999</v>
      </c>
      <c r="Z90" s="197">
        <f t="shared" si="37"/>
        <v>1.32E-2</v>
      </c>
      <c r="AA90" s="197">
        <f t="shared" si="38"/>
        <v>23.292299999999997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9"/>
        <v>178</v>
      </c>
      <c r="AE90" s="77" t="str">
        <f t="shared" si="40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90" s="74" t="str">
        <f t="shared" si="41"/>
        <v>"C:\Program Files (x86)\AstroGrep\AstroGrep.exe" /e /r /s /spath="%USERPROFILE%\AppData\Local\Temp\OnboardLogs" /stypes="app*4013*20170626*" /stext=" 20:.+((SYSTEM_STATE.+slice.+state.+changed )|(ment ac)|(multiple cpu faults)|(system.+state.+changed )|(\[timeout)|(PRM\|1\|D)|(kpr)|(kdp)|(train st.+moving)|(\|lc)|(penalty))"</v>
      </c>
      <c r="AG90" s="209" t="str">
        <f t="shared" si="42"/>
        <v>EC</v>
      </c>
      <c r="AH90" s="78" t="str">
        <f t="shared" si="44"/>
        <v>"%USERPROFILE%\Documents\GitHub\eaglep3\Utilities\RefineRTDCRunTimes.py" --tripid 178-26 --locoid 4013 --swversion DE.1.0.9.0 --startMP 204:233055 --initTime 2017-06-26T13:52:51 --startdatetime 2017-06-26T14:12:16 --delay 1 --endMP 204:132 --enddatetime 2017-06-26T14:49:01 --enforcementcount 0 &gt;&gt;C:\Users\stu\Documents\GitHub\eaglep3-reporting\EC\2017-06-26-refined-times.txt</v>
      </c>
      <c r="AI9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{"issue":{"subject":"","project_id":79,"tracker_id":40,"status_id":1,"priority_id":2,"assigned_to_id":23,"start_date":"2017-06-26","description":"","custom_fields":[{"id":1,"name":"Subdivision","value":"EC"},{"id":4,"name":"Milepost","value":"0.0132"},{"id":17,"name":"Train ID","value":"178-26"},{"id":16,"name":"Locomotive ID","value":"4013"},{"id":130,"name":"Impact","value":""},{"id":150,"name":"Time of Event (Mountain Time)","value":"14:49:01"},{"id":151,"name":"Denver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6"/>
        <v>start /low /b %USERPROFILE%\Documents\GitHub\eaglep3\Utilities\DownloadLogsFromS3.py --loco 4013 --day 2017-06-26</v>
      </c>
      <c r="AN90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774</v>
      </c>
      <c r="B91" s="7">
        <v>4030</v>
      </c>
      <c r="C91" s="21" t="s">
        <v>202</v>
      </c>
      <c r="D91" s="21" t="s">
        <v>444</v>
      </c>
      <c r="E91" s="13">
        <v>42912.558298611111</v>
      </c>
      <c r="F91" s="13">
        <v>42912.562743055554</v>
      </c>
      <c r="G91" s="7">
        <v>1</v>
      </c>
      <c r="H91" s="21" t="s">
        <v>583</v>
      </c>
      <c r="I91" s="13">
        <v>42912.588738425926</v>
      </c>
      <c r="J91" s="7">
        <v>0</v>
      </c>
      <c r="K91" s="89" t="str">
        <f t="shared" si="30"/>
        <v>4029/4030</v>
      </c>
      <c r="L91" s="21" t="str">
        <f>VLOOKUP(A91,'Trips&amp;Operators'!$C$1:$G$99999,5,FALSE)</f>
        <v>LEVERE CRAIG</v>
      </c>
      <c r="M91" s="6">
        <f t="shared" si="31"/>
        <v>2.5995370371674653E-2</v>
      </c>
      <c r="N91" s="7">
        <f t="shared" si="43"/>
        <v>37.433333335211501</v>
      </c>
      <c r="O91" s="7"/>
      <c r="P91" s="7"/>
      <c r="Q91" s="22"/>
      <c r="R91" s="170"/>
      <c r="S91" s="213">
        <f t="shared" si="32"/>
        <v>1</v>
      </c>
      <c r="T91" s="195" t="str">
        <f t="shared" si="33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4"/>
        <v>https://d0f6bd738d7f1b3e5a7ca70fe4ff75f0.us-east-1.aws.found.io/app/kibana#/discover/Steve-Slow-Train-Analysis-(2080s-and-2083s)?_g=(refreshInterval:(display:Off,pause:!f,section:0,value:0),time:(from:'2017-06-26T12:23:57-0600',mode:absolute,to:'2017-06-26T15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197" t="str">
        <f>IF(AA91&lt;VLOOKUP(AG91,Variables!$AC$3:$AD$8,2,FALSE),"Y","N")</f>
        <v>N</v>
      </c>
      <c r="X91" s="197">
        <f t="shared" si="35"/>
        <v>1</v>
      </c>
      <c r="Y91" s="197">
        <f t="shared" si="36"/>
        <v>4.6899999999999997E-2</v>
      </c>
      <c r="Z91" s="197">
        <f t="shared" si="37"/>
        <v>23.333400000000001</v>
      </c>
      <c r="AA91" s="197">
        <f t="shared" si="38"/>
        <v>23.2865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9"/>
        <v>179</v>
      </c>
      <c r="AE91" s="77" t="str">
        <f t="shared" si="40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91" s="74" t="str">
        <f t="shared" si="41"/>
        <v>"C:\Program Files (x86)\AstroGrep\AstroGrep.exe" /e /r /s /spath="%USERPROFILE%\AppData\Local\Temp\OnboardLogs" /stypes="app*4030*20170626*" /stext=" 20:.+((SYSTEM_STATE.+slice.+state.+changed )|(ment ac)|(multiple cpu faults)|(system.+state.+changed )|(\[timeout)|(PRM\|1\|D)|(kpr)|(kdp)|(train st.+moving)|(\|lc)|(penalty))"</v>
      </c>
      <c r="AG91" s="209" t="str">
        <f t="shared" si="42"/>
        <v>EC</v>
      </c>
      <c r="AH91" s="78" t="str">
        <f t="shared" si="44"/>
        <v>"%USERPROFILE%\Documents\GitHub\eaglep3\Utilities\RefineRTDCRunTimes.py" --tripid 179-26 --locoid 4030 --swversion DE.1.0.9.0 --startMP 204:469 --initTime 2017-06-26T13:23:57 --startdatetime 2017-06-26T13:30:21 --delay 1 --endMP 204:233334 --enddatetime 2017-06-26T14:07:47 --enforcementcount 0 &gt;&gt;C:\Users\stu\Documents\GitHub\eaglep3-reporting\EC\2017-06-26-refined-times.txt</v>
      </c>
      <c r="AI9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{"issue":{"subject":"","project_id":79,"tracker_id":40,"status_id":1,"priority_id":2,"assigned_to_id":23,"start_date":"2017-06-26","description":"","custom_fields":[{"id":1,"name":"Subdivision","value":"EC"},{"id":4,"name":"Milepost","value":"23.3334"},{"id":17,"name":"Train ID","value":"179-26"},{"id":16,"name":"Locomotive ID","value":"4030"},{"id":130,"name":"Impact","value":""},{"id":150,"name":"Time of Event (Mountain Time)","value":"14:07:47"},{"id":151,"name":"Denver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6"/>
        <v>start /low /b %USERPROFILE%\Documents\GitHub\eaglep3\Utilities\DownloadLogsFromS3.py --loco 4030 --day 2017-06-26</v>
      </c>
      <c r="AN91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784</v>
      </c>
      <c r="B92" s="7">
        <v>4029</v>
      </c>
      <c r="C92" s="21" t="s">
        <v>202</v>
      </c>
      <c r="D92" s="21" t="s">
        <v>582</v>
      </c>
      <c r="E92" s="13">
        <v>42912.59579861111</v>
      </c>
      <c r="F92" s="13">
        <v>42912.602500000001</v>
      </c>
      <c r="G92" s="7">
        <v>1</v>
      </c>
      <c r="H92" s="21" t="s">
        <v>349</v>
      </c>
      <c r="I92" s="13">
        <v>42912.629525462966</v>
      </c>
      <c r="J92" s="7">
        <v>0</v>
      </c>
      <c r="K92" s="89" t="str">
        <f t="shared" si="30"/>
        <v>4029/4030</v>
      </c>
      <c r="L92" s="21" t="str">
        <f>VLOOKUP(A92,'Trips&amp;Operators'!$C$1:$G$99999,5,FALSE)</f>
        <v>LEVERE CRAIG</v>
      </c>
      <c r="M92" s="6">
        <f t="shared" si="31"/>
        <v>2.7025462964957114E-2</v>
      </c>
      <c r="N92" s="7">
        <f t="shared" si="43"/>
        <v>38.916666669538245</v>
      </c>
      <c r="O92" s="7"/>
      <c r="P92" s="7"/>
      <c r="Q92" s="22"/>
      <c r="R92" s="170"/>
      <c r="S92" s="213">
        <f t="shared" si="32"/>
        <v>1</v>
      </c>
      <c r="T92" s="195" t="str">
        <f t="shared" si="33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4"/>
        <v>https://d0f6bd738d7f1b3e5a7ca70fe4ff75f0.us-east-1.aws.found.io/app/kibana#/discover/Steve-Slow-Train-Analysis-(2080s-and-2083s)?_g=(refreshInterval:(display:Off,pause:!f,section:0,value:0),time:(from:'2017-06-26T13:17:57-0600',mode:absolute,to:'2017-06-26T16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197" t="str">
        <f>IF(AA92&lt;VLOOKUP(AG92,Variables!$AC$3:$AD$8,2,FALSE),"Y","N")</f>
        <v>N</v>
      </c>
      <c r="X92" s="197">
        <f t="shared" si="35"/>
        <v>1</v>
      </c>
      <c r="Y92" s="197">
        <f t="shared" si="36"/>
        <v>23.302099999999999</v>
      </c>
      <c r="Z92" s="197">
        <f t="shared" si="37"/>
        <v>1.49E-2</v>
      </c>
      <c r="AA92" s="197">
        <f t="shared" si="38"/>
        <v>23.287199999999999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9"/>
        <v>180</v>
      </c>
      <c r="AE92" s="77" t="str">
        <f t="shared" si="40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92" s="74" t="str">
        <f t="shared" si="41"/>
        <v>"C:\Program Files (x86)\AstroGrep\AstroGrep.exe" /e /r /s /spath="%USERPROFILE%\AppData\Local\Temp\OnboardLogs" /stypes="app*4029*20170626*" /stext=" 21:.+((SYSTEM_STATE.+slice.+state.+changed )|(ment ac)|(multiple cpu faults)|(system.+state.+changed )|(\[timeout)|(PRM\|1\|D)|(kpr)|(kdp)|(train st.+moving)|(\|lc)|(penalty))"</v>
      </c>
      <c r="AG92" s="209" t="str">
        <f t="shared" si="42"/>
        <v>EC</v>
      </c>
      <c r="AH92" s="78" t="str">
        <f t="shared" si="44"/>
        <v>"%USERPROFILE%\Documents\GitHub\eaglep3\Utilities\RefineRTDCRunTimes.py" --tripid 180-26 --locoid 4029 --swversion DE.1.0.9.0 --startMP 204:233021 --initTime 2017-06-26T14:17:57 --startdatetime 2017-06-26T14:27:36 --delay 1 --endMP 204:149 --enddatetime 2017-06-26T15:06:31 --enforcementcount 0 &gt;&gt;C:\Users\stu\Documents\GitHub\eaglep3-reporting\EC\2017-06-26-refined-times.txt</v>
      </c>
      <c r="AI9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{"issue":{"subject":"","project_id":79,"tracker_id":40,"status_id":1,"priority_id":2,"assigned_to_id":23,"start_date":"2017-06-26","description":"","custom_fields":[{"id":1,"name":"Subdivision","value":"EC"},{"id":4,"name":"Milepost","value":"0.0149"},{"id":17,"name":"Train ID","value":"180-26"},{"id":16,"name":"Locomotive ID","value":"4029"},{"id":130,"name":"Impact","value":""},{"id":150,"name":"Time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6"/>
        <v>start /low /b %USERPROFILE%\Documents\GitHub\eaglep3\Utilities\DownloadLogsFromS3.py --loco 4029 --day 2017-06-26</v>
      </c>
      <c r="AN92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639</v>
      </c>
      <c r="B93" s="7">
        <v>4058</v>
      </c>
      <c r="C93" s="21" t="s">
        <v>202</v>
      </c>
      <c r="D93" s="21" t="s">
        <v>347</v>
      </c>
      <c r="E93" s="13">
        <v>42912.568449074075</v>
      </c>
      <c r="F93" s="13">
        <v>42912.573125000003</v>
      </c>
      <c r="G93" s="7">
        <v>1</v>
      </c>
      <c r="H93" s="21" t="s">
        <v>912</v>
      </c>
      <c r="I93" s="13">
        <v>42912.595173611109</v>
      </c>
      <c r="J93" s="7">
        <v>0</v>
      </c>
      <c r="K93" s="89" t="str">
        <f t="shared" si="30"/>
        <v>4057/4058</v>
      </c>
      <c r="L93" s="21" t="str">
        <f>VLOOKUP(A93,'Trips&amp;Operators'!$C$1:$G$99999,5,FALSE)</f>
        <v>BRUDER RICHARD</v>
      </c>
      <c r="M93" s="6">
        <f t="shared" si="31"/>
        <v>2.2048611106583849E-2</v>
      </c>
      <c r="N93" s="7"/>
      <c r="O93" s="7"/>
      <c r="P93" s="7">
        <f>24*60*SUM($M93:$M93)</f>
        <v>31.749999993480742</v>
      </c>
      <c r="Q93" s="22"/>
      <c r="R93" s="170" t="s">
        <v>546</v>
      </c>
      <c r="S93" s="213">
        <f t="shared" si="32"/>
        <v>1</v>
      </c>
      <c r="T93" s="195" t="str">
        <f t="shared" si="33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4"/>
        <v>https://d0f6bd738d7f1b3e5a7ca70fe4ff75f0.us-east-1.aws.found.io/app/kibana#/discover/Steve-Slow-Train-Analysis-(2080s-and-2083s)?_g=(refreshInterval:(display:Off,pause:!f,section:0,value:0),time:(from:'2017-06-26T12:38:34-0600',mode:absolute,to:'2017-06-26T15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3" s="197" t="str">
        <f>IF(AA93&lt;VLOOKUP(AG93,Variables!$AC$3:$AD$8,2,FALSE),"Y","N")</f>
        <v>Y</v>
      </c>
      <c r="X93" s="197">
        <f t="shared" si="35"/>
        <v>1</v>
      </c>
      <c r="Y93" s="197">
        <f t="shared" si="36"/>
        <v>4.4600000000000001E-2</v>
      </c>
      <c r="Z93" s="197">
        <f t="shared" si="37"/>
        <v>19.031400000000001</v>
      </c>
      <c r="AA93" s="197">
        <f t="shared" si="38"/>
        <v>18.986800000000002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9"/>
        <v>181</v>
      </c>
      <c r="AE93" s="77" t="str">
        <f t="shared" si="40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93" s="74" t="str">
        <f t="shared" si="41"/>
        <v>"C:\Program Files (x86)\AstroGrep\AstroGrep.exe" /e /r /s /spath="%USERPROFILE%\AppData\Local\Temp\OnboardLogs" /stypes="app*4058*20170626*" /stext=" 20:.+((SYSTEM_STATE.+slice.+state.+changed )|(ment ac)|(multiple cpu faults)|(system.+state.+changed )|(\[timeout)|(PRM\|1\|D)|(kpr)|(kdp)|(train st.+moving)|(\|lc)|(penalty))"</v>
      </c>
      <c r="AG93" s="209" t="str">
        <f t="shared" si="42"/>
        <v>EC</v>
      </c>
      <c r="AH93" s="78" t="str">
        <f t="shared" si="44"/>
        <v>"%USERPROFILE%\Documents\GitHub\eaglep3\Utilities\RefineRTDCRunTimes.py" --tripid 181-26 --locoid 4058 --swversion DE.1.0.9.0 --startMP 204:446 --initTime 2017-06-26T13:38:34 --startdatetime 2017-06-26T13:45:18 --delay 1 --endMP 204:190314 --enddatetime 2017-06-26T14:17:03 --enforcementcount 0 &gt;&gt;C:\Users\stu\Documents\GitHub\eaglep3-reporting\EC\2017-06-26-refined-times.txt</v>
      </c>
      <c r="AI93" s="96" t="str">
        <f t="shared" si="45"/>
        <v>echo {"issue":{"subject":"Wi-MAX data drop","project_id":79,"tracker_id":40,"status_id":1,"priority_id":2,"assigned_to_id":23,"start_date":"2017-06-26","description":"","custom_fields":[{"id":1,"name":"Subdivision","value":"EC"},{"id":4,"name":"Milepost","value":"19.0314"},{"id":17,"name":"Train ID","value":"181-26"},{"id":16,"name":"Locomotive ID","value":"4058"},{"id":130,"name":"Impact","value":""},{"id":150,"name":"Time of Event (Mountain Time)","value":"14:17:03"},{"id":151,"name":"Denver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6"/>
        <v>start /low /b %USERPROFILE%\Documents\GitHub\eaglep3\Utilities\DownloadLogsFromS3.py --loco 4058 --day 2017-06-26</v>
      </c>
      <c r="AN93" s="151" t="str">
        <f t="shared" si="47"/>
        <v>echo {"issue":{"subject":"Wi-MAX data drop","project_id":30,"tracker_id":4,"status_id":1,"priority_id":1,"assigned_to_id":10,"start_date":"2017-06-26","description":"","custom_fields":[{"id":30,"name":"Category","value":"Issue"},{"id":3,"name":"Functional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786</v>
      </c>
      <c r="B94" s="7">
        <v>4057</v>
      </c>
      <c r="C94" s="21" t="s">
        <v>202</v>
      </c>
      <c r="D94" s="21" t="s">
        <v>883</v>
      </c>
      <c r="E94" s="13">
        <v>42912.609293981484</v>
      </c>
      <c r="F94" s="13">
        <v>42912.612650462965</v>
      </c>
      <c r="G94" s="7">
        <v>1</v>
      </c>
      <c r="H94" s="21" t="s">
        <v>416</v>
      </c>
      <c r="I94" s="13">
        <v>42912.638854166667</v>
      </c>
      <c r="J94" s="7">
        <v>0</v>
      </c>
      <c r="K94" s="89" t="str">
        <f t="shared" si="30"/>
        <v>4057/4058</v>
      </c>
      <c r="L94" s="21" t="str">
        <f>VLOOKUP(A94,'Trips&amp;Operators'!$C$1:$G$99999,5,FALSE)</f>
        <v>BRUDER RICHARD</v>
      </c>
      <c r="M94" s="6">
        <f t="shared" si="31"/>
        <v>2.6203703702776693E-2</v>
      </c>
      <c r="N94" s="7">
        <f>24*60*SUM($M94:$M94)</f>
        <v>37.733333331998438</v>
      </c>
      <c r="O94" s="7"/>
      <c r="P94" s="7"/>
      <c r="Q94" s="22"/>
      <c r="R94" s="170"/>
      <c r="S94" s="213">
        <f t="shared" si="32"/>
        <v>1</v>
      </c>
      <c r="T94" s="195" t="str">
        <f t="shared" si="33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4"/>
        <v>https://d0f6bd738d7f1b3e5a7ca70fe4ff75f0.us-east-1.aws.found.io/app/kibana#/discover/Steve-Slow-Train-Analysis-(2080s-and-2083s)?_g=(refreshInterval:(display:Off,pause:!f,section:0,value:0),time:(from:'2017-06-26T13:37:23-0600',mode:absolute,to:'2017-06-26T16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4" s="197" t="str">
        <f>IF(AA94&lt;VLOOKUP(AG94,Variables!$AC$3:$AD$8,2,FALSE),"Y","N")</f>
        <v>N</v>
      </c>
      <c r="X94" s="197">
        <f t="shared" si="35"/>
        <v>1</v>
      </c>
      <c r="Y94" s="197">
        <f t="shared" si="36"/>
        <v>23.297999999999998</v>
      </c>
      <c r="Z94" s="197">
        <f t="shared" si="37"/>
        <v>1.4500000000000001E-2</v>
      </c>
      <c r="AA94" s="197">
        <f t="shared" si="38"/>
        <v>23.283499999999997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9"/>
        <v>182</v>
      </c>
      <c r="AE94" s="77" t="str">
        <f t="shared" si="40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94" s="74" t="str">
        <f t="shared" si="41"/>
        <v>"C:\Program Files (x86)\AstroGrep\AstroGrep.exe" /e /r /s /spath="%USERPROFILE%\AppData\Local\Temp\OnboardLogs" /stypes="app*4057*20170626*" /stext=" 21:.+((SYSTEM_STATE.+slice.+state.+changed )|(ment ac)|(multiple cpu faults)|(system.+state.+changed )|(\[timeout)|(PRM\|1\|D)|(kpr)|(kdp)|(train st.+moving)|(\|lc)|(penalty))"</v>
      </c>
      <c r="AG94" s="209" t="str">
        <f t="shared" si="42"/>
        <v>EC</v>
      </c>
      <c r="AH94" s="78" t="str">
        <f t="shared" si="44"/>
        <v>"%USERPROFILE%\Documents\GitHub\eaglep3\Utilities\RefineRTDCRunTimes.py" --tripid 182-26 --locoid 4057 --swversion DE.1.0.9.0 --startMP 204:232980 --initTime 2017-06-26T14:37:23 --startdatetime 2017-06-26T14:42:13 --delay 1 --endMP 204:145 --enddatetime 2017-06-26T15:19:57 --enforcementcount 0 &gt;&gt;C:\Users\stu\Documents\GitHub\eaglep3-reporting\EC\2017-06-26-refined-times.txt</v>
      </c>
      <c r="AI94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{"issue":{"subject":"","project_id":79,"tracker_id":40,"status_id":1,"priority_id":2,"assigned_to_id":23,"start_date":"2017-06-26","description":"","custom_fields":[{"id":1,"name":"Subdivision","value":"EC"},{"id":4,"name":"Milepost","value":"0.0145"},{"id":17,"name":"Train ID","value":"182-26"},{"id":16,"name":"Locomotive ID","value":"4057"},{"id":130,"name":"Impact","value":""},{"id":150,"name":"Time of Event (Mountain Time)","value":"15:19:57"},{"id":151,"name":"Denver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6"/>
        <v>start /low /b %USERPROFILE%\Documents\GitHub\eaglep3\Utilities\DownloadLogsFromS3.py --loco 4057 --day 2017-06-26</v>
      </c>
      <c r="AN94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781</v>
      </c>
      <c r="B95" s="7">
        <v>4046</v>
      </c>
      <c r="C95" s="21" t="s">
        <v>202</v>
      </c>
      <c r="D95" s="21" t="s">
        <v>492</v>
      </c>
      <c r="E95" s="13">
        <v>42912.579722222225</v>
      </c>
      <c r="F95" s="13">
        <v>42912.583668981482</v>
      </c>
      <c r="G95" s="7">
        <v>2</v>
      </c>
      <c r="H95" s="21" t="s">
        <v>581</v>
      </c>
      <c r="I95" s="13">
        <v>42912.609386574077</v>
      </c>
      <c r="J95" s="7">
        <v>0</v>
      </c>
      <c r="K95" s="89" t="str">
        <f t="shared" si="30"/>
        <v>4045/4046</v>
      </c>
      <c r="L95" s="21" t="str">
        <f>VLOOKUP(A95,'Trips&amp;Operators'!$C$1:$G$99999,5,FALSE)</f>
        <v>BRANDNER MELINDA</v>
      </c>
      <c r="M95" s="6">
        <f t="shared" si="31"/>
        <v>2.5717592594446614E-2</v>
      </c>
      <c r="N95" s="7">
        <f>24*60*SUM($M95:$M95)</f>
        <v>37.033333336003125</v>
      </c>
      <c r="O95" s="7"/>
      <c r="P95" s="7"/>
      <c r="Q95" s="22"/>
      <c r="R95" s="170"/>
      <c r="S95" s="213">
        <f t="shared" si="32"/>
        <v>1</v>
      </c>
      <c r="T95" s="195" t="str">
        <f t="shared" si="33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4"/>
        <v>https://d0f6bd738d7f1b3e5a7ca70fe4ff75f0.us-east-1.aws.found.io/app/kibana#/discover/Steve-Slow-Train-Analysis-(2080s-and-2083s)?_g=(refreshInterval:(display:Off,pause:!f,section:0,value:0),time:(from:'2017-06-26T12:54:48-0600',mode:absolute,to:'2017-06-26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5" s="197" t="str">
        <f>IF(AA95&lt;VLOOKUP(AG95,Variables!$AC$3:$AD$8,2,FALSE),"Y","N")</f>
        <v>N</v>
      </c>
      <c r="X95" s="197">
        <f t="shared" si="35"/>
        <v>1</v>
      </c>
      <c r="Y95" s="197">
        <f t="shared" si="36"/>
        <v>4.58E-2</v>
      </c>
      <c r="Z95" s="197">
        <f t="shared" si="37"/>
        <v>23.334599999999998</v>
      </c>
      <c r="AA95" s="197">
        <f t="shared" si="38"/>
        <v>23.288799999999998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9"/>
        <v>183</v>
      </c>
      <c r="AE95" s="77" t="str">
        <f t="shared" si="40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95" s="74" t="str">
        <f t="shared" si="41"/>
        <v>"C:\Program Files (x86)\AstroGrep\AstroGrep.exe" /e /r /s /spath="%USERPROFILE%\AppData\Local\Temp\OnboardLogs" /stypes="app*4046*20170626*" /stext=" 20:.+((SYSTEM_STATE.+slice.+state.+changed )|(ment ac)|(multiple cpu faults)|(system.+state.+changed )|(\[timeout)|(PRM\|1\|D)|(kpr)|(kdp)|(train st.+moving)|(\|lc)|(penalty))"</v>
      </c>
      <c r="AG95" s="209" t="str">
        <f t="shared" si="42"/>
        <v>EC</v>
      </c>
      <c r="AH95" s="78" t="str">
        <f t="shared" si="44"/>
        <v>"%USERPROFILE%\Documents\GitHub\eaglep3\Utilities\RefineRTDCRunTimes.py" --tripid 183-26 --locoid 4046 --swversion DE.1.0.9.0 --startMP 204:458 --initTime 2017-06-26T13:54:48 --startdatetime 2017-06-26T14:00:29 --delay 2 --endMP 204:233346 --enddatetime 2017-06-26T14:37:31 --enforcementcount 0 &gt;&gt;C:\Users\stu\Documents\GitHub\eaglep3-reporting\EC\2017-06-26-refined-times.txt</v>
      </c>
      <c r="AI95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{"issue":{"subject":"","project_id":79,"tracker_id":40,"status_id":1,"priority_id":2,"assigned_to_id":23,"start_date":"2017-06-26","description":"","custom_fields":[{"id":1,"name":"Subdivision","value":"EC"},{"id":4,"name":"Milepost","value":"23.3346"},{"id":17,"name":"Train ID","value":"183-26"},{"id":16,"name":"Locomotive ID","value":"4046"},{"id":130,"name":"Impact","value":""},{"id":150,"name":"Time of Event (Mountain Time)","value":"14:37:31"},{"id":151,"name":"Denver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6"/>
        <v>start /low /b %USERPROFILE%\Documents\GitHub\eaglep3\Utilities\DownloadLogsFromS3.py --loco 4046 --day 2017-06-26</v>
      </c>
      <c r="AN95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641</v>
      </c>
      <c r="B96" s="7">
        <v>4045</v>
      </c>
      <c r="C96" s="21" t="s">
        <v>202</v>
      </c>
      <c r="D96" s="21" t="s">
        <v>888</v>
      </c>
      <c r="E96" s="13">
        <v>42912.620740740742</v>
      </c>
      <c r="F96" s="13">
        <v>42912.623148148145</v>
      </c>
      <c r="G96" s="7">
        <v>1</v>
      </c>
      <c r="H96" s="21" t="s">
        <v>913</v>
      </c>
      <c r="I96" s="13">
        <v>42912.646157407406</v>
      </c>
      <c r="J96" s="7">
        <v>0</v>
      </c>
      <c r="K96" s="89" t="str">
        <f t="shared" si="30"/>
        <v>4045/4046</v>
      </c>
      <c r="L96" s="21" t="str">
        <f>VLOOKUP(A96,'Trips&amp;Operators'!$C$1:$G$99999,5,FALSE)</f>
        <v>BRANDNER MELINDA</v>
      </c>
      <c r="M96" s="6">
        <f t="shared" si="31"/>
        <v>2.3009259261016268E-2</v>
      </c>
      <c r="N96" s="7"/>
      <c r="O96" s="7"/>
      <c r="P96" s="7">
        <f>24*60*SUM($M96:$M96)</f>
        <v>33.133333335863426</v>
      </c>
      <c r="Q96" s="22"/>
      <c r="R96" s="170" t="s">
        <v>1069</v>
      </c>
      <c r="S96" s="213">
        <f t="shared" si="32"/>
        <v>0.91666666666666663</v>
      </c>
      <c r="T96" s="195" t="str">
        <f t="shared" si="33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11</v>
      </c>
      <c r="V96" s="196" t="str">
        <f t="shared" si="34"/>
        <v>https://d0f6bd738d7f1b3e5a7ca70fe4ff75f0.us-east-1.aws.found.io/app/kibana#/discover/Steve-Slow-Train-Analysis-(2080s-and-2083s)?_g=(refreshInterval:(display:Off,pause:!f,section:0,value:0),time:(from:'2017-06-26T13:53:52-0600',mode:absolute,to:'2017-06-26T16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6" s="197" t="str">
        <f>IF(AA96&lt;VLOOKUP(AG96,Variables!$AC$3:$AD$8,2,FALSE),"Y","N")</f>
        <v>Y</v>
      </c>
      <c r="X96" s="197">
        <f t="shared" si="35"/>
        <v>1</v>
      </c>
      <c r="Y96" s="197">
        <f t="shared" si="36"/>
        <v>23.302800000000001</v>
      </c>
      <c r="Z96" s="197">
        <f t="shared" si="37"/>
        <v>2.7271000000000001</v>
      </c>
      <c r="AA96" s="197">
        <f t="shared" si="38"/>
        <v>20.575700000000001</v>
      </c>
      <c r="AB96" s="54" t="str">
        <f>VLOOKUP(A96,Enforcements!$C$7:$K$13,8,0)</f>
        <v>Bulletin (2)</v>
      </c>
      <c r="AC96" s="51" t="str">
        <f>VLOOKUP(A96,Enforcements!$C$7:$E$13,3,0)</f>
        <v>GRADE CROSSING</v>
      </c>
      <c r="AD96" s="206">
        <f t="shared" si="39"/>
        <v>184</v>
      </c>
      <c r="AE96" s="77" t="str">
        <f t="shared" si="40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96" s="74" t="str">
        <f t="shared" si="41"/>
        <v>"C:\Program Files (x86)\AstroGrep\AstroGrep.exe" /e /r /s /spath="%USERPROFILE%\AppData\Local\Temp\OnboardLogs" /stypes="app*4045*20170626*" /stext=" 21:.+((SYSTEM_STATE.+slice.+state.+changed )|(ment ac)|(multiple cpu faults)|(system.+state.+changed )|(\[timeout)|(PRM\|1\|D)|(kpr)|(kdp)|(train st.+moving)|(\|lc)|(penalty))"</v>
      </c>
      <c r="AG96" s="209" t="str">
        <f t="shared" si="42"/>
        <v>EC</v>
      </c>
      <c r="AH96" s="78" t="str">
        <f t="shared" si="44"/>
        <v>"%USERPROFILE%\Documents\GitHub\eaglep3\Utilities\RefineRTDCRunTimes.py" --tripid 184-26 --locoid 4045 --swversion DE.1.0.9.0 --startMP 204:233028 --initTime 2017-06-26T14:53:52 --startdatetime 2017-06-26T14:57:20 --delay 1 --endMP 204:27271 --enddatetime 2017-06-26T15:30:28 --enforcementcount 0 &gt;&gt;C:\Users\stu\Documents\GitHub\eaglep3-reporting\EC\2017-06-26-refined-times.txt</v>
      </c>
      <c r="AI96" s="96" t="str">
        <f t="shared" si="45"/>
        <v>echo {"issue":{"subject":"Mechanical issue? PTC released penalty (15:30:33) after early arrival enforcement, could not rebuild air","project_id":79,"tracker_id":40,"status_id":1,"priority_id":2,"assigned_to_id":23,"start_date":"2017-06-26","description":"","custom_fields":[{"id":1,"name":"Subdivision","value":"EC"},{"id":4,"name":"Milepost","value":"2.7271"},{"id":17,"name":"Train ID","value":"184-26"},{"id":16,"name":"Locomotive ID","value":"4045"},{"id":130,"name":"Impact","value":""},{"id":150,"name":"Time of Event (Mountain Time)","value":"15:30:28"},{"id":151,"name":"Denver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6"/>
        <v>start /low /b %USERPROFILE%\Documents\GitHub\eaglep3\Utilities\DownloadLogsFromS3.py --loco 4045 --day 2017-06-26</v>
      </c>
      <c r="AN96" s="151" t="str">
        <f t="shared" si="47"/>
        <v>echo {"issue":{"subject":"Mechanical issue? PTC released penalty (15:30:33) after early arrival enforcement, could not rebuild air","project_id":30,"tracker_id":4,"status_id":1,"priority_id":1,"assigned_to_id":10,"start_date":"2017-06-26","description":"","custom_fields":[{"id":30,"name":"Category","value":"Issue"},{"id":3,"name":"Functional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21:30:28"},{"id":29,"name":"Sharepoint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782</v>
      </c>
      <c r="B97" s="7">
        <v>4004</v>
      </c>
      <c r="C97" s="21" t="s">
        <v>202</v>
      </c>
      <c r="D97" s="21" t="s">
        <v>465</v>
      </c>
      <c r="E97" s="13">
        <v>42912.589016203703</v>
      </c>
      <c r="F97" s="13">
        <v>42912.593900462962</v>
      </c>
      <c r="G97" s="7">
        <v>1</v>
      </c>
      <c r="H97" s="21" t="s">
        <v>914</v>
      </c>
      <c r="I97" s="13">
        <v>42912.619525462964</v>
      </c>
      <c r="J97" s="7">
        <v>0</v>
      </c>
      <c r="K97" s="89" t="str">
        <f t="shared" si="30"/>
        <v>4003/4004</v>
      </c>
      <c r="L97" s="21" t="str">
        <f>VLOOKUP(A97,'Trips&amp;Operators'!$C$1:$G$99999,5,FALSE)</f>
        <v>SULLIVAN BRANDON</v>
      </c>
      <c r="M97" s="6">
        <f t="shared" si="31"/>
        <v>2.5625000002037268E-2</v>
      </c>
      <c r="N97" s="7">
        <f t="shared" ref="N97:N134" si="48">24*60*SUM($M97:$M97)</f>
        <v>36.900000002933666</v>
      </c>
      <c r="O97" s="7"/>
      <c r="P97" s="7"/>
      <c r="Q97" s="22"/>
      <c r="R97" s="170"/>
      <c r="S97" s="213">
        <f t="shared" si="32"/>
        <v>1</v>
      </c>
      <c r="T97" s="195" t="str">
        <f t="shared" si="33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4"/>
        <v>https://d0f6bd738d7f1b3e5a7ca70fe4ff75f0.us-east-1.aws.found.io/app/kibana#/discover/Steve-Slow-Train-Analysis-(2080s-and-2083s)?_g=(refreshInterval:(display:Off,pause:!f,section:0,value:0),time:(from:'2017-06-26T13:08:11-0600',mode:absolute,to:'2017-06-26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7" s="197" t="str">
        <f>IF(AA97&lt;VLOOKUP(AG97,Variables!$AC$3:$AD$8,2,FALSE),"Y","N")</f>
        <v>N</v>
      </c>
      <c r="X97" s="197">
        <f t="shared" si="35"/>
        <v>1</v>
      </c>
      <c r="Y97" s="197">
        <f t="shared" si="36"/>
        <v>4.5499999999999999E-2</v>
      </c>
      <c r="Z97" s="197">
        <f t="shared" si="37"/>
        <v>23.332999999999998</v>
      </c>
      <c r="AA97" s="197">
        <f t="shared" si="38"/>
        <v>23.287499999999998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9"/>
        <v>185</v>
      </c>
      <c r="AE97" s="77" t="str">
        <f t="shared" si="40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97" s="74" t="str">
        <f t="shared" si="41"/>
        <v>"C:\Program Files (x86)\AstroGrep\AstroGrep.exe" /e /r /s /spath="%USERPROFILE%\AppData\Local\Temp\OnboardLogs" /stypes="app*4004*20170626*" /stext=" 20:.+((SYSTEM_STATE.+slice.+state.+changed )|(ment ac)|(multiple cpu faults)|(system.+state.+changed )|(\[timeout)|(PRM\|1\|D)|(kpr)|(kdp)|(train st.+moving)|(\|lc)|(penalty))"</v>
      </c>
      <c r="AG97" s="209" t="str">
        <f t="shared" si="42"/>
        <v>EC</v>
      </c>
      <c r="AH97" s="78" t="str">
        <f t="shared" si="44"/>
        <v>"%USERPROFILE%\Documents\GitHub\eaglep3\Utilities\RefineRTDCRunTimes.py" --tripid 185-26 --locoid 4004 --swversion DE.1.0.9.0 --startMP 204:455 --initTime 2017-06-26T14:08:11 --startdatetime 2017-06-26T14:15:13 --delay 1 --endMP 204:233330 --enddatetime 2017-06-26T14:52:07 --enforcementcount 0 &gt;&gt;C:\Users\stu\Documents\GitHub\eaglep3-reporting\EC\2017-06-26-refined-times.txt</v>
      </c>
      <c r="AI97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{"issue":{"subject":"","project_id":79,"tracker_id":40,"status_id":1,"priority_id":2,"assigned_to_id":23,"start_date":"2017-06-26","description":"","custom_fields":[{"id":1,"name":"Subdivision","value":"EC"},{"id":4,"name":"Milepost","value":"23.333"},{"id":17,"name":"Train ID","value":"185-26"},{"id":16,"name":"Locomotive ID","value":"4004"},{"id":130,"name":"Impact","value":""},{"id":150,"name":"Time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6"/>
        <v>start /low /b %USERPROFILE%\Documents\GitHub\eaglep3\Utilities\DownloadLogsFromS3.py --loco 4004 --day 2017-06-26</v>
      </c>
      <c r="AN97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790</v>
      </c>
      <c r="B98" s="7">
        <v>4003</v>
      </c>
      <c r="C98" s="21" t="s">
        <v>202</v>
      </c>
      <c r="D98" s="21" t="s">
        <v>536</v>
      </c>
      <c r="E98" s="13">
        <v>42912.626215277778</v>
      </c>
      <c r="F98" s="13">
        <v>42912.633506944447</v>
      </c>
      <c r="G98" s="7">
        <v>1</v>
      </c>
      <c r="H98" s="21" t="s">
        <v>915</v>
      </c>
      <c r="I98" s="13">
        <v>42912.661574074074</v>
      </c>
      <c r="J98" s="7">
        <v>0</v>
      </c>
      <c r="K98" s="89" t="str">
        <f t="shared" si="30"/>
        <v>4003/4004</v>
      </c>
      <c r="L98" s="21" t="str">
        <f>VLOOKUP(A98,'Trips&amp;Operators'!$C$1:$G$99999,5,FALSE)</f>
        <v>SULLIVAN BRANDON</v>
      </c>
      <c r="M98" s="6">
        <f t="shared" si="31"/>
        <v>2.806712962774327E-2</v>
      </c>
      <c r="N98" s="7">
        <f t="shared" si="48"/>
        <v>40.416666663950309</v>
      </c>
      <c r="O98" s="7"/>
      <c r="P98" s="7"/>
      <c r="Q98" s="22"/>
      <c r="R98" s="170"/>
      <c r="S98" s="213">
        <f t="shared" si="32"/>
        <v>1</v>
      </c>
      <c r="T98" s="195" t="str">
        <f t="shared" si="33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4"/>
        <v>https://d0f6bd738d7f1b3e5a7ca70fe4ff75f0.us-east-1.aws.found.io/app/kibana#/discover/Steve-Slow-Train-Analysis-(2080s-and-2083s)?_g=(refreshInterval:(display:Off,pause:!f,section:0,value:0),time:(from:'2017-06-26T14:01:45-0600',mode:absolute,to:'2017-06-26T16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8" s="197" t="str">
        <f>IF(AA98&lt;VLOOKUP(AG98,Variables!$AC$3:$AD$8,2,FALSE),"Y","N")</f>
        <v>N</v>
      </c>
      <c r="X98" s="197">
        <f t="shared" si="35"/>
        <v>1</v>
      </c>
      <c r="Y98" s="197">
        <f t="shared" si="36"/>
        <v>23.302499999999998</v>
      </c>
      <c r="Z98" s="197">
        <f t="shared" si="37"/>
        <v>0.1154</v>
      </c>
      <c r="AA98" s="197">
        <f t="shared" si="38"/>
        <v>23.187099999999997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9"/>
        <v>186</v>
      </c>
      <c r="AE98" s="77" t="str">
        <f t="shared" si="40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98" s="74" t="str">
        <f t="shared" si="41"/>
        <v>"C:\Program Files (x86)\AstroGrep\AstroGrep.exe" /e /r /s /spath="%USERPROFILE%\AppData\Local\Temp\OnboardLogs" /stypes="app*4003*20170626*" /stext=" 21:.+((SYSTEM_STATE.+slice.+state.+changed )|(ment ac)|(multiple cpu faults)|(system.+state.+changed )|(\[timeout)|(PRM\|1\|D)|(kpr)|(kdp)|(train st.+moving)|(\|lc)|(penalty))"</v>
      </c>
      <c r="AG98" s="209" t="str">
        <f t="shared" si="42"/>
        <v>EC</v>
      </c>
      <c r="AH98" s="78" t="str">
        <f t="shared" si="44"/>
        <v>"%USERPROFILE%\Documents\GitHub\eaglep3\Utilities\RefineRTDCRunTimes.py" --tripid 186-26 --locoid 4003 --swversion DE.1.0.9.0 --startMP 204:233025 --initTime 2017-06-26T15:01:45 --startdatetime 2017-06-26T15:12:15 --delay 1 --endMP 204:1154 --enddatetime 2017-06-26T15:52:40 --enforcementcount 0 &gt;&gt;C:\Users\stu\Documents\GitHub\eaglep3-reporting\EC\2017-06-26-refined-times.txt</v>
      </c>
      <c r="AI98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{"issue":{"subject":"","project_id":79,"tracker_id":40,"status_id":1,"priority_id":2,"assigned_to_id":23,"start_date":"2017-06-26","description":"","custom_fields":[{"id":1,"name":"Subdivision","value":"EC"},{"id":4,"name":"Milepost","value":"0.1154"},{"id":17,"name":"Train ID","value":"186-26"},{"id":16,"name":"Locomotive ID","value":"4003"},{"id":130,"name":"Impact","value":""},{"id":150,"name":"Time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6"/>
        <v>start /low /b %USERPROFILE%\Documents\GitHub\eaglep3\Utilities\DownloadLogsFromS3.py --loco 4003 --day 2017-06-26</v>
      </c>
      <c r="AN98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785</v>
      </c>
      <c r="B99" s="7">
        <v>4056</v>
      </c>
      <c r="C99" s="21" t="s">
        <v>202</v>
      </c>
      <c r="D99" s="21" t="s">
        <v>354</v>
      </c>
      <c r="E99" s="13">
        <v>42912.597870370373</v>
      </c>
      <c r="F99" s="13">
        <v>42912.60434027778</v>
      </c>
      <c r="G99" s="7">
        <v>1</v>
      </c>
      <c r="H99" s="21" t="s">
        <v>916</v>
      </c>
      <c r="I99" s="13">
        <v>42912.629305555558</v>
      </c>
      <c r="J99" s="7">
        <v>0</v>
      </c>
      <c r="K99" s="89" t="str">
        <f t="shared" si="30"/>
        <v>4055/4056</v>
      </c>
      <c r="L99" s="21" t="str">
        <f>VLOOKUP(A99,'Trips&amp;Operators'!$C$1:$G$99999,5,FALSE)</f>
        <v>MCREYNOLDS KYLE</v>
      </c>
      <c r="M99" s="6">
        <f t="shared" si="31"/>
        <v>2.4965277778392192E-2</v>
      </c>
      <c r="N99" s="7">
        <f t="shared" si="48"/>
        <v>35.950000000884756</v>
      </c>
      <c r="O99" s="7"/>
      <c r="P99" s="7"/>
      <c r="Q99" s="22"/>
      <c r="R99" s="170"/>
      <c r="S99" s="213">
        <f t="shared" si="32"/>
        <v>1</v>
      </c>
      <c r="T99" s="195" t="str">
        <f t="shared" si="33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4"/>
        <v>https://d0f6bd738d7f1b3e5a7ca70fe4ff75f0.us-east-1.aws.found.io/app/kibana#/discover/Steve-Slow-Train-Analysis-(2080s-and-2083s)?_g=(refreshInterval:(display:Off,pause:!f,section:0,value:0),time:(from:'2017-06-26T13:20:56-0600',mode:absolute,to:'2017-06-26T16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197" t="str">
        <f>IF(AA99&lt;VLOOKUP(AG99,Variables!$AC$3:$AD$8,2,FALSE),"Y","N")</f>
        <v>N</v>
      </c>
      <c r="X99" s="197">
        <f t="shared" si="35"/>
        <v>1</v>
      </c>
      <c r="Y99" s="197">
        <f t="shared" si="36"/>
        <v>4.53E-2</v>
      </c>
      <c r="Z99" s="197">
        <f t="shared" si="37"/>
        <v>23.338699999999999</v>
      </c>
      <c r="AA99" s="197">
        <f t="shared" si="38"/>
        <v>23.293399999999998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9"/>
        <v>187</v>
      </c>
      <c r="AE99" s="77" t="str">
        <f t="shared" si="40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99" s="74" t="str">
        <f t="shared" si="41"/>
        <v>"C:\Program Files (x86)\AstroGrep\AstroGrep.exe" /e /r /s /spath="%USERPROFILE%\AppData\Local\Temp\OnboardLogs" /stypes="app*4056*20170626*" /stext=" 21:.+((SYSTEM_STATE.+slice.+state.+changed )|(ment ac)|(multiple cpu faults)|(system.+state.+changed )|(\[timeout)|(PRM\|1\|D)|(kpr)|(kdp)|(train st.+moving)|(\|lc)|(penalty))"</v>
      </c>
      <c r="AG99" s="209" t="str">
        <f t="shared" si="42"/>
        <v>EC</v>
      </c>
      <c r="AH99" s="78" t="str">
        <f t="shared" si="44"/>
        <v>"%USERPROFILE%\Documents\GitHub\eaglep3\Utilities\RefineRTDCRunTimes.py" --tripid 187-26 --locoid 4056 --swversion DE.1.0.9.0 --startMP 204:453 --initTime 2017-06-26T14:20:56 --startdatetime 2017-06-26T14:30:15 --delay 1 --endMP 204:233387 --enddatetime 2017-06-26T15:06:12 --enforcementcount 0 &gt;&gt;C:\Users\stu\Documents\GitHub\eaglep3-reporting\EC\2017-06-26-refined-times.txt</v>
      </c>
      <c r="AI99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{"issue":{"subject":"","project_id":79,"tracker_id":40,"status_id":1,"priority_id":2,"assigned_to_id":23,"start_date":"2017-06-26","description":"","custom_fields":[{"id":1,"name":"Subdivision","value":"EC"},{"id":4,"name":"Milepost","value":"23.3387"},{"id":17,"name":"Train ID","value":"187-26"},{"id":16,"name":"Locomotive ID","value":"4056"},{"id":130,"name":"Impact","value":""},{"id":150,"name":"Time of Event (Mountain Time)","value":"15:06:12"},{"id":151,"name":"Denver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6"/>
        <v>start /low /b %USERPROFILE%\Documents\GitHub\eaglep3\Utilities\DownloadLogsFromS3.py --loco 4056 --day 2017-06-26</v>
      </c>
      <c r="AN99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794</v>
      </c>
      <c r="B100" s="7">
        <v>4055</v>
      </c>
      <c r="C100" s="21" t="s">
        <v>202</v>
      </c>
      <c r="D100" s="21" t="s">
        <v>606</v>
      </c>
      <c r="E100" s="13">
        <v>42912.638506944444</v>
      </c>
      <c r="F100" s="13">
        <v>42912.643946759257</v>
      </c>
      <c r="G100" s="7">
        <v>1</v>
      </c>
      <c r="H100" s="21" t="s">
        <v>349</v>
      </c>
      <c r="I100" s="13">
        <v>42912.670069444444</v>
      </c>
      <c r="J100" s="7">
        <v>0</v>
      </c>
      <c r="K100" s="89" t="str">
        <f t="shared" si="30"/>
        <v>4055/4056</v>
      </c>
      <c r="L100" s="21" t="str">
        <f>VLOOKUP(A100,'Trips&amp;Operators'!$C$1:$G$99999,5,FALSE)</f>
        <v>MCREYNOLDS KYLE</v>
      </c>
      <c r="M100" s="6">
        <f t="shared" si="31"/>
        <v>2.6122685187146999E-2</v>
      </c>
      <c r="N100" s="7">
        <f t="shared" si="48"/>
        <v>37.616666669491678</v>
      </c>
      <c r="O100" s="7"/>
      <c r="P100" s="7"/>
      <c r="Q100" s="22"/>
      <c r="R100" s="170"/>
      <c r="S100" s="213">
        <f t="shared" si="32"/>
        <v>1</v>
      </c>
      <c r="T100" s="195" t="str">
        <f t="shared" si="33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4"/>
        <v>https://d0f6bd738d7f1b3e5a7ca70fe4ff75f0.us-east-1.aws.found.io/app/kibana#/discover/Steve-Slow-Train-Analysis-(2080s-and-2083s)?_g=(refreshInterval:(display:Off,pause:!f,section:0,value:0),time:(from:'2017-06-26T14:19:27-0600',mode:absolute,to:'2017-06-26T17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197" t="str">
        <f>IF(AA100&lt;VLOOKUP(AG100,Variables!$AC$3:$AD$8,2,FALSE),"Y","N")</f>
        <v>N</v>
      </c>
      <c r="X100" s="197">
        <f t="shared" si="35"/>
        <v>1</v>
      </c>
      <c r="Y100" s="197">
        <f t="shared" si="36"/>
        <v>23.31</v>
      </c>
      <c r="Z100" s="197">
        <f t="shared" si="37"/>
        <v>1.49E-2</v>
      </c>
      <c r="AA100" s="197">
        <f t="shared" si="38"/>
        <v>23.295099999999998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9"/>
        <v>188</v>
      </c>
      <c r="AE100" s="77" t="str">
        <f t="shared" si="40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100" s="74" t="str">
        <f t="shared" si="41"/>
        <v>"C:\Program Files (x86)\AstroGrep\AstroGrep.exe" /e /r /s /spath="%USERPROFILE%\AppData\Local\Temp\OnboardLogs" /stypes="app*4055*20170626*" /stext=" 22:.+((SYSTEM_STATE.+slice.+state.+changed )|(ment ac)|(multiple cpu faults)|(system.+state.+changed )|(\[timeout)|(PRM\|1\|D)|(kpr)|(kdp)|(train st.+moving)|(\|lc)|(penalty))"</v>
      </c>
      <c r="AG100" s="209" t="str">
        <f t="shared" si="42"/>
        <v>EC</v>
      </c>
      <c r="AH100" s="78" t="str">
        <f t="shared" si="44"/>
        <v>"%USERPROFILE%\Documents\GitHub\eaglep3\Utilities\RefineRTDCRunTimes.py" --tripid 188-26 --locoid 4055 --swversion DE.1.0.9.0 --startMP 204:233100 --initTime 2017-06-26T15:19:27 --startdatetime 2017-06-26T15:27:17 --delay 1 --endMP 204:149 --enddatetime 2017-06-26T16:04:54 --enforcementcount 0 &gt;&gt;C:\Users\stu\Documents\GitHub\eaglep3-reporting\EC\2017-06-26-refined-times.txt</v>
      </c>
      <c r="AI10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{"issue":{"subject":"","project_id":79,"tracker_id":40,"status_id":1,"priority_id":2,"assigned_to_id":23,"start_date":"2017-06-26","description":"","custom_fields":[{"id":1,"name":"Subdivision","value":"EC"},{"id":4,"name":"Milepost","value":"0.0149"},{"id":17,"name":"Train ID","value":"188-26"},{"id":16,"name":"Locomotive ID","value":"4055"},{"id":130,"name":"Impact","value":""},{"id":150,"name":"Time of Event (Mountain Time)","value":"16:04:54"},{"id":151,"name":"Denver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6"/>
        <v>start /low /b %USERPROFILE%\Documents\GitHub\eaglep3\Utilities\DownloadLogsFromS3.py --loco 4055 --day 2017-06-26</v>
      </c>
      <c r="AN100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788</v>
      </c>
      <c r="B101" s="7">
        <v>4054</v>
      </c>
      <c r="C101" s="21" t="s">
        <v>202</v>
      </c>
      <c r="D101" s="21" t="s">
        <v>347</v>
      </c>
      <c r="E101" s="13">
        <v>42912.612800925926</v>
      </c>
      <c r="F101" s="13">
        <v>42912.61515046296</v>
      </c>
      <c r="G101" s="7">
        <v>1</v>
      </c>
      <c r="H101" s="21" t="s">
        <v>917</v>
      </c>
      <c r="I101" s="13">
        <v>42912.64135416667</v>
      </c>
      <c r="J101" s="7">
        <v>0</v>
      </c>
      <c r="K101" s="89" t="str">
        <f t="shared" si="30"/>
        <v>4053/4054</v>
      </c>
      <c r="L101" s="21" t="str">
        <f>VLOOKUP(A101,'Trips&amp;Operators'!$C$1:$G$99999,5,FALSE)</f>
        <v>DAVIS MICHAEL</v>
      </c>
      <c r="M101" s="6">
        <f t="shared" si="31"/>
        <v>2.620370371005265E-2</v>
      </c>
      <c r="N101" s="7">
        <f t="shared" si="48"/>
        <v>37.733333342475817</v>
      </c>
      <c r="O101" s="7"/>
      <c r="P101" s="7"/>
      <c r="Q101" s="22"/>
      <c r="R101" s="170"/>
      <c r="S101" s="213">
        <f t="shared" si="32"/>
        <v>1</v>
      </c>
      <c r="T101" s="195" t="str">
        <f t="shared" si="33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4"/>
        <v>https://d0f6bd738d7f1b3e5a7ca70fe4ff75f0.us-east-1.aws.found.io/app/kibana#/discover/Steve-Slow-Train-Analysis-(2080s-and-2083s)?_g=(refreshInterval:(display:Off,pause:!f,section:0,value:0),time:(from:'2017-06-26T13:42:26-0600',mode:absolute,to:'2017-06-26T16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7" t="str">
        <f>IF(AA101&lt;VLOOKUP(AG101,Variables!$AC$3:$AD$8,2,FALSE),"Y","N")</f>
        <v>N</v>
      </c>
      <c r="X101" s="197">
        <f t="shared" si="35"/>
        <v>1</v>
      </c>
      <c r="Y101" s="197">
        <f t="shared" si="36"/>
        <v>4.4600000000000001E-2</v>
      </c>
      <c r="Z101" s="197">
        <f t="shared" si="37"/>
        <v>23.328199999999999</v>
      </c>
      <c r="AA101" s="197">
        <f t="shared" si="38"/>
        <v>23.2836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9"/>
        <v>189</v>
      </c>
      <c r="AE101" s="77" t="str">
        <f t="shared" si="40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101" s="74" t="str">
        <f t="shared" si="41"/>
        <v>"C:\Program Files (x86)\AstroGrep\AstroGrep.exe" /e /r /s /spath="%USERPROFILE%\AppData\Local\Temp\OnboardLogs" /stypes="app*4054*20170626*" /stext=" 21:.+((SYSTEM_STATE.+slice.+state.+changed )|(ment ac)|(multiple cpu faults)|(system.+state.+changed )|(\[timeout)|(PRM\|1\|D)|(kpr)|(kdp)|(train st.+moving)|(\|lc)|(penalty))"</v>
      </c>
      <c r="AG101" s="209" t="str">
        <f t="shared" si="42"/>
        <v>EC</v>
      </c>
      <c r="AH101" s="78" t="str">
        <f t="shared" si="44"/>
        <v>"%USERPROFILE%\Documents\GitHub\eaglep3\Utilities\RefineRTDCRunTimes.py" --tripid 189-26 --locoid 4054 --swversion DE.1.0.9.0 --startMP 204:446 --initTime 2017-06-26T14:42:26 --startdatetime 2017-06-26T14:45:49 --delay 1 --endMP 204:233282 --enddatetime 2017-06-26T15:23:33 --enforcementcount 0 &gt;&gt;C:\Users\stu\Documents\GitHub\eaglep3-reporting\EC\2017-06-26-refined-times.txt</v>
      </c>
      <c r="AI10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{"issue":{"subject":"","project_id":79,"tracker_id":40,"status_id":1,"priority_id":2,"assigned_to_id":23,"start_date":"2017-06-26","description":"","custom_fields":[{"id":1,"name":"Subdivision","value":"EC"},{"id":4,"name":"Milepost","value":"23.3282"},{"id":17,"name":"Train ID","value":"189-26"},{"id":16,"name":"Locomotive ID","value":"4054"},{"id":130,"name":"Impact","value":""},{"id":150,"name":"Time of Event (Mountain Time)","value":"15:23:33"},{"id":151,"name":"Denver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6"/>
        <v>start /low /b %USERPROFILE%\Documents\GitHub\eaglep3\Utilities\DownloadLogsFromS3.py --loco 4054 --day 2017-06-26</v>
      </c>
      <c r="AN101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800</v>
      </c>
      <c r="B102" s="7">
        <v>4053</v>
      </c>
      <c r="C102" s="21" t="s">
        <v>202</v>
      </c>
      <c r="D102" s="21" t="s">
        <v>577</v>
      </c>
      <c r="E102" s="13">
        <v>42912.651435185187</v>
      </c>
      <c r="F102" s="13">
        <v>42912.654756944445</v>
      </c>
      <c r="G102" s="7">
        <v>1</v>
      </c>
      <c r="H102" s="21" t="s">
        <v>359</v>
      </c>
      <c r="I102" s="13">
        <v>42912.682152777779</v>
      </c>
      <c r="J102" s="7">
        <v>0</v>
      </c>
      <c r="K102" s="89" t="str">
        <f t="shared" si="30"/>
        <v>4053/4054</v>
      </c>
      <c r="L102" s="21" t="str">
        <f>VLOOKUP(A102,'Trips&amp;Operators'!$C$1:$G$99999,5,FALSE)</f>
        <v>DAVIS MICHAEL</v>
      </c>
      <c r="M102" s="6">
        <f t="shared" si="31"/>
        <v>2.7395833334594499E-2</v>
      </c>
      <c r="N102" s="7">
        <f t="shared" si="48"/>
        <v>39.450000001816079</v>
      </c>
      <c r="O102" s="7"/>
      <c r="P102" s="7"/>
      <c r="Q102" s="22"/>
      <c r="R102" s="170"/>
      <c r="S102" s="213">
        <f t="shared" si="32"/>
        <v>1</v>
      </c>
      <c r="T102" s="195" t="str">
        <f t="shared" si="33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4"/>
        <v>https://d0f6bd738d7f1b3e5a7ca70fe4ff75f0.us-east-1.aws.found.io/app/kibana#/discover/Steve-Slow-Train-Analysis-(2080s-and-2083s)?_g=(refreshInterval:(display:Off,pause:!f,section:0,value:0),time:(from:'2017-06-26T14:38:04-0600',mode:absolute,to:'2017-06-26T17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7" t="str">
        <f>IF(AA102&lt;VLOOKUP(AG102,Variables!$AC$3:$AD$8,2,FALSE),"Y","N")</f>
        <v>N</v>
      </c>
      <c r="X102" s="197">
        <f t="shared" si="35"/>
        <v>1</v>
      </c>
      <c r="Y102" s="197">
        <f t="shared" si="36"/>
        <v>23.298999999999999</v>
      </c>
      <c r="Z102" s="197">
        <f t="shared" si="37"/>
        <v>1.47E-2</v>
      </c>
      <c r="AA102" s="197">
        <f t="shared" si="38"/>
        <v>23.284299999999998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9"/>
        <v>190</v>
      </c>
      <c r="AE102" s="77" t="str">
        <f t="shared" si="40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102" s="74" t="str">
        <f t="shared" si="41"/>
        <v>"C:\Program Files (x86)\AstroGrep\AstroGrep.exe" /e /r /s /spath="%USERPROFILE%\AppData\Local\Temp\OnboardLogs" /stypes="app*4053*20170626*" /stext=" 22:.+((SYSTEM_STATE.+slice.+state.+changed )|(ment ac)|(multiple cpu faults)|(system.+state.+changed )|(\[timeout)|(PRM\|1\|D)|(kpr)|(kdp)|(train st.+moving)|(\|lc)|(penalty))"</v>
      </c>
      <c r="AG102" s="209" t="str">
        <f t="shared" si="42"/>
        <v>EC</v>
      </c>
      <c r="AH102" s="78" t="str">
        <f t="shared" si="44"/>
        <v>"%USERPROFILE%\Documents\GitHub\eaglep3\Utilities\RefineRTDCRunTimes.py" --tripid 190-26 --locoid 4053 --swversion DE.1.0.9.0 --startMP 204:232990 --initTime 2017-06-26T15:38:04 --startdatetime 2017-06-26T15:42:51 --delay 1 --endMP 204:147 --enddatetime 2017-06-26T16:22:18 --enforcementcount 0 &gt;&gt;C:\Users\stu\Documents\GitHub\eaglep3-reporting\EC\2017-06-26-refined-times.txt</v>
      </c>
      <c r="AI10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{"issue":{"subject":"","project_id":79,"tracker_id":40,"status_id":1,"priority_id":2,"assigned_to_id":23,"start_date":"2017-06-26","description":"","custom_fields":[{"id":1,"name":"Subdivision","value":"EC"},{"id":4,"name":"Milepost","value":"0.0147"},{"id":17,"name":"Train ID","value":"190-26"},{"id":16,"name":"Locomotive ID","value":"4053"},{"id":130,"name":"Impact","value":""},{"id":150,"name":"Time of Event (Mountain Time)","value":"16:22:18"},{"id":151,"name":"Denver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6"/>
        <v>start /low /b %USERPROFILE%\Documents\GitHub\eaglep3\Utilities\DownloadLogsFromS3.py --loco 4053 --day 2017-06-26</v>
      </c>
      <c r="AN102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789</v>
      </c>
      <c r="B103" s="7">
        <v>4014</v>
      </c>
      <c r="C103" s="21" t="s">
        <v>202</v>
      </c>
      <c r="D103" s="21" t="s">
        <v>198</v>
      </c>
      <c r="E103" s="13">
        <v>42912.619131944448</v>
      </c>
      <c r="F103" s="13">
        <v>42912.6253125</v>
      </c>
      <c r="G103" s="7">
        <v>1</v>
      </c>
      <c r="H103" s="21" t="s">
        <v>918</v>
      </c>
      <c r="I103" s="13">
        <v>42912.649594907409</v>
      </c>
      <c r="J103" s="7">
        <v>0</v>
      </c>
      <c r="K103" s="89" t="str">
        <f t="shared" si="30"/>
        <v>4013/4014</v>
      </c>
      <c r="L103" s="21" t="str">
        <f>VLOOKUP(A103,'Trips&amp;Operators'!$C$1:$G$99999,5,FALSE)</f>
        <v>ROMERO CHAD</v>
      </c>
      <c r="M103" s="6">
        <f t="shared" si="31"/>
        <v>2.4282407408463769E-2</v>
      </c>
      <c r="N103" s="7">
        <f t="shared" si="48"/>
        <v>34.966666668187827</v>
      </c>
      <c r="O103" s="7"/>
      <c r="P103" s="7"/>
      <c r="Q103" s="22"/>
      <c r="R103" s="170"/>
      <c r="S103" s="213">
        <f t="shared" si="32"/>
        <v>1</v>
      </c>
      <c r="T103" s="195" t="str">
        <f t="shared" si="33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4"/>
        <v>https://d0f6bd738d7f1b3e5a7ca70fe4ff75f0.us-east-1.aws.found.io/app/kibana#/discover/Steve-Slow-Train-Analysis-(2080s-and-2083s)?_g=(refreshInterval:(display:Off,pause:!f,section:0,value:0),time:(from:'2017-06-26T13:51:33-0600',mode:absolute,to:'2017-06-26T16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197" t="str">
        <f>IF(AA103&lt;VLOOKUP(AG103,Variables!$AC$3:$AD$8,2,FALSE),"Y","N")</f>
        <v>N</v>
      </c>
      <c r="X103" s="197">
        <f t="shared" si="35"/>
        <v>1</v>
      </c>
      <c r="Y103" s="197">
        <f t="shared" si="36"/>
        <v>4.5699999999999998E-2</v>
      </c>
      <c r="Z103" s="197">
        <f t="shared" si="37"/>
        <v>23.341200000000001</v>
      </c>
      <c r="AA103" s="197">
        <f t="shared" si="38"/>
        <v>23.295500000000001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9"/>
        <v>191</v>
      </c>
      <c r="AE103" s="77" t="str">
        <f t="shared" si="40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103" s="74" t="str">
        <f t="shared" si="41"/>
        <v>"C:\Program Files (x86)\AstroGrep\AstroGrep.exe" /e /r /s /spath="%USERPROFILE%\AppData\Local\Temp\OnboardLogs" /stypes="app*4014*20170626*" /stext=" 21:.+((SYSTEM_STATE.+slice.+state.+changed )|(ment ac)|(multiple cpu faults)|(system.+state.+changed )|(\[timeout)|(PRM\|1\|D)|(kpr)|(kdp)|(train st.+moving)|(\|lc)|(penalty))"</v>
      </c>
      <c r="AG103" s="209" t="str">
        <f t="shared" si="42"/>
        <v>EC</v>
      </c>
      <c r="AH103" s="78" t="str">
        <f t="shared" si="44"/>
        <v>"%USERPROFILE%\Documents\GitHub\eaglep3\Utilities\RefineRTDCRunTimes.py" --tripid 191-26 --locoid 4014 --swversion DE.1.0.9.0 --startMP 204:457 --initTime 2017-06-26T14:51:33 --startdatetime 2017-06-26T15:00:27 --delay 1 --endMP 204:233412 --enddatetime 2017-06-26T15:35:25 --enforcementcount 0 &gt;&gt;C:\Users\stu\Documents\GitHub\eaglep3-reporting\EC\2017-06-26-refined-times.txt</v>
      </c>
      <c r="AI103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{"issue":{"subject":"","project_id":79,"tracker_id":40,"status_id":1,"priority_id":2,"assigned_to_id":23,"start_date":"2017-06-26","description":"","custom_fields":[{"id":1,"name":"Subdivision","value":"EC"},{"id":4,"name":"Milepost","value":"23.3412"},{"id":17,"name":"Train ID","value":"191-26"},{"id":16,"name":"Locomotive ID","value":"4014"},{"id":130,"name":"Impact","value":""},{"id":150,"name":"Time of Event (Mountain Time)","value":"15:35:25"},{"id":151,"name":"Denver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6"/>
        <v>start /low /b %USERPROFILE%\Documents\GitHub\eaglep3\Utilities\DownloadLogsFromS3.py --loco 4014 --day 2017-06-26</v>
      </c>
      <c r="AN103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799</v>
      </c>
      <c r="B104" s="7">
        <v>4013</v>
      </c>
      <c r="C104" s="21" t="s">
        <v>202</v>
      </c>
      <c r="D104" s="21" t="s">
        <v>919</v>
      </c>
      <c r="E104" s="13">
        <v>42912.651458333334</v>
      </c>
      <c r="F104" s="13">
        <v>42912.664733796293</v>
      </c>
      <c r="G104" s="7">
        <v>1</v>
      </c>
      <c r="H104" s="21" t="s">
        <v>348</v>
      </c>
      <c r="I104" s="13">
        <v>42912.689953703702</v>
      </c>
      <c r="J104" s="7">
        <v>0</v>
      </c>
      <c r="K104" s="89" t="str">
        <f t="shared" si="30"/>
        <v>4013/4014</v>
      </c>
      <c r="L104" s="21" t="str">
        <f>VLOOKUP(A104,'Trips&amp;Operators'!$C$1:$G$99999,5,FALSE)</f>
        <v>ROMERO CHAD</v>
      </c>
      <c r="M104" s="6">
        <f t="shared" si="31"/>
        <v>2.5219907409336884E-2</v>
      </c>
      <c r="N104" s="7">
        <f t="shared" si="48"/>
        <v>36.316666669445112</v>
      </c>
      <c r="O104" s="7"/>
      <c r="P104" s="7"/>
      <c r="Q104" s="22"/>
      <c r="R104" s="170"/>
      <c r="S104" s="213">
        <f t="shared" si="32"/>
        <v>1</v>
      </c>
      <c r="T104" s="195" t="str">
        <f t="shared" si="33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4"/>
        <v>https://d0f6bd738d7f1b3e5a7ca70fe4ff75f0.us-east-1.aws.found.io/app/kibana#/discover/Steve-Slow-Train-Analysis-(2080s-and-2083s)?_g=(refreshInterval:(display:Off,pause:!f,section:0,value:0),time:(from:'2017-06-26T14:38:06-0600',mode:absolute,to:'2017-06-26T17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197" t="str">
        <f>IF(AA104&lt;VLOOKUP(AG104,Variables!$AC$3:$AD$8,2,FALSE),"Y","N")</f>
        <v>N</v>
      </c>
      <c r="X104" s="197">
        <f t="shared" si="35"/>
        <v>1</v>
      </c>
      <c r="Y104" s="197">
        <f t="shared" si="36"/>
        <v>23.306799999999999</v>
      </c>
      <c r="Z104" s="197">
        <f t="shared" si="37"/>
        <v>1.4999999999999999E-2</v>
      </c>
      <c r="AA104" s="197">
        <f t="shared" si="38"/>
        <v>23.291799999999999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9"/>
        <v>192</v>
      </c>
      <c r="AE104" s="77" t="str">
        <f t="shared" si="40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104" s="74" t="str">
        <f t="shared" si="41"/>
        <v>"C:\Program Files (x86)\AstroGrep\AstroGrep.exe" /e /r /s /spath="%USERPROFILE%\AppData\Local\Temp\OnboardLogs" /stypes="app*4013*20170626*" /stext=" 22:.+((SYSTEM_STATE.+slice.+state.+changed )|(ment ac)|(multiple cpu faults)|(system.+state.+changed )|(\[timeout)|(PRM\|1\|D)|(kpr)|(kdp)|(train st.+moving)|(\|lc)|(penalty))"</v>
      </c>
      <c r="AG104" s="209" t="str">
        <f t="shared" si="42"/>
        <v>EC</v>
      </c>
      <c r="AH104" s="78" t="str">
        <f t="shared" si="44"/>
        <v>"%USERPROFILE%\Documents\GitHub\eaglep3\Utilities\RefineRTDCRunTimes.py" --tripid 192-26 --locoid 4013 --swversion DE.1.0.9.0 --startMP 204:233068 --initTime 2017-06-26T15:38:06 --startdatetime 2017-06-26T15:57:13 --delay 1 --endMP 204:150 --enddatetime 2017-06-26T16:33:32 --enforcementcount 0 &gt;&gt;C:\Users\stu\Documents\GitHub\eaglep3-reporting\EC\2017-06-26-refined-times.txt</v>
      </c>
      <c r="AI104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{"issue":{"subject":"","project_id":79,"tracker_id":40,"status_id":1,"priority_id":2,"assigned_to_id":23,"start_date":"2017-06-26","description":"","custom_fields":[{"id":1,"name":"Subdivision","value":"EC"},{"id":4,"name":"Milepost","value":"0.015"},{"id":17,"name":"Train ID","value":"192-26"},{"id":16,"name":"Locomotive ID","value":"4013"},{"id":130,"name":"Impact","value":""},{"id":150,"name":"Time of Event (Mountain Time)","value":"16:33:32"},{"id":151,"name":"Denver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6"/>
        <v>start /low /b %USERPROFILE%\Documents\GitHub\eaglep3\Utilities\DownloadLogsFromS3.py --loco 4013 --day 2017-06-26</v>
      </c>
      <c r="AN104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792</v>
      </c>
      <c r="B105" s="7">
        <v>4030</v>
      </c>
      <c r="C105" s="21" t="s">
        <v>202</v>
      </c>
      <c r="D105" s="21" t="s">
        <v>352</v>
      </c>
      <c r="E105" s="13">
        <v>42912.631053240744</v>
      </c>
      <c r="F105" s="13">
        <v>42912.635752314818</v>
      </c>
      <c r="G105" s="7">
        <v>1</v>
      </c>
      <c r="H105" s="21" t="s">
        <v>920</v>
      </c>
      <c r="I105" s="13">
        <v>42912.662314814814</v>
      </c>
      <c r="J105" s="7">
        <v>0</v>
      </c>
      <c r="K105" s="89" t="str">
        <f t="shared" si="30"/>
        <v>4029/4030</v>
      </c>
      <c r="L105" s="21" t="str">
        <f>VLOOKUP(A105,'Trips&amp;Operators'!$C$1:$G$99999,5,FALSE)</f>
        <v>LEVERE CRAIG</v>
      </c>
      <c r="M105" s="6">
        <f t="shared" si="31"/>
        <v>2.6562499995634425E-2</v>
      </c>
      <c r="N105" s="7">
        <f t="shared" si="48"/>
        <v>38.249999993713573</v>
      </c>
      <c r="O105" s="7"/>
      <c r="P105" s="7"/>
      <c r="Q105" s="22"/>
      <c r="R105" s="170"/>
      <c r="S105" s="213">
        <f t="shared" si="32"/>
        <v>1</v>
      </c>
      <c r="T105" s="195" t="str">
        <f t="shared" si="33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4"/>
        <v>https://d0f6bd738d7f1b3e5a7ca70fe4ff75f0.us-east-1.aws.found.io/app/kibana#/discover/Steve-Slow-Train-Analysis-(2080s-and-2083s)?_g=(refreshInterval:(display:Off,pause:!f,section:0,value:0),time:(from:'2017-06-26T14:08:43-0600',mode:absolute,to:'2017-06-26T16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197" t="str">
        <f>IF(AA105&lt;VLOOKUP(AG105,Variables!$AC$3:$AD$8,2,FALSE),"Y","N")</f>
        <v>N</v>
      </c>
      <c r="X105" s="197">
        <f t="shared" si="35"/>
        <v>1</v>
      </c>
      <c r="Y105" s="197">
        <f t="shared" si="36"/>
        <v>4.5100000000000001E-2</v>
      </c>
      <c r="Z105" s="197">
        <f t="shared" si="37"/>
        <v>23.3337</v>
      </c>
      <c r="AA105" s="197">
        <f t="shared" si="38"/>
        <v>23.288599999999999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9"/>
        <v>193</v>
      </c>
      <c r="AE105" s="77" t="str">
        <f t="shared" si="40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105" s="74" t="str">
        <f t="shared" si="41"/>
        <v>"C:\Program Files (x86)\AstroGrep\AstroGrep.exe" /e /r /s /spath="%USERPROFILE%\AppData\Local\Temp\OnboardLogs" /stypes="app*4030*20170626*" /stext=" 21:.+((SYSTEM_STATE.+slice.+state.+changed )|(ment ac)|(multiple cpu faults)|(system.+state.+changed )|(\[timeout)|(PRM\|1\|D)|(kpr)|(kdp)|(train st.+moving)|(\|lc)|(penalty))"</v>
      </c>
      <c r="AG105" s="209" t="str">
        <f t="shared" si="42"/>
        <v>EC</v>
      </c>
      <c r="AH105" s="78" t="str">
        <f t="shared" si="44"/>
        <v>"%USERPROFILE%\Documents\GitHub\eaglep3\Utilities\RefineRTDCRunTimes.py" --tripid 193-26 --locoid 4030 --swversion DE.1.0.9.0 --startMP 204:451 --initTime 2017-06-26T15:08:43 --startdatetime 2017-06-26T15:15:29 --delay 1 --endMP 204:233337 --enddatetime 2017-06-26T15:53:44 --enforcementcount 0 &gt;&gt;C:\Users\stu\Documents\GitHub\eaglep3-reporting\EC\2017-06-26-refined-times.txt</v>
      </c>
      <c r="AI105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{"issue":{"subject":"","project_id":79,"tracker_id":40,"status_id":1,"priority_id":2,"assigned_to_id":23,"start_date":"2017-06-26","description":"","custom_fields":[{"id":1,"name":"Subdivision","value":"EC"},{"id":4,"name":"Milepost","value":"23.3337"},{"id":17,"name":"Train ID","value":"193-26"},{"id":16,"name":"Locomotive ID","value":"4030"},{"id":130,"name":"Impact","value":""},{"id":150,"name":"Time of Event (Mountain Time)","value":"15:53:44"},{"id":151,"name":"Denver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6"/>
        <v>start /low /b %USERPROFILE%\Documents\GitHub\eaglep3\Utilities\DownloadLogsFromS3.py --loco 4030 --day 2017-06-26</v>
      </c>
      <c r="AN105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804</v>
      </c>
      <c r="B106" s="7">
        <v>4029</v>
      </c>
      <c r="C106" s="21" t="s">
        <v>202</v>
      </c>
      <c r="D106" s="21" t="s">
        <v>921</v>
      </c>
      <c r="E106" s="13">
        <v>42912.667615740742</v>
      </c>
      <c r="F106" s="13">
        <v>42912.675509259258</v>
      </c>
      <c r="G106" s="7">
        <v>1</v>
      </c>
      <c r="H106" s="21" t="s">
        <v>436</v>
      </c>
      <c r="I106" s="13">
        <v>42912.701921296299</v>
      </c>
      <c r="J106" s="7">
        <v>0</v>
      </c>
      <c r="K106" s="89" t="str">
        <f t="shared" si="30"/>
        <v>4029/4030</v>
      </c>
      <c r="L106" s="21" t="str">
        <f>VLOOKUP(A106,'Trips&amp;Operators'!$C$1:$G$99999,5,FALSE)</f>
        <v>LEVERE CRAIG</v>
      </c>
      <c r="M106" s="6">
        <f t="shared" si="31"/>
        <v>2.641203704115469E-2</v>
      </c>
      <c r="N106" s="7">
        <f t="shared" si="48"/>
        <v>38.033333339262754</v>
      </c>
      <c r="O106" s="7"/>
      <c r="P106" s="7"/>
      <c r="Q106" s="22"/>
      <c r="R106" s="170"/>
      <c r="S106" s="213">
        <f t="shared" si="32"/>
        <v>1</v>
      </c>
      <c r="T106" s="195" t="str">
        <f t="shared" si="33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4"/>
        <v>https://d0f6bd738d7f1b3e5a7ca70fe4ff75f0.us-east-1.aws.found.io/app/kibana#/discover/Steve-Slow-Train-Analysis-(2080s-and-2083s)?_g=(refreshInterval:(display:Off,pause:!f,section:0,value:0),time:(from:'2017-06-26T15:01:22-0600',mode:absolute,to:'2017-06-26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197" t="str">
        <f>IF(AA106&lt;VLOOKUP(AG106,Variables!$AC$3:$AD$8,2,FALSE),"Y","N")</f>
        <v>N</v>
      </c>
      <c r="X106" s="197">
        <f t="shared" si="35"/>
        <v>1</v>
      </c>
      <c r="Y106" s="197">
        <f t="shared" si="36"/>
        <v>23.300899999999999</v>
      </c>
      <c r="Z106" s="197">
        <f t="shared" si="37"/>
        <v>1.5599999999999999E-2</v>
      </c>
      <c r="AA106" s="197">
        <f t="shared" si="38"/>
        <v>23.285299999999999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9"/>
        <v>194</v>
      </c>
      <c r="AE106" s="77" t="str">
        <f t="shared" si="40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106" s="74" t="str">
        <f t="shared" si="41"/>
        <v>"C:\Program Files (x86)\AstroGrep\AstroGrep.exe" /e /r /s /spath="%USERPROFILE%\AppData\Local\Temp\OnboardLogs" /stypes="app*4029*20170626*" /stext=" 22:.+((SYSTEM_STATE.+slice.+state.+changed )|(ment ac)|(multiple cpu faults)|(system.+state.+changed )|(\[timeout)|(PRM\|1\|D)|(kpr)|(kdp)|(train st.+moving)|(\|lc)|(penalty))"</v>
      </c>
      <c r="AG106" s="209" t="str">
        <f t="shared" si="42"/>
        <v>EC</v>
      </c>
      <c r="AH106" s="78" t="str">
        <f t="shared" si="44"/>
        <v>"%USERPROFILE%\Documents\GitHub\eaglep3\Utilities\RefineRTDCRunTimes.py" --tripid 194-26 --locoid 4029 --swversion DE.1.0.9.0 --startMP 204:233009 --initTime 2017-06-26T16:01:22 --startdatetime 2017-06-26T16:12:44 --delay 1 --endMP 204:156 --enddatetime 2017-06-26T16:50:46 --enforcementcount 0 &gt;&gt;C:\Users\stu\Documents\GitHub\eaglep3-reporting\EC\2017-06-26-refined-times.txt</v>
      </c>
      <c r="AI106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{"issue":{"subject":"","project_id":79,"tracker_id":40,"status_id":1,"priority_id":2,"assigned_to_id":23,"start_date":"2017-06-26","description":"","custom_fields":[{"id":1,"name":"Subdivision","value":"EC"},{"id":4,"name":"Milepost","value":"0.0156"},{"id":17,"name":"Train ID","value":"194-26"},{"id":16,"name":"Locomotive ID","value":"4029"},{"id":130,"name":"Impact","value":""},{"id":150,"name":"Time of Event (Mountain Time)","value":"16:50:46"},{"id":151,"name":"Denver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6"/>
        <v>start /low /b %USERPROFILE%\Documents\GitHub\eaglep3\Utilities\DownloadLogsFromS3.py --loco 4029 --day 2017-06-26</v>
      </c>
      <c r="AN106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795</v>
      </c>
      <c r="B107" s="7">
        <v>4058</v>
      </c>
      <c r="C107" s="21" t="s">
        <v>202</v>
      </c>
      <c r="D107" s="21" t="s">
        <v>539</v>
      </c>
      <c r="E107" s="13">
        <v>42912.641851851855</v>
      </c>
      <c r="F107" s="13">
        <v>42912.646006944444</v>
      </c>
      <c r="G107" s="7">
        <v>2</v>
      </c>
      <c r="H107" s="21" t="s">
        <v>534</v>
      </c>
      <c r="I107" s="13">
        <v>42912.670497685183</v>
      </c>
      <c r="J107" s="7">
        <v>0</v>
      </c>
      <c r="K107" s="89" t="str">
        <f t="shared" si="30"/>
        <v>4057/4058</v>
      </c>
      <c r="L107" s="21" t="str">
        <f>VLOOKUP(A107,'Trips&amp;Operators'!$C$1:$G$99999,5,FALSE)</f>
        <v>BRUDER RICHARD</v>
      </c>
      <c r="M107" s="6">
        <f t="shared" si="31"/>
        <v>2.4490740739565808E-2</v>
      </c>
      <c r="N107" s="7">
        <f t="shared" si="48"/>
        <v>35.266666664974764</v>
      </c>
      <c r="O107" s="7"/>
      <c r="P107" s="7"/>
      <c r="Q107" s="22"/>
      <c r="R107" s="170"/>
      <c r="S107" s="213">
        <f t="shared" si="32"/>
        <v>1</v>
      </c>
      <c r="T107" s="195" t="str">
        <f t="shared" si="33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4"/>
        <v>https://d0f6bd738d7f1b3e5a7ca70fe4ff75f0.us-east-1.aws.found.io/app/kibana#/discover/Steve-Slow-Train-Analysis-(2080s-and-2083s)?_g=(refreshInterval:(display:Off,pause:!f,section:0,value:0),time:(from:'2017-06-26T14:24:16-0600',mode:absolute,to:'2017-06-26T17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7" s="197" t="str">
        <f>IF(AA107&lt;VLOOKUP(AG107,Variables!$AC$3:$AD$8,2,FALSE),"Y","N")</f>
        <v>N</v>
      </c>
      <c r="X107" s="197">
        <f t="shared" si="35"/>
        <v>1</v>
      </c>
      <c r="Y107" s="197">
        <f t="shared" si="36"/>
        <v>4.7500000000000001E-2</v>
      </c>
      <c r="Z107" s="197">
        <f t="shared" si="37"/>
        <v>23.328900000000001</v>
      </c>
      <c r="AA107" s="197">
        <f t="shared" si="38"/>
        <v>23.281400000000001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9"/>
        <v>195</v>
      </c>
      <c r="AE107" s="77" t="str">
        <f t="shared" si="40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107" s="74" t="str">
        <f t="shared" si="41"/>
        <v>"C:\Program Files (x86)\AstroGrep\AstroGrep.exe" /e /r /s /spath="%USERPROFILE%\AppData\Local\Temp\OnboardLogs" /stypes="app*4058*20170626*" /stext=" 22:.+((SYSTEM_STATE.+slice.+state.+changed )|(ment ac)|(multiple cpu faults)|(system.+state.+changed )|(\[timeout)|(PRM\|1\|D)|(kpr)|(kdp)|(train st.+moving)|(\|lc)|(penalty))"</v>
      </c>
      <c r="AG107" s="209" t="str">
        <f t="shared" si="42"/>
        <v>EC</v>
      </c>
      <c r="AH107" s="78" t="str">
        <f t="shared" si="44"/>
        <v>"%USERPROFILE%\Documents\GitHub\eaglep3\Utilities\RefineRTDCRunTimes.py" --tripid 195-26 --locoid 4058 --swversion DE.1.0.9.0 --startMP 204:475 --initTime 2017-06-26T15:24:16 --startdatetime 2017-06-26T15:30:15 --delay 2 --endMP 204:233289 --enddatetime 2017-06-26T16:05:31 --enforcementcount 0 &gt;&gt;C:\Users\stu\Documents\GitHub\eaglep3-reporting\EC\2017-06-26-refined-times.txt</v>
      </c>
      <c r="AI107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{"issue":{"subject":"","project_id":79,"tracker_id":40,"status_id":1,"priority_id":2,"assigned_to_id":23,"start_date":"2017-06-26","description":"","custom_fields":[{"id":1,"name":"Subdivision","value":"EC"},{"id":4,"name":"Milepost","value":"23.3289"},{"id":17,"name":"Train ID","value":"195-26"},{"id":16,"name":"Locomotive ID","value":"4058"},{"id":130,"name":"Impact","value":""},{"id":150,"name":"Time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6"/>
        <v>start /low /b %USERPROFILE%\Documents\GitHub\eaglep3\Utilities\DownloadLogsFromS3.py --loco 4058 --day 2017-06-26</v>
      </c>
      <c r="AN107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644</v>
      </c>
      <c r="B108" s="7">
        <v>4057</v>
      </c>
      <c r="C108" s="21" t="s">
        <v>202</v>
      </c>
      <c r="D108" s="21" t="s">
        <v>490</v>
      </c>
      <c r="E108" s="13">
        <v>42912.681851851848</v>
      </c>
      <c r="F108" s="13">
        <v>42912.685682870368</v>
      </c>
      <c r="G108" s="7">
        <v>1</v>
      </c>
      <c r="H108" s="21" t="s">
        <v>922</v>
      </c>
      <c r="I108" s="13">
        <v>42912.71292824074</v>
      </c>
      <c r="J108" s="7">
        <v>0</v>
      </c>
      <c r="K108" s="89" t="str">
        <f t="shared" si="30"/>
        <v>4057/4058</v>
      </c>
      <c r="L108" s="21" t="str">
        <f>VLOOKUP(A108,'Trips&amp;Operators'!$C$1:$G$99999,5,FALSE)</f>
        <v>BRUDER RICHARD</v>
      </c>
      <c r="M108" s="6">
        <f t="shared" si="31"/>
        <v>2.7245370372838806E-2</v>
      </c>
      <c r="N108" s="7">
        <f t="shared" si="48"/>
        <v>39.233333336887881</v>
      </c>
      <c r="O108" s="7"/>
      <c r="P108" s="7"/>
      <c r="Q108" s="22"/>
      <c r="R108" s="170"/>
      <c r="S108" s="213">
        <f t="shared" si="32"/>
        <v>1</v>
      </c>
      <c r="T108" s="195" t="str">
        <f t="shared" si="33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4"/>
        <v>https://d0f6bd738d7f1b3e5a7ca70fe4ff75f0.us-east-1.aws.found.io/app/kibana#/discover/Steve-Slow-Train-Analysis-(2080s-and-2083s)?_g=(refreshInterval:(display:Off,pause:!f,section:0,value:0),time:(from:'2017-06-26T15:21:52-0600',mode:absolute,to:'2017-06-26T18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8" s="197" t="str">
        <f>IF(AA108&lt;VLOOKUP(AG108,Variables!$AC$3:$AD$8,2,FALSE),"Y","N")</f>
        <v>N</v>
      </c>
      <c r="X108" s="197">
        <f t="shared" si="35"/>
        <v>1</v>
      </c>
      <c r="Y108" s="197">
        <f t="shared" si="36"/>
        <v>23.299099999999999</v>
      </c>
      <c r="Z108" s="197">
        <f t="shared" si="37"/>
        <v>9.0700000000000003E-2</v>
      </c>
      <c r="AA108" s="197">
        <f t="shared" si="38"/>
        <v>23.208399999999997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9"/>
        <v>196</v>
      </c>
      <c r="AE108" s="77" t="str">
        <f t="shared" si="40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108" s="74" t="str">
        <f t="shared" si="41"/>
        <v>"C:\Program Files (x86)\AstroGrep\AstroGrep.exe" /e /r /s /spath="%USERPROFILE%\AppData\Local\Temp\OnboardLogs" /stypes="app*4057*20170626*" /stext=" 23:.+((SYSTEM_STATE.+slice.+state.+changed )|(ment ac)|(multiple cpu faults)|(system.+state.+changed )|(\[timeout)|(PRM\|1\|D)|(kpr)|(kdp)|(train st.+moving)|(\|lc)|(penalty))"</v>
      </c>
      <c r="AG108" s="209" t="str">
        <f t="shared" si="42"/>
        <v>EC</v>
      </c>
      <c r="AH108" s="78" t="str">
        <f t="shared" si="44"/>
        <v>"%USERPROFILE%\Documents\GitHub\eaglep3\Utilities\RefineRTDCRunTimes.py" --tripid 196-26 --locoid 4057 --swversion DE.1.0.9.0 --startMP 204:232991 --initTime 2017-06-26T16:21:52 --startdatetime 2017-06-26T16:27:23 --delay 1 --endMP 204:907 --enddatetime 2017-06-26T17:06:37 --enforcementcount 0 &gt;&gt;C:\Users\stu\Documents\GitHub\eaglep3-reporting\EC\2017-06-26-refined-times.txt</v>
      </c>
      <c r="AI108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{"issue":{"subject":"","project_id":79,"tracker_id":40,"status_id":1,"priority_id":2,"assigned_to_id":23,"start_date":"2017-06-26","description":"","custom_fields":[{"id":1,"name":"Subdivision","value":"EC"},{"id":4,"name":"Milepost","value":"0.0907"},{"id":17,"name":"Train ID","value":"196-26"},{"id":16,"name":"Locomotive ID","value":"4057"},{"id":130,"name":"Impact","value":""},{"id":150,"name":"Time of Event (Mountain Time)","value":"17:06:37"},{"id":151,"name":"Denver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6"/>
        <v>start /low /b %USERPROFILE%\Documents\GitHub\eaglep3\Utilities\DownloadLogsFromS3.py --loco 4057 --day 2017-06-26</v>
      </c>
      <c r="AN108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802</v>
      </c>
      <c r="B109" s="7">
        <v>4046</v>
      </c>
      <c r="C109" s="21" t="s">
        <v>202</v>
      </c>
      <c r="D109" s="21" t="s">
        <v>351</v>
      </c>
      <c r="E109" s="13">
        <v>42912.654537037037</v>
      </c>
      <c r="F109" s="13">
        <v>42912.656678240739</v>
      </c>
      <c r="G109" s="7">
        <v>2</v>
      </c>
      <c r="H109" s="21" t="s">
        <v>486</v>
      </c>
      <c r="I109" s="13">
        <v>42912.68310185185</v>
      </c>
      <c r="J109" s="7">
        <v>0</v>
      </c>
      <c r="K109" s="89" t="str">
        <f t="shared" si="30"/>
        <v>4045/4046</v>
      </c>
      <c r="L109" s="21" t="str">
        <f>VLOOKUP(A109,'Trips&amp;Operators'!$C$1:$G$99999,5,FALSE)</f>
        <v>BRANDNER MELINDA</v>
      </c>
      <c r="M109" s="6">
        <f t="shared" si="31"/>
        <v>2.6423611110658385E-2</v>
      </c>
      <c r="N109" s="7">
        <f t="shared" si="48"/>
        <v>38.049999999348074</v>
      </c>
      <c r="O109" s="7"/>
      <c r="P109" s="7"/>
      <c r="Q109" s="22"/>
      <c r="R109" s="170"/>
      <c r="S109" s="213">
        <f t="shared" si="32"/>
        <v>1</v>
      </c>
      <c r="T109" s="195" t="str">
        <f t="shared" si="33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4"/>
        <v>https://d0f6bd738d7f1b3e5a7ca70fe4ff75f0.us-east-1.aws.found.io/app/kibana#/discover/Steve-Slow-Train-Analysis-(2080s-and-2083s)?_g=(refreshInterval:(display:Off,pause:!f,section:0,value:0),time:(from:'2017-06-26T14:42:32-0600',mode:absolute,to:'2017-06-26T17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9" s="197" t="str">
        <f>IF(AA109&lt;VLOOKUP(AG109,Variables!$AC$3:$AD$8,2,FALSE),"Y","N")</f>
        <v>N</v>
      </c>
      <c r="X109" s="197">
        <f t="shared" si="35"/>
        <v>1</v>
      </c>
      <c r="Y109" s="197">
        <f t="shared" ref="Y109:Y124" si="49">RIGHT(D109,LEN(D109)-4)/10000</f>
        <v>4.6600000000000003E-2</v>
      </c>
      <c r="Z109" s="197">
        <f t="shared" ref="Z109:Z124" si="50">RIGHT(H109,LEN(H109)-4)/10000</f>
        <v>23.3309</v>
      </c>
      <c r="AA109" s="197">
        <f t="shared" si="38"/>
        <v>23.284299999999998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9"/>
        <v>197</v>
      </c>
      <c r="AE109" s="77" t="str">
        <f t="shared" si="40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109" s="74" t="str">
        <f t="shared" si="41"/>
        <v>"C:\Program Files (x86)\AstroGrep\AstroGrep.exe" /e /r /s /spath="%USERPROFILE%\AppData\Local\Temp\OnboardLogs" /stypes="app*4046*20170626*" /stext=" 22:.+((SYSTEM_STATE.+slice.+state.+changed )|(ment ac)|(multiple cpu faults)|(system.+state.+changed )|(\[timeout)|(PRM\|1\|D)|(kpr)|(kdp)|(train st.+moving)|(\|lc)|(penalty))"</v>
      </c>
      <c r="AG109" s="209" t="str">
        <f t="shared" si="42"/>
        <v>EC</v>
      </c>
      <c r="AH109" s="78" t="str">
        <f t="shared" si="44"/>
        <v>"%USERPROFILE%\Documents\GitHub\eaglep3\Utilities\RefineRTDCRunTimes.py" --tripid 197-26 --locoid 4046 --swversion DE.1.0.9.0 --startMP 204:466 --initTime 2017-06-26T15:42:32 --startdatetime 2017-06-26T15:45:37 --delay 2 --endMP 204:233309 --enddatetime 2017-06-26T16:23:40 --enforcementcount 0 &gt;&gt;C:\Users\stu\Documents\GitHub\eaglep3-reporting\EC\2017-06-26-refined-times.txt</v>
      </c>
      <c r="AI109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{"issue":{"subject":"","project_id":79,"tracker_id":40,"status_id":1,"priority_id":2,"assigned_to_id":23,"start_date":"2017-06-26","description":"","custom_fields":[{"id":1,"name":"Subdivision","value":"EC"},{"id":4,"name":"Milepost","value":"23.3309"},{"id":17,"name":"Train ID","value":"197-26"},{"id":16,"name":"Locomotive ID","value":"4046"},{"id":130,"name":"Impact","value":""},{"id":150,"name":"Time of Event (Mountain Time)","value":"16:23:40"},{"id":151,"name":"Denver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6"/>
        <v>start /low /b %USERPROFILE%\Documents\GitHub\eaglep3\Utilities\DownloadLogsFromS3.py --loco 4046 --day 2017-06-26</v>
      </c>
      <c r="AN109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811</v>
      </c>
      <c r="B110" s="7">
        <v>4045</v>
      </c>
      <c r="C110" s="21" t="s">
        <v>202</v>
      </c>
      <c r="D110" s="21" t="s">
        <v>575</v>
      </c>
      <c r="E110" s="13">
        <v>42912.694398148145</v>
      </c>
      <c r="F110" s="13">
        <v>42912.696030092593</v>
      </c>
      <c r="G110" s="7">
        <v>2</v>
      </c>
      <c r="H110" s="21" t="s">
        <v>573</v>
      </c>
      <c r="I110" s="13">
        <v>42912.723460648151</v>
      </c>
      <c r="J110" s="7">
        <v>0</v>
      </c>
      <c r="K110" s="89" t="str">
        <f t="shared" si="30"/>
        <v>4045/4046</v>
      </c>
      <c r="L110" s="21" t="str">
        <f>VLOOKUP(A110,'Trips&amp;Operators'!$C$1:$G$99999,5,FALSE)</f>
        <v>BRANDNER MELINDA</v>
      </c>
      <c r="M110" s="6">
        <f t="shared" si="31"/>
        <v>2.7430555557657499E-2</v>
      </c>
      <c r="N110" s="7">
        <f t="shared" si="48"/>
        <v>39.500000003026798</v>
      </c>
      <c r="O110" s="7"/>
      <c r="P110" s="7"/>
      <c r="Q110" s="22"/>
      <c r="R110" s="170"/>
      <c r="S110" s="213">
        <f t="shared" si="32"/>
        <v>1</v>
      </c>
      <c r="T110" s="195" t="str">
        <f t="shared" si="33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4"/>
        <v>https://d0f6bd738d7f1b3e5a7ca70fe4ff75f0.us-east-1.aws.found.io/app/kibana#/discover/Steve-Slow-Train-Analysis-(2080s-and-2083s)?_g=(refreshInterval:(display:Off,pause:!f,section:0,value:0),time:(from:'2017-06-26T15:39:56-0600',mode:absolute,to:'2017-06-26T18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0" s="197" t="str">
        <f>IF(AA110&lt;VLOOKUP(AG110,Variables!$AC$3:$AD$8,2,FALSE),"Y","N")</f>
        <v>N</v>
      </c>
      <c r="X110" s="197">
        <f t="shared" si="35"/>
        <v>1</v>
      </c>
      <c r="Y110" s="197">
        <f t="shared" si="49"/>
        <v>23.3005</v>
      </c>
      <c r="Z110" s="197">
        <f t="shared" si="50"/>
        <v>1.2999999999999999E-2</v>
      </c>
      <c r="AA110" s="197">
        <f t="shared" si="38"/>
        <v>23.287499999999998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9"/>
        <v>198</v>
      </c>
      <c r="AE110" s="77" t="str">
        <f t="shared" si="40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110" s="74" t="str">
        <f t="shared" si="41"/>
        <v>"C:\Program Files (x86)\AstroGrep\AstroGrep.exe" /e /r /s /spath="%USERPROFILE%\AppData\Local\Temp\OnboardLogs" /stypes="app*4045*20170626*" /stext=" 23:.+((SYSTEM_STATE.+slice.+state.+changed )|(ment ac)|(multiple cpu faults)|(system.+state.+changed )|(\[timeout)|(PRM\|1\|D)|(kpr)|(kdp)|(train st.+moving)|(\|lc)|(penalty))"</v>
      </c>
      <c r="AG110" s="209" t="str">
        <f t="shared" si="42"/>
        <v>EC</v>
      </c>
      <c r="AH110" s="78" t="str">
        <f t="shared" si="44"/>
        <v>"%USERPROFILE%\Documents\GitHub\eaglep3\Utilities\RefineRTDCRunTimes.py" --tripid 198-26 --locoid 4045 --swversion DE.1.0.9.0 --startMP 204:233005 --initTime 2017-06-26T16:39:56 --startdatetime 2017-06-26T16:42:17 --delay 2 --endMP 204:130 --enddatetime 2017-06-26T17:21:47 --enforcementcount 0 &gt;&gt;C:\Users\stu\Documents\GitHub\eaglep3-reporting\EC\2017-06-26-refined-times.txt</v>
      </c>
      <c r="AI11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{"issue":{"subject":"","project_id":79,"tracker_id":40,"status_id":1,"priority_id":2,"assigned_to_id":23,"start_date":"2017-06-26","description":"","custom_fields":[{"id":1,"name":"Subdivision","value":"EC"},{"id":4,"name":"Milepost","value":"0.013"},{"id":17,"name":"Train ID","value":"198-26"},{"id":16,"name":"Locomotive ID","value":"4045"},{"id":130,"name":"Impact","value":""},{"id":150,"name":"Time of Event (Mountain Time)","value":"17:21:47"},{"id":151,"name":"Denver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6"/>
        <v>start /low /b %USERPROFILE%\Documents\GitHub\eaglep3\Utilities\DownloadLogsFromS3.py --loco 4045 --day 2017-06-26</v>
      </c>
      <c r="AN110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803</v>
      </c>
      <c r="B111" s="7">
        <v>4010</v>
      </c>
      <c r="C111" s="21" t="s">
        <v>202</v>
      </c>
      <c r="D111" s="21" t="s">
        <v>466</v>
      </c>
      <c r="E111" s="13">
        <v>42912.663842592592</v>
      </c>
      <c r="F111" s="13">
        <v>42912.666875000003</v>
      </c>
      <c r="G111" s="7">
        <v>1</v>
      </c>
      <c r="H111" s="21" t="s">
        <v>900</v>
      </c>
      <c r="I111" s="13">
        <v>42912.692164351851</v>
      </c>
      <c r="J111" s="7">
        <v>0</v>
      </c>
      <c r="K111" s="89" t="str">
        <f t="shared" si="30"/>
        <v>4009/4010</v>
      </c>
      <c r="L111" s="21" t="str">
        <f>VLOOKUP(A111,'Trips&amp;Operators'!$C$1:$G$99999,5,FALSE)</f>
        <v>SULLIVAN BRANDON</v>
      </c>
      <c r="M111" s="6">
        <f t="shared" si="31"/>
        <v>2.5289351848186925E-2</v>
      </c>
      <c r="N111" s="7">
        <f t="shared" si="48"/>
        <v>36.416666661389172</v>
      </c>
      <c r="O111" s="7"/>
      <c r="P111" s="7"/>
      <c r="Q111" s="22"/>
      <c r="R111" s="170"/>
      <c r="S111" s="213">
        <f t="shared" si="32"/>
        <v>1</v>
      </c>
      <c r="T111" s="195" t="str">
        <f t="shared" si="33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4"/>
        <v>https://d0f6bd738d7f1b3e5a7ca70fe4ff75f0.us-east-1.aws.found.io/app/kibana#/discover/Steve-Slow-Train-Analysis-(2080s-and-2083s)?_g=(refreshInterval:(display:Off,pause:!f,section:0,value:0),time:(from:'2017-06-26T14:55:56-0600',mode:absolute,to:'2017-06-26T17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7" t="str">
        <f>IF(AA111&lt;VLOOKUP(AG111,Variables!$AC$3:$AD$8,2,FALSE),"Y","N")</f>
        <v>N</v>
      </c>
      <c r="X111" s="197">
        <f t="shared" ref="X111:X114" si="51">VALUE(LEFT(AD111,4))-VALUE(LEFT(AD110,4))</f>
        <v>1</v>
      </c>
      <c r="Y111" s="197">
        <f t="shared" si="49"/>
        <v>4.6399999999999997E-2</v>
      </c>
      <c r="Z111" s="197">
        <f t="shared" si="50"/>
        <v>23.335899999999999</v>
      </c>
      <c r="AA111" s="197">
        <f t="shared" si="38"/>
        <v>23.2895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9"/>
        <v>199</v>
      </c>
      <c r="AE111" s="77" t="str">
        <f t="shared" si="40"/>
        <v>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 &amp; 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</v>
      </c>
      <c r="AF111" s="74" t="str">
        <f t="shared" si="41"/>
        <v>"C:\Program Files (x86)\AstroGrep\AstroGrep.exe" /e /r /s /spath="%USERPROFILE%\AppData\Local\Temp\OnboardLogs" /stypes="app*4010*20170626*" /stext=" 22:.+((SYSTEM_STATE.+slice.+state.+changed )|(ment ac)|(multiple cpu faults)|(system.+state.+changed )|(\[timeout)|(PRM\|1\|D)|(kpr)|(kdp)|(train st.+moving)|(\|lc)|(penalty))"</v>
      </c>
      <c r="AG111" s="209" t="str">
        <f t="shared" si="42"/>
        <v>EC</v>
      </c>
      <c r="AH111" s="78" t="str">
        <f t="shared" si="44"/>
        <v>"%USERPROFILE%\Documents\GitHub\eaglep3\Utilities\RefineRTDCRunTimes.py" --tripid 199-26 --locoid 4010 --swversion DE.1.0.9.0 --startMP 204:464 --initTime 2017-06-26T15:55:56 --startdatetime 2017-06-26T16:00:18 --delay 1 --endMP 204:233359 --enddatetime 2017-06-26T16:36:43 --enforcementcount 0 &gt;&gt;C:\Users\stu\Documents\GitHub\eaglep3-reporting\EC\2017-06-26-refined-times.txt</v>
      </c>
      <c r="AI11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{"issue":{"subject":"","project_id":79,"tracker_id":40,"status_id":1,"priority_id":2,"assigned_to_id":23,"start_date":"2017-06-26","description":"","custom_fields":[{"id":1,"name":"Subdivision","value":"EC"},{"id":4,"name":"Milepost","value":"23.3359"},{"id":17,"name":"Train ID","value":"199-26"},{"id":16,"name":"Locomotive ID","value":"4010"},{"id":130,"name":"Impact","value":""},{"id":150,"name":"Time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6"/>
        <v>start /low /b %USERPROFILE%\Documents\GitHub\eaglep3\Utilities\DownloadLogsFromS3.py --loco 4010 --day 2017-06-26</v>
      </c>
      <c r="AN111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646</v>
      </c>
      <c r="B112" s="7">
        <v>4009</v>
      </c>
      <c r="C112" s="21" t="s">
        <v>202</v>
      </c>
      <c r="D112" s="21" t="s">
        <v>923</v>
      </c>
      <c r="E112" s="13">
        <v>42912.698854166665</v>
      </c>
      <c r="F112" s="13">
        <v>42912.706412037034</v>
      </c>
      <c r="G112" s="7">
        <v>2</v>
      </c>
      <c r="H112" s="21" t="s">
        <v>924</v>
      </c>
      <c r="I112" s="13">
        <v>42912.73400462963</v>
      </c>
      <c r="J112" s="7">
        <v>0</v>
      </c>
      <c r="K112" s="89" t="str">
        <f t="shared" si="30"/>
        <v>4009/4010</v>
      </c>
      <c r="L112" s="21" t="str">
        <f>VLOOKUP(A112,'Trips&amp;Operators'!$C$1:$G$99999,5,FALSE)</f>
        <v>SULLIVAN BRANDON</v>
      </c>
      <c r="M112" s="6">
        <f t="shared" si="31"/>
        <v>2.7592592596192844E-2</v>
      </c>
      <c r="N112" s="7">
        <f t="shared" si="48"/>
        <v>39.733333338517696</v>
      </c>
      <c r="O112" s="7"/>
      <c r="P112" s="7"/>
      <c r="Q112" s="22"/>
      <c r="R112" s="170"/>
      <c r="S112" s="213">
        <f t="shared" si="32"/>
        <v>1</v>
      </c>
      <c r="T112" s="195" t="str">
        <f t="shared" si="33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4"/>
        <v>https://d0f6bd738d7f1b3e5a7ca70fe4ff75f0.us-east-1.aws.found.io/app/kibana#/discover/Steve-Slow-Train-Analysis-(2080s-and-2083s)?_g=(refreshInterval:(display:Off,pause:!f,section:0,value:0),time:(from:'2017-06-26T15:46:21-0600',mode:absolute,to:'2017-06-26T18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7" t="str">
        <f>IF(AA112&lt;VLOOKUP(AG112,Variables!$AC$3:$AD$8,2,FALSE),"Y","N")</f>
        <v>N</v>
      </c>
      <c r="X112" s="197">
        <f t="shared" si="51"/>
        <v>1</v>
      </c>
      <c r="Y112" s="197">
        <f t="shared" si="49"/>
        <v>23.3066</v>
      </c>
      <c r="Z112" s="197">
        <f t="shared" si="50"/>
        <v>0.1003</v>
      </c>
      <c r="AA112" s="197">
        <f t="shared" si="38"/>
        <v>23.206299999999999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9"/>
        <v>200</v>
      </c>
      <c r="AE112" s="77" t="str">
        <f t="shared" si="40"/>
        <v>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 &amp; 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</v>
      </c>
      <c r="AF112" s="74" t="str">
        <f t="shared" si="41"/>
        <v>"C:\Program Files (x86)\AstroGrep\AstroGrep.exe" /e /r /s /spath="%USERPROFILE%\AppData\Local\Temp\OnboardLogs" /stypes="app*4009*20170626*" /stext=" 23:.+((SYSTEM_STATE.+slice.+state.+changed )|(ment ac)|(multiple cpu faults)|(system.+state.+changed )|(\[timeout)|(PRM\|1\|D)|(kpr)|(kdp)|(train st.+moving)|(\|lc)|(penalty))"</v>
      </c>
      <c r="AG112" s="209" t="str">
        <f t="shared" si="42"/>
        <v>EC</v>
      </c>
      <c r="AH112" s="78" t="str">
        <f t="shared" si="44"/>
        <v>"%USERPROFILE%\Documents\GitHub\eaglep3\Utilities\RefineRTDCRunTimes.py" --tripid 200-26 --locoid 4009 --swversion DE.1.0.9.0 --startMP 204:233066 --initTime 2017-06-26T16:46:21 --startdatetime 2017-06-26T16:57:14 --delay 2 --endMP 204:1003 --enddatetime 2017-06-26T17:36:58 --enforcementcount 0 &gt;&gt;C:\Users\stu\Documents\GitHub\eaglep3-reporting\EC\2017-06-26-refined-times.txt</v>
      </c>
      <c r="AI11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{"issue":{"subject":"","project_id":79,"tracker_id":40,"status_id":1,"priority_id":2,"assigned_to_id":23,"start_date":"2017-06-26","description":"","custom_fields":[{"id":1,"name":"Subdivision","value":"EC"},{"id":4,"name":"Milepost","value":"0.1003"},{"id":17,"name":"Train ID","value":"200-26"},{"id":16,"name":"Locomotive ID","value":"4009"},{"id":130,"name":"Impact","value":""},{"id":150,"name":"Time of Event (Mountain Time)","value":"17:36:58"},{"id":151,"name":"Denver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6"/>
        <v>start /low /b %USERPROFILE%\Documents\GitHub\eaglep3\Utilities\DownloadLogsFromS3.py --loco 4009 --day 2017-06-26</v>
      </c>
      <c r="AN112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806</v>
      </c>
      <c r="B113" s="7">
        <v>4056</v>
      </c>
      <c r="C113" s="21" t="s">
        <v>202</v>
      </c>
      <c r="D113" s="21" t="s">
        <v>435</v>
      </c>
      <c r="E113" s="13">
        <v>42912.672175925924</v>
      </c>
      <c r="F113" s="13">
        <v>42912.67728009259</v>
      </c>
      <c r="G113" s="7">
        <v>1</v>
      </c>
      <c r="H113" s="21" t="s">
        <v>925</v>
      </c>
      <c r="I113" s="13">
        <v>42912.702685185184</v>
      </c>
      <c r="J113" s="7">
        <v>0</v>
      </c>
      <c r="K113" s="89" t="str">
        <f t="shared" si="30"/>
        <v>4055/4056</v>
      </c>
      <c r="L113" s="21" t="str">
        <f>VLOOKUP(A113,'Trips&amp;Operators'!$C$1:$G$99999,5,FALSE)</f>
        <v>MCREYNOLDS KYLE</v>
      </c>
      <c r="M113" s="6">
        <f t="shared" si="31"/>
        <v>2.5405092594155576E-2</v>
      </c>
      <c r="N113" s="7">
        <f t="shared" si="48"/>
        <v>36.58333333558403</v>
      </c>
      <c r="O113" s="7"/>
      <c r="P113" s="7"/>
      <c r="Q113" s="22"/>
      <c r="R113" s="170"/>
      <c r="S113" s="213">
        <f t="shared" si="32"/>
        <v>1</v>
      </c>
      <c r="T113" s="195" t="str">
        <f t="shared" si="33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4"/>
        <v>https://d0f6bd738d7f1b3e5a7ca70fe4ff75f0.us-east-1.aws.found.io/app/kibana#/discover/Steve-Slow-Train-Analysis-(2080s-and-2083s)?_g=(refreshInterval:(display:Off,pause:!f,section:0,value:0),time:(from:'2017-06-26T15:07:56-0600',mode:absolute,to:'2017-06-26T17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197" t="str">
        <f>IF(AA113&lt;VLOOKUP(AG113,Variables!$AC$3:$AD$8,2,FALSE),"Y","N")</f>
        <v>N</v>
      </c>
      <c r="X113" s="197">
        <f t="shared" si="51"/>
        <v>1</v>
      </c>
      <c r="Y113" s="197">
        <f t="shared" si="49"/>
        <v>4.6699999999999998E-2</v>
      </c>
      <c r="Z113" s="197">
        <f t="shared" si="50"/>
        <v>23.3385</v>
      </c>
      <c r="AA113" s="197">
        <f t="shared" si="38"/>
        <v>23.291799999999999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9"/>
        <v>201</v>
      </c>
      <c r="AE113" s="77" t="str">
        <f t="shared" si="40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113" s="74" t="str">
        <f t="shared" si="41"/>
        <v>"C:\Program Files (x86)\AstroGrep\AstroGrep.exe" /e /r /s /spath="%USERPROFILE%\AppData\Local\Temp\OnboardLogs" /stypes="app*4056*20170626*" /stext=" 22:.+((SYSTEM_STATE.+slice.+state.+changed )|(ment ac)|(multiple cpu faults)|(system.+state.+changed )|(\[timeout)|(PRM\|1\|D)|(kpr)|(kdp)|(train st.+moving)|(\|lc)|(penalty))"</v>
      </c>
      <c r="AG113" s="209" t="str">
        <f t="shared" si="42"/>
        <v>EC</v>
      </c>
      <c r="AH113" s="78" t="str">
        <f t="shared" si="44"/>
        <v>"%USERPROFILE%\Documents\GitHub\eaglep3\Utilities\RefineRTDCRunTimes.py" --tripid 201-26 --locoid 4056 --swversion DE.1.0.9.0 --startMP 204:467 --initTime 2017-06-26T16:07:56 --startdatetime 2017-06-26T16:15:17 --delay 1 --endMP 204:233385 --enddatetime 2017-06-26T16:51:52 --enforcementcount 0 &gt;&gt;C:\Users\stu\Documents\GitHub\eaglep3-reporting\EC\2017-06-26-refined-times.txt</v>
      </c>
      <c r="AI113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{"issue":{"subject":"","project_id":79,"tracker_id":40,"status_id":1,"priority_id":2,"assigned_to_id":23,"start_date":"2017-06-26","description":"","custom_fields":[{"id":1,"name":"Subdivision","value":"EC"},{"id":4,"name":"Milepost","value":"23.3385"},{"id":17,"name":"Train ID","value":"201-26"},{"id":16,"name":"Locomotive ID","value":"4056"},{"id":130,"name":"Impact","value":""},{"id":150,"name":"Time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6"/>
        <v>start /low /b %USERPROFILE%\Documents\GitHub\eaglep3\Utilities\DownloadLogsFromS3.py --loco 4056 --day 2017-06-26</v>
      </c>
      <c r="AN113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814</v>
      </c>
      <c r="B114" s="7">
        <v>4055</v>
      </c>
      <c r="C114" s="21" t="s">
        <v>202</v>
      </c>
      <c r="D114" s="21" t="s">
        <v>926</v>
      </c>
      <c r="E114" s="13">
        <v>42912.710324074076</v>
      </c>
      <c r="F114" s="13">
        <v>42912.716828703706</v>
      </c>
      <c r="G114" s="7">
        <v>1</v>
      </c>
      <c r="H114" s="21" t="s">
        <v>193</v>
      </c>
      <c r="I114" s="13">
        <v>42912.742905092593</v>
      </c>
      <c r="J114" s="7">
        <v>0</v>
      </c>
      <c r="K114" s="89" t="str">
        <f t="shared" si="30"/>
        <v>4055/4056</v>
      </c>
      <c r="L114" s="21" t="str">
        <f>VLOOKUP(A114,'Trips&amp;Operators'!$C$1:$G$99999,5,FALSE)</f>
        <v>MCREYNOLDS KYLE</v>
      </c>
      <c r="M114" s="6">
        <f t="shared" si="31"/>
        <v>2.6076388887304347E-2</v>
      </c>
      <c r="N114" s="7">
        <f t="shared" si="48"/>
        <v>37.54999999771826</v>
      </c>
      <c r="O114" s="7"/>
      <c r="P114" s="7"/>
      <c r="Q114" s="22"/>
      <c r="R114" s="170"/>
      <c r="S114" s="213">
        <f t="shared" si="32"/>
        <v>1</v>
      </c>
      <c r="T114" s="195" t="str">
        <f t="shared" si="33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4"/>
        <v>https://d0f6bd738d7f1b3e5a7ca70fe4ff75f0.us-east-1.aws.found.io/app/kibana#/discover/Steve-Slow-Train-Analysis-(2080s-and-2083s)?_g=(refreshInterval:(display:Off,pause:!f,section:0,value:0),time:(from:'2017-06-26T16:02:52-0600',mode:absolute,to:'2017-06-26T18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197" t="str">
        <f>IF(AA114&lt;VLOOKUP(AG114,Variables!$AC$3:$AD$8,2,FALSE),"Y","N")</f>
        <v>N</v>
      </c>
      <c r="X114" s="197">
        <f t="shared" si="51"/>
        <v>1</v>
      </c>
      <c r="Y114" s="197">
        <f t="shared" si="49"/>
        <v>23.305099999999999</v>
      </c>
      <c r="Z114" s="197">
        <f t="shared" si="50"/>
        <v>1.52E-2</v>
      </c>
      <c r="AA114" s="197">
        <f t="shared" si="38"/>
        <v>23.289899999999999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9"/>
        <v>202</v>
      </c>
      <c r="AE114" s="77" t="str">
        <f t="shared" si="40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114" s="74" t="str">
        <f t="shared" si="41"/>
        <v>"C:\Program Files (x86)\AstroGrep\AstroGrep.exe" /e /r /s /spath="%USERPROFILE%\AppData\Local\Temp\OnboardLogs" /stypes="app*4055*20170626*" /stext=" 23:.+((SYSTEM_STATE.+slice.+state.+changed )|(ment ac)|(multiple cpu faults)|(system.+state.+changed )|(\[timeout)|(PRM\|1\|D)|(kpr)|(kdp)|(train st.+moving)|(\|lc)|(penalty))"</v>
      </c>
      <c r="AG114" s="209" t="str">
        <f t="shared" si="42"/>
        <v>EC</v>
      </c>
      <c r="AH114" s="78" t="str">
        <f t="shared" si="44"/>
        <v>"%USERPROFILE%\Documents\GitHub\eaglep3\Utilities\RefineRTDCRunTimes.py" --tripid 202-26 --locoid 4055 --swversion DE.1.0.9.0 --startMP 204:233051 --initTime 2017-06-26T17:02:52 --startdatetime 2017-06-26T17:12:14 --delay 1 --endMP 204:152 --enddatetime 2017-06-26T17:49:47 --enforcementcount 0 &gt;&gt;C:\Users\stu\Documents\GitHub\eaglep3-reporting\EC\2017-06-26-refined-times.txt</v>
      </c>
      <c r="AI114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ID","value":"202-26"},{"id":16,"name":"Locomotive ID","value":"4055"},{"id":130,"name":"Impact","value":""},{"id":150,"name":"Time of Event (Mountain Time)","value":"17:49:47"},{"id":151,"name":"Denver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6"/>
        <v>start /low /b %USERPROFILE%\Documents\GitHub\eaglep3\Utilities\DownloadLogsFromS3.py --loco 4055 --day 2017-06-26</v>
      </c>
      <c r="AN114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808</v>
      </c>
      <c r="B115" s="7">
        <v>4054</v>
      </c>
      <c r="C115" s="21" t="s">
        <v>202</v>
      </c>
      <c r="D115" s="21" t="s">
        <v>355</v>
      </c>
      <c r="E115" s="13">
        <v>42912.684675925928</v>
      </c>
      <c r="F115" s="13">
        <v>42912.688171296293</v>
      </c>
      <c r="G115" s="7">
        <v>1</v>
      </c>
      <c r="H115" s="21" t="s">
        <v>583</v>
      </c>
      <c r="I115" s="13">
        <v>42912.71366898148</v>
      </c>
      <c r="J115" s="7">
        <v>0</v>
      </c>
      <c r="K115" s="89" t="str">
        <f t="shared" si="30"/>
        <v>4053/4054</v>
      </c>
      <c r="L115" s="21" t="str">
        <f>VLOOKUP(A115,'Trips&amp;Operators'!$C$1:$G$99999,5,FALSE)</f>
        <v>DAVIS MICHAEL</v>
      </c>
      <c r="M115" s="6">
        <f t="shared" si="31"/>
        <v>2.5497685186564922E-2</v>
      </c>
      <c r="N115" s="7">
        <f t="shared" si="48"/>
        <v>36.716666668653488</v>
      </c>
      <c r="O115" s="7"/>
      <c r="P115" s="7"/>
      <c r="Q115" s="22"/>
      <c r="R115" s="170"/>
      <c r="S115" s="213">
        <f t="shared" si="32"/>
        <v>1</v>
      </c>
      <c r="T115" s="195" t="str">
        <f t="shared" si="33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4"/>
        <v>https://d0f6bd738d7f1b3e5a7ca70fe4ff75f0.us-east-1.aws.found.io/app/kibana#/discover/Steve-Slow-Train-Analysis-(2080s-and-2083s)?_g=(refreshInterval:(display:Off,pause:!f,section:0,value:0),time:(from:'2017-06-26T15:25:56-0600',mode:absolute,to:'2017-06-26T18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97" t="str">
        <f>IF(AA115&lt;VLOOKUP(AG115,Variables!$AC$3:$AD$8,2,FALSE),"Y","N")</f>
        <v>N</v>
      </c>
      <c r="X115" s="197">
        <f t="shared" ref="X115:X137" si="52">VALUE(LEFT(AD115,4))-VALUE(LEFT(AD114,4))</f>
        <v>1</v>
      </c>
      <c r="Y115" s="197">
        <f t="shared" si="49"/>
        <v>4.4699999999999997E-2</v>
      </c>
      <c r="Z115" s="197">
        <f t="shared" si="50"/>
        <v>23.333400000000001</v>
      </c>
      <c r="AA115" s="197">
        <f t="shared" si="38"/>
        <v>23.288700000000002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9"/>
        <v>203</v>
      </c>
      <c r="AE115" s="77" t="str">
        <f t="shared" si="40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115" s="74" t="str">
        <f t="shared" si="41"/>
        <v>"C:\Program Files (x86)\AstroGrep\AstroGrep.exe" /e /r /s /spath="%USERPROFILE%\AppData\Local\Temp\OnboardLogs" /stypes="app*4054*20170626*" /stext=" 23:.+((SYSTEM_STATE.+slice.+state.+changed )|(ment ac)|(multiple cpu faults)|(system.+state.+changed )|(\[timeout)|(PRM\|1\|D)|(kpr)|(kdp)|(train st.+moving)|(\|lc)|(penalty))"</v>
      </c>
      <c r="AG115" s="209" t="str">
        <f t="shared" si="42"/>
        <v>EC</v>
      </c>
      <c r="AH115" s="78" t="str">
        <f t="shared" si="44"/>
        <v>"%USERPROFILE%\Documents\GitHub\eaglep3\Utilities\RefineRTDCRunTimes.py" --tripid 203-26 --locoid 4054 --swversion DE.1.0.9.0 --startMP 204:447 --initTime 2017-06-26T16:25:56 --startdatetime 2017-06-26T16:30:58 --delay 1 --endMP 204:233334 --enddatetime 2017-06-26T17:07:41 --enforcementcount 0 &gt;&gt;C:\Users\stu\Documents\GitHub\eaglep3-reporting\EC\2017-06-26-refined-times.txt</v>
      </c>
      <c r="AI115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{"issue":{"subject":"","project_id":79,"tracker_id":40,"status_id":1,"priority_id":2,"assigned_to_id":23,"start_date":"2017-06-26","description":"","custom_fields":[{"id":1,"name":"Subdivision","value":"EC"},{"id":4,"name":"Milepost","value":"23.3334"},{"id":17,"name":"Train ID","value":"203-26"},{"id":16,"name":"Locomotive ID","value":"4054"},{"id":130,"name":"Impact","value":""},{"id":150,"name":"Time of Event (Mountain Time)","value":"17:07:41"},{"id":151,"name":"Denver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6"/>
        <v>start /low /b %USERPROFILE%\Documents\GitHub\eaglep3\Utilities\DownloadLogsFromS3.py --loco 4054 --day 2017-06-26</v>
      </c>
      <c r="AN115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819</v>
      </c>
      <c r="B116" s="7">
        <v>4053</v>
      </c>
      <c r="C116" s="21" t="s">
        <v>202</v>
      </c>
      <c r="D116" s="21" t="s">
        <v>494</v>
      </c>
      <c r="E116" s="13">
        <v>42912.72451388889</v>
      </c>
      <c r="F116" s="13">
        <v>42912.727476851855</v>
      </c>
      <c r="G116" s="7">
        <v>1</v>
      </c>
      <c r="H116" s="21" t="s">
        <v>872</v>
      </c>
      <c r="I116" s="13">
        <v>42912.755104166667</v>
      </c>
      <c r="J116" s="7">
        <v>0</v>
      </c>
      <c r="K116" s="89" t="str">
        <f t="shared" si="30"/>
        <v>4053/4054</v>
      </c>
      <c r="L116" s="21" t="str">
        <f>VLOOKUP(A116,'Trips&amp;Operators'!$C$1:$G$99999,5,FALSE)</f>
        <v>DAVIS MICHAEL</v>
      </c>
      <c r="M116" s="6">
        <f t="shared" si="31"/>
        <v>2.7627314811979886E-2</v>
      </c>
      <c r="N116" s="7">
        <f t="shared" si="48"/>
        <v>39.783333329251036</v>
      </c>
      <c r="O116" s="7"/>
      <c r="P116" s="7"/>
      <c r="Q116" s="22"/>
      <c r="R116" s="170"/>
      <c r="S116" s="213">
        <f t="shared" si="32"/>
        <v>1</v>
      </c>
      <c r="T116" s="195" t="str">
        <f t="shared" si="33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4"/>
        <v>https://d0f6bd738d7f1b3e5a7ca70fe4ff75f0.us-east-1.aws.found.io/app/kibana#/discover/Steve-Slow-Train-Analysis-(2080s-and-2083s)?_g=(refreshInterval:(display:Off,pause:!f,section:0,value:0),time:(from:'2017-06-26T16:23:18-0600',mode:absolute,to:'2017-06-26T19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97" t="str">
        <f>IF(AA116&lt;VLOOKUP(AG116,Variables!$AC$3:$AD$8,2,FALSE),"Y","N")</f>
        <v>N</v>
      </c>
      <c r="X116" s="197">
        <f t="shared" si="52"/>
        <v>1</v>
      </c>
      <c r="Y116" s="197">
        <f t="shared" si="49"/>
        <v>23.3</v>
      </c>
      <c r="Z116" s="197">
        <f t="shared" si="50"/>
        <v>1.3599999999999999E-2</v>
      </c>
      <c r="AA116" s="197">
        <f t="shared" si="38"/>
        <v>23.2864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9"/>
        <v>204</v>
      </c>
      <c r="AE116" s="77" t="str">
        <f t="shared" si="40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116" s="74" t="str">
        <f t="shared" si="41"/>
        <v>"C:\Program Files (x86)\AstroGrep\AstroGrep.exe" /e /r /s /spath="%USERPROFILE%\AppData\Local\Temp\OnboardLogs" /stypes="app*4053*20170627*" /stext=" 00:.+((SYSTEM_STATE.+slice.+state.+changed )|(ment ac)|(multiple cpu faults)|(system.+state.+changed )|(\[timeout)|(PRM\|1\|D)|(kpr)|(kdp)|(train st.+moving)|(\|lc)|(penalty))"</v>
      </c>
      <c r="AG116" s="209" t="str">
        <f t="shared" si="42"/>
        <v>EC</v>
      </c>
      <c r="AH116" s="78" t="str">
        <f t="shared" si="44"/>
        <v>"%USERPROFILE%\Documents\GitHub\eaglep3\Utilities\RefineRTDCRunTimes.py" --tripid 204-26 --locoid 4053 --swversion DE.1.0.9.0 --startMP 204:233000 --initTime 2017-06-26T17:23:18 --startdatetime 2017-06-26T17:27:34 --delay 1 --endMP 204:136 --enddatetime 2017-06-26T18:07:21 --enforcementcount 0 &gt;&gt;C:\Users\stu\Documents\GitHub\eaglep3-reporting\EC\2017-06-26-refined-times.txt</v>
      </c>
      <c r="AI116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{"issue":{"subject":"","project_id":79,"tracker_id":40,"status_id":1,"priority_id":2,"assigned_to_id":23,"start_date":"2017-06-26","description":"","custom_fields":[{"id":1,"name":"Subdivision","value":"EC"},{"id":4,"name":"Milepost","value":"0.0136"},{"id":17,"name":"Train ID","value":"204-26"},{"id":16,"name":"Locomotive ID","value":"4053"},{"id":130,"name":"Impact","value":""},{"id":150,"name":"Time of Event (Mountain Time)","value":"18:07:21"},{"id":151,"name":"Denver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6"/>
        <v>start /low /b %USERPROFILE%\Documents\GitHub\eaglep3\Utilities\DownloadLogsFromS3.py --loco 4053 --day 2017-06-26</v>
      </c>
      <c r="AN116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645</v>
      </c>
      <c r="B117" s="7">
        <v>4014</v>
      </c>
      <c r="C117" s="21" t="s">
        <v>202</v>
      </c>
      <c r="D117" s="21" t="s">
        <v>466</v>
      </c>
      <c r="E117" s="13">
        <v>42912.691446759258</v>
      </c>
      <c r="F117" s="13">
        <v>42912.69840277778</v>
      </c>
      <c r="G117" s="7">
        <v>1</v>
      </c>
      <c r="H117" s="21" t="s">
        <v>574</v>
      </c>
      <c r="I117" s="13">
        <v>42912.723032407404</v>
      </c>
      <c r="J117" s="7">
        <v>0</v>
      </c>
      <c r="K117" s="89" t="str">
        <f t="shared" si="30"/>
        <v>4013/4014</v>
      </c>
      <c r="L117" s="21" t="str">
        <f>VLOOKUP(A117,'Trips&amp;Operators'!$C$1:$G$99999,5,FALSE)</f>
        <v>ROMERO CHAD</v>
      </c>
      <c r="M117" s="6">
        <f t="shared" si="31"/>
        <v>2.4629629624541849E-2</v>
      </c>
      <c r="N117" s="7">
        <f t="shared" si="48"/>
        <v>35.466666659340262</v>
      </c>
      <c r="O117" s="7"/>
      <c r="P117" s="7"/>
      <c r="Q117" s="22"/>
      <c r="R117" s="170"/>
      <c r="S117" s="213">
        <f t="shared" si="32"/>
        <v>1</v>
      </c>
      <c r="T117" s="195" t="str">
        <f t="shared" si="33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4"/>
        <v>https://d0f6bd738d7f1b3e5a7ca70fe4ff75f0.us-east-1.aws.found.io/app/kibana#/discover/Steve-Slow-Train-Analysis-(2080s-and-2083s)?_g=(refreshInterval:(display:Off,pause:!f,section:0,value:0),time:(from:'2017-06-26T15:35:41-0600',mode:absolute,to:'2017-06-26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7" s="197" t="str">
        <f>IF(AA117&lt;VLOOKUP(AG117,Variables!$AC$3:$AD$8,2,FALSE),"Y","N")</f>
        <v>N</v>
      </c>
      <c r="X117" s="197">
        <f t="shared" si="52"/>
        <v>1</v>
      </c>
      <c r="Y117" s="197">
        <f t="shared" si="49"/>
        <v>4.6399999999999997E-2</v>
      </c>
      <c r="Z117" s="197">
        <f t="shared" si="50"/>
        <v>23.333600000000001</v>
      </c>
      <c r="AA117" s="197">
        <f t="shared" si="38"/>
        <v>23.287200000000002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9"/>
        <v>205</v>
      </c>
      <c r="AE117" s="77" t="str">
        <f t="shared" si="40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117" s="74" t="str">
        <f t="shared" si="41"/>
        <v>"C:\Program Files (x86)\AstroGrep\AstroGrep.exe" /e /r /s /spath="%USERPROFILE%\AppData\Local\Temp\OnboardLogs" /stypes="app*4014*20170626*" /stext=" 23:.+((SYSTEM_STATE.+slice.+state.+changed )|(ment ac)|(multiple cpu faults)|(system.+state.+changed )|(\[timeout)|(PRM\|1\|D)|(kpr)|(kdp)|(train st.+moving)|(\|lc)|(penalty))"</v>
      </c>
      <c r="AG117" s="209" t="str">
        <f t="shared" si="42"/>
        <v>EC</v>
      </c>
      <c r="AH117" s="78" t="str">
        <f t="shared" si="44"/>
        <v>"%USERPROFILE%\Documents\GitHub\eaglep3\Utilities\RefineRTDCRunTimes.py" --tripid 205-26 --locoid 4014 --swversion DE.1.0.9.0 --startMP 204:464 --initTime 2017-06-26T16:35:41 --startdatetime 2017-06-26T16:45:42 --delay 1 --endMP 204:233336 --enddatetime 2017-06-26T17:21:10 --enforcementcount 0 &gt;&gt;C:\Users\stu\Documents\GitHub\eaglep3-reporting\EC\2017-06-26-refined-times.txt</v>
      </c>
      <c r="AI117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{"issue":{"subject":"","project_id":79,"tracker_id":40,"status_id":1,"priority_id":2,"assigned_to_id":23,"start_date":"2017-06-26","description":"","custom_fields":[{"id":1,"name":"Subdivision","value":"EC"},{"id":4,"name":"Milepost","value":"23.3336"},{"id":17,"name":"Train ID","value":"205-26"},{"id":16,"name":"Locomotive ID","value":"4014"},{"id":130,"name":"Impact","value":""},{"id":150,"name":"Time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6"/>
        <v>start /low /b %USERPROFILE%\Documents\GitHub\eaglep3\Utilities\DownloadLogsFromS3.py --loco 4014 --day 2017-06-26</v>
      </c>
      <c r="AN117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820</v>
      </c>
      <c r="B118" s="7">
        <v>4013</v>
      </c>
      <c r="C118" s="21" t="s">
        <v>202</v>
      </c>
      <c r="D118" s="21" t="s">
        <v>927</v>
      </c>
      <c r="E118" s="13">
        <v>42912.724942129629</v>
      </c>
      <c r="F118" s="13">
        <v>42912.737662037034</v>
      </c>
      <c r="G118" s="7">
        <v>1</v>
      </c>
      <c r="H118" s="21" t="s">
        <v>350</v>
      </c>
      <c r="I118" s="13">
        <v>42912.763553240744</v>
      </c>
      <c r="J118" s="7">
        <v>0</v>
      </c>
      <c r="K118" s="89" t="str">
        <f t="shared" si="30"/>
        <v>4013/4014</v>
      </c>
      <c r="L118" s="21" t="str">
        <f>VLOOKUP(A118,'Trips&amp;Operators'!$C$1:$G$99999,5,FALSE)</f>
        <v>ROMERO CHAD</v>
      </c>
      <c r="M118" s="6">
        <f t="shared" si="31"/>
        <v>2.5891203709761612E-2</v>
      </c>
      <c r="N118" s="7">
        <f t="shared" si="48"/>
        <v>37.283333342056721</v>
      </c>
      <c r="O118" s="7"/>
      <c r="P118" s="7"/>
      <c r="Q118" s="22"/>
      <c r="R118" s="170"/>
      <c r="S118" s="213">
        <f t="shared" si="32"/>
        <v>1</v>
      </c>
      <c r="T118" s="195" t="str">
        <f t="shared" si="33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4"/>
        <v>https://d0f6bd738d7f1b3e5a7ca70fe4ff75f0.us-east-1.aws.found.io/app/kibana#/discover/Steve-Slow-Train-Analysis-(2080s-and-2083s)?_g=(refreshInterval:(display:Off,pause:!f,section:0,value:0),time:(from:'2017-06-26T16:23:55-0600',mode:absolute,to:'2017-06-26T19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8" s="197" t="str">
        <f>IF(AA118&lt;VLOOKUP(AG118,Variables!$AC$3:$AD$8,2,FALSE),"Y","N")</f>
        <v>N</v>
      </c>
      <c r="X118" s="197">
        <f t="shared" si="52"/>
        <v>1</v>
      </c>
      <c r="Y118" s="197">
        <f t="shared" si="49"/>
        <v>23.303599999999999</v>
      </c>
      <c r="Z118" s="197">
        <f t="shared" si="50"/>
        <v>1.43E-2</v>
      </c>
      <c r="AA118" s="197">
        <f t="shared" si="38"/>
        <v>23.289300000000001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9"/>
        <v>206</v>
      </c>
      <c r="AE118" s="77" t="str">
        <f t="shared" si="40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118" s="74" t="str">
        <f t="shared" si="41"/>
        <v>"C:\Program Files (x86)\AstroGrep\AstroGrep.exe" /e /r /s /spath="%USERPROFILE%\AppData\Local\Temp\OnboardLogs" /stypes="app*4013*20170627*" /stext=" 00:.+((SYSTEM_STATE.+slice.+state.+changed )|(ment ac)|(multiple cpu faults)|(system.+state.+changed )|(\[timeout)|(PRM\|1\|D)|(kpr)|(kdp)|(train st.+moving)|(\|lc)|(penalty))"</v>
      </c>
      <c r="AG118" s="209" t="str">
        <f t="shared" si="42"/>
        <v>EC</v>
      </c>
      <c r="AH118" s="78" t="str">
        <f t="shared" si="44"/>
        <v>"%USERPROFILE%\Documents\GitHub\eaglep3\Utilities\RefineRTDCRunTimes.py" --tripid 206-26 --locoid 4013 --swversion DE.1.0.9.0 --startMP 204:233036 --initTime 2017-06-26T17:23:55 --startdatetime 2017-06-26T17:42:14 --delay 1 --endMP 204:143 --enddatetime 2017-06-26T18:19:31 --enforcementcount 0 &gt;&gt;C:\Users\stu\Documents\GitHub\eaglep3-reporting\EC\2017-06-26-refined-times.txt</v>
      </c>
      <c r="AI118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{"issue":{"subject":"","project_id":79,"tracker_id":40,"status_id":1,"priority_id":2,"assigned_to_id":23,"start_date":"2017-06-26","description":"","custom_fields":[{"id":1,"name":"Subdivision","value":"EC"},{"id":4,"name":"Milepost","value":"0.0143"},{"id":17,"name":"Train ID","value":"206-26"},{"id":16,"name":"Locomotive ID","value":"4013"},{"id":130,"name":"Impact","value":""},{"id":150,"name":"Time of Event (Mountain Time)","value":"18:19:31"},{"id":151,"name":"Denver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6"/>
        <v>start /low /b %USERPROFILE%\Documents\GitHub\eaglep3\Utilities\DownloadLogsFromS3.py --loco 4013 --day 2017-06-26</v>
      </c>
      <c r="AN118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813</v>
      </c>
      <c r="B119" s="7">
        <v>4030</v>
      </c>
      <c r="C119" s="21" t="s">
        <v>202</v>
      </c>
      <c r="D119" s="21" t="s">
        <v>199</v>
      </c>
      <c r="E119" s="13">
        <v>42912.703981481478</v>
      </c>
      <c r="F119" s="13">
        <v>42912.708622685182</v>
      </c>
      <c r="G119" s="7">
        <v>1</v>
      </c>
      <c r="H119" s="21" t="s">
        <v>532</v>
      </c>
      <c r="I119" s="13">
        <v>42912.734768518516</v>
      </c>
      <c r="J119" s="7">
        <v>0</v>
      </c>
      <c r="K119" s="89" t="str">
        <f t="shared" si="30"/>
        <v>4029/4030</v>
      </c>
      <c r="L119" s="21" t="str">
        <f>VLOOKUP(A119,'Trips&amp;Operators'!$C$1:$G$99999,5,FALSE)</f>
        <v>LEVERE CRAIG</v>
      </c>
      <c r="M119" s="6">
        <f t="shared" si="31"/>
        <v>2.6145833333430346E-2</v>
      </c>
      <c r="N119" s="7">
        <f t="shared" si="48"/>
        <v>37.650000000139698</v>
      </c>
      <c r="O119" s="7"/>
      <c r="P119" s="7"/>
      <c r="Q119" s="22"/>
      <c r="R119" s="170"/>
      <c r="S119" s="213">
        <f t="shared" si="32"/>
        <v>1</v>
      </c>
      <c r="T119" s="195" t="str">
        <f t="shared" si="33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4"/>
        <v>https://d0f6bd738d7f1b3e5a7ca70fe4ff75f0.us-east-1.aws.found.io/app/kibana#/discover/Steve-Slow-Train-Analysis-(2080s-and-2083s)?_g=(refreshInterval:(display:Off,pause:!f,section:0,value:0),time:(from:'2017-06-26T15:53:44-0600',mode:absolute,to:'2017-06-26T18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197" t="str">
        <f>IF(AA119&lt;VLOOKUP(AG119,Variables!$AC$3:$AD$8,2,FALSE),"Y","N")</f>
        <v>N</v>
      </c>
      <c r="X119" s="197">
        <f t="shared" si="52"/>
        <v>1</v>
      </c>
      <c r="Y119" s="197">
        <f t="shared" si="49"/>
        <v>4.5999999999999999E-2</v>
      </c>
      <c r="Z119" s="197">
        <f t="shared" si="50"/>
        <v>23.332899999999999</v>
      </c>
      <c r="AA119" s="197">
        <f t="shared" si="38"/>
        <v>23.286899999999999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9"/>
        <v>207</v>
      </c>
      <c r="AE119" s="77" t="str">
        <f t="shared" si="40"/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119" s="74" t="str">
        <f t="shared" si="41"/>
        <v>"C:\Program Files (x86)\AstroGrep\AstroGrep.exe" /e /r /s /spath="%USERPROFILE%\AppData\Local\Temp\OnboardLogs" /stypes="app*4030*20170626*" /stext=" 23:.+((SYSTEM_STATE.+slice.+state.+changed )|(ment ac)|(multiple cpu faults)|(system.+state.+changed )|(\[timeout)|(PRM\|1\|D)|(kpr)|(kdp)|(train st.+moving)|(\|lc)|(penalty))"</v>
      </c>
      <c r="AG119" s="209" t="str">
        <f t="shared" si="42"/>
        <v>EC</v>
      </c>
      <c r="AH119" s="78" t="str">
        <f t="shared" si="44"/>
        <v>"%USERPROFILE%\Documents\GitHub\eaglep3\Utilities\RefineRTDCRunTimes.py" --tripid 207-26 --locoid 4030 --swversion DE.1.0.9.0 --startMP 204:460 --initTime 2017-06-26T16:53:44 --startdatetime 2017-06-26T17:00:25 --delay 1 --endMP 204:233329 --enddatetime 2017-06-26T17:38:04 --enforcementcount 0 &gt;&gt;C:\Users\stu\Documents\GitHub\eaglep3-reporting\EC\2017-06-26-refined-times.txt</v>
      </c>
      <c r="AI119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{"issue":{"subject":"","project_id":79,"tracker_id":40,"status_id":1,"priority_id":2,"assigned_to_id":23,"start_date":"2017-06-26","description":"","custom_fields":[{"id":1,"name":"Subdivision","value":"EC"},{"id":4,"name":"Milepost","value":"23.3329"},{"id":17,"name":"Train ID","value":"207-26"},{"id":16,"name":"Locomotive ID","value":"4030"},{"id":130,"name":"Impact","value":""},{"id":150,"name":"Time of Event (Mountain Time)","value":"17:38:04"},{"id":151,"name":"Denver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6"/>
        <v>start /low /b %USERPROFILE%\Documents\GitHub\eaglep3\Utilities\DownloadLogsFromS3.py --loco 4030 --day 2017-06-26</v>
      </c>
      <c r="AN119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825</v>
      </c>
      <c r="B120" s="7">
        <v>4029</v>
      </c>
      <c r="C120" s="21" t="s">
        <v>202</v>
      </c>
      <c r="D120" s="21" t="s">
        <v>875</v>
      </c>
      <c r="E120" s="13">
        <v>42912.741759259261</v>
      </c>
      <c r="F120" s="13">
        <v>42912.748148148145</v>
      </c>
      <c r="G120" s="7">
        <v>1</v>
      </c>
      <c r="H120" s="21" t="s">
        <v>193</v>
      </c>
      <c r="I120" s="13">
        <v>42912.777233796296</v>
      </c>
      <c r="J120" s="7">
        <v>0</v>
      </c>
      <c r="K120" s="89" t="str">
        <f t="shared" si="30"/>
        <v>4029/4030</v>
      </c>
      <c r="L120" s="21" t="str">
        <f>VLOOKUP(A120,'Trips&amp;Operators'!$C$1:$G$99999,5,FALSE)</f>
        <v>LEVERE CRAIG</v>
      </c>
      <c r="M120" s="6">
        <f t="shared" si="31"/>
        <v>2.9085648151522037E-2</v>
      </c>
      <c r="N120" s="7">
        <f t="shared" si="48"/>
        <v>41.883333338191733</v>
      </c>
      <c r="O120" s="7"/>
      <c r="P120" s="7"/>
      <c r="Q120" s="22"/>
      <c r="R120" s="170"/>
      <c r="S120" s="213">
        <f t="shared" si="32"/>
        <v>1</v>
      </c>
      <c r="T120" s="195" t="str">
        <f t="shared" si="33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4"/>
        <v>https://d0f6bd738d7f1b3e5a7ca70fe4ff75f0.us-east-1.aws.found.io/app/kibana#/discover/Steve-Slow-Train-Analysis-(2080s-and-2083s)?_g=(refreshInterval:(display:Off,pause:!f,section:0,value:0),time:(from:'2017-06-26T16:48:08-0600',mode:absolute,to:'2017-06-26T19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197" t="str">
        <f>IF(AA120&lt;VLOOKUP(AG120,Variables!$AC$3:$AD$8,2,FALSE),"Y","N")</f>
        <v>N</v>
      </c>
      <c r="X120" s="197">
        <f t="shared" si="52"/>
        <v>1</v>
      </c>
      <c r="Y120" s="197">
        <f t="shared" si="49"/>
        <v>23.300999999999998</v>
      </c>
      <c r="Z120" s="197">
        <f t="shared" si="50"/>
        <v>1.52E-2</v>
      </c>
      <c r="AA120" s="197">
        <f t="shared" si="38"/>
        <v>23.285799999999998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9"/>
        <v>208</v>
      </c>
      <c r="AE120" s="77" t="str">
        <f t="shared" si="40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120" s="74" t="str">
        <f t="shared" si="41"/>
        <v>"C:\Program Files (x86)\AstroGrep\AstroGrep.exe" /e /r /s /spath="%USERPROFILE%\AppData\Local\Temp\OnboardLogs" /stypes="app*4029*20170627*" /stext=" 00:.+((SYSTEM_STATE.+slice.+state.+changed )|(ment ac)|(multiple cpu faults)|(system.+state.+changed )|(\[timeout)|(PRM\|1\|D)|(kpr)|(kdp)|(train st.+moving)|(\|lc)|(penalty))"</v>
      </c>
      <c r="AG120" s="209" t="str">
        <f t="shared" si="42"/>
        <v>EC</v>
      </c>
      <c r="AH120" s="78" t="str">
        <f t="shared" si="44"/>
        <v>"%USERPROFILE%\Documents\GitHub\eaglep3\Utilities\RefineRTDCRunTimes.py" --tripid 208-26 --locoid 4029 --swversion DE.1.0.9.0 --startMP 204:233010 --initTime 2017-06-26T17:48:08 --startdatetime 2017-06-26T17:57:20 --delay 1 --endMP 204:152 --enddatetime 2017-06-26T18:39:13 --enforcementcount 0 &gt;&gt;C:\Users\stu\Documents\GitHub\eaglep3-reporting\EC\2017-06-26-refined-times.txt</v>
      </c>
      <c r="AI12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ID","value":"208-26"},{"id":16,"name":"Locomotive ID","value":"4029"},{"id":130,"name":"Impact","value":""},{"id":150,"name":"Time of Event (Mountain Time)","value":"18:39:13"},{"id":151,"name":"Denver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6"/>
        <v>start /low /b %USERPROFILE%\Documents\GitHub\eaglep3\Utilities\DownloadLogsFromS3.py --loco 4029 --day 2017-06-26</v>
      </c>
      <c r="AN120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816</v>
      </c>
      <c r="B121" s="7">
        <v>4016</v>
      </c>
      <c r="C121" s="21" t="s">
        <v>202</v>
      </c>
      <c r="D121" s="21" t="s">
        <v>343</v>
      </c>
      <c r="E121" s="13">
        <v>42912.715555555558</v>
      </c>
      <c r="F121" s="13">
        <v>42912.718923611108</v>
      </c>
      <c r="G121" s="7">
        <v>1</v>
      </c>
      <c r="H121" s="21" t="s">
        <v>874</v>
      </c>
      <c r="I121" s="13">
        <v>42912.744085648148</v>
      </c>
      <c r="J121" s="7">
        <v>0</v>
      </c>
      <c r="K121" s="89" t="str">
        <f t="shared" si="30"/>
        <v>4015/4016</v>
      </c>
      <c r="L121" s="21" t="str">
        <f>VLOOKUP(A121,'Trips&amp;Operators'!$C$1:$G$99999,5,FALSE)</f>
        <v>BRUDER RICHARD</v>
      </c>
      <c r="M121" s="6">
        <f t="shared" si="31"/>
        <v>2.5162037039990537E-2</v>
      </c>
      <c r="N121" s="7">
        <f t="shared" si="48"/>
        <v>36.233333337586373</v>
      </c>
      <c r="O121" s="7"/>
      <c r="P121" s="7"/>
      <c r="Q121" s="22"/>
      <c r="R121" s="170"/>
      <c r="S121" s="213">
        <f t="shared" si="32"/>
        <v>1</v>
      </c>
      <c r="T121" s="195" t="str">
        <f t="shared" si="33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4"/>
        <v>https://d0f6bd738d7f1b3e5a7ca70fe4ff75f0.us-east-1.aws.found.io/app/kibana#/discover/Steve-Slow-Train-Analysis-(2080s-and-2083s)?_g=(refreshInterval:(display:Off,pause:!f,section:0,value:0),time:(from:'2017-06-26T16:10:24-0600',mode:absolute,to:'2017-06-26T18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97" t="str">
        <f>IF(AA121&lt;VLOOKUP(AG121,Variables!$AC$3:$AD$8,2,FALSE),"Y","N")</f>
        <v>N</v>
      </c>
      <c r="X121" s="197">
        <f t="shared" si="52"/>
        <v>1</v>
      </c>
      <c r="Y121" s="197">
        <f t="shared" si="49"/>
        <v>4.4900000000000002E-2</v>
      </c>
      <c r="Z121" s="197">
        <f t="shared" si="50"/>
        <v>23.3291</v>
      </c>
      <c r="AA121" s="197">
        <f t="shared" si="38"/>
        <v>23.284200000000002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9"/>
        <v>209</v>
      </c>
      <c r="AE121" s="77" t="str">
        <f t="shared" si="40"/>
        <v>aws s3 cp s3://rtdc.mdm.uploadarchive.raw/RTDC4016/ "%USERPROFILE%\AppData\Local\Temp\OnboardLogs"\RTDC4016\2017-06-26 --exclude "*" --recursive --include "*20170626*" &amp; "%USERPROFILE%\Documents\GitHub\mrs-test-scripts\Headless Mode &amp; Sideloading\WalkAndUnGZ.bat" "%USERPROFILE%\AppData\Local\Temp\OnboardLogs"\RTDC4016\2017-06-26 &amp; 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</v>
      </c>
      <c r="AF121" s="74" t="str">
        <f t="shared" si="41"/>
        <v>"C:\Program Files (x86)\AstroGrep\AstroGrep.exe" /e /r /s /spath="%USERPROFILE%\AppData\Local\Temp\OnboardLogs" /stypes="app*4016*20170626*" /stext=" 23:.+((SYSTEM_STATE.+slice.+state.+changed )|(ment ac)|(multiple cpu faults)|(system.+state.+changed )|(\[timeout)|(PRM\|1\|D)|(kpr)|(kdp)|(train st.+moving)|(\|lc)|(penalty))"</v>
      </c>
      <c r="AG121" s="209" t="str">
        <f t="shared" si="42"/>
        <v>EC</v>
      </c>
      <c r="AH121" s="78" t="str">
        <f t="shared" si="44"/>
        <v>"%USERPROFILE%\Documents\GitHub\eaglep3\Utilities\RefineRTDCRunTimes.py" --tripid 209-26 --locoid 4016 --swversion DE.1.0.9.0 --startMP 204:449 --initTime 2017-06-26T17:10:24 --startdatetime 2017-06-26T17:15:15 --delay 1 --endMP 204:233291 --enddatetime 2017-06-26T17:51:29 --enforcementcount 0 &gt;&gt;C:\Users\stu\Documents\GitHub\eaglep3-reporting\EC\2017-06-26-refined-times.txt</v>
      </c>
      <c r="AI12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{"issue":{"subject":"","project_id":79,"tracker_id":40,"status_id":1,"priority_id":2,"assigned_to_id":23,"start_date":"2017-06-26","description":"","custom_fields":[{"id":1,"name":"Subdivision","value":"EC"},{"id":4,"name":"Milepost","value":"23.3291"},{"id":17,"name":"Train ID","value":"209-26"},{"id":16,"name":"Locomotive ID","value":"4016"},{"id":130,"name":"Impact","value":""},{"id":150,"name":"Time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6"/>
        <v>start /low /b %USERPROFILE%\Documents\GitHub\eaglep3\Utilities\DownloadLogsFromS3.py --loco 4016 --day 2017-06-26</v>
      </c>
      <c r="AN121" s="151" t="str">
        <f t="shared" si="47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828</v>
      </c>
      <c r="B122" s="7">
        <v>4015</v>
      </c>
      <c r="C122" s="21" t="s">
        <v>202</v>
      </c>
      <c r="D122" s="21" t="s">
        <v>443</v>
      </c>
      <c r="E122" s="13">
        <v>42912.752291666664</v>
      </c>
      <c r="F122" s="13">
        <v>42912.758518518516</v>
      </c>
      <c r="G122" s="7">
        <v>1</v>
      </c>
      <c r="H122" s="21" t="s">
        <v>482</v>
      </c>
      <c r="I122" s="13">
        <v>42912.784432870372</v>
      </c>
      <c r="J122" s="7">
        <v>0</v>
      </c>
      <c r="K122" s="89" t="str">
        <f t="shared" si="30"/>
        <v>4015/4016</v>
      </c>
      <c r="L122" s="21" t="str">
        <f>VLOOKUP(A122,'Trips&amp;Operators'!$C$1:$G$99999,5,FALSE)</f>
        <v>BRUDER RICHARD</v>
      </c>
      <c r="M122" s="6">
        <f t="shared" si="31"/>
        <v>2.5914351856044959E-2</v>
      </c>
      <c r="N122" s="7">
        <f t="shared" si="48"/>
        <v>37.316666672704741</v>
      </c>
      <c r="O122" s="7"/>
      <c r="P122" s="7"/>
      <c r="Q122" s="22"/>
      <c r="R122" s="170"/>
      <c r="S122" s="213">
        <f t="shared" si="32"/>
        <v>1</v>
      </c>
      <c r="T122" s="195" t="str">
        <f t="shared" si="33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4"/>
        <v>https://d0f6bd738d7f1b3e5a7ca70fe4ff75f0.us-east-1.aws.found.io/app/kibana#/discover/Steve-Slow-Train-Analysis-(2080s-and-2083s)?_g=(refreshInterval:(display:Off,pause:!f,section:0,value:0),time:(from:'2017-06-26T17:03:18-0600',mode:absolute,to:'2017-06-26T19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97" t="str">
        <f>IF(AA122&lt;VLOOKUP(AG122,Variables!$AC$3:$AD$8,2,FALSE),"Y","N")</f>
        <v>N</v>
      </c>
      <c r="X122" s="197">
        <f t="shared" si="52"/>
        <v>1</v>
      </c>
      <c r="Y122" s="197">
        <f t="shared" si="49"/>
        <v>23.299399999999999</v>
      </c>
      <c r="Z122" s="197">
        <f t="shared" si="50"/>
        <v>1.61E-2</v>
      </c>
      <c r="AA122" s="197">
        <f t="shared" si="38"/>
        <v>23.283299999999997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9"/>
        <v>210</v>
      </c>
      <c r="AE122" s="77" t="str">
        <f t="shared" si="40"/>
        <v>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 &amp; 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</v>
      </c>
      <c r="AF122" s="74" t="str">
        <f t="shared" si="41"/>
        <v>"C:\Program Files (x86)\AstroGrep\AstroGrep.exe" /e /r /s /spath="%USERPROFILE%\AppData\Local\Temp\OnboardLogs" /stypes="app*4015*20170627*" /stext=" 00:.+((SYSTEM_STATE.+slice.+state.+changed )|(ment ac)|(multiple cpu faults)|(system.+state.+changed )|(\[timeout)|(PRM\|1\|D)|(kpr)|(kdp)|(train st.+moving)|(\|lc)|(penalty))"</v>
      </c>
      <c r="AG122" s="209" t="str">
        <f t="shared" si="42"/>
        <v>EC</v>
      </c>
      <c r="AH122" s="78" t="str">
        <f t="shared" si="44"/>
        <v>"%USERPROFILE%\Documents\GitHub\eaglep3\Utilities\RefineRTDCRunTimes.py" --tripid 210-26 --locoid 4015 --swversion DE.1.0.9.0 --startMP 204:232994 --initTime 2017-06-26T18:03:18 --startdatetime 2017-06-26T18:12:16 --delay 1 --endMP 204:161 --enddatetime 2017-06-26T18:49:35 --enforcementcount 0 &gt;&gt;C:\Users\stu\Documents\GitHub\eaglep3-reporting\EC\2017-06-26-refined-times.txt</v>
      </c>
      <c r="AI12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{"issue":{"subject":"","project_id":79,"tracker_id":40,"status_id":1,"priority_id":2,"assigned_to_id":23,"start_date":"2017-06-26","description":"","custom_fields":[{"id":1,"name":"Subdivision","value":"EC"},{"id":4,"name":"Milepost","value":"0.0161"},{"id":17,"name":"Train ID","value":"210-26"},{"id":16,"name":"Locomotive ID","value":"4015"},{"id":130,"name":"Impact","value":""},{"id":150,"name":"Time of Event (Mountain Time)","value":"18:49:35"},{"id":151,"name":"Denver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6"/>
        <v>start /low /b %USERPROFILE%\Documents\GitHub\eaglep3\Utilities\DownloadLogsFromS3.py --loco 4015 --day 2017-06-26</v>
      </c>
      <c r="AN122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821</v>
      </c>
      <c r="B123" s="7">
        <v>4046</v>
      </c>
      <c r="C123" s="21" t="s">
        <v>202</v>
      </c>
      <c r="D123" s="21" t="s">
        <v>500</v>
      </c>
      <c r="E123" s="13">
        <v>42912.725983796299</v>
      </c>
      <c r="F123" s="13">
        <v>42912.729456018518</v>
      </c>
      <c r="G123" s="7">
        <v>1</v>
      </c>
      <c r="H123" s="21" t="s">
        <v>583</v>
      </c>
      <c r="I123" s="13">
        <v>42912.757939814815</v>
      </c>
      <c r="J123" s="7">
        <v>0</v>
      </c>
      <c r="K123" s="89" t="str">
        <f t="shared" si="30"/>
        <v>4045/4046</v>
      </c>
      <c r="L123" s="21" t="str">
        <f>VLOOKUP(A123,'Trips&amp;Operators'!$C$1:$G$99999,5,FALSE)</f>
        <v>BRANDNER MELINDA</v>
      </c>
      <c r="M123" s="6">
        <f t="shared" si="31"/>
        <v>2.8483796297223307E-2</v>
      </c>
      <c r="N123" s="7">
        <f t="shared" si="48"/>
        <v>41.016666668001562</v>
      </c>
      <c r="O123" s="7"/>
      <c r="P123" s="7"/>
      <c r="Q123" s="22"/>
      <c r="R123" s="170"/>
      <c r="S123" s="213">
        <f t="shared" si="32"/>
        <v>1</v>
      </c>
      <c r="T123" s="195" t="str">
        <f t="shared" si="33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4"/>
        <v>https://d0f6bd738d7f1b3e5a7ca70fe4ff75f0.us-east-1.aws.found.io/app/kibana#/discover/Steve-Slow-Train-Analysis-(2080s-and-2083s)?_g=(refreshInterval:(display:Off,pause:!f,section:0,value:0),time:(from:'2017-06-26T16:25:25-0600',mode:absolute,to:'2017-06-26T19:11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3" s="197" t="str">
        <f>IF(AA123&lt;VLOOKUP(AG123,Variables!$AC$3:$AD$8,2,FALSE),"Y","N")</f>
        <v>N</v>
      </c>
      <c r="X123" s="197">
        <f t="shared" si="52"/>
        <v>1</v>
      </c>
      <c r="Y123" s="197">
        <f t="shared" si="49"/>
        <v>4.3299999999999998E-2</v>
      </c>
      <c r="Z123" s="197">
        <f t="shared" si="50"/>
        <v>23.333400000000001</v>
      </c>
      <c r="AA123" s="197">
        <f t="shared" si="38"/>
        <v>23.290100000000002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9"/>
        <v>211</v>
      </c>
      <c r="AE123" s="77" t="str">
        <f t="shared" si="40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123" s="74" t="str">
        <f t="shared" si="41"/>
        <v>"C:\Program Files (x86)\AstroGrep\AstroGrep.exe" /e /r /s /spath="%USERPROFILE%\AppData\Local\Temp\OnboardLogs" /stypes="app*4046*20170627*" /stext=" 00:.+((SYSTEM_STATE.+slice.+state.+changed )|(ment ac)|(multiple cpu faults)|(system.+state.+changed )|(\[timeout)|(PRM\|1\|D)|(kpr)|(kdp)|(train st.+moving)|(\|lc)|(penalty))"</v>
      </c>
      <c r="AG123" s="209" t="str">
        <f t="shared" si="42"/>
        <v>EC</v>
      </c>
      <c r="AH123" s="78" t="str">
        <f t="shared" si="44"/>
        <v>"%USERPROFILE%\Documents\GitHub\eaglep3\Utilities\RefineRTDCRunTimes.py" --tripid 211-26 --locoid 4046 --swversion DE.1.0.9.0 --startMP 204:433 --initTime 2017-06-26T17:25:25 --startdatetime 2017-06-26T17:30:25 --delay 1 --endMP 204:233334 --enddatetime 2017-06-26T18:11:26 --enforcementcount 0 &gt;&gt;C:\Users\stu\Documents\GitHub\eaglep3-reporting\EC\2017-06-26-refined-times.txt</v>
      </c>
      <c r="AI123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{"issue":{"subject":"","project_id":79,"tracker_id":40,"status_id":1,"priority_id":2,"assigned_to_id":23,"start_date":"2017-06-26","description":"","custom_fields":[{"id":1,"name":"Subdivision","value":"EC"},{"id":4,"name":"Milepost","value":"23.3334"},{"id":17,"name":"Train ID","value":"211-26"},{"id":16,"name":"Locomotive ID","value":"4046"},{"id":130,"name":"Impact","value":""},{"id":150,"name":"Time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6"/>
        <v>start /low /b %USERPROFILE%\Documents\GitHub\eaglep3\Utilities\DownloadLogsFromS3.py --loco 4046 --day 2017-06-26</v>
      </c>
      <c r="AN123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00:11:26"},{"id":29,"name":"Sharepoint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648</v>
      </c>
      <c r="B124" s="7">
        <v>4045</v>
      </c>
      <c r="C124" s="21" t="s">
        <v>202</v>
      </c>
      <c r="D124" s="21" t="s">
        <v>485</v>
      </c>
      <c r="E124" s="13">
        <v>42912.766793981478</v>
      </c>
      <c r="F124" s="13">
        <v>42912.768935185188</v>
      </c>
      <c r="G124" s="7">
        <v>1</v>
      </c>
      <c r="H124" s="21" t="s">
        <v>451</v>
      </c>
      <c r="I124" s="13">
        <v>42912.797777777778</v>
      </c>
      <c r="J124" s="7">
        <v>0</v>
      </c>
      <c r="K124" s="89" t="str">
        <f t="shared" si="30"/>
        <v>4045/4046</v>
      </c>
      <c r="L124" s="21" t="str">
        <f>VLOOKUP(A124,'Trips&amp;Operators'!$C$1:$G$99999,5,FALSE)</f>
        <v>BRANDNER MELINDA</v>
      </c>
      <c r="M124" s="6">
        <f t="shared" si="31"/>
        <v>2.884259259008104E-2</v>
      </c>
      <c r="N124" s="7">
        <f t="shared" si="48"/>
        <v>41.533333329716697</v>
      </c>
      <c r="O124" s="7"/>
      <c r="P124" s="7"/>
      <c r="Q124" s="22"/>
      <c r="R124" s="170"/>
      <c r="S124" s="213">
        <f t="shared" si="32"/>
        <v>1</v>
      </c>
      <c r="T124" s="195" t="str">
        <f t="shared" si="33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4"/>
        <v>https://d0f6bd738d7f1b3e5a7ca70fe4ff75f0.us-east-1.aws.found.io/app/kibana#/discover/Steve-Slow-Train-Analysis-(2080s-and-2083s)?_g=(refreshInterval:(display:Off,pause:!f,section:0,value:0),time:(from:'2017-06-26T17:24:11-0600',mode:absolute,to:'2017-06-26T20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4" s="197" t="str">
        <f>IF(AA124&lt;VLOOKUP(AG124,Variables!$AC$3:$AD$8,2,FALSE),"Y","N")</f>
        <v>N</v>
      </c>
      <c r="X124" s="197">
        <f t="shared" si="52"/>
        <v>1</v>
      </c>
      <c r="Y124" s="197">
        <f t="shared" si="49"/>
        <v>23.3004</v>
      </c>
      <c r="Z124" s="197">
        <f t="shared" si="50"/>
        <v>1.38E-2</v>
      </c>
      <c r="AA124" s="197">
        <f t="shared" si="38"/>
        <v>23.2866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9"/>
        <v>212</v>
      </c>
      <c r="AE124" s="77" t="str">
        <f t="shared" si="40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124" s="74" t="str">
        <f t="shared" si="41"/>
        <v>"C:\Program Files (x86)\AstroGrep\AstroGrep.exe" /e /r /s /spath="%USERPROFILE%\AppData\Local\Temp\OnboardLogs" /stypes="app*4045*20170627*" /stext=" 01:.+((SYSTEM_STATE.+slice.+state.+changed )|(ment ac)|(multiple cpu faults)|(system.+state.+changed )|(\[timeout)|(PRM\|1\|D)|(kpr)|(kdp)|(train st.+moving)|(\|lc)|(penalty))"</v>
      </c>
      <c r="AG124" s="209" t="str">
        <f t="shared" si="42"/>
        <v>EC</v>
      </c>
      <c r="AH124" s="78" t="str">
        <f t="shared" si="44"/>
        <v>"%USERPROFILE%\Documents\GitHub\eaglep3\Utilities\RefineRTDCRunTimes.py" --tripid 212-26 --locoid 4045 --swversion DE.1.0.9.0 --startMP 204:233004 --initTime 2017-06-26T18:24:11 --startdatetime 2017-06-26T18:27:16 --delay 1 --endMP 204:138 --enddatetime 2017-06-26T19:08:48 --enforcementcount 0 &gt;&gt;C:\Users\stu\Documents\GitHub\eaglep3-reporting\EC\2017-06-26-refined-times.txt</v>
      </c>
      <c r="AI124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{"issue":{"subject":"","project_id":79,"tracker_id":40,"status_id":1,"priority_id":2,"assigned_to_id":23,"start_date":"2017-06-26","description":"","custom_fields":[{"id":1,"name":"Subdivision","value":"EC"},{"id":4,"name":"Milepost","value":"0.0138"},{"id":17,"name":"Train ID","value":"212-26"},{"id":16,"name":"Locomotive ID","value":"4045"},{"id":130,"name":"Impact","value":""},{"id":150,"name":"Time of Event (Mountain Time)","value":"19:08:48"},{"id":151,"name":"Denver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6"/>
        <v>start /low /b %USERPROFILE%\Documents\GitHub\eaglep3\Utilities\DownloadLogsFromS3.py --loco 4045 --day 2017-06-26</v>
      </c>
      <c r="AN124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823</v>
      </c>
      <c r="B125" s="7">
        <v>4058</v>
      </c>
      <c r="C125" s="21" t="s">
        <v>202</v>
      </c>
      <c r="D125" s="21" t="s">
        <v>928</v>
      </c>
      <c r="E125" s="13">
        <v>42912.733298611114</v>
      </c>
      <c r="F125" s="13">
        <v>42912.739803240744</v>
      </c>
      <c r="G125" s="7">
        <v>6</v>
      </c>
      <c r="H125" s="21" t="s">
        <v>929</v>
      </c>
      <c r="I125" s="13">
        <v>42912.765532407408</v>
      </c>
      <c r="J125" s="7">
        <v>0</v>
      </c>
      <c r="K125" s="89" t="str">
        <f t="shared" si="30"/>
        <v>4057/4058</v>
      </c>
      <c r="L125" s="21" t="str">
        <f>VLOOKUP(A125,'Trips&amp;Operators'!$C$1:$G$99999,5,FALSE)</f>
        <v>SMITH MICHAEL</v>
      </c>
      <c r="M125" s="6">
        <f t="shared" si="31"/>
        <v>2.5729166663950309E-2</v>
      </c>
      <c r="N125" s="7">
        <f t="shared" si="48"/>
        <v>37.049999996088445</v>
      </c>
      <c r="O125" s="7"/>
      <c r="P125" s="7"/>
      <c r="Q125" s="22"/>
      <c r="R125" s="170"/>
      <c r="S125" s="213">
        <f t="shared" si="32"/>
        <v>1</v>
      </c>
      <c r="T125" s="195" t="str">
        <f t="shared" si="33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4"/>
        <v>https://d0f6bd738d7f1b3e5a7ca70fe4ff75f0.us-east-1.aws.found.io/app/kibana#/discover/Steve-Slow-Train-Analysis-(2080s-and-2083s)?_g=(refreshInterval:(display:Off,pause:!f,section:0,value:0),time:(from:'2017-06-26T16:35:57-0600',mode:absolute,to:'2017-06-26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5" s="197" t="str">
        <f>IF(AA125&lt;VLOOKUP(AG125,Variables!$AC$3:$AD$8,2,FALSE),"Y","N")</f>
        <v>N</v>
      </c>
      <c r="X125" s="197">
        <f t="shared" si="52"/>
        <v>1</v>
      </c>
      <c r="Y125" s="197">
        <v>4.7100000000000003E-2</v>
      </c>
      <c r="Z125" s="197">
        <v>23.340800000000002</v>
      </c>
      <c r="AA125" s="197">
        <f t="shared" si="38"/>
        <v>23.293700000000001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9"/>
        <v>213</v>
      </c>
      <c r="AE125" s="77" t="str">
        <f t="shared" si="40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125" s="74" t="str">
        <f t="shared" si="41"/>
        <v>"C:\Program Files (x86)\AstroGrep\AstroGrep.exe" /e /r /s /spath="%USERPROFILE%\AppData\Local\Temp\OnboardLogs" /stypes="app*4058*20170627*" /stext=" 00:.+((SYSTEM_STATE.+slice.+state.+changed )|(ment ac)|(multiple cpu faults)|(system.+state.+changed )|(\[timeout)|(PRM\|1\|D)|(kpr)|(kdp)|(train st.+moving)|(\|lc)|(penalty))"</v>
      </c>
      <c r="AG125" s="209" t="str">
        <f t="shared" si="42"/>
        <v>EC</v>
      </c>
      <c r="AH125" s="78" t="str">
        <f t="shared" si="44"/>
        <v>"%USERPROFILE%\Documents\GitHub\eaglep3\Utilities\RefineRTDCRunTimes.py" --tripid 213-26 --locoid 4058 --swversion DE.1.0.9.0 --startMP 204:495 --initTime 2017-06-26T17:35:57 --startdatetime 2017-06-26T17:45:19 --delay 6 --endMP 204:3560 --enddatetime 2017-06-26T18:22:22 --enforcementcount 0 &gt;&gt;C:\Users\stu\Documents\GitHub\eaglep3-reporting\EC\2017-06-26-refined-times.txt</v>
      </c>
      <c r="AI125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{"issue":{"subject":"","project_id":79,"tracker_id":40,"status_id":1,"priority_id":2,"assigned_to_id":23,"start_date":"2017-06-26","description":"","custom_fields":[{"id":1,"name":"Subdivision","value":"EC"},{"id":4,"name":"Milepost","value":"23.3408"},{"id":17,"name":"Train ID","value":"213-26"},{"id":16,"name":"Locomotive ID","value":"4058"},{"id":130,"name":"Impact","value":""},{"id":150,"name":"Time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6"/>
        <v>start /low /b %USERPROFILE%\Documents\GitHub\eaglep3\Utilities\DownloadLogsFromS3.py --loco 4058 --day 2017-06-26</v>
      </c>
      <c r="AN125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834</v>
      </c>
      <c r="B126" s="7">
        <v>4057</v>
      </c>
      <c r="C126" s="21" t="s">
        <v>202</v>
      </c>
      <c r="D126" s="21" t="s">
        <v>609</v>
      </c>
      <c r="E126" s="13">
        <v>42912.771874999999</v>
      </c>
      <c r="F126" s="13">
        <v>42912.779386574075</v>
      </c>
      <c r="G126" s="7">
        <v>2</v>
      </c>
      <c r="H126" s="21" t="s">
        <v>394</v>
      </c>
      <c r="I126" s="13">
        <v>42912.805995370371</v>
      </c>
      <c r="J126" s="7">
        <v>0</v>
      </c>
      <c r="K126" s="89" t="str">
        <f t="shared" si="30"/>
        <v>4057/4058</v>
      </c>
      <c r="L126" s="21" t="str">
        <f>VLOOKUP(A126,'Trips&amp;Operators'!$C$1:$G$99999,5,FALSE)</f>
        <v>SMITH MICHAEL</v>
      </c>
      <c r="M126" s="6">
        <f t="shared" si="31"/>
        <v>2.6608796295477077E-2</v>
      </c>
      <c r="N126" s="7">
        <f t="shared" si="48"/>
        <v>38.316666665486991</v>
      </c>
      <c r="O126" s="7"/>
      <c r="P126" s="7"/>
      <c r="Q126" s="22"/>
      <c r="R126" s="170"/>
      <c r="S126" s="213">
        <f t="shared" si="32"/>
        <v>1</v>
      </c>
      <c r="T126" s="195" t="str">
        <f t="shared" si="33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4"/>
        <v>https://d0f6bd738d7f1b3e5a7ca70fe4ff75f0.us-east-1.aws.found.io/app/kibana#/discover/Steve-Slow-Train-Analysis-(2080s-and-2083s)?_g=(refreshInterval:(display:Off,pause:!f,section:0,value:0),time:(from:'2017-06-26T17:31:30-0600',mode:absolute,to:'2017-06-26T20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6" s="197" t="str">
        <f>IF(AA126&lt;VLOOKUP(AG126,Variables!$AC$3:$AD$8,2,FALSE),"Y","N")</f>
        <v>N</v>
      </c>
      <c r="X126" s="197">
        <f t="shared" si="52"/>
        <v>1</v>
      </c>
      <c r="Y126" s="197">
        <f t="shared" ref="Y126:Y134" si="53">RIGHT(D126,LEN(D126)-4)/10000</f>
        <v>23.296500000000002</v>
      </c>
      <c r="Z126" s="197">
        <f t="shared" ref="Z126:Z134" si="54">RIGHT(H126,LEN(H126)-4)/10000</f>
        <v>1.54E-2</v>
      </c>
      <c r="AA126" s="197">
        <f t="shared" si="38"/>
        <v>23.281100000000002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9"/>
        <v>214</v>
      </c>
      <c r="AE126" s="77" t="str">
        <f t="shared" si="40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126" s="74" t="str">
        <f t="shared" si="41"/>
        <v>"C:\Program Files (x86)\AstroGrep\AstroGrep.exe" /e /r /s /spath="%USERPROFILE%\AppData\Local\Temp\OnboardLogs" /stypes="app*4057*20170627*" /stext=" 01:.+((SYSTEM_STATE.+slice.+state.+changed )|(ment ac)|(multiple cpu faults)|(system.+state.+changed )|(\[timeout)|(PRM\|1\|D)|(kpr)|(kdp)|(train st.+moving)|(\|lc)|(penalty))"</v>
      </c>
      <c r="AG126" s="209" t="str">
        <f t="shared" si="42"/>
        <v>EC</v>
      </c>
      <c r="AH126" s="78" t="str">
        <f t="shared" si="44"/>
        <v>"%USERPROFILE%\Documents\GitHub\eaglep3\Utilities\RefineRTDCRunTimes.py" --tripid 214-26 --locoid 4057 --swversion DE.1.0.9.0 --startMP 204:232965 --initTime 2017-06-26T18:31:30 --startdatetime 2017-06-26T18:42:19 --delay 2 --endMP 204:154 --enddatetime 2017-06-26T19:20:38 --enforcementcount 0 &gt;&gt;C:\Users\stu\Documents\GitHub\eaglep3-reporting\EC\2017-06-26-refined-times.txt</v>
      </c>
      <c r="AI126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{"issue":{"subject":"","project_id":79,"tracker_id":40,"status_id":1,"priority_id":2,"assigned_to_id":23,"start_date":"2017-06-26","description":"","custom_fields":[{"id":1,"name":"Subdivision","value":"EC"},{"id":4,"name":"Milepost","value":"0.0154"},{"id":17,"name":"Train ID","value":"214-26"},{"id":16,"name":"Locomotive ID","value":"4057"},{"id":130,"name":"Impact","value":""},{"id":150,"name":"Time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6"/>
        <v>start /low /b %USERPROFILE%\Documents\GitHub\eaglep3\Utilities\DownloadLogsFromS3.py --loco 4057 --day 2017-06-26</v>
      </c>
      <c r="AN126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827</v>
      </c>
      <c r="B127" s="7">
        <v>4056</v>
      </c>
      <c r="C127" s="21" t="s">
        <v>202</v>
      </c>
      <c r="D127" s="21" t="s">
        <v>467</v>
      </c>
      <c r="E127" s="13">
        <v>42912.745671296296</v>
      </c>
      <c r="F127" s="13">
        <v>42912.750173611108</v>
      </c>
      <c r="G127" s="7">
        <v>1</v>
      </c>
      <c r="H127" s="21" t="s">
        <v>602</v>
      </c>
      <c r="I127" s="13">
        <v>42912.775046296294</v>
      </c>
      <c r="J127" s="7">
        <v>0</v>
      </c>
      <c r="K127" s="89" t="str">
        <f t="shared" si="30"/>
        <v>4055/4056</v>
      </c>
      <c r="L127" s="21" t="str">
        <f>VLOOKUP(A127,'Trips&amp;Operators'!$C$1:$G$99999,5,FALSE)</f>
        <v>MCREYNOLDS KYLE</v>
      </c>
      <c r="M127" s="6">
        <f t="shared" si="31"/>
        <v>2.4872685185982846E-2</v>
      </c>
      <c r="N127" s="7">
        <f t="shared" si="48"/>
        <v>35.816666667815298</v>
      </c>
      <c r="O127" s="7"/>
      <c r="P127" s="7"/>
      <c r="Q127" s="22"/>
      <c r="R127" s="170"/>
      <c r="S127" s="213">
        <f t="shared" si="32"/>
        <v>1</v>
      </c>
      <c r="T127" s="195" t="str">
        <f t="shared" si="33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4"/>
        <v>https://d0f6bd738d7f1b3e5a7ca70fe4ff75f0.us-east-1.aws.found.io/app/kibana#/discover/Steve-Slow-Train-Analysis-(2080s-and-2083s)?_g=(refreshInterval:(display:Off,pause:!f,section:0,value:0),time:(from:'2017-06-26T16:53:46-0600',mode:absolute,to:'2017-06-26T19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197" t="str">
        <f>IF(AA127&lt;VLOOKUP(AG127,Variables!$AC$3:$AD$8,2,FALSE),"Y","N")</f>
        <v>N</v>
      </c>
      <c r="X127" s="197">
        <f t="shared" si="52"/>
        <v>1</v>
      </c>
      <c r="Y127" s="197">
        <f t="shared" si="53"/>
        <v>4.7100000000000003E-2</v>
      </c>
      <c r="Z127" s="197">
        <f t="shared" si="54"/>
        <v>23.340800000000002</v>
      </c>
      <c r="AA127" s="197">
        <f t="shared" si="38"/>
        <v>23.293700000000001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9"/>
        <v>215</v>
      </c>
      <c r="AE127" s="77" t="str">
        <f t="shared" si="40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127" s="74" t="str">
        <f t="shared" si="41"/>
        <v>"C:\Program Files (x86)\AstroGrep\AstroGrep.exe" /e /r /s /spath="%USERPROFILE%\AppData\Local\Temp\OnboardLogs" /stypes="app*4056*20170627*" /stext=" 00:.+((SYSTEM_STATE.+slice.+state.+changed )|(ment ac)|(multiple cpu faults)|(system.+state.+changed )|(\[timeout)|(PRM\|1\|D)|(kpr)|(kdp)|(train st.+moving)|(\|lc)|(penalty))"</v>
      </c>
      <c r="AG127" s="209" t="str">
        <f t="shared" si="42"/>
        <v>EC</v>
      </c>
      <c r="AH127" s="78" t="str">
        <f t="shared" si="44"/>
        <v>"%USERPROFILE%\Documents\GitHub\eaglep3\Utilities\RefineRTDCRunTimes.py" --tripid 215-26 --locoid 4056 --swversion DE.1.0.9.0 --startMP 204:471 --initTime 2017-06-26T17:53:46 --startdatetime 2017-06-26T18:00:15 --delay 1 --endMP 204:233408 --enddatetime 2017-06-26T18:36:04 --enforcementcount 0 &gt;&gt;C:\Users\stu\Documents\GitHub\eaglep3-reporting\EC\2017-06-26-refined-times.txt</v>
      </c>
      <c r="AI127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{"issue":{"subject":"","project_id":79,"tracker_id":40,"status_id":1,"priority_id":2,"assigned_to_id":23,"start_date":"2017-06-26","description":"","custom_fields":[{"id":1,"name":"Subdivision","value":"EC"},{"id":4,"name":"Milepost","value":"23.3408"},{"id":17,"name":"Train ID","value":"215-26"},{"id":16,"name":"Locomotive ID","value":"4056"},{"id":130,"name":"Impact","value":""},{"id":150,"name":"Time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6"/>
        <v>start /low /b %USERPROFILE%\Documents\GitHub\eaglep3\Utilities\DownloadLogsFromS3.py --loco 4056 --day 2017-06-26</v>
      </c>
      <c r="AN127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838</v>
      </c>
      <c r="B128" s="7">
        <v>4055</v>
      </c>
      <c r="C128" s="21" t="s">
        <v>202</v>
      </c>
      <c r="D128" s="21" t="s">
        <v>930</v>
      </c>
      <c r="E128" s="13">
        <v>42912.782731481479</v>
      </c>
      <c r="F128" s="13">
        <v>42912.789780092593</v>
      </c>
      <c r="G128" s="7">
        <v>1</v>
      </c>
      <c r="H128" s="21" t="s">
        <v>348</v>
      </c>
      <c r="I128" s="13">
        <v>42912.81621527778</v>
      </c>
      <c r="J128" s="7">
        <v>0</v>
      </c>
      <c r="K128" s="89" t="str">
        <f t="shared" si="30"/>
        <v>4055/4056</v>
      </c>
      <c r="L128" s="21" t="str">
        <f>VLOOKUP(A128,'Trips&amp;Operators'!$C$1:$G$99999,5,FALSE)</f>
        <v>MCREYNOLDS KYLE</v>
      </c>
      <c r="M128" s="6">
        <f t="shared" si="31"/>
        <v>2.6435185187438037E-2</v>
      </c>
      <c r="N128" s="7">
        <f t="shared" si="48"/>
        <v>38.066666669910774</v>
      </c>
      <c r="O128" s="7"/>
      <c r="P128" s="7"/>
      <c r="Q128" s="22"/>
      <c r="R128" s="170" t="s">
        <v>1071</v>
      </c>
      <c r="S128" s="213">
        <f t="shared" si="32"/>
        <v>1</v>
      </c>
      <c r="T128" s="195" t="str">
        <f t="shared" si="33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4"/>
        <v>https://d0f6bd738d7f1b3e5a7ca70fe4ff75f0.us-east-1.aws.found.io/app/kibana#/discover/Steve-Slow-Train-Analysis-(2080s-and-2083s)?_g=(refreshInterval:(display:Off,pause:!f,section:0,value:0),time:(from:'2017-06-26T17:47:08-0600',mode:absolute,to:'2017-06-26T20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197" t="str">
        <f>IF(AA128&lt;VLOOKUP(AG128,Variables!$AC$3:$AD$8,2,FALSE),"Y","N")</f>
        <v>N</v>
      </c>
      <c r="X128" s="197">
        <f t="shared" si="52"/>
        <v>1</v>
      </c>
      <c r="Y128" s="197">
        <f t="shared" si="53"/>
        <v>23.307200000000002</v>
      </c>
      <c r="Z128" s="197">
        <f t="shared" si="54"/>
        <v>1.4999999999999999E-2</v>
      </c>
      <c r="AA128" s="197">
        <f t="shared" si="38"/>
        <v>23.292200000000001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9"/>
        <v>216</v>
      </c>
      <c r="AE128" s="77" t="str">
        <f t="shared" si="40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128" s="74" t="str">
        <f t="shared" si="41"/>
        <v>"C:\Program Files (x86)\AstroGrep\AstroGrep.exe" /e /r /s /spath="%USERPROFILE%\AppData\Local\Temp\OnboardLogs" /stypes="app*4055*20170627*" /stext=" 01:.+((SYSTEM_STATE.+slice.+state.+changed )|(ment ac)|(multiple cpu faults)|(system.+state.+changed )|(\[timeout)|(PRM\|1\|D)|(kpr)|(kdp)|(train st.+moving)|(\|lc)|(penalty))"</v>
      </c>
      <c r="AG128" s="209" t="str">
        <f t="shared" si="42"/>
        <v>EC</v>
      </c>
      <c r="AH128" s="78" t="str">
        <f t="shared" si="44"/>
        <v>"%USERPROFILE%\Documents\GitHub\eaglep3\Utilities\RefineRTDCRunTimes.py" --tripid 216-26 --locoid 4055 --swversion DE.1.0.9.0 --startMP 204:233072 --initTime 2017-06-26T18:47:08 --startdatetime 2017-06-26T18:57:17 --delay 1 --endMP 204:150 --enddatetime 2017-06-26T19:35:21 --enforcementcount 0 &gt;&gt;C:\Users\stu\Documents\GitHub\eaglep3-reporting\EC\2017-06-26-refined-times.txt</v>
      </c>
      <c r="AI128" s="96" t="str">
        <f t="shared" si="45"/>
        <v>echo {"issue":{"subject":"Unhealthy at Chambers due to 40th stop","project_id":79,"tracker_id":40,"status_id":1,"priority_id":2,"assigned_to_id":23,"start_date":"2017-06-26","description":"","custom_fields":[{"id":1,"name":"Subdivision","value":"EC"},{"id":4,"name":"Milepost","value":"0.015"},{"id":17,"name":"Train ID","value":"216-26"},{"id":16,"name":"Locomotive ID","value":"4055"},{"id":130,"name":"Impact","value":""},{"id":150,"name":"Time of Event (Mountain Time)","value":"19:35:21"},{"id":151,"name":"Denver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6"/>
        <v>start /low /b %USERPROFILE%\Documents\GitHub\eaglep3\Utilities\DownloadLogsFromS3.py --loco 4055 --day 2017-06-26</v>
      </c>
      <c r="AN128" s="151" t="str">
        <f t="shared" si="47"/>
        <v>echo {"issue":{"subject":"Unhealthy at Chambers due to 40th stop","project_id":30,"tracker_id":4,"status_id":1,"priority_id":1,"assigned_to_id":10,"start_date":"2017-06-27","description":"","custom_fields":[{"id":30,"name":"Category","value":"Issue"},{"id":3,"name":"Functional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829</v>
      </c>
      <c r="B129" s="7">
        <v>4054</v>
      </c>
      <c r="C129" s="21" t="s">
        <v>202</v>
      </c>
      <c r="D129" s="21" t="s">
        <v>537</v>
      </c>
      <c r="E129" s="13">
        <v>42912.757280092592</v>
      </c>
      <c r="F129" s="13">
        <v>42912.760636574072</v>
      </c>
      <c r="G129" s="7">
        <v>1</v>
      </c>
      <c r="H129" s="21" t="s">
        <v>880</v>
      </c>
      <c r="I129" s="13">
        <v>42912.786122685182</v>
      </c>
      <c r="J129" s="7">
        <v>0</v>
      </c>
      <c r="K129" s="89" t="str">
        <f t="shared" si="30"/>
        <v>4053/4054</v>
      </c>
      <c r="L129" s="21" t="str">
        <f>VLOOKUP(A129,'Trips&amp;Operators'!$C$1:$G$99999,5,FALSE)</f>
        <v>HAITHCOX MICHAEL</v>
      </c>
      <c r="M129" s="6">
        <f t="shared" si="31"/>
        <v>2.548611110978527E-2</v>
      </c>
      <c r="N129" s="7">
        <f t="shared" si="48"/>
        <v>36.699999998090789</v>
      </c>
      <c r="O129" s="7"/>
      <c r="P129" s="7"/>
      <c r="Q129" s="22"/>
      <c r="R129" s="170"/>
      <c r="S129" s="213">
        <f t="shared" si="32"/>
        <v>1</v>
      </c>
      <c r="T129" s="195" t="str">
        <f t="shared" si="33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4"/>
        <v>https://d0f6bd738d7f1b3e5a7ca70fe4ff75f0.us-east-1.aws.found.io/app/kibana#/discover/Steve-Slow-Train-Analysis-(2080s-and-2083s)?_g=(refreshInterval:(display:Off,pause:!f,section:0,value:0),time:(from:'2017-06-26T17:10:29-0600',mode:absolute,to:'2017-06-26T19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97" t="str">
        <f>IF(AA129&lt;VLOOKUP(AG129,Variables!$AC$3:$AD$8,2,FALSE),"Y","N")</f>
        <v>N</v>
      </c>
      <c r="X129" s="197">
        <f t="shared" si="52"/>
        <v>1</v>
      </c>
      <c r="Y129" s="197">
        <f t="shared" si="53"/>
        <v>4.3700000000000003E-2</v>
      </c>
      <c r="Z129" s="197">
        <f t="shared" si="54"/>
        <v>23.329499999999999</v>
      </c>
      <c r="AA129" s="197">
        <f t="shared" si="38"/>
        <v>23.285799999999998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9"/>
        <v>217</v>
      </c>
      <c r="AE129" s="77" t="str">
        <f t="shared" si="40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129" s="74" t="str">
        <f t="shared" si="41"/>
        <v>"C:\Program Files (x86)\AstroGrep\AstroGrep.exe" /e /r /s /spath="%USERPROFILE%\AppData\Local\Temp\OnboardLogs" /stypes="app*4054*20170627*" /stext=" 00:.+((SYSTEM_STATE.+slice.+state.+changed )|(ment ac)|(multiple cpu faults)|(system.+state.+changed )|(\[timeout)|(PRM\|1\|D)|(kpr)|(kdp)|(train st.+moving)|(\|lc)|(penalty))"</v>
      </c>
      <c r="AG129" s="209" t="str">
        <f t="shared" si="42"/>
        <v>EC</v>
      </c>
      <c r="AH129" s="78" t="str">
        <f t="shared" si="44"/>
        <v>"%USERPROFILE%\Documents\GitHub\eaglep3\Utilities\RefineRTDCRunTimes.py" --tripid 217-26 --locoid 4054 --swversion DE.1.0.9.0 --startMP 204:437 --initTime 2017-06-26T18:10:29 --startdatetime 2017-06-26T18:15:19 --delay 1 --endMP 204:233295 --enddatetime 2017-06-26T18:52:01 --enforcementcount 0 &gt;&gt;C:\Users\stu\Documents\GitHub\eaglep3-reporting\EC\2017-06-26-refined-times.txt</v>
      </c>
      <c r="AI129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{"issue":{"subject":"","project_id":79,"tracker_id":40,"status_id":1,"priority_id":2,"assigned_to_id":23,"start_date":"2017-06-26","description":"","custom_fields":[{"id":1,"name":"Subdivision","value":"EC"},{"id":4,"name":"Milepost","value":"23.3295"},{"id":17,"name":"Train ID","value":"217-26"},{"id":16,"name":"Locomotive ID","value":"4054"},{"id":130,"name":"Impact","value":""},{"id":150,"name":"Time of Event (Mountain Time)","value":"18:52:01"},{"id":151,"name":"Denver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6"/>
        <v>start /low /b %USERPROFILE%\Documents\GitHub\eaglep3\Utilities\DownloadLogsFromS3.py --loco 4054 --day 2017-06-26</v>
      </c>
      <c r="AN129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840</v>
      </c>
      <c r="B130" s="7">
        <v>4053</v>
      </c>
      <c r="C130" s="21" t="s">
        <v>202</v>
      </c>
      <c r="D130" s="21" t="s">
        <v>494</v>
      </c>
      <c r="E130" s="13">
        <v>42912.795856481483</v>
      </c>
      <c r="F130" s="13">
        <v>42912.800196759257</v>
      </c>
      <c r="G130" s="7">
        <v>1</v>
      </c>
      <c r="H130" s="21" t="s">
        <v>527</v>
      </c>
      <c r="I130" s="13">
        <v>42912.827569444446</v>
      </c>
      <c r="J130" s="7">
        <v>0</v>
      </c>
      <c r="K130" s="89" t="str">
        <f t="shared" si="30"/>
        <v>4053/4054</v>
      </c>
      <c r="L130" s="21" t="str">
        <f>VLOOKUP(A130,'Trips&amp;Operators'!$C$1:$G$99999,5,FALSE)</f>
        <v>HAITHCOX MICHAEL</v>
      </c>
      <c r="M130" s="6">
        <f t="shared" si="31"/>
        <v>2.7372685188311152E-2</v>
      </c>
      <c r="N130" s="7">
        <f t="shared" si="48"/>
        <v>39.416666671168059</v>
      </c>
      <c r="O130" s="7"/>
      <c r="P130" s="7"/>
      <c r="Q130" s="22"/>
      <c r="R130" s="170"/>
      <c r="S130" s="213">
        <f t="shared" si="32"/>
        <v>1</v>
      </c>
      <c r="T130" s="195" t="str">
        <f t="shared" si="33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4"/>
        <v>https://d0f6bd738d7f1b3e5a7ca70fe4ff75f0.us-east-1.aws.found.io/app/kibana#/discover/Steve-Slow-Train-Analysis-(2080s-and-2083s)?_g=(refreshInterval:(display:Off,pause:!f,section:0,value:0),time:(from:'2017-06-26T18:06:02-0600',mode:absolute,to:'2017-06-26T20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97" t="str">
        <f>IF(AA130&lt;VLOOKUP(AG130,Variables!$AC$3:$AD$8,2,FALSE),"Y","N")</f>
        <v>N</v>
      </c>
      <c r="X130" s="197">
        <f t="shared" si="52"/>
        <v>1</v>
      </c>
      <c r="Y130" s="197">
        <f t="shared" si="53"/>
        <v>23.3</v>
      </c>
      <c r="Z130" s="197">
        <f t="shared" si="54"/>
        <v>1.6299999999999999E-2</v>
      </c>
      <c r="AA130" s="197">
        <f t="shared" si="38"/>
        <v>23.2837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9"/>
        <v>218</v>
      </c>
      <c r="AE130" s="77" t="str">
        <f t="shared" si="40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130" s="74" t="str">
        <f t="shared" si="41"/>
        <v>"C:\Program Files (x86)\AstroGrep\AstroGrep.exe" /e /r /s /spath="%USERPROFILE%\AppData\Local\Temp\OnboardLogs" /stypes="app*4053*20170627*" /stext=" 01:.+((SYSTEM_STATE.+slice.+state.+changed )|(ment ac)|(multiple cpu faults)|(system.+state.+changed )|(\[timeout)|(PRM\|1\|D)|(kpr)|(kdp)|(train st.+moving)|(\|lc)|(penalty))"</v>
      </c>
      <c r="AG130" s="209" t="str">
        <f t="shared" si="42"/>
        <v>EC</v>
      </c>
      <c r="AH130" s="78" t="str">
        <f t="shared" si="44"/>
        <v>"%USERPROFILE%\Documents\GitHub\eaglep3\Utilities\RefineRTDCRunTimes.py" --tripid 218-26 --locoid 4053 --swversion DE.1.0.9.0 --startMP 204:233000 --initTime 2017-06-26T19:06:02 --startdatetime 2017-06-26T19:12:17 --delay 1 --endMP 204:163 --enddatetime 2017-06-26T19:51:42 --enforcementcount 0 &gt;&gt;C:\Users\stu\Documents\GitHub\eaglep3-reporting\EC\2017-06-26-refined-times.txt</v>
      </c>
      <c r="AI13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{"issue":{"subject":"","project_id":79,"tracker_id":40,"status_id":1,"priority_id":2,"assigned_to_id":23,"start_date":"2017-06-26","description":"","custom_fields":[{"id":1,"name":"Subdivision","value":"EC"},{"id":4,"name":"Milepost","value":"0.0163"},{"id":17,"name":"Train ID","value":"218-26"},{"id":16,"name":"Locomotive ID","value":"4053"},{"id":130,"name":"Impact","value":""},{"id":150,"name":"Time of Event (Mountain Time)","value":"19:51:42"},{"id":151,"name":"Denver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6"/>
        <v>start /low /b %USERPROFILE%\Documents\GitHub\eaglep3\Utilities\DownloadLogsFromS3.py --loco 4053 --day 2017-06-26</v>
      </c>
      <c r="AN130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831</v>
      </c>
      <c r="B131" s="7">
        <v>4014</v>
      </c>
      <c r="C131" s="21" t="s">
        <v>202</v>
      </c>
      <c r="D131" s="21" t="s">
        <v>537</v>
      </c>
      <c r="E131" s="13">
        <v>42912.766782407409</v>
      </c>
      <c r="F131" s="13">
        <v>42912.771203703705</v>
      </c>
      <c r="G131" s="7">
        <v>1</v>
      </c>
      <c r="H131" s="21" t="s">
        <v>931</v>
      </c>
      <c r="I131" s="13">
        <v>42912.797685185185</v>
      </c>
      <c r="J131" s="7">
        <v>0</v>
      </c>
      <c r="K131" s="89" t="str">
        <f t="shared" si="30"/>
        <v>4013/4014</v>
      </c>
      <c r="L131" s="21" t="str">
        <f>VLOOKUP(A131,'Trips&amp;Operators'!$C$1:$G$99999,5,FALSE)</f>
        <v>THOMPSON LESTER</v>
      </c>
      <c r="M131" s="6">
        <f t="shared" si="31"/>
        <v>2.6481481480004732E-2</v>
      </c>
      <c r="N131" s="7">
        <f t="shared" si="48"/>
        <v>38.133333331206813</v>
      </c>
      <c r="O131" s="7"/>
      <c r="P131" s="7"/>
      <c r="Q131" s="22"/>
      <c r="R131" s="170"/>
      <c r="S131" s="213">
        <f t="shared" si="32"/>
        <v>1</v>
      </c>
      <c r="T131" s="195" t="str">
        <f t="shared" si="33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4"/>
        <v>https://d0f6bd738d7f1b3e5a7ca70fe4ff75f0.us-east-1.aws.found.io/app/kibana#/discover/Steve-Slow-Train-Analysis-(2080s-and-2083s)?_g=(refreshInterval:(display:Off,pause:!f,section:0,value:0),time:(from:'2017-06-26T17:24:10-0600',mode:absolute,to:'2017-06-26T20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1" s="197" t="str">
        <f>IF(AA131&lt;VLOOKUP(AG131,Variables!$AC$3:$AD$8,2,FALSE),"Y","N")</f>
        <v>N</v>
      </c>
      <c r="X131" s="197">
        <f t="shared" si="52"/>
        <v>1</v>
      </c>
      <c r="Y131" s="197">
        <f t="shared" si="53"/>
        <v>4.3700000000000003E-2</v>
      </c>
      <c r="Z131" s="197">
        <f t="shared" si="54"/>
        <v>23.3338</v>
      </c>
      <c r="AA131" s="197">
        <f t="shared" si="38"/>
        <v>23.290099999999999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9"/>
        <v>219</v>
      </c>
      <c r="AE131" s="77" t="str">
        <f t="shared" si="40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131" s="74" t="str">
        <f t="shared" si="41"/>
        <v>"C:\Program Files (x86)\AstroGrep\AstroGrep.exe" /e /r /s /spath="%USERPROFILE%\AppData\Local\Temp\OnboardLogs" /stypes="app*4014*20170627*" /stext=" 01:.+((SYSTEM_STATE.+slice.+state.+changed )|(ment ac)|(multiple cpu faults)|(system.+state.+changed )|(\[timeout)|(PRM\|1\|D)|(kpr)|(kdp)|(train st.+moving)|(\|lc)|(penalty))"</v>
      </c>
      <c r="AG131" s="209" t="str">
        <f t="shared" si="42"/>
        <v>EC</v>
      </c>
      <c r="AH131" s="78" t="str">
        <f t="shared" si="44"/>
        <v>"%USERPROFILE%\Documents\GitHub\eaglep3\Utilities\RefineRTDCRunTimes.py" --tripid 219-26 --locoid 4014 --swversion DE.1.0.9.0 --startMP 204:437 --initTime 2017-06-26T18:24:10 --startdatetime 2017-06-26T18:30:32 --delay 1 --endMP 204:233338 --enddatetime 2017-06-26T19:08:40 --enforcementcount 0 &gt;&gt;C:\Users\stu\Documents\GitHub\eaglep3-reporting\EC\2017-06-26-refined-times.txt</v>
      </c>
      <c r="AI13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{"issue":{"subject":"","project_id":79,"tracker_id":40,"status_id":1,"priority_id":2,"assigned_to_id":23,"start_date":"2017-06-26","description":"","custom_fields":[{"id":1,"name":"Subdivision","value":"EC"},{"id":4,"name":"Milepost","value":"23.3338"},{"id":17,"name":"Train ID","value":"219-26"},{"id":16,"name":"Locomotive ID","value":"4014"},{"id":130,"name":"Impact","value":""},{"id":150,"name":"Time of Event (Mountain Time)","value":"19:08:40"},{"id":151,"name":"Denver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6"/>
        <v>start /low /b %USERPROFILE%\Documents\GitHub\eaglep3\Utilities\DownloadLogsFromS3.py --loco 4014 --day 2017-06-26</v>
      </c>
      <c r="AN131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844</v>
      </c>
      <c r="B132" s="7">
        <v>4013</v>
      </c>
      <c r="C132" s="21" t="s">
        <v>202</v>
      </c>
      <c r="D132" s="21" t="s">
        <v>607</v>
      </c>
      <c r="E132" s="13">
        <v>42912.806759259256</v>
      </c>
      <c r="F132" s="13">
        <v>42912.810729166667</v>
      </c>
      <c r="G132" s="7">
        <v>1</v>
      </c>
      <c r="H132" s="21" t="s">
        <v>416</v>
      </c>
      <c r="I132" s="13">
        <v>42912.841319444444</v>
      </c>
      <c r="J132" s="7">
        <v>0</v>
      </c>
      <c r="K132" s="89" t="str">
        <f t="shared" si="30"/>
        <v>4013/4014</v>
      </c>
      <c r="L132" s="21" t="str">
        <f>VLOOKUP(A132,'Trips&amp;Operators'!$C$1:$G$99999,5,FALSE)</f>
        <v>THOMPSON LESTER</v>
      </c>
      <c r="M132" s="6">
        <f t="shared" si="31"/>
        <v>3.0590277776354924E-2</v>
      </c>
      <c r="N132" s="7">
        <f t="shared" si="48"/>
        <v>44.04999999795109</v>
      </c>
      <c r="O132" s="7"/>
      <c r="P132" s="7"/>
      <c r="Q132" s="22"/>
      <c r="R132" s="170"/>
      <c r="S132" s="213">
        <f t="shared" si="32"/>
        <v>1</v>
      </c>
      <c r="T132" s="195" t="str">
        <f t="shared" si="33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4"/>
        <v>https://d0f6bd738d7f1b3e5a7ca70fe4ff75f0.us-east-1.aws.found.io/app/kibana#/discover/Steve-Slow-Train-Analysis-(2080s-and-2083s)?_g=(refreshInterval:(display:Off,pause:!f,section:0,value:0),time:(from:'2017-06-26T18:21:44-0600',mode:absolute,to:'2017-06-26T21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2" s="197" t="str">
        <f>IF(AA132&lt;VLOOKUP(AG132,Variables!$AC$3:$AD$8,2,FALSE),"Y","N")</f>
        <v>N</v>
      </c>
      <c r="X132" s="197">
        <f t="shared" si="52"/>
        <v>1</v>
      </c>
      <c r="Y132" s="197">
        <f t="shared" si="53"/>
        <v>23.2987</v>
      </c>
      <c r="Z132" s="197">
        <f t="shared" si="54"/>
        <v>1.4500000000000001E-2</v>
      </c>
      <c r="AA132" s="197">
        <f t="shared" si="38"/>
        <v>23.284199999999998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9"/>
        <v>220</v>
      </c>
      <c r="AE132" s="77" t="str">
        <f t="shared" si="40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132" s="74" t="str">
        <f t="shared" si="41"/>
        <v>"C:\Program Files (x86)\AstroGrep\AstroGrep.exe" /e /r /s /spath="%USERPROFILE%\AppData\Local\Temp\OnboardLogs" /stypes="app*4013*20170627*" /stext=" 02:.+((SYSTEM_STATE.+slice.+state.+changed )|(ment ac)|(multiple cpu faults)|(system.+state.+changed )|(\[timeout)|(PRM\|1\|D)|(kpr)|(kdp)|(train st.+moving)|(\|lc)|(penalty))"</v>
      </c>
      <c r="AG132" s="209" t="str">
        <f t="shared" si="42"/>
        <v>EC</v>
      </c>
      <c r="AH132" s="78" t="str">
        <f t="shared" si="44"/>
        <v>"%USERPROFILE%\Documents\GitHub\eaglep3\Utilities\RefineRTDCRunTimes.py" --tripid 220-26 --locoid 4013 --swversion DE.1.0.9.0 --startMP 204:232987 --initTime 2017-06-26T19:21:44 --startdatetime 2017-06-26T19:27:27 --delay 1 --endMP 204:145 --enddatetime 2017-06-26T20:11:30 --enforcementcount 0 &gt;&gt;C:\Users\stu\Documents\GitHub\eaglep3-reporting\EC\2017-06-26-refined-times.txt</v>
      </c>
      <c r="AI13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{"issue":{"subject":"","project_id":79,"tracker_id":40,"status_id":1,"priority_id":2,"assigned_to_id":23,"start_date":"2017-06-26","description":"","custom_fields":[{"id":1,"name":"Subdivision","value":"EC"},{"id":4,"name":"Milepost","value":"0.0145"},{"id":17,"name":"Train ID","value":"220-26"},{"id":16,"name":"Locomotive ID","value":"4013"},{"id":130,"name":"Impact","value":""},{"id":150,"name":"Time of Event (Mountain Time)","value":"20:11:30"},{"id":151,"name":"Denver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6"/>
        <v>start /low /b %USERPROFILE%\Documents\GitHub\eaglep3\Utilities\DownloadLogsFromS3.py --loco 4013 --day 2017-06-26</v>
      </c>
      <c r="AN132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02:11:30"},{"id":29,"name":"Sharepoint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839</v>
      </c>
      <c r="B133" s="7">
        <v>4016</v>
      </c>
      <c r="C133" s="21" t="s">
        <v>202</v>
      </c>
      <c r="D133" s="21" t="s">
        <v>391</v>
      </c>
      <c r="E133" s="13">
        <v>42912.786423611113</v>
      </c>
      <c r="F133" s="13">
        <v>42912.792037037034</v>
      </c>
      <c r="G133" s="7">
        <v>1</v>
      </c>
      <c r="H133" s="21" t="s">
        <v>594</v>
      </c>
      <c r="I133" s="13">
        <v>42912.817407407405</v>
      </c>
      <c r="J133" s="7">
        <v>0</v>
      </c>
      <c r="K133" s="89" t="str">
        <f t="shared" si="30"/>
        <v>4015/4016</v>
      </c>
      <c r="L133" s="21" t="str">
        <f>VLOOKUP(A133,'Trips&amp;Operators'!$C$1:$G$99999,5,FALSE)</f>
        <v>PERKINS DARREN</v>
      </c>
      <c r="M133" s="6">
        <f t="shared" si="31"/>
        <v>2.5370370371092577E-2</v>
      </c>
      <c r="N133" s="7">
        <f t="shared" si="48"/>
        <v>36.53333333437331</v>
      </c>
      <c r="O133" s="7"/>
      <c r="P133" s="7"/>
      <c r="Q133" s="22"/>
      <c r="R133" s="170"/>
      <c r="S133" s="213">
        <f t="shared" si="32"/>
        <v>1</v>
      </c>
      <c r="T133" s="195" t="str">
        <f t="shared" si="33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4"/>
        <v>https://d0f6bd738d7f1b3e5a7ca70fe4ff75f0.us-east-1.aws.found.io/app/kibana#/discover/Steve-Slow-Train-Analysis-(2080s-and-2083s)?_g=(refreshInterval:(display:Off,pause:!f,section:0,value:0),time:(from:'2017-06-26T17:52:27-0600',mode:absolute,to:'2017-06-26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7" t="str">
        <f>IF(AA133&lt;VLOOKUP(AG133,Variables!$AC$3:$AD$8,2,FALSE),"Y","N")</f>
        <v>N</v>
      </c>
      <c r="X133" s="197">
        <f t="shared" si="52"/>
        <v>1</v>
      </c>
      <c r="Y133" s="197">
        <f t="shared" si="53"/>
        <v>4.6199999999999998E-2</v>
      </c>
      <c r="Z133" s="197">
        <f t="shared" si="54"/>
        <v>23.332799999999999</v>
      </c>
      <c r="AA133" s="197">
        <f t="shared" si="38"/>
        <v>23.2866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9"/>
        <v>221</v>
      </c>
      <c r="AE133" s="77" t="str">
        <f t="shared" si="40"/>
        <v>aws s3 cp s3://rtdc.mdm.uploadarchive.raw/RTDC4016/ "%USERPROFILE%\AppData\Local\Temp\OnboardLogs"\RTDC4016\2017-06-26 --exclude "*" --recursive --include "*20170626*" &amp; "%USERPROFILE%\Documents\GitHub\mrs-test-scripts\Headless Mode &amp; Sideloading\WalkAndUnGZ.bat" "%USERPROFILE%\AppData\Local\Temp\OnboardLogs"\RTDC4016\2017-06-26 &amp; 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</v>
      </c>
      <c r="AF133" s="74" t="str">
        <f t="shared" si="41"/>
        <v>"C:\Program Files (x86)\AstroGrep\AstroGrep.exe" /e /r /s /spath="%USERPROFILE%\AppData\Local\Temp\OnboardLogs" /stypes="app*4016*20170627*" /stext=" 01:.+((SYSTEM_STATE.+slice.+state.+changed )|(ment ac)|(multiple cpu faults)|(system.+state.+changed )|(\[timeout)|(PRM\|1\|D)|(kpr)|(kdp)|(train st.+moving)|(\|lc)|(penalty))"</v>
      </c>
      <c r="AG133" s="209" t="str">
        <f t="shared" si="42"/>
        <v>EC</v>
      </c>
      <c r="AH133" s="78" t="str">
        <f t="shared" si="44"/>
        <v>"%USERPROFILE%\Documents\GitHub\eaglep3\Utilities\RefineRTDCRunTimes.py" --tripid 221-26 --locoid 4016 --swversion DE.1.0.9.0 --startMP 204:462 --initTime 2017-06-26T18:52:27 --startdatetime 2017-06-26T19:00:32 --delay 1 --endMP 204:233328 --enddatetime 2017-06-26T19:37:04 --enforcementcount 0 &gt;&gt;C:\Users\stu\Documents\GitHub\eaglep3-reporting\EC\2017-06-26-refined-times.txt</v>
      </c>
      <c r="AI133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{"issue":{"subject":"","project_id":79,"tracker_id":40,"status_id":1,"priority_id":2,"assigned_to_id":23,"start_date":"2017-06-26","description":"","custom_fields":[{"id":1,"name":"Subdivision","value":"EC"},{"id":4,"name":"Milepost","value":"23.3328"},{"id":17,"name":"Train ID","value":"221-26"},{"id":16,"name":"Locomotive ID","value":"4016"},{"id":130,"name":"Impact","value":""},{"id":150,"name":"Time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6"/>
        <v>start /low /b %USERPROFILE%\Documents\GitHub\eaglep3\Utilities\DownloadLogsFromS3.py --loco 4016 --day 2017-06-26</v>
      </c>
      <c r="AN133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649</v>
      </c>
      <c r="B134" s="7">
        <v>4015</v>
      </c>
      <c r="C134" s="21" t="s">
        <v>202</v>
      </c>
      <c r="D134" s="21" t="s">
        <v>494</v>
      </c>
      <c r="E134" s="13">
        <v>42912.82471064815</v>
      </c>
      <c r="F134" s="13">
        <v>42912.831643518519</v>
      </c>
      <c r="G134" s="7">
        <v>1</v>
      </c>
      <c r="H134" s="21" t="s">
        <v>350</v>
      </c>
      <c r="I134" s="13">
        <v>42912.858599537038</v>
      </c>
      <c r="J134" s="7">
        <v>0</v>
      </c>
      <c r="K134" s="89" t="str">
        <f t="shared" si="30"/>
        <v>4015/4016</v>
      </c>
      <c r="L134" s="21" t="str">
        <f>VLOOKUP(A134,'Trips&amp;Operators'!$C$1:$G$99999,5,FALSE)</f>
        <v>PERKINS DARREN</v>
      </c>
      <c r="M134" s="6">
        <f t="shared" si="31"/>
        <v>2.6956018518831115E-2</v>
      </c>
      <c r="N134" s="7">
        <f t="shared" si="48"/>
        <v>38.816666667116806</v>
      </c>
      <c r="O134" s="7"/>
      <c r="P134" s="7"/>
      <c r="Q134" s="22"/>
      <c r="R134" s="170"/>
      <c r="S134" s="213">
        <f t="shared" si="32"/>
        <v>1</v>
      </c>
      <c r="T134" s="195" t="str">
        <f t="shared" si="33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4"/>
        <v>https://d0f6bd738d7f1b3e5a7ca70fe4ff75f0.us-east-1.aws.found.io/app/kibana#/discover/Steve-Slow-Train-Analysis-(2080s-and-2083s)?_g=(refreshInterval:(display:Off,pause:!f,section:0,value:0),time:(from:'2017-06-26T18:47:35-0600',mode:absolute,to:'2017-06-26T21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7" t="str">
        <f>IF(AA134&lt;VLOOKUP(AG134,Variables!$AC$3:$AD$8,2,FALSE),"Y","N")</f>
        <v>N</v>
      </c>
      <c r="X134" s="197">
        <f t="shared" si="52"/>
        <v>1</v>
      </c>
      <c r="Y134" s="197">
        <f t="shared" si="53"/>
        <v>23.3</v>
      </c>
      <c r="Z134" s="197">
        <f t="shared" si="54"/>
        <v>1.43E-2</v>
      </c>
      <c r="AA134" s="197">
        <f t="shared" si="38"/>
        <v>23.285700000000002</v>
      </c>
      <c r="AB134" s="54" t="str">
        <f>VLOOKUP(A134,Enforcements!$C$7:$K$13,8,0)</f>
        <v>Bulletin (2)</v>
      </c>
      <c r="AC134" s="51" t="str">
        <f>VLOOKUP(A134,Enforcements!$C$7:$E$13,3,0)</f>
        <v>GRADE CROSSING</v>
      </c>
      <c r="AD134" s="206">
        <f t="shared" si="39"/>
        <v>222</v>
      </c>
      <c r="AE134" s="77" t="str">
        <f t="shared" si="40"/>
        <v>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 &amp; 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</v>
      </c>
      <c r="AF134" s="74" t="str">
        <f t="shared" si="41"/>
        <v>"C:\Program Files (x86)\AstroGrep\AstroGrep.exe" /e /r /s /spath="%USERPROFILE%\AppData\Local\Temp\OnboardLogs" /stypes="app*4015*20170627*" /stext=" 02:.+((SYSTEM_STATE.+slice.+state.+changed )|(ment ac)|(multiple cpu faults)|(system.+state.+changed )|(\[timeout)|(PRM\|1\|D)|(kpr)|(kdp)|(train st.+moving)|(\|lc)|(penalty))"</v>
      </c>
      <c r="AG134" s="209" t="str">
        <f t="shared" si="42"/>
        <v>EC</v>
      </c>
      <c r="AH134" s="78" t="str">
        <f t="shared" si="44"/>
        <v>"%USERPROFILE%\Documents\GitHub\eaglep3\Utilities\RefineRTDCRunTimes.py" --tripid 222-26 --locoid 4015 --swversion DE.1.0.9.0 --startMP 204:233000 --initTime 2017-06-26T19:47:35 --startdatetime 2017-06-26T19:57:34 --delay 1 --endMP 204:143 --enddatetime 2017-06-26T20:36:23 --enforcementcount 0 &gt;&gt;C:\Users\stu\Documents\GitHub\eaglep3-reporting\EC\2017-06-26-refined-times.txt</v>
      </c>
      <c r="AI134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{"issue":{"subject":"","project_id":79,"tracker_id":40,"status_id":1,"priority_id":2,"assigned_to_id":23,"start_date":"2017-06-26","description":"","custom_fields":[{"id":1,"name":"Subdivision","value":"EC"},{"id":4,"name":"Milepost","value":"0.0143"},{"id":17,"name":"Train ID","value":"222-26"},{"id":16,"name":"Locomotive ID","value":"4015"},{"id":130,"name":"Impact","value":""},{"id":150,"name":"Time of Event (Mountain Time)","value":"20:36:23"},{"id":151,"name":"Denver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6"/>
        <v>start /low /b %USERPROFILE%\Documents\GitHub\eaglep3\Utilities\DownloadLogsFromS3.py --loco 4015 --day 2017-06-26</v>
      </c>
      <c r="AN134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1070</v>
      </c>
      <c r="B135" s="7">
        <v>4058</v>
      </c>
      <c r="C135" s="21" t="s">
        <v>202</v>
      </c>
      <c r="D135" s="21" t="s">
        <v>494</v>
      </c>
      <c r="E135" s="13">
        <v>42912.82471064815</v>
      </c>
      <c r="F135" s="13">
        <v>42912.84097222222</v>
      </c>
      <c r="G135" s="7">
        <v>1</v>
      </c>
      <c r="H135" s="21" t="s">
        <v>350</v>
      </c>
      <c r="I135" s="13">
        <v>42912.841666666667</v>
      </c>
      <c r="J135" s="7">
        <v>0</v>
      </c>
      <c r="K135" s="89" t="str">
        <f t="shared" si="30"/>
        <v>4057/4058</v>
      </c>
      <c r="L135" s="21" t="s">
        <v>1073</v>
      </c>
      <c r="M135" s="6">
        <f t="shared" si="31"/>
        <v>6.944444467080757E-4</v>
      </c>
      <c r="N135" s="7"/>
      <c r="O135" s="7"/>
      <c r="P135" s="7">
        <f>24*60*SUM($M135:$M135)</f>
        <v>1.000000003259629</v>
      </c>
      <c r="Q135" s="22"/>
      <c r="R135" s="170" t="s">
        <v>1072</v>
      </c>
      <c r="S135" s="213">
        <f t="shared" si="32"/>
        <v>0</v>
      </c>
      <c r="T135" s="195" t="str">
        <f t="shared" si="33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96" t="str">
        <f t="shared" si="34"/>
        <v>https://d0f6bd738d7f1b3e5a7ca70fe4ff75f0.us-east-1.aws.found.io/app/kibana#/discover/Steve-Slow-Train-Analysis-(2080s-and-2083s)?_g=(refreshInterval:(display:Off,pause:!f,section:0,value:0),time:(from:'2017-06-26T18:47:35-0600',mode:absolute,to:'2017-06-26T21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5" s="197" t="str">
        <f>IF(AA135&lt;VLOOKUP(AG135,Variables!$AC$3:$AD$8,2,FALSE),"Y","N")</f>
        <v>Y</v>
      </c>
      <c r="X135" s="197">
        <f t="shared" si="52"/>
        <v>1</v>
      </c>
      <c r="Y135" s="197">
        <v>0</v>
      </c>
      <c r="Z135" s="197">
        <v>0</v>
      </c>
      <c r="AA135" s="197">
        <f t="shared" si="38"/>
        <v>0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9"/>
        <v>223</v>
      </c>
      <c r="AE135" s="77" t="str">
        <f t="shared" si="40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135" s="74" t="str">
        <f t="shared" si="41"/>
        <v>"C:\Program Files (x86)\AstroGrep\AstroGrep.exe" /e /r /s /spath="%USERPROFILE%\AppData\Local\Temp\OnboardLogs" /stypes="app*4058*20170627*" /stext=" 02:.+((SYSTEM_STATE.+slice.+state.+changed )|(ment ac)|(multiple cpu faults)|(system.+state.+changed )|(\[timeout)|(PRM\|1\|D)|(kpr)|(kdp)|(train st.+moving)|(\|lc)|(penalty))"</v>
      </c>
      <c r="AG135" s="209" t="str">
        <f t="shared" si="42"/>
        <v>EC</v>
      </c>
      <c r="AH135" s="78" t="str">
        <f t="shared" ref="AH135" si="55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223-26 --locoid 4058 --swversion DE.1.0.9.0 --startMP 204:233000 --initTime 2017-06-26T19:47:35 --startdatetime 2017-06-26T20:11:00 --delay 1 --endMP 204:143 --enddatetime 2017-06-26T20:12:00 --enforcementcount 0 &gt;&gt;C:\Users\stu\Documents\GitHub\eaglep3-reporting\EC\2017-06-26-refined-times.txt</v>
      </c>
      <c r="AI135" s="96" t="str">
        <f t="shared" ref="AI135" si="56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{"issue":{"subject":"Wi-MAX data drop (could not init)","project_id":79,"tracker_id":40,"status_id":1,"priority_id":2,"assigned_to_id":23,"start_date":"2017-06-26","description":"","custom_fields":[{"id":1,"name":"Subdivision","value":"EC"},{"id":4,"name":"Milepost","value":"0"},{"id":17,"name":"Train ID","value":"223-26"},{"id":16,"name":"Locomotive ID","value":"4058"},{"id":130,"name":"Impact","value":""},{"id":150,"name":"Time of Event (Mountain Time)","value":"20:12:00"},{"id":151,"name":"Denver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ref="AM135" si="57">"start /low /b "&amp;dls3logs&amp;" --loco "&amp;B135&amp;" --day "&amp;TEXT(F135,"YYYY-MM-DD")</f>
        <v>start /low /b %USERPROFILE%\Documents\GitHub\eaglep3\Utilities\DownloadLogsFromS3.py --loco 4058 --day 2017-06-26</v>
      </c>
      <c r="AN135" s="151" t="str">
        <f t="shared" ref="AN135" si="58"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 (could not init)","project_id":30,"tracker_id":4,"status_id":1,"priority_id":1,"assigned_to_id":10,"start_date":"2017-06-27","description":"","custom_fields":[{"id":30,"name":"Category","value":"Issue"},{"id":3,"name":"Functional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02:12:00"},{"id":29,"name":"Sharepoint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6" spans="1:91" s="20" customFormat="1" x14ac:dyDescent="0.25">
      <c r="A136" s="32" t="s">
        <v>849</v>
      </c>
      <c r="B136" s="7">
        <v>4057</v>
      </c>
      <c r="C136" s="21" t="s">
        <v>202</v>
      </c>
      <c r="D136" s="21" t="s">
        <v>491</v>
      </c>
      <c r="E136" s="13">
        <v>42912.846701388888</v>
      </c>
      <c r="F136" s="13">
        <v>42912.852384259262</v>
      </c>
      <c r="G136" s="7">
        <v>2</v>
      </c>
      <c r="H136" s="21" t="s">
        <v>872</v>
      </c>
      <c r="I136" s="13">
        <v>42912.879629629628</v>
      </c>
      <c r="J136" s="7">
        <v>0</v>
      </c>
      <c r="K136" s="89" t="str">
        <f t="shared" si="30"/>
        <v>4057/4058</v>
      </c>
      <c r="L136" s="21" t="str">
        <f>VLOOKUP(A136,'Trips&amp;Operators'!$C$1:$G$99999,5,FALSE)</f>
        <v>SMITH MICHAEL</v>
      </c>
      <c r="M136" s="6">
        <f t="shared" si="31"/>
        <v>2.7245370365562849E-2</v>
      </c>
      <c r="N136" s="7">
        <f t="shared" ref="N136:N143" si="59">24*60*SUM($M136:$M136)</f>
        <v>39.233333326410502</v>
      </c>
      <c r="O136" s="7"/>
      <c r="P136" s="7"/>
      <c r="Q136" s="22"/>
      <c r="R136" s="170"/>
      <c r="S136" s="213">
        <f t="shared" si="32"/>
        <v>1</v>
      </c>
      <c r="T136" s="195" t="str">
        <f t="shared" si="33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4"/>
        <v>https://d0f6bd738d7f1b3e5a7ca70fe4ff75f0.us-east-1.aws.found.io/app/kibana#/discover/Steve-Slow-Train-Analysis-(2080s-and-2083s)?_g=(refreshInterval:(display:Off,pause:!f,section:0,value:0),time:(from:'2017-06-26T19:19:15-0600',mode:absolute,to:'2017-06-26T22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6" s="197" t="str">
        <f>IF(AA136&lt;VLOOKUP(AG136,Variables!$AC$3:$AD$8,2,FALSE),"Y","N")</f>
        <v>N</v>
      </c>
      <c r="X136" s="197">
        <f t="shared" si="52"/>
        <v>1</v>
      </c>
      <c r="Y136" s="197">
        <f>RIGHT(D136,LEN(D136)-4)/10000</f>
        <v>23.297799999999999</v>
      </c>
      <c r="Z136" s="197">
        <f>RIGHT(H136,LEN(H136)-4)/10000</f>
        <v>1.3599999999999999E-2</v>
      </c>
      <c r="AA136" s="197">
        <f t="shared" si="38"/>
        <v>23.284199999999998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9"/>
        <v>224</v>
      </c>
      <c r="AE136" s="77" t="str">
        <f t="shared" si="40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136" s="74" t="str">
        <f t="shared" si="41"/>
        <v>"C:\Program Files (x86)\AstroGrep\AstroGrep.exe" /e /r /s /spath="%USERPROFILE%\AppData\Local\Temp\OnboardLogs" /stypes="app*4057*20170627*" /stext=" 03:.+((SYSTEM_STATE.+slice.+state.+changed )|(ment ac)|(multiple cpu faults)|(system.+state.+changed )|(\[timeout)|(PRM\|1\|D)|(kpr)|(kdp)|(train st.+moving)|(\|lc)|(penalty))"</v>
      </c>
      <c r="AG136" s="209" t="str">
        <f t="shared" si="42"/>
        <v>EC</v>
      </c>
      <c r="AH136" s="78" t="str">
        <f t="shared" si="44"/>
        <v>"%USERPROFILE%\Documents\GitHub\eaglep3\Utilities\RefineRTDCRunTimes.py" --tripid 224-26 --locoid 4057 --swversion DE.1.0.9.0 --startMP 204:232978 --initTime 2017-06-26T20:19:15 --startdatetime 2017-06-26T20:27:26 --delay 2 --endMP 204:136 --enddatetime 2017-06-26T21:06:40 --enforcementcount 0 &gt;&gt;C:\Users\stu\Documents\GitHub\eaglep3-reporting\EC\2017-06-26-refined-times.txt</v>
      </c>
      <c r="AI136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{"issue":{"subject":"","project_id":79,"tracker_id":40,"status_id":1,"priority_id":2,"assigned_to_id":23,"start_date":"2017-06-26","description":"","custom_fields":[{"id":1,"name":"Subdivision","value":"EC"},{"id":4,"name":"Milepost","value":"0.0136"},{"id":17,"name":"Train ID","value":"224-26"},{"id":16,"name":"Locomotive ID","value":"4057"},{"id":130,"name":"Impact","value":""},{"id":150,"name":"Time of Event (Mountain Time)","value":"21:06:40"},{"id":151,"name":"Denver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6"/>
        <v>start /low /b %USERPROFILE%\Documents\GitHub\eaglep3\Utilities\DownloadLogsFromS3.py --loco 4057 --day 2017-06-26</v>
      </c>
      <c r="AN136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847</v>
      </c>
      <c r="B137" s="7">
        <v>4054</v>
      </c>
      <c r="C137" s="21" t="s">
        <v>202</v>
      </c>
      <c r="D137" s="21" t="s">
        <v>491</v>
      </c>
      <c r="E137" s="13">
        <v>42912.846701388888</v>
      </c>
      <c r="F137" s="13">
        <v>42912.83353009259</v>
      </c>
      <c r="G137" s="7">
        <v>2</v>
      </c>
      <c r="H137" s="21" t="s">
        <v>872</v>
      </c>
      <c r="I137" s="13">
        <v>42912.859039351853</v>
      </c>
      <c r="J137" s="7">
        <v>0</v>
      </c>
      <c r="K137" s="89" t="str">
        <f t="shared" si="30"/>
        <v>4053/4054</v>
      </c>
      <c r="L137" s="21" t="str">
        <f>VLOOKUP(A137,'Trips&amp;Operators'!$C$1:$G$99999,5,FALSE)</f>
        <v>HAITHCOX MICHAEL</v>
      </c>
      <c r="M137" s="6">
        <f t="shared" si="31"/>
        <v>2.5509259263344575E-2</v>
      </c>
      <c r="N137" s="7">
        <f t="shared" si="59"/>
        <v>36.733333339216188</v>
      </c>
      <c r="O137" s="7"/>
      <c r="P137" s="7"/>
      <c r="Q137" s="22"/>
      <c r="R137" s="170"/>
      <c r="S137" s="213">
        <f t="shared" si="32"/>
        <v>1</v>
      </c>
      <c r="T137" s="195" t="str">
        <f t="shared" si="33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4"/>
        <v>https://d0f6bd738d7f1b3e5a7ca70fe4ff75f0.us-east-1.aws.found.io/app/kibana#/discover/Steve-Slow-Train-Analysis-(2080s-and-2083s)?_g=(refreshInterval:(display:Off,pause:!f,section:0,value:0),time:(from:'2017-06-26T19:19:15-0600',mode:absolute,to:'2017-06-26T21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97" t="str">
        <f>IF(AA137&lt;VLOOKUP(AG137,Variables!$AC$3:$AD$8,2,FALSE),"Y","N")</f>
        <v>N</v>
      </c>
      <c r="X137" s="197">
        <f t="shared" si="52"/>
        <v>1</v>
      </c>
      <c r="Y137" s="197">
        <v>4.7699999999999999E-2</v>
      </c>
      <c r="Z137" s="197">
        <v>23.3293</v>
      </c>
      <c r="AA137" s="197">
        <f t="shared" si="38"/>
        <v>23.281600000000001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9"/>
        <v>225</v>
      </c>
      <c r="AE137" s="77" t="str">
        <f t="shared" si="40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137" s="74" t="str">
        <f t="shared" si="41"/>
        <v>"C:\Program Files (x86)\AstroGrep\AstroGrep.exe" /e /r /s /spath="%USERPROFILE%\AppData\Local\Temp\OnboardLogs" /stypes="app*4054*20170627*" /stext=" 02:.+((SYSTEM_STATE.+slice.+state.+changed )|(ment ac)|(multiple cpu faults)|(system.+state.+changed )|(\[timeout)|(PRM\|1\|D)|(kpr)|(kdp)|(train st.+moving)|(\|lc)|(penalty))"</v>
      </c>
      <c r="AG137" s="209" t="str">
        <f t="shared" si="42"/>
        <v>EC</v>
      </c>
      <c r="AH137" s="78" t="str">
        <f t="shared" ref="AH137" si="60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225-26 --locoid 4054 --swversion DE.1.0.9.0 --startMP 204:232978 --initTime 2017-06-26T20:19:15 --startdatetime 2017-06-26T20:00:17 --delay 2 --endMP 204:136 --enddatetime 2017-06-26T20:37:01 --enforcementcount 0 &gt;&gt;C:\Users\stu\Documents\GitHub\eaglep3-reporting\EC\2017-06-26-refined-times.txt</v>
      </c>
      <c r="AI137" s="96" t="str">
        <f t="shared" ref="AI137" si="61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{"issue":{"subject":"","project_id":79,"tracker_id":40,"status_id":1,"priority_id":2,"assigned_to_id":23,"start_date":"2017-06-26","description":"","custom_fields":[{"id":1,"name":"Subdivision","value":"EC"},{"id":4,"name":"Milepost","value":"23.3293"},{"id":17,"name":"Train ID","value":"225-26"},{"id":16,"name":"Locomotive ID","value":"4054"},{"id":130,"name":"Impact","value":""},{"id":150,"name":"Time of Event (Mountain Time)","value":"20:37:01"},{"id":151,"name":"Denver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ref="AM137" si="62">"start /low /b "&amp;dls3logs&amp;" --loco "&amp;B137&amp;" --day "&amp;TEXT(F137,"YYYY-MM-DD")</f>
        <v>start /low /b %USERPROFILE%\Documents\GitHub\eaglep3\Utilities\DownloadLogsFromS3.py --loco 4054 --day 2017-06-26</v>
      </c>
      <c r="AN137" s="151" t="str">
        <f t="shared" ref="AN137" si="63"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02:37:01"},{"id":29,"name":"Sharepoint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8" spans="1:91" s="20" customFormat="1" x14ac:dyDescent="0.25">
      <c r="A138" s="32" t="s">
        <v>850</v>
      </c>
      <c r="B138" s="7">
        <v>4053</v>
      </c>
      <c r="C138" s="21" t="s">
        <v>202</v>
      </c>
      <c r="D138" s="21" t="s">
        <v>891</v>
      </c>
      <c r="E138" s="13">
        <v>42912.860115740739</v>
      </c>
      <c r="F138" s="13">
        <v>42912.873136574075</v>
      </c>
      <c r="G138" s="7">
        <v>1</v>
      </c>
      <c r="H138" s="21" t="s">
        <v>349</v>
      </c>
      <c r="I138" s="13">
        <v>42912.900833333333</v>
      </c>
      <c r="J138" s="7">
        <v>0</v>
      </c>
      <c r="K138" s="89" t="str">
        <f t="shared" si="30"/>
        <v>4053/4054</v>
      </c>
      <c r="L138" s="21" t="str">
        <f>VLOOKUP(A138,'Trips&amp;Operators'!$C$1:$G$99999,5,FALSE)</f>
        <v>HAITHCOX MICHAEL</v>
      </c>
      <c r="M138" s="6">
        <f t="shared" si="31"/>
        <v>2.7696759258105885E-2</v>
      </c>
      <c r="N138" s="7">
        <f t="shared" si="59"/>
        <v>39.883333331672475</v>
      </c>
      <c r="O138" s="7"/>
      <c r="P138" s="7"/>
      <c r="Q138" s="22"/>
      <c r="R138" s="170"/>
      <c r="S138" s="213">
        <f t="shared" si="32"/>
        <v>1</v>
      </c>
      <c r="T138" s="195" t="str">
        <f t="shared" si="33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4"/>
        <v>https://d0f6bd738d7f1b3e5a7ca70fe4ff75f0.us-east-1.aws.found.io/app/kibana#/discover/Steve-Slow-Train-Analysis-(2080s-and-2083s)?_g=(refreshInterval:(display:Off,pause:!f,section:0,value:0),time:(from:'2017-06-26T19:38:34-0600',mode:absolute,to:'2017-06-26T22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97" t="str">
        <f>IF(AA138&lt;VLOOKUP(AG138,Variables!$AC$3:$AD$8,2,FALSE),"Y","N")</f>
        <v>N</v>
      </c>
      <c r="X138" s="197">
        <f t="shared" ref="X138:X140" si="64">VALUE(LEFT(AD138,4))-VALUE(LEFT(AD137,4))</f>
        <v>1</v>
      </c>
      <c r="Y138" s="197">
        <f t="shared" ref="Y138:Y169" si="65">RIGHT(D138,LEN(D138)-4)/10000</f>
        <v>23.300799999999999</v>
      </c>
      <c r="Z138" s="197">
        <f t="shared" ref="Z138:Z169" si="66">RIGHT(H138,LEN(H138)-4)/10000</f>
        <v>1.49E-2</v>
      </c>
      <c r="AA138" s="197">
        <f t="shared" si="38"/>
        <v>23.285899999999998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9"/>
        <v>226</v>
      </c>
      <c r="AE138" s="77" t="str">
        <f t="shared" si="40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138" s="74" t="str">
        <f t="shared" si="41"/>
        <v>"C:\Program Files (x86)\AstroGrep\AstroGrep.exe" /e /r /s /spath="%USERPROFILE%\AppData\Local\Temp\OnboardLogs" /stypes="app*4053*20170627*" /stext=" 03:.+((SYSTEM_STATE.+slice.+state.+changed )|(ment ac)|(multiple cpu faults)|(system.+state.+changed )|(\[timeout)|(PRM\|1\|D)|(kpr)|(kdp)|(train st.+moving)|(\|lc)|(penalty))"</v>
      </c>
      <c r="AG138" s="209" t="str">
        <f t="shared" si="42"/>
        <v>EC</v>
      </c>
      <c r="AH138" s="78" t="str">
        <f t="shared" si="44"/>
        <v>"%USERPROFILE%\Documents\GitHub\eaglep3\Utilities\RefineRTDCRunTimes.py" --tripid 226-26 --locoid 4053 --swversion DE.1.0.9.0 --startMP 204:233008 --initTime 2017-06-26T20:38:34 --startdatetime 2017-06-26T20:57:19 --delay 1 --endMP 204:149 --enddatetime 2017-06-26T21:37:12 --enforcementcount 0 &gt;&gt;C:\Users\stu\Documents\GitHub\eaglep3-reporting\EC\2017-06-26-refined-times.txt</v>
      </c>
      <c r="AI138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{"issue":{"subject":"","project_id":79,"tracker_id":40,"status_id":1,"priority_id":2,"assigned_to_id":23,"start_date":"2017-06-26","description":"","custom_fields":[{"id":1,"name":"Subdivision","value":"EC"},{"id":4,"name":"Milepost","value":"0.0149"},{"id":17,"name":"Train ID","value":"226-26"},{"id":16,"name":"Locomotive ID","value":"4053"},{"id":130,"name":"Impact","value":""},{"id":150,"name":"Time of Event (Mountain Time)","value":"21:37:12"},{"id":151,"name":"Denver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6"/>
        <v>start /low /b %USERPROFILE%\Documents\GitHub\eaglep3\Utilities\DownloadLogsFromS3.py --loco 4053 --day 2017-06-26</v>
      </c>
      <c r="AN138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03:37:12"},{"id":29,"name":"Sharepoint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650</v>
      </c>
      <c r="B139" s="7">
        <v>4014</v>
      </c>
      <c r="C139" s="21" t="s">
        <v>202</v>
      </c>
      <c r="D139" s="21" t="s">
        <v>525</v>
      </c>
      <c r="E139" s="13">
        <v>42912.847048611111</v>
      </c>
      <c r="F139" s="13">
        <v>42912.854548611111</v>
      </c>
      <c r="G139" s="7">
        <v>1</v>
      </c>
      <c r="H139" s="21" t="s">
        <v>585</v>
      </c>
      <c r="I139" s="13">
        <v>42912.880879629629</v>
      </c>
      <c r="J139" s="7">
        <v>0</v>
      </c>
      <c r="K139" s="89" t="str">
        <f t="shared" si="30"/>
        <v>4013/4014</v>
      </c>
      <c r="L139" s="21" t="str">
        <f>VLOOKUP(A139,'Trips&amp;Operators'!$C$1:$G$99999,5,FALSE)</f>
        <v>THOMPSON LESTER</v>
      </c>
      <c r="M139" s="6">
        <f t="shared" si="31"/>
        <v>2.6331018518249039E-2</v>
      </c>
      <c r="N139" s="7">
        <f t="shared" si="59"/>
        <v>37.916666666278616</v>
      </c>
      <c r="O139" s="7"/>
      <c r="P139" s="7"/>
      <c r="Q139" s="22"/>
      <c r="R139" s="170"/>
      <c r="S139" s="213">
        <f t="shared" si="32"/>
        <v>1</v>
      </c>
      <c r="T139" s="195" t="str">
        <f t="shared" si="33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4"/>
        <v>https://d0f6bd738d7f1b3e5a7ca70fe4ff75f0.us-east-1.aws.found.io/app/kibana#/discover/Steve-Slow-Train-Analysis-(2080s-and-2083s)?_g=(refreshInterval:(display:Off,pause:!f,section:0,value:0),time:(from:'2017-06-26T19:19:45-0600',mode:absolute,to:'2017-06-26T22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97" t="str">
        <f>IF(AA139&lt;VLOOKUP(AG139,Variables!$AC$3:$AD$8,2,FALSE),"Y","N")</f>
        <v>N</v>
      </c>
      <c r="X139" s="197">
        <f t="shared" si="64"/>
        <v>1</v>
      </c>
      <c r="Y139" s="197">
        <f t="shared" si="65"/>
        <v>4.7699999999999999E-2</v>
      </c>
      <c r="Z139" s="197">
        <f t="shared" si="66"/>
        <v>23.3293</v>
      </c>
      <c r="AA139" s="197">
        <f t="shared" si="38"/>
        <v>23.281600000000001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9"/>
        <v>227</v>
      </c>
      <c r="AE139" s="77" t="str">
        <f t="shared" si="40"/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AF139" s="74" t="str">
        <f t="shared" si="41"/>
        <v>"C:\Program Files (x86)\AstroGrep\AstroGrep.exe" /e /r /s /spath="%USERPROFILE%\AppData\Local\Temp\OnboardLogs" /stypes="app*4014*20170627*" /stext=" 03:.+((SYSTEM_STATE.+slice.+state.+changed )|(ment ac)|(multiple cpu faults)|(system.+state.+changed )|(\[timeout)|(PRM\|1\|D)|(kpr)|(kdp)|(train st.+moving)|(\|lc)|(penalty))"</v>
      </c>
      <c r="AG139" s="209" t="str">
        <f t="shared" si="42"/>
        <v>EC</v>
      </c>
      <c r="AH139" s="78" t="str">
        <f t="shared" si="44"/>
        <v>"%USERPROFILE%\Documents\GitHub\eaglep3\Utilities\RefineRTDCRunTimes.py" --tripid 227-26 --locoid 4014 --swversion DE.1.0.9.0 --startMP 204:477 --initTime 2017-06-26T20:19:45 --startdatetime 2017-06-26T20:30:33 --delay 1 --endMP 204:233293 --enddatetime 2017-06-26T21:08:28 --enforcementcount 0 &gt;&gt;C:\Users\stu\Documents\GitHub\eaglep3-reporting\EC\2017-06-26-refined-times.txt</v>
      </c>
      <c r="AI139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{"issue":{"subject":"","project_id":79,"tracker_id":40,"status_id":1,"priority_id":2,"assigned_to_id":23,"start_date":"2017-06-26","description":"","custom_fields":[{"id":1,"name":"Subdivision","value":"EC"},{"id":4,"name":"Milepost","value":"23.3293"},{"id":17,"name":"Train ID","value":"227-26"},{"id":16,"name":"Locomotive ID","value":"4014"},{"id":130,"name":"Impact","value":""},{"id":150,"name":"Time of Event (Mountain Time)","value":"21:08:28"},{"id":151,"name":"Denver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6"/>
        <v>start /low /b %USERPROFILE%\Documents\GitHub\eaglep3\Utilities\DownloadLogsFromS3.py --loco 4014 --day 2017-06-26</v>
      </c>
      <c r="AN139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855</v>
      </c>
      <c r="B140" s="7">
        <v>4013</v>
      </c>
      <c r="C140" s="21" t="s">
        <v>202</v>
      </c>
      <c r="D140" s="21" t="s">
        <v>932</v>
      </c>
      <c r="E140" s="13">
        <v>42912.890648148146</v>
      </c>
      <c r="F140" s="13">
        <v>42912.89402777778</v>
      </c>
      <c r="G140" s="7">
        <v>1</v>
      </c>
      <c r="H140" s="21" t="s">
        <v>416</v>
      </c>
      <c r="I140" s="13">
        <v>42912.921724537038</v>
      </c>
      <c r="J140" s="7">
        <v>0</v>
      </c>
      <c r="K140" s="89" t="str">
        <f t="shared" si="30"/>
        <v>4013/4014</v>
      </c>
      <c r="L140" s="21" t="str">
        <f>VLOOKUP(A140,'Trips&amp;Operators'!$C$1:$G$99999,5,FALSE)</f>
        <v>THOMPSON LESTER</v>
      </c>
      <c r="M140" s="6">
        <f t="shared" si="31"/>
        <v>2.7696759258105885E-2</v>
      </c>
      <c r="N140" s="7">
        <f t="shared" si="59"/>
        <v>39.883333331672475</v>
      </c>
      <c r="O140" s="7"/>
      <c r="P140" s="7"/>
      <c r="Q140" s="22"/>
      <c r="R140" s="170"/>
      <c r="S140" s="213">
        <f t="shared" si="32"/>
        <v>1</v>
      </c>
      <c r="T140" s="195" t="str">
        <f t="shared" si="33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4"/>
        <v>https://d0f6bd738d7f1b3e5a7ca70fe4ff75f0.us-east-1.aws.found.io/app/kibana#/discover/Steve-Slow-Train-Analysis-(2080s-and-2083s)?_g=(refreshInterval:(display:Off,pause:!f,section:0,value:0),time:(from:'2017-06-26T20:22:32-0600',mode:absolute,to:'2017-06-26T23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97" t="str">
        <f>IF(AA140&lt;VLOOKUP(AG140,Variables!$AC$3:$AD$8,2,FALSE),"Y","N")</f>
        <v>N</v>
      </c>
      <c r="X140" s="197">
        <f t="shared" si="64"/>
        <v>1</v>
      </c>
      <c r="Y140" s="197">
        <f t="shared" si="65"/>
        <v>23.297499999999999</v>
      </c>
      <c r="Z140" s="197">
        <f t="shared" si="66"/>
        <v>1.4500000000000001E-2</v>
      </c>
      <c r="AA140" s="197">
        <f t="shared" si="38"/>
        <v>23.282999999999998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9"/>
        <v>228</v>
      </c>
      <c r="AE140" s="77" t="str">
        <f t="shared" si="40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140" s="74" t="str">
        <f t="shared" si="41"/>
        <v>"C:\Program Files (x86)\AstroGrep\AstroGrep.exe" /e /r /s /spath="%USERPROFILE%\AppData\Local\Temp\OnboardLogs" /stypes="app*4013*20170627*" /stext=" 04:.+((SYSTEM_STATE.+slice.+state.+changed )|(ment ac)|(multiple cpu faults)|(system.+state.+changed )|(\[timeout)|(PRM\|1\|D)|(kpr)|(kdp)|(train st.+moving)|(\|lc)|(penalty))"</v>
      </c>
      <c r="AG140" s="209" t="str">
        <f t="shared" si="42"/>
        <v>EC</v>
      </c>
      <c r="AH140" s="78" t="str">
        <f t="shared" si="44"/>
        <v>"%USERPROFILE%\Documents\GitHub\eaglep3\Utilities\RefineRTDCRunTimes.py" --tripid 228-26 --locoid 4013 --swversion DE.1.0.9.0 --startMP 204:232975 --initTime 2017-06-26T21:22:32 --startdatetime 2017-06-26T21:27:24 --delay 1 --endMP 204:145 --enddatetime 2017-06-26T22:07:17 --enforcementcount 0 &gt;&gt;C:\Users\stu\Documents\GitHub\eaglep3-reporting\EC\2017-06-26-refined-times.txt</v>
      </c>
      <c r="AI140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{"issue":{"subject":"","project_id":79,"tracker_id":40,"status_id":1,"priority_id":2,"assigned_to_id":23,"start_date":"2017-06-26","description":"","custom_fields":[{"id":1,"name":"Subdivision","value":"EC"},{"id":4,"name":"Milepost","value":"0.0145"},{"id":17,"name":"Train ID","value":"228-26"},{"id":16,"name":"Locomotive ID","value":"4013"},{"id":130,"name":"Impact","value":""},{"id":150,"name":"Time of Event (Mountain Time)","value":"22:07:17"},{"id":151,"name":"Denver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6"/>
        <v>start /low /b %USERPROFILE%\Documents\GitHub\eaglep3\Utilities\DownloadLogsFromS3.py --loco 4013 --day 2017-06-26</v>
      </c>
      <c r="AN140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852</v>
      </c>
      <c r="B141" s="7">
        <v>4016</v>
      </c>
      <c r="C141" s="21" t="s">
        <v>202</v>
      </c>
      <c r="D141" s="21" t="s">
        <v>355</v>
      </c>
      <c r="E141" s="13">
        <v>42912.867592592593</v>
      </c>
      <c r="F141" s="13">
        <v>42912.875196759262</v>
      </c>
      <c r="G141" s="7">
        <v>1</v>
      </c>
      <c r="H141" s="21" t="s">
        <v>528</v>
      </c>
      <c r="I141" s="13">
        <v>42912.900763888887</v>
      </c>
      <c r="J141" s="7">
        <v>0</v>
      </c>
      <c r="K141" s="89" t="str">
        <f t="shared" ref="K141:K204" si="67">IF(ISEVEN(B141),(B141-1)&amp;"/"&amp;B141,B141&amp;"/"&amp;(B141+1))</f>
        <v>4015/4016</v>
      </c>
      <c r="L141" s="21" t="str">
        <f>VLOOKUP(A141,'Trips&amp;Operators'!$C$1:$G$99999,5,FALSE)</f>
        <v>PERKINS DARREN</v>
      </c>
      <c r="M141" s="6">
        <f t="shared" ref="M141:M204" si="68">I141-F141</f>
        <v>2.5567129625414964E-2</v>
      </c>
      <c r="N141" s="7">
        <f t="shared" si="59"/>
        <v>36.816666660597548</v>
      </c>
      <c r="O141" s="7"/>
      <c r="P141" s="7"/>
      <c r="Q141" s="22"/>
      <c r="R141" s="170"/>
      <c r="S141" s="213">
        <f t="shared" ref="S141:S204" si="69">SUM(U141:U141)/IF(AG141="EC",12,1)</f>
        <v>1</v>
      </c>
      <c r="T141" s="195" t="str">
        <f t="shared" ref="T141:T204" si="7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7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-26T19:49:20-0600',mode:absolute,to:'2017-06-26T22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7" t="str">
        <f>IF(AA141&lt;VLOOKUP(AG141,Variables!$AC$3:$AD$8,2,FALSE),"Y","N")</f>
        <v>N</v>
      </c>
      <c r="X141" s="197">
        <f t="shared" ref="X141:X146" si="72">VALUE(LEFT(AD141,4))-VALUE(LEFT(AD140,4))</f>
        <v>1</v>
      </c>
      <c r="Y141" s="197">
        <f t="shared" si="65"/>
        <v>4.4699999999999997E-2</v>
      </c>
      <c r="Z141" s="197">
        <f t="shared" si="66"/>
        <v>23.330100000000002</v>
      </c>
      <c r="AA141" s="197">
        <f t="shared" ref="AA141:AA204" si="73">ABS(Z141-Y141)</f>
        <v>23.285400000000003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74">VALUE(LEFT(A141,LEN(A141)-3))</f>
        <v>229</v>
      </c>
      <c r="AE141" s="77" t="str">
        <f t="shared" ref="AE141:AE204" si="7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"%USERPROFILE%\AppData\Local\Temp\OnboardLogs"\RTDC4016\2017-06-26 --exclude "*" --recursive --include "*20170626*" &amp; "%USERPROFILE%\Documents\GitHub\mrs-test-scripts\Headless Mode &amp; Sideloading\WalkAndUnGZ.bat" "%USERPROFILE%\AppData\Local\Temp\OnboardLogs"\RTDC4016\2017-06-26 &amp; 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</v>
      </c>
      <c r="AF141" s="74" t="str">
        <f t="shared" ref="AF141:AF204" si="7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/stypes="app*4016*20170627*"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77">DetSubdiv(A141)</f>
        <v>EC</v>
      </c>
      <c r="AH141" s="78" t="str">
        <f t="shared" si="44"/>
        <v>"%USERPROFILE%\Documents\GitHub\eaglep3\Utilities\RefineRTDCRunTimes.py" --tripid 229-26 --locoid 4016 --swversion DE.1.0.9.0 --startMP 204:447 --initTime 2017-06-26T20:49:20 --startdatetime 2017-06-26T21:00:17 --delay 1 --endMP 204:233301 --enddatetime 2017-06-26T21:37:06 --enforcementcount 0 &gt;&gt;C:\Users\stu\Documents\GitHub\eaglep3-reporting\EC\2017-06-26-refined-times.txt</v>
      </c>
      <c r="AI141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{"issue":{"subject":"","project_id":79,"tracker_id":40,"status_id":1,"priority_id":2,"assigned_to_id":23,"start_date":"2017-06-26","description":"","custom_fields":[{"id":1,"name":"Subdivision","value":"EC"},{"id":4,"name":"Milepost","value":"23.3301"},{"id":17,"name":"Train ID","value":"229-26"},{"id":16,"name":"Locomotive ID","value":"4016"},{"id":130,"name":"Impact","value":""},{"id":150,"name":"Time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6"/>
        <v>start /low /b %USERPROFILE%\Documents\GitHub\eaglep3\Utilities\DownloadLogsFromS3.py --loco 4016 --day 2017-06-26</v>
      </c>
      <c r="AN141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856</v>
      </c>
      <c r="B142" s="7">
        <v>4015</v>
      </c>
      <c r="C142" s="21" t="s">
        <v>202</v>
      </c>
      <c r="D142" s="21" t="s">
        <v>899</v>
      </c>
      <c r="E142" s="13">
        <v>42912.903078703705</v>
      </c>
      <c r="F142" s="13">
        <v>42912.914768518516</v>
      </c>
      <c r="G142" s="7">
        <v>1</v>
      </c>
      <c r="H142" s="21" t="s">
        <v>933</v>
      </c>
      <c r="I142" s="13">
        <v>42912.941481481481</v>
      </c>
      <c r="J142" s="7">
        <v>0</v>
      </c>
      <c r="K142" s="89" t="str">
        <f t="shared" si="67"/>
        <v>4015/4016</v>
      </c>
      <c r="L142" s="21" t="str">
        <f>VLOOKUP(A142,'Trips&amp;Operators'!$C$1:$G$99999,5,FALSE)</f>
        <v>PERKINS DARREN</v>
      </c>
      <c r="M142" s="6">
        <f t="shared" si="68"/>
        <v>2.6712962964666076E-2</v>
      </c>
      <c r="N142" s="7">
        <f t="shared" si="59"/>
        <v>38.466666669119149</v>
      </c>
      <c r="O142" s="7"/>
      <c r="P142" s="7"/>
      <c r="Q142" s="22"/>
      <c r="R142" s="170"/>
      <c r="S142" s="213">
        <f t="shared" si="69"/>
        <v>1</v>
      </c>
      <c r="T142" s="195" t="str">
        <f t="shared" si="7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71"/>
        <v>https://d0f6bd738d7f1b3e5a7ca70fe4ff75f0.us-east-1.aws.found.io/app/kibana#/discover/Steve-Slow-Train-Analysis-(2080s-and-2083s)?_g=(refreshInterval:(display:Off,pause:!f,section:0,value:0),time:(from:'2017-06-26T20:40:26-0600',mode:absolute,to:'2017-06-26T23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7" t="str">
        <f>IF(AA142&lt;VLOOKUP(AG142,Variables!$AC$3:$AD$8,2,FALSE),"Y","N")</f>
        <v>N</v>
      </c>
      <c r="X142" s="197">
        <f t="shared" si="72"/>
        <v>1</v>
      </c>
      <c r="Y142" s="197">
        <f t="shared" si="65"/>
        <v>23.2988</v>
      </c>
      <c r="Z142" s="197">
        <f t="shared" si="66"/>
        <v>1.23E-2</v>
      </c>
      <c r="AA142" s="197">
        <f t="shared" si="73"/>
        <v>23.2865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74"/>
        <v>230</v>
      </c>
      <c r="AE142" s="77" t="str">
        <f t="shared" si="75"/>
        <v>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 &amp; 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</v>
      </c>
      <c r="AF142" s="74" t="str">
        <f t="shared" si="76"/>
        <v>"C:\Program Files (x86)\AstroGrep\AstroGrep.exe" /e /r /s /spath="%USERPROFILE%\AppData\Local\Temp\OnboardLogs" /stypes="app*4015*20170627*" /stext=" 04:.+((SYSTEM_STATE.+slice.+state.+changed )|(ment ac)|(multiple cpu faults)|(system.+state.+changed )|(\[timeout)|(PRM\|1\|D)|(kpr)|(kdp)|(train st.+moving)|(\|lc)|(penalty))"</v>
      </c>
      <c r="AG142" s="209" t="str">
        <f t="shared" si="77"/>
        <v>EC</v>
      </c>
      <c r="AH142" s="78" t="str">
        <f t="shared" si="44"/>
        <v>"%USERPROFILE%\Documents\GitHub\eaglep3\Utilities\RefineRTDCRunTimes.py" --tripid 230-26 --locoid 4015 --swversion DE.1.0.9.0 --startMP 204:232988 --initTime 2017-06-26T21:40:26 --startdatetime 2017-06-26T21:57:16 --delay 1 --endMP 204:123 --enddatetime 2017-06-26T22:35:44 --enforcementcount 0 &gt;&gt;C:\Users\stu\Documents\GitHub\eaglep3-reporting\EC\2017-06-26-refined-times.txt</v>
      </c>
      <c r="AI142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{"issue":{"subject":"","project_id":79,"tracker_id":40,"status_id":1,"priority_id":2,"assigned_to_id":23,"start_date":"2017-06-26","description":"","custom_fields":[{"id":1,"name":"Subdivision","value":"EC"},{"id":4,"name":"Milepost","value":"0.0123"},{"id":17,"name":"Train ID","value":"230-26"},{"id":16,"name":"Locomotive ID","value":"4015"},{"id":130,"name":"Impact","value":""},{"id":150,"name":"Time of Event (Mountain Time)","value":"22:35:44"},{"id":151,"name":"Denver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6"/>
        <v>start /low /b %USERPROFILE%\Documents\GitHub\eaglep3\Utilities\DownloadLogsFromS3.py --loco 4015 --day 2017-06-26</v>
      </c>
      <c r="AN142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854</v>
      </c>
      <c r="B143" s="7">
        <v>4058</v>
      </c>
      <c r="C143" s="21" t="s">
        <v>202</v>
      </c>
      <c r="D143" s="21" t="s">
        <v>492</v>
      </c>
      <c r="E143" s="13">
        <v>42912.887083333335</v>
      </c>
      <c r="F143" s="13">
        <v>42912.896261574075</v>
      </c>
      <c r="G143" s="7">
        <v>2</v>
      </c>
      <c r="H143" s="21" t="s">
        <v>507</v>
      </c>
      <c r="I143" s="13">
        <v>42912.921458333331</v>
      </c>
      <c r="J143" s="7">
        <v>0</v>
      </c>
      <c r="K143" s="89" t="str">
        <f t="shared" si="67"/>
        <v>4057/4058</v>
      </c>
      <c r="L143" s="21" t="str">
        <f>VLOOKUP(A143,'Trips&amp;Operators'!$C$1:$G$99999,5,FALSE)</f>
        <v>SMITH MICHAEL</v>
      </c>
      <c r="M143" s="6">
        <f t="shared" si="68"/>
        <v>2.5196759255777579E-2</v>
      </c>
      <c r="N143" s="7">
        <f t="shared" si="59"/>
        <v>36.283333328319713</v>
      </c>
      <c r="O143" s="7"/>
      <c r="P143" s="7"/>
      <c r="Q143" s="22"/>
      <c r="R143" s="170"/>
      <c r="S143" s="213">
        <f t="shared" si="69"/>
        <v>1</v>
      </c>
      <c r="T143" s="195" t="str">
        <f t="shared" si="7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1"/>
        <v>https://d0f6bd738d7f1b3e5a7ca70fe4ff75f0.us-east-1.aws.found.io/app/kibana#/discover/Steve-Slow-Train-Analysis-(2080s-and-2083s)?_g=(refreshInterval:(display:Off,pause:!f,section:0,value:0),time:(from:'2017-06-26T20:17:24-0600',mode:absolute,to:'2017-06-26T23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3" s="197" t="str">
        <f>IF(AA143&lt;VLOOKUP(AG143,Variables!$AC$3:$AD$8,2,FALSE),"Y","N")</f>
        <v>N</v>
      </c>
      <c r="X143" s="197">
        <f t="shared" si="72"/>
        <v>1</v>
      </c>
      <c r="Y143" s="197">
        <f t="shared" si="65"/>
        <v>4.58E-2</v>
      </c>
      <c r="Z143" s="197">
        <f t="shared" si="66"/>
        <v>23.331199999999999</v>
      </c>
      <c r="AA143" s="197">
        <f t="shared" si="73"/>
        <v>23.285399999999999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74"/>
        <v>231</v>
      </c>
      <c r="AE143" s="77" t="str">
        <f t="shared" si="75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143" s="74" t="str">
        <f t="shared" si="76"/>
        <v>"C:\Program Files (x86)\AstroGrep\AstroGrep.exe" /e /r /s /spath="%USERPROFILE%\AppData\Local\Temp\OnboardLogs" /stypes="app*4058*20170627*" /stext=" 04:.+((SYSTEM_STATE.+slice.+state.+changed )|(ment ac)|(multiple cpu faults)|(system.+state.+changed )|(\[timeout)|(PRM\|1\|D)|(kpr)|(kdp)|(train st.+moving)|(\|lc)|(penalty))"</v>
      </c>
      <c r="AG143" s="209" t="str">
        <f t="shared" si="77"/>
        <v>EC</v>
      </c>
      <c r="AH143" s="78" t="str">
        <f t="shared" si="44"/>
        <v>"%USERPROFILE%\Documents\GitHub\eaglep3\Utilities\RefineRTDCRunTimes.py" --tripid 231-26 --locoid 4058 --swversion DE.1.0.9.0 --startMP 204:458 --initTime 2017-06-26T21:17:24 --startdatetime 2017-06-26T21:30:37 --delay 2 --endMP 204:233312 --enddatetime 2017-06-26T22:06:54 --enforcementcount 0 &gt;&gt;C:\Users\stu\Documents\GitHub\eaglep3-reporting\EC\2017-06-26-refined-times.txt</v>
      </c>
      <c r="AI143" s="96" t="str">
        <f t="shared" si="45"/>
        <v>echo {"issue":{"subject":"","project_id":79,"tracker_id":40,"status_id":1,"priority_id":2,"assigned_to_id":23,"start_date":"2017-06-26","description":"","custom_fields":[{"id":1,"name":"Subdivision","value":"EC"},{"id":4,"name":"Milepost","value":"23.3312"},{"id":17,"name":"Train ID","value":"231-26"},{"id":16,"name":"Locomotive ID","value":"4058"},{"id":130,"name":"Impact","value":""},{"id":150,"name":"Time of Event (Mountain Time)","value":"22:06:54"},{"id":151,"name":"Denver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6"/>
        <v>start /low /b %USERPROFILE%\Documents\GitHub\eaglep3\Utilities\DownloadLogsFromS3.py --loco 4058 --day 2017-06-26</v>
      </c>
      <c r="AN143" s="151" t="str">
        <f t="shared" si="47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654</v>
      </c>
      <c r="B144" s="7">
        <v>4057</v>
      </c>
      <c r="C144" s="21" t="s">
        <v>202</v>
      </c>
      <c r="D144" s="21" t="s">
        <v>934</v>
      </c>
      <c r="E144" s="13">
        <v>42912.929444444446</v>
      </c>
      <c r="F144" s="13">
        <v>42912.935613425929</v>
      </c>
      <c r="G144" s="7">
        <v>1</v>
      </c>
      <c r="H144" s="21" t="s">
        <v>935</v>
      </c>
      <c r="I144" s="13">
        <v>42912.959687499999</v>
      </c>
      <c r="J144" s="7">
        <v>0</v>
      </c>
      <c r="K144" s="89" t="str">
        <f t="shared" si="67"/>
        <v>4057/4058</v>
      </c>
      <c r="L144" s="21" t="str">
        <f>VLOOKUP(A144,'Trips&amp;Operators'!$C$1:$G$99999,5,FALSE)</f>
        <v>SMITH MICHAEL</v>
      </c>
      <c r="M144" s="6">
        <f t="shared" si="68"/>
        <v>2.4074074070085771E-2</v>
      </c>
      <c r="N144" s="7"/>
      <c r="O144" s="7"/>
      <c r="P144" s="7">
        <f>24*60*SUM($M144:$M144)</f>
        <v>34.666666660923511</v>
      </c>
      <c r="Q144" s="22"/>
      <c r="R144" s="170" t="s">
        <v>1067</v>
      </c>
      <c r="S144" s="213">
        <f t="shared" si="69"/>
        <v>1</v>
      </c>
      <c r="T144" s="195" t="str">
        <f t="shared" si="7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1"/>
        <v>https://d0f6bd738d7f1b3e5a7ca70fe4ff75f0.us-east-1.aws.found.io/app/kibana#/discover/Steve-Slow-Train-Analysis-(2080s-and-2083s)?_g=(refreshInterval:(display:Off,pause:!f,section:0,value:0),time:(from:'2017-06-26T21:18:24-0600',mode:absolute,to:'2017-06-27T00:01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4" s="197" t="str">
        <f>IF(AA144&lt;VLOOKUP(AG144,Variables!$AC$3:$AD$8,2,FALSE),"Y","N")</f>
        <v>Y</v>
      </c>
      <c r="X144" s="197">
        <f t="shared" si="72"/>
        <v>1</v>
      </c>
      <c r="Y144" s="197">
        <f t="shared" si="65"/>
        <v>23.296900000000001</v>
      </c>
      <c r="Z144" s="197">
        <f t="shared" si="66"/>
        <v>1.4569000000000001</v>
      </c>
      <c r="AA144" s="197">
        <f t="shared" si="73"/>
        <v>21.84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74"/>
        <v>232</v>
      </c>
      <c r="AE144" s="77" t="str">
        <f t="shared" si="75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144" s="74" t="str">
        <f t="shared" si="76"/>
        <v>"C:\Program Files (x86)\AstroGrep\AstroGrep.exe" /e /r /s /spath="%USERPROFILE%\AppData\Local\Temp\OnboardLogs" /stypes="app*4057*20170627*" /stext=" 05:.+((SYSTEM_STATE.+slice.+state.+changed )|(ment ac)|(multiple cpu faults)|(system.+state.+changed )|(\[timeout)|(PRM\|1\|D)|(kpr)|(kdp)|(train st.+moving)|(\|lc)|(penalty))"</v>
      </c>
      <c r="AG144" s="209" t="str">
        <f t="shared" si="77"/>
        <v>EC</v>
      </c>
      <c r="AH144" s="78" t="str">
        <f t="shared" ref="AH144:AH205" si="78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232-26 --locoid 4057 --swversion DE.1.0.9.0 --startMP 204:232969 --initTime 2017-06-26T22:18:24 --startdatetime 2017-06-26T22:27:17 --delay 1 --endMP 204:14569 --enddatetime 2017-06-26T23:01:57 --enforcementcount 0 &gt;&gt;C:\Users\stu\Documents\GitHub\eaglep3-reporting\EC\2017-06-26-refined-times.txt</v>
      </c>
      <c r="AI144" s="96" t="str">
        <f t="shared" ref="AI144:AI205" si="79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{"issue":{"subject":"Premature downgrade Bright 4S","project_id":79,"tracker_id":40,"status_id":1,"priority_id":2,"assigned_to_id":23,"start_date":"2017-06-26","description":"","custom_fields":[{"id":1,"name":"Subdivision","value":"EC"},{"id":4,"name":"Milepost","value":"1.4569"},{"id":17,"name":"Train ID","value":"232-26"},{"id":16,"name":"Locomotive ID","value":"4057"},{"id":130,"name":"Impact","value":""},{"id":150,"name":"Time of Event (Mountain Time)","value":"23:01:57"},{"id":151,"name":"Denver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5" si="80">"start /low /b "&amp;dls3logs&amp;" --loco "&amp;B144&amp;" --day "&amp;TEXT(F144,"YYYY-MM-DD")</f>
        <v>start /low /b %USERPROFILE%\Documents\GitHub\eaglep3\Utilities\DownloadLogsFromS3.py --loco 4057 --day 2017-06-26</v>
      </c>
      <c r="AN144" s="151" t="str">
        <f t="shared" ref="AN144:AN205" si="81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{"issue":{"subject":"Premature downgrade Bright 4S","project_id":30,"tracker_id":4,"status_id":1,"priority_id":1,"assigned_to_id":10,"start_date":"2017-06-27","description":"","custom_fields":[{"id":30,"name":"Category","value":"Issue"},{"id":3,"name":"Functional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05:01:57"},{"id":29,"name":"Sharepoint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857</v>
      </c>
      <c r="B145" s="7">
        <v>4054</v>
      </c>
      <c r="C145" s="21" t="s">
        <v>202</v>
      </c>
      <c r="D145" s="21" t="s">
        <v>531</v>
      </c>
      <c r="E145" s="13">
        <v>42912.903935185182</v>
      </c>
      <c r="F145" s="13">
        <v>42912.916863425926</v>
      </c>
      <c r="G145" s="7">
        <v>0</v>
      </c>
      <c r="H145" s="21" t="s">
        <v>936</v>
      </c>
      <c r="I145" s="13">
        <v>42912.94321759259</v>
      </c>
      <c r="J145" s="7">
        <v>0</v>
      </c>
      <c r="K145" s="89" t="str">
        <f t="shared" si="67"/>
        <v>4053/4054</v>
      </c>
      <c r="L145" s="21" t="str">
        <f>VLOOKUP(A145,'Trips&amp;Operators'!$C$1:$G$99999,5,FALSE)</f>
        <v>HAITHCOX MICHAEL</v>
      </c>
      <c r="M145" s="6">
        <f t="shared" si="68"/>
        <v>2.6354166664532386E-2</v>
      </c>
      <c r="N145" s="7">
        <f t="shared" ref="N145:N176" si="82">24*60*SUM($M145:$M145)</f>
        <v>37.949999996926636</v>
      </c>
      <c r="O145" s="7"/>
      <c r="P145" s="7"/>
      <c r="Q145" s="22"/>
      <c r="R145" s="170"/>
      <c r="S145" s="213">
        <f t="shared" si="69"/>
        <v>1</v>
      </c>
      <c r="T145" s="195" t="str">
        <f t="shared" si="7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1"/>
        <v>https://d0f6bd738d7f1b3e5a7ca70fe4ff75f0.us-east-1.aws.found.io/app/kibana#/discover/Steve-Slow-Train-Analysis-(2080s-and-2083s)?_g=(refreshInterval:(display:Off,pause:!f,section:0,value:0),time:(from:'2017-06-26T20:41:40-0600',mode:absolute,to:'2017-06-26T23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97" t="str">
        <f>IF(AA145&lt;VLOOKUP(AG145,Variables!$AC$3:$AD$8,2,FALSE),"Y","N")</f>
        <v>N</v>
      </c>
      <c r="X145" s="197">
        <f t="shared" si="72"/>
        <v>1</v>
      </c>
      <c r="Y145" s="197">
        <f t="shared" si="65"/>
        <v>4.8399999999999999E-2</v>
      </c>
      <c r="Z145" s="197">
        <f t="shared" si="66"/>
        <v>23.3263</v>
      </c>
      <c r="AA145" s="197">
        <f t="shared" si="73"/>
        <v>23.277899999999999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74"/>
        <v>233</v>
      </c>
      <c r="AE145" s="77" t="str">
        <f t="shared" si="75"/>
        <v>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 &amp; 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</v>
      </c>
      <c r="AF145" s="74" t="str">
        <f t="shared" si="76"/>
        <v>"C:\Program Files (x86)\AstroGrep\AstroGrep.exe" /e /r /s /spath="%USERPROFILE%\AppData\Local\Temp\OnboardLogs" /stypes="app*4054*20170627*" /stext=" 04:.+((SYSTEM_STATE.+slice.+state.+changed )|(ment ac)|(multiple cpu faults)|(system.+state.+changed )|(\[timeout)|(PRM\|1\|D)|(kpr)|(kdp)|(train st.+moving)|(\|lc)|(penalty))"</v>
      </c>
      <c r="AG145" s="209" t="str">
        <f t="shared" si="77"/>
        <v>EC</v>
      </c>
      <c r="AH145" s="78" t="str">
        <f t="shared" si="78"/>
        <v>"%USERPROFILE%\Documents\GitHub\eaglep3\Utilities\RefineRTDCRunTimes.py" --tripid 233-26 --locoid 4054 --swversion DE.1.0.9.0 --startMP 204:484 --initTime 2017-06-26T21:41:40 --startdatetime 2017-06-26T22:00:17 --delay 0 --endMP 204:233263 --enddatetime 2017-06-26T22:38:14 --enforcementcount 0 &gt;&gt;C:\Users\stu\Documents\GitHub\eaglep3-reporting\EC\2017-06-26-refined-times.txt</v>
      </c>
      <c r="AI145" s="96" t="str">
        <f t="shared" si="79"/>
        <v>echo {"issue":{"subject":"","project_id":79,"tracker_id":40,"status_id":1,"priority_id":2,"assigned_to_id":23,"start_date":"2017-06-26","description":"","custom_fields":[{"id":1,"name":"Subdivision","value":"EC"},{"id":4,"name":"Milepost","value":"23.3263"},{"id":17,"name":"Train ID","value":"233-26"},{"id":16,"name":"Locomotive ID","value":"4054"},{"id":130,"name":"Impact","value":""},{"id":150,"name":"Time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80"/>
        <v>start /low /b %USERPROFILE%\Documents\GitHub\eaglep3\Utilities\DownloadLogsFromS3.py --loco 4054 --day 2017-06-26</v>
      </c>
      <c r="AN145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860</v>
      </c>
      <c r="B146" s="7">
        <v>4053</v>
      </c>
      <c r="C146" s="21" t="s">
        <v>202</v>
      </c>
      <c r="D146" s="21" t="s">
        <v>937</v>
      </c>
      <c r="E146" s="13">
        <v>42912.944305555553</v>
      </c>
      <c r="F146" s="13">
        <v>42912.956608796296</v>
      </c>
      <c r="G146" s="7">
        <v>1</v>
      </c>
      <c r="H146" s="21" t="s">
        <v>348</v>
      </c>
      <c r="I146" s="13">
        <v>42912.984050925923</v>
      </c>
      <c r="J146" s="7">
        <v>0</v>
      </c>
      <c r="K146" s="89" t="str">
        <f t="shared" si="67"/>
        <v>4053/4054</v>
      </c>
      <c r="L146" s="21" t="str">
        <f>VLOOKUP(A146,'Trips&amp;Operators'!$C$1:$G$99999,5,FALSE)</f>
        <v>HAITHCOX MICHAEL</v>
      </c>
      <c r="M146" s="6">
        <f t="shared" si="68"/>
        <v>2.7442129627161194E-2</v>
      </c>
      <c r="N146" s="7">
        <f t="shared" si="82"/>
        <v>39.516666663112119</v>
      </c>
      <c r="O146" s="7"/>
      <c r="P146" s="7"/>
      <c r="Q146" s="22"/>
      <c r="R146" s="170"/>
      <c r="S146" s="213">
        <f t="shared" si="69"/>
        <v>1</v>
      </c>
      <c r="T146" s="195" t="str">
        <f t="shared" si="7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71"/>
        <v>https://d0f6bd738d7f1b3e5a7ca70fe4ff75f0.us-east-1.aws.found.io/app/kibana#/discover/Steve-Slow-Train-Analysis-(2080s-and-2083s)?_g=(refreshInterval:(display:Off,pause:!f,section:0,value:0),time:(from:'2017-06-26T21:39:48-0600',mode:absolute,to:'2017-06-27T00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97" t="str">
        <f>IF(AA146&lt;VLOOKUP(AG146,Variables!$AC$3:$AD$8,2,FALSE),"Y","N")</f>
        <v>N</v>
      </c>
      <c r="X146" s="197">
        <f t="shared" si="72"/>
        <v>1</v>
      </c>
      <c r="Y146" s="197">
        <f t="shared" si="65"/>
        <v>23.294599999999999</v>
      </c>
      <c r="Z146" s="197">
        <f t="shared" si="66"/>
        <v>1.4999999999999999E-2</v>
      </c>
      <c r="AA146" s="197">
        <f t="shared" si="73"/>
        <v>23.279599999999999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74"/>
        <v>234</v>
      </c>
      <c r="AE146" s="77" t="str">
        <f t="shared" si="75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146" s="74" t="str">
        <f t="shared" si="76"/>
        <v>"C:\Program Files (x86)\AstroGrep\AstroGrep.exe" /e /r /s /spath="%USERPROFILE%\AppData\Local\Temp\OnboardLogs" /stypes="app*4053*20170627*" /stext=" 05:.+((SYSTEM_STATE.+slice.+state.+changed )|(ment ac)|(multiple cpu faults)|(system.+state.+changed )|(\[timeout)|(PRM\|1\|D)|(kpr)|(kdp)|(train st.+moving)|(\|lc)|(penalty))"</v>
      </c>
      <c r="AG146" s="209" t="str">
        <f t="shared" si="77"/>
        <v>EC</v>
      </c>
      <c r="AH146" s="78" t="str">
        <f t="shared" si="78"/>
        <v>"%USERPROFILE%\Documents\GitHub\eaglep3\Utilities\RefineRTDCRunTimes.py" --tripid 234-26 --locoid 4053 --swversion DE.1.0.9.0 --startMP 204:232946 --initTime 2017-06-26T22:39:48 --startdatetime 2017-06-26T22:57:31 --delay 1 --endMP 204:150 --enddatetime 2017-06-26T23:37:02 --enforcementcount 0 &gt;&gt;C:\Users\stu\Documents\GitHub\eaglep3-reporting\EC\2017-06-26-refined-times.txt</v>
      </c>
      <c r="AI146" s="96" t="str">
        <f t="shared" si="79"/>
        <v>echo {"issue":{"subject":"","project_id":79,"tracker_id":40,"status_id":1,"priority_id":2,"assigned_to_id":23,"start_date":"2017-06-26","description":"","custom_fields":[{"id":1,"name":"Subdivision","value":"EC"},{"id":4,"name":"Milepost","value":"0.015"},{"id":17,"name":"Train ID","value":"234-26"},{"id":16,"name":"Locomotive ID","value":"4053"},{"id":130,"name":"Impact","value":""},{"id":150,"name":"Time of Event (Mountain Time)","value":"23:37:02"},{"id":151,"name":"Denver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0"/>
        <v>start /low /b %USERPROFILE%\Documents\GitHub\eaglep3\Utilities\DownloadLogsFromS3.py --loco 4053 --day 2017-06-26</v>
      </c>
      <c r="AN146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05:37:02"},{"id":29,"name":"Sharepoint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859</v>
      </c>
      <c r="B147" s="7">
        <v>4014</v>
      </c>
      <c r="C147" s="21" t="s">
        <v>202</v>
      </c>
      <c r="D147" s="21" t="s">
        <v>493</v>
      </c>
      <c r="E147" s="13">
        <v>42912.933356481481</v>
      </c>
      <c r="F147" s="13">
        <v>42913.021111111113</v>
      </c>
      <c r="G147" s="7">
        <v>1</v>
      </c>
      <c r="H147" s="21" t="s">
        <v>880</v>
      </c>
      <c r="I147" s="13">
        <v>42913.047106481485</v>
      </c>
      <c r="J147" s="7">
        <v>0</v>
      </c>
      <c r="K147" s="89" t="str">
        <f t="shared" si="67"/>
        <v>4013/4014</v>
      </c>
      <c r="L147" s="21" t="str">
        <f>VLOOKUP(A147,'Trips&amp;Operators'!$C$1:$G$99999,5,FALSE)</f>
        <v>THOMPSON LESTER</v>
      </c>
      <c r="M147" s="6">
        <f t="shared" si="68"/>
        <v>2.5995370371674653E-2</v>
      </c>
      <c r="N147" s="7">
        <f t="shared" si="82"/>
        <v>37.433333335211501</v>
      </c>
      <c r="O147" s="7"/>
      <c r="P147" s="7"/>
      <c r="Q147" s="22"/>
      <c r="R147" s="170"/>
      <c r="S147" s="213">
        <f t="shared" si="69"/>
        <v>1</v>
      </c>
      <c r="T147" s="195" t="str">
        <f t="shared" si="7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71"/>
        <v>https://d0f6bd738d7f1b3e5a7ca70fe4ff75f0.us-east-1.aws.found.io/app/kibana#/discover/Steve-Slow-Train-Analysis-(2080s-and-2083s)?_g=(refreshInterval:(display:Off,pause:!f,section:0,value:0),time:(from:'2017-06-26T21:24:02-0600',mode:absolute,to:'2017-06-27T02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97" t="str">
        <f>IF(AA147&lt;VLOOKUP(AG147,Variables!$AC$3:$AD$8,2,FALSE),"Y","N")</f>
        <v>N</v>
      </c>
      <c r="X147" s="197">
        <f t="shared" ref="X147:X150" si="83">VALUE(LEFT(AD147,4))-VALUE(LEFT(AD146,4))</f>
        <v>1</v>
      </c>
      <c r="Y147" s="197">
        <f t="shared" si="65"/>
        <v>4.7300000000000002E-2</v>
      </c>
      <c r="Z147" s="197">
        <f t="shared" si="66"/>
        <v>23.329499999999999</v>
      </c>
      <c r="AA147" s="197">
        <f t="shared" si="73"/>
        <v>23.2822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74"/>
        <v>235</v>
      </c>
      <c r="AE147" s="77" t="str">
        <f t="shared" si="75"/>
        <v>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 &amp; 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</v>
      </c>
      <c r="AF147" s="74" t="str">
        <f t="shared" si="76"/>
        <v>"C:\Program Files (x86)\AstroGrep\AstroGrep.exe" /e /r /s /spath="%USERPROFILE%\AppData\Local\Temp\OnboardLogs" /stypes="app*4014*20170627*" /stext=" 07:.+((SYSTEM_STATE.+slice.+state.+changed )|(ment ac)|(multiple cpu faults)|(system.+state.+changed )|(\[timeout)|(PRM\|1\|D)|(kpr)|(kdp)|(train st.+moving)|(\|lc)|(penalty))"</v>
      </c>
      <c r="AG147" s="209" t="str">
        <f t="shared" si="77"/>
        <v>EC</v>
      </c>
      <c r="AH147" s="78" t="str">
        <f t="shared" si="78"/>
        <v>"%USERPROFILE%\Documents\GitHub\eaglep3\Utilities\RefineRTDCRunTimes.py" --tripid 235-26 --locoid 4014 --swversion DE.1.0.9.0 --startMP 204:473 --initTime 2017-06-26T22:24:02 --startdatetime 2017-06-27T00:30:24 --delay 1 --endMP 204:233295 --enddatetime 2017-06-27T01:07:50 --enforcementcount 0 &gt;&gt;C:\Users\stu\Documents\GitHub\eaglep3-reporting\EC\2017-06-26-refined-times.txt</v>
      </c>
      <c r="AI147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{"issue":{"subject":"","project_id":79,"tracker_id":40,"status_id":1,"priority_id":2,"assigned_to_id":23,"start_date":"2017-06-27","description":"","custom_fields":[{"id":1,"name":"Subdivision","value":"EC"},{"id":4,"name":"Milepost","value":"23.3295"},{"id":17,"name":"Train ID","value":"235-26"},{"id":16,"name":"Locomotive ID","value":"4014"},{"id":130,"name":"Impact","value":""},{"id":150,"name":"Time of Event (Mountain Time)","value":"01:07:50"},{"id":151,"name":"Denver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0"/>
        <v>start /low /b %USERPROFILE%\Documents\GitHub\eaglep3\Utilities\DownloadLogsFromS3.py --loco 4014 --day 2017-06-27</v>
      </c>
      <c r="AN147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862</v>
      </c>
      <c r="B148" s="7">
        <v>4013</v>
      </c>
      <c r="C148" s="21" t="s">
        <v>202</v>
      </c>
      <c r="D148" s="21" t="s">
        <v>509</v>
      </c>
      <c r="E148" s="13">
        <v>42912.975671296299</v>
      </c>
      <c r="F148" s="13">
        <v>42912.977349537039</v>
      </c>
      <c r="G148" s="7">
        <v>0</v>
      </c>
      <c r="H148" s="21" t="s">
        <v>416</v>
      </c>
      <c r="I148" s="13">
        <v>42913.005370370367</v>
      </c>
      <c r="J148" s="7">
        <v>0</v>
      </c>
      <c r="K148" s="89" t="str">
        <f t="shared" si="67"/>
        <v>4013/4014</v>
      </c>
      <c r="L148" s="21" t="str">
        <f>VLOOKUP(A148,'Trips&amp;Operators'!$C$1:$G$99999,5,FALSE)</f>
        <v>THOMPSON LESTER</v>
      </c>
      <c r="M148" s="6">
        <f t="shared" si="68"/>
        <v>2.8020833327900618E-2</v>
      </c>
      <c r="N148" s="7">
        <f t="shared" si="82"/>
        <v>40.34999999217689</v>
      </c>
      <c r="O148" s="7"/>
      <c r="P148" s="7"/>
      <c r="Q148" s="22"/>
      <c r="R148" s="170"/>
      <c r="S148" s="213">
        <f t="shared" si="69"/>
        <v>1</v>
      </c>
      <c r="T148" s="195" t="str">
        <f t="shared" si="7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1"/>
        <v>https://d0f6bd738d7f1b3e5a7ca70fe4ff75f0.us-east-1.aws.found.io/app/kibana#/discover/Steve-Slow-Train-Analysis-(2080s-and-2083s)?_g=(refreshInterval:(display:Off,pause:!f,section:0,value:0),time:(from:'2017-06-26T22:24:58-0600',mode:absolute,to:'2017-06-27T01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97" t="str">
        <f>IF(AA148&lt;VLOOKUP(AG148,Variables!$AC$3:$AD$8,2,FALSE),"Y","N")</f>
        <v>N</v>
      </c>
      <c r="X148" s="197">
        <f t="shared" si="83"/>
        <v>1</v>
      </c>
      <c r="Y148" s="197">
        <f t="shared" si="65"/>
        <v>23.298400000000001</v>
      </c>
      <c r="Z148" s="197">
        <f t="shared" si="66"/>
        <v>1.4500000000000001E-2</v>
      </c>
      <c r="AA148" s="197">
        <f t="shared" si="73"/>
        <v>23.283899999999999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74"/>
        <v>236</v>
      </c>
      <c r="AE148" s="77" t="str">
        <f t="shared" si="75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148" s="74" t="str">
        <f t="shared" si="76"/>
        <v>"C:\Program Files (x86)\AstroGrep\AstroGrep.exe" /e /r /s /spath="%USERPROFILE%\AppData\Local\Temp\OnboardLogs" /stypes="app*4013*20170627*" /stext=" 06:.+((SYSTEM_STATE.+slice.+state.+changed )|(ment ac)|(multiple cpu faults)|(system.+state.+changed )|(\[timeout)|(PRM\|1\|D)|(kpr)|(kdp)|(train st.+moving)|(\|lc)|(penalty))"</v>
      </c>
      <c r="AG148" s="209" t="str">
        <f t="shared" si="77"/>
        <v>EC</v>
      </c>
      <c r="AH148" s="78" t="str">
        <f t="shared" si="78"/>
        <v>"%USERPROFILE%\Documents\GitHub\eaglep3\Utilities\RefineRTDCRunTimes.py" --tripid 236-26 --locoid 4013 --swversion DE.1.0.9.0 --startMP 204:232984 --initTime 2017-06-26T23:24:58 --startdatetime 2017-06-26T23:27:23 --delay 0 --endMP 204:145 --enddatetime 2017-06-27T00:07:44 --enforcementcount 0 &gt;&gt;C:\Users\stu\Documents\GitHub\eaglep3-reporting\EC\2017-06-26-refined-times.txt</v>
      </c>
      <c r="AI148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ID","value":"236-26"},{"id":16,"name":"Locomotive ID","value":"4013"},{"id":130,"name":"Impact","value":""},{"id":150,"name":"Time of Event (Mountain Time)","value":"00:07:44"},{"id":151,"name":"Denver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0"/>
        <v>start /low /b %USERPROFILE%\Documents\GitHub\eaglep3\Utilities\DownloadLogsFromS3.py --loco 4013 --day 2017-06-26</v>
      </c>
      <c r="AN148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06:07:44"},{"id":29,"name":"Sharepoint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656</v>
      </c>
      <c r="B149" s="7">
        <v>4016</v>
      </c>
      <c r="C149" s="21" t="s">
        <v>202</v>
      </c>
      <c r="D149" s="21" t="s">
        <v>612</v>
      </c>
      <c r="E149" s="13">
        <v>42912.943715277775</v>
      </c>
      <c r="F149" s="13">
        <v>42912.95853009259</v>
      </c>
      <c r="G149" s="7">
        <v>1</v>
      </c>
      <c r="H149" s="21" t="s">
        <v>514</v>
      </c>
      <c r="I149" s="13">
        <v>42912.984444444446</v>
      </c>
      <c r="J149" s="7">
        <v>0</v>
      </c>
      <c r="K149" s="89" t="str">
        <f t="shared" si="67"/>
        <v>4015/4016</v>
      </c>
      <c r="L149" s="21" t="str">
        <f>VLOOKUP(A149,'Trips&amp;Operators'!$C$1:$G$99999,5,FALSE)</f>
        <v>PERKINS DARREN</v>
      </c>
      <c r="M149" s="6">
        <f t="shared" si="68"/>
        <v>2.5914351856044959E-2</v>
      </c>
      <c r="N149" s="7">
        <f t="shared" si="82"/>
        <v>37.316666672704741</v>
      </c>
      <c r="O149" s="7"/>
      <c r="P149" s="7"/>
      <c r="Q149" s="22"/>
      <c r="R149" s="170"/>
      <c r="S149" s="213">
        <f t="shared" si="69"/>
        <v>1</v>
      </c>
      <c r="T149" s="195" t="str">
        <f t="shared" si="7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1"/>
        <v>https://d0f6bd738d7f1b3e5a7ca70fe4ff75f0.us-east-1.aws.found.io/app/kibana#/discover/Steve-Slow-Train-Analysis-(2080s-and-2083s)?_g=(refreshInterval:(display:Off,pause:!f,section:0,value:0),time:(from:'2017-06-26T21:38:57-0600',mode:absolute,to:'2017-06-27T00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7" t="str">
        <f>IF(AA149&lt;VLOOKUP(AG149,Variables!$AC$3:$AD$8,2,FALSE),"Y","N")</f>
        <v>N</v>
      </c>
      <c r="X149" s="197">
        <f t="shared" si="83"/>
        <v>1</v>
      </c>
      <c r="Y149" s="197">
        <f t="shared" si="65"/>
        <v>4.2900000000000001E-2</v>
      </c>
      <c r="Z149" s="197">
        <f t="shared" si="66"/>
        <v>23.329899999999999</v>
      </c>
      <c r="AA149" s="197">
        <f t="shared" si="73"/>
        <v>23.286999999999999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74"/>
        <v>237</v>
      </c>
      <c r="AE149" s="77" t="str">
        <f t="shared" si="75"/>
        <v>aws s3 cp s3://rtdc.mdm.uploadarchive.raw/RTDC4016/ "%USERPROFILE%\AppData\Local\Temp\OnboardLogs"\RTDC4016\2017-06-26 --exclude "*" --recursive --include "*20170626*" &amp; "%USERPROFILE%\Documents\GitHub\mrs-test-scripts\Headless Mode &amp; Sideloading\WalkAndUnGZ.bat" "%USERPROFILE%\AppData\Local\Temp\OnboardLogs"\RTDC4016\2017-06-26 &amp; 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</v>
      </c>
      <c r="AF149" s="74" t="str">
        <f t="shared" si="76"/>
        <v>"C:\Program Files (x86)\AstroGrep\AstroGrep.exe" /e /r /s /spath="%USERPROFILE%\AppData\Local\Temp\OnboardLogs" /stypes="app*4016*20170627*" /stext=" 05:.+((SYSTEM_STATE.+slice.+state.+changed )|(ment ac)|(multiple cpu faults)|(system.+state.+changed )|(\[timeout)|(PRM\|1\|D)|(kpr)|(kdp)|(train st.+moving)|(\|lc)|(penalty))"</v>
      </c>
      <c r="AG149" s="209" t="str">
        <f t="shared" si="77"/>
        <v>EC</v>
      </c>
      <c r="AH149" s="78" t="str">
        <f t="shared" si="78"/>
        <v>"%USERPROFILE%\Documents\GitHub\eaglep3\Utilities\RefineRTDCRunTimes.py" --tripid 237-26 --locoid 4016 --swversion DE.1.0.9.0 --startMP 204:429 --initTime 2017-06-26T22:38:57 --startdatetime 2017-06-26T23:00:17 --delay 1 --endMP 204:233299 --enddatetime 2017-06-26T23:37:36 --enforcementcount 0 &gt;&gt;C:\Users\stu\Documents\GitHub\eaglep3-reporting\EC\2017-06-26-refined-times.txt</v>
      </c>
      <c r="AI149" s="96" t="str">
        <f t="shared" si="79"/>
        <v>echo {"issue":{"subject":"","project_id":79,"tracker_id":40,"status_id":1,"priority_id":2,"assigned_to_id":23,"start_date":"2017-06-26","description":"","custom_fields":[{"id":1,"name":"Subdivision","value":"EC"},{"id":4,"name":"Milepost","value":"23.3299"},{"id":17,"name":"Train ID","value":"237-26"},{"id":16,"name":"Locomotive ID","value":"4016"},{"id":130,"name":"Impact","value":""},{"id":150,"name":"Time of Event (Mountain Time)","value":"23:37:36"},{"id":151,"name":"Denver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0"/>
        <v>start /low /b %USERPROFILE%\Documents\GitHub\eaglep3\Utilities\DownloadLogsFromS3.py --loco 4016 --day 2017-06-26</v>
      </c>
      <c r="AN149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05:37:36"},{"id":29,"name":"Sharepoint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864</v>
      </c>
      <c r="B150" s="7">
        <v>4015</v>
      </c>
      <c r="C150" s="21" t="s">
        <v>202</v>
      </c>
      <c r="D150" s="21" t="s">
        <v>905</v>
      </c>
      <c r="E150" s="13">
        <v>42912.99077546296</v>
      </c>
      <c r="F150" s="13">
        <v>42912.998090277775</v>
      </c>
      <c r="G150" s="7">
        <v>1</v>
      </c>
      <c r="H150" s="21" t="s">
        <v>356</v>
      </c>
      <c r="I150" s="13">
        <v>42913.024421296293</v>
      </c>
      <c r="J150" s="7">
        <v>0</v>
      </c>
      <c r="K150" s="89" t="str">
        <f t="shared" si="67"/>
        <v>4015/4016</v>
      </c>
      <c r="L150" s="21" t="str">
        <f>VLOOKUP(A150,'Trips&amp;Operators'!$C$1:$G$99999,5,FALSE)</f>
        <v>PERKINS DARREN</v>
      </c>
      <c r="M150" s="6">
        <f t="shared" si="68"/>
        <v>2.6331018518249039E-2</v>
      </c>
      <c r="N150" s="7">
        <f t="shared" si="82"/>
        <v>37.916666666278616</v>
      </c>
      <c r="O150" s="7"/>
      <c r="P150" s="7"/>
      <c r="Q150" s="22"/>
      <c r="R150" s="170"/>
      <c r="S150" s="213">
        <f t="shared" si="69"/>
        <v>1</v>
      </c>
      <c r="T150" s="195" t="str">
        <f t="shared" si="7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71"/>
        <v>https://d0f6bd738d7f1b3e5a7ca70fe4ff75f0.us-east-1.aws.found.io/app/kibana#/discover/Steve-Slow-Train-Analysis-(2080s-and-2083s)?_g=(refreshInterval:(display:Off,pause:!f,section:0,value:0),time:(from:'2017-06-26T22:46:43-0600',mode:absolute,to:'2017-06-27T01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7" t="str">
        <f>IF(AA150&lt;VLOOKUP(AG150,Variables!$AC$3:$AD$8,2,FALSE),"Y","N")</f>
        <v>N</v>
      </c>
      <c r="X150" s="197">
        <f t="shared" si="83"/>
        <v>1</v>
      </c>
      <c r="Y150" s="197">
        <f t="shared" si="65"/>
        <v>23.298200000000001</v>
      </c>
      <c r="Z150" s="197">
        <f t="shared" si="66"/>
        <v>1.3899999999999999E-2</v>
      </c>
      <c r="AA150" s="197">
        <f t="shared" si="73"/>
        <v>23.284300000000002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74"/>
        <v>238</v>
      </c>
      <c r="AE150" s="77" t="str">
        <f t="shared" si="75"/>
        <v>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 &amp; 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</v>
      </c>
      <c r="AF150" s="74" t="str">
        <f t="shared" si="76"/>
        <v>"C:\Program Files (x86)\AstroGrep\AstroGrep.exe" /e /r /s /spath="%USERPROFILE%\AppData\Local\Temp\OnboardLogs" /stypes="app*4015*20170627*" /stext=" 06:.+((SYSTEM_STATE.+slice.+state.+changed )|(ment ac)|(multiple cpu faults)|(system.+state.+changed )|(\[timeout)|(PRM\|1\|D)|(kpr)|(kdp)|(train st.+moving)|(\|lc)|(penalty))"</v>
      </c>
      <c r="AG150" s="209" t="str">
        <f t="shared" si="77"/>
        <v>EC</v>
      </c>
      <c r="AH150" s="78" t="str">
        <f t="shared" si="78"/>
        <v>"%USERPROFILE%\Documents\GitHub\eaglep3\Utilities\RefineRTDCRunTimes.py" --tripid 238-26 --locoid 4015 --swversion DE.1.0.9.0 --startMP 204:232982 --initTime 2017-06-26T23:46:43 --startdatetime 2017-06-26T23:57:15 --delay 1 --endMP 204:139 --enddatetime 2017-06-27T00:35:10 --enforcementcount 0 &gt;&gt;C:\Users\stu\Documents\GitHub\eaglep3-reporting\EC\2017-06-26-refined-times.txt</v>
      </c>
      <c r="AI150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ID","value":"238-26"},{"id":16,"name":"Locomotive ID","value":"4015"},{"id":130,"name":"Impact","value":""},{"id":150,"name":"Time of Event (Mountain Time)","value":"00:35:10"},{"id":151,"name":"Denver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0"/>
        <v>start /low /b %USERPROFILE%\Documents\GitHub\eaglep3\Utilities\DownloadLogsFromS3.py --loco 4015 --day 2017-06-26</v>
      </c>
      <c r="AN150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861</v>
      </c>
      <c r="B151" s="7">
        <v>4058</v>
      </c>
      <c r="C151" s="21" t="s">
        <v>202</v>
      </c>
      <c r="D151" s="21" t="s">
        <v>444</v>
      </c>
      <c r="E151" s="13">
        <v>42912.969293981485</v>
      </c>
      <c r="F151" s="13">
        <v>42912.979363425926</v>
      </c>
      <c r="G151" s="7">
        <v>3</v>
      </c>
      <c r="H151" s="21" t="s">
        <v>917</v>
      </c>
      <c r="I151" s="13">
        <v>42913.004930555559</v>
      </c>
      <c r="J151" s="7">
        <v>0</v>
      </c>
      <c r="K151" s="89" t="str">
        <f t="shared" si="67"/>
        <v>4057/4058</v>
      </c>
      <c r="L151" s="21" t="str">
        <f>VLOOKUP(A151,'Trips&amp;Operators'!$C$1:$G$99999,5,FALSE)</f>
        <v>SMITH MICHAEL</v>
      </c>
      <c r="M151" s="6">
        <f t="shared" si="68"/>
        <v>2.5567129632690921E-2</v>
      </c>
      <c r="N151" s="7">
        <f t="shared" si="82"/>
        <v>36.816666671074927</v>
      </c>
      <c r="O151" s="7"/>
      <c r="P151" s="7"/>
      <c r="Q151" s="22"/>
      <c r="R151" s="170"/>
      <c r="S151" s="213">
        <f t="shared" si="69"/>
        <v>1</v>
      </c>
      <c r="T151" s="195" t="str">
        <f t="shared" si="7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71"/>
        <v>https://d0f6bd738d7f1b3e5a7ca70fe4ff75f0.us-east-1.aws.found.io/app/kibana#/discover/Steve-Slow-Train-Analysis-(2080s-and-2083s)?_g=(refreshInterval:(display:Off,pause:!f,section:0,value:0),time:(from:'2017-06-26T22:15:47-0600',mode:absolute,to:'2017-06-27T01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1" s="197" t="str">
        <f>IF(AA151&lt;VLOOKUP(AG151,Variables!$AC$3:$AD$8,2,FALSE),"Y","N")</f>
        <v>N</v>
      </c>
      <c r="X151" s="197">
        <f t="shared" ref="X151:X186" si="84">VALUE(LEFT(AD151,4))-VALUE(LEFT(AD150,4))</f>
        <v>1</v>
      </c>
      <c r="Y151" s="197">
        <f t="shared" si="65"/>
        <v>4.6899999999999997E-2</v>
      </c>
      <c r="Z151" s="197">
        <f t="shared" si="66"/>
        <v>23.328199999999999</v>
      </c>
      <c r="AA151" s="197">
        <f t="shared" si="73"/>
        <v>23.281299999999998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74"/>
        <v>239</v>
      </c>
      <c r="AE151" s="77" t="str">
        <f t="shared" si="75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151" s="74" t="str">
        <f t="shared" si="76"/>
        <v>"C:\Program Files (x86)\AstroGrep\AstroGrep.exe" /e /r /s /spath="%USERPROFILE%\AppData\Local\Temp\OnboardLogs" /stypes="app*4058*20170627*" /stext=" 06:.+((SYSTEM_STATE.+slice.+state.+changed )|(ment ac)|(multiple cpu faults)|(system.+state.+changed )|(\[timeout)|(PRM\|1\|D)|(kpr)|(kdp)|(train st.+moving)|(\|lc)|(penalty))"</v>
      </c>
      <c r="AG151" s="209" t="str">
        <f t="shared" si="77"/>
        <v>EC</v>
      </c>
      <c r="AH151" s="78" t="str">
        <f t="shared" si="78"/>
        <v>"%USERPROFILE%\Documents\GitHub\eaglep3\Utilities\RefineRTDCRunTimes.py" --tripid 239-26 --locoid 4058 --swversion DE.1.0.9.0 --startMP 204:469 --initTime 2017-06-26T23:15:47 --startdatetime 2017-06-26T23:30:17 --delay 3 --endMP 204:233282 --enddatetime 2017-06-27T00:07:06 --enforcementcount 0 &gt;&gt;C:\Users\stu\Documents\GitHub\eaglep3-reporting\EC\2017-06-26-refined-times.txt</v>
      </c>
      <c r="AI151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{"issue":{"subject":"","project_id":79,"tracker_id":40,"status_id":1,"priority_id":2,"assigned_to_id":23,"start_date":"2017-06-27","description":"","custom_fields":[{"id":1,"name":"Subdivision","value":"EC"},{"id":4,"name":"Milepost","value":"23.3282"},{"id":17,"name":"Train ID","value":"239-26"},{"id":16,"name":"Locomotive ID","value":"4058"},{"id":130,"name":"Impact","value":""},{"id":150,"name":"Time of Event (Mountain Time)","value":"00:07:06"},{"id":151,"name":"Denver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0"/>
        <v>start /low /b %USERPROFILE%\Documents\GitHub\eaglep3\Utilities\DownloadLogsFromS3.py --loco 4058 --day 2017-06-26</v>
      </c>
      <c r="AN151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865</v>
      </c>
      <c r="B152" s="7">
        <v>4057</v>
      </c>
      <c r="C152" s="21" t="s">
        <v>202</v>
      </c>
      <c r="D152" s="21" t="s">
        <v>535</v>
      </c>
      <c r="E152" s="13">
        <v>42913.008784722224</v>
      </c>
      <c r="F152" s="13">
        <v>42913.019085648149</v>
      </c>
      <c r="G152" s="7">
        <v>2</v>
      </c>
      <c r="H152" s="21" t="s">
        <v>436</v>
      </c>
      <c r="I152" s="13">
        <v>42913.046006944445</v>
      </c>
      <c r="J152" s="7">
        <v>0</v>
      </c>
      <c r="K152" s="89" t="str">
        <f t="shared" si="67"/>
        <v>4057/4058</v>
      </c>
      <c r="L152" s="21" t="str">
        <f>VLOOKUP(A152,'Trips&amp;Operators'!$C$1:$G$99999,5,FALSE)</f>
        <v>SMITH MICHAEL</v>
      </c>
      <c r="M152" s="6">
        <f t="shared" si="68"/>
        <v>2.6921296295768116E-2</v>
      </c>
      <c r="N152" s="7">
        <f t="shared" si="82"/>
        <v>38.766666665906087</v>
      </c>
      <c r="O152" s="7"/>
      <c r="P152" s="7"/>
      <c r="Q152" s="22"/>
      <c r="R152" s="170"/>
      <c r="S152" s="213">
        <f t="shared" si="69"/>
        <v>1</v>
      </c>
      <c r="T152" s="195" t="str">
        <f t="shared" si="7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1"/>
        <v>https://d0f6bd738d7f1b3e5a7ca70fe4ff75f0.us-east-1.aws.found.io/app/kibana#/discover/Steve-Slow-Train-Analysis-(2080s-and-2083s)?_g=(refreshInterval:(display:Off,pause:!f,section:0,value:0),time:(from:'2017-06-26T23:12:39-0600',mode:absolute,to:'2017-06-27T02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2" s="197" t="str">
        <f>IF(AA152&lt;VLOOKUP(AG152,Variables!$AC$3:$AD$8,2,FALSE),"Y","N")</f>
        <v>N</v>
      </c>
      <c r="X152" s="197">
        <f t="shared" si="84"/>
        <v>1</v>
      </c>
      <c r="Y152" s="197">
        <f t="shared" si="65"/>
        <v>23.2973</v>
      </c>
      <c r="Z152" s="197">
        <f t="shared" si="66"/>
        <v>1.5599999999999999E-2</v>
      </c>
      <c r="AA152" s="197">
        <f t="shared" si="73"/>
        <v>23.281700000000001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74"/>
        <v>240</v>
      </c>
      <c r="AE152" s="77" t="str">
        <f t="shared" si="75"/>
        <v>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 &amp; aws s3 cp s3://rtdc.mdm.uploadarchive.raw/RTDC4057/ "%USERPROFILE%\AppData\Local\Temp\OnboardLogs"\RTDC4057\2017-06-28 --exclude "*" --recursive --include "*20170628*" &amp; "%USERPROFILE%\Documents\GitHub\mrs-test-scripts\Headless Mode &amp; Sideloading\WalkAndUnGZ.bat" "%USERPROFILE%\AppData\Local\Temp\OnboardLogs"\RTDC4057\2017-06-28</v>
      </c>
      <c r="AF152" s="74" t="str">
        <f t="shared" si="76"/>
        <v>"C:\Program Files (x86)\AstroGrep\AstroGrep.exe" /e /r /s /spath="%USERPROFILE%\AppData\Local\Temp\OnboardLogs" /stypes="app*4057*20170627*" /stext=" 07:.+((SYSTEM_STATE.+slice.+state.+changed )|(ment ac)|(multiple cpu faults)|(system.+state.+changed )|(\[timeout)|(PRM\|1\|D)|(kpr)|(kdp)|(train st.+moving)|(\|lc)|(penalty))"</v>
      </c>
      <c r="AG152" s="209" t="str">
        <f t="shared" si="77"/>
        <v>EC</v>
      </c>
      <c r="AH152" s="78" t="str">
        <f t="shared" si="78"/>
        <v>"%USERPROFILE%\Documents\GitHub\eaglep3\Utilities\RefineRTDCRunTimes.py" --tripid 240-26 --locoid 4057 --swversion DE.1.0.9.0 --startMP 204:232973 --initTime 2017-06-27T00:12:39 --startdatetime 2017-06-27T00:27:29 --delay 2 --endMP 204:156 --enddatetime 2017-06-27T01:06:15 --enforcementcount 0 &gt;&gt;C:\Users\stu\Documents\GitHub\eaglep3-reporting\EC\2017-06-26-refined-times.txt</v>
      </c>
      <c r="AI152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ID","value":"240-26"},{"id":16,"name":"Locomotive ID","value":"4057"},{"id":130,"name":"Impact","value":""},{"id":150,"name":"Time of Event (Mountain Time)","value":"01:06:15"},{"id":151,"name":"Denver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0"/>
        <v>start /low /b %USERPROFILE%\Documents\GitHub\eaglep3\Utilities\DownloadLogsFromS3.py --loco 4057 --day 2017-06-27</v>
      </c>
      <c r="AN152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863</v>
      </c>
      <c r="B153" s="7">
        <v>4054</v>
      </c>
      <c r="C153" s="21" t="s">
        <v>202</v>
      </c>
      <c r="D153" s="21" t="s">
        <v>351</v>
      </c>
      <c r="E153" s="13">
        <v>42912.984918981485</v>
      </c>
      <c r="F153" s="13">
        <v>42913.000277777777</v>
      </c>
      <c r="G153" s="7">
        <v>1</v>
      </c>
      <c r="H153" s="21" t="s">
        <v>530</v>
      </c>
      <c r="I153" s="13">
        <v>42913.025717592594</v>
      </c>
      <c r="J153" s="7">
        <v>0</v>
      </c>
      <c r="K153" s="89" t="str">
        <f t="shared" si="67"/>
        <v>4053/4054</v>
      </c>
      <c r="L153" s="21" t="str">
        <f>VLOOKUP(A153,'Trips&amp;Operators'!$C$1:$G$99999,5,FALSE)</f>
        <v>HAITHCOX MICHAEL</v>
      </c>
      <c r="M153" s="6">
        <f t="shared" si="68"/>
        <v>2.5439814817218576E-2</v>
      </c>
      <c r="N153" s="7">
        <f t="shared" si="82"/>
        <v>36.633333336794749</v>
      </c>
      <c r="O153" s="7"/>
      <c r="P153" s="7"/>
      <c r="Q153" s="22"/>
      <c r="R153" s="170"/>
      <c r="S153" s="213">
        <f t="shared" si="69"/>
        <v>1</v>
      </c>
      <c r="T153" s="195" t="str">
        <f t="shared" si="7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1"/>
        <v>https://d0f6bd738d7f1b3e5a7ca70fe4ff75f0.us-east-1.aws.found.io/app/kibana#/discover/Steve-Slow-Train-Analysis-(2080s-and-2083s)?_g=(refreshInterval:(display:Off,pause:!f,section:0,value:0),time:(from:'2017-06-26T22:38:17-0600',mode:absolute,to:'2017-06-27T01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97" t="str">
        <f>IF(AA153&lt;VLOOKUP(AG153,Variables!$AC$3:$AD$8,2,FALSE),"Y","N")</f>
        <v>N</v>
      </c>
      <c r="X153" s="197">
        <f t="shared" si="84"/>
        <v>1</v>
      </c>
      <c r="Y153" s="197">
        <f t="shared" si="65"/>
        <v>4.6600000000000003E-2</v>
      </c>
      <c r="Z153" s="197">
        <f t="shared" si="66"/>
        <v>23.328800000000001</v>
      </c>
      <c r="AA153" s="197">
        <f t="shared" si="73"/>
        <v>23.2822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74"/>
        <v>241</v>
      </c>
      <c r="AE153" s="77" t="str">
        <f t="shared" si="75"/>
        <v>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 &amp; aws s3 cp s3://rtdc.mdm.uploadarchive.raw/RTDC4054/ "%USERPROFILE%\AppData\Local\Temp\OnboardLogs"\RTDC4054\2017-06-28 --exclude "*" --recursive --include "*20170628*" &amp; "%USERPROFILE%\Documents\GitHub\mrs-test-scripts\Headless Mode &amp; Sideloading\WalkAndUnGZ.bat" "%USERPROFILE%\AppData\Local\Temp\OnboardLogs"\RTDC4054\2017-06-28</v>
      </c>
      <c r="AF153" s="74" t="str">
        <f t="shared" si="76"/>
        <v>"C:\Program Files (x86)\AstroGrep\AstroGrep.exe" /e /r /s /spath="%USERPROFILE%\AppData\Local\Temp\OnboardLogs" /stypes="app*4054*20170627*" /stext=" 06:.+((SYSTEM_STATE.+slice.+state.+changed )|(ment ac)|(multiple cpu faults)|(system.+state.+changed )|(\[timeout)|(PRM\|1\|D)|(kpr)|(kdp)|(train st.+moving)|(\|lc)|(penalty))"</v>
      </c>
      <c r="AG153" s="209" t="str">
        <f t="shared" si="77"/>
        <v>EC</v>
      </c>
      <c r="AH153" s="78" t="str">
        <f t="shared" si="78"/>
        <v>"%USERPROFILE%\Documents\GitHub\eaglep3\Utilities\RefineRTDCRunTimes.py" --tripid 241-26 --locoid 4054 --swversion DE.1.0.9.0 --startMP 204:466 --initTime 2017-06-26T23:38:17 --startdatetime 2017-06-27T00:00:24 --delay 1 --endMP 204:233288 --enddatetime 2017-06-27T00:37:02 --enforcementcount 0 &gt;&gt;C:\Users\stu\Documents\GitHub\eaglep3-reporting\EC\2017-06-26-refined-times.txt</v>
      </c>
      <c r="AI153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{"issue":{"subject":"","project_id":79,"tracker_id":40,"status_id":1,"priority_id":2,"assigned_to_id":23,"start_date":"2017-06-27","description":"","custom_fields":[{"id":1,"name":"Subdivision","value":"EC"},{"id":4,"name":"Milepost","value":"23.3288"},{"id":17,"name":"Train ID","value":"241-26"},{"id":16,"name":"Locomotive ID","value":"4054"},{"id":130,"name":"Impact","value":""},{"id":150,"name":"Time of Event (Mountain Time)","value":"00:37:02"},{"id":151,"name":"Denver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0"/>
        <v>start /low /b %USERPROFILE%\Documents\GitHub\eaglep3\Utilities\DownloadLogsFromS3.py --loco 4054 --day 2017-06-27</v>
      </c>
      <c r="AN153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867</v>
      </c>
      <c r="B154" s="7">
        <v>4053</v>
      </c>
      <c r="C154" s="21" t="s">
        <v>202</v>
      </c>
      <c r="D154" s="21" t="s">
        <v>938</v>
      </c>
      <c r="E154" s="13">
        <v>42913.026782407411</v>
      </c>
      <c r="F154" s="13">
        <v>42913.039780092593</v>
      </c>
      <c r="G154" s="7">
        <v>1</v>
      </c>
      <c r="H154" s="21" t="s">
        <v>578</v>
      </c>
      <c r="I154" s="13">
        <v>42913.067025462966</v>
      </c>
      <c r="J154" s="7">
        <v>0</v>
      </c>
      <c r="K154" s="89" t="str">
        <f t="shared" si="67"/>
        <v>4053/4054</v>
      </c>
      <c r="L154" s="21" t="str">
        <f>VLOOKUP(A154,'Trips&amp;Operators'!$C$1:$G$99999,5,FALSE)</f>
        <v>HAITHCOX MICHAEL</v>
      </c>
      <c r="M154" s="6">
        <f t="shared" si="68"/>
        <v>2.7245370372838806E-2</v>
      </c>
      <c r="N154" s="7">
        <f t="shared" si="82"/>
        <v>39.233333336887881</v>
      </c>
      <c r="O154" s="7"/>
      <c r="P154" s="7"/>
      <c r="Q154" s="22"/>
      <c r="R154" s="170"/>
      <c r="S154" s="213">
        <f t="shared" si="69"/>
        <v>1</v>
      </c>
      <c r="T154" s="195" t="str">
        <f t="shared" si="7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1"/>
        <v>https://d0f6bd738d7f1b3e5a7ca70fe4ff75f0.us-east-1.aws.found.io/app/kibana#/discover/Steve-Slow-Train-Analysis-(2080s-and-2083s)?_g=(refreshInterval:(display:Off,pause:!f,section:0,value:0),time:(from:'2017-06-26T23:38:34-0600',mode:absolute,to:'2017-06-27T02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97" t="str">
        <f>IF(AA154&lt;VLOOKUP(AG154,Variables!$AC$3:$AD$8,2,FALSE),"Y","N")</f>
        <v>N</v>
      </c>
      <c r="X154" s="197">
        <f t="shared" si="84"/>
        <v>1</v>
      </c>
      <c r="Y154" s="197">
        <f t="shared" si="65"/>
        <v>23.295500000000001</v>
      </c>
      <c r="Z154" s="197">
        <f t="shared" si="66"/>
        <v>1.7399999999999999E-2</v>
      </c>
      <c r="AA154" s="197">
        <f t="shared" si="73"/>
        <v>23.278100000000002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74"/>
        <v>242</v>
      </c>
      <c r="AE154" s="77" t="str">
        <f t="shared" si="75"/>
        <v>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 &amp; aws s3 cp s3://rtdc.mdm.uploadarchive.raw/RTDC4053/ "%USERPROFILE%\AppData\Local\Temp\OnboardLogs"\RTDC4053\2017-06-28 --exclude "*" --recursive --include "*20170628*" &amp; "%USERPROFILE%\Documents\GitHub\mrs-test-scripts\Headless Mode &amp; Sideloading\WalkAndUnGZ.bat" "%USERPROFILE%\AppData\Local\Temp\OnboardLogs"\RTDC4053\2017-06-28</v>
      </c>
      <c r="AF154" s="74" t="str">
        <f t="shared" si="76"/>
        <v>"C:\Program Files (x86)\AstroGrep\AstroGrep.exe" /e /r /s /spath="%USERPROFILE%\AppData\Local\Temp\OnboardLogs" /stypes="app*4053*20170627*" /stext=" 07:.+((SYSTEM_STATE.+slice.+state.+changed )|(ment ac)|(multiple cpu faults)|(system.+state.+changed )|(\[timeout)|(PRM\|1\|D)|(kpr)|(kdp)|(train st.+moving)|(\|lc)|(penalty))"</v>
      </c>
      <c r="AG154" s="209" t="str">
        <f t="shared" si="77"/>
        <v>EC</v>
      </c>
      <c r="AH154" s="78" t="str">
        <f t="shared" si="78"/>
        <v>"%USERPROFILE%\Documents\GitHub\eaglep3\Utilities\RefineRTDCRunTimes.py" --tripid 242-26 --locoid 4053 --swversion DE.1.0.9.0 --startMP 204:232955 --initTime 2017-06-27T00:38:34 --startdatetime 2017-06-27T00:57:17 --delay 1 --endMP 204:174 --enddatetime 2017-06-27T01:36:31 --enforcementcount 0 &gt;&gt;C:\Users\stu\Documents\GitHub\eaglep3-reporting\EC\2017-06-26-refined-times.txt</v>
      </c>
      <c r="AI154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{"issue":{"subject":"","project_id":79,"tracker_id":40,"status_id":1,"priority_id":2,"assigned_to_id":23,"start_date":"2017-06-27","description":"","custom_fields":[{"id":1,"name":"Subdivision","value":"EC"},{"id":4,"name":"Milepost","value":"0.0174"},{"id":17,"name":"Train ID","value":"242-26"},{"id":16,"name":"Locomotive ID","value":"4053"},{"id":130,"name":"Impact","value":""},{"id":150,"name":"Time of Event (Mountain Time)","value":"01:36:31"},{"id":151,"name":"Denver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0"/>
        <v>start /low /b %USERPROFILE%\Documents\GitHub\eaglep3\Utilities\DownloadLogsFromS3.py --loco 4053 --day 2017-06-27</v>
      </c>
      <c r="AN154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07:36:31"},{"id":29,"name":"Sharepoint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866</v>
      </c>
      <c r="B155" s="7">
        <v>4014</v>
      </c>
      <c r="C155" s="21" t="s">
        <v>202</v>
      </c>
      <c r="D155" s="21" t="s">
        <v>537</v>
      </c>
      <c r="E155" s="13">
        <v>42913.018622685187</v>
      </c>
      <c r="F155" s="13">
        <v>42913.021111111113</v>
      </c>
      <c r="G155" s="7">
        <v>1</v>
      </c>
      <c r="H155" s="21" t="s">
        <v>538</v>
      </c>
      <c r="I155" s="13">
        <v>42913.047106481485</v>
      </c>
      <c r="J155" s="7">
        <v>0</v>
      </c>
      <c r="K155" s="89" t="str">
        <f t="shared" si="67"/>
        <v>4013/4014</v>
      </c>
      <c r="L155" s="21" t="str">
        <f>VLOOKUP(A155,'Trips&amp;Operators'!$C$1:$G$99999,5,FALSE)</f>
        <v>THOMPSON LESTER</v>
      </c>
      <c r="M155" s="6">
        <f t="shared" si="68"/>
        <v>2.5995370371674653E-2</v>
      </c>
      <c r="N155" s="7">
        <f t="shared" si="82"/>
        <v>37.433333335211501</v>
      </c>
      <c r="O155" s="7"/>
      <c r="P155" s="7"/>
      <c r="Q155" s="22"/>
      <c r="R155" s="170"/>
      <c r="S155" s="213">
        <f t="shared" si="69"/>
        <v>1</v>
      </c>
      <c r="T155" s="195" t="str">
        <f t="shared" si="7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1"/>
        <v>https://d0f6bd738d7f1b3e5a7ca70fe4ff75f0.us-east-1.aws.found.io/app/kibana#/discover/Steve-Slow-Train-Analysis-(2080s-and-2083s)?_g=(refreshInterval:(display:Off,pause:!f,section:0,value:0),time:(from:'2017-06-26T23:26:49-0600',mode:absolute,to:'2017-06-27T02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97" t="str">
        <f>IF(AA155&lt;VLOOKUP(AG155,Variables!$AC$3:$AD$8,2,FALSE),"Y","N")</f>
        <v>N</v>
      </c>
      <c r="X155" s="197">
        <f t="shared" si="84"/>
        <v>1</v>
      </c>
      <c r="Y155" s="197">
        <f t="shared" si="65"/>
        <v>4.3700000000000003E-2</v>
      </c>
      <c r="Z155" s="197">
        <f t="shared" si="66"/>
        <v>23.328399999999998</v>
      </c>
      <c r="AA155" s="197">
        <f t="shared" si="73"/>
        <v>23.284699999999997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74"/>
        <v>243</v>
      </c>
      <c r="AE155" s="77" t="str">
        <f t="shared" si="75"/>
        <v>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 &amp; 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</v>
      </c>
      <c r="AF155" s="74" t="str">
        <f t="shared" si="76"/>
        <v>"C:\Program Files (x86)\AstroGrep\AstroGrep.exe" /e /r /s /spath="%USERPROFILE%\AppData\Local\Temp\OnboardLogs" /stypes="app*4014*20170627*" /stext=" 07:.+((SYSTEM_STATE.+slice.+state.+changed )|(ment ac)|(multiple cpu faults)|(system.+state.+changed )|(\[timeout)|(PRM\|1\|D)|(kpr)|(kdp)|(train st.+moving)|(\|lc)|(penalty))"</v>
      </c>
      <c r="AG155" s="209" t="str">
        <f t="shared" si="77"/>
        <v>EC</v>
      </c>
      <c r="AH155" s="78" t="str">
        <f t="shared" si="78"/>
        <v>"%USERPROFILE%\Documents\GitHub\eaglep3\Utilities\RefineRTDCRunTimes.py" --tripid 243-26 --locoid 4014 --swversion DE.1.0.9.0 --startMP 204:437 --initTime 2017-06-27T00:26:49 --startdatetime 2017-06-27T00:30:24 --delay 1 --endMP 204:233284 --enddatetime 2017-06-27T01:07:50 --enforcementcount 0 &gt;&gt;C:\Users\stu\Documents\GitHub\eaglep3-reporting\EC\2017-06-26-refined-times.txt</v>
      </c>
      <c r="AI155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{"issue":{"subject":"","project_id":79,"tracker_id":40,"status_id":1,"priority_id":2,"assigned_to_id":23,"start_date":"2017-06-27","description":"","custom_fields":[{"id":1,"name":"Subdivision","value":"EC"},{"id":4,"name":"Milepost","value":"23.3284"},{"id":17,"name":"Train ID","value":"243-26"},{"id":16,"name":"Locomotive ID","value":"4014"},{"id":130,"name":"Impact","value":""},{"id":150,"name":"Time of Event (Mountain Time)","value":"01:07:50"},{"id":151,"name":"Denver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0"/>
        <v>start /low /b %USERPROFILE%\Documents\GitHub\eaglep3\Utilities\DownloadLogsFromS3.py --loco 4014 --day 2017-06-27</v>
      </c>
      <c r="AN155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07:07:50"},{"id":29,"name":"Sharepoint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869</v>
      </c>
      <c r="B156" s="7">
        <v>4013</v>
      </c>
      <c r="C156" s="21" t="s">
        <v>202</v>
      </c>
      <c r="D156" s="21" t="s">
        <v>441</v>
      </c>
      <c r="E156" s="13">
        <v>42913.056944444441</v>
      </c>
      <c r="F156" s="13">
        <v>42913.060729166667</v>
      </c>
      <c r="G156" s="7">
        <v>1</v>
      </c>
      <c r="H156" s="21" t="s">
        <v>578</v>
      </c>
      <c r="I156" s="13">
        <v>42913.08797453704</v>
      </c>
      <c r="J156" s="7">
        <v>0</v>
      </c>
      <c r="K156" s="89" t="str">
        <f t="shared" si="67"/>
        <v>4013/4014</v>
      </c>
      <c r="L156" s="21" t="str">
        <f>VLOOKUP(A156,'Trips&amp;Operators'!$C$1:$G$99999,5,FALSE)</f>
        <v>THOMPSON LESTER</v>
      </c>
      <c r="M156" s="6">
        <f t="shared" si="68"/>
        <v>2.7245370372838806E-2</v>
      </c>
      <c r="N156" s="7">
        <f t="shared" si="82"/>
        <v>39.233333336887881</v>
      </c>
      <c r="O156" s="7"/>
      <c r="P156" s="7"/>
      <c r="Q156" s="22"/>
      <c r="R156" s="170"/>
      <c r="S156" s="213">
        <f t="shared" si="69"/>
        <v>1</v>
      </c>
      <c r="T156" s="195" t="str">
        <f t="shared" si="7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71"/>
        <v>https://d0f6bd738d7f1b3e5a7ca70fe4ff75f0.us-east-1.aws.found.io/app/kibana#/discover/Steve-Slow-Train-Analysis-(2080s-and-2083s)?_g=(refreshInterval:(display:Off,pause:!f,section:0,value:0),time:(from:'2017-06-27T00:22:00-0600',mode:absolute,to:'2017-06-27T03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97" t="str">
        <f>IF(AA156&lt;VLOOKUP(AG156,Variables!$AC$3:$AD$8,2,FALSE),"Y","N")</f>
        <v>N</v>
      </c>
      <c r="X156" s="197">
        <f t="shared" si="84"/>
        <v>1</v>
      </c>
      <c r="Y156" s="197">
        <f t="shared" si="65"/>
        <v>23.2971</v>
      </c>
      <c r="Z156" s="197">
        <f t="shared" si="66"/>
        <v>1.7399999999999999E-2</v>
      </c>
      <c r="AA156" s="197">
        <f t="shared" si="73"/>
        <v>23.279700000000002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74"/>
        <v>244</v>
      </c>
      <c r="AE156" s="77" t="str">
        <f t="shared" si="75"/>
        <v>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 &amp; 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</v>
      </c>
      <c r="AF156" s="74" t="str">
        <f t="shared" si="76"/>
        <v>"C:\Program Files (x86)\AstroGrep\AstroGrep.exe" /e /r /s /spath="%USERPROFILE%\AppData\Local\Temp\OnboardLogs" /stypes="app*4013*20170627*" /stext=" 08:.+((SYSTEM_STATE.+slice.+state.+changed )|(ment ac)|(multiple cpu faults)|(system.+state.+changed )|(\[timeout)|(PRM\|1\|D)|(kpr)|(kdp)|(train st.+moving)|(\|lc)|(penalty))"</v>
      </c>
      <c r="AG156" s="209" t="str">
        <f t="shared" si="77"/>
        <v>EC</v>
      </c>
      <c r="AH156" s="78" t="str">
        <f t="shared" si="78"/>
        <v>"%USERPROFILE%\Documents\GitHub\eaglep3\Utilities\RefineRTDCRunTimes.py" --tripid 244-26 --locoid 4013 --swversion DE.1.0.9.0 --startMP 204:232971 --initTime 2017-06-27T01:22:00 --startdatetime 2017-06-27T01:27:27 --delay 1 --endMP 204:174 --enddatetime 2017-06-27T02:06:41 --enforcementcount 0 &gt;&gt;C:\Users\stu\Documents\GitHub\eaglep3-reporting\EC\2017-06-26-refined-times.txt</v>
      </c>
      <c r="AI156" s="96" t="str">
        <f t="shared" si="79"/>
        <v>echo {"issue":{"subject":"","project_id":79,"tracker_id":40,"status_id":1,"priority_id":2,"assigned_to_id":23,"start_date":"2017-06-27","description":"","custom_fields":[{"id":1,"name":"Subdivision","value":"EC"},{"id":4,"name":"Milepost","value":"0.0174"},{"id":17,"name":"Train ID","value":"244-26"},{"id":16,"name":"Locomotive ID","value":"4013"},{"id":130,"name":"Impact","value":""},{"id":150,"name":"Time of Event (Mountain Time)","value":"02:06:41"},{"id":151,"name":"Denver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0"/>
        <v>start /low /b %USERPROFILE%\Documents\GitHub\eaglep3\Utilities\DownloadLogsFromS3.py --loco 4013 --day 2017-06-27</v>
      </c>
      <c r="AN156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683</v>
      </c>
      <c r="B157" s="7">
        <v>4021</v>
      </c>
      <c r="C157" s="21" t="s">
        <v>202</v>
      </c>
      <c r="D157" s="21" t="s">
        <v>994</v>
      </c>
      <c r="E157" s="13">
        <v>42912.208935185183</v>
      </c>
      <c r="F157" s="13">
        <v>42912.2108912037</v>
      </c>
      <c r="G157" s="7">
        <v>1</v>
      </c>
      <c r="H157" s="21" t="s">
        <v>995</v>
      </c>
      <c r="I157" s="13">
        <v>42912.226215277777</v>
      </c>
      <c r="J157" s="7">
        <v>0</v>
      </c>
      <c r="K157" s="89" t="str">
        <f t="shared" si="67"/>
        <v>4021/4022</v>
      </c>
      <c r="L157" s="21" t="str">
        <f>VLOOKUP(A157,'Trips&amp;Operators'!$C$1:$G$99999,5,FALSE)</f>
        <v>DAVIDSON DAVID</v>
      </c>
      <c r="M157" s="6">
        <f t="shared" si="68"/>
        <v>1.5324074076488614E-2</v>
      </c>
      <c r="N157" s="7">
        <f t="shared" si="82"/>
        <v>22.066666670143604</v>
      </c>
      <c r="O157" s="7"/>
      <c r="P157" s="7"/>
      <c r="Q157" s="22"/>
      <c r="R157" s="170"/>
      <c r="S157" s="213">
        <f t="shared" si="69"/>
        <v>1</v>
      </c>
      <c r="T157" s="195" t="str">
        <f t="shared" si="70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71"/>
        <v>https://d0f6bd738d7f1b3e5a7ca70fe4ff75f0.us-east-1.aws.found.io/app/kibana#/discover/Steve-Slow-Train-Analysis-(2080s-and-2083s)?_g=(refreshInterval:(display:Off,pause:!f,section:0,value:0),time:(from:'2017-06-26T04:00:52-0600',mode:absolute,to:'2017-06-26T06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7" s="197" t="str">
        <f>IF(AA157&lt;VLOOKUP(AG157,Variables!$AC$3:$AD$8,2,FALSE),"Y","N")</f>
        <v>N</v>
      </c>
      <c r="X157" s="197">
        <f t="shared" si="84"/>
        <v>556</v>
      </c>
      <c r="Y157" s="197">
        <f t="shared" si="65"/>
        <v>5.8635999999999999</v>
      </c>
      <c r="Z157" s="197">
        <f t="shared" si="66"/>
        <v>6.8199999999999997E-2</v>
      </c>
      <c r="AA157" s="197">
        <f t="shared" si="73"/>
        <v>5.7953999999999999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74"/>
        <v>800</v>
      </c>
      <c r="AE157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57" s="74" t="str">
        <f t="shared" si="76"/>
        <v>"C:\Program Files (x86)\AstroGrep\AstroGrep.exe" /e /r /s /spath="%USERPROFILE%\AppData\Local\Temp\OnboardLogs" /stypes="app*4021*20170626*" /stext=" 11:.+((SYSTEM_STATE.+slice.+state.+changed )|(ment ac)|(multiple cpu faults)|(system.+state.+changed )|(\[timeout)|(PRM\|1\|D)|(kpr)|(kdp)|(train st.+moving)|(\|lc)|(penalty))"</v>
      </c>
      <c r="AG157" s="209" t="str">
        <f t="shared" si="77"/>
        <v>NW</v>
      </c>
      <c r="AH157" s="78" t="str">
        <f t="shared" si="78"/>
        <v>"%USERPROFILE%\Documents\GitHub\eaglep3\Utilities\RefineRTDCRunTimes.py" --tripid 800-26 --locoid 4021 --swversion DE.1.0.9.0 --startMP 300:58636 --initTime 2017-06-26T05:00:52 --startdatetime 2017-06-26T05:03:41 --delay 1 --endMP 204:682 --enddatetime 2017-06-26T05:25:45 --enforcementcount 0 &gt;&gt;C:\Users\stu\Documents\GitHub\eaglep3-reporting\EC\2017-06-26-refined-times.txt</v>
      </c>
      <c r="AI157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{"issue":{"subject":"","project_id":79,"tracker_id":40,"status_id":1,"priority_id":2,"assigned_to_id":23,"start_date":"2017-06-26","description":"","custom_fields":[{"id":1,"name":"Subdivision","value":"NW"},{"id":4,"name":"Milepost","value":"0.0682"},{"id":17,"name":"Train ID","value":"800-26"},{"id":16,"name":"Locomotive ID","value":"4021"},{"id":130,"name":"Impact","value":""},{"id":150,"name":"Time of Event (Mountain Time)","value":"05:25:45"},{"id":151,"name":"Denver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80"/>
        <v>start /low /b %USERPROFILE%\Documents\GitHub\eaglep3\Utilities\DownloadLogsFromS3.py --loco 4021 --day 2017-06-26</v>
      </c>
      <c r="AN157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689</v>
      </c>
      <c r="B158" s="7">
        <v>4022</v>
      </c>
      <c r="C158" s="21" t="s">
        <v>202</v>
      </c>
      <c r="D158" s="21" t="s">
        <v>501</v>
      </c>
      <c r="E158" s="13">
        <v>42912.228668981479</v>
      </c>
      <c r="F158" s="13">
        <v>42912.243969907409</v>
      </c>
      <c r="G158" s="7">
        <v>1</v>
      </c>
      <c r="H158" s="21" t="s">
        <v>593</v>
      </c>
      <c r="I158" s="13">
        <v>42912.25408564815</v>
      </c>
      <c r="J158" s="7">
        <v>0</v>
      </c>
      <c r="K158" s="89" t="str">
        <f t="shared" si="67"/>
        <v>4021/4022</v>
      </c>
      <c r="L158" s="21" t="str">
        <f>VLOOKUP(A158,'Trips&amp;Operators'!$C$1:$G$99999,5,FALSE)</f>
        <v>DAVIDSON DAVID</v>
      </c>
      <c r="M158" s="6">
        <f t="shared" si="68"/>
        <v>1.0115740740729962E-2</v>
      </c>
      <c r="N158" s="7">
        <f t="shared" si="82"/>
        <v>14.566666666651145</v>
      </c>
      <c r="O158" s="7"/>
      <c r="P158" s="7"/>
      <c r="Q158" s="22"/>
      <c r="R158" s="170"/>
      <c r="S158" s="213">
        <f t="shared" si="69"/>
        <v>1</v>
      </c>
      <c r="T158" s="195" t="str">
        <f t="shared" si="70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71"/>
        <v>https://d0f6bd738d7f1b3e5a7ca70fe4ff75f0.us-east-1.aws.found.io/app/kibana#/discover/Steve-Slow-Train-Analysis-(2080s-and-2083s)?_g=(refreshInterval:(display:Off,pause:!f,section:0,value:0),time:(from:'2017-06-26T04:29:17-0600',mode:absolute,to:'2017-06-26T07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197" t="str">
        <f>IF(AA158&lt;VLOOKUP(AG158,Variables!$AC$3:$AD$8,2,FALSE),"Y","N")</f>
        <v>N</v>
      </c>
      <c r="X158" s="197">
        <f t="shared" si="84"/>
        <v>1</v>
      </c>
      <c r="Y158" s="197">
        <f t="shared" si="65"/>
        <v>9.74E-2</v>
      </c>
      <c r="Z158" s="197">
        <f t="shared" si="66"/>
        <v>5.8943000000000003</v>
      </c>
      <c r="AA158" s="197">
        <f t="shared" si="73"/>
        <v>5.7968999999999999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74"/>
        <v>801</v>
      </c>
      <c r="AE158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58" s="74" t="str">
        <f t="shared" si="76"/>
        <v>"C:\Program Files (x86)\AstroGrep\AstroGrep.exe" /e /r /s /spath="%USERPROFILE%\AppData\Local\Temp\OnboardLogs" /stypes="app*4022*20170626*" /stext=" 12:.+((SYSTEM_STATE.+slice.+state.+changed )|(ment ac)|(multiple cpu faults)|(system.+state.+changed )|(\[timeout)|(PRM\|1\|D)|(kpr)|(kdp)|(train st.+moving)|(\|lc)|(penalty))"</v>
      </c>
      <c r="AG158" s="209" t="str">
        <f t="shared" si="77"/>
        <v>NW</v>
      </c>
      <c r="AH158" s="78" t="str">
        <f t="shared" si="78"/>
        <v>"%USERPROFILE%\Documents\GitHub\eaglep3\Utilities\RefineRTDCRunTimes.py" --tripid 801-26 --locoid 4022 --swversion DE.1.0.9.0 --startMP 204:974 --initTime 2017-06-26T05:29:17 --startdatetime 2017-06-26T05:51:19 --delay 1 --endMP 300:58943 --enddatetime 2017-06-26T06:05:53 --enforcementcount 0 &gt;&gt;C:\Users\stu\Documents\GitHub\eaglep3-reporting\EC\2017-06-26-refined-times.txt</v>
      </c>
      <c r="AI158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{"issue":{"subject":"","project_id":79,"tracker_id":40,"status_id":1,"priority_id":2,"assigned_to_id":23,"start_date":"2017-06-26","description":"","custom_fields":[{"id":1,"name":"Subdivision","value":"NW"},{"id":4,"name":"Milepost","value":"5.8943"},{"id":17,"name":"Train ID","value":"801-26"},{"id":16,"name":"Locomotive ID","value":"4022"},{"id":130,"name":"Impact","value":""},{"id":150,"name":"Time of Event (Mountain Time)","value":"06:05:53"},{"id":151,"name":"Denver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0"/>
        <v>start /low /b %USERPROFILE%\Documents\GitHub\eaglep3\Utilities\DownloadLogsFromS3.py --loco 4022 --day 2017-06-26</v>
      </c>
      <c r="AN158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698</v>
      </c>
      <c r="B159" s="7">
        <v>4021</v>
      </c>
      <c r="C159" s="21" t="s">
        <v>202</v>
      </c>
      <c r="D159" s="21" t="s">
        <v>996</v>
      </c>
      <c r="E159" s="13">
        <v>42912.254837962966</v>
      </c>
      <c r="F159" s="13">
        <v>42912.256631944445</v>
      </c>
      <c r="G159" s="7">
        <v>1</v>
      </c>
      <c r="H159" s="21" t="s">
        <v>542</v>
      </c>
      <c r="I159" s="13">
        <v>42912.267916666664</v>
      </c>
      <c r="J159" s="7">
        <v>0</v>
      </c>
      <c r="K159" s="89" t="str">
        <f t="shared" si="67"/>
        <v>4021/4022</v>
      </c>
      <c r="L159" s="21" t="str">
        <f>VLOOKUP(A159,'Trips&amp;Operators'!$C$1:$G$99999,5,FALSE)</f>
        <v>DAVIDSON DAVID</v>
      </c>
      <c r="M159" s="6">
        <f t="shared" si="68"/>
        <v>1.1284722218988463E-2</v>
      </c>
      <c r="N159" s="7">
        <f t="shared" si="82"/>
        <v>16.249999995343387</v>
      </c>
      <c r="O159" s="7"/>
      <c r="P159" s="7"/>
      <c r="Q159" s="22"/>
      <c r="R159" s="170"/>
      <c r="S159" s="213">
        <f t="shared" si="69"/>
        <v>1</v>
      </c>
      <c r="T159" s="195" t="str">
        <f t="shared" si="70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71"/>
        <v>https://d0f6bd738d7f1b3e5a7ca70fe4ff75f0.us-east-1.aws.found.io/app/kibana#/discover/Steve-Slow-Train-Analysis-(2080s-and-2083s)?_g=(refreshInterval:(display:Off,pause:!f,section:0,value:0),time:(from:'2017-06-26T05:06:58-0600',mode:absolute,to:'2017-06-26T07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197" t="str">
        <f>IF(AA159&lt;VLOOKUP(AG159,Variables!$AC$3:$AD$8,2,FALSE),"Y","N")</f>
        <v>N</v>
      </c>
      <c r="X159" s="197">
        <f t="shared" si="84"/>
        <v>1</v>
      </c>
      <c r="Y159" s="197">
        <f t="shared" si="65"/>
        <v>5.8620999999999999</v>
      </c>
      <c r="Z159" s="197">
        <f t="shared" si="66"/>
        <v>6.8699999999999997E-2</v>
      </c>
      <c r="AA159" s="197">
        <f t="shared" si="73"/>
        <v>5.7934000000000001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74"/>
        <v>802</v>
      </c>
      <c r="AE159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59" s="74" t="str">
        <f t="shared" si="76"/>
        <v>"C:\Program Files (x86)\AstroGrep\AstroGrep.exe" /e /r /s /spath="%USERPROFILE%\AppData\Local\Temp\OnboardLogs" /stypes="app*4021*20170626*" /stext=" 12:.+((SYSTEM_STATE.+slice.+state.+changed )|(ment ac)|(multiple cpu faults)|(system.+state.+changed )|(\[timeout)|(PRM\|1\|D)|(kpr)|(kdp)|(train st.+moving)|(\|lc)|(penalty))"</v>
      </c>
      <c r="AG159" s="209" t="str">
        <f t="shared" si="77"/>
        <v>NW</v>
      </c>
      <c r="AH159" s="78" t="str">
        <f t="shared" si="78"/>
        <v>"%USERPROFILE%\Documents\GitHub\eaglep3\Utilities\RefineRTDCRunTimes.py" --tripid 802-26 --locoid 4021 --swversion DE.1.0.9.0 --startMP 300:58621 --initTime 2017-06-26T06:06:58 --startdatetime 2017-06-26T06:09:33 --delay 1 --endMP 204:687 --enddatetime 2017-06-26T06:25:48 --enforcementcount 0 &gt;&gt;C:\Users\stu\Documents\GitHub\eaglep3-reporting\EC\2017-06-26-refined-times.txt</v>
      </c>
      <c r="AI159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{"issue":{"subject":"","project_id":79,"tracker_id":40,"status_id":1,"priority_id":2,"assigned_to_id":23,"start_date":"2017-06-26","description":"","custom_fields":[{"id":1,"name":"Subdivision","value":"NW"},{"id":4,"name":"Milepost","value":"0.0687"},{"id":17,"name":"Train ID","value":"802-26"},{"id":16,"name":"Locomotive ID","value":"4021"},{"id":130,"name":"Impact","value":""},{"id":150,"name":"Time of Event (Mountain Time)","value":"06:25:48"},{"id":151,"name":"Denver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80"/>
        <v>start /low /b %USERPROFILE%\Documents\GitHub\eaglep3\Utilities\DownloadLogsFromS3.py --loco 4021 --day 2017-06-26</v>
      </c>
      <c r="AN159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699</v>
      </c>
      <c r="B160" s="7">
        <v>4042</v>
      </c>
      <c r="C160" s="21" t="s">
        <v>202</v>
      </c>
      <c r="D160" s="21" t="s">
        <v>501</v>
      </c>
      <c r="E160" s="13">
        <v>42912.261863425927</v>
      </c>
      <c r="F160" s="13">
        <v>42912.264768518522</v>
      </c>
      <c r="G160" s="7">
        <v>2</v>
      </c>
      <c r="H160" s="21" t="s">
        <v>596</v>
      </c>
      <c r="I160" s="13">
        <v>42912.273726851854</v>
      </c>
      <c r="J160" s="7">
        <v>0</v>
      </c>
      <c r="K160" s="89" t="str">
        <f t="shared" si="67"/>
        <v>4041/4042</v>
      </c>
      <c r="L160" s="21" t="str">
        <f>VLOOKUP(A160,'Trips&amp;Operators'!$C$1:$G$99999,5,FALSE)</f>
        <v>LOZA FIDEL</v>
      </c>
      <c r="M160" s="6">
        <f t="shared" si="68"/>
        <v>8.9583333319751546E-3</v>
      </c>
      <c r="N160" s="7">
        <f t="shared" si="82"/>
        <v>12.899999998044223</v>
      </c>
      <c r="O160" s="7"/>
      <c r="P160" s="7"/>
      <c r="Q160" s="22"/>
      <c r="R160" s="170"/>
      <c r="S160" s="213">
        <f t="shared" si="69"/>
        <v>1</v>
      </c>
      <c r="T160" s="195" t="str">
        <f t="shared" si="70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71"/>
        <v>https://d0f6bd738d7f1b3e5a7ca70fe4ff75f0.us-east-1.aws.found.io/app/kibana#/discover/Steve-Slow-Train-Analysis-(2080s-and-2083s)?_g=(refreshInterval:(display:Off,pause:!f,section:0,value:0),time:(from:'2017-06-26T05:17:05-0600',mode:absolute,to:'2017-06-26T07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197" t="str">
        <f>IF(AA160&lt;VLOOKUP(AG160,Variables!$AC$3:$AD$8,2,FALSE),"Y","N")</f>
        <v>N</v>
      </c>
      <c r="X160" s="197">
        <f t="shared" si="84"/>
        <v>1</v>
      </c>
      <c r="Y160" s="197">
        <f t="shared" si="65"/>
        <v>9.74E-2</v>
      </c>
      <c r="Z160" s="197">
        <f t="shared" si="66"/>
        <v>5.8939000000000004</v>
      </c>
      <c r="AA160" s="197">
        <f t="shared" si="73"/>
        <v>5.7965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74"/>
        <v>803</v>
      </c>
      <c r="AE160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60" s="74" t="str">
        <f t="shared" si="76"/>
        <v>"C:\Program Files (x86)\AstroGrep\AstroGrep.exe" /e /r /s /spath="%USERPROFILE%\AppData\Local\Temp\OnboardLogs" /stypes="app*4042*20170626*" /stext=" 12:.+((SYSTEM_STATE.+slice.+state.+changed )|(ment ac)|(multiple cpu faults)|(system.+state.+changed )|(\[timeout)|(PRM\|1\|D)|(kpr)|(kdp)|(train st.+moving)|(\|lc)|(penalty))"</v>
      </c>
      <c r="AG160" s="209" t="str">
        <f t="shared" si="77"/>
        <v>NW</v>
      </c>
      <c r="AH160" s="78" t="str">
        <f t="shared" si="78"/>
        <v>"%USERPROFILE%\Documents\GitHub\eaglep3\Utilities\RefineRTDCRunTimes.py" --tripid 803-26 --locoid 4042 --swversion DE.1.0.9.0 --startMP 204:974 --initTime 2017-06-26T06:17:05 --startdatetime 2017-06-26T06:21:16 --delay 2 --endMP 300:58939 --enddatetime 2017-06-26T06:34:10 --enforcementcount 0 &gt;&gt;C:\Users\stu\Documents\GitHub\eaglep3-reporting\EC\2017-06-26-refined-times.txt</v>
      </c>
      <c r="AI160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{"issue":{"subject":"","project_id":79,"tracker_id":40,"status_id":1,"priority_id":2,"assigned_to_id":23,"start_date":"2017-06-26","description":"","custom_fields":[{"id":1,"name":"Subdivision","value":"NW"},{"id":4,"name":"Milepost","value":"5.8939"},{"id":17,"name":"Train ID","value":"803-26"},{"id":16,"name":"Locomotive ID","value":"4042"},{"id":130,"name":"Impact","value":""},{"id":150,"name":"Time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80"/>
        <v>start /low /b %USERPROFILE%\Documents\GitHub\eaglep3\Utilities\DownloadLogsFromS3.py --loco 4042 --day 2017-06-26</v>
      </c>
      <c r="AN160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702</v>
      </c>
      <c r="B161" s="7">
        <v>4041</v>
      </c>
      <c r="C161" s="21" t="s">
        <v>202</v>
      </c>
      <c r="D161" s="21" t="s">
        <v>997</v>
      </c>
      <c r="E161" s="13">
        <v>42912.275277777779</v>
      </c>
      <c r="F161" s="13">
        <v>42912.279062499998</v>
      </c>
      <c r="G161" s="7">
        <v>2</v>
      </c>
      <c r="H161" s="21" t="s">
        <v>998</v>
      </c>
      <c r="I161" s="13">
        <v>42912.288622685184</v>
      </c>
      <c r="J161" s="7">
        <v>0</v>
      </c>
      <c r="K161" s="89" t="str">
        <f t="shared" si="67"/>
        <v>4041/4042</v>
      </c>
      <c r="L161" s="21" t="str">
        <f>VLOOKUP(A161,'Trips&amp;Operators'!$C$1:$G$99999,5,FALSE)</f>
        <v>LOZA FIDEL</v>
      </c>
      <c r="M161" s="6">
        <f t="shared" si="68"/>
        <v>9.560185186273884E-3</v>
      </c>
      <c r="N161" s="7">
        <f t="shared" si="82"/>
        <v>13.766666668234393</v>
      </c>
      <c r="O161" s="7"/>
      <c r="P161" s="7"/>
      <c r="Q161" s="22"/>
      <c r="R161" s="170"/>
      <c r="S161" s="213">
        <f t="shared" si="69"/>
        <v>1</v>
      </c>
      <c r="T161" s="195" t="str">
        <f t="shared" si="7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1"/>
        <v>https://d0f6bd738d7f1b3e5a7ca70fe4ff75f0.us-east-1.aws.found.io/app/kibana#/discover/Steve-Slow-Train-Analysis-(2080s-and-2083s)?_g=(refreshInterval:(display:Off,pause:!f,section:0,value:0),time:(from:'2017-06-26T05:36:24-0600',mode:absolute,to:'2017-06-26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197" t="str">
        <f>IF(AA161&lt;VLOOKUP(AG161,Variables!$AC$3:$AD$8,2,FALSE),"Y","N")</f>
        <v>N</v>
      </c>
      <c r="X161" s="197">
        <f t="shared" si="84"/>
        <v>1</v>
      </c>
      <c r="Y161" s="197">
        <f t="shared" si="65"/>
        <v>5.8630000000000004</v>
      </c>
      <c r="Z161" s="197">
        <f t="shared" si="66"/>
        <v>6.9900000000000004E-2</v>
      </c>
      <c r="AA161" s="197">
        <f t="shared" si="73"/>
        <v>5.7931000000000008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74"/>
        <v>804</v>
      </c>
      <c r="AE161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61" s="74" t="str">
        <f t="shared" si="76"/>
        <v>"C:\Program Files (x86)\AstroGrep\AstroGrep.exe" /e /r /s /spath="%USERPROFILE%\AppData\Local\Temp\OnboardLogs" /stypes="app*4041*20170626*" /stext=" 12:.+((SYSTEM_STATE.+slice.+state.+changed )|(ment ac)|(multiple cpu faults)|(system.+state.+changed )|(\[timeout)|(PRM\|1\|D)|(kpr)|(kdp)|(train st.+moving)|(\|lc)|(penalty))"</v>
      </c>
      <c r="AG161" s="209" t="str">
        <f t="shared" si="77"/>
        <v>NW</v>
      </c>
      <c r="AH161" s="78" t="str">
        <f t="shared" si="78"/>
        <v>"%USERPROFILE%\Documents\GitHub\eaglep3\Utilities\RefineRTDCRunTimes.py" --tripid 804-26 --locoid 4041 --swversion DE.1.0.9.0 --startMP 300:58630 --initTime 2017-06-26T06:36:24 --startdatetime 2017-06-26T06:41:51 --delay 2 --endMP 204:699 --enddatetime 2017-06-26T06:55:37 --enforcementcount 0 &gt;&gt;C:\Users\stu\Documents\GitHub\eaglep3-reporting\EC\2017-06-26-refined-times.txt</v>
      </c>
      <c r="AI161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{"issue":{"subject":"","project_id":79,"tracker_id":40,"status_id":1,"priority_id":2,"assigned_to_id":23,"start_date":"2017-06-26","description":"","custom_fields":[{"id":1,"name":"Subdivision","value":"NW"},{"id":4,"name":"Milepost","value":"0.0699"},{"id":17,"name":"Train ID","value":"804-26"},{"id":16,"name":"Locomotive ID","value":"4041"},{"id":130,"name":"Impact","value":""},{"id":150,"name":"Time of Event (Mountain Time)","value":"06:55:37"},{"id":151,"name":"Denver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80"/>
        <v>start /low /b %USERPROFILE%\Documents\GitHub\eaglep3\Utilities\DownloadLogsFromS3.py --loco 4041 --day 2017-06-26</v>
      </c>
      <c r="AN161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701</v>
      </c>
      <c r="B162" s="7">
        <v>4022</v>
      </c>
      <c r="C162" s="21" t="s">
        <v>202</v>
      </c>
      <c r="D162" s="21" t="s">
        <v>544</v>
      </c>
      <c r="E162" s="13">
        <v>42912.272662037038</v>
      </c>
      <c r="F162" s="13">
        <v>42912.285624999997</v>
      </c>
      <c r="G162" s="7">
        <v>1</v>
      </c>
      <c r="H162" s="21" t="s">
        <v>588</v>
      </c>
      <c r="I162" s="13">
        <v>42912.295324074075</v>
      </c>
      <c r="J162" s="7">
        <v>0</v>
      </c>
      <c r="K162" s="89" t="str">
        <f t="shared" si="67"/>
        <v>4021/4022</v>
      </c>
      <c r="L162" s="21" t="str">
        <f>VLOOKUP(A162,'Trips&amp;Operators'!$C$1:$G$99999,5,FALSE)</f>
        <v>DAVIDSON DAVID</v>
      </c>
      <c r="M162" s="6">
        <f t="shared" si="68"/>
        <v>9.6990740785258822E-3</v>
      </c>
      <c r="N162" s="7">
        <f t="shared" si="82"/>
        <v>13.96666667307727</v>
      </c>
      <c r="O162" s="7"/>
      <c r="P162" s="7"/>
      <c r="Q162" s="22"/>
      <c r="R162" s="170"/>
      <c r="S162" s="213">
        <f t="shared" si="69"/>
        <v>1</v>
      </c>
      <c r="T162" s="195" t="str">
        <f t="shared" si="7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1"/>
        <v>https://d0f6bd738d7f1b3e5a7ca70fe4ff75f0.us-east-1.aws.found.io/app/kibana#/discover/Steve-Slow-Train-Analysis-(2080s-and-2083s)?_g=(refreshInterval:(display:Off,pause:!f,section:0,value:0),time:(from:'2017-06-26T05:32:38-0600',mode:absolute,to:'2017-06-26T08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2" s="197" t="str">
        <f>IF(AA162&lt;VLOOKUP(AG162,Variables!$AC$3:$AD$8,2,FALSE),"Y","N")</f>
        <v>N</v>
      </c>
      <c r="X162" s="197">
        <f t="shared" si="84"/>
        <v>1</v>
      </c>
      <c r="Y162" s="197">
        <f t="shared" si="65"/>
        <v>9.8299999999999998E-2</v>
      </c>
      <c r="Z162" s="197">
        <f t="shared" si="66"/>
        <v>5.8944000000000001</v>
      </c>
      <c r="AA162" s="197">
        <f t="shared" si="73"/>
        <v>5.7961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74"/>
        <v>805</v>
      </c>
      <c r="AE162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62" s="74" t="str">
        <f t="shared" si="76"/>
        <v>"C:\Program Files (x86)\AstroGrep\AstroGrep.exe" /e /r /s /spath="%USERPROFILE%\AppData\Local\Temp\OnboardLogs" /stypes="app*4022*20170626*" /stext=" 13:.+((SYSTEM_STATE.+slice.+state.+changed )|(ment ac)|(multiple cpu faults)|(system.+state.+changed )|(\[timeout)|(PRM\|1\|D)|(kpr)|(kdp)|(train st.+moving)|(\|lc)|(penalty))"</v>
      </c>
      <c r="AG162" s="209" t="str">
        <f t="shared" si="77"/>
        <v>NW</v>
      </c>
      <c r="AH162" s="78" t="str">
        <f t="shared" si="78"/>
        <v>"%USERPROFILE%\Documents\GitHub\eaglep3\Utilities\RefineRTDCRunTimes.py" --tripid 805-26 --locoid 4022 --swversion DE.1.0.9.0 --startMP 204:983 --initTime 2017-06-26T06:32:38 --startdatetime 2017-06-26T06:51:18 --delay 1 --endMP 300:58944 --enddatetime 2017-06-26T07:05:16 --enforcementcount 0 &gt;&gt;C:\Users\stu\Documents\GitHub\eaglep3-reporting\EC\2017-06-26-refined-times.txt</v>
      </c>
      <c r="AI162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{"issue":{"subject":"","project_id":79,"tracker_id":40,"status_id":1,"priority_id":2,"assigned_to_id":23,"start_date":"2017-06-26","description":"","custom_fields":[{"id":1,"name":"Subdivision","value":"NW"},{"id":4,"name":"Milepost","value":"5.8944"},{"id":17,"name":"Train ID","value":"805-26"},{"id":16,"name":"Locomotive ID","value":"4022"},{"id":130,"name":"Impact","value":""},{"id":150,"name":"Time of Event (Mountain Time)","value":"07:05:16"},{"id":151,"name":"Denver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80"/>
        <v>start /low /b %USERPROFILE%\Documents\GitHub\eaglep3\Utilities\DownloadLogsFromS3.py --loco 4022 --day 2017-06-26</v>
      </c>
      <c r="AN162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709</v>
      </c>
      <c r="B163" s="7">
        <v>4021</v>
      </c>
      <c r="C163" s="21" t="s">
        <v>202</v>
      </c>
      <c r="D163" s="21" t="s">
        <v>999</v>
      </c>
      <c r="E163" s="13">
        <v>42912.296215277776</v>
      </c>
      <c r="F163" s="13">
        <v>42912.297685185185</v>
      </c>
      <c r="G163" s="7">
        <v>1</v>
      </c>
      <c r="H163" s="21" t="s">
        <v>1000</v>
      </c>
      <c r="I163" s="13">
        <v>42912.309374999997</v>
      </c>
      <c r="J163" s="7">
        <v>0</v>
      </c>
      <c r="K163" s="89" t="str">
        <f t="shared" si="67"/>
        <v>4021/4022</v>
      </c>
      <c r="L163" s="21" t="str">
        <f>VLOOKUP(A163,'Trips&amp;Operators'!$C$1:$G$99999,5,FALSE)</f>
        <v>DAVIDSON DAVID</v>
      </c>
      <c r="M163" s="6">
        <f t="shared" si="68"/>
        <v>1.1689814811688848E-2</v>
      </c>
      <c r="N163" s="7">
        <f t="shared" si="82"/>
        <v>16.833333328831941</v>
      </c>
      <c r="O163" s="7"/>
      <c r="P163" s="7"/>
      <c r="Q163" s="22"/>
      <c r="R163" s="170"/>
      <c r="S163" s="213">
        <f t="shared" si="69"/>
        <v>1</v>
      </c>
      <c r="T163" s="195" t="str">
        <f t="shared" si="7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1"/>
        <v>https://d0f6bd738d7f1b3e5a7ca70fe4ff75f0.us-east-1.aws.found.io/app/kibana#/discover/Steve-Slow-Train-Analysis-(2080s-and-2083s)?_g=(refreshInterval:(display:Off,pause:!f,section:0,value:0),time:(from:'2017-06-26T06:06:33-0600',mode:absolute,to:'2017-06-26T08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97" t="str">
        <f>IF(AA163&lt;VLOOKUP(AG163,Variables!$AC$3:$AD$8,2,FALSE),"Y","N")</f>
        <v>N</v>
      </c>
      <c r="X163" s="197">
        <f t="shared" si="84"/>
        <v>1</v>
      </c>
      <c r="Y163" s="197">
        <f t="shared" si="65"/>
        <v>5.8625999999999996</v>
      </c>
      <c r="Z163" s="197">
        <f t="shared" si="66"/>
        <v>6.7000000000000004E-2</v>
      </c>
      <c r="AA163" s="197">
        <f t="shared" si="73"/>
        <v>5.7955999999999994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74"/>
        <v>806</v>
      </c>
      <c r="AE163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63" s="74" t="str">
        <f t="shared" si="76"/>
        <v>"C:\Program Files (x86)\AstroGrep\AstroGrep.exe" /e /r /s /spath="%USERPROFILE%\AppData\Local\Temp\OnboardLogs" /stypes="app*4021*20170626*" /stext=" 13:.+((SYSTEM_STATE.+slice.+state.+changed )|(ment ac)|(multiple cpu faults)|(system.+state.+changed )|(\[timeout)|(PRM\|1\|D)|(kpr)|(kdp)|(train st.+moving)|(\|lc)|(penalty))"</v>
      </c>
      <c r="AG163" s="209" t="str">
        <f t="shared" si="77"/>
        <v>NW</v>
      </c>
      <c r="AH163" s="78" t="str">
        <f t="shared" si="78"/>
        <v>"%USERPROFILE%\Documents\GitHub\eaglep3\Utilities\RefineRTDCRunTimes.py" --tripid 806-26 --locoid 4021 --swversion DE.1.0.9.0 --startMP 300:58626 --initTime 2017-06-26T07:06:33 --startdatetime 2017-06-26T07:08:40 --delay 1 --endMP 204:670 --enddatetime 2017-06-26T07:25:30 --enforcementcount 0 &gt;&gt;C:\Users\stu\Documents\GitHub\eaglep3-reporting\EC\2017-06-26-refined-times.txt</v>
      </c>
      <c r="AI163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{"issue":{"subject":"","project_id":79,"tracker_id":40,"status_id":1,"priority_id":2,"assigned_to_id":23,"start_date":"2017-06-26","description":"","custom_fields":[{"id":1,"name":"Subdivision","value":"NW"},{"id":4,"name":"Milepost","value":"0.067"},{"id":17,"name":"Train ID","value":"806-26"},{"id":16,"name":"Locomotive ID","value":"4021"},{"id":130,"name":"Impact","value":""},{"id":150,"name":"Time of Event (Mountain Time)","value":"07:25:30"},{"id":151,"name":"Denver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80"/>
        <v>start /low /b %USERPROFILE%\Documents\GitHub\eaglep3\Utilities\DownloadLogsFromS3.py --loco 4021 --day 2017-06-26</v>
      </c>
      <c r="AN163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708</v>
      </c>
      <c r="B164" s="7">
        <v>4042</v>
      </c>
      <c r="C164" s="21" t="s">
        <v>202</v>
      </c>
      <c r="D164" s="21" t="s">
        <v>517</v>
      </c>
      <c r="E164" s="13">
        <v>42912.291400462964</v>
      </c>
      <c r="F164" s="13">
        <v>42912.306493055556</v>
      </c>
      <c r="G164" s="7">
        <v>0</v>
      </c>
      <c r="H164" s="21" t="s">
        <v>596</v>
      </c>
      <c r="I164" s="13">
        <v>42912.315925925926</v>
      </c>
      <c r="J164" s="7">
        <v>0</v>
      </c>
      <c r="K164" s="89" t="str">
        <f t="shared" si="67"/>
        <v>4041/4042</v>
      </c>
      <c r="L164" s="21" t="str">
        <f>VLOOKUP(A164,'Trips&amp;Operators'!$C$1:$G$99999,5,FALSE)</f>
        <v>LOZA FIDEL</v>
      </c>
      <c r="M164" s="6">
        <f t="shared" si="68"/>
        <v>9.4328703708015382E-3</v>
      </c>
      <c r="N164" s="7">
        <f t="shared" si="82"/>
        <v>13.583333333954215</v>
      </c>
      <c r="O164" s="7"/>
      <c r="P164" s="7"/>
      <c r="Q164" s="22"/>
      <c r="R164" s="170"/>
      <c r="S164" s="213">
        <f t="shared" si="69"/>
        <v>1</v>
      </c>
      <c r="T164" s="195" t="str">
        <f t="shared" si="7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1"/>
        <v>https://d0f6bd738d7f1b3e5a7ca70fe4ff75f0.us-east-1.aws.found.io/app/kibana#/discover/Steve-Slow-Train-Analysis-(2080s-and-2083s)?_g=(refreshInterval:(display:Off,pause:!f,section:0,value:0),time:(from:'2017-06-26T05:59:37-0600',mode:absolute,to:'2017-06-26T08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197" t="str">
        <f>IF(AA164&lt;VLOOKUP(AG164,Variables!$AC$3:$AD$8,2,FALSE),"Y","N")</f>
        <v>N</v>
      </c>
      <c r="X164" s="197">
        <f t="shared" si="84"/>
        <v>1</v>
      </c>
      <c r="Y164" s="197">
        <f t="shared" si="65"/>
        <v>9.8100000000000007E-2</v>
      </c>
      <c r="Z164" s="197">
        <f t="shared" si="66"/>
        <v>5.8939000000000004</v>
      </c>
      <c r="AA164" s="197">
        <f t="shared" si="73"/>
        <v>5.7958000000000007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74"/>
        <v>807</v>
      </c>
      <c r="AE164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64" s="74" t="str">
        <f t="shared" si="76"/>
        <v>"C:\Program Files (x86)\AstroGrep\AstroGrep.exe" /e /r /s /spath="%USERPROFILE%\AppData\Local\Temp\OnboardLogs" /stypes="app*4042*20170626*" /stext=" 13:.+((SYSTEM_STATE.+slice.+state.+changed )|(ment ac)|(multiple cpu faults)|(system.+state.+changed )|(\[timeout)|(PRM\|1\|D)|(kpr)|(kdp)|(train st.+moving)|(\|lc)|(penalty))"</v>
      </c>
      <c r="AG164" s="209" t="str">
        <f t="shared" si="77"/>
        <v>NW</v>
      </c>
      <c r="AH164" s="78" t="str">
        <f t="shared" si="78"/>
        <v>"%USERPROFILE%\Documents\GitHub\eaglep3\Utilities\RefineRTDCRunTimes.py" --tripid 807-26 --locoid 4042 --swversion DE.1.0.9.0 --startMP 204:981 --initTime 2017-06-26T06:59:37 --startdatetime 2017-06-26T07:21:21 --delay 0 --endMP 300:58939 --enddatetime 2017-06-26T07:34:56 --enforcementcount 0 &gt;&gt;C:\Users\stu\Documents\GitHub\eaglep3-reporting\EC\2017-06-26-refined-times.txt</v>
      </c>
      <c r="AI164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{"issue":{"subject":"","project_id":79,"tracker_id":40,"status_id":1,"priority_id":2,"assigned_to_id":23,"start_date":"2017-06-26","description":"","custom_fields":[{"id":1,"name":"Subdivision","value":"NW"},{"id":4,"name":"Milepost","value":"5.8939"},{"id":17,"name":"Train ID","value":"807-26"},{"id":16,"name":"Locomotive ID","value":"4042"},{"id":130,"name":"Impact","value":""},{"id":150,"name":"Time of Event (Mountain Time)","value":"07:34:56"},{"id":151,"name":"Denver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80"/>
        <v>start /low /b %USERPROFILE%\Documents\GitHub\eaglep3\Utilities\DownloadLogsFromS3.py --loco 4042 --day 2017-06-26</v>
      </c>
      <c r="AN164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714</v>
      </c>
      <c r="B165" s="7">
        <v>4041</v>
      </c>
      <c r="C165" s="21" t="s">
        <v>202</v>
      </c>
      <c r="D165" s="21" t="s">
        <v>1001</v>
      </c>
      <c r="E165" s="13">
        <v>42912.317407407405</v>
      </c>
      <c r="F165" s="13">
        <v>42912.319027777776</v>
      </c>
      <c r="G165" s="7">
        <v>1</v>
      </c>
      <c r="H165" s="21" t="s">
        <v>589</v>
      </c>
      <c r="I165" s="13">
        <v>42912.329918981479</v>
      </c>
      <c r="J165" s="7">
        <v>0</v>
      </c>
      <c r="K165" s="89" t="str">
        <f t="shared" si="67"/>
        <v>4041/4042</v>
      </c>
      <c r="L165" s="21" t="str">
        <f>VLOOKUP(A165,'Trips&amp;Operators'!$C$1:$G$99999,5,FALSE)</f>
        <v>LOZA FIDEL</v>
      </c>
      <c r="M165" s="6">
        <f t="shared" si="68"/>
        <v>1.0891203703067731E-2</v>
      </c>
      <c r="N165" s="7">
        <f t="shared" si="82"/>
        <v>15.683333332417533</v>
      </c>
      <c r="O165" s="7"/>
      <c r="P165" s="7"/>
      <c r="Q165" s="22"/>
      <c r="R165" s="170"/>
      <c r="S165" s="213">
        <f t="shared" si="69"/>
        <v>1</v>
      </c>
      <c r="T165" s="195" t="str">
        <f t="shared" si="7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1"/>
        <v>https://d0f6bd738d7f1b3e5a7ca70fe4ff75f0.us-east-1.aws.found.io/app/kibana#/discover/Steve-Slow-Train-Analysis-(2080s-and-2083s)?_g=(refreshInterval:(display:Off,pause:!f,section:0,value:0),time:(from:'2017-06-26T06:37:04-0600',mode:absolute,to:'2017-06-26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197" t="str">
        <f>IF(AA165&lt;VLOOKUP(AG165,Variables!$AC$3:$AD$8,2,FALSE),"Y","N")</f>
        <v>N</v>
      </c>
      <c r="X165" s="197">
        <f t="shared" si="84"/>
        <v>1</v>
      </c>
      <c r="Y165" s="197">
        <f t="shared" si="65"/>
        <v>5.8616999999999999</v>
      </c>
      <c r="Z165" s="197">
        <f t="shared" si="66"/>
        <v>6.9400000000000003E-2</v>
      </c>
      <c r="AA165" s="197">
        <f t="shared" si="73"/>
        <v>5.7923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74"/>
        <v>808</v>
      </c>
      <c r="AE165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65" s="74" t="str">
        <f t="shared" si="76"/>
        <v>"C:\Program Files (x86)\AstroGrep\AstroGrep.exe" /e /r /s /spath="%USERPROFILE%\AppData\Local\Temp\OnboardLogs" /stypes="app*4041*20170626*" /stext=" 13:.+((SYSTEM_STATE.+slice.+state.+changed )|(ment ac)|(multiple cpu faults)|(system.+state.+changed )|(\[timeout)|(PRM\|1\|D)|(kpr)|(kdp)|(train st.+moving)|(\|lc)|(penalty))"</v>
      </c>
      <c r="AG165" s="209" t="str">
        <f t="shared" si="77"/>
        <v>NW</v>
      </c>
      <c r="AH165" s="78" t="str">
        <f t="shared" si="78"/>
        <v>"%USERPROFILE%\Documents\GitHub\eaglep3\Utilities\RefineRTDCRunTimes.py" --tripid 808-26 --locoid 4041 --swversion DE.1.0.9.0 --startMP 300:58617 --initTime 2017-06-26T07:37:04 --startdatetime 2017-06-26T07:39:24 --delay 1 --endMP 204:694 --enddatetime 2017-06-26T07:55:05 --enforcementcount 0 &gt;&gt;C:\Users\stu\Documents\GitHub\eaglep3-reporting\EC\2017-06-26-refined-times.txt</v>
      </c>
      <c r="AI165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{"issue":{"subject":"","project_id":79,"tracker_id":40,"status_id":1,"priority_id":2,"assigned_to_id":23,"start_date":"2017-06-26","description":"","custom_fields":[{"id":1,"name":"Subdivision","value":"NW"},{"id":4,"name":"Milepost","value":"0.0694"},{"id":17,"name":"Train ID","value":"808-26"},{"id":16,"name":"Locomotive ID","value":"4041"},{"id":130,"name":"Impact","value":""},{"id":150,"name":"Time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80"/>
        <v>start /low /b %USERPROFILE%\Documents\GitHub\eaglep3\Utilities\DownloadLogsFromS3.py --loco 4041 --day 2017-06-26</v>
      </c>
      <c r="AN165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713</v>
      </c>
      <c r="B166" s="7">
        <v>4022</v>
      </c>
      <c r="C166" s="21" t="s">
        <v>202</v>
      </c>
      <c r="D166" s="21" t="s">
        <v>600</v>
      </c>
      <c r="E166" s="13">
        <v>42912.3125</v>
      </c>
      <c r="F166" s="13">
        <v>42912.327303240738</v>
      </c>
      <c r="G166" s="7">
        <v>1</v>
      </c>
      <c r="H166" s="21" t="s">
        <v>596</v>
      </c>
      <c r="I166" s="13">
        <v>42912.337569444448</v>
      </c>
      <c r="J166" s="7">
        <v>0</v>
      </c>
      <c r="K166" s="89" t="str">
        <f t="shared" si="67"/>
        <v>4021/4022</v>
      </c>
      <c r="L166" s="21" t="str">
        <f>VLOOKUP(A166,'Trips&amp;Operators'!$C$1:$G$99999,5,FALSE)</f>
        <v>DAVIDSON DAVID</v>
      </c>
      <c r="M166" s="6">
        <f t="shared" si="68"/>
        <v>1.0266203709761612E-2</v>
      </c>
      <c r="N166" s="7">
        <f t="shared" si="82"/>
        <v>14.783333342056721</v>
      </c>
      <c r="O166" s="7"/>
      <c r="P166" s="7"/>
      <c r="Q166" s="22"/>
      <c r="R166" s="170"/>
      <c r="S166" s="213">
        <f t="shared" si="69"/>
        <v>1</v>
      </c>
      <c r="T166" s="195" t="str">
        <f t="shared" si="7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1"/>
        <v>https://d0f6bd738d7f1b3e5a7ca70fe4ff75f0.us-east-1.aws.found.io/app/kibana#/discover/Steve-Slow-Train-Analysis-(2080s-and-2083s)?_g=(refreshInterval:(display:Off,pause:!f,section:0,value:0),time:(from:'2017-06-26T06:30:00-0600',mode:absolute,to:'2017-06-26T09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6" s="197" t="str">
        <f>IF(AA166&lt;VLOOKUP(AG166,Variables!$AC$3:$AD$8,2,FALSE),"Y","N")</f>
        <v>N</v>
      </c>
      <c r="X166" s="197">
        <f t="shared" si="84"/>
        <v>1</v>
      </c>
      <c r="Y166" s="197">
        <f t="shared" si="65"/>
        <v>9.8500000000000004E-2</v>
      </c>
      <c r="Z166" s="197">
        <f t="shared" si="66"/>
        <v>5.8939000000000004</v>
      </c>
      <c r="AA166" s="197">
        <f t="shared" si="73"/>
        <v>5.7954000000000008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74"/>
        <v>809</v>
      </c>
      <c r="AE166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66" s="74" t="str">
        <f t="shared" si="76"/>
        <v>"C:\Program Files (x86)\AstroGrep\AstroGrep.exe" /e /r /s /spath="%USERPROFILE%\AppData\Local\Temp\OnboardLogs" /stypes="app*4022*20170626*" /stext=" 14:.+((SYSTEM_STATE.+slice.+state.+changed )|(ment ac)|(multiple cpu faults)|(system.+state.+changed )|(\[timeout)|(PRM\|1\|D)|(kpr)|(kdp)|(train st.+moving)|(\|lc)|(penalty))"</v>
      </c>
      <c r="AG166" s="209" t="str">
        <f t="shared" si="77"/>
        <v>NW</v>
      </c>
      <c r="AH166" s="78" t="str">
        <f t="shared" si="78"/>
        <v>"%USERPROFILE%\Documents\GitHub\eaglep3\Utilities\RefineRTDCRunTimes.py" --tripid 809-26 --locoid 4022 --swversion DE.1.0.9.0 --startMP 204:985 --initTime 2017-06-26T07:30:00 --startdatetime 2017-06-26T07:51:19 --delay 1 --endMP 300:58939 --enddatetime 2017-06-26T08:06:06 --enforcementcount 0 &gt;&gt;C:\Users\stu\Documents\GitHub\eaglep3-reporting\EC\2017-06-26-refined-times.txt</v>
      </c>
      <c r="AI166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{"issue":{"subject":"","project_id":79,"tracker_id":40,"status_id":1,"priority_id":2,"assigned_to_id":23,"start_date":"2017-06-26","description":"","custom_fields":[{"id":1,"name":"Subdivision","value":"NW"},{"id":4,"name":"Milepost","value":"5.8939"},{"id":17,"name":"Train ID","value":"809-26"},{"id":16,"name":"Locomotive ID","value":"4022"},{"id":130,"name":"Impact","value":""},{"id":150,"name":"Time of Event (Mountain Time)","value":"08:06:06"},{"id":151,"name":"Denver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80"/>
        <v>start /low /b %USERPROFILE%\Documents\GitHub\eaglep3\Utilities\DownloadLogsFromS3.py --loco 4022 --day 2017-06-26</v>
      </c>
      <c r="AN166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719</v>
      </c>
      <c r="B167" s="7">
        <v>4021</v>
      </c>
      <c r="C167" s="21" t="s">
        <v>202</v>
      </c>
      <c r="D167" s="21" t="s">
        <v>478</v>
      </c>
      <c r="E167" s="13">
        <v>42912.338333333333</v>
      </c>
      <c r="F167" s="13">
        <v>42912.339699074073</v>
      </c>
      <c r="G167" s="7">
        <v>1</v>
      </c>
      <c r="H167" s="21" t="s">
        <v>1002</v>
      </c>
      <c r="I167" s="13">
        <v>42912.351018518515</v>
      </c>
      <c r="J167" s="7">
        <v>0</v>
      </c>
      <c r="K167" s="89" t="str">
        <f t="shared" si="67"/>
        <v>4021/4022</v>
      </c>
      <c r="L167" s="21" t="str">
        <f>VLOOKUP(A167,'Trips&amp;Operators'!$C$1:$G$99999,5,FALSE)</f>
        <v>DAVIDSON DAVID</v>
      </c>
      <c r="M167" s="6">
        <f t="shared" si="68"/>
        <v>1.1319444442051463E-2</v>
      </c>
      <c r="N167" s="7">
        <f t="shared" si="82"/>
        <v>16.299999996554106</v>
      </c>
      <c r="O167" s="7"/>
      <c r="P167" s="7"/>
      <c r="Q167" s="22"/>
      <c r="R167" s="170"/>
      <c r="S167" s="213">
        <f t="shared" si="69"/>
        <v>1</v>
      </c>
      <c r="T167" s="195" t="str">
        <f t="shared" si="7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1"/>
        <v>https://d0f6bd738d7f1b3e5a7ca70fe4ff75f0.us-east-1.aws.found.io/app/kibana#/discover/Steve-Slow-Train-Analysis-(2080s-and-2083s)?_g=(refreshInterval:(display:Off,pause:!f,section:0,value:0),time:(from:'2017-06-26T07:07:12-0600',mode:absolute,to:'2017-06-26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7" s="197" t="str">
        <f>IF(AA167&lt;VLOOKUP(AG167,Variables!$AC$3:$AD$8,2,FALSE),"Y","N")</f>
        <v>N</v>
      </c>
      <c r="X167" s="197">
        <f t="shared" si="84"/>
        <v>1</v>
      </c>
      <c r="Y167" s="197">
        <f t="shared" si="65"/>
        <v>5.8619000000000003</v>
      </c>
      <c r="Z167" s="197">
        <f t="shared" si="66"/>
        <v>7.1900000000000006E-2</v>
      </c>
      <c r="AA167" s="197">
        <f t="shared" si="73"/>
        <v>5.79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74"/>
        <v>810</v>
      </c>
      <c r="AE167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67" s="74" t="str">
        <f t="shared" si="76"/>
        <v>"C:\Program Files (x86)\AstroGrep\AstroGrep.exe" /e /r /s /spath="%USERPROFILE%\AppData\Local\Temp\OnboardLogs" /stypes="app*4021*20170626*" /stext=" 14:.+((SYSTEM_STATE.+slice.+state.+changed )|(ment ac)|(multiple cpu faults)|(system.+state.+changed )|(\[timeout)|(PRM\|1\|D)|(kpr)|(kdp)|(train st.+moving)|(\|lc)|(penalty))"</v>
      </c>
      <c r="AG167" s="209" t="str">
        <f t="shared" si="77"/>
        <v>NW</v>
      </c>
      <c r="AH167" s="78" t="str">
        <f t="shared" si="78"/>
        <v>"%USERPROFILE%\Documents\GitHub\eaglep3\Utilities\RefineRTDCRunTimes.py" --tripid 810-26 --locoid 4021 --swversion DE.1.0.9.0 --startMP 300:58619 --initTime 2017-06-26T08:07:12 --startdatetime 2017-06-26T08:09:10 --delay 1 --endMP 204:719 --enddatetime 2017-06-26T08:25:28 --enforcementcount 0 &gt;&gt;C:\Users\stu\Documents\GitHub\eaglep3-reporting\EC\2017-06-26-refined-times.txt</v>
      </c>
      <c r="AI167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{"issue":{"subject":"","project_id":79,"tracker_id":40,"status_id":1,"priority_id":2,"assigned_to_id":23,"start_date":"2017-06-26","description":"","custom_fields":[{"id":1,"name":"Subdivision","value":"NW"},{"id":4,"name":"Milepost","value":"0.0719"},{"id":17,"name":"Train ID","value":"810-26"},{"id":16,"name":"Locomotive ID","value":"4021"},{"id":130,"name":"Impact","value":""},{"id":150,"name":"Time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80"/>
        <v>start /low /b %USERPROFILE%\Documents\GitHub\eaglep3\Utilities\DownloadLogsFromS3.py --loco 4021 --day 2017-06-26</v>
      </c>
      <c r="AN167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720</v>
      </c>
      <c r="B168" s="7">
        <v>4042</v>
      </c>
      <c r="C168" s="21" t="s">
        <v>202</v>
      </c>
      <c r="D168" s="21" t="s">
        <v>517</v>
      </c>
      <c r="E168" s="13">
        <v>42912.345648148148</v>
      </c>
      <c r="F168" s="13">
        <v>42912.348090277781</v>
      </c>
      <c r="G168" s="7">
        <v>2</v>
      </c>
      <c r="H168" s="21" t="s">
        <v>1003</v>
      </c>
      <c r="I168" s="13">
        <v>42912.357094907406</v>
      </c>
      <c r="J168" s="7">
        <v>0</v>
      </c>
      <c r="K168" s="89" t="str">
        <f t="shared" si="67"/>
        <v>4041/4042</v>
      </c>
      <c r="L168" s="21" t="str">
        <f>VLOOKUP(A168,'Trips&amp;Operators'!$C$1:$G$99999,5,FALSE)</f>
        <v>LOZA FIDEL</v>
      </c>
      <c r="M168" s="6">
        <f t="shared" si="68"/>
        <v>9.0046296245418489E-3</v>
      </c>
      <c r="N168" s="7">
        <f t="shared" si="82"/>
        <v>12.966666659340262</v>
      </c>
      <c r="O168" s="7"/>
      <c r="P168" s="7"/>
      <c r="Q168" s="22"/>
      <c r="R168" s="170"/>
      <c r="S168" s="213">
        <f t="shared" si="69"/>
        <v>1</v>
      </c>
      <c r="T168" s="195" t="str">
        <f t="shared" si="7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1"/>
        <v>https://d0f6bd738d7f1b3e5a7ca70fe4ff75f0.us-east-1.aws.found.io/app/kibana#/discover/Steve-Slow-Train-Analysis-(2080s-and-2083s)?_g=(refreshInterval:(display:Off,pause:!f,section:0,value:0),time:(from:'2017-06-26T07:17:44-0600',mode:absolute,to:'2017-06-26T09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197" t="str">
        <f>IF(AA168&lt;VLOOKUP(AG168,Variables!$AC$3:$AD$8,2,FALSE),"Y","N")</f>
        <v>N</v>
      </c>
      <c r="X168" s="197">
        <f t="shared" si="84"/>
        <v>1</v>
      </c>
      <c r="Y168" s="197">
        <f t="shared" si="65"/>
        <v>9.8100000000000007E-2</v>
      </c>
      <c r="Z168" s="197">
        <f t="shared" si="66"/>
        <v>5.8956</v>
      </c>
      <c r="AA168" s="197">
        <f t="shared" si="73"/>
        <v>5.7975000000000003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74"/>
        <v>811</v>
      </c>
      <c r="AE168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68" s="74" t="str">
        <f t="shared" si="76"/>
        <v>"C:\Program Files (x86)\AstroGrep\AstroGrep.exe" /e /r /s /spath="%USERPROFILE%\AppData\Local\Temp\OnboardLogs" /stypes="app*4042*20170626*" /stext=" 14:.+((SYSTEM_STATE.+slice.+state.+changed )|(ment ac)|(multiple cpu faults)|(system.+state.+changed )|(\[timeout)|(PRM\|1\|D)|(kpr)|(kdp)|(train st.+moving)|(\|lc)|(penalty))"</v>
      </c>
      <c r="AG168" s="209" t="str">
        <f t="shared" si="77"/>
        <v>NW</v>
      </c>
      <c r="AH168" s="78" t="str">
        <f t="shared" si="78"/>
        <v>"%USERPROFILE%\Documents\GitHub\eaglep3\Utilities\RefineRTDCRunTimes.py" --tripid 811-26 --locoid 4042 --swversion DE.1.0.9.0 --startMP 204:981 --initTime 2017-06-26T08:17:44 --startdatetime 2017-06-26T08:21:15 --delay 2 --endMP 300:58956 --enddatetime 2017-06-26T08:34:13 --enforcementcount 0 &gt;&gt;C:\Users\stu\Documents\GitHub\eaglep3-reporting\EC\2017-06-26-refined-times.txt</v>
      </c>
      <c r="AI168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{"issue":{"subject":"","project_id":79,"tracker_id":40,"status_id":1,"priority_id":2,"assigned_to_id":23,"start_date":"2017-06-26","description":"","custom_fields":[{"id":1,"name":"Subdivision","value":"NW"},{"id":4,"name":"Milepost","value":"5.8956"},{"id":17,"name":"Train ID","value":"811-26"},{"id":16,"name":"Locomotive ID","value":"4042"},{"id":130,"name":"Impact","value":""},{"id":150,"name":"Time of Event (Mountain Time)","value":"08:34:13"},{"id":151,"name":"Denver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80"/>
        <v>start /low /b %USERPROFILE%\Documents\GitHub\eaglep3\Utilities\DownloadLogsFromS3.py --loco 4042 --day 2017-06-26</v>
      </c>
      <c r="AN168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721</v>
      </c>
      <c r="B169" s="7">
        <v>4041</v>
      </c>
      <c r="C169" s="21" t="s">
        <v>202</v>
      </c>
      <c r="D169" s="21" t="s">
        <v>1004</v>
      </c>
      <c r="E169" s="13">
        <v>42912.358194444445</v>
      </c>
      <c r="F169" s="13">
        <v>42912.359849537039</v>
      </c>
      <c r="G169" s="7">
        <v>1</v>
      </c>
      <c r="H169" s="21" t="s">
        <v>543</v>
      </c>
      <c r="I169" s="13">
        <v>42912.37127314815</v>
      </c>
      <c r="J169" s="7">
        <v>0</v>
      </c>
      <c r="K169" s="89" t="str">
        <f t="shared" si="67"/>
        <v>4041/4042</v>
      </c>
      <c r="L169" s="21" t="str">
        <f>VLOOKUP(A169,'Trips&amp;Operators'!$C$1:$G$99999,5,FALSE)</f>
        <v>LOZA FIDEL</v>
      </c>
      <c r="M169" s="6">
        <f t="shared" si="68"/>
        <v>1.1423611111240461E-2</v>
      </c>
      <c r="N169" s="7">
        <f t="shared" si="82"/>
        <v>16.450000000186265</v>
      </c>
      <c r="O169" s="7"/>
      <c r="P169" s="7"/>
      <c r="Q169" s="22"/>
      <c r="R169" s="170"/>
      <c r="S169" s="213">
        <f t="shared" si="69"/>
        <v>1</v>
      </c>
      <c r="T169" s="195" t="str">
        <f t="shared" si="7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1"/>
        <v>https://d0f6bd738d7f1b3e5a7ca70fe4ff75f0.us-east-1.aws.found.io/app/kibana#/discover/Steve-Slow-Train-Analysis-(2080s-and-2083s)?_g=(refreshInterval:(display:Off,pause:!f,section:0,value:0),time:(from:'2017-06-26T07:35:48-0600',mode:absolute,to:'2017-06-26T09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197" t="str">
        <f>IF(AA169&lt;VLOOKUP(AG169,Variables!$AC$3:$AD$8,2,FALSE),"Y","N")</f>
        <v>N</v>
      </c>
      <c r="X169" s="197">
        <f t="shared" si="84"/>
        <v>1</v>
      </c>
      <c r="Y169" s="197">
        <f t="shared" si="65"/>
        <v>5.8640999999999996</v>
      </c>
      <c r="Z169" s="197">
        <f t="shared" si="66"/>
        <v>6.7699999999999996E-2</v>
      </c>
      <c r="AA169" s="197">
        <f t="shared" si="73"/>
        <v>5.7963999999999993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74"/>
        <v>812</v>
      </c>
      <c r="AE169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69" s="74" t="str">
        <f t="shared" si="76"/>
        <v>"C:\Program Files (x86)\AstroGrep\AstroGrep.exe" /e /r /s /spath="%USERPROFILE%\AppData\Local\Temp\OnboardLogs" /stypes="app*4041*20170626*" /stext=" 14:.+((SYSTEM_STATE.+slice.+state.+changed )|(ment ac)|(multiple cpu faults)|(system.+state.+changed )|(\[timeout)|(PRM\|1\|D)|(kpr)|(kdp)|(train st.+moving)|(\|lc)|(penalty))"</v>
      </c>
      <c r="AG169" s="209" t="str">
        <f t="shared" si="77"/>
        <v>NW</v>
      </c>
      <c r="AH169" s="78" t="str">
        <f t="shared" si="78"/>
        <v>"%USERPROFILE%\Documents\GitHub\eaglep3\Utilities\RefineRTDCRunTimes.py" --tripid 812-26 --locoid 4041 --swversion DE.1.0.9.0 --startMP 300:58641 --initTime 2017-06-26T08:35:48 --startdatetime 2017-06-26T08:38:11 --delay 1 --endMP 204:677 --enddatetime 2017-06-26T08:54:38 --enforcementcount 0 &gt;&gt;C:\Users\stu\Documents\GitHub\eaglep3-reporting\EC\2017-06-26-refined-times.txt</v>
      </c>
      <c r="AI169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{"issue":{"subject":"","project_id":79,"tracker_id":40,"status_id":1,"priority_id":2,"assigned_to_id":23,"start_date":"2017-06-26","description":"","custom_fields":[{"id":1,"name":"Subdivision","value":"NW"},{"id":4,"name":"Milepost","value":"0.0677"},{"id":17,"name":"Train ID","value":"812-26"},{"id":16,"name":"Locomotive ID","value":"4041"},{"id":130,"name":"Impact","value":""},{"id":150,"name":"Time of Event (Mountain Time)","value":"08:54:38"},{"id":151,"name":"Denver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0"/>
        <v>start /low /b %USERPROFILE%\Documents\GitHub\eaglep3\Utilities\DownloadLogsFromS3.py --loco 4041 --day 2017-06-26</v>
      </c>
      <c r="AN169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730</v>
      </c>
      <c r="B170" s="7">
        <v>4042</v>
      </c>
      <c r="C170" s="21" t="s">
        <v>202</v>
      </c>
      <c r="D170" s="21" t="s">
        <v>1005</v>
      </c>
      <c r="E170" s="13">
        <v>42912.386979166666</v>
      </c>
      <c r="F170" s="13">
        <v>42912.389803240738</v>
      </c>
      <c r="G170" s="7">
        <v>1</v>
      </c>
      <c r="H170" s="21" t="s">
        <v>1006</v>
      </c>
      <c r="I170" s="13">
        <v>42912.398877314816</v>
      </c>
      <c r="J170" s="7">
        <v>0</v>
      </c>
      <c r="K170" s="89" t="str">
        <f t="shared" si="67"/>
        <v>4041/4042</v>
      </c>
      <c r="L170" s="21" t="str">
        <f>VLOOKUP(A170,'Trips&amp;Operators'!$C$1:$G$99999,5,FALSE)</f>
        <v>LOZA FIDEL</v>
      </c>
      <c r="M170" s="6">
        <f t="shared" si="68"/>
        <v>9.0740740779438056E-3</v>
      </c>
      <c r="N170" s="7">
        <f t="shared" si="82"/>
        <v>13.06666667223908</v>
      </c>
      <c r="O170" s="7"/>
      <c r="P170" s="7"/>
      <c r="Q170" s="22"/>
      <c r="R170" s="170"/>
      <c r="S170" s="213">
        <f t="shared" si="69"/>
        <v>1</v>
      </c>
      <c r="T170" s="195" t="str">
        <f t="shared" si="7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1"/>
        <v>https://d0f6bd738d7f1b3e5a7ca70fe4ff75f0.us-east-1.aws.found.io/app/kibana#/discover/Steve-Slow-Train-Analysis-(2080s-and-2083s)?_g=(refreshInterval:(display:Off,pause:!f,section:0,value:0),time:(from:'2017-06-26T08:17:15-0600',mode:absolute,to:'2017-06-26T10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197" t="str">
        <f>IF(AA170&lt;VLOOKUP(AG170,Variables!$AC$3:$AD$8,2,FALSE),"Y","N")</f>
        <v>N</v>
      </c>
      <c r="X170" s="197">
        <f t="shared" si="84"/>
        <v>1</v>
      </c>
      <c r="Y170" s="197">
        <f t="shared" ref="Y170:Y201" si="85">RIGHT(D170,LEN(D170)-4)/10000</f>
        <v>9.69E-2</v>
      </c>
      <c r="Z170" s="197">
        <f t="shared" ref="Z170:Z201" si="86">RIGHT(H170,LEN(H170)-4)/10000</f>
        <v>5.8935000000000004</v>
      </c>
      <c r="AA170" s="197">
        <f t="shared" si="73"/>
        <v>5.7966000000000006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74"/>
        <v>813</v>
      </c>
      <c r="AE170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70" s="74" t="str">
        <f t="shared" si="76"/>
        <v>"C:\Program Files (x86)\AstroGrep\AstroGrep.exe" /e /r /s /spath="%USERPROFILE%\AppData\Local\Temp\OnboardLogs" /stypes="app*4042*20170626*" /stext=" 15:.+((SYSTEM_STATE.+slice.+state.+changed )|(ment ac)|(multiple cpu faults)|(system.+state.+changed )|(\[timeout)|(PRM\|1\|D)|(kpr)|(kdp)|(train st.+moving)|(\|lc)|(penalty))"</v>
      </c>
      <c r="AG170" s="209" t="str">
        <f t="shared" si="77"/>
        <v>NW</v>
      </c>
      <c r="AH170" s="78" t="str">
        <f t="shared" si="78"/>
        <v>"%USERPROFILE%\Documents\GitHub\eaglep3\Utilities\RefineRTDCRunTimes.py" --tripid 813-26 --locoid 4042 --swversion DE.1.0.9.0 --startMP 204:969 --initTime 2017-06-26T09:17:15 --startdatetime 2017-06-26T09:21:19 --delay 1 --endMP 300:58935 --enddatetime 2017-06-26T09:34:23 --enforcementcount 0 &gt;&gt;C:\Users\stu\Documents\GitHub\eaglep3-reporting\EC\2017-06-26-refined-times.txt</v>
      </c>
      <c r="AI170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{"issue":{"subject":"","project_id":79,"tracker_id":40,"status_id":1,"priority_id":2,"assigned_to_id":23,"start_date":"2017-06-26","description":"","custom_fields":[{"id":1,"name":"Subdivision","value":"NW"},{"id":4,"name":"Milepost","value":"5.8935"},{"id":17,"name":"Train ID","value":"813-26"},{"id":16,"name":"Locomotive ID","value":"4042"},{"id":130,"name":"Impact","value":""},{"id":150,"name":"Time of Event (Mountain Time)","value":"09:34:23"},{"id":151,"name":"Denver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80"/>
        <v>start /low /b %USERPROFILE%\Documents\GitHub\eaglep3\Utilities\DownloadLogsFromS3.py --loco 4042 --day 2017-06-26</v>
      </c>
      <c r="AN170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734</v>
      </c>
      <c r="B171" s="7">
        <v>4041</v>
      </c>
      <c r="C171" s="21" t="s">
        <v>202</v>
      </c>
      <c r="D171" s="21" t="s">
        <v>478</v>
      </c>
      <c r="E171" s="13">
        <v>42912.400370370371</v>
      </c>
      <c r="F171" s="13">
        <v>42912.40184027778</v>
      </c>
      <c r="G171" s="7">
        <v>0</v>
      </c>
      <c r="H171" s="21" t="s">
        <v>487</v>
      </c>
      <c r="I171" s="13">
        <v>42912.412997685184</v>
      </c>
      <c r="J171" s="7">
        <v>0</v>
      </c>
      <c r="K171" s="89" t="str">
        <f t="shared" si="67"/>
        <v>4041/4042</v>
      </c>
      <c r="L171" s="21" t="str">
        <f>VLOOKUP(A171,'Trips&amp;Operators'!$C$1:$G$99999,5,FALSE)</f>
        <v>LOZA FIDEL</v>
      </c>
      <c r="M171" s="6">
        <f t="shared" si="68"/>
        <v>1.1157407403516117E-2</v>
      </c>
      <c r="N171" s="7">
        <f t="shared" si="82"/>
        <v>16.066666661063209</v>
      </c>
      <c r="O171" s="7"/>
      <c r="P171" s="7"/>
      <c r="Q171" s="22"/>
      <c r="R171" s="170"/>
      <c r="S171" s="213">
        <f t="shared" si="69"/>
        <v>1</v>
      </c>
      <c r="T171" s="195" t="str">
        <f t="shared" si="7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71"/>
        <v>https://d0f6bd738d7f1b3e5a7ca70fe4ff75f0.us-east-1.aws.found.io/app/kibana#/discover/Steve-Slow-Train-Analysis-(2080s-and-2083s)?_g=(refreshInterval:(display:Off,pause:!f,section:0,value:0),time:(from:'2017-06-26T08:36:32-0600',mode:absolute,to:'2017-06-26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197" t="str">
        <f>IF(AA171&lt;VLOOKUP(AG171,Variables!$AC$3:$AD$8,2,FALSE),"Y","N")</f>
        <v>N</v>
      </c>
      <c r="X171" s="197">
        <f t="shared" si="84"/>
        <v>1</v>
      </c>
      <c r="Y171" s="197">
        <f t="shared" si="85"/>
        <v>5.8619000000000003</v>
      </c>
      <c r="Z171" s="197">
        <f t="shared" si="86"/>
        <v>6.8000000000000005E-2</v>
      </c>
      <c r="AA171" s="197">
        <f t="shared" si="73"/>
        <v>5.7939000000000007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74"/>
        <v>814</v>
      </c>
      <c r="AE171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71" s="74" t="str">
        <f t="shared" si="76"/>
        <v>"C:\Program Files (x86)\AstroGrep\AstroGrep.exe" /e /r /s /spath="%USERPROFILE%\AppData\Local\Temp\OnboardLogs" /stypes="app*4041*20170626*" /stext=" 15:.+((SYSTEM_STATE.+slice.+state.+changed )|(ment ac)|(multiple cpu faults)|(system.+state.+changed )|(\[timeout)|(PRM\|1\|D)|(kpr)|(kdp)|(train st.+moving)|(\|lc)|(penalty))"</v>
      </c>
      <c r="AG171" s="209" t="str">
        <f t="shared" si="77"/>
        <v>NW</v>
      </c>
      <c r="AH171" s="78" t="str">
        <f t="shared" si="78"/>
        <v>"%USERPROFILE%\Documents\GitHub\eaglep3\Utilities\RefineRTDCRunTimes.py" --tripid 814-26 --locoid 4041 --swversion DE.1.0.9.0 --startMP 300:58619 --initTime 2017-06-26T09:36:32 --startdatetime 2017-06-26T09:38:39 --delay 0 --endMP 204:680 --enddatetime 2017-06-26T09:54:43 --enforcementcount 0 &gt;&gt;C:\Users\stu\Documents\GitHub\eaglep3-reporting\EC\2017-06-26-refined-times.txt</v>
      </c>
      <c r="AI171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{"issue":{"subject":"","project_id":79,"tracker_id":40,"status_id":1,"priority_id":2,"assigned_to_id":23,"start_date":"2017-06-26","description":"","custom_fields":[{"id":1,"name":"Subdivision","value":"NW"},{"id":4,"name":"Milepost","value":"0.068"},{"id":17,"name":"Train ID","value":"814-26"},{"id":16,"name":"Locomotive ID","value":"4041"},{"id":130,"name":"Impact","value":""},{"id":150,"name":"Time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80"/>
        <v>start /low /b %USERPROFILE%\Documents\GitHub\eaglep3\Utilities\DownloadLogsFromS3.py --loco 4041 --day 2017-06-26</v>
      </c>
      <c r="AN171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740</v>
      </c>
      <c r="B172" s="7">
        <v>4042</v>
      </c>
      <c r="C172" s="21" t="s">
        <v>202</v>
      </c>
      <c r="D172" s="21" t="s">
        <v>1007</v>
      </c>
      <c r="E172" s="13">
        <v>42912.428449074076</v>
      </c>
      <c r="F172" s="13">
        <v>42912.431423611109</v>
      </c>
      <c r="G172" s="7">
        <v>1</v>
      </c>
      <c r="H172" s="21" t="s">
        <v>1008</v>
      </c>
      <c r="I172" s="13">
        <v>42912.440983796296</v>
      </c>
      <c r="J172" s="7">
        <v>0</v>
      </c>
      <c r="K172" s="89" t="str">
        <f t="shared" si="67"/>
        <v>4041/4042</v>
      </c>
      <c r="L172" s="21" t="str">
        <f>VLOOKUP(A172,'Trips&amp;Operators'!$C$1:$G$99999,5,FALSE)</f>
        <v>LOZA FIDEL</v>
      </c>
      <c r="M172" s="6">
        <f t="shared" si="68"/>
        <v>9.560185186273884E-3</v>
      </c>
      <c r="N172" s="7">
        <f t="shared" si="82"/>
        <v>13.766666668234393</v>
      </c>
      <c r="O172" s="7"/>
      <c r="P172" s="7"/>
      <c r="Q172" s="22"/>
      <c r="R172" s="170"/>
      <c r="S172" s="213">
        <f t="shared" si="69"/>
        <v>1</v>
      </c>
      <c r="T172" s="195" t="str">
        <f t="shared" si="7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1"/>
        <v>https://d0f6bd738d7f1b3e5a7ca70fe4ff75f0.us-east-1.aws.found.io/app/kibana#/discover/Steve-Slow-Train-Analysis-(2080s-and-2083s)?_g=(refreshInterval:(display:Off,pause:!f,section:0,value:0),time:(from:'2017-06-26T09:16:58-0600',mode:absolute,to:'2017-06-26T11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197" t="str">
        <f>IF(AA172&lt;VLOOKUP(AG172,Variables!$AC$3:$AD$8,2,FALSE),"Y","N")</f>
        <v>N</v>
      </c>
      <c r="X172" s="197">
        <f t="shared" si="84"/>
        <v>1</v>
      </c>
      <c r="Y172" s="197">
        <f t="shared" si="85"/>
        <v>9.7199999999999995E-2</v>
      </c>
      <c r="Z172" s="197">
        <f t="shared" si="86"/>
        <v>5.8945999999999996</v>
      </c>
      <c r="AA172" s="197">
        <f t="shared" si="73"/>
        <v>5.7973999999999997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74"/>
        <v>815</v>
      </c>
      <c r="AE172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72" s="74" t="str">
        <f t="shared" si="76"/>
        <v>"C:\Program Files (x86)\AstroGrep\AstroGrep.exe" /e /r /s /spath="%USERPROFILE%\AppData\Local\Temp\OnboardLogs" /stypes="app*4042*20170626*" /stext=" 16:.+((SYSTEM_STATE.+slice.+state.+changed )|(ment ac)|(multiple cpu faults)|(system.+state.+changed )|(\[timeout)|(PRM\|1\|D)|(kpr)|(kdp)|(train st.+moving)|(\|lc)|(penalty))"</v>
      </c>
      <c r="AG172" s="209" t="str">
        <f t="shared" si="77"/>
        <v>NW</v>
      </c>
      <c r="AH172" s="78" t="str">
        <f t="shared" si="78"/>
        <v>"%USERPROFILE%\Documents\GitHub\eaglep3\Utilities\RefineRTDCRunTimes.py" --tripid 815-26 --locoid 4042 --swversion DE.1.0.9.0 --startMP 204:972 --initTime 2017-06-26T10:16:58 --startdatetime 2017-06-26T10:21:15 --delay 1 --endMP 300:58946 --enddatetime 2017-06-26T10:35:01 --enforcementcount 0 &gt;&gt;C:\Users\stu\Documents\GitHub\eaglep3-reporting\EC\2017-06-26-refined-times.txt</v>
      </c>
      <c r="AI172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{"issue":{"subject":"","project_id":79,"tracker_id":40,"status_id":1,"priority_id":2,"assigned_to_id":23,"start_date":"2017-06-26","description":"","custom_fields":[{"id":1,"name":"Subdivision","value":"NW"},{"id":4,"name":"Milepost","value":"5.8946"},{"id":17,"name":"Train ID","value":"815-26"},{"id":16,"name":"Locomotive ID","value":"4042"},{"id":130,"name":"Impact","value":""},{"id":150,"name":"Time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80"/>
        <v>start /low /b %USERPROFILE%\Documents\GitHub\eaglep3\Utilities\DownloadLogsFromS3.py --loco 4042 --day 2017-06-26</v>
      </c>
      <c r="AN172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747</v>
      </c>
      <c r="B173" s="7">
        <v>4041</v>
      </c>
      <c r="C173" s="21" t="s">
        <v>202</v>
      </c>
      <c r="D173" s="21" t="s">
        <v>1004</v>
      </c>
      <c r="E173" s="13">
        <v>42912.442337962966</v>
      </c>
      <c r="F173" s="13">
        <v>42912.444166666668</v>
      </c>
      <c r="G173" s="7">
        <v>1</v>
      </c>
      <c r="H173" s="21" t="s">
        <v>542</v>
      </c>
      <c r="I173" s="13">
        <v>42912.454895833333</v>
      </c>
      <c r="J173" s="7">
        <v>0</v>
      </c>
      <c r="K173" s="89" t="str">
        <f t="shared" si="67"/>
        <v>4041/4042</v>
      </c>
      <c r="L173" s="21" t="str">
        <f>VLOOKUP(A173,'Trips&amp;Operators'!$C$1:$G$99999,5,FALSE)</f>
        <v>LOZA FIDEL</v>
      </c>
      <c r="M173" s="6">
        <f t="shared" si="68"/>
        <v>1.0729166664532386E-2</v>
      </c>
      <c r="N173" s="7">
        <f t="shared" si="82"/>
        <v>15.449999996926636</v>
      </c>
      <c r="O173" s="7"/>
      <c r="P173" s="7"/>
      <c r="Q173" s="22"/>
      <c r="R173" s="170"/>
      <c r="S173" s="213">
        <f t="shared" si="69"/>
        <v>1</v>
      </c>
      <c r="T173" s="195" t="str">
        <f t="shared" si="7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1"/>
        <v>https://d0f6bd738d7f1b3e5a7ca70fe4ff75f0.us-east-1.aws.found.io/app/kibana#/discover/Steve-Slow-Train-Analysis-(2080s-and-2083s)?_g=(refreshInterval:(display:Off,pause:!f,section:0,value:0),time:(from:'2017-06-26T09:36:58-0600',mode:absolute,to:'2017-06-26T11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197" t="str">
        <f>IF(AA173&lt;VLOOKUP(AG173,Variables!$AC$3:$AD$8,2,FALSE),"Y","N")</f>
        <v>N</v>
      </c>
      <c r="X173" s="197">
        <f t="shared" si="84"/>
        <v>1</v>
      </c>
      <c r="Y173" s="197">
        <f t="shared" si="85"/>
        <v>5.8640999999999996</v>
      </c>
      <c r="Z173" s="197">
        <f t="shared" si="86"/>
        <v>6.8699999999999997E-2</v>
      </c>
      <c r="AA173" s="197">
        <f t="shared" si="73"/>
        <v>5.7953999999999999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74"/>
        <v>816</v>
      </c>
      <c r="AE173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73" s="74" t="str">
        <f t="shared" si="76"/>
        <v>"C:\Program Files (x86)\AstroGrep\AstroGrep.exe" /e /r /s /spath="%USERPROFILE%\AppData\Local\Temp\OnboardLogs" /stypes="app*4041*20170626*" /stext=" 16:.+((SYSTEM_STATE.+slice.+state.+changed )|(ment ac)|(multiple cpu faults)|(system.+state.+changed )|(\[timeout)|(PRM\|1\|D)|(kpr)|(kdp)|(train st.+moving)|(\|lc)|(penalty))"</v>
      </c>
      <c r="AG173" s="209" t="str">
        <f t="shared" si="77"/>
        <v>NW</v>
      </c>
      <c r="AH173" s="78" t="str">
        <f t="shared" si="78"/>
        <v>"%USERPROFILE%\Documents\GitHub\eaglep3\Utilities\RefineRTDCRunTimes.py" --tripid 816-26 --locoid 4041 --swversion DE.1.0.9.0 --startMP 300:58641 --initTime 2017-06-26T10:36:58 --startdatetime 2017-06-26T10:39:36 --delay 1 --endMP 204:687 --enddatetime 2017-06-26T10:55:03 --enforcementcount 0 &gt;&gt;C:\Users\stu\Documents\GitHub\eaglep3-reporting\EC\2017-06-26-refined-times.txt</v>
      </c>
      <c r="AI173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{"issue":{"subject":"","project_id":79,"tracker_id":40,"status_id":1,"priority_id":2,"assigned_to_id":23,"start_date":"2017-06-26","description":"","custom_fields":[{"id":1,"name":"Subdivision","value":"NW"},{"id":4,"name":"Milepost","value":"0.0687"},{"id":17,"name":"Train ID","value":"816-26"},{"id":16,"name":"Locomotive ID","value":"4041"},{"id":130,"name":"Impact","value":""},{"id":150,"name":"Time of Event (Mountain Time)","value":"10:55:03"},{"id":151,"name":"Denver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80"/>
        <v>start /low /b %USERPROFILE%\Documents\GitHub\eaglep3\Utilities\DownloadLogsFromS3.py --loco 4041 --day 2017-06-26</v>
      </c>
      <c r="AN173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751</v>
      </c>
      <c r="B174" s="7">
        <v>4042</v>
      </c>
      <c r="C174" s="21" t="s">
        <v>202</v>
      </c>
      <c r="D174" s="21" t="s">
        <v>1005</v>
      </c>
      <c r="E174" s="13">
        <v>42912.45789351852</v>
      </c>
      <c r="F174" s="13">
        <v>42912.473078703704</v>
      </c>
      <c r="G174" s="7">
        <v>1</v>
      </c>
      <c r="H174" s="21" t="s">
        <v>1009</v>
      </c>
      <c r="I174" s="13">
        <v>42912.482349537036</v>
      </c>
      <c r="J174" s="7">
        <v>0</v>
      </c>
      <c r="K174" s="89" t="str">
        <f t="shared" si="67"/>
        <v>4041/4042</v>
      </c>
      <c r="L174" s="21" t="str">
        <f>VLOOKUP(A174,'Trips&amp;Operators'!$C$1:$G$99999,5,FALSE)</f>
        <v>LOZA FIDEL</v>
      </c>
      <c r="M174" s="6">
        <f t="shared" si="68"/>
        <v>9.2708333322661929E-3</v>
      </c>
      <c r="N174" s="7">
        <f t="shared" si="82"/>
        <v>13.349999998463318</v>
      </c>
      <c r="O174" s="7"/>
      <c r="P174" s="7"/>
      <c r="Q174" s="22"/>
      <c r="R174" s="170"/>
      <c r="S174" s="213">
        <f t="shared" si="69"/>
        <v>1</v>
      </c>
      <c r="T174" s="195" t="str">
        <f t="shared" si="7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1"/>
        <v>https://d0f6bd738d7f1b3e5a7ca70fe4ff75f0.us-east-1.aws.found.io/app/kibana#/discover/Steve-Slow-Train-Analysis-(2080s-and-2083s)?_g=(refreshInterval:(display:Off,pause:!f,section:0,value:0),time:(from:'2017-06-26T09:59:22-0600',mode:absolute,to:'2017-06-26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197" t="str">
        <f>IF(AA174&lt;VLOOKUP(AG174,Variables!$AC$3:$AD$8,2,FALSE),"Y","N")</f>
        <v>N</v>
      </c>
      <c r="X174" s="197">
        <f t="shared" si="84"/>
        <v>1</v>
      </c>
      <c r="Y174" s="197">
        <f t="shared" si="85"/>
        <v>9.69E-2</v>
      </c>
      <c r="Z174" s="197">
        <f t="shared" si="86"/>
        <v>5.8940999999999999</v>
      </c>
      <c r="AA174" s="197">
        <f t="shared" si="73"/>
        <v>5.7972000000000001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74"/>
        <v>817</v>
      </c>
      <c r="AE174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74" s="74" t="str">
        <f t="shared" si="76"/>
        <v>"C:\Program Files (x86)\AstroGrep\AstroGrep.exe" /e /r /s /spath="%USERPROFILE%\AppData\Local\Temp\OnboardLogs" /stypes="app*4042*20170626*" /stext=" 17:.+((SYSTEM_STATE.+slice.+state.+changed )|(ment ac)|(multiple cpu faults)|(system.+state.+changed )|(\[timeout)|(PRM\|1\|D)|(kpr)|(kdp)|(train st.+moving)|(\|lc)|(penalty))"</v>
      </c>
      <c r="AG174" s="209" t="str">
        <f t="shared" si="77"/>
        <v>NW</v>
      </c>
      <c r="AH174" s="78" t="str">
        <f t="shared" si="78"/>
        <v>"%USERPROFILE%\Documents\GitHub\eaglep3\Utilities\RefineRTDCRunTimes.py" --tripid 817-26 --locoid 4042 --swversion DE.1.0.9.0 --startMP 204:969 --initTime 2017-06-26T10:59:22 --startdatetime 2017-06-26T11:21:14 --delay 1 --endMP 300:58941 --enddatetime 2017-06-26T11:34:35 --enforcementcount 0 &gt;&gt;C:\Users\stu\Documents\GitHub\eaglep3-reporting\EC\2017-06-26-refined-times.txt</v>
      </c>
      <c r="AI174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{"issue":{"subject":"","project_id":79,"tracker_id":40,"status_id":1,"priority_id":2,"assigned_to_id":23,"start_date":"2017-06-26","description":"","custom_fields":[{"id":1,"name":"Subdivision","value":"NW"},{"id":4,"name":"Milepost","value":"5.8941"},{"id":17,"name":"Train ID","value":"817-26"},{"id":16,"name":"Locomotive ID","value":"4042"},{"id":130,"name":"Impact","value":""},{"id":150,"name":"Time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80"/>
        <v>start /low /b %USERPROFILE%\Documents\GitHub\eaglep3\Utilities\DownloadLogsFromS3.py --loco 4042 --day 2017-06-26</v>
      </c>
      <c r="AN174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756</v>
      </c>
      <c r="B175" s="7">
        <v>4041</v>
      </c>
      <c r="C175" s="21" t="s">
        <v>202</v>
      </c>
      <c r="D175" s="21" t="s">
        <v>595</v>
      </c>
      <c r="E175" s="13">
        <v>42912.483738425923</v>
      </c>
      <c r="F175" s="13">
        <v>42912.485578703701</v>
      </c>
      <c r="G175" s="7">
        <v>1</v>
      </c>
      <c r="H175" s="21" t="s">
        <v>1010</v>
      </c>
      <c r="I175" s="13">
        <v>42912.496354166666</v>
      </c>
      <c r="J175" s="7">
        <v>0</v>
      </c>
      <c r="K175" s="89" t="str">
        <f t="shared" si="67"/>
        <v>4041/4042</v>
      </c>
      <c r="L175" s="21" t="str">
        <f>VLOOKUP(A175,'Trips&amp;Operators'!$C$1:$G$99999,5,FALSE)</f>
        <v>LOZA FIDEL</v>
      </c>
      <c r="M175" s="6">
        <f t="shared" si="68"/>
        <v>1.0775462964375038E-2</v>
      </c>
      <c r="N175" s="7">
        <f t="shared" si="82"/>
        <v>15.516666668700054</v>
      </c>
      <c r="O175" s="7"/>
      <c r="P175" s="7"/>
      <c r="Q175" s="22"/>
      <c r="R175" s="170"/>
      <c r="S175" s="213">
        <f t="shared" si="69"/>
        <v>1</v>
      </c>
      <c r="T175" s="195" t="str">
        <f t="shared" si="7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1"/>
        <v>https://d0f6bd738d7f1b3e5a7ca70fe4ff75f0.us-east-1.aws.found.io/app/kibana#/discover/Steve-Slow-Train-Analysis-(2080s-and-2083s)?_g=(refreshInterval:(display:Off,pause:!f,section:0,value:0),time:(from:'2017-06-26T10:36:35-0600',mode:absolute,to:'2017-06-26T12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197" t="str">
        <f>IF(AA175&lt;VLOOKUP(AG175,Variables!$AC$3:$AD$8,2,FALSE),"Y","N")</f>
        <v>N</v>
      </c>
      <c r="X175" s="197">
        <f t="shared" si="84"/>
        <v>1</v>
      </c>
      <c r="Y175" s="197">
        <f t="shared" si="85"/>
        <v>5.8624000000000001</v>
      </c>
      <c r="Z175" s="197">
        <f t="shared" si="86"/>
        <v>6.7100000000000007E-2</v>
      </c>
      <c r="AA175" s="197">
        <f t="shared" si="73"/>
        <v>5.7953000000000001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74"/>
        <v>818</v>
      </c>
      <c r="AE175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75" s="74" t="str">
        <f t="shared" si="76"/>
        <v>"C:\Program Files (x86)\AstroGrep\AstroGrep.exe" /e /r /s /spath="%USERPROFILE%\AppData\Local\Temp\OnboardLogs" /stypes="app*4041*20170626*" /stext=" 17:.+((SYSTEM_STATE.+slice.+state.+changed )|(ment ac)|(multiple cpu faults)|(system.+state.+changed )|(\[timeout)|(PRM\|1\|D)|(kpr)|(kdp)|(train st.+moving)|(\|lc)|(penalty))"</v>
      </c>
      <c r="AG175" s="209" t="str">
        <f t="shared" si="77"/>
        <v>NW</v>
      </c>
      <c r="AH175" s="78" t="str">
        <f t="shared" si="78"/>
        <v>"%USERPROFILE%\Documents\GitHub\eaglep3\Utilities\RefineRTDCRunTimes.py" --tripid 818-26 --locoid 4041 --swversion DE.1.0.9.0 --startMP 300:58624 --initTime 2017-06-26T11:36:35 --startdatetime 2017-06-26T11:39:14 --delay 1 --endMP 204:671 --enddatetime 2017-06-26T11:54:45 --enforcementcount 0 &gt;&gt;C:\Users\stu\Documents\GitHub\eaglep3-reporting\EC\2017-06-26-refined-times.txt</v>
      </c>
      <c r="AI175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{"issue":{"subject":"","project_id":79,"tracker_id":40,"status_id":1,"priority_id":2,"assigned_to_id":23,"start_date":"2017-06-26","description":"","custom_fields":[{"id":1,"name":"Subdivision","value":"NW"},{"id":4,"name":"Milepost","value":"0.0671"},{"id":17,"name":"Train ID","value":"818-26"},{"id":16,"name":"Locomotive ID","value":"4041"},{"id":130,"name":"Impact","value":""},{"id":150,"name":"Time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80"/>
        <v>start /low /b %USERPROFILE%\Documents\GitHub\eaglep3\Utilities\DownloadLogsFromS3.py --loco 4041 --day 2017-06-26</v>
      </c>
      <c r="AN175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761</v>
      </c>
      <c r="B176" s="7">
        <v>4042</v>
      </c>
      <c r="C176" s="21" t="s">
        <v>202</v>
      </c>
      <c r="D176" s="21" t="s">
        <v>501</v>
      </c>
      <c r="E176" s="13">
        <v>42912.503368055557</v>
      </c>
      <c r="F176" s="13">
        <v>42912.514756944445</v>
      </c>
      <c r="G176" s="7">
        <v>1</v>
      </c>
      <c r="H176" s="21" t="s">
        <v>596</v>
      </c>
      <c r="I176" s="13">
        <v>42912.52412037037</v>
      </c>
      <c r="J176" s="7">
        <v>0</v>
      </c>
      <c r="K176" s="89" t="str">
        <f t="shared" si="67"/>
        <v>4041/4042</v>
      </c>
      <c r="L176" s="21" t="str">
        <f>VLOOKUP(A176,'Trips&amp;Operators'!$C$1:$G$99999,5,FALSE)</f>
        <v>LOZA FIDEL</v>
      </c>
      <c r="M176" s="6">
        <f t="shared" si="68"/>
        <v>9.3634259246755391E-3</v>
      </c>
      <c r="N176" s="7">
        <f t="shared" si="82"/>
        <v>13.483333331532776</v>
      </c>
      <c r="O176" s="7"/>
      <c r="P176" s="7"/>
      <c r="Q176" s="22"/>
      <c r="R176" s="170"/>
      <c r="S176" s="213">
        <f t="shared" si="69"/>
        <v>1</v>
      </c>
      <c r="T176" s="195" t="str">
        <f t="shared" si="7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1"/>
        <v>https://d0f6bd738d7f1b3e5a7ca70fe4ff75f0.us-east-1.aws.found.io/app/kibana#/discover/Steve-Slow-Train-Analysis-(2080s-and-2083s)?_g=(refreshInterval:(display:Off,pause:!f,section:0,value:0),time:(from:'2017-06-26T11:04:51-0600',mode:absolute,to:'2017-06-26T13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197" t="str">
        <f>IF(AA176&lt;VLOOKUP(AG176,Variables!$AC$3:$AD$8,2,FALSE),"Y","N")</f>
        <v>N</v>
      </c>
      <c r="X176" s="197">
        <f t="shared" si="84"/>
        <v>1</v>
      </c>
      <c r="Y176" s="197">
        <f t="shared" si="85"/>
        <v>9.74E-2</v>
      </c>
      <c r="Z176" s="197">
        <f t="shared" si="86"/>
        <v>5.8939000000000004</v>
      </c>
      <c r="AA176" s="197">
        <f t="shared" si="73"/>
        <v>5.7965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74"/>
        <v>819</v>
      </c>
      <c r="AE176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76" s="74" t="str">
        <f t="shared" si="76"/>
        <v>"C:\Program Files (x86)\AstroGrep\AstroGrep.exe" /e /r /s /spath="%USERPROFILE%\AppData\Local\Temp\OnboardLogs" /stypes="app*4042*20170626*" /stext=" 18:.+((SYSTEM_STATE.+slice.+state.+changed )|(ment ac)|(multiple cpu faults)|(system.+state.+changed )|(\[timeout)|(PRM\|1\|D)|(kpr)|(kdp)|(train st.+moving)|(\|lc)|(penalty))"</v>
      </c>
      <c r="AG176" s="209" t="str">
        <f t="shared" si="77"/>
        <v>NW</v>
      </c>
      <c r="AH176" s="78" t="str">
        <f t="shared" si="78"/>
        <v>"%USERPROFILE%\Documents\GitHub\eaglep3\Utilities\RefineRTDCRunTimes.py" --tripid 819-26 --locoid 4042 --swversion DE.1.0.9.0 --startMP 204:974 --initTime 2017-06-26T12:04:51 --startdatetime 2017-06-26T12:21:15 --delay 1 --endMP 300:58939 --enddatetime 2017-06-26T12:34:44 --enforcementcount 0 &gt;&gt;C:\Users\stu\Documents\GitHub\eaglep3-reporting\EC\2017-06-26-refined-times.txt</v>
      </c>
      <c r="AI176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{"issue":{"subject":"","project_id":79,"tracker_id":40,"status_id":1,"priority_id":2,"assigned_to_id":23,"start_date":"2017-06-26","description":"","custom_fields":[{"id":1,"name":"Subdivision","value":"NW"},{"id":4,"name":"Milepost","value":"5.8939"},{"id":17,"name":"Train ID","value":"819-26"},{"id":16,"name":"Locomotive ID","value":"4042"},{"id":130,"name":"Impact","value":""},{"id":150,"name":"Time of Event (Mountain Time)","value":"12:34:44"},{"id":151,"name":"Denver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80"/>
        <v>start /low /b %USERPROFILE%\Documents\GitHub\eaglep3\Utilities\DownloadLogsFromS3.py --loco 4042 --day 2017-06-26</v>
      </c>
      <c r="AN176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765</v>
      </c>
      <c r="B177" s="7">
        <v>4041</v>
      </c>
      <c r="C177" s="21" t="s">
        <v>202</v>
      </c>
      <c r="D177" s="21" t="s">
        <v>516</v>
      </c>
      <c r="E177" s="13">
        <v>42912.525312500002</v>
      </c>
      <c r="F177" s="13">
        <v>42912.526956018519</v>
      </c>
      <c r="G177" s="7">
        <v>1</v>
      </c>
      <c r="H177" s="21" t="s">
        <v>1011</v>
      </c>
      <c r="I177" s="13">
        <v>42912.537997685184</v>
      </c>
      <c r="J177" s="7">
        <v>0</v>
      </c>
      <c r="K177" s="89" t="str">
        <f t="shared" si="67"/>
        <v>4041/4042</v>
      </c>
      <c r="L177" s="21" t="str">
        <f>VLOOKUP(A177,'Trips&amp;Operators'!$C$1:$G$99999,5,FALSE)</f>
        <v>LOZA FIDEL</v>
      </c>
      <c r="M177" s="6">
        <f t="shared" si="68"/>
        <v>1.1041666664823424E-2</v>
      </c>
      <c r="N177" s="7">
        <f t="shared" ref="N177:N208" si="87">24*60*SUM($M177:$M177)</f>
        <v>15.899999997345731</v>
      </c>
      <c r="O177" s="7"/>
      <c r="P177" s="7"/>
      <c r="Q177" s="22"/>
      <c r="R177" s="170"/>
      <c r="S177" s="213">
        <f t="shared" si="69"/>
        <v>1</v>
      </c>
      <c r="T177" s="195" t="str">
        <f t="shared" si="7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1"/>
        <v>https://d0f6bd738d7f1b3e5a7ca70fe4ff75f0.us-east-1.aws.found.io/app/kibana#/discover/Steve-Slow-Train-Analysis-(2080s-and-2083s)?_g=(refreshInterval:(display:Off,pause:!f,section:0,value:0),time:(from:'2017-06-26T11:36:27-0600',mode:absolute,to:'2017-06-26T13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197" t="str">
        <f>IF(AA177&lt;VLOOKUP(AG177,Variables!$AC$3:$AD$8,2,FALSE),"Y","N")</f>
        <v>N</v>
      </c>
      <c r="X177" s="197">
        <f t="shared" si="84"/>
        <v>1</v>
      </c>
      <c r="Y177" s="197">
        <f t="shared" si="85"/>
        <v>5.8634000000000004</v>
      </c>
      <c r="Z177" s="197">
        <f t="shared" si="86"/>
        <v>6.8900000000000003E-2</v>
      </c>
      <c r="AA177" s="197">
        <f t="shared" si="73"/>
        <v>5.7945000000000002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74"/>
        <v>820</v>
      </c>
      <c r="AE177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77" s="74" t="str">
        <f t="shared" si="76"/>
        <v>"C:\Program Files (x86)\AstroGrep\AstroGrep.exe" /e /r /s /spath="%USERPROFILE%\AppData\Local\Temp\OnboardLogs" /stypes="app*4041*20170626*" /stext=" 18:.+((SYSTEM_STATE.+slice.+state.+changed )|(ment ac)|(multiple cpu faults)|(system.+state.+changed )|(\[timeout)|(PRM\|1\|D)|(kpr)|(kdp)|(train st.+moving)|(\|lc)|(penalty))"</v>
      </c>
      <c r="AG177" s="209" t="str">
        <f t="shared" si="77"/>
        <v>NW</v>
      </c>
      <c r="AH177" s="78" t="str">
        <f t="shared" si="78"/>
        <v>"%USERPROFILE%\Documents\GitHub\eaglep3\Utilities\RefineRTDCRunTimes.py" --tripid 820-26 --locoid 4041 --swversion DE.1.0.9.0 --startMP 300:58634 --initTime 2017-06-26T12:36:27 --startdatetime 2017-06-26T12:38:49 --delay 1 --endMP 204:689 --enddatetime 2017-06-26T12:54:43 --enforcementcount 0 &gt;&gt;C:\Users\stu\Documents\GitHub\eaglep3-reporting\EC\2017-06-26-refined-times.txt</v>
      </c>
      <c r="AI177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{"issue":{"subject":"","project_id":79,"tracker_id":40,"status_id":1,"priority_id":2,"assigned_to_id":23,"start_date":"2017-06-26","description":"","custom_fields":[{"id":1,"name":"Subdivision","value":"NW"},{"id":4,"name":"Milepost","value":"0.0689"},{"id":17,"name":"Train ID","value":"820-26"},{"id":16,"name":"Locomotive ID","value":"4041"},{"id":130,"name":"Impact","value":""},{"id":150,"name":"Time of Event (Mountain Time)","value":"12:54:43"},{"id":151,"name":"Denver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80"/>
        <v>start /low /b %USERPROFILE%\Documents\GitHub\eaglep3\Utilities\DownloadLogsFromS3.py --loco 4041 --day 2017-06-26</v>
      </c>
      <c r="AN177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18:54:43"},{"id":29,"name":"Sharepoint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637</v>
      </c>
      <c r="B178" s="7">
        <v>4042</v>
      </c>
      <c r="C178" s="21" t="s">
        <v>202</v>
      </c>
      <c r="D178" s="21" t="s">
        <v>1012</v>
      </c>
      <c r="E178" s="13">
        <v>42912.551793981482</v>
      </c>
      <c r="F178" s="13">
        <v>42912.556574074071</v>
      </c>
      <c r="G178" s="7">
        <v>2</v>
      </c>
      <c r="H178" s="21" t="s">
        <v>1013</v>
      </c>
      <c r="I178" s="13">
        <v>42912.566990740743</v>
      </c>
      <c r="J178" s="7">
        <v>0</v>
      </c>
      <c r="K178" s="89" t="str">
        <f t="shared" si="67"/>
        <v>4041/4042</v>
      </c>
      <c r="L178" s="21" t="str">
        <f>VLOOKUP(A178,'Trips&amp;Operators'!$C$1:$G$99999,5,FALSE)</f>
        <v>NELSON ARIANE</v>
      </c>
      <c r="M178" s="6">
        <f t="shared" si="68"/>
        <v>1.0416666671517305E-2</v>
      </c>
      <c r="N178" s="7">
        <f t="shared" si="87"/>
        <v>15.000000006984919</v>
      </c>
      <c r="O178" s="7"/>
      <c r="P178" s="7"/>
      <c r="Q178" s="22"/>
      <c r="R178" s="170"/>
      <c r="S178" s="213">
        <f t="shared" si="69"/>
        <v>1</v>
      </c>
      <c r="T178" s="195" t="str">
        <f t="shared" si="7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1"/>
        <v>https://d0f6bd738d7f1b3e5a7ca70fe4ff75f0.us-east-1.aws.found.io/app/kibana#/discover/Steve-Slow-Train-Analysis-(2080s-and-2083s)?_g=(refreshInterval:(display:Off,pause:!f,section:0,value:0),time:(from:'2017-06-26T12:14:35-0600',mode:absolute,to:'2017-06-26T14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197" t="str">
        <f>IF(AA178&lt;VLOOKUP(AG178,Variables!$AC$3:$AD$8,2,FALSE),"Y","N")</f>
        <v>N</v>
      </c>
      <c r="X178" s="197">
        <f t="shared" si="84"/>
        <v>1</v>
      </c>
      <c r="Y178" s="197">
        <f t="shared" si="85"/>
        <v>9.4799999999999995E-2</v>
      </c>
      <c r="Z178" s="197">
        <f t="shared" si="86"/>
        <v>5.8963000000000001</v>
      </c>
      <c r="AA178" s="197">
        <f t="shared" si="73"/>
        <v>5.8014999999999999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74"/>
        <v>821</v>
      </c>
      <c r="AE178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78" s="74" t="str">
        <f t="shared" si="76"/>
        <v>"C:\Program Files (x86)\AstroGrep\AstroGrep.exe" /e /r /s /spath="%USERPROFILE%\AppData\Local\Temp\OnboardLogs" /stypes="app*4042*20170626*" /stext=" 19:.+((SYSTEM_STATE.+slice.+state.+changed )|(ment ac)|(multiple cpu faults)|(system.+state.+changed )|(\[timeout)|(PRM\|1\|D)|(kpr)|(kdp)|(train st.+moving)|(\|lc)|(penalty))"</v>
      </c>
      <c r="AG178" s="209" t="str">
        <f t="shared" si="77"/>
        <v>NW</v>
      </c>
      <c r="AH178" s="78" t="str">
        <f t="shared" si="78"/>
        <v>"%USERPROFILE%\Documents\GitHub\eaglep3\Utilities\RefineRTDCRunTimes.py" --tripid 821-26 --locoid 4042 --swversion DE.1.0.9.0 --startMP 204:948 --initTime 2017-06-26T13:14:35 --startdatetime 2017-06-26T13:21:28 --delay 2 --endMP 300:58963 --enddatetime 2017-06-26T13:36:28 --enforcementcount 0 &gt;&gt;C:\Users\stu\Documents\GitHub\eaglep3-reporting\EC\2017-06-26-refined-times.txt</v>
      </c>
      <c r="AI178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{"issue":{"subject":"","project_id":79,"tracker_id":40,"status_id":1,"priority_id":2,"assigned_to_id":23,"start_date":"2017-06-26","description":"","custom_fields":[{"id":1,"name":"Subdivision","value":"NW"},{"id":4,"name":"Milepost","value":"5.8963"},{"id":17,"name":"Train ID","value":"821-26"},{"id":16,"name":"Locomotive ID","value":"4042"},{"id":130,"name":"Impact","value":""},{"id":150,"name":"Time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80"/>
        <v>start /low /b %USERPROFILE%\Documents\GitHub\eaglep3\Utilities\DownloadLogsFromS3.py --loco 4042 --day 2017-06-26</v>
      </c>
      <c r="AN178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776</v>
      </c>
      <c r="B179" s="7">
        <v>4041</v>
      </c>
      <c r="C179" s="21" t="s">
        <v>202</v>
      </c>
      <c r="D179" s="21" t="s">
        <v>1014</v>
      </c>
      <c r="E179" s="13">
        <v>42912.568055555559</v>
      </c>
      <c r="F179" s="13">
        <v>42912.569733796299</v>
      </c>
      <c r="G179" s="7">
        <v>2</v>
      </c>
      <c r="H179" s="21" t="s">
        <v>1015</v>
      </c>
      <c r="I179" s="13">
        <v>42912.580474537041</v>
      </c>
      <c r="J179" s="7">
        <v>0</v>
      </c>
      <c r="K179" s="89" t="str">
        <f t="shared" si="67"/>
        <v>4041/4042</v>
      </c>
      <c r="L179" s="21" t="str">
        <f>VLOOKUP(A179,'Trips&amp;Operators'!$C$1:$G$99999,5,FALSE)</f>
        <v>NELSON ARIANE</v>
      </c>
      <c r="M179" s="6">
        <f t="shared" si="68"/>
        <v>1.0740740741312038E-2</v>
      </c>
      <c r="N179" s="7">
        <f t="shared" si="87"/>
        <v>15.466666667489335</v>
      </c>
      <c r="O179" s="7"/>
      <c r="P179" s="7"/>
      <c r="Q179" s="22"/>
      <c r="R179" s="170"/>
      <c r="S179" s="213">
        <f t="shared" si="69"/>
        <v>1</v>
      </c>
      <c r="T179" s="195" t="str">
        <f t="shared" si="7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1"/>
        <v>https://d0f6bd738d7f1b3e5a7ca70fe4ff75f0.us-east-1.aws.found.io/app/kibana#/discover/Steve-Slow-Train-Analysis-(2080s-and-2083s)?_g=(refreshInterval:(display:Off,pause:!f,section:0,value:0),time:(from:'2017-06-26T12:38:00-0600',mode:absolute,to:'2017-06-26T14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197" t="str">
        <f>IF(AA179&lt;VLOOKUP(AG179,Variables!$AC$3:$AD$8,2,FALSE),"Y","N")</f>
        <v>N</v>
      </c>
      <c r="X179" s="197">
        <f t="shared" si="84"/>
        <v>1</v>
      </c>
      <c r="Y179" s="197">
        <f t="shared" si="85"/>
        <v>5.8623000000000003</v>
      </c>
      <c r="Z179" s="197">
        <f t="shared" si="86"/>
        <v>7.0800000000000002E-2</v>
      </c>
      <c r="AA179" s="197">
        <f t="shared" si="73"/>
        <v>5.7915000000000001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74"/>
        <v>822</v>
      </c>
      <c r="AE179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79" s="74" t="str">
        <f t="shared" si="76"/>
        <v>"C:\Program Files (x86)\AstroGrep\AstroGrep.exe" /e /r /s /spath="%USERPROFILE%\AppData\Local\Temp\OnboardLogs" /stypes="app*4041*20170626*" /stext=" 19:.+((SYSTEM_STATE.+slice.+state.+changed )|(ment ac)|(multiple cpu faults)|(system.+state.+changed )|(\[timeout)|(PRM\|1\|D)|(kpr)|(kdp)|(train st.+moving)|(\|lc)|(penalty))"</v>
      </c>
      <c r="AG179" s="209" t="str">
        <f t="shared" si="77"/>
        <v>NW</v>
      </c>
      <c r="AH179" s="78" t="str">
        <f t="shared" si="78"/>
        <v>"%USERPROFILE%\Documents\GitHub\eaglep3\Utilities\RefineRTDCRunTimes.py" --tripid 822-26 --locoid 4041 --swversion DE.1.0.9.0 --startMP 300:58623 --initTime 2017-06-26T13:38:00 --startdatetime 2017-06-26T13:40:25 --delay 2 --endMP 204:708 --enddatetime 2017-06-26T13:55:53 --enforcementcount 0 &gt;&gt;C:\Users\stu\Documents\GitHub\eaglep3-reporting\EC\2017-06-26-refined-times.txt</v>
      </c>
      <c r="AI179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{"issue":{"subject":"","project_id":79,"tracker_id":40,"status_id":1,"priority_id":2,"assigned_to_id":23,"start_date":"2017-06-26","description":"","custom_fields":[{"id":1,"name":"Subdivision","value":"NW"},{"id":4,"name":"Milepost","value":"0.0708"},{"id":17,"name":"Train ID","value":"822-26"},{"id":16,"name":"Locomotive ID","value":"4041"},{"id":130,"name":"Impact","value":""},{"id":150,"name":"Time of Event (Mountain Time)","value":"13:55:53"},{"id":151,"name":"Denver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80"/>
        <v>start /low /b %USERPROFILE%\Documents\GitHub\eaglep3\Utilities\DownloadLogsFromS3.py --loco 4041 --day 2017-06-26</v>
      </c>
      <c r="AN179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783</v>
      </c>
      <c r="B180" s="7">
        <v>4042</v>
      </c>
      <c r="C180" s="21" t="s">
        <v>202</v>
      </c>
      <c r="D180" s="21" t="s">
        <v>496</v>
      </c>
      <c r="E180" s="13">
        <v>42912.595625000002</v>
      </c>
      <c r="F180" s="13">
        <v>42912.599004629628</v>
      </c>
      <c r="G180" s="7">
        <v>2</v>
      </c>
      <c r="H180" s="21" t="s">
        <v>1016</v>
      </c>
      <c r="I180" s="13">
        <v>42912.608981481484</v>
      </c>
      <c r="J180" s="7">
        <v>0</v>
      </c>
      <c r="K180" s="89" t="str">
        <f t="shared" si="67"/>
        <v>4041/4042</v>
      </c>
      <c r="L180" s="21" t="str">
        <f>VLOOKUP(A180,'Trips&amp;Operators'!$C$1:$G$99999,5,FALSE)</f>
        <v>NELSON ARIANE</v>
      </c>
      <c r="M180" s="6">
        <f t="shared" si="68"/>
        <v>9.976851855753921E-3</v>
      </c>
      <c r="N180" s="7">
        <f t="shared" si="87"/>
        <v>14.366666672285646</v>
      </c>
      <c r="O180" s="7"/>
      <c r="P180" s="7"/>
      <c r="Q180" s="22"/>
      <c r="R180" s="170"/>
      <c r="S180" s="213">
        <f t="shared" si="69"/>
        <v>1</v>
      </c>
      <c r="T180" s="195" t="str">
        <f t="shared" si="7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1"/>
        <v>https://d0f6bd738d7f1b3e5a7ca70fe4ff75f0.us-east-1.aws.found.io/app/kibana#/discover/Steve-Slow-Train-Analysis-(2080s-and-2083s)?_g=(refreshInterval:(display:Off,pause:!f,section:0,value:0),time:(from:'2017-06-26T13:17:42-0600',mode:absolute,to:'2017-06-26T15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197" t="str">
        <f>IF(AA180&lt;VLOOKUP(AG180,Variables!$AC$3:$AD$8,2,FALSE),"Y","N")</f>
        <v>N</v>
      </c>
      <c r="X180" s="197">
        <f t="shared" si="84"/>
        <v>1</v>
      </c>
      <c r="Y180" s="197">
        <f t="shared" si="85"/>
        <v>9.7900000000000001E-2</v>
      </c>
      <c r="Z180" s="197">
        <f t="shared" si="86"/>
        <v>5.8959999999999999</v>
      </c>
      <c r="AA180" s="197">
        <f t="shared" si="73"/>
        <v>5.7980999999999998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74"/>
        <v>823</v>
      </c>
      <c r="AE180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80" s="74" t="str">
        <f t="shared" si="76"/>
        <v>"C:\Program Files (x86)\AstroGrep\AstroGrep.exe" /e /r /s /spath="%USERPROFILE%\AppData\Local\Temp\OnboardLogs" /stypes="app*4042*20170626*" /stext=" 20:.+((SYSTEM_STATE.+slice.+state.+changed )|(ment ac)|(multiple cpu faults)|(system.+state.+changed )|(\[timeout)|(PRM\|1\|D)|(kpr)|(kdp)|(train st.+moving)|(\|lc)|(penalty))"</v>
      </c>
      <c r="AG180" s="209" t="str">
        <f t="shared" si="77"/>
        <v>NW</v>
      </c>
      <c r="AH180" s="78" t="str">
        <f t="shared" si="78"/>
        <v>"%USERPROFILE%\Documents\GitHub\eaglep3\Utilities\RefineRTDCRunTimes.py" --tripid 823-26 --locoid 4042 --swversion DE.1.0.9.0 --startMP 204:979 --initTime 2017-06-26T14:17:42 --startdatetime 2017-06-26T14:22:34 --delay 2 --endMP 300:58960 --enddatetime 2017-06-26T14:36:56 --enforcementcount 0 &gt;&gt;C:\Users\stu\Documents\GitHub\eaglep3-reporting\EC\2017-06-26-refined-times.txt</v>
      </c>
      <c r="AI180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{"issue":{"subject":"","project_id":79,"tracker_id":40,"status_id":1,"priority_id":2,"assigned_to_id":23,"start_date":"2017-06-26","description":"","custom_fields":[{"id":1,"name":"Subdivision","value":"NW"},{"id":4,"name":"Milepost","value":"5.896"},{"id":17,"name":"Train ID","value":"823-26"},{"id":16,"name":"Locomotive ID","value":"4042"},{"id":130,"name":"Impact","value":""},{"id":150,"name":"Time of Event (Mountain Time)","value":"14:36:56"},{"id":151,"name":"Denver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80"/>
        <v>start /low /b %USERPROFILE%\Documents\GitHub\eaglep3\Utilities\DownloadLogsFromS3.py --loco 4042 --day 2017-06-26</v>
      </c>
      <c r="AN180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787</v>
      </c>
      <c r="B181" s="7">
        <v>4041</v>
      </c>
      <c r="C181" s="21" t="s">
        <v>202</v>
      </c>
      <c r="D181" s="21" t="s">
        <v>599</v>
      </c>
      <c r="E181" s="13">
        <v>42912.610636574071</v>
      </c>
      <c r="F181" s="13">
        <v>42912.612256944441</v>
      </c>
      <c r="G181" s="7">
        <v>1</v>
      </c>
      <c r="H181" s="21" t="s">
        <v>542</v>
      </c>
      <c r="I181" s="13">
        <v>42912.623368055552</v>
      </c>
      <c r="J181" s="7">
        <v>0</v>
      </c>
      <c r="K181" s="89" t="str">
        <f t="shared" si="67"/>
        <v>4041/4042</v>
      </c>
      <c r="L181" s="21" t="str">
        <f>VLOOKUP(A181,'Trips&amp;Operators'!$C$1:$G$99999,5,FALSE)</f>
        <v>NELSON ARIANE</v>
      </c>
      <c r="M181" s="6">
        <f t="shared" si="68"/>
        <v>1.1111111110949423E-2</v>
      </c>
      <c r="N181" s="7">
        <f t="shared" si="87"/>
        <v>15.999999999767169</v>
      </c>
      <c r="O181" s="7"/>
      <c r="P181" s="7"/>
      <c r="Q181" s="22"/>
      <c r="R181" s="170"/>
      <c r="S181" s="213">
        <f t="shared" si="69"/>
        <v>1</v>
      </c>
      <c r="T181" s="195" t="str">
        <f t="shared" si="7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1"/>
        <v>https://d0f6bd738d7f1b3e5a7ca70fe4ff75f0.us-east-1.aws.found.io/app/kibana#/discover/Steve-Slow-Train-Analysis-(2080s-and-2083s)?_g=(refreshInterval:(display:Off,pause:!f,section:0,value:0),time:(from:'2017-06-26T13:39:19-0600',mode:absolute,to:'2017-06-26T15:57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197" t="str">
        <f>IF(AA181&lt;VLOOKUP(AG181,Variables!$AC$3:$AD$8,2,FALSE),"Y","N")</f>
        <v>N</v>
      </c>
      <c r="X181" s="197">
        <f t="shared" si="84"/>
        <v>1</v>
      </c>
      <c r="Y181" s="197">
        <f t="shared" si="85"/>
        <v>5.8638000000000003</v>
      </c>
      <c r="Z181" s="197">
        <f t="shared" si="86"/>
        <v>6.8699999999999997E-2</v>
      </c>
      <c r="AA181" s="197">
        <f t="shared" si="73"/>
        <v>5.7951000000000006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74"/>
        <v>824</v>
      </c>
      <c r="AE181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81" s="74" t="str">
        <f t="shared" si="76"/>
        <v>"C:\Program Files (x86)\AstroGrep\AstroGrep.exe" /e /r /s /spath="%USERPROFILE%\AppData\Local\Temp\OnboardLogs" /stypes="app*4041*20170626*" /stext=" 20:.+((SYSTEM_STATE.+slice.+state.+changed )|(ment ac)|(multiple cpu faults)|(system.+state.+changed )|(\[timeout)|(PRM\|1\|D)|(kpr)|(kdp)|(train st.+moving)|(\|lc)|(penalty))"</v>
      </c>
      <c r="AG181" s="209" t="str">
        <f t="shared" si="77"/>
        <v>NW</v>
      </c>
      <c r="AH181" s="78" t="str">
        <f t="shared" si="78"/>
        <v>"%USERPROFILE%\Documents\GitHub\eaglep3\Utilities\RefineRTDCRunTimes.py" --tripid 824-26 --locoid 4041 --swversion DE.1.0.9.0 --startMP 300:58638 --initTime 2017-06-26T14:39:19 --startdatetime 2017-06-26T14:41:39 --delay 1 --endMP 204:687 --enddatetime 2017-06-26T14:57:39 --enforcementcount 0 &gt;&gt;C:\Users\stu\Documents\GitHub\eaglep3-reporting\EC\2017-06-26-refined-times.txt</v>
      </c>
      <c r="AI181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{"issue":{"subject":"","project_id":79,"tracker_id":40,"status_id":1,"priority_id":2,"assigned_to_id":23,"start_date":"2017-06-26","description":"","custom_fields":[{"id":1,"name":"Subdivision","value":"NW"},{"id":4,"name":"Milepost","value":"0.0687"},{"id":17,"name":"Train ID","value":"824-26"},{"id":16,"name":"Locomotive ID","value":"4041"},{"id":130,"name":"Impact","value":""},{"id":150,"name":"Time of Event (Mountain Time)","value":"14:57:39"},{"id":151,"name":"Denver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80"/>
        <v>start /low /b %USERPROFILE%\Documents\GitHub\eaglep3\Utilities\DownloadLogsFromS3.py --loco 4041 --day 2017-06-26</v>
      </c>
      <c r="AN181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20:57:39"},{"id":29,"name":"Sharepoint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793</v>
      </c>
      <c r="B182" s="7">
        <v>4042</v>
      </c>
      <c r="C182" s="21" t="s">
        <v>202</v>
      </c>
      <c r="D182" s="21" t="s">
        <v>598</v>
      </c>
      <c r="E182" s="13">
        <v>42912.638449074075</v>
      </c>
      <c r="F182" s="13">
        <v>42912.639999999999</v>
      </c>
      <c r="G182" s="7">
        <v>1</v>
      </c>
      <c r="H182" s="21" t="s">
        <v>1006</v>
      </c>
      <c r="I182" s="13">
        <v>42912.649976851855</v>
      </c>
      <c r="J182" s="7">
        <v>0</v>
      </c>
      <c r="K182" s="89" t="str">
        <f t="shared" si="67"/>
        <v>4041/4042</v>
      </c>
      <c r="L182" s="21" t="str">
        <f>VLOOKUP(A182,'Trips&amp;Operators'!$C$1:$G$99999,5,FALSE)</f>
        <v>NELSON ARIANE</v>
      </c>
      <c r="M182" s="6">
        <f t="shared" si="68"/>
        <v>9.976851855753921E-3</v>
      </c>
      <c r="N182" s="7">
        <f t="shared" si="87"/>
        <v>14.366666672285646</v>
      </c>
      <c r="O182" s="7"/>
      <c r="P182" s="7"/>
      <c r="Q182" s="22"/>
      <c r="R182" s="170"/>
      <c r="S182" s="213">
        <f t="shared" si="69"/>
        <v>1</v>
      </c>
      <c r="T182" s="195" t="str">
        <f t="shared" si="7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71"/>
        <v>https://d0f6bd738d7f1b3e5a7ca70fe4ff75f0.us-east-1.aws.found.io/app/kibana#/discover/Steve-Slow-Train-Analysis-(2080s-and-2083s)?_g=(refreshInterval:(display:Off,pause:!f,section:0,value:0),time:(from:'2017-06-26T14:19:22-0600',mode:absolute,to:'2017-06-26T16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2" s="197" t="str">
        <f>IF(AA182&lt;VLOOKUP(AG182,Variables!$AC$3:$AD$8,2,FALSE),"Y","N")</f>
        <v>N</v>
      </c>
      <c r="X182" s="197">
        <f t="shared" si="84"/>
        <v>1</v>
      </c>
      <c r="Y182" s="197">
        <f t="shared" si="85"/>
        <v>9.7799999999999998E-2</v>
      </c>
      <c r="Z182" s="197">
        <f t="shared" si="86"/>
        <v>5.8935000000000004</v>
      </c>
      <c r="AA182" s="197">
        <f t="shared" si="73"/>
        <v>5.7957000000000001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74"/>
        <v>825</v>
      </c>
      <c r="AE182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82" s="74" t="str">
        <f t="shared" si="76"/>
        <v>"C:\Program Files (x86)\AstroGrep\AstroGrep.exe" /e /r /s /spath="%USERPROFILE%\AppData\Local\Temp\OnboardLogs" /stypes="app*4042*20170626*" /stext=" 21:.+((SYSTEM_STATE.+slice.+state.+changed )|(ment ac)|(multiple cpu faults)|(system.+state.+changed )|(\[timeout)|(PRM\|1\|D)|(kpr)|(kdp)|(train st.+moving)|(\|lc)|(penalty))"</v>
      </c>
      <c r="AG182" s="209" t="str">
        <f t="shared" si="77"/>
        <v>NW</v>
      </c>
      <c r="AH182" s="78" t="str">
        <f t="shared" si="78"/>
        <v>"%USERPROFILE%\Documents\GitHub\eaglep3\Utilities\RefineRTDCRunTimes.py" --tripid 825-26 --locoid 4042 --swversion DE.1.0.9.0 --startMP 204:978 --initTime 2017-06-26T15:19:22 --startdatetime 2017-06-26T15:21:36 --delay 1 --endMP 300:58935 --enddatetime 2017-06-26T15:35:58 --enforcementcount 0 &gt;&gt;C:\Users\stu\Documents\GitHub\eaglep3-reporting\EC\2017-06-26-refined-times.txt</v>
      </c>
      <c r="AI182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{"issue":{"subject":"","project_id":79,"tracker_id":40,"status_id":1,"priority_id":2,"assigned_to_id":23,"start_date":"2017-06-26","description":"","custom_fields":[{"id":1,"name":"Subdivision","value":"NW"},{"id":4,"name":"Milepost","value":"5.8935"},{"id":17,"name":"Train ID","value":"825-26"},{"id":16,"name":"Locomotive ID","value":"4042"},{"id":130,"name":"Impact","value":""},{"id":150,"name":"Time of Event (Mountain Time)","value":"15:35:58"},{"id":151,"name":"Denver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80"/>
        <v>start /low /b %USERPROFILE%\Documents\GitHub\eaglep3\Utilities\DownloadLogsFromS3.py --loco 4042 --day 2017-06-26</v>
      </c>
      <c r="AN182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801</v>
      </c>
      <c r="B183" s="7">
        <v>4041</v>
      </c>
      <c r="C183" s="21" t="s">
        <v>202</v>
      </c>
      <c r="D183" s="21" t="s">
        <v>478</v>
      </c>
      <c r="E183" s="13">
        <v>42912.651597222219</v>
      </c>
      <c r="F183" s="13">
        <v>42912.653032407405</v>
      </c>
      <c r="G183" s="7">
        <v>1</v>
      </c>
      <c r="H183" s="21" t="s">
        <v>1017</v>
      </c>
      <c r="I183" s="13">
        <v>42912.664872685185</v>
      </c>
      <c r="J183" s="7">
        <v>0</v>
      </c>
      <c r="K183" s="89" t="str">
        <f t="shared" si="67"/>
        <v>4041/4042</v>
      </c>
      <c r="L183" s="21" t="str">
        <f>VLOOKUP(A183,'Trips&amp;Operators'!$C$1:$G$99999,5,FALSE)</f>
        <v>NELSON ARIANE</v>
      </c>
      <c r="M183" s="6">
        <f t="shared" si="68"/>
        <v>1.1840277780720498E-2</v>
      </c>
      <c r="N183" s="7">
        <f t="shared" si="87"/>
        <v>17.050000004237518</v>
      </c>
      <c r="O183" s="7"/>
      <c r="P183" s="7"/>
      <c r="Q183" s="22"/>
      <c r="R183" s="170"/>
      <c r="S183" s="213">
        <f t="shared" si="69"/>
        <v>1</v>
      </c>
      <c r="T183" s="195" t="str">
        <f t="shared" si="7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1"/>
        <v>https://d0f6bd738d7f1b3e5a7ca70fe4ff75f0.us-east-1.aws.found.io/app/kibana#/discover/Steve-Slow-Train-Analysis-(2080s-and-2083s)?_g=(refreshInterval:(display:Off,pause:!f,section:0,value:0),time:(from:'2017-06-26T14:38:18-0600',mode:absolute,to:'2017-06-26T16:57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3" s="197" t="str">
        <f>IF(AA183&lt;VLOOKUP(AG183,Variables!$AC$3:$AD$8,2,FALSE),"Y","N")</f>
        <v>N</v>
      </c>
      <c r="X183" s="197">
        <f t="shared" si="84"/>
        <v>1</v>
      </c>
      <c r="Y183" s="197">
        <f t="shared" si="85"/>
        <v>5.8619000000000003</v>
      </c>
      <c r="Z183" s="197">
        <f t="shared" si="86"/>
        <v>6.6799999999999998E-2</v>
      </c>
      <c r="AA183" s="197">
        <f t="shared" si="73"/>
        <v>5.7951000000000006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74"/>
        <v>826</v>
      </c>
      <c r="AE183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83" s="74" t="str">
        <f t="shared" si="76"/>
        <v>"C:\Program Files (x86)\AstroGrep\AstroGrep.exe" /e /r /s /spath="%USERPROFILE%\AppData\Local\Temp\OnboardLogs" /stypes="app*4041*20170626*" /stext=" 21:.+((SYSTEM_STATE.+slice.+state.+changed )|(ment ac)|(multiple cpu faults)|(system.+state.+changed )|(\[timeout)|(PRM\|1\|D)|(kpr)|(kdp)|(train st.+moving)|(\|lc)|(penalty))"</v>
      </c>
      <c r="AG183" s="209" t="str">
        <f t="shared" si="77"/>
        <v>NW</v>
      </c>
      <c r="AH183" s="78" t="str">
        <f t="shared" si="78"/>
        <v>"%USERPROFILE%\Documents\GitHub\eaglep3\Utilities\RefineRTDCRunTimes.py" --tripid 826-26 --locoid 4041 --swversion DE.1.0.9.0 --startMP 300:58619 --initTime 2017-06-26T15:38:18 --startdatetime 2017-06-26T15:40:22 --delay 1 --endMP 204:668 --enddatetime 2017-06-26T15:57:25 --enforcementcount 0 &gt;&gt;C:\Users\stu\Documents\GitHub\eaglep3-reporting\EC\2017-06-26-refined-times.txt</v>
      </c>
      <c r="AI183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{"issue":{"subject":"","project_id":79,"tracker_id":40,"status_id":1,"priority_id":2,"assigned_to_id":23,"start_date":"2017-06-26","description":"","custom_fields":[{"id":1,"name":"Subdivision","value":"NW"},{"id":4,"name":"Milepost","value":"0.0668"},{"id":17,"name":"Train ID","value":"826-26"},{"id":16,"name":"Locomotive ID","value":"4041"},{"id":130,"name":"Impact","value":""},{"id":150,"name":"Time of Event (Mountain Time)","value":"15:57:25"},{"id":151,"name":"Denver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80"/>
        <v>start /low /b %USERPROFILE%\Documents\GitHub\eaglep3\Utilities\DownloadLogsFromS3.py --loco 4041 --day 2017-06-26</v>
      </c>
      <c r="AN183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796</v>
      </c>
      <c r="B184" s="7">
        <v>4022</v>
      </c>
      <c r="C184" s="21" t="s">
        <v>202</v>
      </c>
      <c r="D184" s="21" t="s">
        <v>1018</v>
      </c>
      <c r="E184" s="13">
        <v>42912.645243055558</v>
      </c>
      <c r="F184" s="13">
        <v>42912.66134259259</v>
      </c>
      <c r="G184" s="7">
        <v>1</v>
      </c>
      <c r="H184" s="21" t="s">
        <v>1019</v>
      </c>
      <c r="I184" s="13">
        <v>42912.670717592591</v>
      </c>
      <c r="J184" s="7">
        <v>0</v>
      </c>
      <c r="K184" s="89" t="str">
        <f t="shared" si="67"/>
        <v>4021/4022</v>
      </c>
      <c r="L184" s="21" t="str">
        <f>VLOOKUP(A184,'Trips&amp;Operators'!$C$1:$G$99999,5,FALSE)</f>
        <v>NEWELL JAMES</v>
      </c>
      <c r="M184" s="6">
        <f t="shared" si="68"/>
        <v>9.3750000014551915E-3</v>
      </c>
      <c r="N184" s="7">
        <f t="shared" si="87"/>
        <v>13.500000002095476</v>
      </c>
      <c r="O184" s="7"/>
      <c r="P184" s="7"/>
      <c r="Q184" s="22"/>
      <c r="R184" s="170"/>
      <c r="S184" s="213">
        <f t="shared" si="69"/>
        <v>1</v>
      </c>
      <c r="T184" s="195" t="str">
        <f t="shared" si="7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1"/>
        <v>https://d0f6bd738d7f1b3e5a7ca70fe4ff75f0.us-east-1.aws.found.io/app/kibana#/discover/Steve-Slow-Train-Analysis-(2080s-and-2083s)?_g=(refreshInterval:(display:Off,pause:!f,section:0,value:0),time:(from:'2017-06-26T14:29:09-0600',mode:absolute,to:'2017-06-26T17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4" s="197" t="str">
        <f>IF(AA184&lt;VLOOKUP(AG184,Variables!$AC$3:$AD$8,2,FALSE),"Y","N")</f>
        <v>N</v>
      </c>
      <c r="X184" s="197">
        <f t="shared" si="84"/>
        <v>1</v>
      </c>
      <c r="Y184" s="197">
        <f t="shared" si="85"/>
        <v>9.1800000000000007E-2</v>
      </c>
      <c r="Z184" s="197">
        <f t="shared" si="86"/>
        <v>5.8933</v>
      </c>
      <c r="AA184" s="197">
        <f t="shared" si="73"/>
        <v>5.8014999999999999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74"/>
        <v>827</v>
      </c>
      <c r="AE184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84" s="74" t="str">
        <f t="shared" si="76"/>
        <v>"C:\Program Files (x86)\AstroGrep\AstroGrep.exe" /e /r /s /spath="%USERPROFILE%\AppData\Local\Temp\OnboardLogs" /stypes="app*4022*20170626*" /stext=" 22:.+((SYSTEM_STATE.+slice.+state.+changed )|(ment ac)|(multiple cpu faults)|(system.+state.+changed )|(\[timeout)|(PRM\|1\|D)|(kpr)|(kdp)|(train st.+moving)|(\|lc)|(penalty))"</v>
      </c>
      <c r="AG184" s="209" t="str">
        <f t="shared" si="77"/>
        <v>NW</v>
      </c>
      <c r="AH184" s="78" t="str">
        <f t="shared" si="78"/>
        <v>"%USERPROFILE%\Documents\GitHub\eaglep3\Utilities\RefineRTDCRunTimes.py" --tripid 827-26 --locoid 4022 --swversion DE.1.0.9.0 --startMP 204:918 --initTime 2017-06-26T15:29:09 --startdatetime 2017-06-26T15:52:20 --delay 1 --endMP 300:58933 --enddatetime 2017-06-26T16:05:50 --enforcementcount 0 &gt;&gt;C:\Users\stu\Documents\GitHub\eaglep3-reporting\EC\2017-06-26-refined-times.txt</v>
      </c>
      <c r="AI184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{"issue":{"subject":"","project_id":79,"tracker_id":40,"status_id":1,"priority_id":2,"assigned_to_id":23,"start_date":"2017-06-26","description":"","custom_fields":[{"id":1,"name":"Subdivision","value":"NW"},{"id":4,"name":"Milepost","value":"5.8933"},{"id":17,"name":"Train ID","value":"827-26"},{"id":16,"name":"Locomotive ID","value":"4022"},{"id":130,"name":"Impact","value":""},{"id":150,"name":"Time of Event (Mountain Time)","value":"16:05:50"},{"id":151,"name":"Denver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80"/>
        <v>start /low /b %USERPROFILE%\Documents\GitHub\eaglep3\Utilities\DownloadLogsFromS3.py --loco 4022 --day 2017-06-26</v>
      </c>
      <c r="AN184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805</v>
      </c>
      <c r="B185" s="7">
        <v>4021</v>
      </c>
      <c r="C185" s="21" t="s">
        <v>202</v>
      </c>
      <c r="D185" s="21" t="s">
        <v>1014</v>
      </c>
      <c r="E185" s="13">
        <v>42912.671539351853</v>
      </c>
      <c r="F185" s="13">
        <v>42912.672835648147</v>
      </c>
      <c r="G185" s="7">
        <v>1</v>
      </c>
      <c r="H185" s="21" t="s">
        <v>542</v>
      </c>
      <c r="I185" s="13">
        <v>42912.684074074074</v>
      </c>
      <c r="J185" s="7">
        <v>0</v>
      </c>
      <c r="K185" s="89" t="str">
        <f t="shared" si="67"/>
        <v>4021/4022</v>
      </c>
      <c r="L185" s="21" t="str">
        <f>VLOOKUP(A185,'Trips&amp;Operators'!$C$1:$G$99999,5,FALSE)</f>
        <v>NEWELL JAMES</v>
      </c>
      <c r="M185" s="6">
        <f t="shared" si="68"/>
        <v>1.1238425926421769E-2</v>
      </c>
      <c r="N185" s="7">
        <f t="shared" si="87"/>
        <v>16.183333334047347</v>
      </c>
      <c r="O185" s="7"/>
      <c r="P185" s="7"/>
      <c r="Q185" s="22"/>
      <c r="R185" s="170"/>
      <c r="S185" s="213">
        <f t="shared" si="69"/>
        <v>1</v>
      </c>
      <c r="T185" s="195" t="str">
        <f t="shared" si="7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1"/>
        <v>https://d0f6bd738d7f1b3e5a7ca70fe4ff75f0.us-east-1.aws.found.io/app/kibana#/discover/Steve-Slow-Train-Analysis-(2080s-and-2083s)?_g=(refreshInterval:(display:Off,pause:!f,section:0,value:0),time:(from:'2017-06-26T15:07:01-0600',mode:absolute,to:'2017-06-26T17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5" s="197" t="str">
        <f>IF(AA185&lt;VLOOKUP(AG185,Variables!$AC$3:$AD$8,2,FALSE),"Y","N")</f>
        <v>N</v>
      </c>
      <c r="X185" s="197">
        <f t="shared" si="84"/>
        <v>1</v>
      </c>
      <c r="Y185" s="197">
        <f t="shared" si="85"/>
        <v>5.8623000000000003</v>
      </c>
      <c r="Z185" s="197">
        <f t="shared" si="86"/>
        <v>6.8699999999999997E-2</v>
      </c>
      <c r="AA185" s="197">
        <f t="shared" si="73"/>
        <v>5.7936000000000005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74"/>
        <v>828</v>
      </c>
      <c r="AE185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85" s="74" t="str">
        <f t="shared" si="76"/>
        <v>"C:\Program Files (x86)\AstroGrep\AstroGrep.exe" /e /r /s /spath="%USERPROFILE%\AppData\Local\Temp\OnboardLogs" /stypes="app*4021*20170626*" /stext=" 22:.+((SYSTEM_STATE.+slice.+state.+changed )|(ment ac)|(multiple cpu faults)|(system.+state.+changed )|(\[timeout)|(PRM\|1\|D)|(kpr)|(kdp)|(train st.+moving)|(\|lc)|(penalty))"</v>
      </c>
      <c r="AG185" s="209" t="str">
        <f t="shared" si="77"/>
        <v>NW</v>
      </c>
      <c r="AH185" s="78" t="str">
        <f t="shared" si="78"/>
        <v>"%USERPROFILE%\Documents\GitHub\eaglep3\Utilities\RefineRTDCRunTimes.py" --tripid 828-26 --locoid 4021 --swversion DE.1.0.9.0 --startMP 300:58623 --initTime 2017-06-26T16:07:01 --startdatetime 2017-06-26T16:08:53 --delay 1 --endMP 204:687 --enddatetime 2017-06-26T16:25:04 --enforcementcount 0 &gt;&gt;C:\Users\stu\Documents\GitHub\eaglep3-reporting\EC\2017-06-26-refined-times.txt</v>
      </c>
      <c r="AI185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{"issue":{"subject":"","project_id":79,"tracker_id":40,"status_id":1,"priority_id":2,"assigned_to_id":23,"start_date":"2017-06-26","description":"","custom_fields":[{"id":1,"name":"Subdivision","value":"NW"},{"id":4,"name":"Milepost","value":"0.0687"},{"id":17,"name":"Train ID","value":"828-26"},{"id":16,"name":"Locomotive ID","value":"4021"},{"id":130,"name":"Impact","value":""},{"id":150,"name":"Time of Event (Mountain Time)","value":"16:25:04"},{"id":151,"name":"Denver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80"/>
        <v>start /low /b %USERPROFILE%\Documents\GitHub\eaglep3\Utilities\DownloadLogsFromS3.py --loco 4021 --day 2017-06-26</v>
      </c>
      <c r="AN185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807</v>
      </c>
      <c r="B186" s="7">
        <v>4042</v>
      </c>
      <c r="C186" s="21" t="s">
        <v>202</v>
      </c>
      <c r="D186" s="21" t="s">
        <v>1007</v>
      </c>
      <c r="E186" s="13">
        <v>42912.678912037038</v>
      </c>
      <c r="F186" s="13">
        <v>42912.681597222225</v>
      </c>
      <c r="G186" s="7">
        <v>2</v>
      </c>
      <c r="H186" s="21" t="s">
        <v>1013</v>
      </c>
      <c r="I186" s="13">
        <v>42912.69189814815</v>
      </c>
      <c r="J186" s="7">
        <v>0</v>
      </c>
      <c r="K186" s="89" t="str">
        <f t="shared" si="67"/>
        <v>4041/4042</v>
      </c>
      <c r="L186" s="21" t="str">
        <f>VLOOKUP(A186,'Trips&amp;Operators'!$C$1:$G$99999,5,FALSE)</f>
        <v>NELSON ARIANE</v>
      </c>
      <c r="M186" s="6">
        <f t="shared" si="68"/>
        <v>1.0300925925548654E-2</v>
      </c>
      <c r="N186" s="7">
        <f t="shared" si="87"/>
        <v>14.833333332790062</v>
      </c>
      <c r="O186" s="7"/>
      <c r="P186" s="7"/>
      <c r="Q186" s="22"/>
      <c r="R186" s="170"/>
      <c r="S186" s="213">
        <f t="shared" si="69"/>
        <v>1</v>
      </c>
      <c r="T186" s="195" t="str">
        <f t="shared" si="7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1"/>
        <v>https://d0f6bd738d7f1b3e5a7ca70fe4ff75f0.us-east-1.aws.found.io/app/kibana#/discover/Steve-Slow-Train-Analysis-(2080s-and-2083s)?_g=(refreshInterval:(display:Off,pause:!f,section:0,value:0),time:(from:'2017-06-26T15:17:38-0600',mode:absolute,to:'2017-06-26T17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197" t="str">
        <f>IF(AA186&lt;VLOOKUP(AG186,Variables!$AC$3:$AD$8,2,FALSE),"Y","N")</f>
        <v>N</v>
      </c>
      <c r="X186" s="197">
        <f t="shared" si="84"/>
        <v>1</v>
      </c>
      <c r="Y186" s="197">
        <f t="shared" si="85"/>
        <v>9.7199999999999995E-2</v>
      </c>
      <c r="Z186" s="197">
        <f t="shared" si="86"/>
        <v>5.8963000000000001</v>
      </c>
      <c r="AA186" s="197">
        <f t="shared" si="73"/>
        <v>5.7991000000000001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74"/>
        <v>829</v>
      </c>
      <c r="AE186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86" s="74" t="str">
        <f t="shared" si="76"/>
        <v>"C:\Program Files (x86)\AstroGrep\AstroGrep.exe" /e /r /s /spath="%USERPROFILE%\AppData\Local\Temp\OnboardLogs" /stypes="app*4042*20170626*" /stext=" 22:.+((SYSTEM_STATE.+slice.+state.+changed )|(ment ac)|(multiple cpu faults)|(system.+state.+changed )|(\[timeout)|(PRM\|1\|D)|(kpr)|(kdp)|(train st.+moving)|(\|lc)|(penalty))"</v>
      </c>
      <c r="AG186" s="209" t="str">
        <f t="shared" si="77"/>
        <v>NW</v>
      </c>
      <c r="AH186" s="78" t="str">
        <f t="shared" si="78"/>
        <v>"%USERPROFILE%\Documents\GitHub\eaglep3\Utilities\RefineRTDCRunTimes.py" --tripid 829-26 --locoid 4042 --swversion DE.1.0.9.0 --startMP 204:972 --initTime 2017-06-26T16:17:38 --startdatetime 2017-06-26T16:21:30 --delay 2 --endMP 300:58963 --enddatetime 2017-06-26T16:36:20 --enforcementcount 0 &gt;&gt;C:\Users\stu\Documents\GitHub\eaglep3-reporting\EC\2017-06-26-refined-times.txt</v>
      </c>
      <c r="AI186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{"issue":{"subject":"","project_id":79,"tracker_id":40,"status_id":1,"priority_id":2,"assigned_to_id":23,"start_date":"2017-06-26","description":"","custom_fields":[{"id":1,"name":"Subdivision","value":"NW"},{"id":4,"name":"Milepost","value":"5.8963"},{"id":17,"name":"Train ID","value":"829-26"},{"id":16,"name":"Locomotive ID","value":"4042"},{"id":130,"name":"Impact","value":""},{"id":150,"name":"Time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80"/>
        <v>start /low /b %USERPROFILE%\Documents\GitHub\eaglep3\Utilities\DownloadLogsFromS3.py --loco 4042 --day 2017-06-26</v>
      </c>
      <c r="AN186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810</v>
      </c>
      <c r="B187" s="7">
        <v>4041</v>
      </c>
      <c r="C187" s="21" t="s">
        <v>202</v>
      </c>
      <c r="D187" s="21" t="s">
        <v>1020</v>
      </c>
      <c r="E187" s="13">
        <v>42912.693495370368</v>
      </c>
      <c r="F187" s="13">
        <v>42912.69568287037</v>
      </c>
      <c r="G187" s="7">
        <v>2</v>
      </c>
      <c r="H187" s="21" t="s">
        <v>995</v>
      </c>
      <c r="I187" s="13">
        <v>42912.706250000003</v>
      </c>
      <c r="J187" s="7">
        <v>0</v>
      </c>
      <c r="K187" s="89" t="str">
        <f t="shared" si="67"/>
        <v>4041/4042</v>
      </c>
      <c r="L187" s="21" t="str">
        <f>VLOOKUP(A187,'Trips&amp;Operators'!$C$1:$G$99999,5,FALSE)</f>
        <v>NELSON ARIANE</v>
      </c>
      <c r="M187" s="6">
        <f t="shared" si="68"/>
        <v>1.0567129633272998E-2</v>
      </c>
      <c r="N187" s="7">
        <f t="shared" si="87"/>
        <v>15.216666671913117</v>
      </c>
      <c r="O187" s="7"/>
      <c r="P187" s="7"/>
      <c r="Q187" s="22"/>
      <c r="R187" s="170"/>
      <c r="S187" s="213">
        <f t="shared" si="69"/>
        <v>1</v>
      </c>
      <c r="T187" s="195" t="str">
        <f t="shared" si="7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1"/>
        <v>https://d0f6bd738d7f1b3e5a7ca70fe4ff75f0.us-east-1.aws.found.io/app/kibana#/discover/Steve-Slow-Train-Analysis-(2080s-and-2083s)?_g=(refreshInterval:(display:Off,pause:!f,section:0,value:0),time:(from:'2017-06-26T15:38:38-0600',mode:absolute,to:'2017-06-26T17:57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197" t="str">
        <f>IF(AA187&lt;VLOOKUP(AG187,Variables!$AC$3:$AD$8,2,FALSE),"Y","N")</f>
        <v>N</v>
      </c>
      <c r="X187" s="197">
        <f t="shared" ref="X187:X193" si="88">VALUE(LEFT(AD187,4))-VALUE(LEFT(AD186,4))</f>
        <v>1</v>
      </c>
      <c r="Y187" s="197">
        <f t="shared" si="85"/>
        <v>5.8643000000000001</v>
      </c>
      <c r="Z187" s="197">
        <f t="shared" si="86"/>
        <v>6.8199999999999997E-2</v>
      </c>
      <c r="AA187" s="197">
        <f t="shared" si="73"/>
        <v>5.7961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74"/>
        <v>830</v>
      </c>
      <c r="AE187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87" s="74" t="str">
        <f t="shared" si="76"/>
        <v>"C:\Program Files (x86)\AstroGrep\AstroGrep.exe" /e /r /s /spath="%USERPROFILE%\AppData\Local\Temp\OnboardLogs" /stypes="app*4041*20170626*" /stext=" 22:.+((SYSTEM_STATE.+slice.+state.+changed )|(ment ac)|(multiple cpu faults)|(system.+state.+changed )|(\[timeout)|(PRM\|1\|D)|(kpr)|(kdp)|(train st.+moving)|(\|lc)|(penalty))"</v>
      </c>
      <c r="AG187" s="209" t="str">
        <f t="shared" si="77"/>
        <v>NW</v>
      </c>
      <c r="AH187" s="78" t="str">
        <f t="shared" si="78"/>
        <v>"%USERPROFILE%\Documents\GitHub\eaglep3\Utilities\RefineRTDCRunTimes.py" --tripid 830-26 --locoid 4041 --swversion DE.1.0.9.0 --startMP 300:58643 --initTime 2017-06-26T16:38:38 --startdatetime 2017-06-26T16:41:47 --delay 2 --endMP 204:682 --enddatetime 2017-06-26T16:57:00 --enforcementcount 0 &gt;&gt;C:\Users\stu\Documents\GitHub\eaglep3-reporting\EC\2017-06-26-refined-times.txt</v>
      </c>
      <c r="AI187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{"issue":{"subject":"","project_id":79,"tracker_id":40,"status_id":1,"priority_id":2,"assigned_to_id":23,"start_date":"2017-06-26","description":"","custom_fields":[{"id":1,"name":"Subdivision","value":"NW"},{"id":4,"name":"Milepost","value":"0.0682"},{"id":17,"name":"Train ID","value":"830-26"},{"id":16,"name":"Locomotive ID","value":"4041"},{"id":130,"name":"Impact","value":""},{"id":150,"name":"Time of Event (Mountain Time)","value":"16:57:00"},{"id":151,"name":"Denver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80"/>
        <v>start /low /b %USERPROFILE%\Documents\GitHub\eaglep3\Utilities\DownloadLogsFromS3.py --loco 4041 --day 2017-06-26</v>
      </c>
      <c r="AN187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22:57:00"},{"id":29,"name":"Sharepoint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809</v>
      </c>
      <c r="B188" s="7">
        <v>4022</v>
      </c>
      <c r="C188" s="21" t="s">
        <v>202</v>
      </c>
      <c r="D188" s="21" t="s">
        <v>1021</v>
      </c>
      <c r="E188" s="13">
        <v>42912.693483796298</v>
      </c>
      <c r="F188" s="13">
        <v>42912.702476851853</v>
      </c>
      <c r="G188" s="7">
        <v>1</v>
      </c>
      <c r="H188" s="21" t="s">
        <v>1022</v>
      </c>
      <c r="I188" s="13">
        <v>42912.711851851855</v>
      </c>
      <c r="J188" s="7">
        <v>0</v>
      </c>
      <c r="K188" s="89" t="str">
        <f t="shared" si="67"/>
        <v>4021/4022</v>
      </c>
      <c r="L188" s="21" t="str">
        <f>VLOOKUP(A188,'Trips&amp;Operators'!$C$1:$G$99999,5,FALSE)</f>
        <v>NEWELL JAMES</v>
      </c>
      <c r="M188" s="6">
        <f t="shared" si="68"/>
        <v>9.3750000014551915E-3</v>
      </c>
      <c r="N188" s="7">
        <f t="shared" si="87"/>
        <v>13.500000002095476</v>
      </c>
      <c r="O188" s="7"/>
      <c r="P188" s="7"/>
      <c r="Q188" s="22"/>
      <c r="R188" s="170"/>
      <c r="S188" s="213">
        <f t="shared" si="69"/>
        <v>1</v>
      </c>
      <c r="T188" s="195" t="str">
        <f t="shared" si="7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1"/>
        <v>https://d0f6bd738d7f1b3e5a7ca70fe4ff75f0.us-east-1.aws.found.io/app/kibana#/discover/Steve-Slow-Train-Analysis-(2080s-and-2083s)?_g=(refreshInterval:(display:Off,pause:!f,section:0,value:0),time:(from:'2017-06-26T15:38:37-0600',mode:absolute,to:'2017-06-26T18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8" s="197" t="str">
        <f>IF(AA188&lt;VLOOKUP(AG188,Variables!$AC$3:$AD$8,2,FALSE),"Y","N")</f>
        <v>N</v>
      </c>
      <c r="X188" s="197">
        <f t="shared" si="88"/>
        <v>1</v>
      </c>
      <c r="Y188" s="197">
        <f t="shared" si="85"/>
        <v>9.6500000000000002E-2</v>
      </c>
      <c r="Z188" s="197">
        <f t="shared" si="86"/>
        <v>5.8929</v>
      </c>
      <c r="AA188" s="197">
        <f t="shared" si="73"/>
        <v>5.7964000000000002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74"/>
        <v>831</v>
      </c>
      <c r="AE188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88" s="74" t="str">
        <f t="shared" si="76"/>
        <v>"C:\Program Files (x86)\AstroGrep\AstroGrep.exe" /e /r /s /spath="%USERPROFILE%\AppData\Local\Temp\OnboardLogs" /stypes="app*4022*20170626*" /stext=" 23:.+((SYSTEM_STATE.+slice.+state.+changed )|(ment ac)|(multiple cpu faults)|(system.+state.+changed )|(\[timeout)|(PRM\|1\|D)|(kpr)|(kdp)|(train st.+moving)|(\|lc)|(penalty))"</v>
      </c>
      <c r="AG188" s="209" t="str">
        <f t="shared" si="77"/>
        <v>NW</v>
      </c>
      <c r="AH188" s="78" t="str">
        <f t="shared" si="78"/>
        <v>"%USERPROFILE%\Documents\GitHub\eaglep3\Utilities\RefineRTDCRunTimes.py" --tripid 831-26 --locoid 4022 --swversion DE.1.0.9.0 --startMP 204:965 --initTime 2017-06-26T16:38:37 --startdatetime 2017-06-26T16:51:34 --delay 1 --endMP 300:58929 --enddatetime 2017-06-26T17:05:04 --enforcementcount 0 &gt;&gt;C:\Users\stu\Documents\GitHub\eaglep3-reporting\EC\2017-06-26-refined-times.txt</v>
      </c>
      <c r="AI188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{"issue":{"subject":"","project_id":79,"tracker_id":40,"status_id":1,"priority_id":2,"assigned_to_id":23,"start_date":"2017-06-26","description":"","custom_fields":[{"id":1,"name":"Subdivision","value":"NW"},{"id":4,"name":"Milepost","value":"5.8929"},{"id":17,"name":"Train ID","value":"831-26"},{"id":16,"name":"Locomotive ID","value":"4022"},{"id":130,"name":"Impact","value":""},{"id":150,"name":"Time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80"/>
        <v>start /low /b %USERPROFILE%\Documents\GitHub\eaglep3\Utilities\DownloadLogsFromS3.py --loco 4022 --day 2017-06-26</v>
      </c>
      <c r="AN188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815</v>
      </c>
      <c r="B189" s="7">
        <v>4021</v>
      </c>
      <c r="C189" s="21" t="s">
        <v>202</v>
      </c>
      <c r="D189" s="21" t="s">
        <v>996</v>
      </c>
      <c r="E189" s="13">
        <v>42912.71303240741</v>
      </c>
      <c r="F189" s="13">
        <v>42912.716099537036</v>
      </c>
      <c r="G189" s="7">
        <v>2</v>
      </c>
      <c r="H189" s="21" t="s">
        <v>1000</v>
      </c>
      <c r="I189" s="13">
        <v>42912.725775462961</v>
      </c>
      <c r="J189" s="7">
        <v>0</v>
      </c>
      <c r="K189" s="89" t="str">
        <f t="shared" si="67"/>
        <v>4021/4022</v>
      </c>
      <c r="L189" s="21" t="str">
        <f>VLOOKUP(A189,'Trips&amp;Operators'!$C$1:$G$99999,5,FALSE)</f>
        <v>STAMBAUGH JAMES</v>
      </c>
      <c r="M189" s="6">
        <f t="shared" si="68"/>
        <v>9.6759259249665774E-3</v>
      </c>
      <c r="N189" s="7">
        <f t="shared" si="87"/>
        <v>13.933333331951872</v>
      </c>
      <c r="O189" s="7"/>
      <c r="P189" s="7"/>
      <c r="Q189" s="22"/>
      <c r="R189" s="170"/>
      <c r="S189" s="213">
        <f t="shared" si="69"/>
        <v>1</v>
      </c>
      <c r="T189" s="195" t="str">
        <f t="shared" si="7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1"/>
        <v>https://d0f6bd738d7f1b3e5a7ca70fe4ff75f0.us-east-1.aws.found.io/app/kibana#/discover/Steve-Slow-Train-Analysis-(2080s-and-2083s)?_g=(refreshInterval:(display:Off,pause:!f,section:0,value:0),time:(from:'2017-06-26T16:06:46-0600',mode:absolute,to:'2017-06-26T18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9" s="197" t="str">
        <f>IF(AA189&lt;VLOOKUP(AG189,Variables!$AC$3:$AD$8,2,FALSE),"Y","N")</f>
        <v>N</v>
      </c>
      <c r="X189" s="197">
        <f t="shared" si="88"/>
        <v>1</v>
      </c>
      <c r="Y189" s="197">
        <f t="shared" si="85"/>
        <v>5.8620999999999999</v>
      </c>
      <c r="Z189" s="197">
        <f t="shared" si="86"/>
        <v>6.7000000000000004E-2</v>
      </c>
      <c r="AA189" s="197">
        <f t="shared" si="73"/>
        <v>5.7950999999999997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74"/>
        <v>832</v>
      </c>
      <c r="AE189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89" s="74" t="str">
        <f t="shared" si="76"/>
        <v>"C:\Program Files (x86)\AstroGrep\AstroGrep.exe" /e /r /s /spath="%USERPROFILE%\AppData\Local\Temp\OnboardLogs" /stypes="app*4021*20170626*" /stext=" 23:.+((SYSTEM_STATE.+slice.+state.+changed )|(ment ac)|(multiple cpu faults)|(system.+state.+changed )|(\[timeout)|(PRM\|1\|D)|(kpr)|(kdp)|(train st.+moving)|(\|lc)|(penalty))"</v>
      </c>
      <c r="AG189" s="209" t="str">
        <f t="shared" si="77"/>
        <v>NW</v>
      </c>
      <c r="AH189" s="78" t="str">
        <f t="shared" si="78"/>
        <v>"%USERPROFILE%\Documents\GitHub\eaglep3\Utilities\RefineRTDCRunTimes.py" --tripid 832-26 --locoid 4021 --swversion DE.1.0.9.0 --startMP 300:58621 --initTime 2017-06-26T17:06:46 --startdatetime 2017-06-26T17:11:11 --delay 2 --endMP 204:670 --enddatetime 2017-06-26T17:25:07 --enforcementcount 0 &gt;&gt;C:\Users\stu\Documents\GitHub\eaglep3-reporting\EC\2017-06-26-refined-times.txt</v>
      </c>
      <c r="AI189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{"issue":{"subject":"","project_id":79,"tracker_id":40,"status_id":1,"priority_id":2,"assigned_to_id":23,"start_date":"2017-06-26","description":"","custom_fields":[{"id":1,"name":"Subdivision","value":"NW"},{"id":4,"name":"Milepost","value":"0.067"},{"id":17,"name":"Train ID","value":"832-26"},{"id":16,"name":"Locomotive ID","value":"4021"},{"id":130,"name":"Impact","value":""},{"id":150,"name":"Time of Event (Mountain Time)","value":"17:25:07"},{"id":151,"name":"Denver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80"/>
        <v>start /low /b %USERPROFILE%\Documents\GitHub\eaglep3\Utilities\DownloadLogsFromS3.py --loco 4021 --day 2017-06-26</v>
      </c>
      <c r="AN189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817</v>
      </c>
      <c r="B190" s="7">
        <v>4042</v>
      </c>
      <c r="C190" s="21" t="s">
        <v>202</v>
      </c>
      <c r="D190" s="21" t="s">
        <v>600</v>
      </c>
      <c r="E190" s="13">
        <v>42912.720497685186</v>
      </c>
      <c r="F190" s="13">
        <v>42912.72320601852</v>
      </c>
      <c r="G190" s="7">
        <v>1</v>
      </c>
      <c r="H190" s="21" t="s">
        <v>518</v>
      </c>
      <c r="I190" s="13">
        <v>42912.733726851853</v>
      </c>
      <c r="J190" s="7">
        <v>0</v>
      </c>
      <c r="K190" s="89" t="str">
        <f t="shared" si="67"/>
        <v>4041/4042</v>
      </c>
      <c r="L190" s="21" t="str">
        <f>VLOOKUP(A190,'Trips&amp;Operators'!$C$1:$G$99999,5,FALSE)</f>
        <v>NELSON ARIANE</v>
      </c>
      <c r="M190" s="6">
        <f t="shared" si="68"/>
        <v>1.0520833333430346E-2</v>
      </c>
      <c r="N190" s="7">
        <f t="shared" si="87"/>
        <v>15.150000000139698</v>
      </c>
      <c r="O190" s="7"/>
      <c r="P190" s="7"/>
      <c r="Q190" s="22"/>
      <c r="R190" s="170"/>
      <c r="S190" s="213">
        <f t="shared" si="69"/>
        <v>1</v>
      </c>
      <c r="T190" s="195" t="str">
        <f t="shared" si="7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1"/>
        <v>https://d0f6bd738d7f1b3e5a7ca70fe4ff75f0.us-east-1.aws.found.io/app/kibana#/discover/Steve-Slow-Train-Analysis-(2080s-and-2083s)?_g=(refreshInterval:(display:Off,pause:!f,section:0,value:0),time:(from:'2017-06-26T16:17:31-0600',mode:absolute,to:'2017-06-26T18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197" t="str">
        <f>IF(AA190&lt;VLOOKUP(AG190,Variables!$AC$3:$AD$8,2,FALSE),"Y","N")</f>
        <v>N</v>
      </c>
      <c r="X190" s="197">
        <f t="shared" si="88"/>
        <v>1</v>
      </c>
      <c r="Y190" s="197">
        <f t="shared" si="85"/>
        <v>9.8500000000000004E-2</v>
      </c>
      <c r="Z190" s="197">
        <f t="shared" si="86"/>
        <v>5.8948</v>
      </c>
      <c r="AA190" s="197">
        <f t="shared" si="73"/>
        <v>5.7963000000000005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74"/>
        <v>833</v>
      </c>
      <c r="AE190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90" s="74" t="str">
        <f t="shared" si="76"/>
        <v>"C:\Program Files (x86)\AstroGrep\AstroGrep.exe" /e /r /s /spath="%USERPROFILE%\AppData\Local\Temp\OnboardLogs" /stypes="app*4042*20170626*" /stext=" 23:.+((SYSTEM_STATE.+slice.+state.+changed )|(ment ac)|(multiple cpu faults)|(system.+state.+changed )|(\[timeout)|(PRM\|1\|D)|(kpr)|(kdp)|(train st.+moving)|(\|lc)|(penalty))"</v>
      </c>
      <c r="AG190" s="209" t="str">
        <f t="shared" si="77"/>
        <v>NW</v>
      </c>
      <c r="AH190" s="78" t="str">
        <f t="shared" si="78"/>
        <v>"%USERPROFILE%\Documents\GitHub\eaglep3\Utilities\RefineRTDCRunTimes.py" --tripid 833-26 --locoid 4042 --swversion DE.1.0.9.0 --startMP 204:985 --initTime 2017-06-26T17:17:31 --startdatetime 2017-06-26T17:21:25 --delay 1 --endMP 300:58948 --enddatetime 2017-06-26T17:36:34 --enforcementcount 0 &gt;&gt;C:\Users\stu\Documents\GitHub\eaglep3-reporting\EC\2017-06-26-refined-times.txt</v>
      </c>
      <c r="AI190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{"issue":{"subject":"","project_id":79,"tracker_id":40,"status_id":1,"priority_id":2,"assigned_to_id":23,"start_date":"2017-06-26","description":"","custom_fields":[{"id":1,"name":"Subdivision","value":"NW"},{"id":4,"name":"Milepost","value":"5.8948"},{"id":17,"name":"Train ID","value":"833-26"},{"id":16,"name":"Locomotive ID","value":"4042"},{"id":130,"name":"Impact","value":""},{"id":150,"name":"Time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80"/>
        <v>start /low /b %USERPROFILE%\Documents\GitHub\eaglep3\Utilities\DownloadLogsFromS3.py --loco 4042 --day 2017-06-26</v>
      </c>
      <c r="AN190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824</v>
      </c>
      <c r="B191" s="7">
        <v>4041</v>
      </c>
      <c r="C191" s="21" t="s">
        <v>202</v>
      </c>
      <c r="D191" s="21" t="s">
        <v>1023</v>
      </c>
      <c r="E191" s="13">
        <v>42912.735196759262</v>
      </c>
      <c r="F191" s="13">
        <v>42912.736678240741</v>
      </c>
      <c r="G191" s="7">
        <v>1</v>
      </c>
      <c r="H191" s="21" t="s">
        <v>1017</v>
      </c>
      <c r="I191" s="13">
        <v>42912.748078703706</v>
      </c>
      <c r="J191" s="7">
        <v>0</v>
      </c>
      <c r="K191" s="89" t="str">
        <f t="shared" si="67"/>
        <v>4041/4042</v>
      </c>
      <c r="L191" s="21" t="str">
        <f>VLOOKUP(A191,'Trips&amp;Operators'!$C$1:$G$99999,5,FALSE)</f>
        <v>NELSON ARIANE</v>
      </c>
      <c r="M191" s="6">
        <f t="shared" si="68"/>
        <v>1.1400462964957114E-2</v>
      </c>
      <c r="N191" s="7">
        <f t="shared" si="87"/>
        <v>16.416666669538245</v>
      </c>
      <c r="O191" s="7"/>
      <c r="P191" s="7"/>
      <c r="Q191" s="22"/>
      <c r="R191" s="170"/>
      <c r="S191" s="213">
        <f t="shared" si="69"/>
        <v>1</v>
      </c>
      <c r="T191" s="195" t="str">
        <f t="shared" si="7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1"/>
        <v>https://d0f6bd738d7f1b3e5a7ca70fe4ff75f0.us-east-1.aws.found.io/app/kibana#/discover/Steve-Slow-Train-Analysis-(2080s-and-2083s)?_g=(refreshInterval:(display:Off,pause:!f,section:0,value:0),time:(from:'2017-06-26T16:38:41-0600',mode:absolute,to:'2017-06-26T18:57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197" t="str">
        <f>IF(AA191&lt;VLOOKUP(AG191,Variables!$AC$3:$AD$8,2,FALSE),"Y","N")</f>
        <v>N</v>
      </c>
      <c r="X191" s="197">
        <f t="shared" si="88"/>
        <v>1</v>
      </c>
      <c r="Y191" s="197">
        <f t="shared" si="85"/>
        <v>5.8653000000000004</v>
      </c>
      <c r="Z191" s="197">
        <f t="shared" si="86"/>
        <v>6.6799999999999998E-2</v>
      </c>
      <c r="AA191" s="197">
        <f t="shared" si="73"/>
        <v>5.7985000000000007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74"/>
        <v>834</v>
      </c>
      <c r="AE191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91" s="74" t="str">
        <f t="shared" si="76"/>
        <v>"C:\Program Files (x86)\AstroGrep\AstroGrep.exe" /e /r /s /spath="%USERPROFILE%\AppData\Local\Temp\OnboardLogs" /stypes="app*4041*20170626*" /stext=" 23:.+((SYSTEM_STATE.+slice.+state.+changed )|(ment ac)|(multiple cpu faults)|(system.+state.+changed )|(\[timeout)|(PRM\|1\|D)|(kpr)|(kdp)|(train st.+moving)|(\|lc)|(penalty))"</v>
      </c>
      <c r="AG191" s="209" t="str">
        <f t="shared" si="77"/>
        <v>NW</v>
      </c>
      <c r="AH191" s="78" t="str">
        <f t="shared" si="78"/>
        <v>"%USERPROFILE%\Documents\GitHub\eaglep3\Utilities\RefineRTDCRunTimes.py" --tripid 834-26 --locoid 4041 --swversion DE.1.0.9.0 --startMP 300:58653 --initTime 2017-06-26T17:38:41 --startdatetime 2017-06-26T17:40:49 --delay 1 --endMP 204:668 --enddatetime 2017-06-26T17:57:14 --enforcementcount 0 &gt;&gt;C:\Users\stu\Documents\GitHub\eaglep3-reporting\EC\2017-06-26-refined-times.txt</v>
      </c>
      <c r="AI191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{"issue":{"subject":"","project_id":79,"tracker_id":40,"status_id":1,"priority_id":2,"assigned_to_id":23,"start_date":"2017-06-26","description":"","custom_fields":[{"id":1,"name":"Subdivision","value":"NW"},{"id":4,"name":"Milepost","value":"0.0668"},{"id":17,"name":"Train ID","value":"834-26"},{"id":16,"name":"Locomotive ID","value":"4041"},{"id":130,"name":"Impact","value":""},{"id":150,"name":"Time of Event (Mountain Time)","value":"17:57:14"},{"id":151,"name":"Denver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80"/>
        <v>start /low /b %USERPROFILE%\Documents\GitHub\eaglep3\Utilities\DownloadLogsFromS3.py --loco 4041 --day 2017-06-26</v>
      </c>
      <c r="AN191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822</v>
      </c>
      <c r="B192" s="7">
        <v>4022</v>
      </c>
      <c r="C192" s="21" t="s">
        <v>202</v>
      </c>
      <c r="D192" s="21" t="s">
        <v>1024</v>
      </c>
      <c r="E192" s="13">
        <v>42912.728125000001</v>
      </c>
      <c r="F192" s="13">
        <v>42912.744189814817</v>
      </c>
      <c r="G192" s="7">
        <v>1</v>
      </c>
      <c r="H192" s="21" t="s">
        <v>1006</v>
      </c>
      <c r="I192" s="13">
        <v>42912.753541666665</v>
      </c>
      <c r="J192" s="7">
        <v>0</v>
      </c>
      <c r="K192" s="89" t="str">
        <f t="shared" si="67"/>
        <v>4021/4022</v>
      </c>
      <c r="L192" s="21" t="str">
        <f>VLOOKUP(A192,'Trips&amp;Operators'!$C$1:$G$99999,5,FALSE)</f>
        <v>STAMBAUGH JAMES</v>
      </c>
      <c r="M192" s="6">
        <f t="shared" si="68"/>
        <v>9.3518518478958867E-3</v>
      </c>
      <c r="N192" s="7">
        <f t="shared" si="87"/>
        <v>13.466666660970077</v>
      </c>
      <c r="O192" s="7"/>
      <c r="P192" s="7"/>
      <c r="Q192" s="22"/>
      <c r="R192" s="170"/>
      <c r="S192" s="213">
        <f t="shared" si="69"/>
        <v>1</v>
      </c>
      <c r="T192" s="195" t="str">
        <f t="shared" si="7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1"/>
        <v>https://d0f6bd738d7f1b3e5a7ca70fe4ff75f0.us-east-1.aws.found.io/app/kibana#/discover/Steve-Slow-Train-Analysis-(2080s-and-2083s)?_g=(refreshInterval:(display:Off,pause:!f,section:0,value:0),time:(from:'2017-06-26T16:28:30-0600',mode:absolute,to:'2017-06-26T19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197" t="str">
        <f>IF(AA192&lt;VLOOKUP(AG192,Variables!$AC$3:$AD$8,2,FALSE),"Y","N")</f>
        <v>N</v>
      </c>
      <c r="X192" s="197">
        <f t="shared" si="88"/>
        <v>1</v>
      </c>
      <c r="Y192" s="197">
        <f t="shared" si="85"/>
        <v>9.5799999999999996E-2</v>
      </c>
      <c r="Z192" s="197">
        <f t="shared" si="86"/>
        <v>5.8935000000000004</v>
      </c>
      <c r="AA192" s="197">
        <f t="shared" si="73"/>
        <v>5.7977000000000007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74"/>
        <v>835</v>
      </c>
      <c r="AE192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92" s="74" t="str">
        <f t="shared" si="76"/>
        <v>"C:\Program Files (x86)\AstroGrep\AstroGrep.exe" /e /r /s /spath="%USERPROFILE%\AppData\Local\Temp\OnboardLogs" /stypes="app*4022*20170627*" /stext=" 00:.+((SYSTEM_STATE.+slice.+state.+changed )|(ment ac)|(multiple cpu faults)|(system.+state.+changed )|(\[timeout)|(PRM\|1\|D)|(kpr)|(kdp)|(train st.+moving)|(\|lc)|(penalty))"</v>
      </c>
      <c r="AG192" s="209" t="str">
        <f t="shared" si="77"/>
        <v>NW</v>
      </c>
      <c r="AH192" s="78" t="str">
        <f t="shared" si="78"/>
        <v>"%USERPROFILE%\Documents\GitHub\eaglep3\Utilities\RefineRTDCRunTimes.py" --tripid 835-26 --locoid 4022 --swversion DE.1.0.9.0 --startMP 204:958 --initTime 2017-06-26T17:28:30 --startdatetime 2017-06-26T17:51:38 --delay 1 --endMP 300:58935 --enddatetime 2017-06-26T18:05:06 --enforcementcount 0 &gt;&gt;C:\Users\stu\Documents\GitHub\eaglep3-reporting\EC\2017-06-26-refined-times.txt</v>
      </c>
      <c r="AI192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{"issue":{"subject":"","project_id":79,"tracker_id":40,"status_id":1,"priority_id":2,"assigned_to_id":23,"start_date":"2017-06-26","description":"","custom_fields":[{"id":1,"name":"Subdivision","value":"NW"},{"id":4,"name":"Milepost","value":"5.8935"},{"id":17,"name":"Train ID","value":"835-26"},{"id":16,"name":"Locomotive ID","value":"4022"},{"id":130,"name":"Impact","value":""},{"id":150,"name":"Time of Event (Mountain Time)","value":"18:05:06"},{"id":151,"name":"Denver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80"/>
        <v>start /low /b %USERPROFILE%\Documents\GitHub\eaglep3\Utilities\DownloadLogsFromS3.py --loco 4022 --day 2017-06-26</v>
      </c>
      <c r="AN192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647</v>
      </c>
      <c r="B193" s="7">
        <v>4021</v>
      </c>
      <c r="C193" s="21" t="s">
        <v>202</v>
      </c>
      <c r="D193" s="21" t="s">
        <v>590</v>
      </c>
      <c r="E193" s="13">
        <v>42912.754583333335</v>
      </c>
      <c r="F193" s="13">
        <v>42912.757835648146</v>
      </c>
      <c r="G193" s="7">
        <v>1</v>
      </c>
      <c r="H193" s="21" t="s">
        <v>1015</v>
      </c>
      <c r="I193" s="13">
        <v>42912.767523148148</v>
      </c>
      <c r="J193" s="7">
        <v>0</v>
      </c>
      <c r="K193" s="89" t="str">
        <f t="shared" si="67"/>
        <v>4021/4022</v>
      </c>
      <c r="L193" s="21" t="str">
        <f>VLOOKUP(A193,'Trips&amp;Operators'!$C$1:$G$99999,5,FALSE)</f>
        <v>STAMBAUGH JAMES</v>
      </c>
      <c r="M193" s="6">
        <f t="shared" si="68"/>
        <v>9.6875000017462298E-3</v>
      </c>
      <c r="N193" s="7">
        <f t="shared" si="87"/>
        <v>13.950000002514571</v>
      </c>
      <c r="O193" s="7"/>
      <c r="P193" s="7"/>
      <c r="Q193" s="22"/>
      <c r="R193" s="170"/>
      <c r="S193" s="213">
        <f t="shared" si="69"/>
        <v>1</v>
      </c>
      <c r="T193" s="195" t="str">
        <f t="shared" si="7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71"/>
        <v>https://d0f6bd738d7f1b3e5a7ca70fe4ff75f0.us-east-1.aws.found.io/app/kibana#/discover/Steve-Slow-Train-Analysis-(2080s-and-2083s)?_g=(refreshInterval:(display:Off,pause:!f,section:0,value:0),time:(from:'2017-06-26T17:06:36-0600',mode:absolute,to:'2017-06-26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97" t="str">
        <f>IF(AA193&lt;VLOOKUP(AG193,Variables!$AC$3:$AD$8,2,FALSE),"Y","N")</f>
        <v>N</v>
      </c>
      <c r="X193" s="197">
        <f t="shared" si="88"/>
        <v>1</v>
      </c>
      <c r="Y193" s="197">
        <f t="shared" si="85"/>
        <v>5.8628</v>
      </c>
      <c r="Z193" s="197">
        <f t="shared" si="86"/>
        <v>7.0800000000000002E-2</v>
      </c>
      <c r="AA193" s="197">
        <f t="shared" si="73"/>
        <v>5.7919999999999998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74"/>
        <v>836</v>
      </c>
      <c r="AE193" s="77" t="str">
        <f t="shared" si="75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193" s="74" t="str">
        <f t="shared" si="76"/>
        <v>"C:\Program Files (x86)\AstroGrep\AstroGrep.exe" /e /r /s /spath="%USERPROFILE%\AppData\Local\Temp\OnboardLogs" /stypes="app*4021*20170627*" /stext=" 00:.+((SYSTEM_STATE.+slice.+state.+changed )|(ment ac)|(multiple cpu faults)|(system.+state.+changed )|(\[timeout)|(PRM\|1\|D)|(kpr)|(kdp)|(train st.+moving)|(\|lc)|(penalty))"</v>
      </c>
      <c r="AG193" s="209" t="str">
        <f t="shared" si="77"/>
        <v>NW</v>
      </c>
      <c r="AH193" s="78" t="str">
        <f t="shared" si="78"/>
        <v>"%USERPROFILE%\Documents\GitHub\eaglep3\Utilities\RefineRTDCRunTimes.py" --tripid 836-26 --locoid 4021 --swversion DE.1.0.9.0 --startMP 300:58628 --initTime 2017-06-26T18:06:36 --startdatetime 2017-06-26T18:11:17 --delay 1 --endMP 204:708 --enddatetime 2017-06-26T18:25:14 --enforcementcount 0 &gt;&gt;C:\Users\stu\Documents\GitHub\eaglep3-reporting\EC\2017-06-26-refined-times.txt</v>
      </c>
      <c r="AI193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{"issue":{"subject":"","project_id":79,"tracker_id":40,"status_id":1,"priority_id":2,"assigned_to_id":23,"start_date":"2017-06-26","description":"","custom_fields":[{"id":1,"name":"Subdivision","value":"NW"},{"id":4,"name":"Milepost","value":"0.0708"},{"id":17,"name":"Train ID","value":"836-26"},{"id":16,"name":"Locomotive ID","value":"4021"},{"id":130,"name":"Impact","value":""},{"id":150,"name":"Time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80"/>
        <v>start /low /b %USERPROFILE%\Documents\GitHub\eaglep3\Utilities\DownloadLogsFromS3.py --loco 4021 --day 2017-06-26</v>
      </c>
      <c r="AN193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830</v>
      </c>
      <c r="B194" s="7">
        <v>4042</v>
      </c>
      <c r="C194" s="21" t="s">
        <v>202</v>
      </c>
      <c r="D194" s="21" t="s">
        <v>592</v>
      </c>
      <c r="E194" s="13">
        <v>42912.762569444443</v>
      </c>
      <c r="F194" s="13">
        <v>42912.764756944445</v>
      </c>
      <c r="G194" s="7">
        <v>1</v>
      </c>
      <c r="H194" s="21" t="s">
        <v>1003</v>
      </c>
      <c r="I194" s="13">
        <v>42912.775462962964</v>
      </c>
      <c r="J194" s="7">
        <v>0</v>
      </c>
      <c r="K194" s="89" t="str">
        <f t="shared" si="67"/>
        <v>4041/4042</v>
      </c>
      <c r="L194" s="21" t="str">
        <f>VLOOKUP(A194,'Trips&amp;Operators'!$C$1:$G$99999,5,FALSE)</f>
        <v>NELSON ARIANE</v>
      </c>
      <c r="M194" s="6">
        <f t="shared" si="68"/>
        <v>1.0706018518249039E-2</v>
      </c>
      <c r="N194" s="7">
        <f t="shared" si="87"/>
        <v>15.416666666278616</v>
      </c>
      <c r="O194" s="7"/>
      <c r="P194" s="7"/>
      <c r="Q194" s="22"/>
      <c r="R194" s="170"/>
      <c r="S194" s="213">
        <f t="shared" si="69"/>
        <v>1</v>
      </c>
      <c r="T194" s="195" t="str">
        <f t="shared" si="7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71"/>
        <v>https://d0f6bd738d7f1b3e5a7ca70fe4ff75f0.us-east-1.aws.found.io/app/kibana#/discover/Steve-Slow-Train-Analysis-(2080s-and-2083s)?_g=(refreshInterval:(display:Off,pause:!f,section:0,value:0),time:(from:'2017-06-26T17:18:06-0600',mode:absolute,to:'2017-06-26T19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197" t="str">
        <f>IF(AA194&lt;VLOOKUP(AG194,Variables!$AC$3:$AD$8,2,FALSE),"Y","N")</f>
        <v>N</v>
      </c>
      <c r="X194" s="197">
        <f t="shared" ref="X194:X225" si="89">VALUE(LEFT(AD194,4))-VALUE(LEFT(AD193,4))</f>
        <v>1</v>
      </c>
      <c r="Y194" s="197">
        <f t="shared" si="85"/>
        <v>9.6199999999999994E-2</v>
      </c>
      <c r="Z194" s="197">
        <f t="shared" si="86"/>
        <v>5.8956</v>
      </c>
      <c r="AA194" s="197">
        <f t="shared" si="73"/>
        <v>5.7994000000000003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74"/>
        <v>837</v>
      </c>
      <c r="AE194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94" s="74" t="str">
        <f t="shared" si="76"/>
        <v>"C:\Program Files (x86)\AstroGrep\AstroGrep.exe" /e /r /s /spath="%USERPROFILE%\AppData\Local\Temp\OnboardLogs" /stypes="app*4042*20170627*" /stext=" 00:.+((SYSTEM_STATE.+slice.+state.+changed )|(ment ac)|(multiple cpu faults)|(system.+state.+changed )|(\[timeout)|(PRM\|1\|D)|(kpr)|(kdp)|(train st.+moving)|(\|lc)|(penalty))"</v>
      </c>
      <c r="AG194" s="209" t="str">
        <f t="shared" si="77"/>
        <v>NW</v>
      </c>
      <c r="AH194" s="78" t="str">
        <f t="shared" si="78"/>
        <v>"%USERPROFILE%\Documents\GitHub\eaglep3\Utilities\RefineRTDCRunTimes.py" --tripid 837-26 --locoid 4042 --swversion DE.1.0.9.0 --startMP 204:962 --initTime 2017-06-26T18:18:06 --startdatetime 2017-06-26T18:21:15 --delay 1 --endMP 300:58956 --enddatetime 2017-06-26T18:36:40 --enforcementcount 0 &gt;&gt;C:\Users\stu\Documents\GitHub\eaglep3-reporting\EC\2017-06-26-refined-times.txt</v>
      </c>
      <c r="AI194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{"issue":{"subject":"","project_id":79,"tracker_id":40,"status_id":1,"priority_id":2,"assigned_to_id":23,"start_date":"2017-06-26","description":"","custom_fields":[{"id":1,"name":"Subdivision","value":"NW"},{"id":4,"name":"Milepost","value":"5.8956"},{"id":17,"name":"Train ID","value":"837-26"},{"id":16,"name":"Locomotive ID","value":"4042"},{"id":130,"name":"Impact","value":""},{"id":150,"name":"Time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80"/>
        <v>start /low /b %USERPROFILE%\Documents\GitHub\eaglep3\Utilities\DownloadLogsFromS3.py --loco 4042 --day 2017-06-26</v>
      </c>
      <c r="AN194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835</v>
      </c>
      <c r="B195" s="7">
        <v>4041</v>
      </c>
      <c r="C195" s="21" t="s">
        <v>202</v>
      </c>
      <c r="D195" s="21" t="s">
        <v>1023</v>
      </c>
      <c r="E195" s="13">
        <v>42912.776770833334</v>
      </c>
      <c r="F195" s="13">
        <v>42912.778379629628</v>
      </c>
      <c r="G195" s="7">
        <v>1</v>
      </c>
      <c r="H195" s="21" t="s">
        <v>1025</v>
      </c>
      <c r="I195" s="13">
        <v>42912.791226851848</v>
      </c>
      <c r="J195" s="7">
        <v>0</v>
      </c>
      <c r="K195" s="89" t="str">
        <f t="shared" si="67"/>
        <v>4041/4042</v>
      </c>
      <c r="L195" s="21" t="str">
        <f>VLOOKUP(A195,'Trips&amp;Operators'!$C$1:$G$99999,5,FALSE)</f>
        <v>NELSON ARIANE</v>
      </c>
      <c r="M195" s="6">
        <f t="shared" si="68"/>
        <v>1.2847222220443655E-2</v>
      </c>
      <c r="N195" s="7">
        <f t="shared" si="87"/>
        <v>18.499999997438863</v>
      </c>
      <c r="O195" s="7"/>
      <c r="P195" s="7"/>
      <c r="Q195" s="22"/>
      <c r="R195" s="170"/>
      <c r="S195" s="213">
        <f t="shared" si="69"/>
        <v>1</v>
      </c>
      <c r="T195" s="195" t="str">
        <f t="shared" si="7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1"/>
        <v>https://d0f6bd738d7f1b3e5a7ca70fe4ff75f0.us-east-1.aws.found.io/app/kibana#/discover/Steve-Slow-Train-Analysis-(2080s-and-2083s)?_g=(refreshInterval:(display:Off,pause:!f,section:0,value:0),time:(from:'2017-06-26T17:38:33-0600',mode:absolute,to:'2017-06-26T19:59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197" t="str">
        <f>IF(AA195&lt;VLOOKUP(AG195,Variables!$AC$3:$AD$8,2,FALSE),"Y","N")</f>
        <v>N</v>
      </c>
      <c r="X195" s="197">
        <f t="shared" si="89"/>
        <v>1</v>
      </c>
      <c r="Y195" s="197">
        <f t="shared" si="85"/>
        <v>5.8653000000000004</v>
      </c>
      <c r="Z195" s="197">
        <f t="shared" si="86"/>
        <v>6.6299999999999998E-2</v>
      </c>
      <c r="AA195" s="197">
        <f t="shared" si="73"/>
        <v>5.7990000000000004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74"/>
        <v>838</v>
      </c>
      <c r="AE195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95" s="74" t="str">
        <f t="shared" si="76"/>
        <v>"C:\Program Files (x86)\AstroGrep\AstroGrep.exe" /e /r /s /spath="%USERPROFILE%\AppData\Local\Temp\OnboardLogs" /stypes="app*4041*20170627*" /stext=" 00:.+((SYSTEM_STATE.+slice.+state.+changed )|(ment ac)|(multiple cpu faults)|(system.+state.+changed )|(\[timeout)|(PRM\|1\|D)|(kpr)|(kdp)|(train st.+moving)|(\|lc)|(penalty))"</v>
      </c>
      <c r="AG195" s="209" t="str">
        <f t="shared" si="77"/>
        <v>NW</v>
      </c>
      <c r="AH195" s="78" t="str">
        <f t="shared" si="78"/>
        <v>"%USERPROFILE%\Documents\GitHub\eaglep3\Utilities\RefineRTDCRunTimes.py" --tripid 838-26 --locoid 4041 --swversion DE.1.0.9.0 --startMP 300:58653 --initTime 2017-06-26T18:38:33 --startdatetime 2017-06-26T18:40:52 --delay 1 --endMP 204:663 --enddatetime 2017-06-26T18:59:22 --enforcementcount 0 &gt;&gt;C:\Users\stu\Documents\GitHub\eaglep3-reporting\EC\2017-06-26-refined-times.txt</v>
      </c>
      <c r="AI195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{"issue":{"subject":"","project_id":79,"tracker_id":40,"status_id":1,"priority_id":2,"assigned_to_id":23,"start_date":"2017-06-26","description":"","custom_fields":[{"id":1,"name":"Subdivision","value":"NW"},{"id":4,"name":"Milepost","value":"0.0663"},{"id":17,"name":"Train ID","value":"838-26"},{"id":16,"name":"Locomotive ID","value":"4041"},{"id":130,"name":"Impact","value":""},{"id":150,"name":"Time of Event (Mountain Time)","value":"18:59:22"},{"id":151,"name":"Denver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80"/>
        <v>start /low /b %USERPROFILE%\Documents\GitHub\eaglep3\Utilities\DownloadLogsFromS3.py --loco 4041 --day 2017-06-26</v>
      </c>
      <c r="AN195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837</v>
      </c>
      <c r="B196" s="7">
        <v>4022</v>
      </c>
      <c r="C196" s="21" t="s">
        <v>202</v>
      </c>
      <c r="D196" s="21" t="s">
        <v>600</v>
      </c>
      <c r="E196" s="13">
        <v>42912.779907407406</v>
      </c>
      <c r="F196" s="13">
        <v>42912.785763888889</v>
      </c>
      <c r="G196" s="7">
        <v>1</v>
      </c>
      <c r="H196" s="21" t="s">
        <v>1026</v>
      </c>
      <c r="I196" s="13">
        <v>42912.795127314814</v>
      </c>
      <c r="J196" s="7">
        <v>0</v>
      </c>
      <c r="K196" s="89" t="str">
        <f t="shared" si="67"/>
        <v>4021/4022</v>
      </c>
      <c r="L196" s="21" t="str">
        <f>VLOOKUP(A196,'Trips&amp;Operators'!$C$1:$G$99999,5,FALSE)</f>
        <v>STAMBAUGH JAMES</v>
      </c>
      <c r="M196" s="6">
        <f t="shared" si="68"/>
        <v>9.3634259246755391E-3</v>
      </c>
      <c r="N196" s="7">
        <f t="shared" si="87"/>
        <v>13.483333331532776</v>
      </c>
      <c r="O196" s="7"/>
      <c r="P196" s="7"/>
      <c r="Q196" s="22"/>
      <c r="R196" s="170"/>
      <c r="S196" s="213">
        <f t="shared" si="69"/>
        <v>1</v>
      </c>
      <c r="T196" s="195" t="str">
        <f t="shared" si="7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1"/>
        <v>https://d0f6bd738d7f1b3e5a7ca70fe4ff75f0.us-east-1.aws.found.io/app/kibana#/discover/Steve-Slow-Train-Analysis-(2080s-and-2083s)?_g=(refreshInterval:(display:Off,pause:!f,section:0,value:0),time:(from:'2017-06-26T17:43:04-0600',mode:absolute,to:'2017-06-26T20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97" t="str">
        <f>IF(AA196&lt;VLOOKUP(AG196,Variables!$AC$3:$AD$8,2,FALSE),"Y","N")</f>
        <v>N</v>
      </c>
      <c r="X196" s="197">
        <f t="shared" si="89"/>
        <v>1</v>
      </c>
      <c r="Y196" s="197">
        <f t="shared" si="85"/>
        <v>9.8500000000000004E-2</v>
      </c>
      <c r="Z196" s="197">
        <f t="shared" si="86"/>
        <v>5.8949999999999996</v>
      </c>
      <c r="AA196" s="197">
        <f t="shared" si="73"/>
        <v>5.7965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74"/>
        <v>839</v>
      </c>
      <c r="AE196" s="77" t="str">
        <f t="shared" si="75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196" s="74" t="str">
        <f t="shared" si="76"/>
        <v>"C:\Program Files (x86)\AstroGrep\AstroGrep.exe" /e /r /s /spath="%USERPROFILE%\AppData\Local\Temp\OnboardLogs" /stypes="app*4022*20170627*" /stext=" 01:.+((SYSTEM_STATE.+slice.+state.+changed )|(ment ac)|(multiple cpu faults)|(system.+state.+changed )|(\[timeout)|(PRM\|1\|D)|(kpr)|(kdp)|(train st.+moving)|(\|lc)|(penalty))"</v>
      </c>
      <c r="AG196" s="209" t="str">
        <f t="shared" si="77"/>
        <v>NW</v>
      </c>
      <c r="AH196" s="78" t="str">
        <f t="shared" si="78"/>
        <v>"%USERPROFILE%\Documents\GitHub\eaglep3\Utilities\RefineRTDCRunTimes.py" --tripid 839-26 --locoid 4022 --swversion DE.1.0.9.0 --startMP 204:985 --initTime 2017-06-26T18:43:04 --startdatetime 2017-06-26T18:51:30 --delay 1 --endMP 300:58950 --enddatetime 2017-06-26T19:04:59 --enforcementcount 0 &gt;&gt;C:\Users\stu\Documents\GitHub\eaglep3-reporting\EC\2017-06-26-refined-times.txt</v>
      </c>
      <c r="AI196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{"issue":{"subject":"","project_id":79,"tracker_id":40,"status_id":1,"priority_id":2,"assigned_to_id":23,"start_date":"2017-06-26","description":"","custom_fields":[{"id":1,"name":"Subdivision","value":"NW"},{"id":4,"name":"Milepost","value":"5.895"},{"id":17,"name":"Train ID","value":"839-26"},{"id":16,"name":"Locomotive ID","value":"4022"},{"id":130,"name":"Impact","value":""},{"id":150,"name":"Time of Event (Mountain Time)","value":"19:04:59"},{"id":151,"name":"Denver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80"/>
        <v>start /low /b %USERPROFILE%\Documents\GitHub\eaglep3\Utilities\DownloadLogsFromS3.py --loco 4022 --day 2017-06-26</v>
      </c>
      <c r="AN196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846</v>
      </c>
      <c r="B197" s="7">
        <v>4041</v>
      </c>
      <c r="C197" s="21" t="s">
        <v>202</v>
      </c>
      <c r="D197" s="21" t="s">
        <v>1027</v>
      </c>
      <c r="E197" s="13">
        <v>42912.818761574075</v>
      </c>
      <c r="F197" s="13">
        <v>42912.820092592592</v>
      </c>
      <c r="G197" s="7">
        <v>1</v>
      </c>
      <c r="H197" s="21" t="s">
        <v>601</v>
      </c>
      <c r="I197" s="13">
        <v>42912.831770833334</v>
      </c>
      <c r="J197" s="7">
        <v>0</v>
      </c>
      <c r="K197" s="89" t="str">
        <f t="shared" si="67"/>
        <v>4041/4042</v>
      </c>
      <c r="L197" s="21" t="str">
        <f>VLOOKUP(A197,'Trips&amp;Operators'!$C$1:$G$99999,5,FALSE)</f>
        <v>NELSON ARIANE</v>
      </c>
      <c r="M197" s="6">
        <f t="shared" si="68"/>
        <v>1.1678240742185153E-2</v>
      </c>
      <c r="N197" s="7">
        <f t="shared" si="87"/>
        <v>16.81666666874662</v>
      </c>
      <c r="O197" s="7"/>
      <c r="P197" s="7"/>
      <c r="Q197" s="22"/>
      <c r="R197" s="170"/>
      <c r="S197" s="213">
        <f t="shared" si="69"/>
        <v>1</v>
      </c>
      <c r="T197" s="195" t="str">
        <f t="shared" si="7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1"/>
        <v>https://d0f6bd738d7f1b3e5a7ca70fe4ff75f0.us-east-1.aws.found.io/app/kibana#/discover/Steve-Slow-Train-Analysis-(2080s-and-2083s)?_g=(refreshInterval:(display:Off,pause:!f,section:0,value:0),time:(from:'2017-06-26T18:39:01-0600',mode:absolute,to:'2017-06-26T20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197" t="str">
        <f>IF(AA197&lt;VLOOKUP(AG197,Variables!$AC$3:$AD$8,2,FALSE),"Y","N")</f>
        <v>N</v>
      </c>
      <c r="X197" s="197">
        <f t="shared" si="89"/>
        <v>1</v>
      </c>
      <c r="Y197" s="197">
        <f t="shared" si="85"/>
        <v>5.8644999999999996</v>
      </c>
      <c r="Z197" s="197">
        <f t="shared" si="86"/>
        <v>6.9199999999999998E-2</v>
      </c>
      <c r="AA197" s="197">
        <f t="shared" si="73"/>
        <v>5.7952999999999992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74"/>
        <v>840</v>
      </c>
      <c r="AE197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97" s="74" t="str">
        <f t="shared" si="76"/>
        <v>"C:\Program Files (x86)\AstroGrep\AstroGrep.exe" /e /r /s /spath="%USERPROFILE%\AppData\Local\Temp\OnboardLogs" /stypes="app*4041*20170627*" /stext=" 01:.+((SYSTEM_STATE.+slice.+state.+changed )|(ment ac)|(multiple cpu faults)|(system.+state.+changed )|(\[timeout)|(PRM\|1\|D)|(kpr)|(kdp)|(train st.+moving)|(\|lc)|(penalty))"</v>
      </c>
      <c r="AG197" s="209" t="str">
        <f t="shared" si="77"/>
        <v>NW</v>
      </c>
      <c r="AH197" s="78" t="str">
        <f t="shared" si="78"/>
        <v>"%USERPROFILE%\Documents\GitHub\eaglep3\Utilities\RefineRTDCRunTimes.py" --tripid 840-26 --locoid 4041 --swversion DE.1.0.9.0 --startMP 300:58645 --initTime 2017-06-26T19:39:01 --startdatetime 2017-06-26T19:40:56 --delay 1 --endMP 204:692 --enddatetime 2017-06-26T19:57:45 --enforcementcount 0 &gt;&gt;C:\Users\stu\Documents\GitHub\eaglep3-reporting\EC\2017-06-26-refined-times.txt</v>
      </c>
      <c r="AI197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{"issue":{"subject":"","project_id":79,"tracker_id":40,"status_id":1,"priority_id":2,"assigned_to_id":23,"start_date":"2017-06-26","description":"","custom_fields":[{"id":1,"name":"Subdivision","value":"NW"},{"id":4,"name":"Milepost","value":"0.0692"},{"id":17,"name":"Train ID","value":"840-26"},{"id":16,"name":"Locomotive ID","value":"4041"},{"id":130,"name":"Impact","value":""},{"id":150,"name":"Time of Event (Mountain Time)","value":"19:57:45"},{"id":151,"name":"Denver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80"/>
        <v>start /low /b %USERPROFILE%\Documents\GitHub\eaglep3\Utilities\DownloadLogsFromS3.py --loco 4041 --day 2017-06-26</v>
      </c>
      <c r="AN197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843</v>
      </c>
      <c r="B198" s="7">
        <v>4042</v>
      </c>
      <c r="C198" s="21" t="s">
        <v>202</v>
      </c>
      <c r="D198" s="21" t="s">
        <v>587</v>
      </c>
      <c r="E198" s="13">
        <v>42912.805937500001</v>
      </c>
      <c r="F198" s="13">
        <v>42912.807256944441</v>
      </c>
      <c r="G198" s="7">
        <v>1</v>
      </c>
      <c r="H198" s="21" t="s">
        <v>1028</v>
      </c>
      <c r="I198" s="13">
        <v>42912.81759259259</v>
      </c>
      <c r="J198" s="7">
        <v>0</v>
      </c>
      <c r="K198" s="89" t="str">
        <f t="shared" si="67"/>
        <v>4041/4042</v>
      </c>
      <c r="L198" s="21" t="str">
        <f>VLOOKUP(A198,'Trips&amp;Operators'!$C$1:$G$99999,5,FALSE)</f>
        <v>NELSON ARIANE</v>
      </c>
      <c r="M198" s="6">
        <f t="shared" si="68"/>
        <v>1.0335648148611654E-2</v>
      </c>
      <c r="N198" s="7">
        <f t="shared" si="87"/>
        <v>14.883333334000781</v>
      </c>
      <c r="O198" s="7"/>
      <c r="P198" s="7"/>
      <c r="Q198" s="22"/>
      <c r="R198" s="170"/>
      <c r="S198" s="213">
        <f t="shared" si="69"/>
        <v>1</v>
      </c>
      <c r="T198" s="195" t="str">
        <f t="shared" si="7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1"/>
        <v>https://d0f6bd738d7f1b3e5a7ca70fe4ff75f0.us-east-1.aws.found.io/app/kibana#/discover/Steve-Slow-Train-Analysis-(2080s-and-2083s)?_g=(refreshInterval:(display:Off,pause:!f,section:0,value:0),time:(from:'2017-06-26T18:20:33-0600',mode:absolute,to:'2017-06-26T20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197" t="str">
        <f>IF(AA198&lt;VLOOKUP(AG198,Variables!$AC$3:$AD$8,2,FALSE),"Y","N")</f>
        <v>N</v>
      </c>
      <c r="X198" s="197">
        <f t="shared" si="89"/>
        <v>1</v>
      </c>
      <c r="Y198" s="197">
        <f t="shared" si="85"/>
        <v>9.7100000000000006E-2</v>
      </c>
      <c r="Z198" s="197">
        <f t="shared" si="86"/>
        <v>5.8958000000000004</v>
      </c>
      <c r="AA198" s="197">
        <f t="shared" si="73"/>
        <v>5.7987000000000002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74"/>
        <v>841</v>
      </c>
      <c r="AE198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198" s="74" t="str">
        <f t="shared" si="76"/>
        <v>"C:\Program Files (x86)\AstroGrep\AstroGrep.exe" /e /r /s /spath="%USERPROFILE%\AppData\Local\Temp\OnboardLogs" /stypes="app*4042*20170627*" /stext=" 01:.+((SYSTEM_STATE.+slice.+state.+changed )|(ment ac)|(multiple cpu faults)|(system.+state.+changed )|(\[timeout)|(PRM\|1\|D)|(kpr)|(kdp)|(train st.+moving)|(\|lc)|(penalty))"</v>
      </c>
      <c r="AG198" s="209" t="str">
        <f t="shared" si="77"/>
        <v>NW</v>
      </c>
      <c r="AH198" s="78" t="str">
        <f t="shared" si="78"/>
        <v>"%USERPROFILE%\Documents\GitHub\eaglep3\Utilities\RefineRTDCRunTimes.py" --tripid 841-26 --locoid 4042 --swversion DE.1.0.9.0 --startMP 204:971 --initTime 2017-06-26T19:20:33 --startdatetime 2017-06-26T19:22:27 --delay 1 --endMP 300:58958 --enddatetime 2017-06-26T19:37:20 --enforcementcount 0 &gt;&gt;C:\Users\stu\Documents\GitHub\eaglep3-reporting\EC\2017-06-26-refined-times.txt</v>
      </c>
      <c r="AI198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{"issue":{"subject":"","project_id":79,"tracker_id":40,"status_id":1,"priority_id":2,"assigned_to_id":23,"start_date":"2017-06-26","description":"","custom_fields":[{"id":1,"name":"Subdivision","value":"NW"},{"id":4,"name":"Milepost","value":"5.8958"},{"id":17,"name":"Train ID","value":"841-26"},{"id":16,"name":"Locomotive ID","value":"4042"},{"id":130,"name":"Impact","value":""},{"id":150,"name":"Time of Event (Mountain Time)","value":"19:37:20"},{"id":151,"name":"Denver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80"/>
        <v>start /low /b %USERPROFILE%\Documents\GitHub\eaglep3\Utilities\DownloadLogsFromS3.py --loco 4042 --day 2017-06-26</v>
      </c>
      <c r="AN198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851</v>
      </c>
      <c r="B199" s="7">
        <v>4041</v>
      </c>
      <c r="C199" s="21" t="s">
        <v>202</v>
      </c>
      <c r="D199" s="21" t="s">
        <v>1027</v>
      </c>
      <c r="E199" s="13">
        <v>42912.86042824074</v>
      </c>
      <c r="F199" s="13">
        <v>42912.862407407411</v>
      </c>
      <c r="G199" s="7">
        <v>2</v>
      </c>
      <c r="H199" s="21" t="s">
        <v>995</v>
      </c>
      <c r="I199" s="13">
        <v>42912.872662037036</v>
      </c>
      <c r="J199" s="7">
        <v>0</v>
      </c>
      <c r="K199" s="89" t="str">
        <f t="shared" si="67"/>
        <v>4041/4042</v>
      </c>
      <c r="L199" s="21" t="str">
        <f>VLOOKUP(A199,'Trips&amp;Operators'!$C$1:$G$99999,5,FALSE)</f>
        <v>NELSON ARIANE</v>
      </c>
      <c r="M199" s="6">
        <f t="shared" si="68"/>
        <v>1.0254629625706002E-2</v>
      </c>
      <c r="N199" s="7">
        <f t="shared" si="87"/>
        <v>14.766666661016643</v>
      </c>
      <c r="O199" s="7"/>
      <c r="P199" s="7"/>
      <c r="Q199" s="22"/>
      <c r="R199" s="170"/>
      <c r="S199" s="213">
        <f t="shared" si="69"/>
        <v>1</v>
      </c>
      <c r="T199" s="195" t="str">
        <f t="shared" si="7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1"/>
        <v>https://d0f6bd738d7f1b3e5a7ca70fe4ff75f0.us-east-1.aws.found.io/app/kibana#/discover/Steve-Slow-Train-Analysis-(2080s-and-2083s)?_g=(refreshInterval:(display:Off,pause:!f,section:0,value:0),time:(from:'2017-06-26T19:39:01-0600',mode:absolute,to:'2017-06-26T21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197" t="str">
        <f>IF(AA199&lt;VLOOKUP(AG199,Variables!$AC$3:$AD$8,2,FALSE),"Y","N")</f>
        <v>N</v>
      </c>
      <c r="X199" s="197">
        <f t="shared" si="89"/>
        <v>1</v>
      </c>
      <c r="Y199" s="197">
        <f t="shared" si="85"/>
        <v>5.8644999999999996</v>
      </c>
      <c r="Z199" s="197">
        <f t="shared" si="86"/>
        <v>6.8199999999999997E-2</v>
      </c>
      <c r="AA199" s="197">
        <f t="shared" si="73"/>
        <v>5.7962999999999996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74"/>
        <v>842</v>
      </c>
      <c r="AE199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199" s="74" t="str">
        <f t="shared" si="76"/>
        <v>"C:\Program Files (x86)\AstroGrep\AstroGrep.exe" /e /r /s /spath="%USERPROFILE%\AppData\Local\Temp\OnboardLogs" /stypes="app*4041*20170627*" /stext=" 02:.+((SYSTEM_STATE.+slice.+state.+changed )|(ment ac)|(multiple cpu faults)|(system.+state.+changed )|(\[timeout)|(PRM\|1\|D)|(kpr)|(kdp)|(train st.+moving)|(\|lc)|(penalty))"</v>
      </c>
      <c r="AG199" s="209" t="str">
        <f t="shared" si="77"/>
        <v>NW</v>
      </c>
      <c r="AH199" s="78" t="str">
        <f t="shared" si="78"/>
        <v>"%USERPROFILE%\Documents\GitHub\eaglep3\Utilities\RefineRTDCRunTimes.py" --tripid 842-26 --locoid 4041 --swversion DE.1.0.9.0 --startMP 300:58645 --initTime 2017-06-26T20:39:01 --startdatetime 2017-06-26T20:41:52 --delay 2 --endMP 204:682 --enddatetime 2017-06-26T20:56:38 --enforcementcount 0 &gt;&gt;C:\Users\stu\Documents\GitHub\eaglep3-reporting\EC\2017-06-26-refined-times.txt</v>
      </c>
      <c r="AI199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{"issue":{"subject":"","project_id":79,"tracker_id":40,"status_id":1,"priority_id":2,"assigned_to_id":23,"start_date":"2017-06-26","description":"","custom_fields":[{"id":1,"name":"Subdivision","value":"NW"},{"id":4,"name":"Milepost","value":"0.0682"},{"id":17,"name":"Train ID","value":"842-26"},{"id":16,"name":"Locomotive ID","value":"4041"},{"id":130,"name":"Impact","value":""},{"id":150,"name":"Time of Event (Mountain Time)","value":"20:56:38"},{"id":151,"name":"Denver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80"/>
        <v>start /low /b %USERPROFILE%\Documents\GitHub\eaglep3\Utilities\DownloadLogsFromS3.py --loco 4041 --day 2017-06-26</v>
      </c>
      <c r="AN199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02:56:38"},{"id":29,"name":"Sharepoint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848</v>
      </c>
      <c r="B200" s="7">
        <v>4042</v>
      </c>
      <c r="C200" s="21" t="s">
        <v>202</v>
      </c>
      <c r="D200" s="21" t="s">
        <v>592</v>
      </c>
      <c r="E200" s="13">
        <v>42912.846365740741</v>
      </c>
      <c r="F200" s="13">
        <v>42912.848113425927</v>
      </c>
      <c r="G200" s="7">
        <v>1</v>
      </c>
      <c r="H200" s="21" t="s">
        <v>1003</v>
      </c>
      <c r="I200" s="13">
        <v>42912.859039351853</v>
      </c>
      <c r="J200" s="7">
        <v>0</v>
      </c>
      <c r="K200" s="89" t="str">
        <f t="shared" si="67"/>
        <v>4041/4042</v>
      </c>
      <c r="L200" s="21" t="str">
        <f>VLOOKUP(A200,'Trips&amp;Operators'!$C$1:$G$99999,5,FALSE)</f>
        <v>NELSON ARIANE</v>
      </c>
      <c r="M200" s="6">
        <f t="shared" si="68"/>
        <v>1.0925925926130731E-2</v>
      </c>
      <c r="N200" s="7">
        <f t="shared" si="87"/>
        <v>15.733333333628252</v>
      </c>
      <c r="O200" s="7"/>
      <c r="P200" s="7"/>
      <c r="Q200" s="22"/>
      <c r="R200" s="170"/>
      <c r="S200" s="213">
        <f t="shared" si="69"/>
        <v>1</v>
      </c>
      <c r="T200" s="195" t="str">
        <f t="shared" si="70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1"/>
        <v>https://d0f6bd738d7f1b3e5a7ca70fe4ff75f0.us-east-1.aws.found.io/app/kibana#/discover/Steve-Slow-Train-Analysis-(2080s-and-2083s)?_g=(refreshInterval:(display:Off,pause:!f,section:0,value:0),time:(from:'2017-06-26T19:18:46-0600',mode:absolute,to:'2017-06-26T21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197" t="str">
        <f>IF(AA200&lt;VLOOKUP(AG200,Variables!$AC$3:$AD$8,2,FALSE),"Y","N")</f>
        <v>N</v>
      </c>
      <c r="X200" s="197">
        <f t="shared" si="89"/>
        <v>1</v>
      </c>
      <c r="Y200" s="197">
        <f t="shared" si="85"/>
        <v>9.6199999999999994E-2</v>
      </c>
      <c r="Z200" s="197">
        <f t="shared" si="86"/>
        <v>5.8956</v>
      </c>
      <c r="AA200" s="197">
        <f t="shared" si="73"/>
        <v>5.7994000000000003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74"/>
        <v>843</v>
      </c>
      <c r="AE200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200" s="74" t="str">
        <f t="shared" si="76"/>
        <v>"C:\Program Files (x86)\AstroGrep\AstroGrep.exe" /e /r /s /spath="%USERPROFILE%\AppData\Local\Temp\OnboardLogs" /stypes="app*4042*20170627*" /stext=" 02:.+((SYSTEM_STATE.+slice.+state.+changed )|(ment ac)|(multiple cpu faults)|(system.+state.+changed )|(\[timeout)|(PRM\|1\|D)|(kpr)|(kdp)|(train st.+moving)|(\|lc)|(penalty))"</v>
      </c>
      <c r="AG200" s="209" t="str">
        <f t="shared" si="77"/>
        <v>NW</v>
      </c>
      <c r="AH200" s="78" t="str">
        <f t="shared" si="78"/>
        <v>"%USERPROFILE%\Documents\GitHub\eaglep3\Utilities\RefineRTDCRunTimes.py" --tripid 843-26 --locoid 4042 --swversion DE.1.0.9.0 --startMP 204:962 --initTime 2017-06-26T20:18:46 --startdatetime 2017-06-26T20:21:17 --delay 1 --endMP 300:58956 --enddatetime 2017-06-26T20:37:01 --enforcementcount 0 &gt;&gt;C:\Users\stu\Documents\GitHub\eaglep3-reporting\EC\2017-06-26-refined-times.txt</v>
      </c>
      <c r="AI200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{"issue":{"subject":"","project_id":79,"tracker_id":40,"status_id":1,"priority_id":2,"assigned_to_id":23,"start_date":"2017-06-26","description":"","custom_fields":[{"id":1,"name":"Subdivision","value":"NW"},{"id":4,"name":"Milepost","value":"5.8956"},{"id":17,"name":"Train ID","value":"843-26"},{"id":16,"name":"Locomotive ID","value":"4042"},{"id":130,"name":"Impact","value":""},{"id":150,"name":"Time of Event (Mountain Time)","value":"20:37:01"},{"id":151,"name":"Denver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80"/>
        <v>start /low /b %USERPROFILE%\Documents\GitHub\eaglep3\Utilities\DownloadLogsFromS3.py --loco 4042 --day 2017-06-26</v>
      </c>
      <c r="AN200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02:37:01"},{"id":29,"name":"Sharepoint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652</v>
      </c>
      <c r="B201" s="7">
        <v>4041</v>
      </c>
      <c r="C201" s="21" t="s">
        <v>202</v>
      </c>
      <c r="D201" s="21" t="s">
        <v>1029</v>
      </c>
      <c r="E201" s="13">
        <v>42912.899930555555</v>
      </c>
      <c r="F201" s="13">
        <v>42912.90252314815</v>
      </c>
      <c r="G201" s="7">
        <v>1</v>
      </c>
      <c r="H201" s="21" t="s">
        <v>1002</v>
      </c>
      <c r="I201" s="13">
        <v>42912.913194444445</v>
      </c>
      <c r="J201" s="7">
        <v>0</v>
      </c>
      <c r="K201" s="89" t="str">
        <f t="shared" si="67"/>
        <v>4041/4042</v>
      </c>
      <c r="L201" s="21" t="str">
        <f>VLOOKUP(A201,'Trips&amp;Operators'!$C$1:$G$99999,5,FALSE)</f>
        <v>STAMBAUGH JAMES</v>
      </c>
      <c r="M201" s="6">
        <f t="shared" si="68"/>
        <v>1.0671296295186039E-2</v>
      </c>
      <c r="N201" s="7">
        <f t="shared" si="87"/>
        <v>15.366666665067896</v>
      </c>
      <c r="O201" s="7"/>
      <c r="P201" s="7"/>
      <c r="Q201" s="22"/>
      <c r="R201" s="170"/>
      <c r="S201" s="213">
        <f t="shared" si="69"/>
        <v>1</v>
      </c>
      <c r="T201" s="195" t="str">
        <f t="shared" si="7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1"/>
        <v>https://d0f6bd738d7f1b3e5a7ca70fe4ff75f0.us-east-1.aws.found.io/app/kibana#/discover/Steve-Slow-Train-Analysis-(2080s-and-2083s)?_g=(refreshInterval:(display:Off,pause:!f,section:0,value:0),time:(from:'2017-06-26T20:35:54-0600',mode:absolute,to:'2017-06-26T22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97" t="str">
        <f>IF(AA201&lt;VLOOKUP(AG201,Variables!$AC$3:$AD$8,2,FALSE),"Y","N")</f>
        <v>N</v>
      </c>
      <c r="X201" s="197">
        <f t="shared" si="89"/>
        <v>1</v>
      </c>
      <c r="Y201" s="197">
        <f t="shared" si="85"/>
        <v>5.8658000000000001</v>
      </c>
      <c r="Z201" s="197">
        <f t="shared" si="86"/>
        <v>7.1900000000000006E-2</v>
      </c>
      <c r="AA201" s="197">
        <f t="shared" si="73"/>
        <v>5.7938999999999998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74"/>
        <v>844</v>
      </c>
      <c r="AE201" s="77" t="str">
        <f t="shared" si="75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201" s="74" t="str">
        <f t="shared" si="76"/>
        <v>"C:\Program Files (x86)\AstroGrep\AstroGrep.exe" /e /r /s /spath="%USERPROFILE%\AppData\Local\Temp\OnboardLogs" /stypes="app*4041*20170627*" /stext=" 03:.+((SYSTEM_STATE.+slice.+state.+changed )|(ment ac)|(multiple cpu faults)|(system.+state.+changed )|(\[timeout)|(PRM\|1\|D)|(kpr)|(kdp)|(train st.+moving)|(\|lc)|(penalty))"</v>
      </c>
      <c r="AG201" s="209" t="str">
        <f t="shared" si="77"/>
        <v>NW</v>
      </c>
      <c r="AH201" s="78" t="str">
        <f t="shared" si="78"/>
        <v>"%USERPROFILE%\Documents\GitHub\eaglep3\Utilities\RefineRTDCRunTimes.py" --tripid 844-26 --locoid 4041 --swversion DE.1.0.9.0 --startMP 300:58658 --initTime 2017-06-26T21:35:54 --startdatetime 2017-06-26T21:39:38 --delay 1 --endMP 204:719 --enddatetime 2017-06-26T21:55:00 --enforcementcount 0 &gt;&gt;C:\Users\stu\Documents\GitHub\eaglep3-reporting\EC\2017-06-26-refined-times.txt</v>
      </c>
      <c r="AI201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{"issue":{"subject":"","project_id":79,"tracker_id":40,"status_id":1,"priority_id":2,"assigned_to_id":23,"start_date":"2017-06-26","description":"","custom_fields":[{"id":1,"name":"Subdivision","value":"NW"},{"id":4,"name":"Milepost","value":"0.0719"},{"id":17,"name":"Train ID","value":"844-26"},{"id":16,"name":"Locomotive ID","value":"4041"},{"id":130,"name":"Impact","value":""},{"id":150,"name":"Time of Event (Mountain Time)","value":"21:55:00"},{"id":151,"name":"Denver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80"/>
        <v>start /low /b %USERPROFILE%\Documents\GitHub\eaglep3\Utilities\DownloadLogsFromS3.py --loco 4041 --day 2017-06-26</v>
      </c>
      <c r="AN201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853</v>
      </c>
      <c r="B202" s="7">
        <v>4042</v>
      </c>
      <c r="C202" s="21" t="s">
        <v>202</v>
      </c>
      <c r="D202" s="21" t="s">
        <v>1007</v>
      </c>
      <c r="E202" s="13">
        <v>42912.880011574074</v>
      </c>
      <c r="F202" s="13">
        <v>42912.890023148146</v>
      </c>
      <c r="G202" s="7">
        <v>2</v>
      </c>
      <c r="H202" s="21" t="s">
        <v>1030</v>
      </c>
      <c r="I202" s="13">
        <v>42912.899004629631</v>
      </c>
      <c r="J202" s="7">
        <v>0</v>
      </c>
      <c r="K202" s="89" t="str">
        <f t="shared" si="67"/>
        <v>4041/4042</v>
      </c>
      <c r="L202" s="21" t="str">
        <f>VLOOKUP(A202,'Trips&amp;Operators'!$C$1:$G$99999,5,FALSE)</f>
        <v>STAMBAUGH JAMES</v>
      </c>
      <c r="M202" s="6">
        <f t="shared" si="68"/>
        <v>8.9814814855344594E-3</v>
      </c>
      <c r="N202" s="7">
        <f t="shared" si="87"/>
        <v>12.933333339169621</v>
      </c>
      <c r="O202" s="7"/>
      <c r="P202" s="7"/>
      <c r="Q202" s="22"/>
      <c r="R202" s="170"/>
      <c r="S202" s="213">
        <f t="shared" si="69"/>
        <v>1</v>
      </c>
      <c r="T202" s="195" t="str">
        <f t="shared" si="7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1"/>
        <v>https://d0f6bd738d7f1b3e5a7ca70fe4ff75f0.us-east-1.aws.found.io/app/kibana#/discover/Steve-Slow-Train-Analysis-(2080s-and-2083s)?_g=(refreshInterval:(display:Off,pause:!f,section:0,value:0),time:(from:'2017-06-26T20:07:13-0600',mode:absolute,to:'2017-06-26T22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197" t="str">
        <f>IF(AA202&lt;VLOOKUP(AG202,Variables!$AC$3:$AD$8,2,FALSE),"Y","N")</f>
        <v>N</v>
      </c>
      <c r="X202" s="197">
        <f t="shared" si="89"/>
        <v>1</v>
      </c>
      <c r="Y202" s="197">
        <f t="shared" ref="Y202:Y233" si="90">RIGHT(D202,LEN(D202)-4)/10000</f>
        <v>9.7199999999999995E-2</v>
      </c>
      <c r="Z202" s="197">
        <f t="shared" ref="Z202:Z233" si="91">RIGHT(H202,LEN(H202)-4)/10000</f>
        <v>5.8975</v>
      </c>
      <c r="AA202" s="197">
        <f t="shared" si="73"/>
        <v>5.8003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74"/>
        <v>845</v>
      </c>
      <c r="AE202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202" s="74" t="str">
        <f t="shared" si="76"/>
        <v>"C:\Program Files (x86)\AstroGrep\AstroGrep.exe" /e /r /s /spath="%USERPROFILE%\AppData\Local\Temp\OnboardLogs" /stypes="app*4042*20170627*" /stext=" 03:.+((SYSTEM_STATE.+slice.+state.+changed )|(ment ac)|(multiple cpu faults)|(system.+state.+changed )|(\[timeout)|(PRM\|1\|D)|(kpr)|(kdp)|(train st.+moving)|(\|lc)|(penalty))"</v>
      </c>
      <c r="AG202" s="209" t="str">
        <f t="shared" si="77"/>
        <v>NW</v>
      </c>
      <c r="AH202" s="78" t="str">
        <f t="shared" si="78"/>
        <v>"%USERPROFILE%\Documents\GitHub\eaglep3\Utilities\RefineRTDCRunTimes.py" --tripid 845-26 --locoid 4042 --swversion DE.1.0.9.0 --startMP 204:972 --initTime 2017-06-26T21:07:13 --startdatetime 2017-06-26T21:21:38 --delay 2 --endMP 300:58975 --enddatetime 2017-06-26T21:34:34 --enforcementcount 0 &gt;&gt;C:\Users\stu\Documents\GitHub\eaglep3-reporting\EC\2017-06-26-refined-times.txt</v>
      </c>
      <c r="AI202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{"issue":{"subject":"","project_id":79,"tracker_id":40,"status_id":1,"priority_id":2,"assigned_to_id":23,"start_date":"2017-06-26","description":"","custom_fields":[{"id":1,"name":"Subdivision","value":"NW"},{"id":4,"name":"Milepost","value":"5.8975"},{"id":17,"name":"Train ID","value":"845-26"},{"id":16,"name":"Locomotive ID","value":"4042"},{"id":130,"name":"Impact","value":""},{"id":150,"name":"Time of Event (Mountain Time)","value":"21:34:34"},{"id":151,"name":"Denver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0"/>
        <v>start /low /b %USERPROFILE%\Documents\GitHub\eaglep3\Utilities\DownloadLogsFromS3.py --loco 4042 --day 2017-06-26</v>
      </c>
      <c r="AN202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03:34:34"},{"id":29,"name":"Sharepoint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858</v>
      </c>
      <c r="B203" s="7">
        <v>4042</v>
      </c>
      <c r="C203" s="21" t="s">
        <v>202</v>
      </c>
      <c r="D203" s="21" t="s">
        <v>1031</v>
      </c>
      <c r="E203" s="13">
        <v>42912.925787037035</v>
      </c>
      <c r="F203" s="13">
        <v>42912.931585648148</v>
      </c>
      <c r="G203" s="7">
        <v>1</v>
      </c>
      <c r="H203" s="21" t="s">
        <v>1032</v>
      </c>
      <c r="I203" s="13">
        <v>42912.941284722219</v>
      </c>
      <c r="J203" s="7">
        <v>0</v>
      </c>
      <c r="K203" s="89" t="str">
        <f t="shared" si="67"/>
        <v>4041/4042</v>
      </c>
      <c r="L203" s="21" t="str">
        <f>VLOOKUP(A203,'Trips&amp;Operators'!$C$1:$G$99999,5,FALSE)</f>
        <v>STAMBAUGH JAMES</v>
      </c>
      <c r="M203" s="6">
        <f t="shared" si="68"/>
        <v>9.6990740712499246E-3</v>
      </c>
      <c r="N203" s="7">
        <f t="shared" si="87"/>
        <v>13.966666662599891</v>
      </c>
      <c r="O203" s="7"/>
      <c r="P203" s="7"/>
      <c r="Q203" s="22"/>
      <c r="R203" s="170"/>
      <c r="S203" s="213">
        <f t="shared" si="69"/>
        <v>1</v>
      </c>
      <c r="T203" s="195" t="str">
        <f t="shared" si="70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1"/>
        <v>https://d0f6bd738d7f1b3e5a7ca70fe4ff75f0.us-east-1.aws.found.io/app/kibana#/discover/Steve-Slow-Train-Analysis-(2080s-and-2083s)?_g=(refreshInterval:(display:Off,pause:!f,section:0,value:0),time:(from:'2017-06-26T21:13:08-0600',mode:absolute,to:'2017-06-26T23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97" t="str">
        <f>IF(AA203&lt;VLOOKUP(AG203,Variables!$AC$3:$AD$8,2,FALSE),"Y","N")</f>
        <v>N</v>
      </c>
      <c r="X203" s="197">
        <f t="shared" si="89"/>
        <v>2</v>
      </c>
      <c r="Y203" s="197">
        <f t="shared" si="90"/>
        <v>0.1004</v>
      </c>
      <c r="Z203" s="197">
        <f t="shared" si="91"/>
        <v>5.8910999999999998</v>
      </c>
      <c r="AA203" s="197">
        <f t="shared" si="73"/>
        <v>5.7907000000000002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74"/>
        <v>847</v>
      </c>
      <c r="AE203" s="77" t="str">
        <f t="shared" si="75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203" s="74" t="str">
        <f t="shared" si="76"/>
        <v>"C:\Program Files (x86)\AstroGrep\AstroGrep.exe" /e /r /s /spath="%USERPROFILE%\AppData\Local\Temp\OnboardLogs" /stypes="app*4042*20170627*" /stext=" 04:.+((SYSTEM_STATE.+slice.+state.+changed )|(ment ac)|(multiple cpu faults)|(system.+state.+changed )|(\[timeout)|(PRM\|1\|D)|(kpr)|(kdp)|(train st.+moving)|(\|lc)|(penalty))"</v>
      </c>
      <c r="AG203" s="209" t="str">
        <f t="shared" si="77"/>
        <v>NW</v>
      </c>
      <c r="AH203" s="78" t="str">
        <f t="shared" si="78"/>
        <v>"%USERPROFILE%\Documents\GitHub\eaglep3\Utilities\RefineRTDCRunTimes.py" --tripid 847-26 --locoid 4042 --swversion DE.1.0.9.0 --startMP 204:1004 --initTime 2017-06-26T22:13:08 --startdatetime 2017-06-26T22:21:29 --delay 1 --endMP 300:58911 --enddatetime 2017-06-26T22:35:27 --enforcementcount 0 &gt;&gt;C:\Users\stu\Documents\GitHub\eaglep3-reporting\EC\2017-06-26-refined-times.txt</v>
      </c>
      <c r="AI203" s="96" t="str">
        <f t="shared" si="79"/>
        <v>echo {"issue":{"subject":"","project_id":79,"tracker_id":40,"status_id":1,"priority_id":2,"assigned_to_id":23,"start_date":"2017-06-26","description":"","custom_fields":[{"id":1,"name":"Subdivision","value":"NW"},{"id":4,"name":"Milepost","value":"5.8911"},{"id":17,"name":"Train ID","value":"847-26"},{"id":16,"name":"Locomotive ID","value":"4042"},{"id":130,"name":"Impact","value":""},{"id":150,"name":"Time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80"/>
        <v>start /low /b %USERPROFILE%\Documents\GitHub\eaglep3\Utilities\DownloadLogsFromS3.py --loco 4042 --day 2017-06-26</v>
      </c>
      <c r="AN203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658</v>
      </c>
      <c r="B204" s="7">
        <v>4055</v>
      </c>
      <c r="C204" s="21" t="s">
        <v>202</v>
      </c>
      <c r="D204" s="21" t="s">
        <v>939</v>
      </c>
      <c r="E204" s="13">
        <v>42912.115868055553</v>
      </c>
      <c r="F204" s="13">
        <v>42912.11824074074</v>
      </c>
      <c r="G204" s="7">
        <v>3</v>
      </c>
      <c r="H204" s="21" t="s">
        <v>451</v>
      </c>
      <c r="I204" s="13">
        <v>42912.123854166668</v>
      </c>
      <c r="J204" s="7">
        <v>0</v>
      </c>
      <c r="K204" s="89" t="str">
        <f t="shared" si="67"/>
        <v>4055/4056</v>
      </c>
      <c r="L204" s="21" t="str">
        <f>VLOOKUP(A204,'Trips&amp;Operators'!$C$1:$G$99999,5,FALSE)</f>
        <v>MAELZER KURT</v>
      </c>
      <c r="M204" s="6">
        <f t="shared" si="68"/>
        <v>5.6134259284590371E-3</v>
      </c>
      <c r="N204" s="7">
        <f t="shared" si="87"/>
        <v>8.0833333369810134</v>
      </c>
      <c r="O204" s="7"/>
      <c r="P204" s="7"/>
      <c r="Q204" s="22"/>
      <c r="R204" s="170"/>
      <c r="S204" s="213">
        <f t="shared" si="69"/>
        <v>1</v>
      </c>
      <c r="T204" s="195" t="str">
        <f t="shared" si="70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1"/>
        <v>https://d0f6bd738d7f1b3e5a7ca70fe4ff75f0.us-east-1.aws.found.io/app/kibana#/discover/Steve-Slow-Train-Analysis-(2080s-and-2083s)?_g=(refreshInterval:(display:Off,pause:!f,section:0,value:0),time:(from:'2017-06-26T01:46:51-0600',mode:absolute,to:'2017-06-26T03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4" s="197" t="str">
        <f>IF(AA204&lt;VLOOKUP(AG204,Variables!$AC$3:$AD$8,2,FALSE),"Y","N")</f>
        <v>Y</v>
      </c>
      <c r="X204" s="197">
        <f t="shared" si="89"/>
        <v>-547</v>
      </c>
      <c r="Y204" s="197">
        <f t="shared" si="90"/>
        <v>2.2296999999999998</v>
      </c>
      <c r="Z204" s="197">
        <f t="shared" si="91"/>
        <v>1.38E-2</v>
      </c>
      <c r="AA204" s="197">
        <f t="shared" si="73"/>
        <v>2.2159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74"/>
        <v>300</v>
      </c>
      <c r="AE204" s="77" t="str">
        <f t="shared" si="75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204" s="74" t="str">
        <f t="shared" si="76"/>
        <v>"C:\Program Files (x86)\AstroGrep\AstroGrep.exe" /e /r /s /spath="%USERPROFILE%\AppData\Local\Temp\OnboardLogs" /stypes="app*4055*20170626*" /stext=" 08:.+((SYSTEM_STATE.+slice.+state.+changed )|(ment ac)|(multiple cpu faults)|(system.+state.+changed )|(\[timeout)|(PRM\|1\|D)|(kpr)|(kdp)|(train st.+moving)|(\|lc)|(penalty))"</v>
      </c>
      <c r="AG204" s="209" t="str">
        <f t="shared" si="77"/>
        <v>Other</v>
      </c>
      <c r="AH204" s="78" t="str">
        <f t="shared" si="78"/>
        <v>"%USERPROFILE%\Documents\GitHub\eaglep3\Utilities\RefineRTDCRunTimes.py" --tripid 300-26 --locoid 4055 --swversion DE.1.0.9.0 --startMP 300:22297 --initTime 2017-06-26T02:46:51 --startdatetime 2017-06-26T02:50:16 --delay 3 --endMP 204:138 --enddatetime 2017-06-26T02:58:21 --enforcementcount 0 &gt;&gt;C:\Users\stu\Documents\GitHub\eaglep3-reporting\EC\2017-06-26-refined-times.txt</v>
      </c>
      <c r="AI204" s="96" t="str">
        <f t="shared" si="79"/>
        <v>echo {"issue":{"subject":"","project_id":79,"tracker_id":40,"status_id":1,"priority_id":2,"assigned_to_id":23,"start_date":"2017-06-26","description":"","custom_fields":[{"id":1,"name":"Subdivision","value":"Other"},{"id":4,"name":"Milepost","value":"0.0138"},{"id":17,"name":"Train ID","value":"300-26"},{"id":16,"name":"Locomotive ID","value":"4055"},{"id":130,"name":"Impact","value":""},{"id":150,"name":"Time of Event (Mountain Time)","value":"02:58:21"},{"id":151,"name":"Denver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80"/>
        <v>start /low /b %USERPROFILE%\Documents\GitHub\eaglep3\Utilities\DownloadLogsFromS3.py --loco 4055 --day 2017-06-26</v>
      </c>
      <c r="AN204" s="151" t="str">
        <f t="shared" si="81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08:58:21"},{"id":29,"name":"Sharepoint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836</v>
      </c>
      <c r="B205" s="7">
        <v>4030</v>
      </c>
      <c r="C205" s="21" t="s">
        <v>202</v>
      </c>
      <c r="D205" s="21" t="s">
        <v>539</v>
      </c>
      <c r="E205" s="13">
        <v>42912.779687499999</v>
      </c>
      <c r="F205" s="13">
        <v>42912.7815625</v>
      </c>
      <c r="G205" s="7">
        <v>1</v>
      </c>
      <c r="H205" s="21" t="s">
        <v>940</v>
      </c>
      <c r="I205" s="13">
        <v>42912.788564814815</v>
      </c>
      <c r="J205" s="7">
        <v>0</v>
      </c>
      <c r="K205" s="89" t="str">
        <f t="shared" ref="K205:K255" si="92">IF(ISEVEN(B205),(B205-1)&amp;"/"&amp;B205,B205&amp;"/"&amp;(B205+1))</f>
        <v>4029/4030</v>
      </c>
      <c r="L205" s="21" t="str">
        <f>VLOOKUP(A205,'Trips&amp;Operators'!$C$1:$G$99999,5,FALSE)</f>
        <v>LEVERE CRAIG</v>
      </c>
      <c r="M205" s="6">
        <f t="shared" ref="M205:M255" si="93">I205-F205</f>
        <v>7.0023148145992309E-3</v>
      </c>
      <c r="N205" s="7">
        <f t="shared" si="87"/>
        <v>10.083333333022892</v>
      </c>
      <c r="O205" s="7"/>
      <c r="P205" s="7"/>
      <c r="Q205" s="22"/>
      <c r="R205" s="170"/>
      <c r="S205" s="213">
        <f t="shared" ref="S205:S255" si="94">SUM(U205:U205)/IF(AG205="EC",12,1)</f>
        <v>1</v>
      </c>
      <c r="T205" s="195" t="str">
        <f t="shared" ref="T205:T255" si="95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5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-26T17:42:45-0600',mode:absolute,to:'2017-06-26T19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197" t="str">
        <f>IF(AA205&lt;VLOOKUP(AG205,Variables!$AC$3:$AD$8,2,FALSE),"Y","N")</f>
        <v>Y</v>
      </c>
      <c r="X205" s="197">
        <f t="shared" si="89"/>
        <v>1</v>
      </c>
      <c r="Y205" s="197">
        <f t="shared" si="90"/>
        <v>4.7500000000000001E-2</v>
      </c>
      <c r="Z205" s="197">
        <f t="shared" si="91"/>
        <v>2.3039000000000001</v>
      </c>
      <c r="AA205" s="197">
        <f t="shared" ref="AA205:AA255" si="97">ABS(Z205-Y205)</f>
        <v>2.2564000000000002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55" si="98">VALUE(LEFT(A205,LEN(A205)-3))</f>
        <v>301</v>
      </c>
      <c r="AE205" s="77" t="str">
        <f t="shared" ref="AE205:AE255" si="9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AF205" s="74" t="str">
        <f t="shared" ref="AF205:AF255" si="10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/stypes="app*4030*20170627*" /stext=" 00:.+((SYSTEM_STATE.+slice.+state.+changed )|(ment ac)|(multiple cpu faults)|(system.+state.+changed )|(\[timeout)|(PRM\|1\|D)|(kpr)|(kdp)|(train st.+moving)|(\|lc)|(penalty))"</v>
      </c>
      <c r="AG205" s="209" t="str">
        <f t="shared" ref="AG205:AG255" si="101">DetSubdiv(A205)</f>
        <v>Other</v>
      </c>
      <c r="AH205" s="78" t="str">
        <f t="shared" si="78"/>
        <v>"%USERPROFILE%\Documents\GitHub\eaglep3\Utilities\RefineRTDCRunTimes.py" --tripid 301-26 --locoid 4030 --swversion DE.1.0.9.0 --startMP 204:475 --initTime 2017-06-26T18:42:45 --startdatetime 2017-06-26T18:45:27 --delay 1 --endMP 300:23039 --enddatetime 2017-06-26T18:55:32 --enforcementcount 0 &gt;&gt;C:\Users\stu\Documents\GitHub\eaglep3-reporting\EC\2017-06-26-refined-times.txt</v>
      </c>
      <c r="AI205" s="96" t="str">
        <f t="shared" si="79"/>
        <v>echo {"issue":{"subject":"","project_id":79,"tracker_id":40,"status_id":1,"priority_id":2,"assigned_to_id":23,"start_date":"2017-06-26","description":"","custom_fields":[{"id":1,"name":"Subdivision","value":"Other"},{"id":4,"name":"Milepost","value":"2.3039"},{"id":17,"name":"Train ID","value":"301-26"},{"id":16,"name":"Locomotive ID","value":"4030"},{"id":130,"name":"Impact","value":""},{"id":150,"name":"Time of Event (Mountain Time)","value":"18:55:32"},{"id":151,"name":"Denver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80"/>
        <v>start /low /b %USERPROFILE%\Documents\GitHub\eaglep3\Utilities\DownloadLogsFromS3.py --loco 4030 --day 2017-06-26</v>
      </c>
      <c r="AN205" s="151" t="str">
        <f t="shared" si="8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664</v>
      </c>
      <c r="B206" s="7">
        <v>4003</v>
      </c>
      <c r="C206" s="21" t="s">
        <v>202</v>
      </c>
      <c r="D206" s="21" t="s">
        <v>941</v>
      </c>
      <c r="E206" s="13">
        <v>42912.138645833336</v>
      </c>
      <c r="F206" s="13">
        <v>42912.142083333332</v>
      </c>
      <c r="G206" s="7">
        <v>4</v>
      </c>
      <c r="H206" s="21" t="s">
        <v>436</v>
      </c>
      <c r="I206" s="13">
        <v>42912.147893518515</v>
      </c>
      <c r="J206" s="7">
        <v>0</v>
      </c>
      <c r="K206" s="89" t="str">
        <f t="shared" si="92"/>
        <v>4003/4004</v>
      </c>
      <c r="L206" s="21" t="str">
        <f>VLOOKUP(A206,'Trips&amp;Operators'!$C$1:$G$99999,5,FALSE)</f>
        <v>BONDS REYNALDO</v>
      </c>
      <c r="M206" s="6">
        <f t="shared" si="93"/>
        <v>5.8101851827814244E-3</v>
      </c>
      <c r="N206" s="7">
        <f t="shared" si="87"/>
        <v>8.3666666632052511</v>
      </c>
      <c r="O206" s="7"/>
      <c r="P206" s="7"/>
      <c r="Q206" s="22"/>
      <c r="R206" s="170"/>
      <c r="S206" s="213">
        <f t="shared" si="94"/>
        <v>1</v>
      </c>
      <c r="T206" s="195" t="str">
        <f t="shared" si="95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6"/>
        <v>https://d0f6bd738d7f1b3e5a7ca70fe4ff75f0.us-east-1.aws.found.io/app/kibana#/discover/Steve-Slow-Train-Analysis-(2080s-and-2083s)?_g=(refreshInterval:(display:Off,pause:!f,section:0,value:0),time:(from:'2017-06-26T02:19:39-0600',mode:absolute,to:'2017-06-26T04:32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6" s="197" t="str">
        <f>IF(AA206&lt;VLOOKUP(AG206,Variables!$AC$3:$AD$8,2,FALSE),"Y","N")</f>
        <v>Y</v>
      </c>
      <c r="X206" s="197">
        <f t="shared" si="89"/>
        <v>1</v>
      </c>
      <c r="Y206" s="197">
        <f t="shared" si="90"/>
        <v>2.3563000000000001</v>
      </c>
      <c r="Z206" s="197">
        <f t="shared" si="91"/>
        <v>1.5599999999999999E-2</v>
      </c>
      <c r="AA206" s="197">
        <f t="shared" si="97"/>
        <v>2.3407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8"/>
        <v>302</v>
      </c>
      <c r="AE206" s="77" t="str">
        <f t="shared" si="99"/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AF206" s="74" t="str">
        <f t="shared" si="100"/>
        <v>"C:\Program Files (x86)\AstroGrep\AstroGrep.exe" /e /r /s /spath="%USERPROFILE%\AppData\Local\Temp\OnboardLogs" /stypes="app*4003*20170626*" /stext=" 09:.+((SYSTEM_STATE.+slice.+state.+changed )|(ment ac)|(multiple cpu faults)|(system.+state.+changed )|(\[timeout)|(PRM\|1\|D)|(kpr)|(kdp)|(train st.+moving)|(\|lc)|(penalty))"</v>
      </c>
      <c r="AG206" s="209" t="str">
        <f t="shared" si="101"/>
        <v>Other</v>
      </c>
      <c r="AH206" s="78" t="str">
        <f t="shared" ref="AH206:AH255" si="10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302-26 --locoid 4003 --swversion DE.1.0.9.0 --startMP 300:23563 --initTime 2017-06-26T03:19:39 --startdatetime 2017-06-26T03:24:36 --delay 4 --endMP 204:156 --enddatetime 2017-06-26T03:32:58 --enforcementcount 0 &gt;&gt;C:\Users\stu\Documents\GitHub\eaglep3-reporting\EC\2017-06-26-refined-times.txt</v>
      </c>
      <c r="AI206" s="96" t="str">
        <f t="shared" ref="AI206:AI255" si="10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{"issue":{"subject":"","project_id":79,"tracker_id":40,"status_id":1,"priority_id":2,"assigned_to_id":23,"start_date":"2017-06-26","description":"","custom_fields":[{"id":1,"name":"Subdivision","value":"Other"},{"id":4,"name":"Milepost","value":"0.0156"},{"id":17,"name":"Train ID","value":"302-26"},{"id":16,"name":"Locomotive ID","value":"4003"},{"id":130,"name":"Impact","value":""},{"id":150,"name":"Time of Event (Mountain Time)","value":"03:32:58"},{"id":151,"name":"Denver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55" si="104">"start /low /b "&amp;dls3logs&amp;" --loco "&amp;B206&amp;" --day "&amp;TEXT(F206,"YYYY-MM-DD")</f>
        <v>start /low /b %USERPROFILE%\Documents\GitHub\eaglep3\Utilities\DownloadLogsFromS3.py --loco 4003 --day 2017-06-26</v>
      </c>
      <c r="AN206" s="151" t="str">
        <f t="shared" ref="AN206:AN255" si="10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09:32:58"},{"id":29,"name":"Sharepoint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842</v>
      </c>
      <c r="B207" s="7">
        <v>4046</v>
      </c>
      <c r="C207" s="21" t="s">
        <v>202</v>
      </c>
      <c r="D207" s="21" t="s">
        <v>492</v>
      </c>
      <c r="E207" s="13">
        <v>42912.800069444442</v>
      </c>
      <c r="F207" s="13">
        <v>42912.802164351851</v>
      </c>
      <c r="G207" s="7">
        <v>2</v>
      </c>
      <c r="H207" s="21" t="s">
        <v>942</v>
      </c>
      <c r="I207" s="13">
        <v>42912.808923611112</v>
      </c>
      <c r="J207" s="7">
        <v>0</v>
      </c>
      <c r="K207" s="89" t="str">
        <f t="shared" si="92"/>
        <v>4045/4046</v>
      </c>
      <c r="L207" s="21" t="str">
        <f>VLOOKUP(A207,'Trips&amp;Operators'!$C$1:$G$99999,5,FALSE)</f>
        <v>BRANDNER MELINDA</v>
      </c>
      <c r="M207" s="6">
        <f t="shared" si="93"/>
        <v>6.7592592604341917E-3</v>
      </c>
      <c r="N207" s="7">
        <f t="shared" si="87"/>
        <v>9.733333335025236</v>
      </c>
      <c r="O207" s="7"/>
      <c r="P207" s="7"/>
      <c r="Q207" s="22"/>
      <c r="R207" s="170"/>
      <c r="S207" s="213">
        <f t="shared" si="94"/>
        <v>1</v>
      </c>
      <c r="T207" s="195" t="str">
        <f t="shared" si="95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6"/>
        <v>https://d0f6bd738d7f1b3e5a7ca70fe4ff75f0.us-east-1.aws.found.io/app/kibana#/discover/Steve-Slow-Train-Analysis-(2080s-and-2083s)?_g=(refreshInterval:(display:Off,pause:!f,section:0,value:0),time:(from:'2017-06-26T18:12:06-0600',mode:absolute,to:'2017-06-26T20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7" s="197" t="str">
        <f>IF(AA207&lt;VLOOKUP(AG207,Variables!$AC$3:$AD$8,2,FALSE),"Y","N")</f>
        <v>Y</v>
      </c>
      <c r="X207" s="197">
        <f t="shared" si="89"/>
        <v>1</v>
      </c>
      <c r="Y207" s="197">
        <f t="shared" si="90"/>
        <v>4.58E-2</v>
      </c>
      <c r="Z207" s="197">
        <f t="shared" si="91"/>
        <v>2.2995999999999999</v>
      </c>
      <c r="AA207" s="197">
        <f t="shared" si="97"/>
        <v>2.2538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8"/>
        <v>303</v>
      </c>
      <c r="AE207" s="77" t="str">
        <f t="shared" si="99"/>
        <v>aws s3 cp s3://rtdc.mdm.uploadarchive.raw/RTDC4046/ "%USERPROFILE%\AppData\Local\Temp\OnboardLogs"\RTDC4046\2017-06-26 --exclude "*" --recursive --include "*20170626*" &amp; "%USERPROFILE%\Documents\GitHub\mrs-test-scripts\Headless Mode &amp; Sideloading\WalkAndUnGZ.bat" "%USERPROFILE%\AppData\Local\Temp\OnboardLogs"\RTDC4046\2017-06-26 &amp; 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</v>
      </c>
      <c r="AF207" s="74" t="str">
        <f t="shared" si="100"/>
        <v>"C:\Program Files (x86)\AstroGrep\AstroGrep.exe" /e /r /s /spath="%USERPROFILE%\AppData\Local\Temp\OnboardLogs" /stypes="app*4046*20170627*" /stext=" 01:.+((SYSTEM_STATE.+slice.+state.+changed )|(ment ac)|(multiple cpu faults)|(system.+state.+changed )|(\[timeout)|(PRM\|1\|D)|(kpr)|(kdp)|(train st.+moving)|(\|lc)|(penalty))"</v>
      </c>
      <c r="AG207" s="209" t="str">
        <f t="shared" si="101"/>
        <v>Other</v>
      </c>
      <c r="AH207" s="78" t="str">
        <f t="shared" si="102"/>
        <v>"%USERPROFILE%\Documents\GitHub\eaglep3\Utilities\RefineRTDCRunTimes.py" --tripid 303-26 --locoid 4046 --swversion DE.1.0.9.0 --startMP 204:458 --initTime 2017-06-26T19:12:06 --startdatetime 2017-06-26T19:15:07 --delay 2 --endMP 300:22996 --enddatetime 2017-06-26T19:24:51 --enforcementcount 0 &gt;&gt;C:\Users\stu\Documents\GitHub\eaglep3-reporting\EC\2017-06-26-refined-times.txt</v>
      </c>
      <c r="AI207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{"issue":{"subject":"","project_id":79,"tracker_id":40,"status_id":1,"priority_id":2,"assigned_to_id":23,"start_date":"2017-06-26","description":"","custom_fields":[{"id":1,"name":"Subdivision","value":"Other"},{"id":4,"name":"Milepost","value":"2.2996"},{"id":17,"name":"Train ID","value":"303-26"},{"id":16,"name":"Locomotive ID","value":"4046"},{"id":130,"name":"Impact","value":""},{"id":150,"name":"Time of Event (Mountain Time)","value":"19:24:51"},{"id":151,"name":"Denver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04"/>
        <v>start /low /b %USERPROFILE%\Documents\GitHub\eaglep3\Utilities\DownloadLogsFromS3.py --loco 4046 --day 2017-06-26</v>
      </c>
      <c r="AN207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668</v>
      </c>
      <c r="B208" s="7">
        <v>4053</v>
      </c>
      <c r="C208" s="21" t="s">
        <v>202</v>
      </c>
      <c r="D208" s="21" t="s">
        <v>943</v>
      </c>
      <c r="E208" s="13">
        <v>42912.161608796298</v>
      </c>
      <c r="F208" s="13">
        <v>42912.16673611111</v>
      </c>
      <c r="G208" s="7">
        <v>7</v>
      </c>
      <c r="H208" s="21" t="s">
        <v>872</v>
      </c>
      <c r="I208" s="13">
        <v>42912.172418981485</v>
      </c>
      <c r="J208" s="7">
        <v>0</v>
      </c>
      <c r="K208" s="89" t="str">
        <f t="shared" si="92"/>
        <v>4053/4054</v>
      </c>
      <c r="L208" s="21" t="str">
        <f>VLOOKUP(A208,'Trips&amp;Operators'!$C$1:$G$99999,5,FALSE)</f>
        <v>STARKS ANGELINA</v>
      </c>
      <c r="M208" s="6">
        <f t="shared" si="93"/>
        <v>5.6828703745850362E-3</v>
      </c>
      <c r="N208" s="7">
        <f t="shared" si="87"/>
        <v>8.1833333394024521</v>
      </c>
      <c r="O208" s="7"/>
      <c r="P208" s="7"/>
      <c r="Q208" s="22"/>
      <c r="R208" s="170"/>
      <c r="S208" s="213">
        <f t="shared" si="94"/>
        <v>1</v>
      </c>
      <c r="T208" s="195" t="str">
        <f t="shared" si="95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6"/>
        <v>https://d0f6bd738d7f1b3e5a7ca70fe4ff75f0.us-east-1.aws.found.io/app/kibana#/discover/Steve-Slow-Train-Analysis-(2080s-and-2083s)?_g=(refreshInterval:(display:Off,pause:!f,section:0,value:0),time:(from:'2017-06-26T02:52:43-0600',mode:absolute,to:'2017-06-26T05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8" s="197" t="str">
        <f>IF(AA208&lt;VLOOKUP(AG208,Variables!$AC$3:$AD$8,2,FALSE),"Y","N")</f>
        <v>Y</v>
      </c>
      <c r="X208" s="197">
        <f t="shared" si="89"/>
        <v>1</v>
      </c>
      <c r="Y208" s="197">
        <f t="shared" si="90"/>
        <v>2.1080999999999999</v>
      </c>
      <c r="Z208" s="197">
        <f t="shared" si="91"/>
        <v>1.3599999999999999E-2</v>
      </c>
      <c r="AA208" s="197">
        <f t="shared" si="97"/>
        <v>2.0945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8"/>
        <v>304</v>
      </c>
      <c r="AE208" s="77" t="str">
        <f t="shared" si="99"/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AF208" s="74" t="str">
        <f t="shared" si="100"/>
        <v>"C:\Program Files (x86)\AstroGrep\AstroGrep.exe" /e /r /s /spath="%USERPROFILE%\AppData\Local\Temp\OnboardLogs" /stypes="app*4053*20170626*" /stext=" 10:.+((SYSTEM_STATE.+slice.+state.+changed )|(ment ac)|(multiple cpu faults)|(system.+state.+changed )|(\[timeout)|(PRM\|1\|D)|(kpr)|(kdp)|(train st.+moving)|(\|lc)|(penalty))"</v>
      </c>
      <c r="AG208" s="209" t="str">
        <f t="shared" si="101"/>
        <v>Other</v>
      </c>
      <c r="AH208" s="78" t="str">
        <f t="shared" si="102"/>
        <v>"%USERPROFILE%\Documents\GitHub\eaglep3\Utilities\RefineRTDCRunTimes.py" --tripid 304-26 --locoid 4053 --swversion DE.1.0.9.0 --startMP 300:21081 --initTime 2017-06-26T03:52:43 --startdatetime 2017-06-26T04:00:06 --delay 7 --endMP 204:136 --enddatetime 2017-06-26T04:08:17 --enforcementcount 0 &gt;&gt;C:\Users\stu\Documents\GitHub\eaglep3-reporting\EC\2017-06-26-refined-times.txt</v>
      </c>
      <c r="AI208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{"issue":{"subject":"","project_id":79,"tracker_id":40,"status_id":1,"priority_id":2,"assigned_to_id":23,"start_date":"2017-06-26","description":"","custom_fields":[{"id":1,"name":"Subdivision","value":"Other"},{"id":4,"name":"Milepost","value":"0.0136"},{"id":17,"name":"Train ID","value":"304-26"},{"id":16,"name":"Locomotive ID","value":"4053"},{"id":130,"name":"Impact","value":""},{"id":150,"name":"Time of Event (Mountain Time)","value":"04:08:17"},{"id":151,"name":"Denver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04"/>
        <v>start /low /b %USERPROFILE%\Documents\GitHub\eaglep3\Utilities\DownloadLogsFromS3.py --loco 4053 --day 2017-06-26</v>
      </c>
      <c r="AN208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845</v>
      </c>
      <c r="B209" s="7">
        <v>4056</v>
      </c>
      <c r="C209" s="21" t="s">
        <v>202</v>
      </c>
      <c r="D209" s="21" t="s">
        <v>354</v>
      </c>
      <c r="E209" s="13">
        <v>42912.818229166667</v>
      </c>
      <c r="F209" s="13">
        <v>42912.819768518515</v>
      </c>
      <c r="G209" s="7">
        <v>1</v>
      </c>
      <c r="H209" s="21" t="s">
        <v>353</v>
      </c>
      <c r="I209" s="13">
        <v>42912.82675925926</v>
      </c>
      <c r="J209" s="7">
        <v>0</v>
      </c>
      <c r="K209" s="89" t="str">
        <f t="shared" si="92"/>
        <v>4055/4056</v>
      </c>
      <c r="L209" s="21" t="str">
        <f>VLOOKUP(A209,'Trips&amp;Operators'!$C$1:$G$99999,5,FALSE)</f>
        <v>MCREYNOLDS KYLE</v>
      </c>
      <c r="M209" s="6">
        <f t="shared" si="93"/>
        <v>6.9907407450955361E-3</v>
      </c>
      <c r="N209" s="7">
        <f t="shared" ref="N209:N240" si="106">24*60*SUM($M209:$M209)</f>
        <v>10.066666672937572</v>
      </c>
      <c r="O209" s="7"/>
      <c r="P209" s="7"/>
      <c r="Q209" s="22"/>
      <c r="R209" s="170"/>
      <c r="S209" s="213">
        <f t="shared" si="94"/>
        <v>1</v>
      </c>
      <c r="T209" s="195" t="str">
        <f t="shared" si="95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6"/>
        <v>https://d0f6bd738d7f1b3e5a7ca70fe4ff75f0.us-east-1.aws.found.io/app/kibana#/discover/Steve-Slow-Train-Analysis-(2080s-and-2083s)?_g=(refreshInterval:(display:Off,pause:!f,section:0,value:0),time:(from:'2017-06-26T18:38:15-0600',mode:absolute,to:'2017-06-26T20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9" s="197" t="str">
        <f>IF(AA209&lt;VLOOKUP(AG209,Variables!$AC$3:$AD$8,2,FALSE),"Y","N")</f>
        <v>Y</v>
      </c>
      <c r="X209" s="197">
        <f t="shared" si="89"/>
        <v>1</v>
      </c>
      <c r="Y209" s="197">
        <f t="shared" si="90"/>
        <v>4.53E-2</v>
      </c>
      <c r="Z209" s="197">
        <f t="shared" si="91"/>
        <v>2.3346</v>
      </c>
      <c r="AA209" s="197">
        <f t="shared" si="97"/>
        <v>2.2892999999999999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8"/>
        <v>305</v>
      </c>
      <c r="AE209" s="77" t="str">
        <f t="shared" si="99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209" s="74" t="str">
        <f t="shared" si="100"/>
        <v>"C:\Program Files (x86)\AstroGrep\AstroGrep.exe" /e /r /s /spath="%USERPROFILE%\AppData\Local\Temp\OnboardLogs" /stypes="app*4056*20170627*" /stext=" 01:.+((SYSTEM_STATE.+slice.+state.+changed )|(ment ac)|(multiple cpu faults)|(system.+state.+changed )|(\[timeout)|(PRM\|1\|D)|(kpr)|(kdp)|(train st.+moving)|(\|lc)|(penalty))"</v>
      </c>
      <c r="AG209" s="209" t="str">
        <f t="shared" si="101"/>
        <v>Other</v>
      </c>
      <c r="AH209" s="78" t="str">
        <f t="shared" si="102"/>
        <v>"%USERPROFILE%\Documents\GitHub\eaglep3\Utilities\RefineRTDCRunTimes.py" --tripid 305-26 --locoid 4056 --swversion DE.1.0.9.0 --startMP 204:453 --initTime 2017-06-26T19:38:15 --startdatetime 2017-06-26T19:40:28 --delay 1 --endMP 300:23346 --enddatetime 2017-06-26T19:50:32 --enforcementcount 0 &gt;&gt;C:\Users\stu\Documents\GitHub\eaglep3-reporting\EC\2017-06-26-refined-times.txt</v>
      </c>
      <c r="AI209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{"issue":{"subject":"","project_id":79,"tracker_id":40,"status_id":1,"priority_id":2,"assigned_to_id":23,"start_date":"2017-06-26","description":"","custom_fields":[{"id":1,"name":"Subdivision","value":"Other"},{"id":4,"name":"Milepost","value":"2.3346"},{"id":17,"name":"Train ID","value":"305-26"},{"id":16,"name":"Locomotive ID","value":"4056"},{"id":130,"name":"Impact","value":""},{"id":150,"name":"Time of Event (Mountain Time)","value":"19:50:32"},{"id":151,"name":"Denver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04"/>
        <v>start /low /b %USERPROFILE%\Documents\GitHub\eaglep3\Utilities\DownloadLogsFromS3.py --loco 4056 --day 2017-06-26</v>
      </c>
      <c r="AN209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672</v>
      </c>
      <c r="B210" s="7">
        <v>4013</v>
      </c>
      <c r="C210" s="21" t="s">
        <v>202</v>
      </c>
      <c r="D210" s="21" t="s">
        <v>944</v>
      </c>
      <c r="E210" s="13">
        <v>42912.172094907408</v>
      </c>
      <c r="F210" s="13">
        <v>42912.175682870373</v>
      </c>
      <c r="G210" s="7">
        <v>5</v>
      </c>
      <c r="H210" s="21" t="s">
        <v>348</v>
      </c>
      <c r="I210" s="13">
        <v>42912.181296296294</v>
      </c>
      <c r="J210" s="7">
        <v>0</v>
      </c>
      <c r="K210" s="89" t="str">
        <f t="shared" si="92"/>
        <v>4013/4014</v>
      </c>
      <c r="L210" s="21" t="str">
        <f>VLOOKUP(A210,'Trips&amp;Operators'!$C$1:$G$99999,5,FALSE)</f>
        <v>LALONDE GREGORY</v>
      </c>
      <c r="M210" s="6">
        <f t="shared" si="93"/>
        <v>5.6134259211830795E-3</v>
      </c>
      <c r="N210" s="7">
        <f t="shared" si="106"/>
        <v>8.0833333265036345</v>
      </c>
      <c r="O210" s="7"/>
      <c r="P210" s="7"/>
      <c r="Q210" s="22"/>
      <c r="R210" s="170"/>
      <c r="S210" s="213">
        <f t="shared" si="94"/>
        <v>1</v>
      </c>
      <c r="T210" s="195" t="str">
        <f t="shared" si="95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6"/>
        <v>https://d0f6bd738d7f1b3e5a7ca70fe4ff75f0.us-east-1.aws.found.io/app/kibana#/discover/Steve-Slow-Train-Analysis-(2080s-and-2083s)?_g=(refreshInterval:(display:Off,pause:!f,section:0,value:0),time:(from:'2017-06-26T03:07:49-0600',mode:absolute,to:'2017-06-26T05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0" s="197" t="str">
        <f>IF(AA210&lt;VLOOKUP(AG210,Variables!$AC$3:$AD$8,2,FALSE),"Y","N")</f>
        <v>Y</v>
      </c>
      <c r="X210" s="197">
        <f t="shared" si="89"/>
        <v>1</v>
      </c>
      <c r="Y210" s="197">
        <f t="shared" si="90"/>
        <v>2.3475999999999999</v>
      </c>
      <c r="Z210" s="197">
        <f t="shared" si="91"/>
        <v>1.4999999999999999E-2</v>
      </c>
      <c r="AA210" s="197">
        <f t="shared" si="97"/>
        <v>2.3325999999999998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8"/>
        <v>306</v>
      </c>
      <c r="AE210" s="77" t="str">
        <f t="shared" si="99"/>
        <v>aws s3 cp s3://rtdc.mdm.uploadarchive.raw/RTDC4013/ "%USERPROFILE%\AppData\Local\Temp\OnboardLogs"\RTDC4013\2017-06-26 --exclude "*" --recursive --include "*20170626*" &amp; "%USERPROFILE%\Documents\GitHub\mrs-test-scripts\Headless Mode &amp; Sideloading\WalkAndUnGZ.bat" "%USERPROFILE%\AppData\Local\Temp\OnboardLogs"\RTDC4013\2017-06-26 &amp; aws s3 cp s3://rtdc.mdm.uploadarchive.raw/RTDC4013/ "%USERPROFILE%\AppData\Local\Temp\OnboardLogs"\RTDC4013\2017-06-27 --exclude "*" --recursive --include "*20170627*" &amp; "%USERPROFILE%\Documents\GitHub\mrs-test-scripts\Headless Mode &amp; Sideloading\WalkAndUnGZ.bat" "%USERPROFILE%\AppData\Local\Temp\OnboardLogs"\RTDC4013\2017-06-27</v>
      </c>
      <c r="AF210" s="74" t="str">
        <f t="shared" si="100"/>
        <v>"C:\Program Files (x86)\AstroGrep\AstroGrep.exe" /e /r /s /spath="%USERPROFILE%\AppData\Local\Temp\OnboardLogs" /stypes="app*4013*20170626*" /stext=" 10:.+((SYSTEM_STATE.+slice.+state.+changed )|(ment ac)|(multiple cpu faults)|(system.+state.+changed )|(\[timeout)|(PRM\|1\|D)|(kpr)|(kdp)|(train st.+moving)|(\|lc)|(penalty))"</v>
      </c>
      <c r="AG210" s="209" t="str">
        <f t="shared" si="101"/>
        <v>Other</v>
      </c>
      <c r="AH210" s="78" t="str">
        <f t="shared" si="102"/>
        <v>"%USERPROFILE%\Documents\GitHub\eaglep3\Utilities\RefineRTDCRunTimes.py" --tripid 306-26 --locoid 4013 --swversion DE.1.0.9.0 --startMP 300:23476 --initTime 2017-06-26T04:07:49 --startdatetime 2017-06-26T04:12:59 --delay 5 --endMP 204:150 --enddatetime 2017-06-26T04:21:04 --enforcementcount 0 &gt;&gt;C:\Users\stu\Documents\GitHub\eaglep3-reporting\EC\2017-06-26-refined-times.txt</v>
      </c>
      <c r="AI210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{"issue":{"subject":"","project_id":79,"tracker_id":40,"status_id":1,"priority_id":2,"assigned_to_id":23,"start_date":"2017-06-26","description":"","custom_fields":[{"id":1,"name":"Subdivision","value":"Other"},{"id":4,"name":"Milepost","value":"0.015"},{"id":17,"name":"Train ID","value":"306-26"},{"id":16,"name":"Locomotive ID","value":"4013"},{"id":130,"name":"Impact","value":""},{"id":150,"name":"Time of Event (Mountain Time)","value":"04:21:04"},{"id":151,"name":"Denver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4"/>
        <v>start /low /b %USERPROFILE%\Documents\GitHub\eaglep3\Utilities\DownloadLogsFromS3.py --loco 4013 --day 2017-06-26</v>
      </c>
      <c r="AN210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868</v>
      </c>
      <c r="B211" s="7">
        <v>4016</v>
      </c>
      <c r="C211" s="21" t="s">
        <v>202</v>
      </c>
      <c r="D211" s="21" t="s">
        <v>347</v>
      </c>
      <c r="E211" s="13">
        <v>42913.026875000003</v>
      </c>
      <c r="F211" s="13">
        <v>42913.029039351852</v>
      </c>
      <c r="G211" s="7">
        <v>1</v>
      </c>
      <c r="H211" s="21" t="s">
        <v>604</v>
      </c>
      <c r="I211" s="13">
        <v>42913.037187499998</v>
      </c>
      <c r="J211" s="7">
        <v>0</v>
      </c>
      <c r="K211" s="89" t="str">
        <f t="shared" si="92"/>
        <v>4015/4016</v>
      </c>
      <c r="L211" s="21" t="str">
        <f>VLOOKUP(A211,'Trips&amp;Operators'!$C$1:$G$99999,5,FALSE)</f>
        <v>PERKINS DARREN</v>
      </c>
      <c r="M211" s="6">
        <f t="shared" si="93"/>
        <v>8.1481481465743855E-3</v>
      </c>
      <c r="N211" s="7">
        <f t="shared" si="106"/>
        <v>11.733333331067115</v>
      </c>
      <c r="O211" s="7"/>
      <c r="P211" s="7"/>
      <c r="Q211" s="22"/>
      <c r="R211" s="170"/>
      <c r="S211" s="213">
        <f t="shared" si="94"/>
        <v>1</v>
      </c>
      <c r="T211" s="195" t="str">
        <f t="shared" si="95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6"/>
        <v>https://d0f6bd738d7f1b3e5a7ca70fe4ff75f0.us-east-1.aws.found.io/app/kibana#/discover/Steve-Slow-Train-Analysis-(2080s-and-2083s)?_g=(refreshInterval:(display:Off,pause:!f,section:0,value:0),time:(from:'2017-06-26T23:38:42-0600',mode:absolute,to:'2017-06-27T01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197" t="str">
        <f>IF(AA211&lt;VLOOKUP(AG211,Variables!$AC$3:$AD$8,2,FALSE),"Y","N")</f>
        <v>Y</v>
      </c>
      <c r="X211" s="197">
        <f t="shared" si="89"/>
        <v>1</v>
      </c>
      <c r="Y211" s="197">
        <f t="shared" si="90"/>
        <v>4.4600000000000001E-2</v>
      </c>
      <c r="Z211" s="197">
        <f t="shared" si="91"/>
        <v>2.3302</v>
      </c>
      <c r="AA211" s="197">
        <f t="shared" si="97"/>
        <v>2.2856000000000001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8"/>
        <v>307</v>
      </c>
      <c r="AE211" s="77" t="str">
        <f t="shared" si="99"/>
        <v>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 &amp; aws s3 cp s3://rtdc.mdm.uploadarchive.raw/RTDC4016/ "%USERPROFILE%\AppData\Local\Temp\OnboardLogs"\RTDC4016\2017-06-28 --exclude "*" --recursive --include "*20170628*" &amp; "%USERPROFILE%\Documents\GitHub\mrs-test-scripts\Headless Mode &amp; Sideloading\WalkAndUnGZ.bat" "%USERPROFILE%\AppData\Local\Temp\OnboardLogs"\RTDC4016\2017-06-28</v>
      </c>
      <c r="AF211" s="74" t="str">
        <f t="shared" si="100"/>
        <v>"C:\Program Files (x86)\AstroGrep\AstroGrep.exe" /e /r /s /spath="%USERPROFILE%\AppData\Local\Temp\OnboardLogs" /stypes="app*4016*20170627*" /stext=" 06:.+((SYSTEM_STATE.+slice.+state.+changed )|(ment ac)|(multiple cpu faults)|(system.+state.+changed )|(\[timeout)|(PRM\|1\|D)|(kpr)|(kdp)|(train st.+moving)|(\|lc)|(penalty))"</v>
      </c>
      <c r="AG211" s="209" t="str">
        <f t="shared" si="101"/>
        <v>Other</v>
      </c>
      <c r="AH211" s="78" t="str">
        <f t="shared" si="102"/>
        <v>"%USERPROFILE%\Documents\GitHub\eaglep3\Utilities\RefineRTDCRunTimes.py" --tripid 307-26 --locoid 4016 --swversion DE.1.0.9.0 --startMP 204:446 --initTime 2017-06-27T00:38:42 --startdatetime 2017-06-27T00:41:49 --delay 1 --endMP 300:23302 --enddatetime 2017-06-27T00:53:33 --enforcementcount 0 &gt;&gt;C:\Users\stu\Documents\GitHub\eaglep3-reporting\EC\2017-06-26-refined-times.txt</v>
      </c>
      <c r="AI211" s="96" t="str">
        <f t="shared" si="103"/>
        <v>echo {"issue":{"subject":"","project_id":79,"tracker_id":40,"status_id":1,"priority_id":2,"assigned_to_id":23,"start_date":"2017-06-27","description":"","custom_fields":[{"id":1,"name":"Subdivision","value":"Other"},{"id":4,"name":"Milepost","value":"2.3302"},{"id":17,"name":"Train ID","value":"307-26"},{"id":16,"name":"Locomotive ID","value":"4016"},{"id":130,"name":"Impact","value":""},{"id":150,"name":"Time of Event (Mountain Time)","value":"00:53:33"},{"id":151,"name":"Denver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4"/>
        <v>start /low /b %USERPROFILE%\Documents\GitHub\eaglep3\Utilities\DownloadLogsFromS3.py --loco 4016 --day 2017-06-27</v>
      </c>
      <c r="AN211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06:53:33"},{"id":29,"name":"Sharepoint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674</v>
      </c>
      <c r="B212" s="7">
        <v>4029</v>
      </c>
      <c r="C212" s="21" t="s">
        <v>202</v>
      </c>
      <c r="D212" s="21" t="s">
        <v>945</v>
      </c>
      <c r="E212" s="13">
        <v>42912.180520833332</v>
      </c>
      <c r="F212" s="13">
        <v>42912.183692129627</v>
      </c>
      <c r="G212" s="7">
        <v>4</v>
      </c>
      <c r="H212" s="21" t="s">
        <v>527</v>
      </c>
      <c r="I212" s="13">
        <v>42912.190787037034</v>
      </c>
      <c r="J212" s="7">
        <v>0</v>
      </c>
      <c r="K212" s="89" t="str">
        <f t="shared" si="92"/>
        <v>4029/4030</v>
      </c>
      <c r="L212" s="21" t="str">
        <f>VLOOKUP(A212,'Trips&amp;Operators'!$C$1:$G$99999,5,FALSE)</f>
        <v>WILLIAMS DONTE</v>
      </c>
      <c r="M212" s="6">
        <f t="shared" si="93"/>
        <v>7.0949074070085771E-3</v>
      </c>
      <c r="N212" s="7">
        <f t="shared" si="106"/>
        <v>10.216666666092351</v>
      </c>
      <c r="O212" s="7"/>
      <c r="P212" s="7"/>
      <c r="Q212" s="22"/>
      <c r="R212" s="170"/>
      <c r="S212" s="213">
        <f t="shared" si="94"/>
        <v>1</v>
      </c>
      <c r="T212" s="195" t="str">
        <f t="shared" si="95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6"/>
        <v>https://d0f6bd738d7f1b3e5a7ca70fe4ff75f0.us-east-1.aws.found.io/app/kibana#/discover/Steve-Slow-Train-Analysis-(2080s-and-2083s)?_g=(refreshInterval:(display:Off,pause:!f,section:0,value:0),time:(from:'2017-06-26T03:19:57-0600',mode:absolute,to:'2017-06-26T05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2" s="197" t="str">
        <f>IF(AA212&lt;VLOOKUP(AG212,Variables!$AC$3:$AD$8,2,FALSE),"Y","N")</f>
        <v>Y</v>
      </c>
      <c r="X212" s="197">
        <f t="shared" si="89"/>
        <v>1</v>
      </c>
      <c r="Y212" s="197">
        <f t="shared" si="90"/>
        <v>2.3858000000000001</v>
      </c>
      <c r="Z212" s="197">
        <f t="shared" si="91"/>
        <v>1.6299999999999999E-2</v>
      </c>
      <c r="AA212" s="197">
        <f t="shared" si="97"/>
        <v>2.3694999999999999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8"/>
        <v>308</v>
      </c>
      <c r="AE212" s="77" t="str">
        <f t="shared" si="99"/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AF212" s="74" t="str">
        <f t="shared" si="100"/>
        <v>"C:\Program Files (x86)\AstroGrep\AstroGrep.exe" /e /r /s /spath="%USERPROFILE%\AppData\Local\Temp\OnboardLogs" /stypes="app*4029*20170626*" /stext=" 10:.+((SYSTEM_STATE.+slice.+state.+changed )|(ment ac)|(multiple cpu faults)|(system.+state.+changed )|(\[timeout)|(PRM\|1\|D)|(kpr)|(kdp)|(train st.+moving)|(\|lc)|(penalty))"</v>
      </c>
      <c r="AG212" s="209" t="str">
        <f t="shared" si="101"/>
        <v>Other</v>
      </c>
      <c r="AH212" s="78" t="str">
        <f t="shared" si="102"/>
        <v>"%USERPROFILE%\Documents\GitHub\eaglep3\Utilities\RefineRTDCRunTimes.py" --tripid 308-26 --locoid 4029 --swversion DE.1.0.9.0 --startMP 300:23858 --initTime 2017-06-26T04:19:57 --startdatetime 2017-06-26T04:24:31 --delay 4 --endMP 204:163 --enddatetime 2017-06-26T04:34:44 --enforcementcount 0 &gt;&gt;C:\Users\stu\Documents\GitHub\eaglep3-reporting\EC\2017-06-26-refined-times.txt</v>
      </c>
      <c r="AI212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{"issue":{"subject":"","project_id":79,"tracker_id":40,"status_id":1,"priority_id":2,"assigned_to_id":23,"start_date":"2017-06-26","description":"","custom_fields":[{"id":1,"name":"Subdivision","value":"Other"},{"id":4,"name":"Milepost","value":"0.0163"},{"id":17,"name":"Train ID","value":"308-26"},{"id":16,"name":"Locomotive ID","value":"4029"},{"id":130,"name":"Impact","value":""},{"id":150,"name":"Time of Event (Mountain Time)","value":"04:34:44"},{"id":151,"name":"Denver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4"/>
        <v>start /low /b %USERPROFILE%\Documents\GitHub\eaglep3\Utilities\DownloadLogsFromS3.py --loco 4029 --day 2017-06-26</v>
      </c>
      <c r="AN212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657</v>
      </c>
      <c r="B213" s="7">
        <v>4058</v>
      </c>
      <c r="C213" s="21" t="s">
        <v>202</v>
      </c>
      <c r="D213" s="21" t="s">
        <v>605</v>
      </c>
      <c r="E213" s="13">
        <v>42913.047685185185</v>
      </c>
      <c r="F213" s="13">
        <v>42913.049432870372</v>
      </c>
      <c r="G213" s="7">
        <v>1</v>
      </c>
      <c r="H213" s="21" t="s">
        <v>604</v>
      </c>
      <c r="I213" s="13">
        <v>42913.057037037041</v>
      </c>
      <c r="J213" s="7">
        <v>0</v>
      </c>
      <c r="K213" s="89" t="str">
        <f t="shared" si="92"/>
        <v>4057/4058</v>
      </c>
      <c r="L213" s="21" t="str">
        <f>VLOOKUP(A213,'Trips&amp;Operators'!$C$1:$G$99999,5,FALSE)</f>
        <v>SMITH MICHAEL</v>
      </c>
      <c r="M213" s="6">
        <f t="shared" si="93"/>
        <v>7.6041666688979603E-3</v>
      </c>
      <c r="N213" s="7">
        <f t="shared" si="106"/>
        <v>10.950000003213063</v>
      </c>
      <c r="O213" s="7"/>
      <c r="P213" s="7"/>
      <c r="Q213" s="22"/>
      <c r="R213" s="170"/>
      <c r="S213" s="213">
        <f t="shared" si="94"/>
        <v>1</v>
      </c>
      <c r="T213" s="195" t="str">
        <f t="shared" si="95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6"/>
        <v>https://d0f6bd738d7f1b3e5a7ca70fe4ff75f0.us-east-1.aws.found.io/app/kibana#/discover/Steve-Slow-Train-Analysis-(2080s-and-2083s)?_g=(refreshInterval:(display:Off,pause:!f,section:0,value:0),time:(from:'2017-06-27T00:08:40-0600',mode:absolute,to:'2017-06-27T02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3" s="197" t="str">
        <f>IF(AA213&lt;VLOOKUP(AG213,Variables!$AC$3:$AD$8,2,FALSE),"Y","N")</f>
        <v>Y</v>
      </c>
      <c r="X213" s="197">
        <f t="shared" si="89"/>
        <v>1</v>
      </c>
      <c r="Y213" s="197">
        <f t="shared" si="90"/>
        <v>4.7800000000000002E-2</v>
      </c>
      <c r="Z213" s="197">
        <f t="shared" si="91"/>
        <v>2.3302</v>
      </c>
      <c r="AA213" s="197">
        <f t="shared" si="97"/>
        <v>2.2824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8"/>
        <v>309</v>
      </c>
      <c r="AE213" s="77" t="str">
        <f t="shared" si="99"/>
        <v>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 &amp; aws s3 cp s3://rtdc.mdm.uploadarchive.raw/RTDC4058/ "%USERPROFILE%\AppData\Local\Temp\OnboardLogs"\RTDC4058\2017-06-28 --exclude "*" --recursive --include "*20170628*" &amp; "%USERPROFILE%\Documents\GitHub\mrs-test-scripts\Headless Mode &amp; Sideloading\WalkAndUnGZ.bat" "%USERPROFILE%\AppData\Local\Temp\OnboardLogs"\RTDC4058\2017-06-28</v>
      </c>
      <c r="AF213" s="74" t="str">
        <f t="shared" si="100"/>
        <v>"C:\Program Files (x86)\AstroGrep\AstroGrep.exe" /e /r /s /spath="%USERPROFILE%\AppData\Local\Temp\OnboardLogs" /stypes="app*4058*20170627*" /stext=" 07:.+((SYSTEM_STATE.+slice.+state.+changed )|(ment ac)|(multiple cpu faults)|(system.+state.+changed )|(\[timeout)|(PRM\|1\|D)|(kpr)|(kdp)|(train st.+moving)|(\|lc)|(penalty))"</v>
      </c>
      <c r="AG213" s="209" t="str">
        <f t="shared" si="101"/>
        <v>Other</v>
      </c>
      <c r="AH213" s="78" t="str">
        <f t="shared" si="102"/>
        <v>"%USERPROFILE%\Documents\GitHub\eaglep3\Utilities\RefineRTDCRunTimes.py" --tripid 309-26 --locoid 4058 --swversion DE.1.0.9.0 --startMP 204:478 --initTime 2017-06-27T01:08:40 --startdatetime 2017-06-27T01:11:11 --delay 1 --endMP 300:23302 --enddatetime 2017-06-27T01:22:08 --enforcementcount 0 &gt;&gt;C:\Users\stu\Documents\GitHub\eaglep3-reporting\EC\2017-06-26-refined-times.txt</v>
      </c>
      <c r="AI213" s="96" t="str">
        <f t="shared" si="103"/>
        <v>echo {"issue":{"subject":"","project_id":79,"tracker_id":40,"status_id":1,"priority_id":2,"assigned_to_id":23,"start_date":"2017-06-27","description":"","custom_fields":[{"id":1,"name":"Subdivision","value":"Other"},{"id":4,"name":"Milepost","value":"2.3302"},{"id":17,"name":"Train ID","value":"309-26"},{"id":16,"name":"Locomotive ID","value":"4058"},{"id":130,"name":"Impact","value":""},{"id":150,"name":"Time of Event (Mountain Time)","value":"01:22:08"},{"id":151,"name":"Denver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04"/>
        <v>start /low /b %USERPROFILE%\Documents\GitHub\eaglep3\Utilities\DownloadLogsFromS3.py --loco 4058 --day 2017-06-27</v>
      </c>
      <c r="AN213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07:22:08"},{"id":29,"name":"Sharepoint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679</v>
      </c>
      <c r="B214" s="7">
        <v>4045</v>
      </c>
      <c r="C214" s="21" t="s">
        <v>202</v>
      </c>
      <c r="D214" s="21" t="s">
        <v>946</v>
      </c>
      <c r="E214" s="13">
        <v>42912.196875000001</v>
      </c>
      <c r="F214" s="13">
        <v>42912.200138888889</v>
      </c>
      <c r="G214" s="7">
        <v>4</v>
      </c>
      <c r="H214" s="21" t="s">
        <v>394</v>
      </c>
      <c r="I214" s="13">
        <v>42912.20548611111</v>
      </c>
      <c r="J214" s="7">
        <v>0</v>
      </c>
      <c r="K214" s="89" t="str">
        <f t="shared" si="92"/>
        <v>4045/4046</v>
      </c>
      <c r="L214" s="21" t="str">
        <f>VLOOKUP(A214,'Trips&amp;Operators'!$C$1:$G$99999,5,FALSE)</f>
        <v>HELVIE ADAM</v>
      </c>
      <c r="M214" s="6">
        <f t="shared" si="93"/>
        <v>5.3472222207346931E-3</v>
      </c>
      <c r="N214" s="7">
        <f t="shared" si="106"/>
        <v>7.6999999978579581</v>
      </c>
      <c r="O214" s="7"/>
      <c r="P214" s="7"/>
      <c r="Q214" s="22"/>
      <c r="R214" s="170"/>
      <c r="S214" s="213">
        <f t="shared" si="94"/>
        <v>1</v>
      </c>
      <c r="T214" s="195" t="str">
        <f t="shared" si="95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6"/>
        <v>https://d0f6bd738d7f1b3e5a7ca70fe4ff75f0.us-east-1.aws.found.io/app/kibana#/discover/Steve-Slow-Train-Analysis-(2080s-and-2083s)?_g=(refreshInterval:(display:Off,pause:!f,section:0,value:0),time:(from:'2017-06-26T03:43:30-0600',mode:absolute,to:'2017-06-26T05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89"/>
        <v>1</v>
      </c>
      <c r="Y214" s="197">
        <f t="shared" si="90"/>
        <v>2.3252000000000002</v>
      </c>
      <c r="Z214" s="197">
        <f t="shared" si="91"/>
        <v>1.54E-2</v>
      </c>
      <c r="AA214" s="197">
        <f t="shared" si="97"/>
        <v>2.3098000000000001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8"/>
        <v>310</v>
      </c>
      <c r="AE214" s="77" t="str">
        <f t="shared" si="99"/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AF214" s="74" t="str">
        <f t="shared" si="100"/>
        <v>"C:\Program Files (x86)\AstroGrep\AstroGrep.exe" /e /r /s /spath="%USERPROFILE%\AppData\Local\Temp\OnboardLogs" /stypes="app*4045*20170626*" /stext=" 10:.+((SYSTEM_STATE.+slice.+state.+changed )|(ment ac)|(multiple cpu faults)|(system.+state.+changed )|(\[timeout)|(PRM\|1\|D)|(kpr)|(kdp)|(train st.+moving)|(\|lc)|(penalty))"</v>
      </c>
      <c r="AG214" s="209" t="str">
        <f t="shared" si="101"/>
        <v>Other</v>
      </c>
      <c r="AH214" s="78" t="str">
        <f t="shared" si="102"/>
        <v>"%USERPROFILE%\Documents\GitHub\eaglep3\Utilities\RefineRTDCRunTimes.py" --tripid 310-26 --locoid 4045 --swversion DE.1.0.9.0 --startMP 300:23252 --initTime 2017-06-26T04:43:30 --startdatetime 2017-06-26T04:48:12 --delay 4 --endMP 204:154 --enddatetime 2017-06-26T04:55:54 --enforcementcount 0 &gt;&gt;C:\Users\stu\Documents\GitHub\eaglep3-reporting\EC\2017-06-26-refined-times.txt</v>
      </c>
      <c r="AI214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{"issue":{"subject":"","project_id":79,"tracker_id":40,"status_id":1,"priority_id":2,"assigned_to_id":23,"start_date":"2017-06-26","description":"","custom_fields":[{"id":1,"name":"Subdivision","value":"Other"},{"id":4,"name":"Milepost","value":"0.0154"},{"id":17,"name":"Train ID","value":"310-26"},{"id":16,"name":"Locomotive ID","value":"4045"},{"id":130,"name":"Impact","value":""},{"id":150,"name":"Time of Event (Mountain Time)","value":"04:55:54"},{"id":151,"name":"Denver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4"/>
        <v>start /low /b %USERPROFILE%\Documents\GitHub\eaglep3\Utilities\DownloadLogsFromS3.py --loco 4045 --day 2017-06-26</v>
      </c>
      <c r="AN214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571</v>
      </c>
      <c r="B215" s="7">
        <v>4063</v>
      </c>
      <c r="C215" s="21" t="s">
        <v>202</v>
      </c>
      <c r="D215" s="21" t="s">
        <v>613</v>
      </c>
      <c r="E215" s="13">
        <v>42912.077766203707</v>
      </c>
      <c r="F215" s="13">
        <v>42912.079895833333</v>
      </c>
      <c r="G215" s="7">
        <v>1</v>
      </c>
      <c r="H215" s="21" t="s">
        <v>545</v>
      </c>
      <c r="I215" s="13">
        <v>42912.082881944443</v>
      </c>
      <c r="J215" s="7">
        <v>0</v>
      </c>
      <c r="K215" s="89" t="str">
        <f t="shared" si="92"/>
        <v>4063/4064</v>
      </c>
      <c r="L215" s="21" t="str">
        <f>VLOOKUP(A215,'Trips&amp;Operators'!$C$1:$G$99999,5,FALSE)</f>
        <v>PERKINS DARREN</v>
      </c>
      <c r="M215" s="6">
        <f t="shared" si="93"/>
        <v>2.9861111106583849E-3</v>
      </c>
      <c r="N215" s="7">
        <f t="shared" si="106"/>
        <v>4.2999999993480742</v>
      </c>
      <c r="O215" s="7"/>
      <c r="P215" s="7"/>
      <c r="Q215" s="22"/>
      <c r="R215" s="170"/>
      <c r="S215" s="213">
        <f t="shared" si="94"/>
        <v>0</v>
      </c>
      <c r="T215" s="195" t="str">
        <f t="shared" si="95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96"/>
        <v>https://d0f6bd738d7f1b3e5a7ca70fe4ff75f0.us-east-1.aws.found.io/app/kibana#/discover/Steve-Slow-Train-Analysis-(2080s-and-2083s)?_g=(refreshInterval:(display:Off,pause:!f,section:0,value:0),time:(from:'2017-06-26T00:51:59-0600',mode:absolute,to:'2017-06-26T02:59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5" s="197" t="str">
        <f>IF(AA215&lt;VLOOKUP(AG215,Variables!$AC$3:$AD$8,2,FALSE),"Y","N")</f>
        <v>Y</v>
      </c>
      <c r="X215" s="197">
        <f t="shared" si="89"/>
        <v>1</v>
      </c>
      <c r="Y215" s="197">
        <f t="shared" si="90"/>
        <v>3.0764999999999998</v>
      </c>
      <c r="Z215" s="197">
        <f t="shared" si="91"/>
        <v>2.8769999999999998</v>
      </c>
      <c r="AA215" s="197">
        <f t="shared" si="97"/>
        <v>0.19950000000000001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8"/>
        <v>311</v>
      </c>
      <c r="AE215" s="77" t="str">
        <f t="shared" si="99"/>
        <v>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 &amp; aws s3 cp s3://rtdc.mdm.uploadarchive.raw/RTDC4063/ "%USERPROFILE%\AppData\Local\Temp\OnboardLogs"\RTDC4063\2017-06-27 --exclude "*" --recursive --include "*20170627*" &amp; "%USERPROFILE%\Documents\GitHub\mrs-test-scripts\Headless Mode &amp; Sideloading\WalkAndUnGZ.bat" "%USERPROFILE%\AppData\Local\Temp\OnboardLogs"\RTDC4063\2017-06-27</v>
      </c>
      <c r="AF215" s="74" t="str">
        <f t="shared" si="100"/>
        <v>"C:\Program Files (x86)\AstroGrep\AstroGrep.exe" /e /r /s /spath="%USERPROFILE%\AppData\Local\Temp\OnboardLogs" /stypes="app*4063*20170626*" /stext=" 07:.+((SYSTEM_STATE.+slice.+state.+changed )|(ment ac)|(multiple cpu faults)|(system.+state.+changed )|(\[timeout)|(PRM\|1\|D)|(kpr)|(kdp)|(train st.+moving)|(\|lc)|(penalty))"</v>
      </c>
      <c r="AG215" s="209" t="str">
        <f t="shared" si="101"/>
        <v>Other</v>
      </c>
      <c r="AH215" s="78" t="str">
        <f t="shared" si="102"/>
        <v>"%USERPROFILE%\Documents\GitHub\eaglep3\Utilities\RefineRTDCRunTimes.py" --tripid 311-25 --locoid 4063 --swversion DE.1.0.9.0 --startMP 300:30765 --initTime 2017-06-26T01:51:59 --startdatetime 2017-06-26T01:55:03 --delay 1 --endMP 300:28770 --enddatetime 2017-06-26T01:59:21 --enforcementcount 0 &gt;&gt;C:\Users\stu\Documents\GitHub\eaglep3-reporting\EC\2017-06-26-refined-times.txt</v>
      </c>
      <c r="AI215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{"issue":{"subject":"","project_id":79,"tracker_id":40,"status_id":1,"priority_id":2,"assigned_to_id":23,"start_date":"2017-06-26","description":"","custom_fields":[{"id":1,"name":"Subdivision","value":"Other"},{"id":4,"name":"Milepost","value":"2.877"},{"id":17,"name":"Train ID","value":"311-25"},{"id":16,"name":"Locomotive ID","value":"4063"},{"id":130,"name":"Impact","value":""},{"id":150,"name":"Time of Event (Mountain Time)","value":"01:59:21"},{"id":151,"name":"Denver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4"/>
        <v>start /low /b %USERPROFILE%\Documents\GitHub\eaglep3\Utilities\DownloadLogsFromS3.py --loco 4063 --day 2017-06-26</v>
      </c>
      <c r="AN215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07:59:21"},{"id":29,"name":"Sharepoint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870</v>
      </c>
      <c r="B216" s="7">
        <v>4054</v>
      </c>
      <c r="C216" s="21" t="s">
        <v>202</v>
      </c>
      <c r="D216" s="21" t="s">
        <v>198</v>
      </c>
      <c r="E216" s="13">
        <v>42913.068888888891</v>
      </c>
      <c r="F216" s="13">
        <v>42913.070034722223</v>
      </c>
      <c r="G216" s="7">
        <v>0</v>
      </c>
      <c r="H216" s="21" t="s">
        <v>604</v>
      </c>
      <c r="I216" s="13">
        <v>42913.077662037038</v>
      </c>
      <c r="J216" s="7">
        <v>0</v>
      </c>
      <c r="K216" s="89" t="str">
        <f t="shared" si="92"/>
        <v>4053/4054</v>
      </c>
      <c r="L216" s="21" t="str">
        <f>VLOOKUP(A216,'Trips&amp;Operators'!$C$1:$G$99999,5,FALSE)</f>
        <v>HAITHCOX MICHAEL</v>
      </c>
      <c r="M216" s="6">
        <f t="shared" si="93"/>
        <v>7.6273148151813075E-3</v>
      </c>
      <c r="N216" s="7">
        <f t="shared" si="106"/>
        <v>10.983333333861083</v>
      </c>
      <c r="O216" s="7"/>
      <c r="P216" s="7"/>
      <c r="Q216" s="22"/>
      <c r="R216" s="170"/>
      <c r="S216" s="213">
        <f t="shared" si="94"/>
        <v>1</v>
      </c>
      <c r="T216" s="195" t="str">
        <f t="shared" si="95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6"/>
        <v>https://d0f6bd738d7f1b3e5a7ca70fe4ff75f0.us-east-1.aws.found.io/app/kibana#/discover/Steve-Slow-Train-Analysis-(2080s-and-2083s)?_g=(refreshInterval:(display:Off,pause:!f,section:0,value:0),time:(from:'2017-06-27T00:39:12-0600',mode:absolute,to:'2017-06-27T02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7" t="str">
        <f>IF(AA216&lt;VLOOKUP(AG216,Variables!$AC$3:$AD$8,2,FALSE),"Y","N")</f>
        <v>Y</v>
      </c>
      <c r="X216" s="197">
        <f t="shared" si="89"/>
        <v>0</v>
      </c>
      <c r="Y216" s="197">
        <f t="shared" si="90"/>
        <v>4.5699999999999998E-2</v>
      </c>
      <c r="Z216" s="197">
        <f t="shared" si="91"/>
        <v>2.3302</v>
      </c>
      <c r="AA216" s="197">
        <f t="shared" si="97"/>
        <v>2.2845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8"/>
        <v>311</v>
      </c>
      <c r="AE216" s="77" t="str">
        <f t="shared" si="99"/>
        <v>aws s3 cp s3://rtdc.mdm.uploadarchive.raw/RTDC4054/ "%USERPROFILE%\AppData\Local\Temp\OnboardLogs"\RTDC4054\2017-06-27 --exclude "*" --recursive --include "*20170627*" &amp; "%USERPROFILE%\Documents\GitHub\mrs-test-scripts\Headless Mode &amp; Sideloading\WalkAndUnGZ.bat" "%USERPROFILE%\AppData\Local\Temp\OnboardLogs"\RTDC4054\2017-06-27 &amp; aws s3 cp s3://rtdc.mdm.uploadarchive.raw/RTDC4054/ "%USERPROFILE%\AppData\Local\Temp\OnboardLogs"\RTDC4054\2017-06-28 --exclude "*" --recursive --include "*20170628*" &amp; "%USERPROFILE%\Documents\GitHub\mrs-test-scripts\Headless Mode &amp; Sideloading\WalkAndUnGZ.bat" "%USERPROFILE%\AppData\Local\Temp\OnboardLogs"\RTDC4054\2017-06-28</v>
      </c>
      <c r="AF216" s="74" t="str">
        <f t="shared" si="100"/>
        <v>"C:\Program Files (x86)\AstroGrep\AstroGrep.exe" /e /r /s /spath="%USERPROFILE%\AppData\Local\Temp\OnboardLogs" /stypes="app*4054*20170627*" /stext=" 07:.+((SYSTEM_STATE.+slice.+state.+changed )|(ment ac)|(multiple cpu faults)|(system.+state.+changed )|(\[timeout)|(PRM\|1\|D)|(kpr)|(kdp)|(train st.+moving)|(\|lc)|(penalty))"</v>
      </c>
      <c r="AG216" s="209" t="str">
        <f t="shared" si="101"/>
        <v>Other</v>
      </c>
      <c r="AH216" s="78" t="str">
        <f t="shared" si="102"/>
        <v>"%USERPROFILE%\Documents\GitHub\eaglep3\Utilities\RefineRTDCRunTimes.py" --tripid 311-26 --locoid 4054 --swversion DE.1.0.9.0 --startMP 204:457 --initTime 2017-06-27T01:39:12 --startdatetime 2017-06-27T01:40:51 --delay 0 --endMP 300:23302 --enddatetime 2017-06-27T01:51:50 --enforcementcount 0 &gt;&gt;C:\Users\stu\Documents\GitHub\eaglep3-reporting\EC\2017-06-26-refined-times.txt</v>
      </c>
      <c r="AI216" s="96" t="str">
        <f t="shared" si="103"/>
        <v>echo {"issue":{"subject":"","project_id":79,"tracker_id":40,"status_id":1,"priority_id":2,"assigned_to_id":23,"start_date":"2017-06-27","description":"","custom_fields":[{"id":1,"name":"Subdivision","value":"Other"},{"id":4,"name":"Milepost","value":"2.3302"},{"id":17,"name":"Train ID","value":"311-26"},{"id":16,"name":"Locomotive ID","value":"4054"},{"id":130,"name":"Impact","value":""},{"id":150,"name":"Time of Event (Mountain Time)","value":"01:51:50"},{"id":151,"name":"Denver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4"/>
        <v>start /low /b %USERPROFILE%\Documents\GitHub\eaglep3\Utilities\DownloadLogsFromS3.py --loco 4054 --day 2017-06-27</v>
      </c>
      <c r="AN216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07:51:50"},{"id":29,"name":"Sharepoint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687</v>
      </c>
      <c r="B217" s="7">
        <v>4019</v>
      </c>
      <c r="C217" s="21" t="s">
        <v>202</v>
      </c>
      <c r="D217" s="21" t="s">
        <v>947</v>
      </c>
      <c r="E217" s="13">
        <v>42912.226006944446</v>
      </c>
      <c r="F217" s="13">
        <v>42912.227442129632</v>
      </c>
      <c r="G217" s="7">
        <v>1</v>
      </c>
      <c r="H217" s="21" t="s">
        <v>512</v>
      </c>
      <c r="I217" s="13">
        <v>42912.227650462963</v>
      </c>
      <c r="J217" s="7">
        <v>0</v>
      </c>
      <c r="K217" s="89" t="str">
        <f t="shared" si="92"/>
        <v>4019/4020</v>
      </c>
      <c r="L217" s="21" t="str">
        <f>VLOOKUP(A217,'Trips&amp;Operators'!$C$1:$G$99999,5,FALSE)</f>
        <v>MACDONALD THOMAS</v>
      </c>
      <c r="M217" s="6">
        <f t="shared" si="93"/>
        <v>2.0833333110203966E-4</v>
      </c>
      <c r="N217" s="7">
        <f t="shared" si="106"/>
        <v>0.29999999678693712</v>
      </c>
      <c r="O217" s="7"/>
      <c r="P217" s="7"/>
      <c r="Q217" s="22"/>
      <c r="R217" s="170"/>
      <c r="S217" s="213">
        <f t="shared" si="94"/>
        <v>1</v>
      </c>
      <c r="T217" s="195" t="str">
        <f t="shared" si="95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96"/>
        <v>https://d0f6bd738d7f1b3e5a7ca70fe4ff75f0.us-east-1.aws.found.io/app/kibana#/discover/Steve-Slow-Train-Analysis-(2080s-and-2083s)?_g=(refreshInterval:(display:Off,pause:!f,section:0,value:0),time:(from:'2017-06-26T04:25:27-0600',mode:absolute,to:'2017-06-26T06:27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7" s="197" t="str">
        <f>IF(AA217&lt;VLOOKUP(AG217,Variables!$AC$3:$AD$8,2,FALSE),"Y","N")</f>
        <v>Y</v>
      </c>
      <c r="X217" s="197">
        <f t="shared" si="89"/>
        <v>1</v>
      </c>
      <c r="Y217" s="197">
        <f t="shared" si="90"/>
        <v>2.577</v>
      </c>
      <c r="Z217" s="197">
        <f t="shared" si="91"/>
        <v>1.32E-2</v>
      </c>
      <c r="AA217" s="197">
        <f t="shared" si="97"/>
        <v>2.5638000000000001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8"/>
        <v>312</v>
      </c>
      <c r="AE217" s="77" t="str">
        <f t="shared" si="99"/>
        <v>aws s3 cp s3://rtdc.mdm.uploadarchive.raw/RTDC4019/ "%USERPROFILE%\AppData\Local\Temp\OnboardLogs"\RTDC4019\2017-06-26 --exclude "*" --recursive --include "*20170626*" &amp; "%USERPROFILE%\Documents\GitHub\mrs-test-scripts\Headless Mode &amp; Sideloading\WalkAndUnGZ.bat" "%USERPROFILE%\AppData\Local\Temp\OnboardLogs"\RTDC4019\2017-06-26 &amp; 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</v>
      </c>
      <c r="AF217" s="74" t="str">
        <f t="shared" si="100"/>
        <v>"C:\Program Files (x86)\AstroGrep\AstroGrep.exe" /e /r /s /spath="%USERPROFILE%\AppData\Local\Temp\OnboardLogs" /stypes="app*4019*20170626*" /stext=" 11:.+((SYSTEM_STATE.+slice.+state.+changed )|(ment ac)|(multiple cpu faults)|(system.+state.+changed )|(\[timeout)|(PRM\|1\|D)|(kpr)|(kdp)|(train st.+moving)|(\|lc)|(penalty))"</v>
      </c>
      <c r="AG217" s="209" t="str">
        <f t="shared" si="101"/>
        <v>Other</v>
      </c>
      <c r="AH217" s="78" t="str">
        <f t="shared" si="102"/>
        <v>"%USERPROFILE%\Documents\GitHub\eaglep3\Utilities\RefineRTDCRunTimes.py" --tripid 312-26 --locoid 4019 --swversion DE.1.0.9.0 --startMP 300:25770 --initTime 2017-06-26T05:25:27 --startdatetime 2017-06-26T05:27:31 --delay 1 --endMP 204:132 --enddatetime 2017-06-26T05:27:49 --enforcementcount 0 &gt;&gt;C:\Users\stu\Documents\GitHub\eaglep3-reporting\EC\2017-06-26-refined-times.txt</v>
      </c>
      <c r="AI217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{"issue":{"subject":"","project_id":79,"tracker_id":40,"status_id":1,"priority_id":2,"assigned_to_id":23,"start_date":"2017-06-26","description":"","custom_fields":[{"id":1,"name":"Subdivision","value":"Other"},{"id":4,"name":"Milepost","value":"0.0132"},{"id":17,"name":"Train ID","value":"312-26"},{"id":16,"name":"Locomotive ID","value":"4019"},{"id":130,"name":"Impact","value":""},{"id":150,"name":"Time of Event (Mountain Time)","value":"05:27:49"},{"id":151,"name":"Denver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4"/>
        <v>start /low /b %USERPROFILE%\Documents\GitHub\eaglep3\Utilities\DownloadLogsFromS3.py --loco 4019 --day 2017-06-26</v>
      </c>
      <c r="AN217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11:27:49"},{"id":29,"name":"Sharepoint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572</v>
      </c>
      <c r="B218" s="7">
        <v>4018</v>
      </c>
      <c r="C218" s="21" t="s">
        <v>202</v>
      </c>
      <c r="D218" s="21" t="s">
        <v>525</v>
      </c>
      <c r="E218" s="13">
        <v>42912.088854166665</v>
      </c>
      <c r="F218" s="13">
        <v>42912.08997685185</v>
      </c>
      <c r="G218" s="7">
        <v>0</v>
      </c>
      <c r="H218" s="21" t="s">
        <v>614</v>
      </c>
      <c r="I218" s="13">
        <v>42912.098564814813</v>
      </c>
      <c r="J218" s="7">
        <v>0</v>
      </c>
      <c r="K218" s="89" t="str">
        <f t="shared" si="92"/>
        <v>4017/4018</v>
      </c>
      <c r="L218" s="21" t="str">
        <f>VLOOKUP(A218,'Trips&amp;Operators'!$C$1:$G$99999,5,FALSE)</f>
        <v>HAITHCOX MICHAEL</v>
      </c>
      <c r="M218" s="6">
        <f t="shared" si="93"/>
        <v>8.5879629623377696E-3</v>
      </c>
      <c r="N218" s="7">
        <f t="shared" si="106"/>
        <v>12.366666665766388</v>
      </c>
      <c r="O218" s="7"/>
      <c r="P218" s="7"/>
      <c r="Q218" s="22"/>
      <c r="R218" s="170"/>
      <c r="S218" s="213">
        <f t="shared" si="94"/>
        <v>1</v>
      </c>
      <c r="T218" s="195" t="str">
        <f t="shared" si="95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6"/>
        <v>https://d0f6bd738d7f1b3e5a7ca70fe4ff75f0.us-east-1.aws.found.io/app/kibana#/discover/Steve-Slow-Train-Analysis-(2080s-and-2083s)?_g=(refreshInterval:(display:Off,pause:!f,section:0,value:0),time:(from:'2017-06-26T01:07:57-0600',mode:absolute,to:'2017-06-26T03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197" t="str">
        <f>IF(AA218&lt;VLOOKUP(AG218,Variables!$AC$3:$AD$8,2,FALSE),"Y","N")</f>
        <v>Y</v>
      </c>
      <c r="X218" s="197">
        <f t="shared" si="89"/>
        <v>1</v>
      </c>
      <c r="Y218" s="197">
        <f t="shared" si="90"/>
        <v>4.7699999999999999E-2</v>
      </c>
      <c r="Z218" s="197">
        <f t="shared" si="91"/>
        <v>2.3313999999999999</v>
      </c>
      <c r="AA218" s="197">
        <f t="shared" si="97"/>
        <v>2.2837000000000001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8"/>
        <v>313</v>
      </c>
      <c r="AE218" s="77" t="str">
        <f t="shared" si="99"/>
        <v>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 &amp; 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</v>
      </c>
      <c r="AF218" s="74" t="str">
        <f t="shared" si="100"/>
        <v>"C:\Program Files (x86)\AstroGrep\AstroGrep.exe" /e /r /s /spath="%USERPROFILE%\AppData\Local\Temp\OnboardLogs" /stypes="app*4018*20170626*" /stext=" 08:.+((SYSTEM_STATE.+slice.+state.+changed )|(ment ac)|(multiple cpu faults)|(system.+state.+changed )|(\[timeout)|(PRM\|1\|D)|(kpr)|(kdp)|(train st.+moving)|(\|lc)|(penalty))"</v>
      </c>
      <c r="AG218" s="209" t="str">
        <f t="shared" si="101"/>
        <v>Other</v>
      </c>
      <c r="AH218" s="78" t="str">
        <f t="shared" si="102"/>
        <v>"%USERPROFILE%\Documents\GitHub\eaglep3\Utilities\RefineRTDCRunTimes.py" --tripid 313-25 --locoid 4018 --swversion DE.1.0.9.0 --startMP 204:477 --initTime 2017-06-26T02:07:57 --startdatetime 2017-06-26T02:09:34 --delay 0 --endMP 300:23314 --enddatetime 2017-06-26T02:21:56 --enforcementcount 0 &gt;&gt;C:\Users\stu\Documents\GitHub\eaglep3-reporting\EC\2017-06-26-refined-times.txt</v>
      </c>
      <c r="AI218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{"issue":{"subject":"","project_id":79,"tracker_id":40,"status_id":1,"priority_id":2,"assigned_to_id":23,"start_date":"2017-06-26","description":"","custom_fields":[{"id":1,"name":"Subdivision","value":"Other"},{"id":4,"name":"Milepost","value":"2.3314"},{"id":17,"name":"Train ID","value":"313-25"},{"id":16,"name":"Locomotive ID","value":"4018"},{"id":130,"name":"Impact","value":""},{"id":150,"name":"Time of Event (Mountain Time)","value":"02:21:56"},{"id":151,"name":"Denver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04"/>
        <v>start /low /b %USERPROFILE%\Documents\GitHub\eaglep3\Utilities\DownloadLogsFromS3.py --loco 4018 --day 2017-06-26</v>
      </c>
      <c r="AN218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08:21:56"},{"id":29,"name":"Sharepoint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871</v>
      </c>
      <c r="B219" s="7">
        <v>4014</v>
      </c>
      <c r="C219" s="21" t="s">
        <v>202</v>
      </c>
      <c r="D219" s="21" t="s">
        <v>928</v>
      </c>
      <c r="E219" s="13">
        <v>42913.094699074078</v>
      </c>
      <c r="F219" s="13">
        <v>42913.095879629633</v>
      </c>
      <c r="G219" s="7">
        <v>1</v>
      </c>
      <c r="H219" s="21" t="s">
        <v>614</v>
      </c>
      <c r="I219" s="13">
        <v>42913.105462962965</v>
      </c>
      <c r="J219" s="7">
        <v>0</v>
      </c>
      <c r="K219" s="89" t="str">
        <f t="shared" si="92"/>
        <v>4013/4014</v>
      </c>
      <c r="L219" s="21" t="str">
        <f>VLOOKUP(A219,'Trips&amp;Operators'!$C$1:$G$99999,5,FALSE)</f>
        <v>THOMPSON LESTER</v>
      </c>
      <c r="M219" s="6">
        <f t="shared" si="93"/>
        <v>9.5833333325572312E-3</v>
      </c>
      <c r="N219" s="7">
        <f t="shared" si="106"/>
        <v>13.799999998882413</v>
      </c>
      <c r="O219" s="7"/>
      <c r="P219" s="7"/>
      <c r="Q219" s="22"/>
      <c r="R219" s="170"/>
      <c r="S219" s="213">
        <f t="shared" si="94"/>
        <v>1</v>
      </c>
      <c r="T219" s="195" t="str">
        <f t="shared" si="95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6"/>
        <v>https://d0f6bd738d7f1b3e5a7ca70fe4ff75f0.us-east-1.aws.found.io/app/kibana#/discover/Steve-Slow-Train-Analysis-(2080s-and-2083s)?_g=(refreshInterval:(display:Off,pause:!f,section:0,value:0),time:(from:'2017-06-27T01:16:22-0600',mode:absolute,to:'2017-06-27T03:31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97" t="str">
        <f>IF(AA219&lt;VLOOKUP(AG219,Variables!$AC$3:$AD$8,2,FALSE),"Y","N")</f>
        <v>Y</v>
      </c>
      <c r="X219" s="197">
        <f t="shared" si="89"/>
        <v>0</v>
      </c>
      <c r="Y219" s="197">
        <f t="shared" si="90"/>
        <v>4.9500000000000002E-2</v>
      </c>
      <c r="Z219" s="197">
        <f t="shared" si="91"/>
        <v>2.3313999999999999</v>
      </c>
      <c r="AA219" s="197">
        <f t="shared" si="97"/>
        <v>2.2818999999999998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8"/>
        <v>313</v>
      </c>
      <c r="AE219" s="77" t="str">
        <f t="shared" si="99"/>
        <v>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 &amp; 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</v>
      </c>
      <c r="AF219" s="74" t="str">
        <f t="shared" si="100"/>
        <v>"C:\Program Files (x86)\AstroGrep\AstroGrep.exe" /e /r /s /spath="%USERPROFILE%\AppData\Local\Temp\OnboardLogs" /stypes="app*4014*20170627*" /stext=" 08:.+((SYSTEM_STATE.+slice.+state.+changed )|(ment ac)|(multiple cpu faults)|(system.+state.+changed )|(\[timeout)|(PRM\|1\|D)|(kpr)|(kdp)|(train st.+moving)|(\|lc)|(penalty))"</v>
      </c>
      <c r="AG219" s="209" t="str">
        <f t="shared" si="101"/>
        <v>Other</v>
      </c>
      <c r="AH219" s="78" t="str">
        <f t="shared" si="102"/>
        <v>"%USERPROFILE%\Documents\GitHub\eaglep3\Utilities\RefineRTDCRunTimes.py" --tripid 313-26 --locoid 4014 --swversion DE.1.0.9.0 --startMP 204:495 --initTime 2017-06-27T02:16:22 --startdatetime 2017-06-27T02:18:04 --delay 1 --endMP 300:23314 --enddatetime 2017-06-27T02:31:52 --enforcementcount 0 &gt;&gt;C:\Users\stu\Documents\GitHub\eaglep3-reporting\EC\2017-06-26-refined-times.txt</v>
      </c>
      <c r="AI219" s="96" t="str">
        <f t="shared" si="103"/>
        <v>echo {"issue":{"subject":"","project_id":79,"tracker_id":40,"status_id":1,"priority_id":2,"assigned_to_id":23,"start_date":"2017-06-27","description":"","custom_fields":[{"id":1,"name":"Subdivision","value":"Other"},{"id":4,"name":"Milepost","value":"2.3314"},{"id":17,"name":"Train ID","value":"313-26"},{"id":16,"name":"Locomotive ID","value":"4014"},{"id":130,"name":"Impact","value":""},{"id":150,"name":"Time of Event (Mountain Time)","value":"02:31:52"},{"id":151,"name":"Denver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4"/>
        <v>start /low /b %USERPROFILE%\Documents\GitHub\eaglep3\Utilities\DownloadLogsFromS3.py --loco 4014 --day 2017-06-27</v>
      </c>
      <c r="AN219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08:31:52"},{"id":29,"name":"Sharepoint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678</v>
      </c>
      <c r="B220" s="7">
        <v>4022</v>
      </c>
      <c r="C220" s="21" t="s">
        <v>202</v>
      </c>
      <c r="D220" s="21" t="s">
        <v>1033</v>
      </c>
      <c r="E220" s="13">
        <v>42912.196851851855</v>
      </c>
      <c r="F220" s="13">
        <v>42912.201851851853</v>
      </c>
      <c r="G220" s="7">
        <v>7</v>
      </c>
      <c r="H220" s="21" t="s">
        <v>591</v>
      </c>
      <c r="I220" s="13">
        <v>42912.207743055558</v>
      </c>
      <c r="J220" s="7">
        <v>0</v>
      </c>
      <c r="K220" s="89" t="str">
        <f t="shared" si="92"/>
        <v>4021/4022</v>
      </c>
      <c r="L220" s="21" t="str">
        <f>VLOOKUP(A220,'Trips&amp;Operators'!$C$1:$G$99999,5,FALSE)</f>
        <v>DAVIDSON DAVID</v>
      </c>
      <c r="M220" s="6">
        <f t="shared" si="93"/>
        <v>5.8912037056870759E-3</v>
      </c>
      <c r="N220" s="7">
        <f t="shared" si="106"/>
        <v>8.4833333361893892</v>
      </c>
      <c r="O220" s="7"/>
      <c r="P220" s="7"/>
      <c r="Q220" s="22"/>
      <c r="R220" s="170"/>
      <c r="S220" s="213">
        <f t="shared" si="94"/>
        <v>0</v>
      </c>
      <c r="T220" s="195" t="str">
        <f t="shared" si="95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96"/>
        <v>https://d0f6bd738d7f1b3e5a7ca70fe4ff75f0.us-east-1.aws.found.io/app/kibana#/discover/Steve-Slow-Train-Analysis-(2080s-and-2083s)?_g=(refreshInterval:(display:Off,pause:!f,section:0,value:0),time:(from:'2017-06-26T03:43:28-0600',mode:absolute,to:'2017-06-26T05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0" s="197" t="str">
        <f>IF(AA220&lt;VLOOKUP(AG220,Variables!$AC$3:$AD$8,2,FALSE),"Y","N")</f>
        <v>Y</v>
      </c>
      <c r="X220" s="197">
        <f t="shared" si="89"/>
        <v>588</v>
      </c>
      <c r="Y220" s="197">
        <f t="shared" si="90"/>
        <v>3.0240999999999998</v>
      </c>
      <c r="Z220" s="197">
        <f t="shared" si="91"/>
        <v>5.8952</v>
      </c>
      <c r="AA220" s="197">
        <f t="shared" si="97"/>
        <v>2.8711000000000002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8"/>
        <v>901</v>
      </c>
      <c r="AE220" s="77" t="str">
        <f t="shared" si="99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220" s="74" t="str">
        <f t="shared" si="100"/>
        <v>"C:\Program Files (x86)\AstroGrep\AstroGrep.exe" /e /r /s /spath="%USERPROFILE%\AppData\Local\Temp\OnboardLogs" /stypes="app*4022*20170626*" /stext=" 10:.+((SYSTEM_STATE.+slice.+state.+changed )|(ment ac)|(multiple cpu faults)|(system.+state.+changed )|(\[timeout)|(PRM\|1\|D)|(kpr)|(kdp)|(train st.+moving)|(\|lc)|(penalty))"</v>
      </c>
      <c r="AG220" s="209" t="str">
        <f t="shared" si="101"/>
        <v>Other</v>
      </c>
      <c r="AH220" s="78" t="str">
        <f t="shared" si="102"/>
        <v>"%USERPROFILE%\Documents\GitHub\eaglep3\Utilities\RefineRTDCRunTimes.py" --tripid 901-26 --locoid 4022 --swversion DE.1.0.9.0 --startMP 300:30241 --initTime 2017-06-26T04:43:28 --startdatetime 2017-06-26T04:50:40 --delay 7 --endMP 300:58952 --enddatetime 2017-06-26T04:59:09 --enforcementcount 0 &gt;&gt;C:\Users\stu\Documents\GitHub\eaglep3-reporting\EC\2017-06-26-refined-times.txt</v>
      </c>
      <c r="AI220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{"issue":{"subject":"","project_id":79,"tracker_id":40,"status_id":1,"priority_id":2,"assigned_to_id":23,"start_date":"2017-06-26","description":"","custom_fields":[{"id":1,"name":"Subdivision","value":"Other"},{"id":4,"name":"Milepost","value":"5.8952"},{"id":17,"name":"Train ID","value":"901-26"},{"id":16,"name":"Locomotive ID","value":"4022"},{"id":130,"name":"Impact","value":""},{"id":150,"name":"Time of Event (Mountain Time)","value":"04:59:09"},{"id":151,"name":"Denver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04"/>
        <v>start /low /b %USERPROFILE%\Documents\GitHub\eaglep3\Utilities\DownloadLogsFromS3.py --loco 4022 --day 2017-06-26</v>
      </c>
      <c r="AN220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10:59:09"},{"id":29,"name":"Sharepoint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692</v>
      </c>
      <c r="B221" s="7">
        <v>4041</v>
      </c>
      <c r="C221" s="21" t="s">
        <v>202</v>
      </c>
      <c r="D221" s="21" t="s">
        <v>1034</v>
      </c>
      <c r="E221" s="13">
        <v>42912.247291666667</v>
      </c>
      <c r="F221" s="13">
        <v>42912.249722222223</v>
      </c>
      <c r="G221" s="7">
        <v>3</v>
      </c>
      <c r="H221" s="21" t="s">
        <v>597</v>
      </c>
      <c r="I221" s="13">
        <v>42912.254814814813</v>
      </c>
      <c r="J221" s="7">
        <v>0</v>
      </c>
      <c r="K221" s="89" t="str">
        <f t="shared" si="92"/>
        <v>4041/4042</v>
      </c>
      <c r="L221" s="21" t="str">
        <f>VLOOKUP(A221,'Trips&amp;Operators'!$C$1:$G$99999,5,FALSE)</f>
        <v>LOZA FIDEL</v>
      </c>
      <c r="M221" s="6">
        <f t="shared" si="93"/>
        <v>5.0925925897900015E-3</v>
      </c>
      <c r="N221" s="7">
        <f t="shared" si="106"/>
        <v>7.3333333292976022</v>
      </c>
      <c r="O221" s="7"/>
      <c r="P221" s="7"/>
      <c r="Q221" s="22"/>
      <c r="R221" s="170"/>
      <c r="S221" s="213">
        <f t="shared" si="94"/>
        <v>1</v>
      </c>
      <c r="T221" s="195" t="str">
        <f t="shared" si="95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6"/>
        <v>https://d0f6bd738d7f1b3e5a7ca70fe4ff75f0.us-east-1.aws.found.io/app/kibana#/discover/Steve-Slow-Train-Analysis-(2080s-and-2083s)?_g=(refreshInterval:(display:Off,pause:!f,section:0,value:0),time:(from:'2017-06-26T04:56:06-0600',mode:absolute,to:'2017-06-26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197" t="str">
        <f>IF(AA221&lt;VLOOKUP(AG221,Variables!$AC$3:$AD$8,2,FALSE),"Y","N")</f>
        <v>Y</v>
      </c>
      <c r="X221" s="197">
        <f t="shared" si="89"/>
        <v>1</v>
      </c>
      <c r="Y221" s="197">
        <f t="shared" si="90"/>
        <v>2.3319000000000001</v>
      </c>
      <c r="Z221" s="197">
        <f t="shared" si="91"/>
        <v>7.0099999999999996E-2</v>
      </c>
      <c r="AA221" s="197">
        <f t="shared" si="97"/>
        <v>2.2618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8"/>
        <v>902</v>
      </c>
      <c r="AE221" s="77" t="str">
        <f t="shared" si="99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221" s="74" t="str">
        <f t="shared" si="100"/>
        <v>"C:\Program Files (x86)\AstroGrep\AstroGrep.exe" /e /r /s /spath="%USERPROFILE%\AppData\Local\Temp\OnboardLogs" /stypes="app*4041*20170626*" /stext=" 12:.+((SYSTEM_STATE.+slice.+state.+changed )|(ment ac)|(multiple cpu faults)|(system.+state.+changed )|(\[timeout)|(PRM\|1\|D)|(kpr)|(kdp)|(train st.+moving)|(\|lc)|(penalty))"</v>
      </c>
      <c r="AG221" s="209" t="str">
        <f t="shared" si="101"/>
        <v>Other</v>
      </c>
      <c r="AH221" s="78" t="str">
        <f t="shared" si="102"/>
        <v>"%USERPROFILE%\Documents\GitHub\eaglep3\Utilities\RefineRTDCRunTimes.py" --tripid 902-26 --locoid 4041 --swversion DE.1.0.9.0 --startMP 300:23319 --initTime 2017-06-26T05:56:06 --startdatetime 2017-06-26T05:59:36 --delay 3 --endMP 204:701 --enddatetime 2017-06-26T06:06:56 --enforcementcount 0 &gt;&gt;C:\Users\stu\Documents\GitHub\eaglep3-reporting\EC\2017-06-26-refined-times.txt</v>
      </c>
      <c r="AI221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{"issue":{"subject":"","project_id":79,"tracker_id":40,"status_id":1,"priority_id":2,"assigned_to_id":23,"start_date":"2017-06-26","description":"","custom_fields":[{"id":1,"name":"Subdivision","value":"Other"},{"id":4,"name":"Milepost","value":"0.0701"},{"id":17,"name":"Train ID","value":"902-26"},{"id":16,"name":"Locomotive ID","value":"4041"},{"id":130,"name":"Impact","value":""},{"id":150,"name":"Time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04"/>
        <v>start /low /b %USERPROFILE%\Documents\GitHub\eaglep3\Utilities\DownloadLogsFromS3.py --loco 4041 --day 2017-06-26</v>
      </c>
      <c r="AN221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626</v>
      </c>
      <c r="B222" s="7">
        <v>4022</v>
      </c>
      <c r="C222" s="21" t="s">
        <v>202</v>
      </c>
      <c r="D222" s="21" t="s">
        <v>1035</v>
      </c>
      <c r="E222" s="13">
        <v>42912.353101851855</v>
      </c>
      <c r="F222" s="13">
        <v>42912.354675925926</v>
      </c>
      <c r="G222" s="7">
        <v>1</v>
      </c>
      <c r="H222" s="21" t="s">
        <v>1036</v>
      </c>
      <c r="I222" s="13">
        <v>42912.355185185188</v>
      </c>
      <c r="J222" s="7">
        <v>0</v>
      </c>
      <c r="K222" s="89" t="str">
        <f t="shared" si="92"/>
        <v>4021/4022</v>
      </c>
      <c r="L222" s="21" t="str">
        <f>VLOOKUP(A222,'Trips&amp;Operators'!$C$1:$G$99999,5,FALSE)</f>
        <v>DAVIDSON DAVID</v>
      </c>
      <c r="M222" s="6">
        <f t="shared" si="93"/>
        <v>5.092592618893832E-4</v>
      </c>
      <c r="N222" s="7">
        <f t="shared" si="106"/>
        <v>0.7333333371207118</v>
      </c>
      <c r="O222" s="7"/>
      <c r="P222" s="7"/>
      <c r="Q222" s="22"/>
      <c r="R222" s="170"/>
      <c r="S222" s="213">
        <f t="shared" si="94"/>
        <v>1</v>
      </c>
      <c r="T222" s="195" t="str">
        <f t="shared" si="95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6"/>
        <v>https://d0f6bd738d7f1b3e5a7ca70fe4ff75f0.us-east-1.aws.found.io/app/kibana#/discover/Steve-Slow-Train-Analysis-(2080s-and-2083s)?_g=(refreshInterval:(display:Off,pause:!f,section:0,value:0),time:(from:'2017-06-26T07:28:28-0600',mode:absolute,to:'2017-06-26T09:31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2" s="197" t="str">
        <f>IF(AA222&lt;VLOOKUP(AG222,Variables!$AC$3:$AD$8,2,FALSE),"Y","N")</f>
        <v>Y</v>
      </c>
      <c r="X222" s="197">
        <f t="shared" si="89"/>
        <v>1</v>
      </c>
      <c r="Y222" s="197">
        <f t="shared" si="90"/>
        <v>9.9699999999999997E-2</v>
      </c>
      <c r="Z222" s="197">
        <f t="shared" si="91"/>
        <v>2.3186</v>
      </c>
      <c r="AA222" s="197">
        <f t="shared" si="97"/>
        <v>2.2189000000000001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8"/>
        <v>903</v>
      </c>
      <c r="AE222" s="77" t="str">
        <f t="shared" si="99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222" s="74" t="str">
        <f t="shared" si="100"/>
        <v>"C:\Program Files (x86)\AstroGrep\AstroGrep.exe" /e /r /s /spath="%USERPROFILE%\AppData\Local\Temp\OnboardLogs" /stypes="app*4022*20170626*" /stext=" 14:.+((SYSTEM_STATE.+slice.+state.+changed )|(ment ac)|(multiple cpu faults)|(system.+state.+changed )|(\[timeout)|(PRM\|1\|D)|(kpr)|(kdp)|(train st.+moving)|(\|lc)|(penalty))"</v>
      </c>
      <c r="AG222" s="209" t="str">
        <f t="shared" si="101"/>
        <v>Other</v>
      </c>
      <c r="AH222" s="78" t="str">
        <f t="shared" si="102"/>
        <v>"%USERPROFILE%\Documents\GitHub\eaglep3\Utilities\RefineRTDCRunTimes.py" --tripid 903-26 --locoid 4022 --swversion DE.1.0.9.0 --startMP 204:997 --initTime 2017-06-26T08:28:28 --startdatetime 2017-06-26T08:30:44 --delay 1 --endMP 300:23186 --enddatetime 2017-06-26T08:31:28 --enforcementcount 0 &gt;&gt;C:\Users\stu\Documents\GitHub\eaglep3-reporting\EC\2017-06-26-refined-times.txt</v>
      </c>
      <c r="AI222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{"issue":{"subject":"","project_id":79,"tracker_id":40,"status_id":1,"priority_id":2,"assigned_to_id":23,"start_date":"2017-06-26","description":"","custom_fields":[{"id":1,"name":"Subdivision","value":"Other"},{"id":4,"name":"Milepost","value":"2.3186"},{"id":17,"name":"Train ID","value":"903-26"},{"id":16,"name":"Locomotive ID","value":"4022"},{"id":130,"name":"Impact","value":""},{"id":150,"name":"Time of Event (Mountain Time)","value":"08:31:28"},{"id":151,"name":"Denver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4"/>
        <v>start /low /b %USERPROFILE%\Documents\GitHub\eaglep3\Utilities\DownloadLogsFromS3.py --loco 4022 --day 2017-06-26</v>
      </c>
      <c r="AN222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14:31:28"},{"id":29,"name":"Sharepoint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791</v>
      </c>
      <c r="B223" s="7">
        <v>4021</v>
      </c>
      <c r="C223" s="21" t="s">
        <v>202</v>
      </c>
      <c r="D223" s="21" t="s">
        <v>1037</v>
      </c>
      <c r="E223" s="13">
        <v>42912.629305555558</v>
      </c>
      <c r="F223" s="13">
        <v>42912.631631944445</v>
      </c>
      <c r="G223" s="7">
        <v>3</v>
      </c>
      <c r="H223" s="21" t="s">
        <v>1038</v>
      </c>
      <c r="I223" s="13">
        <v>42912.642731481479</v>
      </c>
      <c r="J223" s="7">
        <v>0</v>
      </c>
      <c r="K223" s="89" t="str">
        <f t="shared" si="92"/>
        <v>4021/4022</v>
      </c>
      <c r="L223" s="21" t="str">
        <f>VLOOKUP(A223,'Trips&amp;Operators'!$C$1:$G$99999,5,FALSE)</f>
        <v>NEWELL JAMES</v>
      </c>
      <c r="M223" s="6">
        <f t="shared" si="93"/>
        <v>1.1099537034169771E-2</v>
      </c>
      <c r="N223" s="7">
        <f t="shared" si="106"/>
        <v>15.98333332920447</v>
      </c>
      <c r="O223" s="7"/>
      <c r="P223" s="7"/>
      <c r="Q223" s="22"/>
      <c r="R223" s="170"/>
      <c r="S223" s="213">
        <f t="shared" si="94"/>
        <v>1</v>
      </c>
      <c r="T223" s="195" t="str">
        <f t="shared" si="95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96"/>
        <v>https://d0f6bd738d7f1b3e5a7ca70fe4ff75f0.us-east-1.aws.found.io/app/kibana#/discover/Steve-Slow-Train-Analysis-(2080s-and-2083s)?_g=(refreshInterval:(display:Off,pause:!f,section:0,value:0),time:(from:'2017-06-26T14:06:12-0600',mode:absolute,to:'2017-06-26T16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3" s="197" t="str">
        <f>IF(AA223&lt;VLOOKUP(AG223,Variables!$AC$3:$AD$8,2,FALSE),"Y","N")</f>
        <v>Y</v>
      </c>
      <c r="X223" s="197">
        <f t="shared" si="89"/>
        <v>1</v>
      </c>
      <c r="Y223" s="197">
        <f t="shared" si="90"/>
        <v>2.3353000000000002</v>
      </c>
      <c r="Z223" s="197">
        <f t="shared" si="91"/>
        <v>6.3299999999999995E-2</v>
      </c>
      <c r="AA223" s="197">
        <f t="shared" si="97"/>
        <v>2.2720000000000002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8"/>
        <v>904</v>
      </c>
      <c r="AE223" s="77" t="str">
        <f t="shared" si="99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223" s="74" t="str">
        <f t="shared" si="100"/>
        <v>"C:\Program Files (x86)\AstroGrep\AstroGrep.exe" /e /r /s /spath="%USERPROFILE%\AppData\Local\Temp\OnboardLogs" /stypes="app*4021*20170626*" /stext=" 21:.+((SYSTEM_STATE.+slice.+state.+changed )|(ment ac)|(multiple cpu faults)|(system.+state.+changed )|(\[timeout)|(PRM\|1\|D)|(kpr)|(kdp)|(train st.+moving)|(\|lc)|(penalty))"</v>
      </c>
      <c r="AG223" s="209" t="str">
        <f t="shared" si="101"/>
        <v>Other</v>
      </c>
      <c r="AH223" s="78" t="str">
        <f t="shared" si="102"/>
        <v>"%USERPROFILE%\Documents\GitHub\eaglep3\Utilities\RefineRTDCRunTimes.py" --tripid 904-26 --locoid 4021 --swversion DE.1.0.9.0 --startMP 300:23353 --initTime 2017-06-26T15:06:12 --startdatetime 2017-06-26T15:09:33 --delay 3 --endMP 204:633 --enddatetime 2017-06-26T15:25:32 --enforcementcount 0 &gt;&gt;C:\Users\stu\Documents\GitHub\eaglep3-reporting\EC\2017-06-26-refined-times.txt</v>
      </c>
      <c r="AI223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{"issue":{"subject":"","project_id":79,"tracker_id":40,"status_id":1,"priority_id":2,"assigned_to_id":23,"start_date":"2017-06-26","description":"","custom_fields":[{"id":1,"name":"Subdivision","value":"Other"},{"id":4,"name":"Milepost","value":"0.0633"},{"id":17,"name":"Train ID","value":"904-26"},{"id":16,"name":"Locomotive ID","value":"4021"},{"id":130,"name":"Impact","value":""},{"id":150,"name":"Time of Event (Mountain Time)","value":"15:25:32"},{"id":151,"name":"Denver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4"/>
        <v>start /low /b %USERPROFILE%\Documents\GitHub\eaglep3\Utilities\DownloadLogsFromS3.py --loco 4021 --day 2017-06-26</v>
      </c>
      <c r="AN223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841</v>
      </c>
      <c r="B224" s="7">
        <v>4021</v>
      </c>
      <c r="C224" s="21" t="s">
        <v>202</v>
      </c>
      <c r="D224" s="21" t="s">
        <v>1039</v>
      </c>
      <c r="E224" s="13">
        <v>42912.796574074076</v>
      </c>
      <c r="F224" s="13">
        <v>42912.797835648147</v>
      </c>
      <c r="G224" s="7">
        <v>1</v>
      </c>
      <c r="H224" s="21" t="s">
        <v>1040</v>
      </c>
      <c r="I224" s="13">
        <v>42912.802754629629</v>
      </c>
      <c r="J224" s="7">
        <v>0</v>
      </c>
      <c r="K224" s="89" t="str">
        <f t="shared" si="92"/>
        <v>4021/4022</v>
      </c>
      <c r="L224" s="21" t="str">
        <f>VLOOKUP(A224,'Trips&amp;Operators'!$C$1:$G$99999,5,FALSE)</f>
        <v>STAMBAUGH JAMES</v>
      </c>
      <c r="M224" s="6">
        <f t="shared" si="93"/>
        <v>4.9189814817509614E-3</v>
      </c>
      <c r="N224" s="7">
        <f t="shared" si="106"/>
        <v>7.0833333337213844</v>
      </c>
      <c r="O224" s="7"/>
      <c r="P224" s="7"/>
      <c r="Q224" s="22"/>
      <c r="R224" s="170"/>
      <c r="S224" s="213">
        <f t="shared" si="94"/>
        <v>0</v>
      </c>
      <c r="T224" s="195" t="str">
        <f t="shared" si="95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96"/>
        <v>https://d0f6bd738d7f1b3e5a7ca70fe4ff75f0.us-east-1.aws.found.io/app/kibana#/discover/Steve-Slow-Train-Analysis-(2080s-and-2083s)?_g=(refreshInterval:(display:Off,pause:!f,section:0,value:0),time:(from:'2017-06-26T18:07:04-0600',mode:absolute,to:'2017-06-26T20:15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197" t="str">
        <f>IF(AA224&lt;VLOOKUP(AG224,Variables!$AC$3:$AD$8,2,FALSE),"Y","N")</f>
        <v>Y</v>
      </c>
      <c r="X224" s="197">
        <f t="shared" si="89"/>
        <v>2</v>
      </c>
      <c r="Y224" s="197">
        <f t="shared" si="90"/>
        <v>5.8632</v>
      </c>
      <c r="Z224" s="197">
        <f t="shared" si="91"/>
        <v>2.1629</v>
      </c>
      <c r="AA224" s="197">
        <f t="shared" si="97"/>
        <v>3.7002999999999999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8"/>
        <v>906</v>
      </c>
      <c r="AE224" s="77" t="str">
        <f t="shared" si="99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224" s="74" t="str">
        <f t="shared" si="100"/>
        <v>"C:\Program Files (x86)\AstroGrep\AstroGrep.exe" /e /r /s /spath="%USERPROFILE%\AppData\Local\Temp\OnboardLogs" /stypes="app*4021*20170627*" /stext=" 01:.+((SYSTEM_STATE.+slice.+state.+changed )|(ment ac)|(multiple cpu faults)|(system.+state.+changed )|(\[timeout)|(PRM\|1\|D)|(kpr)|(kdp)|(train st.+moving)|(\|lc)|(penalty))"</v>
      </c>
      <c r="AG224" s="209" t="str">
        <f t="shared" si="101"/>
        <v>Other</v>
      </c>
      <c r="AH224" s="78" t="str">
        <f t="shared" si="102"/>
        <v>"%USERPROFILE%\Documents\GitHub\eaglep3\Utilities\RefineRTDCRunTimes.py" --tripid 906-26 --locoid 4021 --swversion DE.1.0.9.0 --startMP 300:58632 --initTime 2017-06-26T19:07:04 --startdatetime 2017-06-26T19:08:53 --delay 1 --endMP 300:21629 --enddatetime 2017-06-26T19:15:58 --enforcementcount 0 &gt;&gt;C:\Users\stu\Documents\GitHub\eaglep3-reporting\EC\2017-06-26-refined-times.txt</v>
      </c>
      <c r="AI224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{"issue":{"subject":"","project_id":79,"tracker_id":40,"status_id":1,"priority_id":2,"assigned_to_id":23,"start_date":"2017-06-26","description":"","custom_fields":[{"id":1,"name":"Subdivision","value":"Other"},{"id":4,"name":"Milepost","value":"2.1629"},{"id":17,"name":"Train ID","value":"906-26"},{"id":16,"name":"Locomotive ID","value":"4021"},{"id":130,"name":"Impact","value":""},{"id":150,"name":"Time of Event (Mountain Time)","value":"19:15:58"},{"id":151,"name":"Denver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4"/>
        <v>start /low /b %USERPROFILE%\Documents\GitHub\eaglep3\Utilities\DownloadLogsFromS3.py --loco 4021 --day 2017-06-26</v>
      </c>
      <c r="AN224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01:15:58"},{"id":29,"name":"Sharepoint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653</v>
      </c>
      <c r="B225" s="7">
        <v>4041</v>
      </c>
      <c r="C225" s="21" t="s">
        <v>202</v>
      </c>
      <c r="D225" s="21" t="s">
        <v>1041</v>
      </c>
      <c r="E225" s="13">
        <v>42912.942418981482</v>
      </c>
      <c r="F225" s="13">
        <v>42912.949780092589</v>
      </c>
      <c r="G225" s="7">
        <v>1</v>
      </c>
      <c r="H225" s="21" t="s">
        <v>1042</v>
      </c>
      <c r="I225" s="13">
        <v>42912.949884259258</v>
      </c>
      <c r="J225" s="7">
        <v>0</v>
      </c>
      <c r="K225" s="89" t="str">
        <f t="shared" si="92"/>
        <v>4041/4042</v>
      </c>
      <c r="L225" s="21" t="str">
        <f>VLOOKUP(A225,'Trips&amp;Operators'!$C$1:$G$99999,5,FALSE)</f>
        <v>STAMBAUGH JAMES</v>
      </c>
      <c r="M225" s="6">
        <f t="shared" si="93"/>
        <v>1.0416666918899864E-4</v>
      </c>
      <c r="N225" s="7">
        <f t="shared" si="106"/>
        <v>0.15000000363215804</v>
      </c>
      <c r="O225" s="7"/>
      <c r="P225" s="7"/>
      <c r="Q225" s="22"/>
      <c r="R225" s="170"/>
      <c r="S225" s="213">
        <f t="shared" si="94"/>
        <v>0</v>
      </c>
      <c r="T225" s="195" t="str">
        <f t="shared" si="95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96"/>
        <v>https://d0f6bd738d7f1b3e5a7ca70fe4ff75f0.us-east-1.aws.found.io/app/kibana#/discover/Steve-Slow-Train-Analysis-(2080s-and-2083s)?_g=(refreshInterval:(display:Off,pause:!f,section:0,value:0),time:(from:'2017-06-26T21:37:05-0600',mode:absolute,to:'2017-06-26T23:47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97" t="str">
        <f>IF(AA225&lt;VLOOKUP(AG225,Variables!$AC$3:$AD$8,2,FALSE),"Y","N")</f>
        <v>Y</v>
      </c>
      <c r="X225" s="197">
        <f t="shared" si="89"/>
        <v>2</v>
      </c>
      <c r="Y225" s="197">
        <f t="shared" si="90"/>
        <v>5.8592000000000004</v>
      </c>
      <c r="Z225" s="197">
        <f t="shared" si="91"/>
        <v>2.1751999999999998</v>
      </c>
      <c r="AA225" s="197">
        <f t="shared" si="97"/>
        <v>3.6840000000000006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8"/>
        <v>908</v>
      </c>
      <c r="AE225" s="77" t="str">
        <f t="shared" si="99"/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AF225" s="74" t="str">
        <f t="shared" si="100"/>
        <v>"C:\Program Files (x86)\AstroGrep\AstroGrep.exe" /e /r /s /spath="%USERPROFILE%\AppData\Local\Temp\OnboardLogs" /stypes="app*4041*20170627*" /stext=" 04:.+((SYSTEM_STATE.+slice.+state.+changed )|(ment ac)|(multiple cpu faults)|(system.+state.+changed )|(\[timeout)|(PRM\|1\|D)|(kpr)|(kdp)|(train st.+moving)|(\|lc)|(penalty))"</v>
      </c>
      <c r="AG225" s="209" t="str">
        <f t="shared" si="101"/>
        <v>Other</v>
      </c>
      <c r="AH225" s="78" t="str">
        <f t="shared" si="102"/>
        <v>"%USERPROFILE%\Documents\GitHub\eaglep3\Utilities\RefineRTDCRunTimes.py" --tripid 908-26 --locoid 4041 --swversion DE.1.0.9.0 --startMP 300:58592 --initTime 2017-06-26T22:37:05 --startdatetime 2017-06-26T22:47:41 --delay 1 --endMP 300:21752 --enddatetime 2017-06-26T22:47:50 --enforcementcount 0 &gt;&gt;C:\Users\stu\Documents\GitHub\eaglep3-reporting\EC\2017-06-26-refined-times.txt</v>
      </c>
      <c r="AI225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{"issue":{"subject":"","project_id":79,"tracker_id":40,"status_id":1,"priority_id":2,"assigned_to_id":23,"start_date":"2017-06-26","description":"","custom_fields":[{"id":1,"name":"Subdivision","value":"Other"},{"id":4,"name":"Milepost","value":"2.1752"},{"id":17,"name":"Train ID","value":"908-26"},{"id":16,"name":"Locomotive ID","value":"4041"},{"id":130,"name":"Impact","value":""},{"id":150,"name":"Time of Event (Mountain Time)","value":"22:47:50"},{"id":151,"name":"Denver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4"/>
        <v>start /low /b %USERPROFILE%\Documents\GitHub\eaglep3\Utilities\DownloadLogsFromS3.py --loco 4041 --day 2017-06-26</v>
      </c>
      <c r="AN225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04:47:50"},{"id":29,"name":"Sharepoint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653</v>
      </c>
      <c r="B226" s="7">
        <v>4042</v>
      </c>
      <c r="C226" s="21" t="s">
        <v>202</v>
      </c>
      <c r="D226" s="21" t="s">
        <v>1043</v>
      </c>
      <c r="E226" s="13">
        <v>42912.948784722219</v>
      </c>
      <c r="F226" s="13">
        <v>42912.949780092589</v>
      </c>
      <c r="G226" s="7">
        <v>1</v>
      </c>
      <c r="H226" s="21" t="s">
        <v>1044</v>
      </c>
      <c r="I226" s="13">
        <v>42912.949884259258</v>
      </c>
      <c r="J226" s="7">
        <v>0</v>
      </c>
      <c r="K226" s="89" t="str">
        <f t="shared" si="92"/>
        <v>4041/4042</v>
      </c>
      <c r="L226" s="21" t="str">
        <f>VLOOKUP(A226,'Trips&amp;Operators'!$C$1:$G$99999,5,FALSE)</f>
        <v>STAMBAUGH JAMES</v>
      </c>
      <c r="M226" s="6">
        <f t="shared" si="93"/>
        <v>1.0416666918899864E-4</v>
      </c>
      <c r="N226" s="7">
        <f t="shared" si="106"/>
        <v>0.15000000363215804</v>
      </c>
      <c r="O226" s="7"/>
      <c r="P226" s="7"/>
      <c r="Q226" s="22"/>
      <c r="R226" s="170"/>
      <c r="S226" s="213">
        <f t="shared" si="94"/>
        <v>0</v>
      </c>
      <c r="T226" s="195" t="str">
        <f t="shared" si="95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96"/>
        <v>https://d0f6bd738d7f1b3e5a7ca70fe4ff75f0.us-east-1.aws.found.io/app/kibana#/discover/Steve-Slow-Train-Analysis-(2080s-and-2083s)?_g=(refreshInterval:(display:Off,pause:!f,section:0,value:0),time:(from:'2017-06-26T21:46:15-0600',mode:absolute,to:'2017-06-26T23:47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197" t="str">
        <f>IF(AA226&lt;VLOOKUP(AG226,Variables!$AC$3:$AD$8,2,FALSE),"Y","N")</f>
        <v>Y</v>
      </c>
      <c r="X226" s="197">
        <f t="shared" ref="X226:X255" si="107">VALUE(LEFT(AD226,4))-VALUE(LEFT(AD225,4))</f>
        <v>0</v>
      </c>
      <c r="Y226" s="197">
        <f t="shared" si="90"/>
        <v>2.2071999999999998</v>
      </c>
      <c r="Z226" s="197">
        <f t="shared" si="91"/>
        <v>2.2374000000000001</v>
      </c>
      <c r="AA226" s="197">
        <f t="shared" si="97"/>
        <v>3.0200000000000227E-2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8"/>
        <v>908</v>
      </c>
      <c r="AE226" s="77" t="str">
        <f t="shared" si="99"/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AF226" s="74" t="str">
        <f t="shared" si="100"/>
        <v>"C:\Program Files (x86)\AstroGrep\AstroGrep.exe" /e /r /s /spath="%USERPROFILE%\AppData\Local\Temp\OnboardLogs" /stypes="app*4042*20170627*" /stext=" 04:.+((SYSTEM_STATE.+slice.+state.+changed )|(ment ac)|(multiple cpu faults)|(system.+state.+changed )|(\[timeout)|(PRM\|1\|D)|(kpr)|(kdp)|(train st.+moving)|(\|lc)|(penalty))"</v>
      </c>
      <c r="AG226" s="209" t="str">
        <f t="shared" si="101"/>
        <v>Other</v>
      </c>
      <c r="AH226" s="78" t="str">
        <f t="shared" si="102"/>
        <v>"%USERPROFILE%\Documents\GitHub\eaglep3\Utilities\RefineRTDCRunTimes.py" --tripid 908-26 --locoid 4042 --swversion DE.1.0.9.0 --startMP 300:22072 --initTime 2017-06-26T22:46:15 --startdatetime 2017-06-26T22:47:41 --delay 1 --endMP 300:22374 --enddatetime 2017-06-26T22:47:50 --enforcementcount 0 &gt;&gt;C:\Users\stu\Documents\GitHub\eaglep3-reporting\EC\2017-06-26-refined-times.txt</v>
      </c>
      <c r="AI226" s="96" t="str">
        <f t="shared" si="103"/>
        <v>echo {"issue":{"subject":"","project_id":79,"tracker_id":40,"status_id":1,"priority_id":2,"assigned_to_id":23,"start_date":"2017-06-26","description":"","custom_fields":[{"id":1,"name":"Subdivision","value":"Other"},{"id":4,"name":"Milepost","value":"2.2374"},{"id":17,"name":"Train ID","value":"908-26"},{"id":16,"name":"Locomotive ID","value":"4042"},{"id":130,"name":"Impact","value":""},{"id":150,"name":"Time of Event (Mountain Time)","value":"22:47:50"},{"id":151,"name":"Denver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4"/>
        <v>start /low /b %USERPROFILE%\Documents\GitHub\eaglep3\Utilities\DownloadLogsFromS3.py --loco 4042 --day 2017-06-26</v>
      </c>
      <c r="AN226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04:47:50"},{"id":29,"name":"Sharepoint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660</v>
      </c>
      <c r="B227" s="7">
        <v>4055</v>
      </c>
      <c r="C227" s="21" t="s">
        <v>202</v>
      </c>
      <c r="D227" s="21" t="s">
        <v>948</v>
      </c>
      <c r="E227" s="13">
        <v>42912.138831018521</v>
      </c>
      <c r="F227" s="13">
        <v>42912.141203703701</v>
      </c>
      <c r="G227" s="7">
        <v>1</v>
      </c>
      <c r="H227" s="21" t="s">
        <v>586</v>
      </c>
      <c r="I227" s="13">
        <v>42912.142395833333</v>
      </c>
      <c r="J227" s="7">
        <v>0</v>
      </c>
      <c r="K227" s="89" t="str">
        <f t="shared" si="92"/>
        <v>4055/4056</v>
      </c>
      <c r="L227" s="21" t="str">
        <f>VLOOKUP(A227,'Trips&amp;Operators'!$C$1:$G$99999,5,FALSE)</f>
        <v>YANAI IAN</v>
      </c>
      <c r="M227" s="6">
        <f t="shared" si="93"/>
        <v>1.1921296318178065E-3</v>
      </c>
      <c r="N227" s="7">
        <f t="shared" si="106"/>
        <v>1.7166666698176414</v>
      </c>
      <c r="O227" s="7"/>
      <c r="P227" s="7"/>
      <c r="Q227" s="22"/>
      <c r="R227" s="170"/>
      <c r="S227" s="213">
        <f t="shared" si="94"/>
        <v>0</v>
      </c>
      <c r="T227" s="195" t="str">
        <f t="shared" si="95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96"/>
        <v>https://d0f6bd738d7f1b3e5a7ca70fe4ff75f0.us-east-1.aws.found.io/app/kibana#/discover/Steve-Slow-Train-Analysis-(2080s-and-2083s)?_g=(refreshInterval:(display:Off,pause:!f,section:0,value:0),time:(from:'2017-06-26T02:19:55-0600',mode:absolute,to:'2017-06-26T04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7" s="197" t="str">
        <f>IF(AA227&lt;VLOOKUP(AG227,Variables!$AC$3:$AD$8,2,FALSE),"Y","N")</f>
        <v>Y</v>
      </c>
      <c r="X227" s="197">
        <f t="shared" si="107"/>
        <v>-858</v>
      </c>
      <c r="Y227" s="197">
        <f t="shared" si="90"/>
        <v>0.33050000000000002</v>
      </c>
      <c r="Z227" s="197">
        <f t="shared" si="91"/>
        <v>0.1152</v>
      </c>
      <c r="AA227" s="197">
        <f t="shared" si="97"/>
        <v>0.21530000000000002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8"/>
        <v>50</v>
      </c>
      <c r="AE227" s="77" t="str">
        <f t="shared" si="99"/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AF227" s="74" t="str">
        <f t="shared" si="100"/>
        <v>"C:\Program Files (x86)\AstroGrep\AstroGrep.exe" /e /r /s /spath="%USERPROFILE%\AppData\Local\Temp\OnboardLogs" /stypes="app*4055*20170626*" /stext=" 09:.+((SYSTEM_STATE.+slice.+state.+changed )|(ment ac)|(multiple cpu faults)|(system.+state.+changed )|(\[timeout)|(PRM\|1\|D)|(kpr)|(kdp)|(train st.+moving)|(\|lc)|(penalty))"</v>
      </c>
      <c r="AG227" s="209" t="str">
        <f t="shared" si="101"/>
        <v>Shuttle/Test</v>
      </c>
      <c r="AH227" s="78" t="str">
        <f t="shared" si="102"/>
        <v>"%USERPROFILE%\Documents\GitHub\eaglep3\Utilities\RefineRTDCRunTimes.py" --tripid 50-26 --locoid 4055 --swversion DE.1.0.9.0 --startMP 204:3305 --initTime 2017-06-26T03:19:55 --startdatetime 2017-06-26T03:23:20 --delay 1 --endMP 204:1152 --enddatetime 2017-06-26T03:25:03 --enforcementcount 0 &gt;&gt;C:\Users\stu\Documents\GitHub\eaglep3-reporting\EC\2017-06-26-refined-times.txt</v>
      </c>
      <c r="AI227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0.1152"},{"id":17,"name":"Train ID","value":"50-26"},{"id":16,"name":"Locomotive ID","value":"4055"},{"id":130,"name":"Impact","value":""},{"id":150,"name":"Time of Event (Mountain Time)","value":"03:25:03"},{"id":151,"name":"Denver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04"/>
        <v>start /low /b %USERPROFILE%\Documents\GitHub\eaglep3\Utilities\DownloadLogsFromS3.py --loco 4055 --day 2017-06-26</v>
      </c>
      <c r="AN227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09:25:03"},{"id":29,"name":"Sharepoint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660</v>
      </c>
      <c r="B228" s="7">
        <v>4056</v>
      </c>
      <c r="C228" s="21" t="s">
        <v>202</v>
      </c>
      <c r="D228" s="21" t="s">
        <v>508</v>
      </c>
      <c r="E228" s="13">
        <v>42912.127453703702</v>
      </c>
      <c r="F228" s="13">
        <v>42912.141203703701</v>
      </c>
      <c r="G228" s="7">
        <v>1</v>
      </c>
      <c r="H228" s="21" t="s">
        <v>949</v>
      </c>
      <c r="I228" s="13">
        <v>42912.142395833333</v>
      </c>
      <c r="J228" s="7">
        <v>0</v>
      </c>
      <c r="K228" s="89" t="str">
        <f t="shared" si="92"/>
        <v>4055/4056</v>
      </c>
      <c r="L228" s="21" t="str">
        <f>VLOOKUP(A228,'Trips&amp;Operators'!$C$1:$G$99999,5,FALSE)</f>
        <v>YANAI IAN</v>
      </c>
      <c r="M228" s="6">
        <f t="shared" si="93"/>
        <v>1.1921296318178065E-3</v>
      </c>
      <c r="N228" s="7">
        <f t="shared" si="106"/>
        <v>1.7166666698176414</v>
      </c>
      <c r="O228" s="7"/>
      <c r="P228" s="7"/>
      <c r="Q228" s="22"/>
      <c r="R228" s="170"/>
      <c r="S228" s="213">
        <f t="shared" si="94"/>
        <v>0</v>
      </c>
      <c r="T228" s="195" t="str">
        <f t="shared" si="95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6"/>
        <v>https://d0f6bd738d7f1b3e5a7ca70fe4ff75f0.us-east-1.aws.found.io/app/kibana#/discover/Steve-Slow-Train-Analysis-(2080s-and-2083s)?_g=(refreshInterval:(display:Off,pause:!f,section:0,value:0),time:(from:'2017-06-26T02:03:32-0600',mode:absolute,to:'2017-06-26T04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8" s="197" t="str">
        <f>IF(AA228&lt;VLOOKUP(AG228,Variables!$AC$3:$AD$8,2,FALSE),"Y","N")</f>
        <v>Y</v>
      </c>
      <c r="X228" s="197">
        <f t="shared" si="107"/>
        <v>0</v>
      </c>
      <c r="Y228" s="197">
        <f t="shared" si="90"/>
        <v>4.4400000000000002E-2</v>
      </c>
      <c r="Z228" s="197">
        <f t="shared" si="91"/>
        <v>0.3614</v>
      </c>
      <c r="AA228" s="197">
        <f t="shared" si="97"/>
        <v>0.317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8"/>
        <v>50</v>
      </c>
      <c r="AE228" s="77" t="str">
        <f t="shared" si="99"/>
        <v>aws s3 cp s3://rtdc.mdm.uploadarchive.raw/RTDC4056/ "%USERPROFILE%\AppData\Local\Temp\OnboardLogs"\RTDC4056\2017-06-26 --exclude "*" --recursive --include "*20170626*" &amp; "%USERPROFILE%\Documents\GitHub\mrs-test-scripts\Headless Mode &amp; Sideloading\WalkAndUnGZ.bat" "%USERPROFILE%\AppData\Local\Temp\OnboardLogs"\RTDC4056\2017-06-26 &amp; aws s3 cp s3://rtdc.mdm.uploadarchive.raw/RTDC4056/ "%USERPROFILE%\AppData\Local\Temp\OnboardLogs"\RTDC4056\2017-06-27 --exclude "*" --recursive --include "*20170627*" &amp; "%USERPROFILE%\Documents\GitHub\mrs-test-scripts\Headless Mode &amp; Sideloading\WalkAndUnGZ.bat" "%USERPROFILE%\AppData\Local\Temp\OnboardLogs"\RTDC4056\2017-06-27</v>
      </c>
      <c r="AF228" s="74" t="str">
        <f t="shared" si="100"/>
        <v>"C:\Program Files (x86)\AstroGrep\AstroGrep.exe" /e /r /s /spath="%USERPROFILE%\AppData\Local\Temp\OnboardLogs" /stypes="app*4056*20170626*" /stext=" 09:.+((SYSTEM_STATE.+slice.+state.+changed )|(ment ac)|(multiple cpu faults)|(system.+state.+changed )|(\[timeout)|(PRM\|1\|D)|(kpr)|(kdp)|(train st.+moving)|(\|lc)|(penalty))"</v>
      </c>
      <c r="AG228" s="209" t="str">
        <f t="shared" si="101"/>
        <v>Shuttle/Test</v>
      </c>
      <c r="AH228" s="78" t="str">
        <f t="shared" si="102"/>
        <v>"%USERPROFILE%\Documents\GitHub\eaglep3\Utilities\RefineRTDCRunTimes.py" --tripid 50-26 --locoid 4056 --swversion DE.1.0.9.0 --startMP 204:444 --initTime 2017-06-26T03:03:32 --startdatetime 2017-06-26T03:23:20 --delay 1 --endMP 204:3614 --enddatetime 2017-06-26T03:25:03 --enforcementcount 0 &gt;&gt;C:\Users\stu\Documents\GitHub\eaglep3-reporting\EC\2017-06-26-refined-times.txt</v>
      </c>
      <c r="AI228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0.3614"},{"id":17,"name":"Train ID","value":"50-26"},{"id":16,"name":"Locomotive ID","value":"4056"},{"id":130,"name":"Impact","value":""},{"id":150,"name":"Time of Event (Mountain Time)","value":"03:25:03"},{"id":151,"name":"Denver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04"/>
        <v>start /low /b %USERPROFILE%\Documents\GitHub\eaglep3\Utilities\DownloadLogsFromS3.py --loco 4056 --day 2017-06-26</v>
      </c>
      <c r="AN228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09:25:03"},{"id":29,"name":"Sharepoint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627</v>
      </c>
      <c r="B229" s="7">
        <v>4032</v>
      </c>
      <c r="C229" s="21" t="s">
        <v>202</v>
      </c>
      <c r="D229" s="21" t="s">
        <v>950</v>
      </c>
      <c r="E229" s="13">
        <v>42912.365208333336</v>
      </c>
      <c r="F229" s="13">
        <v>42912.373449074075</v>
      </c>
      <c r="G229" s="7">
        <v>11</v>
      </c>
      <c r="H229" s="21" t="s">
        <v>951</v>
      </c>
      <c r="I229" s="13">
        <v>42912.391041666669</v>
      </c>
      <c r="J229" s="7">
        <v>0</v>
      </c>
      <c r="K229" s="89" t="str">
        <f t="shared" si="92"/>
        <v>4031/4032</v>
      </c>
      <c r="L229" s="21" t="str">
        <f>VLOOKUP(A229,'Trips&amp;Operators'!$C$1:$G$99999,5,FALSE)</f>
        <v>ACKERMAN JARED</v>
      </c>
      <c r="M229" s="6">
        <f t="shared" si="93"/>
        <v>1.7592592594155576E-2</v>
      </c>
      <c r="N229" s="7">
        <f t="shared" si="106"/>
        <v>25.33333333558403</v>
      </c>
      <c r="O229" s="7"/>
      <c r="P229" s="7"/>
      <c r="Q229" s="22"/>
      <c r="R229" s="170"/>
      <c r="S229" s="213">
        <f t="shared" si="94"/>
        <v>0</v>
      </c>
      <c r="T229" s="195" t="str">
        <f t="shared" si="95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6"/>
        <v>https://d0f6bd738d7f1b3e5a7ca70fe4ff75f0.us-east-1.aws.found.io/app/kibana#/discover/Steve-Slow-Train-Analysis-(2080s-and-2083s)?_g=(refreshInterval:(display:Off,pause:!f,section:0,value:0),time:(from:'2017-06-26T07:45:54-0600',mode:absolute,to:'2017-06-26T10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9" s="197" t="str">
        <f>IF(AA229&lt;VLOOKUP(AG229,Variables!$AC$3:$AD$8,2,FALSE),"Y","N")</f>
        <v>Y</v>
      </c>
      <c r="X229" s="197">
        <f t="shared" si="107"/>
        <v>1</v>
      </c>
      <c r="Y229" s="197">
        <f t="shared" si="90"/>
        <v>3.0318000000000001</v>
      </c>
      <c r="Z229" s="197">
        <f t="shared" si="91"/>
        <v>11.2464</v>
      </c>
      <c r="AA229" s="197">
        <f t="shared" si="97"/>
        <v>8.214599999999999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8"/>
        <v>51</v>
      </c>
      <c r="AE229" s="77" t="str">
        <f t="shared" si="99"/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AF229" s="74" t="str">
        <f t="shared" si="100"/>
        <v>"C:\Program Files (x86)\AstroGrep\AstroGrep.exe" /e /r /s /spath="%USERPROFILE%\AppData\Local\Temp\OnboardLogs" /stypes="app*4032*20170626*" /stext=" 15:.+((SYSTEM_STATE.+slice.+state.+changed )|(ment ac)|(multiple cpu faults)|(system.+state.+changed )|(\[timeout)|(PRM\|1\|D)|(kpr)|(kdp)|(train st.+moving)|(\|lc)|(penalty))"</v>
      </c>
      <c r="AG229" s="209" t="str">
        <f t="shared" si="101"/>
        <v>Shuttle/Test</v>
      </c>
      <c r="AH229" s="78" t="str">
        <f t="shared" si="102"/>
        <v>"%USERPROFILE%\Documents\GitHub\eaglep3\Utilities\RefineRTDCRunTimes.py" --tripid 51-26 --locoid 4032 --swversion DE.1.0.9.0 --startMP 300:30318 --initTime 2017-06-26T08:45:54 --startdatetime 2017-06-26T08:57:46 --delay 11 --endMP 300:112464 --enddatetime 2017-06-26T09:23:06 --enforcementcount 0 &gt;&gt;C:\Users\stu\Documents\GitHub\eaglep3-reporting\EC\2017-06-26-refined-times.txt</v>
      </c>
      <c r="AI229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11.2464"},{"id":17,"name":"Train ID","value":"51-26"},{"id":16,"name":"Locomotive ID","value":"4032"},{"id":130,"name":"Impact","value":""},{"id":150,"name":"Time of Event (Mountain Time)","value":"09:23:06"},{"id":151,"name":"Denver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4"/>
        <v>start /low /b %USERPROFILE%\Documents\GitHub\eaglep3\Utilities\DownloadLogsFromS3.py --loco 4032 --day 2017-06-26</v>
      </c>
      <c r="AN229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770</v>
      </c>
      <c r="B230" s="7">
        <v>4021</v>
      </c>
      <c r="C230" s="21" t="s">
        <v>202</v>
      </c>
      <c r="D230" s="21" t="s">
        <v>952</v>
      </c>
      <c r="E230" s="13">
        <v>42912.548877314817</v>
      </c>
      <c r="F230" s="13">
        <v>42912.553483796299</v>
      </c>
      <c r="G230" s="7">
        <v>1</v>
      </c>
      <c r="H230" s="21" t="s">
        <v>953</v>
      </c>
      <c r="I230" s="13">
        <v>42912.556064814817</v>
      </c>
      <c r="J230" s="7">
        <v>0</v>
      </c>
      <c r="K230" s="89" t="str">
        <f t="shared" si="92"/>
        <v>4021/4022</v>
      </c>
      <c r="L230" s="21" t="str">
        <f>VLOOKUP(A230,'Trips&amp;Operators'!$C$1:$G$99999,5,FALSE)</f>
        <v>BROWN JACOB</v>
      </c>
      <c r="M230" s="6">
        <f t="shared" si="93"/>
        <v>2.5810185179580003E-3</v>
      </c>
      <c r="N230" s="7">
        <f t="shared" si="106"/>
        <v>3.7166666658595204</v>
      </c>
      <c r="O230" s="7"/>
      <c r="P230" s="7"/>
      <c r="Q230" s="22"/>
      <c r="R230" s="170"/>
      <c r="S230" s="213">
        <f t="shared" si="94"/>
        <v>0</v>
      </c>
      <c r="T230" s="195" t="str">
        <f t="shared" si="95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6"/>
        <v>https://d0f6bd738d7f1b3e5a7ca70fe4ff75f0.us-east-1.aws.found.io/app/kibana#/discover/Steve-Slow-Train-Analysis-(2080s-and-2083s)?_g=(refreshInterval:(display:Off,pause:!f,section:0,value:0),time:(from:'2017-06-26T12:10:23-0600',mode:absolute,to:'2017-06-26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0" s="197" t="str">
        <f>IF(AA230&lt;VLOOKUP(AG230,Variables!$AC$3:$AD$8,2,FALSE),"Y","N")</f>
        <v>Y</v>
      </c>
      <c r="X230" s="197">
        <f t="shared" si="107"/>
        <v>1</v>
      </c>
      <c r="Y230" s="197">
        <f t="shared" si="90"/>
        <v>2.3003</v>
      </c>
      <c r="Z230" s="197">
        <f t="shared" si="91"/>
        <v>2.1753</v>
      </c>
      <c r="AA230" s="197">
        <f t="shared" si="97"/>
        <v>0.125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8"/>
        <v>52</v>
      </c>
      <c r="AE230" s="77" t="str">
        <f t="shared" si="99"/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AF230" s="74" t="str">
        <f t="shared" si="100"/>
        <v>"C:\Program Files (x86)\AstroGrep\AstroGrep.exe" /e /r /s /spath="%USERPROFILE%\AppData\Local\Temp\OnboardLogs" /stypes="app*4021*20170626*" /stext=" 19:.+((SYSTEM_STATE.+slice.+state.+changed )|(ment ac)|(multiple cpu faults)|(system.+state.+changed )|(\[timeout)|(PRM\|1\|D)|(kpr)|(kdp)|(train st.+moving)|(\|lc)|(penalty))"</v>
      </c>
      <c r="AG230" s="209" t="str">
        <f t="shared" si="101"/>
        <v>Shuttle/Test</v>
      </c>
      <c r="AH230" s="78" t="str">
        <f t="shared" si="102"/>
        <v>"%USERPROFILE%\Documents\GitHub\eaglep3\Utilities\RefineRTDCRunTimes.py" --tripid 52-26 --locoid 4021 --swversion DE.1.0.9.0 --startMP 300:23003 --initTime 2017-06-26T13:10:23 --startdatetime 2017-06-26T13:17:01 --delay 1 --endMP 300:21753 --enddatetime 2017-06-26T13:20:44 --enforcementcount 0 &gt;&gt;C:\Users\stu\Documents\GitHub\eaglep3-reporting\EC\2017-06-26-refined-times.txt</v>
      </c>
      <c r="AI230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2.1753"},{"id":17,"name":"Train ID","value":"52-26"},{"id":16,"name":"Locomotive ID","value":"4021"},{"id":130,"name":"Impact","value":""},{"id":150,"name":"Time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04"/>
        <v>start /low /b %USERPROFILE%\Documents\GitHub\eaglep3\Utilities\DownloadLogsFromS3.py --loco 4021 --day 2017-06-26</v>
      </c>
      <c r="AN230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770</v>
      </c>
      <c r="B231" s="7">
        <v>4022</v>
      </c>
      <c r="C231" s="21" t="s">
        <v>202</v>
      </c>
      <c r="D231" s="21" t="s">
        <v>954</v>
      </c>
      <c r="E231" s="13">
        <v>42912.55201388889</v>
      </c>
      <c r="F231" s="13">
        <v>42912.553483796299</v>
      </c>
      <c r="G231" s="7">
        <v>1</v>
      </c>
      <c r="H231" s="21" t="s">
        <v>955</v>
      </c>
      <c r="I231" s="13">
        <v>42912.556064814817</v>
      </c>
      <c r="J231" s="7">
        <v>0</v>
      </c>
      <c r="K231" s="89" t="str">
        <f t="shared" si="92"/>
        <v>4021/4022</v>
      </c>
      <c r="L231" s="21" t="str">
        <f>VLOOKUP(A231,'Trips&amp;Operators'!$C$1:$G$99999,5,FALSE)</f>
        <v>BROWN JACOB</v>
      </c>
      <c r="M231" s="6">
        <f t="shared" si="93"/>
        <v>2.5810185179580003E-3</v>
      </c>
      <c r="N231" s="7">
        <f t="shared" si="106"/>
        <v>3.7166666658595204</v>
      </c>
      <c r="O231" s="7"/>
      <c r="P231" s="7"/>
      <c r="Q231" s="22"/>
      <c r="R231" s="170"/>
      <c r="S231" s="213">
        <f t="shared" si="94"/>
        <v>0</v>
      </c>
      <c r="T231" s="195" t="str">
        <f t="shared" si="95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96"/>
        <v>https://d0f6bd738d7f1b3e5a7ca70fe4ff75f0.us-east-1.aws.found.io/app/kibana#/discover/Steve-Slow-Train-Analysis-(2080s-and-2083s)?_g=(refreshInterval:(display:Off,pause:!f,section:0,value:0),time:(from:'2017-06-26T12:14:54-0600',mode:absolute,to:'2017-06-26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1" s="197" t="str">
        <f>IF(AA231&lt;VLOOKUP(AG231,Variables!$AC$3:$AD$8,2,FALSE),"Y","N")</f>
        <v>Y</v>
      </c>
      <c r="X231" s="197">
        <f t="shared" si="107"/>
        <v>0</v>
      </c>
      <c r="Y231" s="197">
        <f t="shared" si="90"/>
        <v>2.2065999999999999</v>
      </c>
      <c r="Z231" s="197">
        <f t="shared" si="91"/>
        <v>2.4216000000000002</v>
      </c>
      <c r="AA231" s="197">
        <f t="shared" si="97"/>
        <v>0.2150000000000003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8"/>
        <v>52</v>
      </c>
      <c r="AE231" s="77" t="str">
        <f t="shared" si="99"/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AF231" s="74" t="str">
        <f t="shared" si="100"/>
        <v>"C:\Program Files (x86)\AstroGrep\AstroGrep.exe" /e /r /s /spath="%USERPROFILE%\AppData\Local\Temp\OnboardLogs" /stypes="app*4022*20170626*" /stext=" 19:.+((SYSTEM_STATE.+slice.+state.+changed )|(ment ac)|(multiple cpu faults)|(system.+state.+changed )|(\[timeout)|(PRM\|1\|D)|(kpr)|(kdp)|(train st.+moving)|(\|lc)|(penalty))"</v>
      </c>
      <c r="AG231" s="209" t="str">
        <f t="shared" si="101"/>
        <v>Shuttle/Test</v>
      </c>
      <c r="AH231" s="78" t="str">
        <f t="shared" si="102"/>
        <v>"%USERPROFILE%\Documents\GitHub\eaglep3\Utilities\RefineRTDCRunTimes.py" --tripid 52-26 --locoid 4022 --swversion DE.1.0.9.0 --startMP 300:22066 --initTime 2017-06-26T13:14:54 --startdatetime 2017-06-26T13:17:01 --delay 1 --endMP 300:24216 --enddatetime 2017-06-26T13:20:44 --enforcementcount 0 &gt;&gt;C:\Users\stu\Documents\GitHub\eaglep3-reporting\EC\2017-06-26-refined-times.txt</v>
      </c>
      <c r="AI231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2.4216"},{"id":17,"name":"Train ID","value":"52-26"},{"id":16,"name":"Locomotive ID","value":"4022"},{"id":130,"name":"Impact","value":""},{"id":150,"name":"Time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04"/>
        <v>start /low /b %USERPROFILE%\Documents\GitHub\eaglep3\Utilities\DownloadLogsFromS3.py --loco 4022 --day 2017-06-26</v>
      </c>
      <c r="AN231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19:20:44"},{"id":29,"name":"Sharepoint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731</v>
      </c>
      <c r="B232" s="7">
        <v>4019</v>
      </c>
      <c r="C232" s="21" t="s">
        <v>202</v>
      </c>
      <c r="D232" s="21" t="s">
        <v>956</v>
      </c>
      <c r="E232" s="13">
        <v>42912.393263888887</v>
      </c>
      <c r="F232" s="13">
        <v>42912.394537037035</v>
      </c>
      <c r="G232" s="7">
        <v>1</v>
      </c>
      <c r="H232" s="21" t="s">
        <v>586</v>
      </c>
      <c r="I232" s="13">
        <v>42912.395462962966</v>
      </c>
      <c r="J232" s="7">
        <v>0</v>
      </c>
      <c r="K232" s="89" t="str">
        <f t="shared" si="92"/>
        <v>4019/4020</v>
      </c>
      <c r="L232" s="21" t="str">
        <f>VLOOKUP(A232,'Trips&amp;Operators'!$C$1:$G$99999,5,FALSE)</f>
        <v>MACDONALD THOMAS</v>
      </c>
      <c r="M232" s="6">
        <f t="shared" si="93"/>
        <v>9.2592593136942014E-4</v>
      </c>
      <c r="N232" s="7">
        <f t="shared" si="106"/>
        <v>1.333333341171965</v>
      </c>
      <c r="O232" s="7"/>
      <c r="P232" s="7"/>
      <c r="Q232" s="22"/>
      <c r="R232" s="170"/>
      <c r="S232" s="213">
        <f t="shared" si="94"/>
        <v>0</v>
      </c>
      <c r="T232" s="195" t="str">
        <f t="shared" si="95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96"/>
        <v>https://d0f6bd738d7f1b3e5a7ca70fe4ff75f0.us-east-1.aws.found.io/app/kibana#/discover/Steve-Slow-Train-Analysis-(2080s-and-2083s)?_g=(refreshInterval:(display:Off,pause:!f,section:0,value:0),time:(from:'2017-06-26T08:26:18-0600',mode:absolute,to:'2017-06-26T10:29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2" s="197" t="str">
        <f>IF(AA232&lt;VLOOKUP(AG232,Variables!$AC$3:$AD$8,2,FALSE),"Y","N")</f>
        <v>Y</v>
      </c>
      <c r="X232" s="197">
        <f t="shared" si="107"/>
        <v>1</v>
      </c>
      <c r="Y232" s="197">
        <f t="shared" si="90"/>
        <v>0.3246</v>
      </c>
      <c r="Z232" s="197">
        <f t="shared" si="91"/>
        <v>0.1152</v>
      </c>
      <c r="AA232" s="197">
        <f t="shared" si="97"/>
        <v>0.2094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8"/>
        <v>53</v>
      </c>
      <c r="AE232" s="77" t="str">
        <f t="shared" si="99"/>
        <v>aws s3 cp s3://rtdc.mdm.uploadarchive.raw/RTDC4019/ "%USERPROFILE%\AppData\Local\Temp\OnboardLogs"\RTDC4019\2017-06-26 --exclude "*" --recursive --include "*20170626*" &amp; "%USERPROFILE%\Documents\GitHub\mrs-test-scripts\Headless Mode &amp; Sideloading\WalkAndUnGZ.bat" "%USERPROFILE%\AppData\Local\Temp\OnboardLogs"\RTDC4019\2017-06-26 &amp; 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</v>
      </c>
      <c r="AF232" s="74" t="str">
        <f t="shared" si="100"/>
        <v>"C:\Program Files (x86)\AstroGrep\AstroGrep.exe" /e /r /s /spath="%USERPROFILE%\AppData\Local\Temp\OnboardLogs" /stypes="app*4019*20170626*" /stext=" 15:.+((SYSTEM_STATE.+slice.+state.+changed )|(ment ac)|(multiple cpu faults)|(system.+state.+changed )|(\[timeout)|(PRM\|1\|D)|(kpr)|(kdp)|(train st.+moving)|(\|lc)|(penalty))"</v>
      </c>
      <c r="AG232" s="209" t="str">
        <f t="shared" si="101"/>
        <v>Shuttle/Test</v>
      </c>
      <c r="AH232" s="78" t="str">
        <f t="shared" si="102"/>
        <v>"%USERPROFILE%\Documents\GitHub\eaglep3\Utilities\RefineRTDCRunTimes.py" --tripid 53-26 --locoid 4019 --swversion DE.1.0.9.0 --startMP 204:3246 --initTime 2017-06-26T09:26:18 --startdatetime 2017-06-26T09:28:08 --delay 1 --endMP 204:1152 --enddatetime 2017-06-26T09:29:28 --enforcementcount 0 &gt;&gt;C:\Users\stu\Documents\GitHub\eaglep3-reporting\EC\2017-06-26-refined-times.txt</v>
      </c>
      <c r="AI232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0.1152"},{"id":17,"name":"Train ID","value":"53-26"},{"id":16,"name":"Locomotive ID","value":"4019"},{"id":130,"name":"Impact","value":""},{"id":150,"name":"Time of Event (Mountain Time)","value":"09:29:28"},{"id":151,"name":"Denver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04"/>
        <v>start /low /b %USERPROFILE%\Documents\GitHub\eaglep3\Utilities\DownloadLogsFromS3.py --loco 4019 --day 2017-06-26</v>
      </c>
      <c r="AN232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15:29:28"},{"id":29,"name":"Sharepoint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731</v>
      </c>
      <c r="B233" s="7">
        <v>4020</v>
      </c>
      <c r="C233" s="21" t="s">
        <v>202</v>
      </c>
      <c r="D233" s="21" t="s">
        <v>466</v>
      </c>
      <c r="E233" s="13">
        <v>42912.385694444441</v>
      </c>
      <c r="F233" s="13">
        <v>42912.394537037035</v>
      </c>
      <c r="G233" s="7">
        <v>5</v>
      </c>
      <c r="H233" s="21" t="s">
        <v>957</v>
      </c>
      <c r="I233" s="13">
        <v>42912.395462962966</v>
      </c>
      <c r="J233" s="7">
        <v>0</v>
      </c>
      <c r="K233" s="89" t="str">
        <f t="shared" si="92"/>
        <v>4019/4020</v>
      </c>
      <c r="L233" s="21" t="str">
        <f>VLOOKUP(A233,'Trips&amp;Operators'!$C$1:$G$99999,5,FALSE)</f>
        <v>MACDONALD THOMAS</v>
      </c>
      <c r="M233" s="6">
        <f t="shared" si="93"/>
        <v>9.2592593136942014E-4</v>
      </c>
      <c r="N233" s="7">
        <f t="shared" si="106"/>
        <v>1.333333341171965</v>
      </c>
      <c r="O233" s="7"/>
      <c r="P233" s="7"/>
      <c r="Q233" s="22"/>
      <c r="R233" s="170"/>
      <c r="S233" s="213">
        <f t="shared" si="94"/>
        <v>0</v>
      </c>
      <c r="T233" s="195" t="str">
        <f t="shared" si="95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96"/>
        <v>https://d0f6bd738d7f1b3e5a7ca70fe4ff75f0.us-east-1.aws.found.io/app/kibana#/discover/Steve-Slow-Train-Analysis-(2080s-and-2083s)?_g=(refreshInterval:(display:Off,pause:!f,section:0,value:0),time:(from:'2017-06-26T08:15:24-0600',mode:absolute,to:'2017-06-26T10:29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3" s="197" t="str">
        <f>IF(AA233&lt;VLOOKUP(AG233,Variables!$AC$3:$AD$8,2,FALSE),"Y","N")</f>
        <v>Y</v>
      </c>
      <c r="X233" s="197">
        <f t="shared" si="107"/>
        <v>0</v>
      </c>
      <c r="Y233" s="197">
        <f t="shared" si="90"/>
        <v>4.6399999999999997E-2</v>
      </c>
      <c r="Z233" s="197">
        <f t="shared" si="91"/>
        <v>0.35809999999999997</v>
      </c>
      <c r="AA233" s="197">
        <f t="shared" si="97"/>
        <v>0.31169999999999998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8"/>
        <v>53</v>
      </c>
      <c r="AE233" s="77" t="str">
        <f t="shared" si="99"/>
        <v>aws s3 cp s3://rtdc.mdm.uploadarchive.raw/RTDC4020/ "%USERPROFILE%\AppData\Local\Temp\OnboardLogs"\RTDC4020\2017-06-26 --exclude "*" --recursive --include "*20170626*" &amp; "%USERPROFILE%\Documents\GitHub\mrs-test-scripts\Headless Mode &amp; Sideloading\WalkAndUnGZ.bat" "%USERPROFILE%\AppData\Local\Temp\OnboardLogs"\RTDC4020\2017-06-26 &amp; 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</v>
      </c>
      <c r="AF233" s="74" t="str">
        <f t="shared" si="100"/>
        <v>"C:\Program Files (x86)\AstroGrep\AstroGrep.exe" /e /r /s /spath="%USERPROFILE%\AppData\Local\Temp\OnboardLogs" /stypes="app*4020*20170626*" /stext=" 15:.+((SYSTEM_STATE.+slice.+state.+changed )|(ment ac)|(multiple cpu faults)|(system.+state.+changed )|(\[timeout)|(PRM\|1\|D)|(kpr)|(kdp)|(train st.+moving)|(\|lc)|(penalty))"</v>
      </c>
      <c r="AG233" s="209" t="str">
        <f t="shared" si="101"/>
        <v>Shuttle/Test</v>
      </c>
      <c r="AH233" s="78" t="str">
        <f t="shared" si="102"/>
        <v>"%USERPROFILE%\Documents\GitHub\eaglep3\Utilities\RefineRTDCRunTimes.py" --tripid 53-26 --locoid 4020 --swversion DE.1.0.9.0 --startMP 204:464 --initTime 2017-06-26T09:15:24 --startdatetime 2017-06-26T09:28:08 --delay 5 --endMP 204:3581 --enddatetime 2017-06-26T09:29:28 --enforcementcount 0 &gt;&gt;C:\Users\stu\Documents\GitHub\eaglep3-reporting\EC\2017-06-26-refined-times.txt</v>
      </c>
      <c r="AI233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0.3581"},{"id":17,"name":"Train ID","value":"53-26"},{"id":16,"name":"Locomotive ID","value":"4020"},{"id":130,"name":"Impact","value":""},{"id":150,"name":"Time of Event (Mountain Time)","value":"09:29:28"},{"id":151,"name":"Denver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04"/>
        <v>start /low /b %USERPROFILE%\Documents\GitHub\eaglep3\Utilities\DownloadLogsFromS3.py --loco 4020 --day 2017-06-26</v>
      </c>
      <c r="AN233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15:29:28"},{"id":29,"name":"Sharepoint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755</v>
      </c>
      <c r="B234" s="7">
        <v>4008</v>
      </c>
      <c r="C234" s="21" t="s">
        <v>202</v>
      </c>
      <c r="D234" s="21" t="s">
        <v>958</v>
      </c>
      <c r="E234" s="13">
        <v>42912.477060185185</v>
      </c>
      <c r="F234" s="13">
        <v>42912.483449074076</v>
      </c>
      <c r="G234" s="7">
        <v>7</v>
      </c>
      <c r="H234" s="21" t="s">
        <v>515</v>
      </c>
      <c r="I234" s="13">
        <v>42912.493900462963</v>
      </c>
      <c r="J234" s="7">
        <v>0</v>
      </c>
      <c r="K234" s="89" t="str">
        <f t="shared" si="92"/>
        <v>4007/4008</v>
      </c>
      <c r="L234" s="21" t="str">
        <f>VLOOKUP(A234,'Trips&amp;Operators'!$C$1:$G$99999,5,FALSE)</f>
        <v>STARKS ANGELINA</v>
      </c>
      <c r="M234" s="6">
        <f t="shared" si="93"/>
        <v>1.0451388887304347E-2</v>
      </c>
      <c r="N234" s="7">
        <f t="shared" si="106"/>
        <v>15.04999999771826</v>
      </c>
      <c r="O234" s="7"/>
      <c r="P234" s="7"/>
      <c r="Q234" s="22"/>
      <c r="R234" s="170"/>
      <c r="S234" s="213">
        <f t="shared" si="94"/>
        <v>0</v>
      </c>
      <c r="T234" s="195" t="str">
        <f t="shared" si="95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96"/>
        <v>https://d0f6bd738d7f1b3e5a7ca70fe4ff75f0.us-east-1.aws.found.io/app/kibana#/discover/Steve-Slow-Train-Analysis-(2080s-and-2083s)?_g=(refreshInterval:(display:Off,pause:!f,section:0,value:0),time:(from:'2017-06-26T10:26:58-0600',mode:absolute,to:'2017-06-26T12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4" s="197" t="str">
        <f>IF(AA234&lt;VLOOKUP(AG234,Variables!$AC$3:$AD$8,2,FALSE),"Y","N")</f>
        <v>Y</v>
      </c>
      <c r="X234" s="197">
        <f t="shared" si="107"/>
        <v>1</v>
      </c>
      <c r="Y234" s="197">
        <f t="shared" ref="Y234:Y255" si="108">RIGHT(D234,LEN(D234)-4)/10000</f>
        <v>0.13389999999999999</v>
      </c>
      <c r="Z234" s="197">
        <f t="shared" ref="Z234:Z255" si="109">RIGHT(H234,LEN(H234)-4)/10000</f>
        <v>2.3311999999999999</v>
      </c>
      <c r="AA234" s="197">
        <f t="shared" si="97"/>
        <v>2.1972999999999998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8"/>
        <v>54</v>
      </c>
      <c r="AE234" s="77" t="str">
        <f t="shared" si="99"/>
        <v>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 &amp; 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</v>
      </c>
      <c r="AF234" s="74" t="str">
        <f t="shared" si="100"/>
        <v>"C:\Program Files (x86)\AstroGrep\AstroGrep.exe" /e /r /s /spath="%USERPROFILE%\AppData\Local\Temp\OnboardLogs" /stypes="app*4008*20170626*" /stext=" 17:.+((SYSTEM_STATE.+slice.+state.+changed )|(ment ac)|(multiple cpu faults)|(system.+state.+changed )|(\[timeout)|(PRM\|1\|D)|(kpr)|(kdp)|(train st.+moving)|(\|lc)|(penalty))"</v>
      </c>
      <c r="AG234" s="209" t="str">
        <f t="shared" si="101"/>
        <v>Shuttle/Test</v>
      </c>
      <c r="AH234" s="78" t="str">
        <f t="shared" si="102"/>
        <v>"%USERPROFILE%\Documents\GitHub\eaglep3\Utilities\RefineRTDCRunTimes.py" --tripid 54-26 --locoid 4008 --swversion DE.1.0.9.0 --startMP 204:1339 --initTime 2017-06-26T11:26:58 --startdatetime 2017-06-26T11:36:10 --delay 7 --endMP 300:23312 --enddatetime 2017-06-26T11:51:13 --enforcementcount 0 &gt;&gt;C:\Users\stu\Documents\GitHub\eaglep3-reporting\EC\2017-06-26-refined-times.txt</v>
      </c>
      <c r="AI234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2.3312"},{"id":17,"name":"Train ID","value":"54-26"},{"id":16,"name":"Locomotive ID","value":"4008"},{"id":130,"name":"Impact","value":""},{"id":150,"name":"Time of Event (Mountain Time)","value":"11:51:13"},{"id":151,"name":"Denver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04"/>
        <v>start /low /b %USERPROFILE%\Documents\GitHub\eaglep3\Utilities\DownloadLogsFromS3.py --loco 4008 --day 2017-06-26</v>
      </c>
      <c r="AN234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746</v>
      </c>
      <c r="B235" s="7">
        <v>4007</v>
      </c>
      <c r="C235" s="21" t="s">
        <v>202</v>
      </c>
      <c r="D235" s="21" t="s">
        <v>959</v>
      </c>
      <c r="E235" s="13">
        <v>42912.441134259258</v>
      </c>
      <c r="F235" s="13">
        <v>42912.449849537035</v>
      </c>
      <c r="G235" s="7">
        <v>12</v>
      </c>
      <c r="H235" s="21" t="s">
        <v>960</v>
      </c>
      <c r="I235" s="13">
        <v>42912.456435185188</v>
      </c>
      <c r="J235" s="7">
        <v>0</v>
      </c>
      <c r="K235" s="89" t="str">
        <f t="shared" si="92"/>
        <v>4007/4008</v>
      </c>
      <c r="L235" s="21" t="str">
        <f>VLOOKUP(A235,'Trips&amp;Operators'!$C$1:$G$99999,5,FALSE)</f>
        <v>ROMERO CHAD</v>
      </c>
      <c r="M235" s="6">
        <f t="shared" si="93"/>
        <v>6.5856481523951516E-3</v>
      </c>
      <c r="N235" s="7">
        <f t="shared" si="106"/>
        <v>9.4833333394490182</v>
      </c>
      <c r="O235" s="7"/>
      <c r="P235" s="7"/>
      <c r="Q235" s="22"/>
      <c r="R235" s="170"/>
      <c r="S235" s="213">
        <f t="shared" si="94"/>
        <v>0</v>
      </c>
      <c r="T235" s="195" t="str">
        <f t="shared" si="95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96"/>
        <v>https://d0f6bd738d7f1b3e5a7ca70fe4ff75f0.us-east-1.aws.found.io/app/kibana#/discover/Steve-Slow-Train-Analysis-(2080s-and-2083s)?_g=(refreshInterval:(display:Off,pause:!f,section:0,value:0),time:(from:'2017-06-26T09:35:14-0600',mode:absolute,to:'2017-06-26T11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5" s="197" t="str">
        <f>IF(AA235&lt;VLOOKUP(AG235,Variables!$AC$3:$AD$8,2,FALSE),"Y","N")</f>
        <v>Y</v>
      </c>
      <c r="X235" s="197">
        <f t="shared" si="107"/>
        <v>1</v>
      </c>
      <c r="Y235" s="197">
        <f t="shared" si="108"/>
        <v>2.1998000000000002</v>
      </c>
      <c r="Z235" s="197">
        <f t="shared" si="109"/>
        <v>0.1027</v>
      </c>
      <c r="AA235" s="197">
        <f t="shared" si="97"/>
        <v>2.0971000000000002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8"/>
        <v>55</v>
      </c>
      <c r="AE235" s="77" t="str">
        <f t="shared" si="99"/>
        <v>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 &amp; 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</v>
      </c>
      <c r="AF235" s="74" t="str">
        <f t="shared" si="100"/>
        <v>"C:\Program Files (x86)\AstroGrep\AstroGrep.exe" /e /r /s /spath="%USERPROFILE%\AppData\Local\Temp\OnboardLogs" /stypes="app*4007*20170626*" /stext=" 16:.+((SYSTEM_STATE.+slice.+state.+changed )|(ment ac)|(multiple cpu faults)|(system.+state.+changed )|(\[timeout)|(PRM\|1\|D)|(kpr)|(kdp)|(train st.+moving)|(\|lc)|(penalty))"</v>
      </c>
      <c r="AG235" s="209" t="str">
        <f t="shared" si="101"/>
        <v>Shuttle/Test</v>
      </c>
      <c r="AH235" s="78" t="str">
        <f t="shared" si="102"/>
        <v>"%USERPROFILE%\Documents\GitHub\eaglep3\Utilities\RefineRTDCRunTimes.py" --tripid 55-26 --locoid 4007 --swversion DE.1.0.9.0 --startMP 300:21998 --initTime 2017-06-26T10:35:14 --startdatetime 2017-06-26T10:47:47 --delay 12 --endMP 204:1027 --enddatetime 2017-06-26T10:57:16 --enforcementcount 0 &gt;&gt;C:\Users\stu\Documents\GitHub\eaglep3-reporting\EC\2017-06-26-refined-times.txt</v>
      </c>
      <c r="AI235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0.1027"},{"id":17,"name":"Train ID","value":"55-26"},{"id":16,"name":"Locomotive ID","value":"4007"},{"id":130,"name":"Impact","value":""},{"id":150,"name":"Time of Event (Mountain Time)","value":"10:57:16"},{"id":151,"name":"Denver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04"/>
        <v>start /low /b %USERPROFILE%\Documents\GitHub\eaglep3\Utilities\DownloadLogsFromS3.py --loco 4007 --day 2017-06-26</v>
      </c>
      <c r="AN235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16:57:16"},{"id":29,"name":"Sharepoint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826</v>
      </c>
      <c r="B236" s="7">
        <v>4001</v>
      </c>
      <c r="C236" s="21" t="s">
        <v>202</v>
      </c>
      <c r="D236" s="21" t="s">
        <v>961</v>
      </c>
      <c r="E236" s="13">
        <v>42912.7421875</v>
      </c>
      <c r="F236" s="13">
        <v>42912.749282407407</v>
      </c>
      <c r="G236" s="7">
        <v>10</v>
      </c>
      <c r="H236" s="21" t="s">
        <v>962</v>
      </c>
      <c r="I236" s="13">
        <v>42912.758148148147</v>
      </c>
      <c r="J236" s="7">
        <v>0</v>
      </c>
      <c r="K236" s="89" t="str">
        <f t="shared" si="92"/>
        <v>4001/4002</v>
      </c>
      <c r="L236" s="21" t="str">
        <f>VLOOKUP(A236,'Trips&amp;Operators'!$C$1:$G$99999,5,FALSE)</f>
        <v>BIRENBAUM THOMAS</v>
      </c>
      <c r="M236" s="6">
        <f t="shared" si="93"/>
        <v>8.8657407395658083E-3</v>
      </c>
      <c r="N236" s="7">
        <f t="shared" si="106"/>
        <v>12.766666664974764</v>
      </c>
      <c r="O236" s="7"/>
      <c r="P236" s="7"/>
      <c r="Q236" s="22"/>
      <c r="R236" s="170"/>
      <c r="S236" s="213">
        <f t="shared" si="94"/>
        <v>1</v>
      </c>
      <c r="T236" s="195" t="str">
        <f t="shared" si="95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96"/>
        <v>https://d0f6bd738d7f1b3e5a7ca70fe4ff75f0.us-east-1.aws.found.io/app/kibana#/discover/Steve-Slow-Train-Analysis-(2080s-and-2083s)?_g=(refreshInterval:(display:Off,pause:!f,section:0,value:0),time:(from:'2017-06-26T16:48:45-0600',mode:absolute,to:'2017-06-26T19:11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6" s="197" t="str">
        <f>IF(AA236&lt;VLOOKUP(AG236,Variables!$AC$3:$AD$8,2,FALSE),"Y","N")</f>
        <v>Y</v>
      </c>
      <c r="X236" s="197">
        <f t="shared" si="107"/>
        <v>1</v>
      </c>
      <c r="Y236" s="197">
        <f t="shared" si="108"/>
        <v>2.2181000000000002</v>
      </c>
      <c r="Z236" s="197">
        <f t="shared" si="109"/>
        <v>0.18579999999999999</v>
      </c>
      <c r="AA236" s="197">
        <f t="shared" si="97"/>
        <v>2.0323000000000002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8"/>
        <v>56</v>
      </c>
      <c r="AE236" s="77" t="str">
        <f t="shared" si="99"/>
        <v>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 &amp; 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</v>
      </c>
      <c r="AF236" s="74" t="str">
        <f t="shared" si="100"/>
        <v>"C:\Program Files (x86)\AstroGrep\AstroGrep.exe" /e /r /s /spath="%USERPROFILE%\AppData\Local\Temp\OnboardLogs" /stypes="app*4001*20170627*" /stext=" 00:.+((SYSTEM_STATE.+slice.+state.+changed )|(ment ac)|(multiple cpu faults)|(system.+state.+changed )|(\[timeout)|(PRM\|1\|D)|(kpr)|(kdp)|(train st.+moving)|(\|lc)|(penalty))"</v>
      </c>
      <c r="AG236" s="209" t="str">
        <f t="shared" si="101"/>
        <v>Shuttle/Test</v>
      </c>
      <c r="AH236" s="78" t="str">
        <f t="shared" si="102"/>
        <v>"%USERPROFILE%\Documents\GitHub\eaglep3\Utilities\RefineRTDCRunTimes.py" --tripid 56-26 --locoid 4001 --swversion DE.1.0.9.0 --startMP 300:22181 --initTime 2017-06-26T17:48:45 --startdatetime 2017-06-26T17:58:58 --delay 10 --endMP 204:1858 --enddatetime 2017-06-26T18:11:44 --enforcementcount 0 &gt;&gt;C:\Users\stu\Documents\GitHub\eaglep3-reporting\EC\2017-06-26-refined-times.txt</v>
      </c>
      <c r="AI236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0.1858"},{"id":17,"name":"Train ID","value":"56-26"},{"id":16,"name":"Locomotive ID","value":"4001"},{"id":130,"name":"Impact","value":""},{"id":150,"name":"Time of Event (Mountain Time)","value":"18:11:44"},{"id":151,"name":"Denver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04"/>
        <v>start /low /b %USERPROFILE%\Documents\GitHub\eaglep3\Utilities\DownloadLogsFromS3.py --loco 4001 --day 2017-06-26</v>
      </c>
      <c r="AN236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00:11:44"},{"id":29,"name":"Sharepoint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743</v>
      </c>
      <c r="B237" s="7">
        <v>4009</v>
      </c>
      <c r="C237" s="21" t="s">
        <v>202</v>
      </c>
      <c r="D237" s="21" t="s">
        <v>963</v>
      </c>
      <c r="E237" s="13">
        <v>42912.452303240738</v>
      </c>
      <c r="F237" s="13">
        <v>42912.456805555557</v>
      </c>
      <c r="G237" s="7">
        <v>6</v>
      </c>
      <c r="H237" s="21" t="s">
        <v>964</v>
      </c>
      <c r="I237" s="13">
        <v>42912.466296296298</v>
      </c>
      <c r="J237" s="7">
        <v>0</v>
      </c>
      <c r="K237" s="89" t="str">
        <f t="shared" si="92"/>
        <v>4009/4010</v>
      </c>
      <c r="L237" s="21" t="str">
        <f>VLOOKUP(A237,'Trips&amp;Operators'!$C$1:$G$99999,5,FALSE)</f>
        <v>DE LA ROSA ALEX</v>
      </c>
      <c r="M237" s="6">
        <f t="shared" si="93"/>
        <v>9.4907407401478849E-3</v>
      </c>
      <c r="N237" s="7">
        <f t="shared" si="106"/>
        <v>13.666666665812954</v>
      </c>
      <c r="O237" s="7"/>
      <c r="P237" s="7"/>
      <c r="Q237" s="22"/>
      <c r="R237" s="170"/>
      <c r="S237" s="213">
        <f t="shared" si="94"/>
        <v>0</v>
      </c>
      <c r="T237" s="195" t="str">
        <f t="shared" si="95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96"/>
        <v>https://d0f6bd738d7f1b3e5a7ca70fe4ff75f0.us-east-1.aws.found.io/app/kibana#/discover/Steve-Slow-Train-Analysis-(2080s-and-2083s)?_g=(refreshInterval:(display:Off,pause:!f,section:0,value:0),time:(from:'2017-06-26T09:51:19-0600',mode:absolute,to:'2017-06-26T12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7" s="197" t="str">
        <f>IF(AA237&lt;VLOOKUP(AG237,Variables!$AC$3:$AD$8,2,FALSE),"Y","N")</f>
        <v>Y</v>
      </c>
      <c r="X237" s="197">
        <f t="shared" si="107"/>
        <v>1</v>
      </c>
      <c r="Y237" s="197">
        <f t="shared" si="108"/>
        <v>2.1743999999999999</v>
      </c>
      <c r="Z237" s="197">
        <f t="shared" si="109"/>
        <v>0.11600000000000001</v>
      </c>
      <c r="AA237" s="197">
        <f t="shared" si="97"/>
        <v>2.0583999999999998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8"/>
        <v>57</v>
      </c>
      <c r="AE237" s="77" t="str">
        <f t="shared" si="99"/>
        <v>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 &amp; 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</v>
      </c>
      <c r="AF237" s="74" t="str">
        <f t="shared" si="100"/>
        <v>"C:\Program Files (x86)\AstroGrep\AstroGrep.exe" /e /r /s /spath="%USERPROFILE%\AppData\Local\Temp\OnboardLogs" /stypes="app*4009*20170626*" /stext=" 17:.+((SYSTEM_STATE.+slice.+state.+changed )|(ment ac)|(multiple cpu faults)|(system.+state.+changed )|(\[timeout)|(PRM\|1\|D)|(kpr)|(kdp)|(train st.+moving)|(\|lc)|(penalty))"</v>
      </c>
      <c r="AG237" s="209" t="str">
        <f t="shared" si="101"/>
        <v>Shuttle/Test</v>
      </c>
      <c r="AH237" s="78" t="str">
        <f t="shared" si="102"/>
        <v>"%USERPROFILE%\Documents\GitHub\eaglep3\Utilities\RefineRTDCRunTimes.py" --tripid 57-26 --locoid 4009 --swversion DE.1.0.9.0 --startMP 300:21744 --initTime 2017-06-26T10:51:19 --startdatetime 2017-06-26T10:57:48 --delay 6 --endMP 204:1160 --enddatetime 2017-06-26T11:11:28 --enforcementcount 0 &gt;&gt;C:\Users\stu\Documents\GitHub\eaglep3-reporting\EC\2017-06-26-refined-times.txt</v>
      </c>
      <c r="AI237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0.116"},{"id":17,"name":"Train ID","value":"57-26"},{"id":16,"name":"Locomotive ID","value":"4009"},{"id":130,"name":"Impact","value":""},{"id":150,"name":"Time of Event (Mountain Time)","value":"11:11:28"},{"id":151,"name":"Denver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04"/>
        <v>start /low /b %USERPROFILE%\Documents\GitHub\eaglep3\Utilities\DownloadLogsFromS3.py --loco 4009 --day 2017-06-26</v>
      </c>
      <c r="AN237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743</v>
      </c>
      <c r="B238" s="7">
        <v>4020</v>
      </c>
      <c r="C238" s="21" t="s">
        <v>202</v>
      </c>
      <c r="D238" s="21" t="s">
        <v>965</v>
      </c>
      <c r="E238" s="13">
        <v>42912.436840277776</v>
      </c>
      <c r="F238" s="13">
        <v>42912.456805555557</v>
      </c>
      <c r="G238" s="7">
        <v>2</v>
      </c>
      <c r="H238" s="21" t="s">
        <v>966</v>
      </c>
      <c r="I238" s="13">
        <v>42912.466296296298</v>
      </c>
      <c r="J238" s="7">
        <v>0</v>
      </c>
      <c r="K238" s="89" t="str">
        <f t="shared" si="92"/>
        <v>4019/4020</v>
      </c>
      <c r="L238" s="21" t="str">
        <f>VLOOKUP(A238,'Trips&amp;Operators'!$C$1:$G$99999,5,FALSE)</f>
        <v>DE LA ROSA ALEX</v>
      </c>
      <c r="M238" s="6">
        <f t="shared" si="93"/>
        <v>9.4907407401478849E-3</v>
      </c>
      <c r="N238" s="7">
        <f t="shared" si="106"/>
        <v>13.666666665812954</v>
      </c>
      <c r="O238" s="7"/>
      <c r="P238" s="7"/>
      <c r="Q238" s="22"/>
      <c r="R238" s="170"/>
      <c r="S238" s="213">
        <f t="shared" si="94"/>
        <v>1</v>
      </c>
      <c r="T238" s="195" t="str">
        <f t="shared" si="95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96"/>
        <v>https://d0f6bd738d7f1b3e5a7ca70fe4ff75f0.us-east-1.aws.found.io/app/kibana#/discover/Steve-Slow-Train-Analysis-(2080s-and-2083s)?_g=(refreshInterval:(display:Off,pause:!f,section:0,value:0),time:(from:'2017-06-26T09:29:03-0600',mode:absolute,to:'2017-06-26T12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8" s="197" t="str">
        <f>IF(AA238&lt;VLOOKUP(AG238,Variables!$AC$3:$AD$8,2,FALSE),"Y","N")</f>
        <v>Y</v>
      </c>
      <c r="X238" s="197">
        <f t="shared" si="107"/>
        <v>0</v>
      </c>
      <c r="Y238" s="197">
        <f t="shared" si="108"/>
        <v>0.14899999999999999</v>
      </c>
      <c r="Z238" s="197">
        <f t="shared" si="109"/>
        <v>2.3298999999999999</v>
      </c>
      <c r="AA238" s="197">
        <f t="shared" si="97"/>
        <v>2.1808999999999998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8"/>
        <v>57</v>
      </c>
      <c r="AE238" s="77" t="str">
        <f t="shared" si="99"/>
        <v>aws s3 cp s3://rtdc.mdm.uploadarchive.raw/RTDC4020/ "%USERPROFILE%\AppData\Local\Temp\OnboardLogs"\RTDC4020\2017-06-26 --exclude "*" --recursive --include "*20170626*" &amp; "%USERPROFILE%\Documents\GitHub\mrs-test-scripts\Headless Mode &amp; Sideloading\WalkAndUnGZ.bat" "%USERPROFILE%\AppData\Local\Temp\OnboardLogs"\RTDC4020\2017-06-26 &amp; 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</v>
      </c>
      <c r="AF238" s="74" t="str">
        <f t="shared" si="100"/>
        <v>"C:\Program Files (x86)\AstroGrep\AstroGrep.exe" /e /r /s /spath="%USERPROFILE%\AppData\Local\Temp\OnboardLogs" /stypes="app*4020*20170626*" /stext=" 17:.+((SYSTEM_STATE.+slice.+state.+changed )|(ment ac)|(multiple cpu faults)|(system.+state.+changed )|(\[timeout)|(PRM\|1\|D)|(kpr)|(kdp)|(train st.+moving)|(\|lc)|(penalty))"</v>
      </c>
      <c r="AG238" s="209" t="str">
        <f t="shared" si="101"/>
        <v>Shuttle/Test</v>
      </c>
      <c r="AH238" s="78" t="str">
        <f t="shared" si="102"/>
        <v>"%USERPROFILE%\Documents\GitHub\eaglep3\Utilities\RefineRTDCRunTimes.py" --tripid 57-26 --locoid 4020 --swversion DE.1.0.9.0 --startMP 204:1490 --initTime 2017-06-26T10:29:03 --startdatetime 2017-06-26T10:57:48 --delay 2 --endMP 300:23299 --enddatetime 2017-06-26T11:11:28 --enforcementcount 0 &gt;&gt;C:\Users\stu\Documents\GitHub\eaglep3-reporting\EC\2017-06-26-refined-times.txt</v>
      </c>
      <c r="AI238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2.3299"},{"id":17,"name":"Train ID","value":"57-26"},{"id":16,"name":"Locomotive ID","value":"4020"},{"id":130,"name":"Impact","value":""},{"id":150,"name":"Time of Event (Mountain Time)","value":"11:11:28"},{"id":151,"name":"Denver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04"/>
        <v>start /low /b %USERPROFILE%\Documents\GitHub\eaglep3\Utilities\DownloadLogsFromS3.py --loco 4020 --day 2017-06-26</v>
      </c>
      <c r="AN238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17:11:28"},{"id":29,"name":"Sharepoint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640</v>
      </c>
      <c r="B239" s="7">
        <v>4031</v>
      </c>
      <c r="C239" s="21" t="s">
        <v>202</v>
      </c>
      <c r="D239" s="21" t="s">
        <v>967</v>
      </c>
      <c r="E239" s="13">
        <v>42912.599270833336</v>
      </c>
      <c r="F239" s="13">
        <v>42912.650763888887</v>
      </c>
      <c r="G239" s="7">
        <v>1</v>
      </c>
      <c r="H239" s="21" t="s">
        <v>968</v>
      </c>
      <c r="I239" s="13">
        <v>42912.662870370368</v>
      </c>
      <c r="J239" s="7">
        <v>0</v>
      </c>
      <c r="K239" s="89" t="str">
        <f t="shared" si="92"/>
        <v>4031/4032</v>
      </c>
      <c r="L239" s="21" t="str">
        <f>VLOOKUP(A239,'Trips&amp;Operators'!$C$1:$G$99999,5,FALSE)</f>
        <v>STORY SAMANTHA</v>
      </c>
      <c r="M239" s="6">
        <f t="shared" si="93"/>
        <v>1.2106481481168885E-2</v>
      </c>
      <c r="N239" s="7">
        <f t="shared" si="106"/>
        <v>17.433333332883194</v>
      </c>
      <c r="O239" s="7"/>
      <c r="P239" s="7"/>
      <c r="Q239" s="22"/>
      <c r="R239" s="170"/>
      <c r="S239" s="213">
        <f t="shared" si="94"/>
        <v>0</v>
      </c>
      <c r="T239" s="195" t="str">
        <f t="shared" si="95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96"/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9" s="197" t="str">
        <f>IF(AA239&lt;VLOOKUP(AG239,Variables!$AC$3:$AD$8,2,FALSE),"Y","N")</f>
        <v>Y</v>
      </c>
      <c r="X239" s="197">
        <f t="shared" si="107"/>
        <v>2</v>
      </c>
      <c r="Y239" s="197">
        <f t="shared" si="108"/>
        <v>11.2163</v>
      </c>
      <c r="Z239" s="197">
        <f t="shared" si="109"/>
        <v>3.7585999999999999</v>
      </c>
      <c r="AA239" s="197">
        <f t="shared" si="97"/>
        <v>7.4577000000000009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8"/>
        <v>59</v>
      </c>
      <c r="AE239" s="77" t="str">
        <f t="shared" si="99"/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AF239" s="74" t="str">
        <f t="shared" si="100"/>
        <v>"C:\Program Files (x86)\AstroGrep\AstroGrep.exe" /e /r /s /spath="%USERPROFILE%\AppData\Local\Temp\OnboardLogs" /stypes="app*4031*20170626*" /stext=" 21:.+((SYSTEM_STATE.+slice.+state.+changed )|(ment ac)|(multiple cpu faults)|(system.+state.+changed )|(\[timeout)|(PRM\|1\|D)|(kpr)|(kdp)|(train st.+moving)|(\|lc)|(penalty))"</v>
      </c>
      <c r="AG239" s="209" t="str">
        <f t="shared" si="101"/>
        <v>Shuttle/Test</v>
      </c>
      <c r="AH239" s="78" t="str">
        <f t="shared" si="102"/>
        <v>"%USERPROFILE%\Documents\GitHub\eaglep3\Utilities\RefineRTDCRunTimes.py" --tripid 59-26 --locoid 4031 --swversion DE.1.0.9.0 --startMP 300:112163 --initTime 2017-06-26T14:22:57 --startdatetime 2017-06-26T15:37:06 --delay 1 --endMP 300:37586 --enddatetime 2017-06-26T15:54:32 --enforcementcount 0 &gt;&gt;C:\Users\stu\Documents\GitHub\eaglep3-reporting\EC\2017-06-26-refined-times.txt</v>
      </c>
      <c r="AI239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3.7586"},{"id":17,"name":"Train ID","value":"59-26"},{"id":16,"name":"Locomotive ID","value":"4031"},{"id":130,"name":"Impact","value":""},{"id":150,"name":"Time of Event (Mountain Time)","value":"15:54:32"},{"id":151,"name":"Denver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04"/>
        <v>start /low /b %USERPROFILE%\Documents\GitHub\eaglep3\Utilities\DownloadLogsFromS3.py --loco 4031 --day 2017-06-26</v>
      </c>
      <c r="AN239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640</v>
      </c>
      <c r="B240" s="7">
        <v>4031</v>
      </c>
      <c r="C240" s="21" t="s">
        <v>202</v>
      </c>
      <c r="D240" s="21" t="s">
        <v>969</v>
      </c>
      <c r="E240" s="13">
        <v>42912.686979166669</v>
      </c>
      <c r="F240" s="13">
        <v>42912.721006944441</v>
      </c>
      <c r="G240" s="7">
        <v>1</v>
      </c>
      <c r="H240" s="21" t="s">
        <v>970</v>
      </c>
      <c r="I240" s="13">
        <v>42912.734247685185</v>
      </c>
      <c r="J240" s="7">
        <v>0</v>
      </c>
      <c r="K240" s="89" t="str">
        <f t="shared" si="92"/>
        <v>4031/4032</v>
      </c>
      <c r="L240" s="21" t="str">
        <f>VLOOKUP(A240,'Trips&amp;Operators'!$C$1:$G$99999,5,FALSE)</f>
        <v>STORY SAMANTHA</v>
      </c>
      <c r="M240" s="6">
        <f t="shared" si="93"/>
        <v>1.3240740743640345E-2</v>
      </c>
      <c r="N240" s="7">
        <f t="shared" si="106"/>
        <v>19.066666670842096</v>
      </c>
      <c r="O240" s="7"/>
      <c r="P240" s="7"/>
      <c r="Q240" s="22"/>
      <c r="R240" s="170"/>
      <c r="S240" s="213">
        <f t="shared" si="94"/>
        <v>0</v>
      </c>
      <c r="T240" s="195" t="str">
        <f t="shared" si="95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96"/>
        <v>https://d0f6bd738d7f1b3e5a7ca70fe4ff75f0.us-east-1.aws.found.io/app/kibana#/discover/Steve-Slow-Train-Analysis-(2080s-and-2083s)?_g=(refreshInterval:(display:Off,pause:!f,section:0,value:0),time:(from:'2017-06-26T15:29:15-0600',mode:absolute,to:'2017-06-26T18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0" s="197" t="str">
        <f>IF(AA240&lt;VLOOKUP(AG240,Variables!$AC$3:$AD$8,2,FALSE),"Y","N")</f>
        <v>Y</v>
      </c>
      <c r="X240" s="197">
        <f t="shared" si="107"/>
        <v>0</v>
      </c>
      <c r="Y240" s="197">
        <f t="shared" si="108"/>
        <v>11.2195</v>
      </c>
      <c r="Z240" s="197">
        <f t="shared" si="109"/>
        <v>3.7746</v>
      </c>
      <c r="AA240" s="197">
        <f t="shared" si="97"/>
        <v>7.4449000000000005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8"/>
        <v>59</v>
      </c>
      <c r="AE240" s="77" t="str">
        <f t="shared" si="99"/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AF240" s="74" t="str">
        <f t="shared" si="100"/>
        <v>"C:\Program Files (x86)\AstroGrep\AstroGrep.exe" /e /r /s /spath="%USERPROFILE%\AppData\Local\Temp\OnboardLogs" /stypes="app*4031*20170626*" /stext=" 23:.+((SYSTEM_STATE.+slice.+state.+changed )|(ment ac)|(multiple cpu faults)|(system.+state.+changed )|(\[timeout)|(PRM\|1\|D)|(kpr)|(kdp)|(train st.+moving)|(\|lc)|(penalty))"</v>
      </c>
      <c r="AG240" s="209" t="str">
        <f t="shared" si="101"/>
        <v>Shuttle/Test</v>
      </c>
      <c r="AH240" s="78" t="str">
        <f t="shared" si="102"/>
        <v>"%USERPROFILE%\Documents\GitHub\eaglep3\Utilities\RefineRTDCRunTimes.py" --tripid 59-26 --locoid 4031 --swversion DE.1.0.9.0 --startMP 300:112195 --initTime 2017-06-26T16:29:15 --startdatetime 2017-06-26T17:18:15 --delay 1 --endMP 300:37746 --enddatetime 2017-06-26T17:37:19 --enforcementcount 0 &gt;&gt;C:\Users\stu\Documents\GitHub\eaglep3-reporting\EC\2017-06-26-refined-times.txt</v>
      </c>
      <c r="AI240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3.7746"},{"id":17,"name":"Train ID","value":"59-26"},{"id":16,"name":"Locomotive ID","value":"4031"},{"id":130,"name":"Impact","value":""},{"id":150,"name":"Time of Event (Mountain Time)","value":"17:37:19"},{"id":151,"name":"Denver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04"/>
        <v>start /low /b %USERPROFILE%\Documents\GitHub\eaglep3\Utilities\DownloadLogsFromS3.py --loco 4031 --day 2017-06-26</v>
      </c>
      <c r="AN240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640</v>
      </c>
      <c r="B241" s="7">
        <v>4031</v>
      </c>
      <c r="C241" s="21" t="s">
        <v>202</v>
      </c>
      <c r="D241" s="21" t="s">
        <v>971</v>
      </c>
      <c r="E241" s="13">
        <v>42912.631921296299</v>
      </c>
      <c r="F241" s="13">
        <v>42912.666956018518</v>
      </c>
      <c r="G241" s="7">
        <v>2</v>
      </c>
      <c r="H241" s="21" t="s">
        <v>972</v>
      </c>
      <c r="I241" s="13">
        <v>42912.685659722221</v>
      </c>
      <c r="J241" s="7">
        <v>0</v>
      </c>
      <c r="K241" s="89" t="str">
        <f t="shared" si="92"/>
        <v>4031/4032</v>
      </c>
      <c r="L241" s="21" t="str">
        <f>VLOOKUP(A241,'Trips&amp;Operators'!$C$1:$G$99999,5,FALSE)</f>
        <v>STORY SAMANTHA</v>
      </c>
      <c r="M241" s="6">
        <f t="shared" si="93"/>
        <v>1.8703703703067731E-2</v>
      </c>
      <c r="N241" s="7">
        <f t="shared" ref="N241:N255" si="110">24*60*SUM($M241:$M241)</f>
        <v>26.933333332417533</v>
      </c>
      <c r="O241" s="7"/>
      <c r="P241" s="7"/>
      <c r="Q241" s="22"/>
      <c r="R241" s="170"/>
      <c r="S241" s="213">
        <f t="shared" si="94"/>
        <v>0</v>
      </c>
      <c r="T241" s="195" t="str">
        <f t="shared" si="95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96"/>
        <v>https://d0f6bd738d7f1b3e5a7ca70fe4ff75f0.us-east-1.aws.found.io/app/kibana#/discover/Steve-Slow-Train-Analysis-(2080s-and-2083s)?_g=(refreshInterval:(display:Off,pause:!f,section:0,value:0),time:(from:'2017-06-26T14:09:58-0600',mode:absolute,to:'2017-06-26T17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1" s="197" t="str">
        <f>IF(AA241&lt;VLOOKUP(AG241,Variables!$AC$3:$AD$8,2,FALSE),"Y","N")</f>
        <v>Y</v>
      </c>
      <c r="X241" s="197">
        <f t="shared" si="107"/>
        <v>0</v>
      </c>
      <c r="Y241" s="197">
        <f t="shared" si="108"/>
        <v>11.2201</v>
      </c>
      <c r="Z241" s="197">
        <f t="shared" si="109"/>
        <v>2.6617000000000002</v>
      </c>
      <c r="AA241" s="197">
        <f t="shared" si="97"/>
        <v>8.5584000000000007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8"/>
        <v>59</v>
      </c>
      <c r="AE241" s="77" t="str">
        <f t="shared" si="99"/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AF241" s="74" t="str">
        <f t="shared" si="100"/>
        <v>"C:\Program Files (x86)\AstroGrep\AstroGrep.exe" /e /r /s /spath="%USERPROFILE%\AppData\Local\Temp\OnboardLogs" /stypes="app*4031*20170626*" /stext=" 22:.+((SYSTEM_STATE.+slice.+state.+changed )|(ment ac)|(multiple cpu faults)|(system.+state.+changed )|(\[timeout)|(PRM\|1\|D)|(kpr)|(kdp)|(train st.+moving)|(\|lc)|(penalty))"</v>
      </c>
      <c r="AG241" s="209" t="str">
        <f t="shared" si="101"/>
        <v>Shuttle/Test</v>
      </c>
      <c r="AH241" s="78" t="str">
        <f t="shared" si="102"/>
        <v>"%USERPROFILE%\Documents\GitHub\eaglep3\Utilities\RefineRTDCRunTimes.py" --tripid 59-26 --locoid 4031 --swversion DE.1.0.9.0 --startMP 300:112201 --initTime 2017-06-26T15:09:58 --startdatetime 2017-06-26T16:00:25 --delay 2 --endMP 300:26617 --enddatetime 2017-06-26T16:27:21 --enforcementcount 0 &gt;&gt;C:\Users\stu\Documents\GitHub\eaglep3-reporting\EC\2017-06-26-refined-times.txt</v>
      </c>
      <c r="AI241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2.6617"},{"id":17,"name":"Train ID","value":"59-26"},{"id":16,"name":"Locomotive ID","value":"4031"},{"id":130,"name":"Impact","value":""},{"id":150,"name":"Time of Event (Mountain Time)","value":"16:27:21"},{"id":151,"name":"Denver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04"/>
        <v>start /low /b %USERPROFILE%\Documents\GitHub\eaglep3\Utilities\DownloadLogsFromS3.py --loco 4031 --day 2017-06-26</v>
      </c>
      <c r="AN241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640</v>
      </c>
      <c r="B242" s="7">
        <v>4031</v>
      </c>
      <c r="C242" s="21" t="s">
        <v>202</v>
      </c>
      <c r="D242" s="21" t="s">
        <v>973</v>
      </c>
      <c r="E242" s="13">
        <v>42912.717685185184</v>
      </c>
      <c r="F242" s="13">
        <v>42912.73646990741</v>
      </c>
      <c r="G242" s="7">
        <v>1</v>
      </c>
      <c r="H242" s="21" t="s">
        <v>974</v>
      </c>
      <c r="I242" s="13">
        <v>42912.73978009259</v>
      </c>
      <c r="J242" s="7">
        <v>0</v>
      </c>
      <c r="K242" s="89" t="str">
        <f t="shared" si="92"/>
        <v>4031/4032</v>
      </c>
      <c r="L242" s="21" t="str">
        <f>VLOOKUP(A242,'Trips&amp;Operators'!$C$1:$G$99999,5,FALSE)</f>
        <v>STORY SAMANTHA</v>
      </c>
      <c r="M242" s="6">
        <f t="shared" si="93"/>
        <v>3.3101851804531179E-3</v>
      </c>
      <c r="N242" s="7">
        <f t="shared" si="110"/>
        <v>4.7666666598524898</v>
      </c>
      <c r="O242" s="7"/>
      <c r="P242" s="7"/>
      <c r="Q242" s="22"/>
      <c r="R242" s="170"/>
      <c r="S242" s="213">
        <f t="shared" si="94"/>
        <v>0</v>
      </c>
      <c r="T242" s="195" t="str">
        <f t="shared" si="95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96"/>
        <v>https://d0f6bd738d7f1b3e5a7ca70fe4ff75f0.us-east-1.aws.found.io/app/kibana#/discover/Steve-Slow-Train-Analysis-(2080s-and-2083s)?_g=(refreshInterval:(display:Off,pause:!f,section:0,value:0),time:(from:'2017-06-26T16:13:28-0600',mode:absolute,to:'2017-06-26T18:45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2" s="197" t="str">
        <f>IF(AA242&lt;VLOOKUP(AG242,Variables!$AC$3:$AD$8,2,FALSE),"Y","N")</f>
        <v>Y</v>
      </c>
      <c r="X242" s="197">
        <f t="shared" si="107"/>
        <v>0</v>
      </c>
      <c r="Y242" s="197">
        <f t="shared" si="108"/>
        <v>11.224500000000001</v>
      </c>
      <c r="Z242" s="197">
        <f t="shared" si="109"/>
        <v>2.1676000000000002</v>
      </c>
      <c r="AA242" s="197">
        <f t="shared" si="97"/>
        <v>9.0569000000000006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8"/>
        <v>59</v>
      </c>
      <c r="AE242" s="77" t="str">
        <f t="shared" si="99"/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AF242" s="74" t="str">
        <f t="shared" si="100"/>
        <v>"C:\Program Files (x86)\AstroGrep\AstroGrep.exe" /e /r /s /spath="%USERPROFILE%\AppData\Local\Temp\OnboardLogs" /stypes="app*4031*20170626*" /stext=" 23:.+((SYSTEM_STATE.+slice.+state.+changed )|(ment ac)|(multiple cpu faults)|(system.+state.+changed )|(\[timeout)|(PRM\|1\|D)|(kpr)|(kdp)|(train st.+moving)|(\|lc)|(penalty))"</v>
      </c>
      <c r="AG242" s="209" t="str">
        <f t="shared" si="101"/>
        <v>Shuttle/Test</v>
      </c>
      <c r="AH242" s="78" t="str">
        <f t="shared" si="102"/>
        <v>"%USERPROFILE%\Documents\GitHub\eaglep3\Utilities\RefineRTDCRunTimes.py" --tripid 59-26 --locoid 4031 --swversion DE.1.0.9.0 --startMP 300:112245 --initTime 2017-06-26T17:13:28 --startdatetime 2017-06-26T17:40:31 --delay 1 --endMP 300:21676 --enddatetime 2017-06-26T17:45:17 --enforcementcount 0 &gt;&gt;C:\Users\stu\Documents\GitHub\eaglep3-reporting\EC\2017-06-26-refined-times.txt</v>
      </c>
      <c r="AI242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2.1676"},{"id":17,"name":"Train ID","value":"59-26"},{"id":16,"name":"Locomotive ID","value":"4031"},{"id":130,"name":"Impact","value":""},{"id":150,"name":"Time of Event (Mountain Time)","value":"17:45:17"},{"id":151,"name":"Denver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04"/>
        <v>start /low /b %USERPROFILE%\Documents\GitHub\eaglep3\Utilities\DownloadLogsFromS3.py --loco 4031 --day 2017-06-26</v>
      </c>
      <c r="AN242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23:45:17"},{"id":29,"name":"Sharepoint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640</v>
      </c>
      <c r="B243" s="7">
        <v>4032</v>
      </c>
      <c r="C243" s="21" t="s">
        <v>202</v>
      </c>
      <c r="D243" s="21" t="s">
        <v>975</v>
      </c>
      <c r="E243" s="13">
        <v>42912.735196759262</v>
      </c>
      <c r="F243" s="13">
        <v>42912.73646990741</v>
      </c>
      <c r="G243" s="7">
        <v>1</v>
      </c>
      <c r="H243" s="21" t="s">
        <v>541</v>
      </c>
      <c r="I243" s="13">
        <v>42912.73978009259</v>
      </c>
      <c r="J243" s="7">
        <v>0</v>
      </c>
      <c r="K243" s="89" t="str">
        <f t="shared" si="92"/>
        <v>4031/4032</v>
      </c>
      <c r="L243" s="21" t="str">
        <f>VLOOKUP(A243,'Trips&amp;Operators'!$C$1:$G$99999,5,FALSE)</f>
        <v>STORY SAMANTHA</v>
      </c>
      <c r="M243" s="6">
        <f t="shared" si="93"/>
        <v>3.3101851804531179E-3</v>
      </c>
      <c r="N243" s="7">
        <f t="shared" si="110"/>
        <v>4.7666666598524898</v>
      </c>
      <c r="O243" s="7"/>
      <c r="P243" s="7"/>
      <c r="Q243" s="22"/>
      <c r="R243" s="170"/>
      <c r="S243" s="213">
        <f t="shared" si="94"/>
        <v>0</v>
      </c>
      <c r="T243" s="195" t="str">
        <f t="shared" si="95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96"/>
        <v>https://d0f6bd738d7f1b3e5a7ca70fe4ff75f0.us-east-1.aws.found.io/app/kibana#/discover/Steve-Slow-Train-Analysis-(2080s-and-2083s)?_g=(refreshInterval:(display:Off,pause:!f,section:0,value:0),time:(from:'2017-06-26T16:38:41-0600',mode:absolute,to:'2017-06-26T18:45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3" s="197" t="str">
        <f>IF(AA243&lt;VLOOKUP(AG243,Variables!$AC$3:$AD$8,2,FALSE),"Y","N")</f>
        <v>Y</v>
      </c>
      <c r="X243" s="197">
        <f t="shared" si="107"/>
        <v>0</v>
      </c>
      <c r="Y243" s="197">
        <f t="shared" si="108"/>
        <v>2.2004999999999999</v>
      </c>
      <c r="Z243" s="197">
        <f t="shared" si="109"/>
        <v>2.331</v>
      </c>
      <c r="AA243" s="197">
        <f t="shared" si="97"/>
        <v>0.13050000000000006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8"/>
        <v>59</v>
      </c>
      <c r="AE243" s="77" t="str">
        <f t="shared" si="99"/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AF243" s="74" t="str">
        <f t="shared" si="100"/>
        <v>"C:\Program Files (x86)\AstroGrep\AstroGrep.exe" /e /r /s /spath="%USERPROFILE%\AppData\Local\Temp\OnboardLogs" /stypes="app*4032*20170626*" /stext=" 23:.+((SYSTEM_STATE.+slice.+state.+changed )|(ment ac)|(multiple cpu faults)|(system.+state.+changed )|(\[timeout)|(PRM\|1\|D)|(kpr)|(kdp)|(train st.+moving)|(\|lc)|(penalty))"</v>
      </c>
      <c r="AG243" s="209" t="str">
        <f t="shared" si="101"/>
        <v>Shuttle/Test</v>
      </c>
      <c r="AH243" s="78" t="str">
        <f t="shared" si="102"/>
        <v>"%USERPROFILE%\Documents\GitHub\eaglep3\Utilities\RefineRTDCRunTimes.py" --tripid 59-26 --locoid 4032 --swversion DE.1.0.9.0 --startMP 300:22005 --initTime 2017-06-26T17:38:41 --startdatetime 2017-06-26T17:40:31 --delay 1 --endMP 300:23310 --enddatetime 2017-06-26T17:45:17 --enforcementcount 0 &gt;&gt;C:\Users\stu\Documents\GitHub\eaglep3-reporting\EC\2017-06-26-refined-times.txt</v>
      </c>
      <c r="AI243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2.331"},{"id":17,"name":"Train ID","value":"59-26"},{"id":16,"name":"Locomotive ID","value":"4032"},{"id":130,"name":"Impact","value":""},{"id":150,"name":"Time of Event (Mountain Time)","value":"17:45:17"},{"id":151,"name":"Denver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04"/>
        <v>start /low /b %USERPROFILE%\Documents\GitHub\eaglep3\Utilities\DownloadLogsFromS3.py --loco 4032 --day 2017-06-26</v>
      </c>
      <c r="AN243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23:45:17"},{"id":29,"name":"Sharepoint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640</v>
      </c>
      <c r="B244" s="7">
        <v>4032</v>
      </c>
      <c r="C244" s="21" t="s">
        <v>202</v>
      </c>
      <c r="D244" s="21" t="s">
        <v>976</v>
      </c>
      <c r="E244" s="13">
        <v>42912.664085648146</v>
      </c>
      <c r="F244" s="13">
        <v>42912.705300925925</v>
      </c>
      <c r="G244" s="7">
        <v>1</v>
      </c>
      <c r="H244" s="21" t="s">
        <v>977</v>
      </c>
      <c r="I244" s="13">
        <v>42912.716400462959</v>
      </c>
      <c r="J244" s="7">
        <v>0</v>
      </c>
      <c r="K244" s="89" t="str">
        <f t="shared" si="92"/>
        <v>4031/4032</v>
      </c>
      <c r="L244" s="21" t="str">
        <f>VLOOKUP(A244,'Trips&amp;Operators'!$C$1:$G$99999,5,FALSE)</f>
        <v>STORY SAMANTHA</v>
      </c>
      <c r="M244" s="6">
        <f t="shared" si="93"/>
        <v>1.1099537034169771E-2</v>
      </c>
      <c r="N244" s="7">
        <f t="shared" si="110"/>
        <v>15.98333332920447</v>
      </c>
      <c r="O244" s="7"/>
      <c r="P244" s="7"/>
      <c r="Q244" s="22"/>
      <c r="R244" s="170"/>
      <c r="S244" s="213">
        <f t="shared" si="94"/>
        <v>0</v>
      </c>
      <c r="T244" s="195" t="str">
        <f t="shared" si="95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96"/>
        <v>https://d0f6bd738d7f1b3e5a7ca70fe4ff75f0.us-east-1.aws.found.io/app/kibana#/discover/Steve-Slow-Train-Analysis-(2080s-and-2083s)?_g=(refreshInterval:(display:Off,pause:!f,section:0,value:0),time:(from:'2017-06-26T14:56:17-0600',mode:absolute,to:'2017-06-26T18:11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4" s="197" t="str">
        <f>IF(AA244&lt;VLOOKUP(AG244,Variables!$AC$3:$AD$8,2,FALSE),"Y","N")</f>
        <v>Y</v>
      </c>
      <c r="X244" s="197">
        <f t="shared" si="107"/>
        <v>0</v>
      </c>
      <c r="Y244" s="197">
        <f t="shared" si="108"/>
        <v>2.6937000000000002</v>
      </c>
      <c r="Z244" s="197">
        <f t="shared" si="109"/>
        <v>11.2515</v>
      </c>
      <c r="AA244" s="197">
        <f t="shared" si="97"/>
        <v>8.5578000000000003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98"/>
        <v>59</v>
      </c>
      <c r="AE244" s="77" t="str">
        <f t="shared" si="99"/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AF244" s="74" t="str">
        <f t="shared" si="100"/>
        <v>"C:\Program Files (x86)\AstroGrep\AstroGrep.exe" /e /r /s /spath="%USERPROFILE%\AppData\Local\Temp\OnboardLogs" /stypes="app*4032*20170626*" /stext=" 23:.+((SYSTEM_STATE.+slice.+state.+changed )|(ment ac)|(multiple cpu faults)|(system.+state.+changed )|(\[timeout)|(PRM\|1\|D)|(kpr)|(kdp)|(train st.+moving)|(\|lc)|(penalty))"</v>
      </c>
      <c r="AG244" s="209" t="str">
        <f t="shared" si="101"/>
        <v>Shuttle/Test</v>
      </c>
      <c r="AH244" s="78" t="str">
        <f t="shared" si="102"/>
        <v>"%USERPROFILE%\Documents\GitHub\eaglep3\Utilities\RefineRTDCRunTimes.py" --tripid 59-26 --locoid 4032 --swversion DE.1.0.9.0 --startMP 300:26937 --initTime 2017-06-26T15:56:17 --startdatetime 2017-06-26T16:55:38 --delay 1 --endMP 300:112515 --enddatetime 2017-06-26T17:11:37 --enforcementcount 0 &gt;&gt;C:\Users\stu\Documents\GitHub\eaglep3-reporting\EC\2017-06-26-refined-times.txt</v>
      </c>
      <c r="AI244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11.2515"},{"id":17,"name":"Train ID","value":"59-26"},{"id":16,"name":"Locomotive ID","value":"4032"},{"id":130,"name":"Impact","value":""},{"id":150,"name":"Time of Event (Mountain Time)","value":"17:11:37"},{"id":151,"name":"Denver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04"/>
        <v>start /low /b %USERPROFILE%\Documents\GitHub\eaglep3\Utilities\DownloadLogsFromS3.py --loco 4032 --day 2017-06-26</v>
      </c>
      <c r="AN244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23:11:37"},{"id":29,"name":"Sharepoint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640</v>
      </c>
      <c r="B245" s="7">
        <v>4032</v>
      </c>
      <c r="C245" s="21" t="s">
        <v>202</v>
      </c>
      <c r="D245" s="21" t="s">
        <v>978</v>
      </c>
      <c r="E245" s="13">
        <v>42912.578715277778</v>
      </c>
      <c r="F245" s="13">
        <v>42912.617858796293</v>
      </c>
      <c r="G245" s="7">
        <v>5</v>
      </c>
      <c r="H245" s="21" t="s">
        <v>979</v>
      </c>
      <c r="I245" s="13">
        <v>42912.629525462966</v>
      </c>
      <c r="J245" s="7">
        <v>0</v>
      </c>
      <c r="K245" s="89" t="str">
        <f t="shared" si="92"/>
        <v>4031/4032</v>
      </c>
      <c r="L245" s="21" t="str">
        <f>VLOOKUP(A245,'Trips&amp;Operators'!$C$1:$G$99999,5,FALSE)</f>
        <v>STORY SAMANTHA</v>
      </c>
      <c r="M245" s="6">
        <f t="shared" si="93"/>
        <v>1.1666666672681458E-2</v>
      </c>
      <c r="N245" s="7">
        <f t="shared" si="110"/>
        <v>16.8000000086613</v>
      </c>
      <c r="O245" s="7"/>
      <c r="P245" s="7"/>
      <c r="Q245" s="22"/>
      <c r="R245" s="170"/>
      <c r="S245" s="213">
        <f t="shared" si="94"/>
        <v>0</v>
      </c>
      <c r="T245" s="195" t="str">
        <f t="shared" si="95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96"/>
        <v>https://d0f6bd738d7f1b3e5a7ca70fe4ff75f0.us-east-1.aws.found.io/app/kibana#/discover/Steve-Slow-Train-Analysis-(2080s-and-2083s)?_g=(refreshInterval:(display:Off,pause:!f,section:0,value:0),time:(from:'2017-06-26T12:53:21-0600',mode:absolute,to:'2017-06-26T16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5" s="197" t="str">
        <f>IF(AA245&lt;VLOOKUP(AG245,Variables!$AC$3:$AD$8,2,FALSE),"Y","N")</f>
        <v>Y</v>
      </c>
      <c r="X245" s="197">
        <f t="shared" si="107"/>
        <v>0</v>
      </c>
      <c r="Y245" s="197">
        <f t="shared" si="108"/>
        <v>2.9731000000000001</v>
      </c>
      <c r="Z245" s="197">
        <f t="shared" si="109"/>
        <v>11.2477</v>
      </c>
      <c r="AA245" s="197">
        <f t="shared" si="97"/>
        <v>8.2745999999999995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98"/>
        <v>59</v>
      </c>
      <c r="AE245" s="77" t="str">
        <f t="shared" si="99"/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AF245" s="74" t="str">
        <f t="shared" si="100"/>
        <v>"C:\Program Files (x86)\AstroGrep\AstroGrep.exe" /e /r /s /spath="%USERPROFILE%\AppData\Local\Temp\OnboardLogs" /stypes="app*4032*20170626*" /stext=" 21:.+((SYSTEM_STATE.+slice.+state.+changed )|(ment ac)|(multiple cpu faults)|(system.+state.+changed )|(\[timeout)|(PRM\|1\|D)|(kpr)|(kdp)|(train st.+moving)|(\|lc)|(penalty))"</v>
      </c>
      <c r="AG245" s="209" t="str">
        <f t="shared" si="101"/>
        <v>Shuttle/Test</v>
      </c>
      <c r="AH245" s="78" t="str">
        <f t="shared" si="102"/>
        <v>"%USERPROFILE%\Documents\GitHub\eaglep3\Utilities\RefineRTDCRunTimes.py" --tripid 59-26 --locoid 4032 --swversion DE.1.0.9.0 --startMP 300:29731 --initTime 2017-06-26T13:53:21 --startdatetime 2017-06-26T14:49:43 --delay 5 --endMP 300:112477 --enddatetime 2017-06-26T15:06:31 --enforcementcount 0 &gt;&gt;C:\Users\stu\Documents\GitHub\eaglep3-reporting\EC\2017-06-26-refined-times.txt</v>
      </c>
      <c r="AI245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11.2477"},{"id":17,"name":"Train ID","value":"59-26"},{"id":16,"name":"Locomotive ID","value":"4032"},{"id":130,"name":"Impact","value":""},{"id":150,"name":"Time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04"/>
        <v>start /low /b %USERPROFILE%\Documents\GitHub\eaglep3\Utilities\DownloadLogsFromS3.py --loco 4032 --day 2017-06-26</v>
      </c>
      <c r="AN245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640</v>
      </c>
      <c r="B246" s="7">
        <v>4032</v>
      </c>
      <c r="C246" s="21" t="s">
        <v>202</v>
      </c>
      <c r="D246" s="21" t="s">
        <v>980</v>
      </c>
      <c r="E246" s="13">
        <v>42912.615601851852</v>
      </c>
      <c r="F246" s="13">
        <v>42912.650763888887</v>
      </c>
      <c r="G246" s="7">
        <v>1</v>
      </c>
      <c r="H246" s="21" t="s">
        <v>981</v>
      </c>
      <c r="I246" s="13">
        <v>42912.662870370368</v>
      </c>
      <c r="J246" s="7">
        <v>0</v>
      </c>
      <c r="K246" s="89" t="str">
        <f t="shared" si="92"/>
        <v>4031/4032</v>
      </c>
      <c r="L246" s="21" t="str">
        <f>VLOOKUP(A246,'Trips&amp;Operators'!$C$1:$G$99999,5,FALSE)</f>
        <v>STORY SAMANTHA</v>
      </c>
      <c r="M246" s="6">
        <f t="shared" si="93"/>
        <v>1.2106481481168885E-2</v>
      </c>
      <c r="N246" s="7">
        <f t="shared" si="110"/>
        <v>17.433333332883194</v>
      </c>
      <c r="O246" s="7"/>
      <c r="P246" s="7"/>
      <c r="Q246" s="22"/>
      <c r="R246" s="170"/>
      <c r="S246" s="213">
        <f t="shared" si="94"/>
        <v>0</v>
      </c>
      <c r="T246" s="195" t="str">
        <f t="shared" si="95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96"/>
        <v>https://d0f6bd738d7f1b3e5a7ca70fe4ff75f0.us-east-1.aws.found.io/app/kibana#/discover/Steve-Slow-Train-Analysis-(2080s-and-2083s)?_g=(refreshInterval:(display:Off,pause:!f,section:0,value:0),time:(from:'2017-06-26T13:46:28-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6" s="197" t="str">
        <f>IF(AA246&lt;VLOOKUP(AG246,Variables!$AC$3:$AD$8,2,FALSE),"Y","N")</f>
        <v>Y</v>
      </c>
      <c r="X246" s="197">
        <f t="shared" si="107"/>
        <v>0</v>
      </c>
      <c r="Y246" s="197">
        <f t="shared" si="108"/>
        <v>3.7921</v>
      </c>
      <c r="Z246" s="197">
        <f t="shared" si="109"/>
        <v>11.251300000000001</v>
      </c>
      <c r="AA246" s="197">
        <f t="shared" si="97"/>
        <v>7.4592000000000009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98"/>
        <v>59</v>
      </c>
      <c r="AE246" s="77" t="str">
        <f t="shared" si="99"/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AF246" s="74" t="str">
        <f t="shared" si="100"/>
        <v>"C:\Program Files (x86)\AstroGrep\AstroGrep.exe" /e /r /s /spath="%USERPROFILE%\AppData\Local\Temp\OnboardLogs" /stypes="app*4032*20170626*" /stext=" 21:.+((SYSTEM_STATE.+slice.+state.+changed )|(ment ac)|(multiple cpu faults)|(system.+state.+changed )|(\[timeout)|(PRM\|1\|D)|(kpr)|(kdp)|(train st.+moving)|(\|lc)|(penalty))"</v>
      </c>
      <c r="AG246" s="209" t="str">
        <f t="shared" si="101"/>
        <v>Shuttle/Test</v>
      </c>
      <c r="AH246" s="78" t="str">
        <f t="shared" si="102"/>
        <v>"%USERPROFILE%\Documents\GitHub\eaglep3\Utilities\RefineRTDCRunTimes.py" --tripid 59-26 --locoid 4032 --swversion DE.1.0.9.0 --startMP 300:37921 --initTime 2017-06-26T14:46:28 --startdatetime 2017-06-26T15:37:06 --delay 1 --endMP 300:112513 --enddatetime 2017-06-26T15:54:32 --enforcementcount 0 &gt;&gt;C:\Users\stu\Documents\GitHub\eaglep3-reporting\EC\2017-06-26-refined-times.txt</v>
      </c>
      <c r="AI246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11.2513"},{"id":17,"name":"Train ID","value":"59-26"},{"id":16,"name":"Locomotive ID","value":"4032"},{"id":130,"name":"Impact","value":""},{"id":150,"name":"Time of Event (Mountain Time)","value":"15:54:32"},{"id":151,"name":"Denver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04"/>
        <v>start /low /b %USERPROFILE%\Documents\GitHub\eaglep3\Utilities\DownloadLogsFromS3.py --loco 4032 --day 2017-06-26</v>
      </c>
      <c r="AN246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640</v>
      </c>
      <c r="B247" s="7">
        <v>4032</v>
      </c>
      <c r="C247" s="21" t="s">
        <v>202</v>
      </c>
      <c r="D247" s="21" t="s">
        <v>982</v>
      </c>
      <c r="E247" s="13">
        <v>42912.703182870369</v>
      </c>
      <c r="F247" s="13">
        <v>42912.73646990741</v>
      </c>
      <c r="G247" s="7">
        <v>2</v>
      </c>
      <c r="H247" s="21" t="s">
        <v>983</v>
      </c>
      <c r="I247" s="13">
        <v>42912.73978009259</v>
      </c>
      <c r="J247" s="7">
        <v>0</v>
      </c>
      <c r="K247" s="89" t="str">
        <f t="shared" si="92"/>
        <v>4031/4032</v>
      </c>
      <c r="L247" s="21" t="str">
        <f>VLOOKUP(A247,'Trips&amp;Operators'!$C$1:$G$99999,5,FALSE)</f>
        <v>STORY SAMANTHA</v>
      </c>
      <c r="M247" s="6">
        <f t="shared" si="93"/>
        <v>3.3101851804531179E-3</v>
      </c>
      <c r="N247" s="7">
        <f t="shared" si="110"/>
        <v>4.7666666598524898</v>
      </c>
      <c r="O247" s="7"/>
      <c r="P247" s="7"/>
      <c r="Q247" s="22"/>
      <c r="R247" s="170"/>
      <c r="S247" s="213">
        <f t="shared" si="94"/>
        <v>0</v>
      </c>
      <c r="T247" s="195" t="str">
        <f t="shared" si="95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96"/>
        <v>https://d0f6bd738d7f1b3e5a7ca70fe4ff75f0.us-east-1.aws.found.io/app/kibana#/discover/Steve-Slow-Train-Analysis-(2080s-and-2083s)?_g=(refreshInterval:(display:Off,pause:!f,section:0,value:0),time:(from:'2017-06-26T15:52:35-0600',mode:absolute,to:'2017-06-26T18:45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7" s="197" t="str">
        <f>IF(AA247&lt;VLOOKUP(AG247,Variables!$AC$3:$AD$8,2,FALSE),"Y","N")</f>
        <v>Y</v>
      </c>
      <c r="X247" s="197">
        <f t="shared" si="107"/>
        <v>0</v>
      </c>
      <c r="Y247" s="197">
        <f t="shared" si="108"/>
        <v>3.8088000000000002</v>
      </c>
      <c r="Z247" s="197">
        <f t="shared" si="109"/>
        <v>11.2578</v>
      </c>
      <c r="AA247" s="197">
        <f t="shared" si="97"/>
        <v>7.4489999999999998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98"/>
        <v>59</v>
      </c>
      <c r="AE247" s="77" t="str">
        <f t="shared" si="99"/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AF247" s="74" t="str">
        <f t="shared" si="100"/>
        <v>"C:\Program Files (x86)\AstroGrep\AstroGrep.exe" /e /r /s /spath="%USERPROFILE%\AppData\Local\Temp\OnboardLogs" /stypes="app*4032*20170626*" /stext=" 23:.+((SYSTEM_STATE.+slice.+state.+changed )|(ment ac)|(multiple cpu faults)|(system.+state.+changed )|(\[timeout)|(PRM\|1\|D)|(kpr)|(kdp)|(train st.+moving)|(\|lc)|(penalty))"</v>
      </c>
      <c r="AG247" s="209" t="str">
        <f t="shared" si="101"/>
        <v>Shuttle/Test</v>
      </c>
      <c r="AH247" s="78" t="str">
        <f t="shared" si="102"/>
        <v>"%USERPROFILE%\Documents\GitHub\eaglep3\Utilities\RefineRTDCRunTimes.py" --tripid 59-26 --locoid 4032 --swversion DE.1.0.9.0 --startMP 300:38088 --initTime 2017-06-26T16:52:35 --startdatetime 2017-06-26T17:40:31 --delay 2 --endMP 300:112578 --enddatetime 2017-06-26T17:45:17 --enforcementcount 0 &gt;&gt;C:\Users\stu\Documents\GitHub\eaglep3-reporting\EC\2017-06-26-refined-times.txt</v>
      </c>
      <c r="AI247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11.2578"},{"id":17,"name":"Train ID","value":"59-26"},{"id":16,"name":"Locomotive ID","value":"4032"},{"id":130,"name":"Impact","value":""},{"id":150,"name":"Time of Event (Mountain Time)","value":"17:45:17"},{"id":151,"name":"Denver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104"/>
        <v>start /low /b %USERPROFILE%\Documents\GitHub\eaglep3\Utilities\DownloadLogsFromS3.py --loco 4032 --day 2017-06-26</v>
      </c>
      <c r="AN247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23:45:17"},{"id":29,"name":"Sharepoint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642</v>
      </c>
      <c r="B248" s="7">
        <v>4009</v>
      </c>
      <c r="C248" s="21" t="s">
        <v>202</v>
      </c>
      <c r="D248" s="21" t="s">
        <v>984</v>
      </c>
      <c r="E248" s="13">
        <v>42912.654652777775</v>
      </c>
      <c r="F248" s="13">
        <v>42912.656458333331</v>
      </c>
      <c r="G248" s="7">
        <v>1</v>
      </c>
      <c r="H248" s="21" t="s">
        <v>506</v>
      </c>
      <c r="I248" s="13">
        <v>42912.65766203704</v>
      </c>
      <c r="J248" s="7">
        <v>0</v>
      </c>
      <c r="K248" s="89" t="str">
        <f t="shared" si="92"/>
        <v>4009/4010</v>
      </c>
      <c r="L248" s="21" t="str">
        <f>VLOOKUP(A248,'Trips&amp;Operators'!$C$1:$G$99999,5,FALSE)</f>
        <v>MOSES BRADLEY</v>
      </c>
      <c r="M248" s="6">
        <f t="shared" si="93"/>
        <v>1.2037037085974589E-3</v>
      </c>
      <c r="N248" s="7">
        <f t="shared" si="110"/>
        <v>1.7333333403803408</v>
      </c>
      <c r="O248" s="7"/>
      <c r="P248" s="7"/>
      <c r="Q248" s="22"/>
      <c r="R248" s="170"/>
      <c r="S248" s="213">
        <f t="shared" si="94"/>
        <v>0</v>
      </c>
      <c r="T248" s="195" t="str">
        <f t="shared" si="95"/>
        <v>Southbound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96"/>
        <v>https://d0f6bd738d7f1b3e5a7ca70fe4ff75f0.us-east-1.aws.found.io/app/kibana#/discover/Steve-Slow-Train-Analysis-(2080s-and-2083s)?_g=(refreshInterval:(display:Off,pause:!f,section:0,value:0),time:(from:'2017-06-26T14:42:42-0600',mode:absolute,to:'2017-06-26T16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8" s="197" t="str">
        <f>IF(AA248&lt;VLOOKUP(AG248,Variables!$AC$3:$AD$8,2,FALSE),"Y","N")</f>
        <v>Y</v>
      </c>
      <c r="X248" s="197">
        <f t="shared" si="107"/>
        <v>3</v>
      </c>
      <c r="Y248" s="197">
        <f t="shared" si="108"/>
        <v>0.32850000000000001</v>
      </c>
      <c r="Z248" s="197">
        <f t="shared" si="109"/>
        <v>1.34E-2</v>
      </c>
      <c r="AA248" s="197">
        <f t="shared" si="97"/>
        <v>0.31509999999999999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98"/>
        <v>62</v>
      </c>
      <c r="AE248" s="77" t="str">
        <f t="shared" si="99"/>
        <v>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 &amp; 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</v>
      </c>
      <c r="AF248" s="74" t="str">
        <f t="shared" si="100"/>
        <v>"C:\Program Files (x86)\AstroGrep\AstroGrep.exe" /e /r /s /spath="%USERPROFILE%\AppData\Local\Temp\OnboardLogs" /stypes="app*4009*20170626*" /stext=" 21:.+((SYSTEM_STATE.+slice.+state.+changed )|(ment ac)|(multiple cpu faults)|(system.+state.+changed )|(\[timeout)|(PRM\|1\|D)|(kpr)|(kdp)|(train st.+moving)|(\|lc)|(penalty))"</v>
      </c>
      <c r="AG248" s="209" t="str">
        <f t="shared" si="101"/>
        <v>Shuttle/Test</v>
      </c>
      <c r="AH248" s="78" t="str">
        <f t="shared" si="102"/>
        <v>"%USERPROFILE%\Documents\GitHub\eaglep3\Utilities\RefineRTDCRunTimes.py" --tripid 62-26 --locoid 4009 --swversion DE.1.0.9.0 --startMP 204:3285 --initTime 2017-06-26T15:42:42 --startdatetime 2017-06-26T15:45:18 --delay 1 --endMP 204:134 --enddatetime 2017-06-26T15:47:02 --enforcementcount 0 &gt;&gt;C:\Users\stu\Documents\GitHub\eaglep3-reporting\EC\2017-06-26-refined-times.txt</v>
      </c>
      <c r="AI248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0.0134"},{"id":17,"name":"Train ID","value":"62-26"},{"id":16,"name":"Locomotive ID","value":"4009"},{"id":130,"name":"Impact","value":""},{"id":150,"name":"Time of Event (Mountain Time)","value":"15:47:02"},{"id":151,"name":"Denver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104"/>
        <v>start /low /b %USERPROFILE%\Documents\GitHub\eaglep3\Utilities\DownloadLogsFromS3.py --loco 4009 --day 2017-06-26</v>
      </c>
      <c r="AN248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21:47:02"},{"id":29,"name":"Sharepoint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642</v>
      </c>
      <c r="B249" s="7">
        <v>4010</v>
      </c>
      <c r="C249" s="21" t="s">
        <v>202</v>
      </c>
      <c r="D249" s="21" t="s">
        <v>985</v>
      </c>
      <c r="E249" s="13">
        <v>42912.647326388891</v>
      </c>
      <c r="F249" s="13">
        <v>42912.656458333331</v>
      </c>
      <c r="G249" s="7">
        <v>1</v>
      </c>
      <c r="H249" s="21" t="s">
        <v>986</v>
      </c>
      <c r="I249" s="13">
        <v>42912.65766203704</v>
      </c>
      <c r="J249" s="7">
        <v>0</v>
      </c>
      <c r="K249" s="89" t="str">
        <f t="shared" si="92"/>
        <v>4009/4010</v>
      </c>
      <c r="L249" s="21" t="str">
        <f>VLOOKUP(A249,'Trips&amp;Operators'!$C$1:$G$99999,5,FALSE)</f>
        <v>MOSES BRADLEY</v>
      </c>
      <c r="M249" s="6">
        <f t="shared" si="93"/>
        <v>1.2037037085974589E-3</v>
      </c>
      <c r="N249" s="7">
        <f t="shared" si="110"/>
        <v>1.7333333403803408</v>
      </c>
      <c r="O249" s="7"/>
      <c r="P249" s="7"/>
      <c r="Q249" s="22"/>
      <c r="R249" s="170"/>
      <c r="S249" s="213">
        <f t="shared" si="94"/>
        <v>0</v>
      </c>
      <c r="T249" s="195" t="str">
        <f t="shared" si="95"/>
        <v>Southbound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96"/>
        <v>https://d0f6bd738d7f1b3e5a7ca70fe4ff75f0.us-east-1.aws.found.io/app/kibana#/discover/Steve-Slow-Train-Analysis-(2080s-and-2083s)?_g=(refreshInterval:(display:Off,pause:!f,section:0,value:0),time:(from:'2017-06-26T14:32:09-0600',mode:absolute,to:'2017-06-26T16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9" s="197" t="str">
        <f>IF(AA249&lt;VLOOKUP(AG249,Variables!$AC$3:$AD$8,2,FALSE),"Y","N")</f>
        <v>Y</v>
      </c>
      <c r="X249" s="197">
        <f t="shared" si="107"/>
        <v>0</v>
      </c>
      <c r="Y249" s="197">
        <f t="shared" si="108"/>
        <v>0.1464</v>
      </c>
      <c r="Z249" s="197">
        <f t="shared" si="109"/>
        <v>0.3609</v>
      </c>
      <c r="AA249" s="197">
        <f t="shared" si="97"/>
        <v>0.2145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98"/>
        <v>62</v>
      </c>
      <c r="AE249" s="77" t="str">
        <f t="shared" si="99"/>
        <v>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 &amp; 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</v>
      </c>
      <c r="AF249" s="74" t="str">
        <f t="shared" si="100"/>
        <v>"C:\Program Files (x86)\AstroGrep\AstroGrep.exe" /e /r /s /spath="%USERPROFILE%\AppData\Local\Temp\OnboardLogs" /stypes="app*4010*20170626*" /stext=" 21:.+((SYSTEM_STATE.+slice.+state.+changed )|(ment ac)|(multiple cpu faults)|(system.+state.+changed )|(\[timeout)|(PRM\|1\|D)|(kpr)|(kdp)|(train st.+moving)|(\|lc)|(penalty))"</v>
      </c>
      <c r="AG249" s="209" t="str">
        <f t="shared" si="101"/>
        <v>Shuttle/Test</v>
      </c>
      <c r="AH249" s="78" t="str">
        <f t="shared" si="102"/>
        <v>"%USERPROFILE%\Documents\GitHub\eaglep3\Utilities\RefineRTDCRunTimes.py" --tripid 62-26 --locoid 4010 --swversion DE.1.0.9.0 --startMP 204:1464 --initTime 2017-06-26T15:32:09 --startdatetime 2017-06-26T15:45:18 --delay 1 --endMP 204:3609 --enddatetime 2017-06-26T15:47:02 --enforcementcount 0 &gt;&gt;C:\Users\stu\Documents\GitHub\eaglep3-reporting\EC\2017-06-26-refined-times.txt</v>
      </c>
      <c r="AI249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0.3609"},{"id":17,"name":"Train ID","value":"62-26"},{"id":16,"name":"Locomotive ID","value":"4010"},{"id":130,"name":"Impact","value":""},{"id":150,"name":"Time of Event (Mountain Time)","value":"15:47:02"},{"id":151,"name":"Denver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04"/>
        <v>start /low /b %USERPROFILE%\Documents\GitHub\eaglep3\Utilities\DownloadLogsFromS3.py --loco 4010 --day 2017-06-26</v>
      </c>
      <c r="AN249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21:47:02"},{"id":29,"name":"Sharepoint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643</v>
      </c>
      <c r="B250" s="7">
        <v>4004</v>
      </c>
      <c r="C250" s="21" t="s">
        <v>202</v>
      </c>
      <c r="D250" s="21" t="s">
        <v>987</v>
      </c>
      <c r="E250" s="13">
        <v>42912.667731481481</v>
      </c>
      <c r="F250" s="13">
        <v>42912.670011574075</v>
      </c>
      <c r="G250" s="7">
        <v>1</v>
      </c>
      <c r="H250" s="21" t="s">
        <v>988</v>
      </c>
      <c r="I250" s="13">
        <v>42912.670162037037</v>
      </c>
      <c r="J250" s="7">
        <v>0</v>
      </c>
      <c r="K250" s="89" t="str">
        <f t="shared" si="92"/>
        <v>4003/4004</v>
      </c>
      <c r="L250" s="21" t="str">
        <f>VLOOKUP(A250,'Trips&amp;Operators'!$C$1:$G$99999,5,FALSE)</f>
        <v>CHANDLER KELVIN</v>
      </c>
      <c r="M250" s="6">
        <f t="shared" si="93"/>
        <v>1.5046296175569296E-4</v>
      </c>
      <c r="N250" s="7">
        <f t="shared" si="110"/>
        <v>0.21666666492819786</v>
      </c>
      <c r="O250" s="7"/>
      <c r="P250" s="7"/>
      <c r="Q250" s="22"/>
      <c r="R250" s="170"/>
      <c r="S250" s="213">
        <f t="shared" si="94"/>
        <v>0</v>
      </c>
      <c r="T250" s="195" t="str">
        <f t="shared" si="95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96"/>
        <v>https://d0f6bd738d7f1b3e5a7ca70fe4ff75f0.us-east-1.aws.found.io/app/kibana#/discover/Steve-Slow-Train-Analysis-(2080s-and-2083s)?_g=(refreshInterval:(display:Off,pause:!f,section:0,value:0),time:(from:'2017-06-26T15:01:32-0600',mode:absolute,to:'2017-06-26T17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0" s="197" t="str">
        <f>IF(AA250&lt;VLOOKUP(AG250,Variables!$AC$3:$AD$8,2,FALSE),"Y","N")</f>
        <v>Y</v>
      </c>
      <c r="X250" s="197">
        <f t="shared" si="107"/>
        <v>3</v>
      </c>
      <c r="Y250" s="197">
        <f t="shared" si="108"/>
        <v>0.14829999999999999</v>
      </c>
      <c r="Z250" s="197">
        <f t="shared" si="109"/>
        <v>0.18690000000000001</v>
      </c>
      <c r="AA250" s="197">
        <f t="shared" si="97"/>
        <v>3.8600000000000023E-2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98"/>
        <v>65</v>
      </c>
      <c r="AE250" s="77" t="str">
        <f t="shared" si="99"/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AF250" s="74" t="str">
        <f t="shared" si="100"/>
        <v>"C:\Program Files (x86)\AstroGrep\AstroGrep.exe" /e /r /s /spath="%USERPROFILE%\AppData\Local\Temp\OnboardLogs" /stypes="app*4004*20170626*" /stext=" 22:.+((SYSTEM_STATE.+slice.+state.+changed )|(ment ac)|(multiple cpu faults)|(system.+state.+changed )|(\[timeout)|(PRM\|1\|D)|(kpr)|(kdp)|(train st.+moving)|(\|lc)|(penalty))"</v>
      </c>
      <c r="AG250" s="209" t="str">
        <f t="shared" si="101"/>
        <v>Shuttle/Test</v>
      </c>
      <c r="AH250" s="78" t="str">
        <f t="shared" si="102"/>
        <v>"%USERPROFILE%\Documents\GitHub\eaglep3\Utilities\RefineRTDCRunTimes.py" --tripid 65-26 --locoid 4004 --swversion DE.1.0.9.0 --startMP 204:1483 --initTime 2017-06-26T16:01:32 --startdatetime 2017-06-26T16:04:49 --delay 1 --endMP 204:1869 --enddatetime 2017-06-26T16:05:02 --enforcementcount 0 &gt;&gt;C:\Users\stu\Documents\GitHub\eaglep3-reporting\EC\2017-06-26-refined-times.txt</v>
      </c>
      <c r="AI250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0.1869"},{"id":17,"name":"Train ID","value":"65-26"},{"id":16,"name":"Locomotive ID","value":"4004"},{"id":130,"name":"Impact","value":""},{"id":150,"name":"Time of Event (Mountain Time)","value":"16:05:02"},{"id":151,"name":"Denver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104"/>
        <v>start /low /b %USERPROFILE%\Documents\GitHub\eaglep3\Utilities\DownloadLogsFromS3.py --loco 4004 --day 2017-06-26</v>
      </c>
      <c r="AN250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812</v>
      </c>
      <c r="B251" s="7">
        <v>4015</v>
      </c>
      <c r="C251" s="21" t="s">
        <v>202</v>
      </c>
      <c r="D251" s="21" t="s">
        <v>989</v>
      </c>
      <c r="E251" s="13">
        <v>42912.705335648148</v>
      </c>
      <c r="F251" s="13">
        <v>42912.707025462965</v>
      </c>
      <c r="G251" s="7">
        <v>1</v>
      </c>
      <c r="H251" s="21" t="s">
        <v>512</v>
      </c>
      <c r="I251" s="13">
        <v>42912.709016203706</v>
      </c>
      <c r="J251" s="7">
        <v>0</v>
      </c>
      <c r="K251" s="89" t="str">
        <f t="shared" si="92"/>
        <v>4015/4016</v>
      </c>
      <c r="L251" s="21" t="str">
        <f>VLOOKUP(A251,'Trips&amp;Operators'!$C$1:$G$99999,5,FALSE)</f>
        <v>MOSES BRADLEY</v>
      </c>
      <c r="M251" s="6">
        <f t="shared" si="93"/>
        <v>1.9907407404389232E-3</v>
      </c>
      <c r="N251" s="7">
        <f t="shared" si="110"/>
        <v>2.8666666662320495</v>
      </c>
      <c r="O251" s="7"/>
      <c r="P251" s="7"/>
      <c r="Q251" s="22"/>
      <c r="R251" s="170"/>
      <c r="S251" s="213">
        <f t="shared" si="94"/>
        <v>0</v>
      </c>
      <c r="T251" s="195" t="str">
        <f t="shared" si="95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 t="shared" si="96"/>
        <v>https://d0f6bd738d7f1b3e5a7ca70fe4ff75f0.us-east-1.aws.found.io/app/kibana#/discover/Steve-Slow-Train-Analysis-(2080s-and-2083s)?_g=(refreshInterval:(display:Off,pause:!f,section:0,value:0),time:(from:'2017-06-26T15:55:41-0600',mode:absolute,to:'2017-06-26T18:00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51" s="197" t="str">
        <f>IF(AA251&lt;VLOOKUP(AG251,Variables!$AC$3:$AD$8,2,FALSE),"Y","N")</f>
        <v>Y</v>
      </c>
      <c r="X251" s="197">
        <f t="shared" si="107"/>
        <v>4</v>
      </c>
      <c r="Y251" s="197">
        <f t="shared" si="108"/>
        <v>0.31950000000000001</v>
      </c>
      <c r="Z251" s="197">
        <f t="shared" si="109"/>
        <v>1.32E-2</v>
      </c>
      <c r="AA251" s="197">
        <f t="shared" si="97"/>
        <v>0.30630000000000002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98"/>
        <v>69</v>
      </c>
      <c r="AE251" s="77" t="str">
        <f t="shared" si="99"/>
        <v>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 &amp; 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</v>
      </c>
      <c r="AF251" s="74" t="str">
        <f t="shared" si="100"/>
        <v>"C:\Program Files (x86)\AstroGrep\AstroGrep.exe" /e /r /s /spath="%USERPROFILE%\AppData\Local\Temp\OnboardLogs" /stypes="app*4015*20170626*" /stext=" 23:.+((SYSTEM_STATE.+slice.+state.+changed )|(ment ac)|(multiple cpu faults)|(system.+state.+changed )|(\[timeout)|(PRM\|1\|D)|(kpr)|(kdp)|(train st.+moving)|(\|lc)|(penalty))"</v>
      </c>
      <c r="AG251" s="209" t="str">
        <f t="shared" si="101"/>
        <v>Shuttle/Test</v>
      </c>
      <c r="AH251" s="78" t="str">
        <f t="shared" si="102"/>
        <v>"%USERPROFILE%\Documents\GitHub\eaglep3\Utilities\RefineRTDCRunTimes.py" --tripid 69-26 --locoid 4015 --swversion DE.1.0.9.0 --startMP 204:3195 --initTime 2017-06-26T16:55:41 --startdatetime 2017-06-26T16:58:07 --delay 1 --endMP 204:132 --enddatetime 2017-06-26T17:00:59 --enforcementcount 0 &gt;&gt;C:\Users\stu\Documents\GitHub\eaglep3-reporting\EC\2017-06-26-refined-times.txt</v>
      </c>
      <c r="AI251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0.0132"},{"id":17,"name":"Train ID","value":"69-26"},{"id":16,"name":"Locomotive ID","value":"4015"},{"id":130,"name":"Impact","value":""},{"id":150,"name":"Time of Event (Mountain Time)","value":"17:00:59"},{"id":151,"name":"Denver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104"/>
        <v>start /low /b %USERPROFILE%\Documents\GitHub\eaglep3\Utilities\DownloadLogsFromS3.py --loco 4015 --day 2017-06-26</v>
      </c>
      <c r="AN251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23:00:59"},{"id":29,"name":"Sharepoint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812</v>
      </c>
      <c r="B252" s="7">
        <v>4016</v>
      </c>
      <c r="C252" s="21" t="s">
        <v>202</v>
      </c>
      <c r="D252" s="21" t="s">
        <v>915</v>
      </c>
      <c r="E252" s="13">
        <v>42912.699016203704</v>
      </c>
      <c r="F252" s="13">
        <v>42912.707025462965</v>
      </c>
      <c r="G252" s="7">
        <v>1</v>
      </c>
      <c r="H252" s="21" t="s">
        <v>990</v>
      </c>
      <c r="I252" s="13">
        <v>42912.709016203706</v>
      </c>
      <c r="J252" s="7">
        <v>0</v>
      </c>
      <c r="K252" s="89" t="str">
        <f t="shared" si="92"/>
        <v>4015/4016</v>
      </c>
      <c r="L252" s="21" t="str">
        <f>VLOOKUP(A252,'Trips&amp;Operators'!$C$1:$G$99999,5,FALSE)</f>
        <v>MOSES BRADLEY</v>
      </c>
      <c r="M252" s="6">
        <f t="shared" si="93"/>
        <v>1.9907407404389232E-3</v>
      </c>
      <c r="N252" s="7">
        <f t="shared" si="110"/>
        <v>2.8666666662320495</v>
      </c>
      <c r="O252" s="7"/>
      <c r="P252" s="7"/>
      <c r="Q252" s="22"/>
      <c r="R252" s="170"/>
      <c r="S252" s="213">
        <f t="shared" si="94"/>
        <v>0</v>
      </c>
      <c r="T252" s="195" t="str">
        <f t="shared" si="95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96"/>
        <v>https://d0f6bd738d7f1b3e5a7ca70fe4ff75f0.us-east-1.aws.found.io/app/kibana#/discover/Steve-Slow-Train-Analysis-(2080s-and-2083s)?_g=(refreshInterval:(display:Off,pause:!f,section:0,value:0),time:(from:'2017-06-26T15:46:35-0600',mode:absolute,to:'2017-06-26T18:00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2" s="197" t="str">
        <f>IF(AA252&lt;VLOOKUP(AG252,Variables!$AC$3:$AD$8,2,FALSE),"Y","N")</f>
        <v>Y</v>
      </c>
      <c r="X252" s="197">
        <f t="shared" si="107"/>
        <v>0</v>
      </c>
      <c r="Y252" s="197">
        <f t="shared" si="108"/>
        <v>0.1154</v>
      </c>
      <c r="Z252" s="197">
        <f t="shared" si="109"/>
        <v>0.35299999999999998</v>
      </c>
      <c r="AA252" s="197">
        <f t="shared" si="97"/>
        <v>0.23759999999999998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98"/>
        <v>69</v>
      </c>
      <c r="AE252" s="77" t="str">
        <f t="shared" si="99"/>
        <v>aws s3 cp s3://rtdc.mdm.uploadarchive.raw/RTDC4016/ "%USERPROFILE%\AppData\Local\Temp\OnboardLogs"\RTDC4016\2017-06-26 --exclude "*" --recursive --include "*20170626*" &amp; "%USERPROFILE%\Documents\GitHub\mrs-test-scripts\Headless Mode &amp; Sideloading\WalkAndUnGZ.bat" "%USERPROFILE%\AppData\Local\Temp\OnboardLogs"\RTDC4016\2017-06-26 &amp; 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</v>
      </c>
      <c r="AF252" s="74" t="str">
        <f t="shared" si="100"/>
        <v>"C:\Program Files (x86)\AstroGrep\AstroGrep.exe" /e /r /s /spath="%USERPROFILE%\AppData\Local\Temp\OnboardLogs" /stypes="app*4016*20170626*" /stext=" 23:.+((SYSTEM_STATE.+slice.+state.+changed )|(ment ac)|(multiple cpu faults)|(system.+state.+changed )|(\[timeout)|(PRM\|1\|D)|(kpr)|(kdp)|(train st.+moving)|(\|lc)|(penalty))"</v>
      </c>
      <c r="AG252" s="209" t="str">
        <f t="shared" si="101"/>
        <v>Shuttle/Test</v>
      </c>
      <c r="AH252" s="78" t="str">
        <f t="shared" si="102"/>
        <v>"%USERPROFILE%\Documents\GitHub\eaglep3\Utilities\RefineRTDCRunTimes.py" --tripid 69-26 --locoid 4016 --swversion DE.1.0.9.0 --startMP 204:1154 --initTime 2017-06-26T16:46:35 --startdatetime 2017-06-26T16:58:07 --delay 1 --endMP 204:3530 --enddatetime 2017-06-26T17:00:59 --enforcementcount 0 &gt;&gt;C:\Users\stu\Documents\GitHub\eaglep3-reporting\EC\2017-06-26-refined-times.txt</v>
      </c>
      <c r="AI252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0.353"},{"id":17,"name":"Train ID","value":"69-26"},{"id":16,"name":"Locomotive ID","value":"4016"},{"id":130,"name":"Impact","value":""},{"id":150,"name":"Time of Event (Mountain Time)","value":"17:00:59"},{"id":151,"name":"Denver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104"/>
        <v>start /low /b %USERPROFILE%\Documents\GitHub\eaglep3\Utilities\DownloadLogsFromS3.py --loco 4016 --day 2017-06-26</v>
      </c>
      <c r="AN252" s="151" t="str">
        <f t="shared" si="105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23:00:59"},{"id":29,"name":"Sharepoint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818</v>
      </c>
      <c r="B253" s="7">
        <v>4010</v>
      </c>
      <c r="C253" s="21" t="s">
        <v>202</v>
      </c>
      <c r="D253" s="21" t="s">
        <v>991</v>
      </c>
      <c r="E253" s="13">
        <v>42912.740937499999</v>
      </c>
      <c r="F253" s="13">
        <v>42912.747615740744</v>
      </c>
      <c r="G253" s="7">
        <v>1</v>
      </c>
      <c r="H253" s="21" t="s">
        <v>353</v>
      </c>
      <c r="I253" s="13">
        <v>42912.755416666667</v>
      </c>
      <c r="J253" s="7">
        <v>0</v>
      </c>
      <c r="K253" s="89" t="str">
        <f t="shared" si="92"/>
        <v>4009/4010</v>
      </c>
      <c r="L253" s="21" t="str">
        <f>VLOOKUP(A253,'Trips&amp;Operators'!$C$1:$G$99999,5,FALSE)</f>
        <v>MOSES BRADLEY</v>
      </c>
      <c r="M253" s="6">
        <f t="shared" si="93"/>
        <v>7.8009259232203476E-3</v>
      </c>
      <c r="N253" s="7">
        <f t="shared" si="110"/>
        <v>11.233333329437301</v>
      </c>
      <c r="O253" s="7"/>
      <c r="P253" s="7"/>
      <c r="Q253" s="22"/>
      <c r="R253" s="170"/>
      <c r="S253" s="213">
        <f t="shared" si="94"/>
        <v>1</v>
      </c>
      <c r="T253" s="195" t="str">
        <f t="shared" si="95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196" t="str">
        <f t="shared" si="96"/>
        <v>https://d0f6bd738d7f1b3e5a7ca70fe4ff75f0.us-east-1.aws.found.io/app/kibana#/discover/Steve-Slow-Train-Analysis-(2080s-and-2083s)?_g=(refreshInterval:(display:Off,pause:!f,section:0,value:0),time:(from:'2017-06-26T16:46:57-0600',mode:absolute,to:'2017-06-26T19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3" s="197" t="str">
        <f>IF(AA253&lt;VLOOKUP(AG253,Variables!$AC$3:$AD$8,2,FALSE),"Y","N")</f>
        <v>Y</v>
      </c>
      <c r="X253" s="197">
        <f t="shared" si="107"/>
        <v>2</v>
      </c>
      <c r="Y253" s="197">
        <f t="shared" si="108"/>
        <v>0.13320000000000001</v>
      </c>
      <c r="Z253" s="197">
        <f t="shared" si="109"/>
        <v>2.3346</v>
      </c>
      <c r="AA253" s="197">
        <f t="shared" si="97"/>
        <v>2.2014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98"/>
        <v>71</v>
      </c>
      <c r="AE253" s="77" t="str">
        <f t="shared" si="99"/>
        <v>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 &amp; 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</v>
      </c>
      <c r="AF253" s="74" t="str">
        <f t="shared" si="100"/>
        <v>"C:\Program Files (x86)\AstroGrep\AstroGrep.exe" /e /r /s /spath="%USERPROFILE%\AppData\Local\Temp\OnboardLogs" /stypes="app*4010*20170627*" /stext=" 00:.+((SYSTEM_STATE.+slice.+state.+changed )|(ment ac)|(multiple cpu faults)|(system.+state.+changed )|(\[timeout)|(PRM\|1\|D)|(kpr)|(kdp)|(train st.+moving)|(\|lc)|(penalty))"</v>
      </c>
      <c r="AG253" s="209" t="str">
        <f t="shared" si="101"/>
        <v>Shuttle/Test</v>
      </c>
      <c r="AH253" s="78" t="str">
        <f t="shared" si="102"/>
        <v>"%USERPROFILE%\Documents\GitHub\eaglep3\Utilities\RefineRTDCRunTimes.py" --tripid 71-26 --locoid 4010 --swversion DE.1.0.9.0 --startMP 204:1332 --initTime 2017-06-26T17:46:57 --startdatetime 2017-06-26T17:56:34 --delay 1 --endMP 300:23346 --enddatetime 2017-06-26T18:07:48 --enforcementcount 0 &gt;&gt;C:\Users\stu\Documents\GitHub\eaglep3-reporting\EC\2017-06-26-refined-times.txt</v>
      </c>
      <c r="AI253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2.3346"},{"id":17,"name":"Train ID","value":"71-26"},{"id":16,"name":"Locomotive ID","value":"4010"},{"id":130,"name":"Impact","value":""},{"id":150,"name":"Time of Event (Mountain Time)","value":"18:07:48"},{"id":151,"name":"Denver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104"/>
        <v>start /low /b %USERPROFILE%\Documents\GitHub\eaglep3\Utilities\DownloadLogsFromS3.py --loco 4010 --day 2017-06-26</v>
      </c>
      <c r="AN253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818</v>
      </c>
      <c r="B254" s="7">
        <v>4057</v>
      </c>
      <c r="C254" s="21" t="s">
        <v>202</v>
      </c>
      <c r="D254" s="21" t="s">
        <v>992</v>
      </c>
      <c r="E254" s="13">
        <v>42912.727037037039</v>
      </c>
      <c r="F254" s="13">
        <v>42912.747615740744</v>
      </c>
      <c r="G254" s="7">
        <v>1</v>
      </c>
      <c r="H254" s="21" t="s">
        <v>358</v>
      </c>
      <c r="I254" s="13">
        <v>42912.755416666667</v>
      </c>
      <c r="J254" s="7">
        <v>0</v>
      </c>
      <c r="K254" s="89" t="str">
        <f t="shared" si="92"/>
        <v>4057/4058</v>
      </c>
      <c r="L254" s="21" t="str">
        <f>VLOOKUP(A254,'Trips&amp;Operators'!$C$1:$G$99999,5,FALSE)</f>
        <v>MOSES BRADLEY</v>
      </c>
      <c r="M254" s="6">
        <f t="shared" si="93"/>
        <v>7.8009259232203476E-3</v>
      </c>
      <c r="N254" s="7">
        <f t="shared" si="110"/>
        <v>11.233333329437301</v>
      </c>
      <c r="O254" s="7"/>
      <c r="P254" s="7"/>
      <c r="Q254" s="22"/>
      <c r="R254" s="170"/>
      <c r="S254" s="213">
        <f t="shared" si="94"/>
        <v>0</v>
      </c>
      <c r="T254" s="195" t="str">
        <f t="shared" si="95"/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6" t="str">
        <f t="shared" si="96"/>
        <v>https://d0f6bd738d7f1b3e5a7ca70fe4ff75f0.us-east-1.aws.found.io/app/kibana#/discover/Steve-Slow-Train-Analysis-(2080s-and-2083s)?_g=(refreshInterval:(display:Off,pause:!f,section:0,value:0),time:(from:'2017-06-26T16:26:56-0600',mode:absolute,to:'2017-06-26T19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54" s="197" t="str">
        <f>IF(AA254&lt;VLOOKUP(AG254,Variables!$AC$3:$AD$8,2,FALSE),"Y","N")</f>
        <v>Y</v>
      </c>
      <c r="X254" s="197">
        <f t="shared" si="107"/>
        <v>0</v>
      </c>
      <c r="Y254" s="197">
        <f t="shared" si="108"/>
        <v>0.3221</v>
      </c>
      <c r="Z254" s="197">
        <f t="shared" si="109"/>
        <v>1.41E-2</v>
      </c>
      <c r="AA254" s="197">
        <f t="shared" si="97"/>
        <v>0.308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98"/>
        <v>71</v>
      </c>
      <c r="AE254" s="77" t="str">
        <f t="shared" si="99"/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AF254" s="74" t="str">
        <f t="shared" si="100"/>
        <v>"C:\Program Files (x86)\AstroGrep\AstroGrep.exe" /e /r /s /spath="%USERPROFILE%\AppData\Local\Temp\OnboardLogs" /stypes="app*4057*20170627*" /stext=" 00:.+((SYSTEM_STATE.+slice.+state.+changed )|(ment ac)|(multiple cpu faults)|(system.+state.+changed )|(\[timeout)|(PRM\|1\|D)|(kpr)|(kdp)|(train st.+moving)|(\|lc)|(penalty))"</v>
      </c>
      <c r="AG254" s="209" t="str">
        <f t="shared" si="101"/>
        <v>Shuttle/Test</v>
      </c>
      <c r="AH254" s="78" t="str">
        <f t="shared" si="102"/>
        <v>"%USERPROFILE%\Documents\GitHub\eaglep3\Utilities\RefineRTDCRunTimes.py" --tripid 71-26 --locoid 4057 --swversion DE.1.0.9.0 --startMP 204:3221 --initTime 2017-06-26T17:26:56 --startdatetime 2017-06-26T17:56:34 --delay 1 --endMP 204:141 --enddatetime 2017-06-26T18:07:48 --enforcementcount 0 &gt;&gt;C:\Users\stu\Documents\GitHub\eaglep3-reporting\EC\2017-06-26-refined-times.txt</v>
      </c>
      <c r="AI254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0.0141"},{"id":17,"name":"Train ID","value":"71-26"},{"id":16,"name":"Locomotive ID","value":"4057"},{"id":130,"name":"Impact","value":""},{"id":150,"name":"Time of Event (Mountain Time)","value":"18:07:48"},{"id":151,"name":"Denver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104"/>
        <v>start /low /b %USERPROFILE%\Documents\GitHub\eaglep3\Utilities\DownloadLogsFromS3.py --loco 4057 --day 2017-06-26</v>
      </c>
      <c r="AN254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818</v>
      </c>
      <c r="B255" s="7">
        <v>4058</v>
      </c>
      <c r="C255" s="21" t="s">
        <v>202</v>
      </c>
      <c r="D255" s="21" t="s">
        <v>993</v>
      </c>
      <c r="E255" s="13">
        <v>42912.720393518517</v>
      </c>
      <c r="F255" s="13">
        <v>42912.747615740744</v>
      </c>
      <c r="G255" s="7">
        <v>4</v>
      </c>
      <c r="H255" s="21" t="s">
        <v>929</v>
      </c>
      <c r="I255" s="13">
        <v>42912.755416666667</v>
      </c>
      <c r="J255" s="7">
        <v>0</v>
      </c>
      <c r="K255" s="89" t="str">
        <f t="shared" si="92"/>
        <v>4057/4058</v>
      </c>
      <c r="L255" s="21" t="str">
        <f>VLOOKUP(A255,'Trips&amp;Operators'!$C$1:$G$99999,5,FALSE)</f>
        <v>MOSES BRADLEY</v>
      </c>
      <c r="M255" s="6">
        <f t="shared" si="93"/>
        <v>7.8009259232203476E-3</v>
      </c>
      <c r="N255" s="7">
        <f t="shared" si="110"/>
        <v>11.233333329437301</v>
      </c>
      <c r="O255" s="7"/>
      <c r="P255" s="7"/>
      <c r="Q255" s="22"/>
      <c r="R255" s="170"/>
      <c r="S255" s="213">
        <f t="shared" si="94"/>
        <v>0</v>
      </c>
      <c r="T255" s="195" t="str">
        <f t="shared" si="95"/>
        <v>NorthBound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 t="shared" si="96"/>
        <v>https://d0f6bd738d7f1b3e5a7ca70fe4ff75f0.us-east-1.aws.found.io/app/kibana#/discover/Steve-Slow-Train-Analysis-(2080s-and-2083s)?_g=(refreshInterval:(display:Off,pause:!f,section:0,value:0),time:(from:'2017-06-26T16:17:22-0600',mode:absolute,to:'2017-06-26T19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5" s="197" t="str">
        <f>IF(AA255&lt;VLOOKUP(AG255,Variables!$AC$3:$AD$8,2,FALSE),"Y","N")</f>
        <v>Y</v>
      </c>
      <c r="X255" s="197">
        <f t="shared" si="107"/>
        <v>0</v>
      </c>
      <c r="Y255" s="197">
        <f t="shared" si="108"/>
        <v>0.1181</v>
      </c>
      <c r="Z255" s="197">
        <f t="shared" si="109"/>
        <v>0.35599999999999998</v>
      </c>
      <c r="AA255" s="197">
        <f t="shared" si="97"/>
        <v>0.2379</v>
      </c>
      <c r="AB255" s="54" t="e">
        <f>VLOOKUP(A255,Enforcements!$C$7:$K$13,8,0)</f>
        <v>#N/A</v>
      </c>
      <c r="AC255" s="51" t="e">
        <f>VLOOKUP(A255,Enforcements!$C$7:$E$13,3,0)</f>
        <v>#N/A</v>
      </c>
      <c r="AD255" s="206">
        <f t="shared" si="98"/>
        <v>71</v>
      </c>
      <c r="AE255" s="77" t="str">
        <f t="shared" si="99"/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AF255" s="74" t="str">
        <f t="shared" si="100"/>
        <v>"C:\Program Files (x86)\AstroGrep\AstroGrep.exe" /e /r /s /spath="%USERPROFILE%\AppData\Local\Temp\OnboardLogs" /stypes="app*4058*20170627*" /stext=" 00:.+((SYSTEM_STATE.+slice.+state.+changed )|(ment ac)|(multiple cpu faults)|(system.+state.+changed )|(\[timeout)|(PRM\|1\|D)|(kpr)|(kdp)|(train st.+moving)|(\|lc)|(penalty))"</v>
      </c>
      <c r="AG255" s="209" t="str">
        <f t="shared" si="101"/>
        <v>Shuttle/Test</v>
      </c>
      <c r="AH255" s="78" t="str">
        <f t="shared" si="102"/>
        <v>"%USERPROFILE%\Documents\GitHub\eaglep3\Utilities\RefineRTDCRunTimes.py" --tripid 71-26 --locoid 4058 --swversion DE.1.0.9.0 --startMP 204:1181 --initTime 2017-06-26T17:17:22 --startdatetime 2017-06-26T17:56:34 --delay 4 --endMP 204:3560 --enddatetime 2017-06-26T18:07:48 --enforcementcount 0 &gt;&gt;C:\Users\stu\Documents\GitHub\eaglep3-reporting\EC\2017-06-26-refined-times.txt</v>
      </c>
      <c r="AI255" s="96" t="str">
        <f t="shared" si="103"/>
        <v>echo {"issue":{"subject":"","project_id":79,"tracker_id":40,"status_id":1,"priority_id":2,"assigned_to_id":23,"start_date":"2017-06-26","description":"","custom_fields":[{"id":1,"name":"Subdivision","value":"Shuttle/Test"},{"id":4,"name":"Milepost","value":"0.356"},{"id":17,"name":"Train ID","value":"71-26"},{"id":16,"name":"Locomotive ID","value":"4058"},{"id":130,"name":"Impact","value":""},{"id":150,"name":"Time of Event (Mountain Time)","value":"18:07:48"},{"id":151,"name":"Denver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104"/>
        <v>start /low /b %USERPROFILE%\Documents\GitHub\eaglep3\Utilities\DownloadLogsFromS3.py --loco 4058 --day 2017-06-26</v>
      </c>
      <c r="AN255" s="151" t="str">
        <f t="shared" si="105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00:07:48"},{"id":29,"name":"Sharepoint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2">
    <sortState ref="A13:AG272">
      <sortCondition ref="AG13:AG255"/>
      <sortCondition ref="AD13:AD255"/>
    </sortState>
  </autoFilter>
  <sortState ref="A13:AN233">
    <sortCondition ref="AG13:AG233"/>
    <sortCondition ref="AD13:AD233"/>
  </sortState>
  <mergeCells count="1">
    <mergeCell ref="A11:P11"/>
  </mergeCells>
  <conditionalFormatting sqref="W11:W12 W276:X1048576 W13:X255">
    <cfRule type="cellIs" dxfId="10" priority="415" operator="equal">
      <formula>"Y"</formula>
    </cfRule>
  </conditionalFormatting>
  <conditionalFormatting sqref="X276:X1048576 X13:X255">
    <cfRule type="cellIs" dxfId="9" priority="398" operator="greaterThan">
      <formula>1</formula>
    </cfRule>
  </conditionalFormatting>
  <conditionalFormatting sqref="X276:X1048576 X12:X255">
    <cfRule type="cellIs" dxfId="8" priority="395" operator="equal">
      <formula>0</formula>
    </cfRule>
  </conditionalFormatting>
  <conditionalFormatting sqref="A13:S25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Values'!$C$2:$C$15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38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44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475</v>
      </c>
      <c r="X6" s="208" t="s">
        <v>468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42912.646168981482</v>
      </c>
      <c r="B7" s="30" t="s">
        <v>440</v>
      </c>
      <c r="C7" s="30" t="s">
        <v>641</v>
      </c>
      <c r="D7" s="30" t="s">
        <v>96</v>
      </c>
      <c r="E7" s="30" t="s">
        <v>187</v>
      </c>
      <c r="F7" s="42">
        <v>0</v>
      </c>
      <c r="G7" s="42">
        <v>53</v>
      </c>
      <c r="H7" s="42">
        <v>27319</v>
      </c>
      <c r="I7" s="42">
        <v>27246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-54.911999999999999</v>
      </c>
      <c r="N7" s="133" t="str">
        <f>VLOOKUP(C7,'Trips&amp;Operators'!$C$1:$G$99999,5,FALSE)</f>
        <v>BRANDNER MELINDA</v>
      </c>
      <c r="O7" s="203" t="s">
        <v>180</v>
      </c>
      <c r="P7" s="134" t="s">
        <v>519</v>
      </c>
      <c r="Q7" s="30"/>
      <c r="R7" s="81" t="str">
        <f>VLOOKUP(C7,'Train Runs'!$A$13:$AE$9931,31,0)</f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S7" s="84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-26T13:53:52-0600',mode:absolute,to:'2017-06-26T16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/stypes="*4045*201706262*" /stext=" 21:.+((SYSTEM_STATE.+slice.+state.+changed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4045</v>
      </c>
      <c r="V7" s="31">
        <f t="shared" ref="V7:V38" si="3">A7-utc_offset/24</f>
        <v>42912.896168981482</v>
      </c>
      <c r="W7" s="45" t="str">
        <f t="shared" ref="W7:W38" si="4">DetSubdiv(C7)</f>
        <v>EC</v>
      </c>
      <c r="X7" s="22">
        <f t="shared" ref="X7:X38" si="5">VALUE(LEFT(C7,LEN(C7)-3))</f>
        <v>184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arrival","project_id":79,"tracker_id":40,"status_id":1,"priority_id":2,"assigned_to_id":23,"start_date":"2017-06-26","description":"","custom_fields":[{"id":1,"name":"Subdivision","value":"EC"},{"id":4,"name":"Milepost","value":"2.735"},{"id":17,"name":"Train ID","value":"184-26"},{"id":16,"name":"Locomotive ID","value":"4045"},{"id":130,"name":"Impact","value":""},{"id":150,"name":"Time of Event (Mountain Time)","value":"15:30:29"},{"id":151,"name":"Denver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/c/Users/stu/AppData/Local/Temp/OnboardLogs/RTDC4045 --include="*4045*201706262*"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"%USERPROFILE%\AppData\Local\Temp\OnboardLogs"\RTDC4045\*4045*201706262* &gt;&gt; 2017-06-26-SliceDisagreementCheck.txt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4045 --day 2017-06-26</v>
      </c>
    </row>
    <row r="8" spans="1:32" s="1" customFormat="1" x14ac:dyDescent="0.25">
      <c r="A8" s="31">
        <v>42912.645567129628</v>
      </c>
      <c r="B8" s="30" t="s">
        <v>440</v>
      </c>
      <c r="C8" s="30" t="s">
        <v>641</v>
      </c>
      <c r="D8" s="30" t="s">
        <v>49</v>
      </c>
      <c r="E8" s="30" t="s">
        <v>187</v>
      </c>
      <c r="F8" s="42">
        <v>80</v>
      </c>
      <c r="G8" s="42">
        <v>154</v>
      </c>
      <c r="H8" s="42">
        <v>27493</v>
      </c>
      <c r="I8" s="42">
        <v>27332</v>
      </c>
      <c r="J8" s="30" t="s">
        <v>188</v>
      </c>
      <c r="K8" s="42">
        <v>27350</v>
      </c>
      <c r="L8" s="131" t="s">
        <v>51</v>
      </c>
      <c r="M8" s="132">
        <f t="shared" si="0"/>
        <v>-9.5039999999999996</v>
      </c>
      <c r="N8" s="133" t="str">
        <f>VLOOKUP(C8,'Trips&amp;Operators'!$C$1:$G$99999,5,FALSE)</f>
        <v>BRANDNER MELINDA</v>
      </c>
      <c r="O8" s="203" t="s">
        <v>180</v>
      </c>
      <c r="P8" s="134" t="s">
        <v>519</v>
      </c>
      <c r="Q8" s="30"/>
      <c r="R8" s="81" t="str">
        <f>VLOOKUP(C8,'Train Runs'!$A$13:$AE$9931,31,0)</f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S8" s="84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-26T13:53:52-0600',mode:absolute,to:'2017-06-26T16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6" t="str">
        <f t="shared" si="1"/>
        <v>"C:\Program Files (x86)\AstroGrep\AstroGrep.exe" /e /r /s /spath="%USERPROFILE%\AppData\Local\Temp\OnboardLogs" /stypes="*4045*201706262*"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4045</v>
      </c>
      <c r="V8" s="31">
        <f t="shared" si="3"/>
        <v>42912.895567129628</v>
      </c>
      <c r="W8" s="45" t="str">
        <f t="shared" si="4"/>
        <v>EC</v>
      </c>
      <c r="X8" s="22">
        <f t="shared" si="5"/>
        <v>184</v>
      </c>
      <c r="Y8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arrival","project_id":79,"tracker_id":40,"status_id":1,"priority_id":2,"assigned_to_id":23,"start_date":"2017-06-26","description":"","custom_fields":[{"id":1,"name":"Subdivision","value":"EC"},{"id":4,"name":"Milepost","value":"2.735"},{"id":17,"name":"Train ID","value":"184-26"},{"id":16,"name":"Locomotive ID","value":"4045"},{"id":130,"name":"Impact","value":""},{"id":150,"name":"Time of Event (Mountain Time)","value":"15:29:37"},{"id":151,"name":"Denver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/c/Users/stu/AppData/Local/Temp/OnboardLogs/RTDC4045 --include="*4045*201706262*"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"%USERPROFILE%\AppData\Local\Temp\OnboardLogs"\RTDC4045\*4045*201706262* &gt;&gt; 2017-06-26-SliceDisagreementCheck.txt</v>
      </c>
      <c r="AE8" s="145" t="str">
        <f t="shared" ref="AE8:AE55" si="9">"start /low /b "&amp;dls3logs&amp;" --loco "&amp;U8&amp;" --day "&amp;TEXT(V8,"YYYY-MM-DD")</f>
        <v>start /low /b %USERPROFILE%\Documents\GitHub\eaglep3\Utilities\DownloadLogsFromS3.py --loco 4045 --day 2017-06-26</v>
      </c>
    </row>
    <row r="9" spans="1:32" s="1" customFormat="1" x14ac:dyDescent="0.25">
      <c r="A9" s="31">
        <v>42912.526423611111</v>
      </c>
      <c r="B9" s="30" t="s">
        <v>461</v>
      </c>
      <c r="C9" s="30" t="s">
        <v>635</v>
      </c>
      <c r="D9" s="30" t="s">
        <v>96</v>
      </c>
      <c r="E9" s="30" t="s">
        <v>187</v>
      </c>
      <c r="F9" s="42">
        <v>0</v>
      </c>
      <c r="G9" s="42">
        <v>214</v>
      </c>
      <c r="H9" s="42">
        <v>30849</v>
      </c>
      <c r="I9" s="42">
        <v>31113</v>
      </c>
      <c r="J9" s="30" t="s">
        <v>188</v>
      </c>
      <c r="K9" s="42">
        <v>30830</v>
      </c>
      <c r="L9" s="131" t="s">
        <v>50</v>
      </c>
      <c r="M9" s="132">
        <f t="shared" si="0"/>
        <v>-149.42400000000001</v>
      </c>
      <c r="N9" s="133" t="str">
        <f>VLOOKUP(C9,'Trips&amp;Operators'!$C$1:$G$99999,5,FALSE)</f>
        <v>SULLIVAN BRANDON</v>
      </c>
      <c r="O9" s="203" t="s">
        <v>180</v>
      </c>
      <c r="P9" s="134" t="s">
        <v>519</v>
      </c>
      <c r="Q9" s="30"/>
      <c r="R9" s="81" t="str">
        <f>VLOOKUP(C9,'Train Runs'!$A$13:$AE$9931,31,0)</f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S9" s="84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-26T11:24:05-0600',mode:absolute,to:'2017-06-26T14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9" s="86" t="str">
        <f t="shared" si="1"/>
        <v>"C:\Program Files (x86)\AstroGrep\AstroGrep.exe" /e /r /s /spath="%USERPROFILE%\AppData\Local\Temp\OnboardLogs" /stypes="*4004*201706261*" /stext=" 18:.+((SYSTEM_STATE.+slice.+state.+changed )|(ment ac)|(multiple cpu faults)|(system.+state.+changed )|(\[timeout)|(PRM\|1\|D)|(kpr)|(kdp)|(train st.+moving)|(\|lc)|(penalty))"</v>
      </c>
      <c r="U9" s="9" t="str">
        <f t="shared" si="2"/>
        <v>4004</v>
      </c>
      <c r="V9" s="31">
        <f t="shared" si="3"/>
        <v>42912.776423611111</v>
      </c>
      <c r="W9" s="45" t="str">
        <f t="shared" si="4"/>
        <v>EC</v>
      </c>
      <c r="X9" s="22">
        <f t="shared" si="5"/>
        <v>171</v>
      </c>
      <c r="Y9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arrival","project_id":79,"tracker_id":40,"status_id":1,"priority_id":2,"assigned_to_id":23,"start_date":"2017-06-26","description":"","custom_fields":[{"id":1,"name":"Subdivision","value":"EC"},{"id":4,"name":"Milepost","value":"3.083"},{"id":17,"name":"Train ID","value":"171-26"},{"id":16,"name":"Locomotive ID","value":"4004"},{"id":130,"name":"Impact","value":""},{"id":150,"name":"Time of Event (Mountain Time)","value":"12:38:03"},{"id":151,"name":"Denver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/c/Users/stu/AppData/Local/Temp/OnboardLogs/RTDC4004 --include="*4004*201706261*"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"%USERPROFILE%\AppData\Local\Temp\OnboardLogs"\RTDC4004\*4004*201706261* &gt;&gt; 2017-06-26-SliceDisagreementCheck.txt</v>
      </c>
      <c r="AE9" s="145" t="str">
        <f t="shared" si="9"/>
        <v>start /low /b %USERPROFILE%\Documents\GitHub\eaglep3\Utilities\DownloadLogsFromS3.py --loco 4004 --day 2017-06-26</v>
      </c>
    </row>
    <row r="10" spans="1:32" s="1" customFormat="1" x14ac:dyDescent="0.25">
      <c r="A10" s="31">
        <v>42912.259386574071</v>
      </c>
      <c r="B10" s="30" t="s">
        <v>618</v>
      </c>
      <c r="C10" s="30" t="s">
        <v>619</v>
      </c>
      <c r="D10" s="30" t="s">
        <v>49</v>
      </c>
      <c r="E10" s="30" t="s">
        <v>187</v>
      </c>
      <c r="F10" s="42">
        <v>0</v>
      </c>
      <c r="G10" s="42">
        <v>206</v>
      </c>
      <c r="H10" s="42">
        <v>31074</v>
      </c>
      <c r="I10" s="42">
        <v>30768</v>
      </c>
      <c r="J10" s="30" t="s">
        <v>188</v>
      </c>
      <c r="K10" s="42">
        <v>30970</v>
      </c>
      <c r="L10" s="131" t="s">
        <v>51</v>
      </c>
      <c r="M10" s="132">
        <f t="shared" si="0"/>
        <v>-106.65600000000001</v>
      </c>
      <c r="N10" s="133" t="str">
        <f>VLOOKUP(C10,'Trips&amp;Operators'!$C$1:$G$99999,5,FALSE)</f>
        <v>WILLIAMS DONTE</v>
      </c>
      <c r="O10" s="203" t="s">
        <v>180</v>
      </c>
      <c r="P10" s="134" t="s">
        <v>519</v>
      </c>
      <c r="Q10" s="30"/>
      <c r="R10" s="81" t="str">
        <f>VLOOKUP(C10,'Train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10" s="84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-26T04:38:27-0600',mode:absolute,to:'2017-06-26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 t="shared" si="1"/>
        <v>"C:\Program Files (x86)\AstroGrep\AstroGrep.exe" /e /r /s /spath="%USERPROFILE%\AppData\Local\Temp\OnboardLogs" /stypes="*4029*201706261*" /stext=" 12:.+((SYSTEM_STATE.+slice.+state.+changed )|(ment ac)|(multiple cpu faults)|(system.+state.+changed )|(\[timeout)|(PRM\|1\|D)|(kpr)|(kdp)|(train st.+moving)|(\|lc)|(penalty))"</v>
      </c>
      <c r="U10" s="9" t="str">
        <f t="shared" si="2"/>
        <v>4029</v>
      </c>
      <c r="V10" s="31">
        <f t="shared" si="3"/>
        <v>42912.509386574071</v>
      </c>
      <c r="W10" s="45" t="str">
        <f t="shared" si="4"/>
        <v>EC</v>
      </c>
      <c r="X10" s="22">
        <f t="shared" si="5"/>
        <v>110</v>
      </c>
      <c r="Y10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arrival","project_id":79,"tracker_id":40,"status_id":1,"priority_id":2,"assigned_to_id":23,"start_date":"2017-06-26","description":"","custom_fields":[{"id":1,"name":"Subdivision","value":"EC"},{"id":4,"name":"Milepost","value":"3.097"},{"id":17,"name":"Train ID","value":"110-26"},{"id":16,"name":"Locomotive ID","value":"4029"},{"id":130,"name":"Impact","value":""},{"id":150,"name":"Time of Event (Mountain Time)","value":"06:13:31"},{"id":151,"name":"Denver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/c/Users/stu/AppData/Local/Temp/OnboardLogs/RTDC4029 --include="*4029*201706261*"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10" s="145" t="str">
        <f t="shared" si="9"/>
        <v>start /low /b %USERPROFILE%\Documents\GitHub\eaglep3\Utilities\DownloadLogsFromS3.py --loco 4029 --day 2017-06-26</v>
      </c>
    </row>
    <row r="11" spans="1:32" s="1" customFormat="1" x14ac:dyDescent="0.25">
      <c r="A11" s="31">
        <v>42912.852013888885</v>
      </c>
      <c r="B11" s="30" t="s">
        <v>567</v>
      </c>
      <c r="C11" s="30" t="s">
        <v>649</v>
      </c>
      <c r="D11" s="30" t="s">
        <v>49</v>
      </c>
      <c r="E11" s="30" t="s">
        <v>187</v>
      </c>
      <c r="F11" s="42">
        <v>0</v>
      </c>
      <c r="G11" s="42">
        <v>212</v>
      </c>
      <c r="H11" s="42">
        <v>31060</v>
      </c>
      <c r="I11" s="42">
        <v>30884</v>
      </c>
      <c r="J11" s="30" t="s">
        <v>188</v>
      </c>
      <c r="K11" s="42">
        <v>30970</v>
      </c>
      <c r="L11" s="131" t="s">
        <v>51</v>
      </c>
      <c r="M11" s="132">
        <f t="shared" si="0"/>
        <v>-45.408000000000001</v>
      </c>
      <c r="N11" s="133" t="str">
        <f>VLOOKUP(C11,'Trips&amp;Operators'!$C$1:$G$99999,5,FALSE)</f>
        <v>PERKINS DARREN</v>
      </c>
      <c r="O11" s="203" t="s">
        <v>180</v>
      </c>
      <c r="P11" s="134" t="s">
        <v>519</v>
      </c>
      <c r="Q11" s="30"/>
      <c r="R11" s="81" t="str">
        <f>VLOOKUP(C11,'Train Runs'!$A$13:$AE$9931,31,0)</f>
        <v>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 &amp; 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</v>
      </c>
      <c r="S11" s="84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-26T18:47:35-0600',mode:absolute,to:'2017-06-26T21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86" t="str">
        <f t="shared" si="1"/>
        <v>"C:\Program Files (x86)\AstroGrep\AstroGrep.exe" /e /r /s /spath="%USERPROFILE%\AppData\Local\Temp\OnboardLogs" /stypes="*4015*201706270*"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4015</v>
      </c>
      <c r="V11" s="31">
        <f t="shared" si="3"/>
        <v>42913.102013888885</v>
      </c>
      <c r="W11" s="45" t="str">
        <f t="shared" si="4"/>
        <v>EC</v>
      </c>
      <c r="X11" s="22">
        <f t="shared" si="5"/>
        <v>222</v>
      </c>
      <c r="Y11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arrival","project_id":79,"tracker_id":40,"status_id":1,"priority_id":2,"assigned_to_id":23,"start_date":"2017-06-26","description":"","custom_fields":[{"id":1,"name":"Subdivision","value":"EC"},{"id":4,"name":"Milepost","value":"3.097"},{"id":17,"name":"Train ID","value":"222-26"},{"id":16,"name":"Locomotive ID","value":"4015"},{"id":130,"name":"Impact","value":""},{"id":150,"name":"Time of Event (Mountain Time)","value":"20:26:54"},{"id":151,"name":"Denver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/c/Users/stu/AppData/Local/Temp/OnboardLogs/RTDC4015 --include="*4015*201706270*"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"%USERPROFILE%\AppData\Local\Temp\OnboardLogs"\RTDC4015\*4015*201706270* &gt;&gt; 2017-06-26-SliceDisagreementCheck.txt</v>
      </c>
      <c r="AE11" s="145" t="str">
        <f t="shared" si="9"/>
        <v>start /low /b %USERPROFILE%\Documents\GitHub\eaglep3\Utilities\DownloadLogsFromS3.py --loco 4015 --day 2017-06-27</v>
      </c>
    </row>
    <row r="12" spans="1:32" s="1" customFormat="1" x14ac:dyDescent="0.25">
      <c r="A12" s="31">
        <v>42912.445497685185</v>
      </c>
      <c r="B12" s="30" t="s">
        <v>628</v>
      </c>
      <c r="C12" s="30" t="s">
        <v>629</v>
      </c>
      <c r="D12" s="30" t="s">
        <v>49</v>
      </c>
      <c r="E12" s="30" t="s">
        <v>187</v>
      </c>
      <c r="F12" s="42">
        <v>240</v>
      </c>
      <c r="G12" s="42">
        <v>367</v>
      </c>
      <c r="H12" s="42">
        <v>35735</v>
      </c>
      <c r="I12" s="42">
        <v>34698</v>
      </c>
      <c r="J12" s="30" t="s">
        <v>188</v>
      </c>
      <c r="K12" s="42">
        <v>33257</v>
      </c>
      <c r="L12" s="131" t="s">
        <v>51</v>
      </c>
      <c r="M12" s="132">
        <f t="shared" si="0"/>
        <v>760.84799999999996</v>
      </c>
      <c r="N12" s="133" t="str">
        <f>VLOOKUP(C12,'Trips&amp;Operators'!$C$1:$G$99999,5,FALSE)</f>
        <v>MAYBERRY BILL</v>
      </c>
      <c r="O12" s="203" t="s">
        <v>180</v>
      </c>
      <c r="P12" s="134" t="s">
        <v>519</v>
      </c>
      <c r="Q12" s="30"/>
      <c r="R12" s="81" t="str">
        <f>VLOOKUP(C12,'Train Runs'!$A$13:$AE$9931,31,0)</f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S12" s="84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-26T09:07:38-0600',mode:absolute,to:'2017-06-26T11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6" t="str">
        <f t="shared" si="1"/>
        <v>"C:\Program Files (x86)\AstroGrep\AstroGrep.exe" /e /r /s /spath="%USERPROFILE%\AppData\Local\Temp\OnboardLogs" /stypes="*4055*201706261*"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42912.695497685185</v>
      </c>
      <c r="W12" s="45" t="str">
        <f t="shared" si="4"/>
        <v>EC</v>
      </c>
      <c r="X12" s="22">
        <f t="shared" si="5"/>
        <v>146</v>
      </c>
      <c r="Y12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arrival","project_id":79,"tracker_id":40,"status_id":1,"priority_id":2,"assigned_to_id":23,"start_date":"2017-06-26","description":"","custom_fields":[{"id":1,"name":"Subdivision","value":"EC"},{"id":4,"name":"Milepost","value":"3.3257"},{"id":17,"name":"Train ID","value":"146-26"},{"id":16,"name":"Locomotive ID","value":"4055"},{"id":130,"name":"Impact","value":""},{"id":150,"name":"Time of Event (Mountain Time)","value":"10:41:31"},{"id":151,"name":"Denver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/c/Users/stu/AppData/Local/Temp/OnboardLogs/RTDC4055 --include="*4055*201706261*"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"%USERPROFILE%\AppData\Local\Temp\OnboardLogs"\RTDC4055\*4055*201706261* &gt;&gt; 2017-06-26-SliceDisagreementCheck.txt</v>
      </c>
      <c r="AE12" s="145" t="str">
        <f t="shared" si="9"/>
        <v>start /low /b %USERPROFILE%\Documents\GitHub\eaglep3\Utilities\DownloadLogsFromS3.py --loco 4055 --day 2017-06-26</v>
      </c>
    </row>
    <row r="13" spans="1:32" s="1" customFormat="1" x14ac:dyDescent="0.25">
      <c r="A13" s="31">
        <v>42912.454722222225</v>
      </c>
      <c r="B13" s="30" t="s">
        <v>630</v>
      </c>
      <c r="C13" s="30" t="s">
        <v>631</v>
      </c>
      <c r="D13" s="30" t="s">
        <v>49</v>
      </c>
      <c r="E13" s="30" t="s">
        <v>187</v>
      </c>
      <c r="F13" s="42">
        <v>280</v>
      </c>
      <c r="G13" s="42">
        <v>489</v>
      </c>
      <c r="H13" s="42">
        <v>44365</v>
      </c>
      <c r="I13" s="42">
        <v>42886</v>
      </c>
      <c r="J13" s="30" t="s">
        <v>188</v>
      </c>
      <c r="K13" s="42">
        <v>42961</v>
      </c>
      <c r="L13" s="131" t="s">
        <v>51</v>
      </c>
      <c r="M13" s="132">
        <f t="shared" si="0"/>
        <v>-39.6</v>
      </c>
      <c r="N13" s="133" t="str">
        <f>VLOOKUP(C13,'Trips&amp;Operators'!$C$1:$G$99999,5,FALSE)</f>
        <v>STARKS ANGELINA</v>
      </c>
      <c r="O13" s="203" t="s">
        <v>180</v>
      </c>
      <c r="P13" s="134" t="s">
        <v>519</v>
      </c>
      <c r="Q13" s="30"/>
      <c r="R13" s="81" t="str">
        <f>VLOOKUP(C13,'Train Runs'!$A$13:$AE$9931,31,0)</f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S13" s="84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-26T09:23:43-0600',mode:absolute,to:'2017-06-26T12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6" t="str">
        <f t="shared" si="1"/>
        <v>"C:\Program Files (x86)\AstroGrep\AstroGrep.exe" /e /r /s /spath="%USERPROFILE%\AppData\Local\Temp\OnboardLogs" /stypes="*4053*201706261*"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4053</v>
      </c>
      <c r="V13" s="31">
        <f t="shared" si="3"/>
        <v>42912.704722222225</v>
      </c>
      <c r="W13" s="45" t="str">
        <f t="shared" si="4"/>
        <v>EC</v>
      </c>
      <c r="X13" s="22">
        <f t="shared" si="5"/>
        <v>148</v>
      </c>
      <c r="Y13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arrival","project_id":79,"tracker_id":40,"status_id":1,"priority_id":2,"assigned_to_id":23,"start_date":"2017-06-26","description":"","custom_fields":[{"id":1,"name":"Subdivision","value":"EC"},{"id":4,"name":"Milepost","value":"4.2961"},{"id":17,"name":"Train ID","value":"148-26"},{"id":16,"name":"Locomotive ID","value":"4053"},{"id":130,"name":"Impact","value":""},{"id":150,"name":"Time of Event (Mountain Time)","value":"10:54:48"},{"id":151,"name":"Denver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/c/Users/stu/AppData/Local/Temp/OnboardLogs/RTDC4053 --include="*4053*201706261*"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"%USERPROFILE%\AppData\Local\Temp\OnboardLogs"\RTDC4053\*4053*201706261* &gt;&gt; 2017-06-26-SliceDisagreementCheck.txt</v>
      </c>
      <c r="AE13" s="145" t="str">
        <f t="shared" si="9"/>
        <v>start /low /b %USERPROFILE%\Documents\GitHub\eaglep3\Utilities\DownloadLogsFromS3.py --loco 4053 --day 2017-06-26</v>
      </c>
    </row>
    <row r="14" spans="1:32" x14ac:dyDescent="0.25">
      <c r="A14" s="31">
        <v>42912.787557870368</v>
      </c>
      <c r="B14" s="30" t="s">
        <v>440</v>
      </c>
      <c r="C14" s="30" t="s">
        <v>648</v>
      </c>
      <c r="D14" s="30" t="s">
        <v>49</v>
      </c>
      <c r="E14" s="30" t="s">
        <v>187</v>
      </c>
      <c r="F14" s="42">
        <v>530</v>
      </c>
      <c r="G14" s="42">
        <v>590</v>
      </c>
      <c r="H14" s="42">
        <v>49378</v>
      </c>
      <c r="I14" s="42">
        <v>47029</v>
      </c>
      <c r="J14" s="30" t="s">
        <v>188</v>
      </c>
      <c r="K14" s="42">
        <v>48048</v>
      </c>
      <c r="L14" s="131" t="s">
        <v>51</v>
      </c>
      <c r="M14" s="132">
        <f t="shared" si="0"/>
        <v>-538.03200000000004</v>
      </c>
      <c r="N14" s="133" t="str">
        <f>VLOOKUP(C14,'Trips&amp;Operators'!$C$1:$G$99999,5,FALSE)</f>
        <v>BRANDNER MELINDA</v>
      </c>
      <c r="O14" s="203" t="s">
        <v>180</v>
      </c>
      <c r="P14" s="134" t="s">
        <v>519</v>
      </c>
      <c r="Q14" s="30"/>
      <c r="R14" s="81" t="str">
        <f>VLOOKUP(C14,'Train Runs'!$A$13:$AE$9931,31,0)</f>
        <v>aws s3 cp s3://rtdc.mdm.uploadarchive.raw/RTDC4045/ "%USERPROFILE%\AppData\Local\Temp\OnboardLogs"\RTDC4045\2017-06-26 --exclude "*" --recursive --include "*20170626*" &amp; "%USERPROFILE%\Documents\GitHub\mrs-test-scripts\Headless Mode &amp; Sideloading\WalkAndUnGZ.bat" "%USERPROFILE%\AppData\Local\Temp\OnboardLogs"\RTDC4045\2017-06-26 &amp; 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</v>
      </c>
      <c r="S14" s="84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-26T17:24:11-0600',mode:absolute,to:'2017-06-26T20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86" t="str">
        <f t="shared" si="1"/>
        <v>"C:\Program Files (x86)\AstroGrep\AstroGrep.exe" /e /r /s /spath="%USERPROFILE%\AppData\Local\Temp\OnboardLogs" /stypes="*4045*201706270*"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4045</v>
      </c>
      <c r="V14" s="31">
        <f t="shared" si="3"/>
        <v>42913.037557870368</v>
      </c>
      <c r="W14" s="45" t="str">
        <f t="shared" si="4"/>
        <v>EC</v>
      </c>
      <c r="X14" s="22">
        <f t="shared" si="5"/>
        <v>212</v>
      </c>
      <c r="Y14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arrival","project_id":79,"tracker_id":40,"status_id":1,"priority_id":2,"assigned_to_id":23,"start_date":"2017-06-26","description":"","custom_fields":[{"id":1,"name":"Subdivision","value":"EC"},{"id":4,"name":"Milepost","value":"4.8048"},{"id":17,"name":"Train ID","value":"212-26"},{"id":16,"name":"Locomotive ID","value":"4045"},{"id":130,"name":"Impact","value":""},{"id":150,"name":"Time of Event (Mountain Time)","value":"18:54:05"},{"id":151,"name":"Denver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/c/Users/stu/AppData/Local/Temp/OnboardLogs/RTDC4045 --include="*4045*201706270*"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"%USERPROFILE%\AppData\Local\Temp\OnboardLogs"\RTDC4045\*4045*201706270* &gt;&gt; 2017-06-26-SliceDisagreementCheck.txt</v>
      </c>
      <c r="AE14" s="145" t="str">
        <f t="shared" si="9"/>
        <v>start /low /b %USERPROFILE%\Documents\GitHub\eaglep3\Utilities\DownloadLogsFromS3.py --loco 4045 --day 2017-06-27</v>
      </c>
      <c r="AF14" s="1"/>
    </row>
    <row r="15" spans="1:32" x14ac:dyDescent="0.25">
      <c r="A15" s="31">
        <v>42912.321527777778</v>
      </c>
      <c r="B15" s="30" t="s">
        <v>420</v>
      </c>
      <c r="C15" s="30" t="s">
        <v>622</v>
      </c>
      <c r="D15" s="30" t="s">
        <v>49</v>
      </c>
      <c r="E15" s="30" t="s">
        <v>187</v>
      </c>
      <c r="F15" s="42">
        <v>0</v>
      </c>
      <c r="G15" s="42">
        <v>543</v>
      </c>
      <c r="H15" s="42">
        <v>55837</v>
      </c>
      <c r="I15" s="42">
        <v>58009</v>
      </c>
      <c r="J15" s="30" t="s">
        <v>188</v>
      </c>
      <c r="K15" s="42">
        <v>58118</v>
      </c>
      <c r="L15" s="131" t="s">
        <v>50</v>
      </c>
      <c r="M15" s="132">
        <f t="shared" si="0"/>
        <v>57.552</v>
      </c>
      <c r="N15" s="133" t="str">
        <f>VLOOKUP(C15,'Trips&amp;Operators'!$C$1:$G$99999,5,FALSE)</f>
        <v>MACDONALD THOMAS</v>
      </c>
      <c r="O15" s="203" t="s">
        <v>180</v>
      </c>
      <c r="P15" s="134" t="s">
        <v>519</v>
      </c>
      <c r="Q15" s="30"/>
      <c r="R15" s="81" t="str">
        <f>VLOOKUP(C15,'Train Runs'!$A$13:$AE$9931,31,0)</f>
        <v>aws s3 cp s3://rtdc.mdm.uploadarchive.raw/RTDC4020/ "%USERPROFILE%\AppData\Local\Temp\OnboardLogs"\RTDC4020\2017-06-26 --exclude "*" --recursive --include "*20170626*" &amp; "%USERPROFILE%\Documents\GitHub\mrs-test-scripts\Headless Mode &amp; Sideloading\WalkAndUnGZ.bat" "%USERPROFILE%\AppData\Local\Temp\OnboardLogs"\RTDC4020\2017-06-26 &amp; 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</v>
      </c>
      <c r="S15" s="84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-26T06:23:55-0600',mode:absolute,to:'2017-06-26T09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5" s="86" t="str">
        <f t="shared" si="1"/>
        <v>"C:\Program Files (x86)\AstroGrep\AstroGrep.exe" /e /r /s /spath="%USERPROFILE%\AppData\Local\Temp\OnboardLogs" /stypes="*4020*201706261*"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4020</v>
      </c>
      <c r="V15" s="31">
        <f t="shared" si="3"/>
        <v>42912.571527777778</v>
      </c>
      <c r="W15" s="45" t="str">
        <f t="shared" si="4"/>
        <v>EC</v>
      </c>
      <c r="X15" s="22">
        <f t="shared" si="5"/>
        <v>131</v>
      </c>
      <c r="Y15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arrival","project_id":79,"tracker_id":40,"status_id":1,"priority_id":2,"assigned_to_id":23,"start_date":"2017-06-26","description":"","custom_fields":[{"id":1,"name":"Subdivision","value":"EC"},{"id":4,"name":"Milepost","value":"5.8118"},{"id":17,"name":"Train ID","value":"131-26"},{"id":16,"name":"Locomotive ID","value":"4020"},{"id":130,"name":"Impact","value":""},{"id":150,"name":"Time of Event (Mountain Time)","value":"07:43:00"},{"id":151,"name":"Denver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/c/Users/stu/AppData/Local/Temp/OnboardLogs/RTDC4020 --include="*4020*201706261*"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"%USERPROFILE%\AppData\Local\Temp\OnboardLogs"\RTDC4020\*4020*201706261* &gt;&gt; 2017-06-26-SliceDisagreementCheck.txt</v>
      </c>
      <c r="AE15" s="145" t="str">
        <f t="shared" si="9"/>
        <v>start /low /b %USERPROFILE%\Documents\GitHub\eaglep3\Utilities\DownloadLogsFromS3.py --loco 4020 --day 2017-06-26</v>
      </c>
      <c r="AF15" s="1"/>
    </row>
    <row r="16" spans="1:32" x14ac:dyDescent="0.25">
      <c r="A16" s="31">
        <v>42912.510347222225</v>
      </c>
      <c r="B16" s="30" t="s">
        <v>628</v>
      </c>
      <c r="C16" s="30" t="s">
        <v>634</v>
      </c>
      <c r="D16" s="30" t="s">
        <v>49</v>
      </c>
      <c r="E16" s="30" t="s">
        <v>187</v>
      </c>
      <c r="F16" s="42">
        <v>0</v>
      </c>
      <c r="G16" s="42">
        <v>321</v>
      </c>
      <c r="H16" s="42">
        <v>109299</v>
      </c>
      <c r="I16" s="42">
        <v>108670</v>
      </c>
      <c r="J16" s="30" t="s">
        <v>188</v>
      </c>
      <c r="K16" s="42">
        <v>109135</v>
      </c>
      <c r="L16" s="131" t="s">
        <v>51</v>
      </c>
      <c r="M16" s="132">
        <f t="shared" si="0"/>
        <v>-245.52</v>
      </c>
      <c r="N16" s="133" t="str">
        <f>VLOOKUP(C16,'Trips&amp;Operators'!$C$1:$G$99999,5,FALSE)</f>
        <v>MACDONALD THOMAS</v>
      </c>
      <c r="O16" s="203" t="s">
        <v>180</v>
      </c>
      <c r="P16" s="134" t="s">
        <v>519</v>
      </c>
      <c r="Q16" s="30"/>
      <c r="R16" s="81" t="str">
        <f>VLOOKUP(C16,'Train Runs'!$A$13:$AE$9931,31,0)</f>
        <v>aws s3 cp s3://rtdc.mdm.uploadarchive.raw/RTDC4055/ "%USERPROFILE%\AppData\Local\Temp\OnboardLogs"\RTDC4055\2017-06-26 --exclude "*" --recursive --include "*20170626*" &amp; "%USERPROFILE%\Documents\GitHub\mrs-test-scripts\Headless Mode &amp; Sideloading\WalkAndUnGZ.bat" "%USERPROFILE%\AppData\Local\Temp\OnboardLogs"\RTDC4055\2017-06-26 &amp; 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</v>
      </c>
      <c r="S16" s="84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-26T10:49:22-0600',mode:absolute,to:'2017-06-26T13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6" s="86" t="str">
        <f t="shared" si="1"/>
        <v>"C:\Program Files (x86)\AstroGrep\AstroGrep.exe" /e /r /s /spath="%USERPROFILE%\AppData\Local\Temp\OnboardLogs" /stypes="*4055*201706261*"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4055</v>
      </c>
      <c r="V16" s="31">
        <f t="shared" si="3"/>
        <v>42912.760347222225</v>
      </c>
      <c r="W16" s="45" t="str">
        <f t="shared" si="4"/>
        <v>EC</v>
      </c>
      <c r="X16" s="22">
        <f t="shared" si="5"/>
        <v>160</v>
      </c>
      <c r="Y16" s="96" t="str">
        <f t="shared" si="6"/>
        <v>echo {"issue":{"subject":"Early arrival","project_id":79,"tracker_id":40,"status_id":1,"priority_id":2,"assigned_to_id":23,"start_date":"2017-06-26","description":"","custom_fields":[{"id":1,"name":"Subdivision","value":"EC"},{"id":4,"name":"Milepost","value":"10.9135"},{"id":17,"name":"Train ID","value":"160-26"},{"id":16,"name":"Locomotive ID","value":"4055"},{"id":130,"name":"Impact","value":""},{"id":150,"name":"Time of Event (Mountain Time)","value":"12:14:54"},{"id":151,"name":"Denver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/c/Users/stu/AppData/Local/Temp/OnboardLogs/RTDC4055 --include="*4055*201706261*"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"%USERPROFILE%\AppData\Local\Temp\OnboardLogs"\RTDC4055\*4055*201706261* &gt;&gt; 2017-06-26-SliceDisagreementCheck.txt</v>
      </c>
      <c r="AE16" s="145" t="str">
        <f t="shared" si="9"/>
        <v>start /low /b %USERPROFILE%\Documents\GitHub\eaglep3\Utilities\DownloadLogsFromS3.py --loco 4055 --day 2017-06-26</v>
      </c>
      <c r="AF16" s="1"/>
    </row>
    <row r="17" spans="1:32" x14ac:dyDescent="0.25">
      <c r="A17" s="31">
        <v>42912.961157407408</v>
      </c>
      <c r="B17" s="30" t="s">
        <v>655</v>
      </c>
      <c r="C17" s="30" t="s">
        <v>656</v>
      </c>
      <c r="D17" s="30" t="s">
        <v>49</v>
      </c>
      <c r="E17" s="30" t="s">
        <v>200</v>
      </c>
      <c r="F17" s="42">
        <v>400</v>
      </c>
      <c r="G17" s="42">
        <v>467</v>
      </c>
      <c r="H17" s="42">
        <v>16776</v>
      </c>
      <c r="I17" s="42">
        <v>17816</v>
      </c>
      <c r="J17" s="30" t="s">
        <v>201</v>
      </c>
      <c r="K17" s="42">
        <v>17867</v>
      </c>
      <c r="L17" s="131" t="s">
        <v>50</v>
      </c>
      <c r="M17" s="132">
        <f t="shared" si="0"/>
        <v>26.928000000000001</v>
      </c>
      <c r="N17" s="133" t="str">
        <f>VLOOKUP(C17,'Trips&amp;Operators'!$C$1:$G$99999,5,FALSE)</f>
        <v>PERKINS DARREN</v>
      </c>
      <c r="O17" s="203" t="s">
        <v>180</v>
      </c>
      <c r="P17" s="134"/>
      <c r="Q17" s="30"/>
      <c r="R17" s="81" t="str">
        <f>VLOOKUP(C17,'Train Runs'!$A$13:$AE$9931,31,0)</f>
        <v>aws s3 cp s3://rtdc.mdm.uploadarchive.raw/RTDC4016/ "%USERPROFILE%\AppData\Local\Temp\OnboardLogs"\RTDC4016\2017-06-26 --exclude "*" --recursive --include "*20170626*" &amp; "%USERPROFILE%\Documents\GitHub\mrs-test-scripts\Headless Mode &amp; Sideloading\WalkAndUnGZ.bat" "%USERPROFILE%\AppData\Local\Temp\OnboardLogs"\RTDC4016\2017-06-26 &amp; 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</v>
      </c>
      <c r="S17" s="84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-26T21:38:57-0600',mode:absolute,to:'2017-06-27T00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7" s="86" t="str">
        <f t="shared" si="1"/>
        <v>"C:\Program Files (x86)\AstroGrep\AstroGrep.exe" /e /r /s /spath="%USERPROFILE%\AppData\Local\Temp\OnboardLogs" /stypes="*4016*201706270*" /stext=" 05:.+((SYSTEM_STATE.+slice.+state.+changed )|(ment ac)|(multiple cpu faults)|(system.+state.+changed )|(\[timeout)|(PRM\|1\|D)|(kpr)|(kdp)|(train st.+moving)|(\|lc)|(penalty))"</v>
      </c>
      <c r="U17" s="9" t="str">
        <f t="shared" si="2"/>
        <v>4016</v>
      </c>
      <c r="V17" s="31">
        <f t="shared" si="3"/>
        <v>42913.211157407408</v>
      </c>
      <c r="W17" s="45" t="str">
        <f t="shared" si="4"/>
        <v>EC</v>
      </c>
      <c r="X17" s="22">
        <f t="shared" si="5"/>
        <v>237</v>
      </c>
      <c r="Y17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{"issue":{"subject":"","project_id":79,"tracker_id":40,"status_id":1,"priority_id":2,"assigned_to_id":23,"start_date":"2017-06-26","description":"","custom_fields":[{"id":1,"name":"Subdivision","value":"EC"},{"id":4,"name":"Milepost","value":"1.7867"},{"id":17,"name":"Train ID","value":"237-26"},{"id":16,"name":"Locomotive ID","value":"4016"},{"id":130,"name":"Impact","value":""},{"id":150,"name":"Time of Event (Mountain Time)","value":"23:04:04"},{"id":151,"name":"Denver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/c/Users/stu/AppData/Local/Temp/OnboardLogs/RTDC4016 --include="*4016*201706270*"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"%USERPROFILE%\AppData\Local\Temp\OnboardLogs"\RTDC4016\*4016*201706270* &gt;&gt; 2017-06-26-SliceDisagreementCheck.txt</v>
      </c>
      <c r="AE17" s="145" t="str">
        <f t="shared" si="9"/>
        <v>start /low /b %USERPROFILE%\Documents\GitHub\eaglep3\Utilities\DownloadLogsFromS3.py --loco 4016 --day 2017-06-27</v>
      </c>
      <c r="AF17" s="1"/>
    </row>
    <row r="18" spans="1:32" x14ac:dyDescent="0.25">
      <c r="A18" s="31">
        <v>42912.292430555557</v>
      </c>
      <c r="B18" s="30" t="s">
        <v>620</v>
      </c>
      <c r="C18" s="30" t="s">
        <v>621</v>
      </c>
      <c r="D18" s="30" t="s">
        <v>96</v>
      </c>
      <c r="E18" s="30" t="s">
        <v>200</v>
      </c>
      <c r="F18" s="42">
        <v>700</v>
      </c>
      <c r="G18" s="42">
        <v>750</v>
      </c>
      <c r="H18" s="42">
        <v>170156</v>
      </c>
      <c r="I18" s="42">
        <v>173769</v>
      </c>
      <c r="J18" s="30" t="s">
        <v>201</v>
      </c>
      <c r="K18" s="42">
        <v>161962</v>
      </c>
      <c r="L18" s="131" t="s">
        <v>50</v>
      </c>
      <c r="M18" s="132">
        <f t="shared" si="0"/>
        <v>-6234.0959999999995</v>
      </c>
      <c r="N18" s="133" t="str">
        <f>VLOOKUP(C18,'Trips&amp;Operators'!$C$1:$G$99999,5,FALSE)</f>
        <v>WILLIAMS DONTE</v>
      </c>
      <c r="O18" s="203" t="s">
        <v>180</v>
      </c>
      <c r="P18" s="134"/>
      <c r="Q18" s="30"/>
      <c r="R18" s="81" t="str">
        <f>VLOOKUP(C18,'Train Runs'!$A$13:$AE$9931,31,0)</f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S18" s="84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-26T05:26:52-0600',mode:absolute,to:'2017-06-26T08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86" t="str">
        <f t="shared" si="1"/>
        <v>"C:\Program Files (x86)\AstroGrep\AstroGrep.exe" /e /r /s /spath="%USERPROFILE%\AppData\Local\Temp\OnboardLogs" /stypes="*4030*201706261*"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4030</v>
      </c>
      <c r="V18" s="31">
        <f t="shared" si="3"/>
        <v>42912.542430555557</v>
      </c>
      <c r="W18" s="45" t="str">
        <f t="shared" si="4"/>
        <v>EC</v>
      </c>
      <c r="X18" s="22">
        <f t="shared" si="5"/>
        <v>123</v>
      </c>
      <c r="Y18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{"issue":{"subject":"","project_id":79,"tracker_id":40,"status_id":1,"priority_id":2,"assigned_to_id":23,"start_date":"2017-06-26","description":"","custom_fields":[{"id":1,"name":"Subdivision","value":"EC"},{"id":4,"name":"Milepost","value":"16.1962"},{"id":17,"name":"Train ID","value":"123-26"},{"id":16,"name":"Locomotive ID","value":"4030"},{"id":130,"name":"Impact","value":""},{"id":150,"name":"Time of Event (Mountain Time)","value":"07:01:06"},{"id":151,"name":"Denver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/c/Users/stu/AppData/Local/Temp/OnboardLogs/RTDC4030 --include="*4030*201706261*"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"%USERPROFILE%\AppData\Local\Temp\OnboardLogs"\RTDC4030\*4030*201706261* &gt;&gt; 2017-06-26-SliceDisagreementCheck.txt</v>
      </c>
      <c r="AE18" s="145" t="str">
        <f t="shared" si="9"/>
        <v>start /low /b %USERPROFILE%\Documents\GitHub\eaglep3\Utilities\DownloadLogsFromS3.py --loco 4030 --day 2017-06-26</v>
      </c>
      <c r="AF18" s="1"/>
    </row>
    <row r="19" spans="1:32" x14ac:dyDescent="0.25">
      <c r="A19" s="31">
        <v>42912.493020833332</v>
      </c>
      <c r="B19" s="30" t="s">
        <v>460</v>
      </c>
      <c r="C19" s="30" t="s">
        <v>633</v>
      </c>
      <c r="D19" s="30" t="s">
        <v>96</v>
      </c>
      <c r="E19" s="30" t="s">
        <v>200</v>
      </c>
      <c r="F19" s="42">
        <v>600</v>
      </c>
      <c r="G19" s="42">
        <v>653</v>
      </c>
      <c r="H19" s="42">
        <v>184358</v>
      </c>
      <c r="I19" s="42">
        <v>181357</v>
      </c>
      <c r="J19" s="30" t="s">
        <v>201</v>
      </c>
      <c r="K19" s="42">
        <v>190834</v>
      </c>
      <c r="L19" s="131" t="s">
        <v>51</v>
      </c>
      <c r="M19" s="132">
        <f t="shared" si="0"/>
        <v>-5003.8559999999998</v>
      </c>
      <c r="N19" s="133" t="str">
        <f>VLOOKUP(C19,'Trips&amp;Operators'!$C$1:$G$99999,5,FALSE)</f>
        <v>SULLIVAN BRANDON</v>
      </c>
      <c r="O19" s="203" t="s">
        <v>180</v>
      </c>
      <c r="P19" s="134"/>
      <c r="Q19" s="30"/>
      <c r="R19" s="81" t="str">
        <f>VLOOKUP(C19,'Train Runs'!$A$13:$AE$9931,31,0)</f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S19" s="84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-26T10:35:06-0600',mode:absolute,to:'2017-06-26T13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86" t="str">
        <f t="shared" si="1"/>
        <v>"C:\Program Files (x86)\AstroGrep\AstroGrep.exe" /e /r /s /spath="%USERPROFILE%\AppData\Local\Temp\OnboardLogs" /stypes="*4003*201706261*"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4003</v>
      </c>
      <c r="V19" s="31">
        <f t="shared" si="3"/>
        <v>42912.743020833332</v>
      </c>
      <c r="W19" s="45" t="str">
        <f t="shared" si="4"/>
        <v>EC</v>
      </c>
      <c r="X19" s="22">
        <f t="shared" si="5"/>
        <v>158</v>
      </c>
      <c r="Y19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{"issue":{"subject":"","project_id":79,"tracker_id":40,"status_id":1,"priority_id":2,"assigned_to_id":23,"start_date":"2017-06-26","description":"","custom_fields":[{"id":1,"name":"Subdivision","value":"EC"},{"id":4,"name":"Milepost","value":"19.0834"},{"id":17,"name":"Train ID","value":"158-26"},{"id":16,"name":"Locomotive ID","value":"4003"},{"id":130,"name":"Impact","value":""},{"id":150,"name":"Time of Event (Mountain Time)","value":"11:49:57"},{"id":151,"name":"Denver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/c/Users/stu/AppData/Local/Temp/OnboardLogs/RTDC4003 --include="*4003*201706261*"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"%USERPROFILE%\AppData\Local\Temp\OnboardLogs"\RTDC4003\*4003*201706261* &gt;&gt; 2017-06-26-SliceDisagreementCheck.txt</v>
      </c>
      <c r="AE19" s="145" t="str">
        <f t="shared" si="9"/>
        <v>start /low /b %USERPROFILE%\Documents\GitHub\eaglep3\Utilities\DownloadLogsFromS3.py --loco 4003 --day 2017-06-26</v>
      </c>
      <c r="AF19" s="1"/>
    </row>
    <row r="20" spans="1:32" x14ac:dyDescent="0.25">
      <c r="A20" s="31">
        <v>42912.574479166666</v>
      </c>
      <c r="B20" s="30" t="s">
        <v>374</v>
      </c>
      <c r="C20" s="30" t="s">
        <v>638</v>
      </c>
      <c r="D20" s="30" t="s">
        <v>49</v>
      </c>
      <c r="E20" s="30" t="s">
        <v>200</v>
      </c>
      <c r="F20" s="42">
        <v>550</v>
      </c>
      <c r="G20" s="42">
        <v>778</v>
      </c>
      <c r="H20" s="42">
        <v>217038</v>
      </c>
      <c r="I20" s="42">
        <v>220852</v>
      </c>
      <c r="J20" s="30" t="s">
        <v>201</v>
      </c>
      <c r="K20" s="42">
        <v>222090</v>
      </c>
      <c r="L20" s="131" t="s">
        <v>50</v>
      </c>
      <c r="M20" s="132">
        <f t="shared" si="0"/>
        <v>653.66399999999999</v>
      </c>
      <c r="N20" s="133" t="str">
        <f>VLOOKUP(C20,'Trips&amp;Operators'!$C$1:$G$99999,5,FALSE)</f>
        <v>ROMERO CHAD</v>
      </c>
      <c r="O20" s="203" t="s">
        <v>180</v>
      </c>
      <c r="P20" s="134"/>
      <c r="Q20" s="30"/>
      <c r="R20" s="81" t="str">
        <f>VLOOKUP(C20,'Train Runs'!$A$13:$AE$9931,31,0)</f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S20" s="84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-26T12:09:36-0600',mode:absolute,to:'2017-06-26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0" s="86" t="str">
        <f t="shared" si="1"/>
        <v>"C:\Program Files (x86)\AstroGrep\AstroGrep.exe" /e /r /s /spath="%USERPROFILE%\AppData\Local\Temp\OnboardLogs" /stypes="*4014*201706261*"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4014</v>
      </c>
      <c r="V20" s="31">
        <f t="shared" si="3"/>
        <v>42912.824479166666</v>
      </c>
      <c r="W20" s="45" t="str">
        <f t="shared" si="4"/>
        <v>EC</v>
      </c>
      <c r="X20" s="22">
        <f t="shared" si="5"/>
        <v>177</v>
      </c>
      <c r="Y20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{"issue":{"subject":"","project_id":79,"tracker_id":40,"status_id":1,"priority_id":2,"assigned_to_id":23,"start_date":"2017-06-26","description":"","custom_fields":[{"id":1,"name":"Subdivision","value":"EC"},{"id":4,"name":"Milepost","value":"22.209"},{"id":17,"name":"Train ID","value":"177-26"},{"id":16,"name":"Locomotive ID","value":"4014"},{"id":130,"name":"Impact","value":""},{"id":150,"name":"Time of Event (Mountain Time)","value":"13:47:15"},{"id":151,"name":"Denver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/c/Users/stu/AppData/Local/Temp/OnboardLogs/RTDC4014 --include="*4014*201706261*"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"%USERPROFILE%\AppData\Local\Temp\OnboardLogs"\RTDC4014\*4014*201706261* &gt;&gt; 2017-06-26-SliceDisagreementCheck.txt</v>
      </c>
      <c r="AE20" s="145" t="str">
        <f t="shared" si="9"/>
        <v>start /low /b %USERPROFILE%\Documents\GitHub\eaglep3\Utilities\DownloadLogsFromS3.py --loco 4014 --day 2017-06-26</v>
      </c>
      <c r="AF20" s="1"/>
    </row>
    <row r="21" spans="1:32" x14ac:dyDescent="0.25">
      <c r="A21" s="31">
        <v>42912.354120370372</v>
      </c>
      <c r="B21" s="30" t="s">
        <v>418</v>
      </c>
      <c r="C21" s="30" t="s">
        <v>624</v>
      </c>
      <c r="D21" s="30" t="s">
        <v>96</v>
      </c>
      <c r="E21" s="30" t="s">
        <v>200</v>
      </c>
      <c r="F21" s="42">
        <v>350</v>
      </c>
      <c r="G21" s="42">
        <v>404</v>
      </c>
      <c r="H21" s="42">
        <v>224719</v>
      </c>
      <c r="I21" s="42">
        <v>223414</v>
      </c>
      <c r="J21" s="30" t="s">
        <v>201</v>
      </c>
      <c r="K21" s="42">
        <v>232107</v>
      </c>
      <c r="L21" s="131" t="s">
        <v>51</v>
      </c>
      <c r="M21" s="132">
        <f t="shared" si="0"/>
        <v>-4589.9040000000005</v>
      </c>
      <c r="N21" s="133" t="str">
        <f>VLOOKUP(C21,'Trips&amp;Operators'!$C$1:$G$99999,5,FALSE)</f>
        <v>MACDONALD THOMAS</v>
      </c>
      <c r="O21" s="203" t="s">
        <v>180</v>
      </c>
      <c r="P21" s="134"/>
      <c r="Q21" s="30"/>
      <c r="R21" s="81" t="str">
        <f>VLOOKUP(C21,'Train Runs'!$A$13:$AE$9931,31,0)</f>
        <v>aws s3 cp s3://rtdc.mdm.uploadarchive.raw/RTDC4019/ "%USERPROFILE%\AppData\Local\Temp\OnboardLogs"\RTDC4019\2017-06-26 --exclude "*" --recursive --include "*20170626*" &amp; "%USERPROFILE%\Documents\GitHub\mrs-test-scripts\Headless Mode &amp; Sideloading\WalkAndUnGZ.bat" "%USERPROFILE%\AppData\Local\Temp\OnboardLogs"\RTDC4019\2017-06-26 &amp; 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</v>
      </c>
      <c r="S21" s="84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-26T07:15:24-0600',mode:absolute,to:'2017-06-26T10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86" t="str">
        <f t="shared" si="1"/>
        <v>"C:\Program Files (x86)\AstroGrep\AstroGrep.exe" /e /r /s /spath="%USERPROFILE%\AppData\Local\Temp\OnboardLogs" /stypes="*4019*201706261*"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4019</v>
      </c>
      <c r="V21" s="31">
        <f t="shared" si="3"/>
        <v>42912.604120370372</v>
      </c>
      <c r="W21" s="45" t="str">
        <f t="shared" si="4"/>
        <v>EC</v>
      </c>
      <c r="X21" s="22">
        <f t="shared" si="5"/>
        <v>132</v>
      </c>
      <c r="Y21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{"issue":{"subject":"","project_id":79,"tracker_id":40,"status_id":1,"priority_id":2,"assigned_to_id":23,"start_date":"2017-06-26","description":"","custom_fields":[{"id":1,"name":"Subdivision","value":"EC"},{"id":4,"name":"Milepost","value":"23.2107"},{"id":17,"name":"Train ID","value":"132-26"},{"id":16,"name":"Locomotive ID","value":"4019"},{"id":130,"name":"Impact","value":""},{"id":150,"name":"Time of Event (Mountain Time)","value":"08:29:56"},{"id":151,"name":"Denver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/c/Users/stu/AppData/Local/Temp/OnboardLogs/RTDC4019 --include="*4019*201706261*"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"%USERPROFILE%\AppData\Local\Temp\OnboardLogs"\RTDC4019\*4019*201706261* &gt;&gt; 2017-06-26-SliceDisagreementCheck.txt</v>
      </c>
      <c r="AE21" s="145" t="str">
        <f t="shared" si="9"/>
        <v>start /low /b %USERPROFILE%\Documents\GitHub\eaglep3\Utilities\DownloadLogsFromS3.py --loco 4019 --day 2017-06-26</v>
      </c>
      <c r="AF21" s="1"/>
    </row>
    <row r="22" spans="1:32" x14ac:dyDescent="0.25">
      <c r="A22" s="31">
        <v>42912.45752314815</v>
      </c>
      <c r="B22" s="30" t="s">
        <v>618</v>
      </c>
      <c r="C22" s="30" t="s">
        <v>632</v>
      </c>
      <c r="D22" s="30" t="s">
        <v>96</v>
      </c>
      <c r="E22" s="30" t="s">
        <v>200</v>
      </c>
      <c r="F22" s="42">
        <v>350</v>
      </c>
      <c r="G22" s="42">
        <v>401</v>
      </c>
      <c r="H22" s="42">
        <v>228613</v>
      </c>
      <c r="I22" s="42">
        <v>227627</v>
      </c>
      <c r="J22" s="30" t="s">
        <v>201</v>
      </c>
      <c r="K22" s="42">
        <v>232107</v>
      </c>
      <c r="L22" s="131" t="s">
        <v>51</v>
      </c>
      <c r="M22" s="132">
        <f t="shared" si="0"/>
        <v>-2365.44</v>
      </c>
      <c r="N22" s="133" t="str">
        <f>VLOOKUP(C22,'Trips&amp;Operators'!$C$1:$G$99999,5,FALSE)</f>
        <v>WILLIAMS DONTE</v>
      </c>
      <c r="O22" s="203" t="s">
        <v>180</v>
      </c>
      <c r="P22" s="134"/>
      <c r="Q22" s="30"/>
      <c r="R22" s="81" t="str">
        <f>VLOOKUP(C22,'Train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22" s="84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-26T09:43:12-0600',mode:absolute,to:'2017-06-26T12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6" t="str">
        <f t="shared" si="1"/>
        <v>"C:\Program Files (x86)\AstroGrep\AstroGrep.exe" /e /r /s /spath="%USERPROFILE%\AppData\Local\Temp\OnboardLogs" /stypes="*4029*201706261*" /stext=" 16:.+((SYSTEM_STATE.+slice.+state.+changed )|(ment ac)|(multiple cpu faults)|(system.+state.+changed )|(\[timeout)|(PRM\|1\|D)|(kpr)|(kdp)|(train st.+moving)|(\|lc)|(penalty))"</v>
      </c>
      <c r="U22" s="9" t="str">
        <f t="shared" si="2"/>
        <v>4029</v>
      </c>
      <c r="V22" s="31">
        <f t="shared" si="3"/>
        <v>42912.70752314815</v>
      </c>
      <c r="W22" s="45" t="str">
        <f t="shared" si="4"/>
        <v>EC</v>
      </c>
      <c r="X22" s="22">
        <f t="shared" si="5"/>
        <v>152</v>
      </c>
      <c r="Y22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{"issue":{"subject":"","project_id":79,"tracker_id":40,"status_id":1,"priority_id":2,"assigned_to_id":23,"start_date":"2017-06-26","description":"","custom_fields":[{"id":1,"name":"Subdivision","value":"EC"},{"id":4,"name":"Milepost","value":"23.2107"},{"id":17,"name":"Train ID","value":"152-26"},{"id":16,"name":"Locomotive ID","value":"4029"},{"id":130,"name":"Impact","value":""},{"id":150,"name":"Time of Event (Mountain Time)","value":"10:58:50"},{"id":151,"name":"Denver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/c/Users/stu/AppData/Local/Temp/OnboardLogs/RTDC4029 --include="*4029*201706261*"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22" s="145" t="str">
        <f t="shared" si="9"/>
        <v>start /low /b %USERPROFILE%\Documents\GitHub\eaglep3\Utilities\DownloadLogsFromS3.py --loco 4029 --day 2017-06-26</v>
      </c>
      <c r="AF22" s="1"/>
    </row>
    <row r="23" spans="1:32" x14ac:dyDescent="0.25">
      <c r="A23" s="31">
        <v>42912.458611111113</v>
      </c>
      <c r="B23" s="30" t="s">
        <v>618</v>
      </c>
      <c r="C23" s="30" t="s">
        <v>632</v>
      </c>
      <c r="D23" s="30" t="s">
        <v>96</v>
      </c>
      <c r="E23" s="30" t="s">
        <v>200</v>
      </c>
      <c r="F23" s="42">
        <v>350</v>
      </c>
      <c r="G23" s="42">
        <v>406</v>
      </c>
      <c r="H23" s="42">
        <v>225422</v>
      </c>
      <c r="I23" s="42">
        <v>223981</v>
      </c>
      <c r="J23" s="30" t="s">
        <v>201</v>
      </c>
      <c r="K23" s="42">
        <v>232107</v>
      </c>
      <c r="L23" s="131" t="s">
        <v>51</v>
      </c>
      <c r="M23" s="132">
        <f t="shared" si="0"/>
        <v>-4290.5280000000002</v>
      </c>
      <c r="N23" s="133" t="str">
        <f>VLOOKUP(C23,'Trips&amp;Operators'!$C$1:$G$99999,5,FALSE)</f>
        <v>WILLIAMS DONTE</v>
      </c>
      <c r="O23" s="203" t="s">
        <v>180</v>
      </c>
      <c r="P23" s="134"/>
      <c r="Q23" s="30"/>
      <c r="R23" s="81" t="str">
        <f>VLOOKUP(C23,'Train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23" s="84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-26T09:43:12-0600',mode:absolute,to:'2017-06-26T12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86" t="str">
        <f t="shared" si="1"/>
        <v>"C:\Program Files (x86)\AstroGrep\AstroGrep.exe" /e /r /s /spath="%USERPROFILE%\AppData\Local\Temp\OnboardLogs" /stypes="*4029*201706261*"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4029</v>
      </c>
      <c r="V23" s="31">
        <f t="shared" si="3"/>
        <v>42912.708611111113</v>
      </c>
      <c r="W23" s="45" t="str">
        <f t="shared" si="4"/>
        <v>EC</v>
      </c>
      <c r="X23" s="22">
        <f t="shared" si="5"/>
        <v>152</v>
      </c>
      <c r="Y23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{"issue":{"subject":"","project_id":79,"tracker_id":40,"status_id":1,"priority_id":2,"assigned_to_id":23,"start_date":"2017-06-26","description":"","custom_fields":[{"id":1,"name":"Subdivision","value":"EC"},{"id":4,"name":"Milepost","value":"23.2107"},{"id":17,"name":"Train ID","value":"152-26"},{"id":16,"name":"Locomotive ID","value":"4029"},{"id":130,"name":"Impact","value":""},{"id":150,"name":"Time of Event (Mountain Time)","value":"11:00:24"},{"id":151,"name":"Denver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/c/Users/stu/AppData/Local/Temp/OnboardLogs/RTDC4029 --include="*4029*201706261*"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23" s="145" t="str">
        <f t="shared" si="9"/>
        <v>start /low /b %USERPROFILE%\Documents\GitHub\eaglep3\Utilities\DownloadLogsFromS3.py --loco 4029 --day 2017-06-26</v>
      </c>
      <c r="AF23" s="1"/>
    </row>
    <row r="24" spans="1:32" x14ac:dyDescent="0.25">
      <c r="A24" s="31">
        <v>42912.959687499999</v>
      </c>
      <c r="B24" s="30" t="s">
        <v>548</v>
      </c>
      <c r="C24" s="30" t="s">
        <v>654</v>
      </c>
      <c r="D24" s="30" t="s">
        <v>49</v>
      </c>
      <c r="E24" s="30" t="s">
        <v>361</v>
      </c>
      <c r="F24" s="42">
        <v>0</v>
      </c>
      <c r="G24" s="42">
        <v>456</v>
      </c>
      <c r="H24" s="42">
        <v>17547</v>
      </c>
      <c r="I24" s="42">
        <v>14542</v>
      </c>
      <c r="J24" s="30" t="s">
        <v>362</v>
      </c>
      <c r="K24" s="42">
        <v>17100</v>
      </c>
      <c r="L24" s="131" t="s">
        <v>51</v>
      </c>
      <c r="M24" s="132">
        <f t="shared" si="0"/>
        <v>-1350.6240000000003</v>
      </c>
      <c r="N24" s="133" t="str">
        <f>VLOOKUP(C24,'Trips&amp;Operators'!$C$1:$G$99999,5,FALSE)</f>
        <v>SMITH MICHAEL</v>
      </c>
      <c r="O24" s="203" t="s">
        <v>408</v>
      </c>
      <c r="P24" s="134" t="s">
        <v>1067</v>
      </c>
      <c r="Q24" s="30"/>
      <c r="R24" s="81" t="str">
        <f>VLOOKUP(C24,'Train Runs'!$A$13:$AE$9931,31,0)</f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S24" s="84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-26T21:18:24-0600',mode:absolute,to:'2017-06-27T00:01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4" s="86" t="str">
        <f t="shared" si="1"/>
        <v>"C:\Program Files (x86)\AstroGrep\AstroGrep.exe" /e /r /s /spath="%USERPROFILE%\AppData\Local\Temp\OnboardLogs" /stypes="*4057*201706270*"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4057</v>
      </c>
      <c r="V24" s="31">
        <f t="shared" si="3"/>
        <v>42913.209687499999</v>
      </c>
      <c r="W24" s="45" t="str">
        <f t="shared" si="4"/>
        <v>EC</v>
      </c>
      <c r="X24" s="22">
        <f t="shared" si="5"/>
        <v>232</v>
      </c>
      <c r="Y24" s="96" t="str">
        <f t="shared" si="6"/>
        <v>echo {"issue":{"subject":"Premature downgrade Bright 4S","project_id":79,"tracker_id":40,"status_id":1,"priority_id":2,"assigned_to_id":23,"start_date":"2017-06-26","description":"approx 23:01:35 - train was about 0.4 mi away from Bright 4S, it dropped from Proceed Cab to Stop. Do logs show anything unusual during this time?","custom_fields":[{"id":1,"name":"Subdivision","value":"EC"},{"id":4,"name":"Milepost","value":"1.71"},{"id":17,"name":"Train ID","value":"232-26"},{"id":16,"name":"Locomotive ID","value":"4057"},{"id":130,"name":"Impact","value":"Enforcement"},{"id":150,"name":"Time of Event (Mountain Time)","value":"23:01:57"},{"id":151,"name":"Denver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4" s="159" t="s">
        <v>1068</v>
      </c>
      <c r="AA24" s="47" t="s">
        <v>120</v>
      </c>
      <c r="AB24" s="47" t="s">
        <v>125</v>
      </c>
      <c r="AC24" s="115" t="str">
        <f t="shared" si="7"/>
        <v>grep -hrE -A400 "Enforcement Action" /c/Users/stu/AppData/Local/Temp/OnboardLogs/RTDC4057 --include="*4057*201706270*"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"%USERPROFILE%\AppData\Local\Temp\OnboardLogs"\RTDC4057\*4057*201706270* &gt;&gt; 2017-06-26-SliceDisagreementCheck.txt</v>
      </c>
      <c r="AE24" s="145" t="str">
        <f t="shared" si="9"/>
        <v>start /low /b %USERPROFILE%\Documents\GitHub\eaglep3\Utilities\DownloadLogsFromS3.py --loco 4057 --day 2017-06-27</v>
      </c>
      <c r="AF24" s="1"/>
    </row>
    <row r="25" spans="1:32" x14ac:dyDescent="0.25">
      <c r="A25" s="31">
        <v>42912.593888888892</v>
      </c>
      <c r="B25" s="30" t="s">
        <v>549</v>
      </c>
      <c r="C25" s="30" t="s">
        <v>639</v>
      </c>
      <c r="D25" s="30" t="s">
        <v>49</v>
      </c>
      <c r="E25" s="30" t="s">
        <v>361</v>
      </c>
      <c r="F25" s="42">
        <v>0</v>
      </c>
      <c r="G25" s="42">
        <v>460</v>
      </c>
      <c r="H25" s="42">
        <v>186431</v>
      </c>
      <c r="I25" s="42">
        <v>188262</v>
      </c>
      <c r="J25" s="30" t="s">
        <v>362</v>
      </c>
      <c r="K25" s="42">
        <v>190738</v>
      </c>
      <c r="L25" s="131" t="s">
        <v>50</v>
      </c>
      <c r="M25" s="132">
        <f t="shared" si="0"/>
        <v>1307.328</v>
      </c>
      <c r="N25" s="133" t="str">
        <f>VLOOKUP(C25,'Trips&amp;Operators'!$C$1:$G$99999,5,FALSE)</f>
        <v>BRUDER RICHARD</v>
      </c>
      <c r="O25" s="203" t="s">
        <v>408</v>
      </c>
      <c r="P25" s="134" t="s">
        <v>546</v>
      </c>
      <c r="Q25" s="30"/>
      <c r="R25" s="81" t="str">
        <f>VLOOKUP(C25,'Train Runs'!$A$13:$AE$9931,31,0)</f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S25" s="84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-26T12:38:34-0600',mode:absolute,to:'2017-06-26T15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5" s="86" t="str">
        <f t="shared" si="1"/>
        <v>"C:\Program Files (x86)\AstroGrep\AstroGrep.exe" /e /r /s /spath="%USERPROFILE%\AppData\Local\Temp\OnboardLogs" /stypes="*4058*201706262*"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4058</v>
      </c>
      <c r="V25" s="31">
        <f t="shared" si="3"/>
        <v>42912.843888888892</v>
      </c>
      <c r="W25" s="45" t="str">
        <f t="shared" si="4"/>
        <v>EC</v>
      </c>
      <c r="X25" s="22">
        <f t="shared" si="5"/>
        <v>181</v>
      </c>
      <c r="Y25" s="96" t="str">
        <f t="shared" si="6"/>
        <v>echo {"issue":{"subject":"Wi-MAX data drop","project_id":79,"tracker_id":40,"status_id":1,"priority_id":2,"assigned_to_id":23,"start_date":"2017-06-26","description":"","custom_fields":[{"id":1,"name":"Subdivision","value":"EC"},{"id":4,"name":"Milepost","value":"19.0738"},{"id":17,"name":"Train ID","value":"181-26"},{"id":16,"name":"Locomotive ID","value":"4058"},{"id":130,"name":"Impact","value":""},{"id":150,"name":"Time of Event (Mountain Time)","value":"14:15:12"},{"id":151,"name":"Denver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/c/Users/stu/AppData/Local/Temp/OnboardLogs/RTDC4058 --include="*4058*201706262*"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"%USERPROFILE%\AppData\Local\Temp\OnboardLogs"\RTDC4058\*4058*201706262* &gt;&gt; 2017-06-26-SliceDisagreementCheck.txt</v>
      </c>
      <c r="AE25" s="145" t="str">
        <f t="shared" si="9"/>
        <v>start /low /b %USERPROFILE%\Documents\GitHub\eaglep3\Utilities\DownloadLogsFromS3.py --loco 4058 --day 2017-06-26</v>
      </c>
      <c r="AF25" s="1"/>
    </row>
    <row r="26" spans="1:32" x14ac:dyDescent="0.25">
      <c r="A26" s="31">
        <v>42912.354988425926</v>
      </c>
      <c r="B26" s="30" t="s">
        <v>549</v>
      </c>
      <c r="C26" s="30" t="s">
        <v>625</v>
      </c>
      <c r="D26" s="30" t="s">
        <v>96</v>
      </c>
      <c r="E26" s="30" t="s">
        <v>503</v>
      </c>
      <c r="F26" s="42">
        <v>0</v>
      </c>
      <c r="G26" s="42">
        <v>150</v>
      </c>
      <c r="H26" s="42">
        <v>2013</v>
      </c>
      <c r="I26" s="42">
        <v>2290</v>
      </c>
      <c r="J26" s="30" t="s">
        <v>504</v>
      </c>
      <c r="K26" s="42">
        <v>1692</v>
      </c>
      <c r="L26" s="131" t="s">
        <v>50</v>
      </c>
      <c r="M26" s="132">
        <f t="shared" si="0"/>
        <v>-315.74400000000003</v>
      </c>
      <c r="N26" s="133" t="str">
        <f>VLOOKUP(C26,'Trips&amp;Operators'!$C$1:$G$99999,5,FALSE)</f>
        <v>MAELZER KURT</v>
      </c>
      <c r="O26" s="203" t="s">
        <v>408</v>
      </c>
      <c r="P26" s="134" t="s">
        <v>546</v>
      </c>
      <c r="Q26" s="30"/>
      <c r="R26" s="81" t="str">
        <f>VLOOKUP(C26,'Train Runs'!$A$13:$AE$9931,31,0)</f>
        <v>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 &amp; 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</v>
      </c>
      <c r="S26" s="84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-26T07:25:34-0600',mode:absolute,to:'2017-06-26T10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6" s="86" t="str">
        <f t="shared" si="1"/>
        <v>"C:\Program Files (x86)\AstroGrep\AstroGrep.exe" /e /r /s /spath="%USERPROFILE%\AppData\Local\Temp\OnboardLogs" /stypes="*4058*201706261*"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4058</v>
      </c>
      <c r="V26" s="31">
        <f t="shared" si="3"/>
        <v>42912.604988425926</v>
      </c>
      <c r="W26" s="45" t="str">
        <f t="shared" si="4"/>
        <v>EC</v>
      </c>
      <c r="X26" s="22">
        <f t="shared" si="5"/>
        <v>139</v>
      </c>
      <c r="Y26" s="96" t="str">
        <f t="shared" si="6"/>
        <v>echo {"issue":{"subject":"Wi-MAX data drop","project_id":79,"tracker_id":40,"status_id":1,"priority_id":2,"assigned_to_id":23,"start_date":"2017-06-26","description":"","custom_fields":[{"id":1,"name":"Subdivision","value":"EC"},{"id":4,"name":"Milepost","value":"0.1692"},{"id":17,"name":"Train ID","value":"139-26"},{"id":16,"name":"Locomotive ID","value":"4058"},{"id":130,"name":"Impact","value":""},{"id":150,"name":"Time of Event (Mountain Time)","value":"08:31:11"},{"id":151,"name":"Denver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/c/Users/stu/AppData/Local/Temp/OnboardLogs/RTDC4058 --include="*4058*201706261*"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"%USERPROFILE%\AppData\Local\Temp\OnboardLogs"\RTDC4058\*4058*201706261* &gt;&gt; 2017-06-26-SliceDisagreementCheck.txt</v>
      </c>
      <c r="AE26" s="145" t="str">
        <f t="shared" si="9"/>
        <v>start /low /b %USERPROFILE%\Documents\GitHub\eaglep3\Utilities\DownloadLogsFromS3.py --loco 4058 --day 2017-06-26</v>
      </c>
      <c r="AF26" s="1"/>
    </row>
    <row r="27" spans="1:32" x14ac:dyDescent="0.25">
      <c r="A27" s="31">
        <v>42912.345057870371</v>
      </c>
      <c r="B27" s="30" t="s">
        <v>620</v>
      </c>
      <c r="C27" s="30" t="s">
        <v>623</v>
      </c>
      <c r="D27" s="30" t="s">
        <v>96</v>
      </c>
      <c r="E27" s="30" t="s">
        <v>503</v>
      </c>
      <c r="F27" s="42">
        <v>0</v>
      </c>
      <c r="G27" s="42">
        <v>159</v>
      </c>
      <c r="H27" s="42">
        <v>3623</v>
      </c>
      <c r="I27" s="42">
        <v>3897</v>
      </c>
      <c r="J27" s="30" t="s">
        <v>504</v>
      </c>
      <c r="K27" s="42">
        <v>2789</v>
      </c>
      <c r="L27" s="131" t="s">
        <v>50</v>
      </c>
      <c r="M27" s="132">
        <f t="shared" si="0"/>
        <v>-585.024</v>
      </c>
      <c r="N27" s="133" t="str">
        <f>VLOOKUP(C27,'Trips&amp;Operators'!$C$1:$G$99999,5,FALSE)</f>
        <v>WILLIAMS DONTE</v>
      </c>
      <c r="O27" s="203" t="s">
        <v>408</v>
      </c>
      <c r="P27" s="134" t="s">
        <v>546</v>
      </c>
      <c r="Q27" s="30"/>
      <c r="R27" s="81" t="str">
        <f>VLOOKUP(C27,'Train Runs'!$A$13:$AE$9931,31,0)</f>
        <v>aws s3 cp s3://rtdc.mdm.uploadarchive.raw/RTDC4030/ "%USERPROFILE%\AppData\Local\Temp\OnboardLogs"\RTDC4030\2017-06-26 --exclude "*" --recursive --include "*20170626*" &amp; "%USERPROFILE%\Documents\GitHub\mrs-test-scripts\Headless Mode &amp; Sideloading\WalkAndUnGZ.bat" "%USERPROFILE%\AppData\Local\Temp\OnboardLogs"\RTDC4030\2017-06-26 &amp; aws s3 cp s3://rtdc.mdm.uploadarchive.raw/RTDC4030/ "%USERPROFILE%\AppData\Local\Temp\OnboardLogs"\RTDC4030\2017-06-27 --exclude "*" --recursive --include "*20170627*" &amp; "%USERPROFILE%\Documents\GitHub\mrs-test-scripts\Headless Mode &amp; Sideloading\WalkAndUnGZ.bat" "%USERPROFILE%\AppData\Local\Temp\OnboardLogs"\RTDC4030\2017-06-27</v>
      </c>
      <c r="S27" s="84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-26T07:12:26-0600',mode:absolute,to:'2017-06-26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86" t="str">
        <f t="shared" si="1"/>
        <v>"C:\Program Files (x86)\AstroGrep\AstroGrep.exe" /e /r /s /spath="%USERPROFILE%\AppData\Local\Temp\OnboardLogs" /stypes="*4030*201706261*" /stext=" 14:.+((SYSTEM_STATE.+slice.+state.+changed )|(ment ac)|(multiple cpu faults)|(system.+state.+changed )|(\[timeout)|(PRM\|1\|D)|(kpr)|(kdp)|(train st.+moving)|(\|lc)|(penalty))"</v>
      </c>
      <c r="U27" s="9" t="str">
        <f t="shared" si="2"/>
        <v>4030</v>
      </c>
      <c r="V27" s="31">
        <f t="shared" si="3"/>
        <v>42912.595057870371</v>
      </c>
      <c r="W27" s="45" t="str">
        <f t="shared" si="4"/>
        <v>EC</v>
      </c>
      <c r="X27" s="22">
        <f t="shared" si="5"/>
        <v>137</v>
      </c>
      <c r="Y27" s="96" t="str">
        <f t="shared" si="6"/>
        <v>echo {"issue":{"subject":"Wi-MAX data drop","project_id":79,"tracker_id":40,"status_id":1,"priority_id":2,"assigned_to_id":23,"start_date":"2017-06-26","description":"","custom_fields":[{"id":1,"name":"Subdivision","value":"EC"},{"id":4,"name":"Milepost","value":"0.2789"},{"id":17,"name":"Train ID","value":"137-26"},{"id":16,"name":"Locomotive ID","value":"4030"},{"id":130,"name":"Impact","value":""},{"id":150,"name":"Time of Event (Mountain Time)","value":"08:16:53"},{"id":151,"name":"Denver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/c/Users/stu/AppData/Local/Temp/OnboardLogs/RTDC4030 --include="*4030*201706261*"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"%USERPROFILE%\AppData\Local\Temp\OnboardLogs"\RTDC4030\*4030*201706261* &gt;&gt; 2017-06-26-SliceDisagreementCheck.txt</v>
      </c>
      <c r="AE27" s="145" t="str">
        <f t="shared" si="9"/>
        <v>start /low /b %USERPROFILE%\Documents\GitHub\eaglep3\Utilities\DownloadLogsFromS3.py --loco 4030 --day 2017-06-26</v>
      </c>
      <c r="AF27" s="1"/>
    </row>
    <row r="28" spans="1:32" x14ac:dyDescent="0.25">
      <c r="A28" s="31">
        <v>42912.470196759263</v>
      </c>
      <c r="B28" s="30" t="s">
        <v>618</v>
      </c>
      <c r="C28" s="30" t="s">
        <v>632</v>
      </c>
      <c r="D28" s="30" t="s">
        <v>49</v>
      </c>
      <c r="E28" s="30" t="s">
        <v>503</v>
      </c>
      <c r="F28" s="42">
        <v>0</v>
      </c>
      <c r="G28" s="42">
        <v>425</v>
      </c>
      <c r="H28" s="42">
        <v>112629</v>
      </c>
      <c r="I28" s="42">
        <v>111397</v>
      </c>
      <c r="J28" s="30" t="s">
        <v>504</v>
      </c>
      <c r="K28" s="42">
        <v>110617</v>
      </c>
      <c r="L28" s="131" t="s">
        <v>51</v>
      </c>
      <c r="M28" s="132">
        <f t="shared" si="0"/>
        <v>411.84</v>
      </c>
      <c r="N28" s="133" t="str">
        <f>VLOOKUP(C28,'Trips&amp;Operators'!$C$1:$G$99999,5,FALSE)</f>
        <v>WILLIAMS DONTE</v>
      </c>
      <c r="O28" s="203" t="s">
        <v>408</v>
      </c>
      <c r="P28" s="134" t="s">
        <v>546</v>
      </c>
      <c r="Q28" s="30"/>
      <c r="R28" s="81" t="str">
        <f>VLOOKUP(C28,'Train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28" s="84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-26T09:43:12-0600',mode:absolute,to:'2017-06-26T12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86" t="str">
        <f t="shared" si="1"/>
        <v>"C:\Program Files (x86)\AstroGrep\AstroGrep.exe" /e /r /s /spath="%USERPROFILE%\AppData\Local\Temp\OnboardLogs" /stypes="*4029*201706261*" /stext=" 17:.+((SYSTEM_STATE.+slice.+state.+changed )|(ment ac)|(multiple cpu faults)|(system.+state.+changed )|(\[timeout)|(PRM\|1\|D)|(kpr)|(kdp)|(train st.+moving)|(\|lc)|(penalty))"</v>
      </c>
      <c r="U28" s="9" t="str">
        <f t="shared" si="2"/>
        <v>4029</v>
      </c>
      <c r="V28" s="31">
        <f t="shared" si="3"/>
        <v>42912.720196759263</v>
      </c>
      <c r="W28" s="45" t="str">
        <f t="shared" si="4"/>
        <v>EC</v>
      </c>
      <c r="X28" s="22">
        <f t="shared" si="5"/>
        <v>152</v>
      </c>
      <c r="Y28" s="96" t="str">
        <f t="shared" si="6"/>
        <v>echo {"issue":{"subject":"Wi-MAX data drop","project_id":79,"tracker_id":40,"status_id":1,"priority_id":2,"assigned_to_id":23,"start_date":"2017-06-26","description":"","custom_fields":[{"id":1,"name":"Subdivision","value":"EC"},{"id":4,"name":"Milepost","value":"11.0617"},{"id":17,"name":"Train ID","value":"152-26"},{"id":16,"name":"Locomotive ID","value":"4029"},{"id":130,"name":"Impact","value":""},{"id":150,"name":"Time of Event (Mountain Time)","value":"11:17:05"},{"id":151,"name":"Denver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/c/Users/stu/AppData/Local/Temp/OnboardLogs/RTDC4029 --include="*4029*201706261*"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28" s="145" t="str">
        <f t="shared" si="9"/>
        <v>start /low /b %USERPROFILE%\Documents\GitHub\eaglep3\Utilities\DownloadLogsFromS3.py --loco 4029 --day 2017-06-26</v>
      </c>
      <c r="AF28" s="1"/>
    </row>
    <row r="29" spans="1:32" x14ac:dyDescent="0.25">
      <c r="A29" s="31">
        <v>42912.265798611108</v>
      </c>
      <c r="B29" s="30" t="s">
        <v>618</v>
      </c>
      <c r="C29" s="30" t="s">
        <v>619</v>
      </c>
      <c r="D29" s="30" t="s">
        <v>49</v>
      </c>
      <c r="E29" s="30" t="s">
        <v>181</v>
      </c>
      <c r="F29" s="42">
        <v>0</v>
      </c>
      <c r="G29" s="42">
        <v>103</v>
      </c>
      <c r="H29" s="42">
        <v>385</v>
      </c>
      <c r="I29" s="42">
        <v>234</v>
      </c>
      <c r="J29" s="30" t="s">
        <v>182</v>
      </c>
      <c r="K29" s="42">
        <v>1</v>
      </c>
      <c r="L29" s="131" t="s">
        <v>51</v>
      </c>
      <c r="M29" s="132">
        <f t="shared" si="0"/>
        <v>123.024</v>
      </c>
      <c r="N29" s="133" t="str">
        <f>VLOOKUP(C29,'Trips&amp;Operators'!$C$1:$G$99999,5,FALSE)</f>
        <v>WILLIAMS DONTE</v>
      </c>
      <c r="O29" s="203" t="s">
        <v>180</v>
      </c>
      <c r="P29" s="134"/>
      <c r="Q29" s="30"/>
      <c r="R29" s="81" t="str">
        <f>VLOOKUP(C29,'Train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29" s="84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-26T04:38:27-0600',mode:absolute,to:'2017-06-26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86" t="str">
        <f t="shared" si="1"/>
        <v>"C:\Program Files (x86)\AstroGrep\AstroGrep.exe" /e /r /s /spath="%USERPROFILE%\AppData\Local\Temp\OnboardLogs" /stypes="*4029*201706261*"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4029</v>
      </c>
      <c r="V29" s="31">
        <f t="shared" si="3"/>
        <v>42912.515798611108</v>
      </c>
      <c r="W29" s="45" t="str">
        <f t="shared" si="4"/>
        <v>EC</v>
      </c>
      <c r="X29" s="22">
        <f t="shared" si="5"/>
        <v>110</v>
      </c>
      <c r="Y29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{"issue":{"subject":"","project_id":79,"tracker_id":40,"status_id":1,"priority_id":2,"assigned_to_id":23,"start_date":"2017-06-26","description":"","custom_fields":[{"id":1,"name":"Subdivision","value":"EC"},{"id":4,"name":"Milepost","value":"0.0001"},{"id":17,"name":"Train ID","value":"110-26"},{"id":16,"name":"Locomotive ID","value":"4029"},{"id":130,"name":"Impact","value":""},{"id":150,"name":"Time of Event (Mountain Time)","value":"06:22:45"},{"id":151,"name":"Denver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/c/Users/stu/AppData/Local/Temp/OnboardLogs/RTDC4029 --include="*4029*201706261*"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29" s="145" t="str">
        <f t="shared" si="9"/>
        <v>start /low /b %USERPROFILE%\Documents\GitHub\eaglep3\Utilities\DownloadLogsFromS3.py --loco 4029 --day 2017-06-26</v>
      </c>
      <c r="AF29" s="1"/>
    </row>
    <row r="30" spans="1:32" x14ac:dyDescent="0.25">
      <c r="A30" s="31">
        <v>42912.266203703701</v>
      </c>
      <c r="B30" s="30" t="s">
        <v>618</v>
      </c>
      <c r="C30" s="30" t="s">
        <v>619</v>
      </c>
      <c r="D30" s="30" t="s">
        <v>49</v>
      </c>
      <c r="E30" s="30" t="s">
        <v>181</v>
      </c>
      <c r="F30" s="42">
        <v>0</v>
      </c>
      <c r="G30" s="42">
        <v>40</v>
      </c>
      <c r="H30" s="42">
        <v>154</v>
      </c>
      <c r="I30" s="42">
        <v>121</v>
      </c>
      <c r="J30" s="30" t="s">
        <v>182</v>
      </c>
      <c r="K30" s="42">
        <v>1</v>
      </c>
      <c r="L30" s="131" t="s">
        <v>51</v>
      </c>
      <c r="M30" s="132">
        <f t="shared" si="0"/>
        <v>63.36</v>
      </c>
      <c r="N30" s="133" t="str">
        <f>VLOOKUP(C30,'Trips&amp;Operators'!$C$1:$G$99999,5,FALSE)</f>
        <v>WILLIAMS DONTE</v>
      </c>
      <c r="O30" s="203" t="s">
        <v>180</v>
      </c>
      <c r="P30" s="134"/>
      <c r="Q30" s="30"/>
      <c r="R30" s="81" t="str">
        <f>VLOOKUP(C30,'Train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30" s="84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-26T04:38:27-0600',mode:absolute,to:'2017-06-26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86" t="str">
        <f t="shared" si="1"/>
        <v>"C:\Program Files (x86)\AstroGrep\AstroGrep.exe" /e /r /s /spath="%USERPROFILE%\AppData\Local\Temp\OnboardLogs" /stypes="*4029*201706261*"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4029</v>
      </c>
      <c r="V30" s="31">
        <f t="shared" si="3"/>
        <v>42912.516203703701</v>
      </c>
      <c r="W30" s="45" t="str">
        <f t="shared" si="4"/>
        <v>EC</v>
      </c>
      <c r="X30" s="22">
        <f t="shared" si="5"/>
        <v>110</v>
      </c>
      <c r="Y30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{"issue":{"subject":"","project_id":79,"tracker_id":40,"status_id":1,"priority_id":2,"assigned_to_id":23,"start_date":"2017-06-26","description":"","custom_fields":[{"id":1,"name":"Subdivision","value":"EC"},{"id":4,"name":"Milepost","value":"0.0001"},{"id":17,"name":"Train ID","value":"110-26"},{"id":16,"name":"Locomotive ID","value":"4029"},{"id":130,"name":"Impact","value":""},{"id":150,"name":"Time of Event (Mountain Time)","value":"06:23:20"},{"id":151,"name":"Denver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/c/Users/stu/AppData/Local/Temp/OnboardLogs/RTDC4029 --include="*4029*201706261*"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30" s="145" t="str">
        <f t="shared" si="9"/>
        <v>start /low /b %USERPROFILE%\Documents\GitHub\eaglep3\Utilities\DownloadLogsFromS3.py --loco 4029 --day 2017-06-26</v>
      </c>
      <c r="AF30" s="1"/>
    </row>
    <row r="31" spans="1:32" s="20" customFormat="1" x14ac:dyDescent="0.25">
      <c r="A31" s="31">
        <v>42912.486354166664</v>
      </c>
      <c r="B31" s="30" t="s">
        <v>618</v>
      </c>
      <c r="C31" s="30" t="s">
        <v>632</v>
      </c>
      <c r="D31" s="30" t="s">
        <v>49</v>
      </c>
      <c r="E31" s="30" t="s">
        <v>181</v>
      </c>
      <c r="F31" s="42">
        <v>0</v>
      </c>
      <c r="G31" s="42">
        <v>56</v>
      </c>
      <c r="H31" s="42">
        <v>212</v>
      </c>
      <c r="I31" s="42">
        <v>172</v>
      </c>
      <c r="J31" s="30" t="s">
        <v>182</v>
      </c>
      <c r="K31" s="42">
        <v>1</v>
      </c>
      <c r="L31" s="131" t="s">
        <v>51</v>
      </c>
      <c r="M31" s="132">
        <f t="shared" si="0"/>
        <v>90.287999999999997</v>
      </c>
      <c r="N31" s="133" t="str">
        <f>VLOOKUP(C31,'Trips&amp;Operators'!$C$1:$G$99999,5,FALSE)</f>
        <v>WILLIAMS DONTE</v>
      </c>
      <c r="O31" s="203" t="s">
        <v>180</v>
      </c>
      <c r="P31" s="134"/>
      <c r="Q31" s="30"/>
      <c r="R31" s="81" t="str">
        <f>VLOOKUP(C31,'Train Runs'!$A$13:$AE$9931,31,0)</f>
        <v>aws s3 cp s3://rtdc.mdm.uploadarchive.raw/RTDC4029/ "%USERPROFILE%\AppData\Local\Temp\OnboardLogs"\RTDC4029\2017-06-26 --exclude "*" --recursive --include "*20170626*" &amp; "%USERPROFILE%\Documents\GitHub\mrs-test-scripts\Headless Mode &amp; Sideloading\WalkAndUnGZ.bat" "%USERPROFILE%\AppData\Local\Temp\OnboardLogs"\RTDC4029\2017-06-26 &amp; aws s3 cp s3://rtdc.mdm.uploadarchive.raw/RTDC4029/ "%USERPROFILE%\AppData\Local\Temp\OnboardLogs"\RTDC4029\2017-06-27 --exclude "*" --recursive --include "*20170627*" &amp; "%USERPROFILE%\Documents\GitHub\mrs-test-scripts\Headless Mode &amp; Sideloading\WalkAndUnGZ.bat" "%USERPROFILE%\AppData\Local\Temp\OnboardLogs"\RTDC4029\2017-06-27</v>
      </c>
      <c r="S31" s="84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-26T09:43:12-0600',mode:absolute,to:'2017-06-26T12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1" s="86" t="str">
        <f t="shared" si="1"/>
        <v>"C:\Program Files (x86)\AstroGrep\AstroGrep.exe" /e /r /s /spath="%USERPROFILE%\AppData\Local\Temp\OnboardLogs" /stypes="*4029*201706261*"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4029</v>
      </c>
      <c r="V31" s="31">
        <f t="shared" si="3"/>
        <v>42912.736354166664</v>
      </c>
      <c r="W31" s="45" t="str">
        <f t="shared" si="4"/>
        <v>EC</v>
      </c>
      <c r="X31" s="22">
        <f t="shared" si="5"/>
        <v>152</v>
      </c>
      <c r="Y31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{"issue":{"subject":"","project_id":79,"tracker_id":40,"status_id":1,"priority_id":2,"assigned_to_id":23,"start_date":"2017-06-26","description":"","custom_fields":[{"id":1,"name":"Subdivision","value":"EC"},{"id":4,"name":"Milepost","value":"0.0001"},{"id":17,"name":"Train ID","value":"152-26"},{"id":16,"name":"Locomotive ID","value":"4029"},{"id":130,"name":"Impact","value":""},{"id":150,"name":"Time of Event (Mountain Time)","value":"11:40:21"},{"id":151,"name":"Denver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/c/Users/stu/AppData/Local/Temp/OnboardLogs/RTDC4029 --include="*4029*201706261*"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"%USERPROFILE%\AppData\Local\Temp\OnboardLogs"\RTDC4029\*4029*201706261* &gt;&gt; 2017-06-26-SliceDisagreementCheck.txt</v>
      </c>
      <c r="AE31" s="145" t="str">
        <f t="shared" si="9"/>
        <v>start /low /b %USERPROFILE%\Documents\GitHub\eaglep3\Utilities\DownloadLogsFromS3.py --loco 4029 --day 2017-06-26</v>
      </c>
      <c r="AF31" s="1"/>
    </row>
    <row r="32" spans="1:32" x14ac:dyDescent="0.25">
      <c r="A32" s="31">
        <v>42912.51525462963</v>
      </c>
      <c r="B32" s="30" t="s">
        <v>460</v>
      </c>
      <c r="C32" s="30" t="s">
        <v>633</v>
      </c>
      <c r="D32" s="30" t="s">
        <v>49</v>
      </c>
      <c r="E32" s="30" t="s">
        <v>181</v>
      </c>
      <c r="F32" s="42">
        <v>0</v>
      </c>
      <c r="G32" s="42">
        <v>56</v>
      </c>
      <c r="H32" s="42">
        <v>218</v>
      </c>
      <c r="I32" s="42">
        <v>154</v>
      </c>
      <c r="J32" s="30" t="s">
        <v>182</v>
      </c>
      <c r="K32" s="42">
        <v>1</v>
      </c>
      <c r="L32" s="131" t="s">
        <v>51</v>
      </c>
      <c r="M32" s="132">
        <f t="shared" si="0"/>
        <v>80.784000000000006</v>
      </c>
      <c r="N32" s="133" t="str">
        <f>VLOOKUP(C32,'Trips&amp;Operators'!$C$1:$G$99999,5,FALSE)</f>
        <v>SULLIVAN BRANDON</v>
      </c>
      <c r="O32" s="203" t="s">
        <v>180</v>
      </c>
      <c r="P32" s="134"/>
      <c r="Q32" s="30"/>
      <c r="R32" s="81" t="str">
        <f>VLOOKUP(C32,'Train Runs'!$A$13:$AE$9931,31,0)</f>
        <v>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 &amp; aws s3 cp s3://rtdc.mdm.uploadarchive.raw/RTDC4003/ "%USERPROFILE%\AppData\Local\Temp\OnboardLogs"\RTDC4003\2017-06-27 --exclude "*" --recursive --include "*20170627*" &amp; "%USERPROFILE%\Documents\GitHub\mrs-test-scripts\Headless Mode &amp; Sideloading\WalkAndUnGZ.bat" "%USERPROFILE%\AppData\Local\Temp\OnboardLogs"\RTDC4003\2017-06-27</v>
      </c>
      <c r="S32" s="84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-26T10:35:06-0600',mode:absolute,to:'2017-06-26T13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86" t="str">
        <f t="shared" si="1"/>
        <v>"C:\Program Files (x86)\AstroGrep\AstroGrep.exe" /e /r /s /spath="%USERPROFILE%\AppData\Local\Temp\OnboardLogs" /stypes="*4003*201706261*" /stext=" 18:.+((SYSTEM_STATE.+slice.+state.+changed )|(ment ac)|(multiple cpu faults)|(system.+state.+changed )|(\[timeout)|(PRM\|1\|D)|(kpr)|(kdp)|(train st.+moving)|(\|lc)|(penalty))"</v>
      </c>
      <c r="U32" s="9" t="str">
        <f t="shared" si="2"/>
        <v>4003</v>
      </c>
      <c r="V32" s="31">
        <f t="shared" si="3"/>
        <v>42912.76525462963</v>
      </c>
      <c r="W32" s="45" t="str">
        <f t="shared" si="4"/>
        <v>EC</v>
      </c>
      <c r="X32" s="22">
        <f t="shared" si="5"/>
        <v>158</v>
      </c>
      <c r="Y32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{"issue":{"subject":"","project_id":79,"tracker_id":40,"status_id":1,"priority_id":2,"assigned_to_id":23,"start_date":"2017-06-26","description":"","custom_fields":[{"id":1,"name":"Subdivision","value":"EC"},{"id":4,"name":"Milepost","value":"0.0001"},{"id":17,"name":"Train ID","value":"158-26"},{"id":16,"name":"Locomotive ID","value":"4003"},{"id":130,"name":"Impact","value":""},{"id":150,"name":"Time of Event (Mountain Time)","value":"12:21:58"},{"id":151,"name":"Denver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/c/Users/stu/AppData/Local/Temp/OnboardLogs/RTDC4003 --include="*4003*201706261*"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"%USERPROFILE%\AppData\Local\Temp\OnboardLogs"\RTDC4003\*4003*201706261* &gt;&gt; 2017-06-26-SliceDisagreementCheck.txt</v>
      </c>
      <c r="AE32" s="145" t="str">
        <f t="shared" si="9"/>
        <v>start /low /b %USERPROFILE%\Documents\GitHub\eaglep3\Utilities\DownloadLogsFromS3.py --loco 4003 --day 2017-06-26</v>
      </c>
      <c r="AF32" s="1"/>
    </row>
    <row r="33" spans="1:32" x14ac:dyDescent="0.25">
      <c r="A33" s="31">
        <v>42912.536273148151</v>
      </c>
      <c r="B33" s="30" t="s">
        <v>630</v>
      </c>
      <c r="C33" s="30" t="s">
        <v>636</v>
      </c>
      <c r="D33" s="30" t="s">
        <v>49</v>
      </c>
      <c r="E33" s="30" t="s">
        <v>181</v>
      </c>
      <c r="F33" s="42">
        <v>0</v>
      </c>
      <c r="G33" s="42">
        <v>54</v>
      </c>
      <c r="H33" s="42">
        <v>178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 t="shared" si="0"/>
        <v>63.36</v>
      </c>
      <c r="N33" s="133" t="str">
        <f>VLOOKUP(C33,'Trips&amp;Operators'!$C$1:$G$99999,5,FALSE)</f>
        <v>DAVIS MICHAEL</v>
      </c>
      <c r="O33" s="203" t="s">
        <v>180</v>
      </c>
      <c r="P33" s="134"/>
      <c r="Q33" s="30"/>
      <c r="R33" s="81" t="str">
        <f>VLOOKUP(C33,'Train Runs'!$A$13:$AE$9931,31,0)</f>
        <v>aws s3 cp s3://rtdc.mdm.uploadarchive.raw/RTDC4053/ "%USERPROFILE%\AppData\Local\Temp\OnboardLogs"\RTDC4053\2017-06-26 --exclude "*" --recursive --include "*20170626*" &amp; "%USERPROFILE%\Documents\GitHub\mrs-test-scripts\Headless Mode &amp; Sideloading\WalkAndUnGZ.bat" "%USERPROFILE%\AppData\Local\Temp\OnboardLogs"\RTDC4053\2017-06-26 &amp; aws s3 cp s3://rtdc.mdm.uploadarchive.raw/RTDC4053/ "%USERPROFILE%\AppData\Local\Temp\OnboardLogs"\RTDC4053\2017-06-27 --exclude "*" --recursive --include "*20170627*" &amp; "%USERPROFILE%\Documents\GitHub\mrs-test-scripts\Headless Mode &amp; Sideloading\WalkAndUnGZ.bat" "%USERPROFILE%\AppData\Local\Temp\OnboardLogs"\RTDC4053\2017-06-27</v>
      </c>
      <c r="S33" s="84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-26T11:07:15-0600',mode:absolute,to:'2017-06-26T13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86" t="str">
        <f t="shared" si="1"/>
        <v>"C:\Program Files (x86)\AstroGrep\AstroGrep.exe" /e /r /s /spath="%USERPROFILE%\AppData\Local\Temp\OnboardLogs" /stypes="*4053*201706261*" /stext=" 18:.+((SYSTEM_STATE.+slice.+state.+changed )|(ment ac)|(multiple cpu faults)|(system.+state.+changed )|(\[timeout)|(PRM\|1\|D)|(kpr)|(kdp)|(train st.+moving)|(\|lc)|(penalty))"</v>
      </c>
      <c r="U33" s="9" t="str">
        <f t="shared" si="2"/>
        <v>4053</v>
      </c>
      <c r="V33" s="31">
        <f t="shared" si="3"/>
        <v>42912.786273148151</v>
      </c>
      <c r="W33" s="45" t="str">
        <f t="shared" si="4"/>
        <v>EC</v>
      </c>
      <c r="X33" s="22">
        <f t="shared" si="5"/>
        <v>162</v>
      </c>
      <c r="Y33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{"issue":{"subject":"","project_id":79,"tracker_id":40,"status_id":1,"priority_id":2,"assigned_to_id":23,"start_date":"2017-06-26","description":"","custom_fields":[{"id":1,"name":"Subdivision","value":"EC"},{"id":4,"name":"Milepost","value":"0.0001"},{"id":17,"name":"Train ID","value":"162-26"},{"id":16,"name":"Locomotive ID","value":"4053"},{"id":130,"name":"Impact","value":""},{"id":150,"name":"Time of Event (Mountain Time)","value":"12:52:14"},{"id":151,"name":"Denver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/c/Users/stu/AppData/Local/Temp/OnboardLogs/RTDC4053 --include="*4053*201706261*"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"%USERPROFILE%\AppData\Local\Temp\OnboardLogs"\RTDC4053\*4053*201706261* &gt;&gt; 2017-06-26-SliceDisagreementCheck.txt</v>
      </c>
      <c r="AE33" s="145" t="str">
        <f t="shared" si="9"/>
        <v>start /low /b %USERPROFILE%\Documents\GitHub\eaglep3\Utilities\DownloadLogsFromS3.py --loco 4053 --day 2017-06-26</v>
      </c>
      <c r="AF33" s="1"/>
    </row>
    <row r="34" spans="1:32" x14ac:dyDescent="0.25">
      <c r="A34" s="31">
        <v>42912.71292824074</v>
      </c>
      <c r="B34" s="30" t="s">
        <v>548</v>
      </c>
      <c r="C34" s="30" t="s">
        <v>644</v>
      </c>
      <c r="D34" s="30" t="s">
        <v>96</v>
      </c>
      <c r="E34" s="30" t="s">
        <v>181</v>
      </c>
      <c r="F34" s="42">
        <v>0</v>
      </c>
      <c r="G34" s="42">
        <v>4</v>
      </c>
      <c r="H34" s="42">
        <v>839</v>
      </c>
      <c r="I34" s="42">
        <v>0</v>
      </c>
      <c r="J34" s="30" t="s">
        <v>182</v>
      </c>
      <c r="K34" s="42">
        <v>839</v>
      </c>
      <c r="L34" s="131" t="s">
        <v>51</v>
      </c>
      <c r="M34" s="132">
        <f t="shared" si="0"/>
        <v>-442.99200000000002</v>
      </c>
      <c r="N34" s="133" t="str">
        <f>VLOOKUP(C34,'Trips&amp;Operators'!$C$1:$G$99999,5,FALSE)</f>
        <v>BRUDER RICHARD</v>
      </c>
      <c r="O34" s="203" t="s">
        <v>180</v>
      </c>
      <c r="P34" s="134"/>
      <c r="Q34" s="30"/>
      <c r="R34" s="81" t="str">
        <f>VLOOKUP(C34,'Train Runs'!$A$13:$AE$9931,31,0)</f>
        <v>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 &amp; aws s3 cp s3://rtdc.mdm.uploadarchive.raw/RTDC4057/ "%USERPROFILE%\AppData\Local\Temp\OnboardLogs"\RTDC4057\2017-06-27 --exclude "*" --recursive --include "*20170627*" &amp; "%USERPROFILE%\Documents\GitHub\mrs-test-scripts\Headless Mode &amp; Sideloading\WalkAndUnGZ.bat" "%USERPROFILE%\AppData\Local\Temp\OnboardLogs"\RTDC4057\2017-06-27</v>
      </c>
      <c r="S34" s="84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-26T15:21:52-0600',mode:absolute,to:'2017-06-26T18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6" t="str">
        <f t="shared" si="1"/>
        <v>"C:\Program Files (x86)\AstroGrep\AstroGrep.exe" /e /r /s /spath="%USERPROFILE%\AppData\Local\Temp\OnboardLogs" /stypes="*4057*201706262*"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42912.96292824074</v>
      </c>
      <c r="W34" s="45" t="str">
        <f t="shared" si="4"/>
        <v>EC</v>
      </c>
      <c r="X34" s="22">
        <f t="shared" si="5"/>
        <v>196</v>
      </c>
      <c r="Y34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{"issue":{"subject":"","project_id":79,"tracker_id":40,"status_id":1,"priority_id":2,"assigned_to_id":23,"start_date":"2017-06-26","description":"","custom_fields":[{"id":1,"name":"Subdivision","value":"EC"},{"id":4,"name":"Milepost","value":"0.0839"},{"id":17,"name":"Train ID","value":"196-26"},{"id":16,"name":"Locomotive ID","value":"4057"},{"id":130,"name":"Impact","value":""},{"id":150,"name":"Time of Event (Mountain Time)","value":"17:06:37"},{"id":151,"name":"Denver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/c/Users/stu/AppData/Local/Temp/OnboardLogs/RTDC4057 --include="*4057*201706262*"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"%USERPROFILE%\AppData\Local\Temp\OnboardLogs"\RTDC4057\*4057*201706262* &gt;&gt; 2017-06-26-SliceDisagreementCheck.txt</v>
      </c>
      <c r="AE34" s="145" t="str">
        <f t="shared" si="9"/>
        <v>start /low /b %USERPROFILE%\Documents\GitHub\eaglep3\Utilities\DownloadLogsFromS3.py --loco 4057 --day 2017-06-26</v>
      </c>
      <c r="AF34" s="1"/>
    </row>
    <row r="35" spans="1:32" x14ac:dyDescent="0.25">
      <c r="A35" s="31">
        <v>42912.734016203707</v>
      </c>
      <c r="B35" s="30" t="s">
        <v>505</v>
      </c>
      <c r="C35" s="30" t="s">
        <v>646</v>
      </c>
      <c r="D35" s="30" t="s">
        <v>49</v>
      </c>
      <c r="E35" s="30" t="s">
        <v>181</v>
      </c>
      <c r="F35" s="42">
        <v>0</v>
      </c>
      <c r="G35" s="42">
        <v>57</v>
      </c>
      <c r="H35" s="42">
        <v>1030</v>
      </c>
      <c r="I35" s="42">
        <v>973</v>
      </c>
      <c r="J35" s="30" t="s">
        <v>182</v>
      </c>
      <c r="K35" s="42">
        <v>839</v>
      </c>
      <c r="L35" s="131" t="s">
        <v>51</v>
      </c>
      <c r="M35" s="132">
        <f t="shared" si="0"/>
        <v>70.751999999999995</v>
      </c>
      <c r="N35" s="133" t="str">
        <f>VLOOKUP(C35,'Trips&amp;Operators'!$C$1:$G$99999,5,FALSE)</f>
        <v>SULLIVAN BRANDON</v>
      </c>
      <c r="O35" s="203" t="s">
        <v>180</v>
      </c>
      <c r="P35" s="134"/>
      <c r="Q35" s="30"/>
      <c r="R35" s="81" t="str">
        <f>VLOOKUP(C35,'Train Runs'!$A$13:$AE$9931,31,0)</f>
        <v>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 &amp; 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</v>
      </c>
      <c r="S35" s="84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-26T15:46:21-0600',mode:absolute,to:'2017-06-26T18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5" s="86" t="str">
        <f t="shared" si="1"/>
        <v>"C:\Program Files (x86)\AstroGrep\AstroGrep.exe" /e /r /s /spath="%USERPROFILE%\AppData\Local\Temp\OnboardLogs" /stypes="*4009*201706262*"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4009</v>
      </c>
      <c r="V35" s="31">
        <f t="shared" si="3"/>
        <v>42912.984016203707</v>
      </c>
      <c r="W35" s="45" t="str">
        <f t="shared" si="4"/>
        <v>EC</v>
      </c>
      <c r="X35" s="22">
        <f t="shared" si="5"/>
        <v>200</v>
      </c>
      <c r="Y35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{"issue":{"subject":"","project_id":79,"tracker_id":40,"status_id":1,"priority_id":2,"assigned_to_id":23,"start_date":"2017-06-26","description":"","custom_fields":[{"id":1,"name":"Subdivision","value":"EC"},{"id":4,"name":"Milepost","value":"0.0839"},{"id":17,"name":"Train ID","value":"200-26"},{"id":16,"name":"Locomotive ID","value":"4009"},{"id":130,"name":"Impact","value":""},{"id":150,"name":"Time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/c/Users/stu/AppData/Local/Temp/OnboardLogs/RTDC4009 --include="*4009*201706262*"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"%USERPROFILE%\AppData\Local\Temp\OnboardLogs"\RTDC4009\*4009*201706262* &gt;&gt; 2017-06-26-SliceDisagreementCheck.txt</v>
      </c>
      <c r="AE35" s="145" t="str">
        <f t="shared" si="9"/>
        <v>start /low /b %USERPROFILE%\Documents\GitHub\eaglep3\Utilities\DownloadLogsFromS3.py --loco 4009 --day 2017-06-26</v>
      </c>
      <c r="AF35" s="1"/>
    </row>
    <row r="36" spans="1:32" x14ac:dyDescent="0.25">
      <c r="A36" s="31">
        <v>42912.577013888891</v>
      </c>
      <c r="B36" s="30" t="s">
        <v>374</v>
      </c>
      <c r="C36" s="30" t="s">
        <v>638</v>
      </c>
      <c r="D36" s="30" t="s">
        <v>49</v>
      </c>
      <c r="E36" s="30" t="s">
        <v>181</v>
      </c>
      <c r="F36" s="42">
        <v>0</v>
      </c>
      <c r="G36" s="42">
        <v>53</v>
      </c>
      <c r="H36" s="42">
        <v>233293</v>
      </c>
      <c r="I36" s="42">
        <v>233387</v>
      </c>
      <c r="J36" s="30" t="s">
        <v>182</v>
      </c>
      <c r="K36" s="42">
        <v>233491</v>
      </c>
      <c r="L36" s="131" t="s">
        <v>50</v>
      </c>
      <c r="M36" s="132">
        <f t="shared" si="0"/>
        <v>54.911999999999999</v>
      </c>
      <c r="N36" s="133" t="str">
        <f>VLOOKUP(C36,'Trips&amp;Operators'!$C$1:$G$99999,5,FALSE)</f>
        <v>ROMERO CHAD</v>
      </c>
      <c r="O36" s="203" t="s">
        <v>180</v>
      </c>
      <c r="P36" s="134"/>
      <c r="Q36" s="30"/>
      <c r="R36" s="81" t="str">
        <f>VLOOKUP(C36,'Train Runs'!$A$13:$AE$9931,31,0)</f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S36" s="84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-26T12:09:36-0600',mode:absolute,to:'2017-06-26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6" s="86" t="str">
        <f t="shared" si="1"/>
        <v>"C:\Program Files (x86)\AstroGrep\AstroGrep.exe" /e /r /s /spath="%USERPROFILE%\AppData\Local\Temp\OnboardLogs" /stypes="*4014*201706261*" /stext=" 19:.+((SYSTEM_STATE.+slice.+state.+changed )|(ment ac)|(multiple cpu faults)|(system.+state.+changed )|(\[timeout)|(PRM\|1\|D)|(kpr)|(kdp)|(train st.+moving)|(\|lc)|(penalty))"</v>
      </c>
      <c r="U36" s="9" t="str">
        <f t="shared" si="2"/>
        <v>4014</v>
      </c>
      <c r="V36" s="31">
        <f t="shared" si="3"/>
        <v>42912.827013888891</v>
      </c>
      <c r="W36" s="45" t="str">
        <f t="shared" si="4"/>
        <v>EC</v>
      </c>
      <c r="X36" s="22">
        <f t="shared" si="5"/>
        <v>177</v>
      </c>
      <c r="Y36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{"issue":{"subject":"","project_id":79,"tracker_id":40,"status_id":1,"priority_id":2,"assigned_to_id":23,"start_date":"2017-06-26","description":"","custom_fields":[{"id":1,"name":"Subdivision","value":"EC"},{"id":4,"name":"Milepost","value":"23.3491"},{"id":17,"name":"Train ID","value":"177-26"},{"id":16,"name":"Locomotive ID","value":"4014"},{"id":130,"name":"Impact","value":""},{"id":150,"name":"Time of Event (Mountain Time)","value":"13:50:54"},{"id":151,"name":"Denver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/c/Users/stu/AppData/Local/Temp/OnboardLogs/RTDC4014 --include="*4014*201706261*"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"%USERPROFILE%\AppData\Local\Temp\OnboardLogs"\RTDC4014\*4014*201706261* &gt;&gt; 2017-06-26-SliceDisagreementCheck.txt</v>
      </c>
      <c r="AE36" s="145" t="str">
        <f t="shared" si="9"/>
        <v>start /low /b %USERPROFILE%\Documents\GitHub\eaglep3\Utilities\DownloadLogsFromS3.py --loco 4014 --day 2017-06-26</v>
      </c>
      <c r="AF36" s="1"/>
    </row>
    <row r="37" spans="1:32" x14ac:dyDescent="0.25">
      <c r="A37" s="31">
        <v>42912.723032407404</v>
      </c>
      <c r="B37" s="30" t="s">
        <v>374</v>
      </c>
      <c r="C37" s="30" t="s">
        <v>645</v>
      </c>
      <c r="D37" s="30" t="s">
        <v>49</v>
      </c>
      <c r="E37" s="30" t="s">
        <v>181</v>
      </c>
      <c r="F37" s="42">
        <v>0</v>
      </c>
      <c r="G37" s="42">
        <v>40</v>
      </c>
      <c r="H37" s="42">
        <v>233357</v>
      </c>
      <c r="I37" s="42">
        <v>233374</v>
      </c>
      <c r="J37" s="30" t="s">
        <v>182</v>
      </c>
      <c r="K37" s="42">
        <v>233491</v>
      </c>
      <c r="L37" s="131" t="s">
        <v>50</v>
      </c>
      <c r="M37" s="132">
        <f t="shared" si="0"/>
        <v>61.776000000000003</v>
      </c>
      <c r="N37" s="133" t="str">
        <f>VLOOKUP(C37,'Trips&amp;Operators'!$C$1:$G$99999,5,FALSE)</f>
        <v>ROMERO CHAD</v>
      </c>
      <c r="O37" s="203" t="s">
        <v>180</v>
      </c>
      <c r="P37" s="134"/>
      <c r="Q37" s="30"/>
      <c r="R37" s="81" t="str">
        <f>VLOOKUP(C37,'Train Runs'!$A$13:$AE$9931,31,0)</f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S37" s="84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-26T15:35:41-0600',mode:absolute,to:'2017-06-26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7" s="86" t="str">
        <f t="shared" si="1"/>
        <v>"C:\Program Files (x86)\AstroGrep\AstroGrep.exe" /e /r /s /spath="%USERPROFILE%\AppData\Local\Temp\OnboardLogs" /stypes="*4014*201706262*"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4014</v>
      </c>
      <c r="V37" s="31">
        <f t="shared" si="3"/>
        <v>42912.973032407404</v>
      </c>
      <c r="W37" s="45" t="str">
        <f t="shared" si="4"/>
        <v>EC</v>
      </c>
      <c r="X37" s="22">
        <f t="shared" si="5"/>
        <v>205</v>
      </c>
      <c r="Y37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{"issue":{"subject":"","project_id":79,"tracker_id":40,"status_id":1,"priority_id":2,"assigned_to_id":23,"start_date":"2017-06-26","description":"","custom_fields":[{"id":1,"name":"Subdivision","value":"EC"},{"id":4,"name":"Milepost","value":"23.3491"},{"id":17,"name":"Train ID","value":"205-26"},{"id":16,"name":"Locomotive ID","value":"4014"},{"id":130,"name":"Impact","value":""},{"id":150,"name":"Time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/c/Users/stu/AppData/Local/Temp/OnboardLogs/RTDC4014 --include="*4014*201706262*"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"%USERPROFILE%\AppData\Local\Temp\OnboardLogs"\RTDC4014\*4014*201706262* &gt;&gt; 2017-06-26-SliceDisagreementCheck.txt</v>
      </c>
      <c r="AE37" s="145" t="str">
        <f t="shared" si="9"/>
        <v>start /low /b %USERPROFILE%\Documents\GitHub\eaglep3\Utilities\DownloadLogsFromS3.py --loco 4014 --day 2017-06-26</v>
      </c>
      <c r="AF37" s="1"/>
    </row>
    <row r="38" spans="1:32" x14ac:dyDescent="0.25">
      <c r="A38" s="31">
        <v>42912.880879629629</v>
      </c>
      <c r="B38" s="30" t="s">
        <v>374</v>
      </c>
      <c r="C38" s="30" t="s">
        <v>650</v>
      </c>
      <c r="D38" s="30" t="s">
        <v>49</v>
      </c>
      <c r="E38" s="30" t="s">
        <v>181</v>
      </c>
      <c r="F38" s="42">
        <v>0</v>
      </c>
      <c r="G38" s="42">
        <v>38</v>
      </c>
      <c r="H38" s="42">
        <v>233301</v>
      </c>
      <c r="I38" s="42">
        <v>233326</v>
      </c>
      <c r="J38" s="30" t="s">
        <v>182</v>
      </c>
      <c r="K38" s="42">
        <v>233491</v>
      </c>
      <c r="L38" s="131" t="s">
        <v>50</v>
      </c>
      <c r="M38" s="132">
        <f t="shared" si="0"/>
        <v>87.12</v>
      </c>
      <c r="N38" s="133" t="str">
        <f>VLOOKUP(C38,'Trips&amp;Operators'!$C$1:$G$99999,5,FALSE)</f>
        <v>THOMPSON LESTER</v>
      </c>
      <c r="O38" s="203" t="s">
        <v>180</v>
      </c>
      <c r="P38" s="134"/>
      <c r="Q38" s="30"/>
      <c r="R38" s="81" t="str">
        <f>VLOOKUP(C38,'Train Runs'!$A$13:$AE$9931,31,0)</f>
        <v>aws s3 cp s3://rtdc.mdm.uploadarchive.raw/RTDC4014/ "%USERPROFILE%\AppData\Local\Temp\OnboardLogs"\RTDC4014\2017-06-26 --exclude "*" --recursive --include "*20170626*" &amp; "%USERPROFILE%\Documents\GitHub\mrs-test-scripts\Headless Mode &amp; Sideloading\WalkAndUnGZ.bat" "%USERPROFILE%\AppData\Local\Temp\OnboardLogs"\RTDC4014\2017-06-26 &amp; 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</v>
      </c>
      <c r="S38" s="84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-06-26T19:19:45-0600',mode:absolute,to:'2017-06-26T22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8" s="86" t="str">
        <f t="shared" si="1"/>
        <v>"C:\Program Files (x86)\AstroGrep\AstroGrep.exe" /e /r /s /spath="%USERPROFILE%\AppData\Local\Temp\OnboardLogs" /stypes="*4014*201706270*" /stext=" 03:.+((SYSTEM_STATE.+slice.+state.+changed )|(ment ac)|(multiple cpu faults)|(system.+state.+changed )|(\[timeout)|(PRM\|1\|D)|(kpr)|(kdp)|(train st.+moving)|(\|lc)|(penalty))"</v>
      </c>
      <c r="U38" s="9" t="str">
        <f t="shared" si="2"/>
        <v>4014</v>
      </c>
      <c r="V38" s="31">
        <f t="shared" si="3"/>
        <v>42913.130879629629</v>
      </c>
      <c r="W38" s="45" t="str">
        <f t="shared" si="4"/>
        <v>EC</v>
      </c>
      <c r="X38" s="22">
        <f t="shared" si="5"/>
        <v>227</v>
      </c>
      <c r="Y38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{"issue":{"subject":"","project_id":79,"tracker_id":40,"status_id":1,"priority_id":2,"assigned_to_id":23,"start_date":"2017-06-26","description":"","custom_fields":[{"id":1,"name":"Subdivision","value":"EC"},{"id":4,"name":"Milepost","value":"23.3491"},{"id":17,"name":"Train ID","value":"227-26"},{"id":16,"name":"Locomotive ID","value":"4014"},{"id":130,"name":"Impact","value":""},{"id":150,"name":"Time of Event (Mountain Time)","value":"21:08:28"},{"id":151,"name":"Denver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/c/Users/stu/AppData/Local/Temp/OnboardLogs/RTDC4014 --include="*4014*201706270*"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"%USERPROFILE%\AppData\Local\Temp\OnboardLogs"\RTDC4014\*4014*201706270* &gt;&gt; 2017-06-26-SliceDisagreementCheck.txt</v>
      </c>
      <c r="AE38" s="145" t="str">
        <f t="shared" si="9"/>
        <v>start /low /b %USERPROFILE%\Documents\GitHub\eaglep3\Utilities\DownloadLogsFromS3.py --loco 4014 --day 2017-06-27</v>
      </c>
      <c r="AF38" s="1"/>
    </row>
    <row r="39" spans="1:32" x14ac:dyDescent="0.25">
      <c r="A39" s="31">
        <v>42912.762719907405</v>
      </c>
      <c r="B39" s="30" t="s">
        <v>365</v>
      </c>
      <c r="C39" s="30" t="s">
        <v>647</v>
      </c>
      <c r="D39" s="30" t="s">
        <v>49</v>
      </c>
      <c r="E39" s="30" t="s">
        <v>200</v>
      </c>
      <c r="F39" s="42">
        <v>300</v>
      </c>
      <c r="G39" s="42">
        <v>538</v>
      </c>
      <c r="H39" s="42">
        <v>25410</v>
      </c>
      <c r="I39" s="42">
        <v>23760</v>
      </c>
      <c r="J39" s="30" t="s">
        <v>201</v>
      </c>
      <c r="K39" s="42">
        <v>23561</v>
      </c>
      <c r="L39" s="131" t="s">
        <v>51</v>
      </c>
      <c r="M39" s="132">
        <f t="shared" ref="M39:M55" si="10">CONVERT((I39-K39)/10000,"mi","ft")*IF(L39="Increasing Mileposts (1)",-1,1)</f>
        <v>105.072</v>
      </c>
      <c r="N39" s="133" t="str">
        <f>VLOOKUP(C39,'Trips&amp;Operators'!$C$1:$G$99999,5,FALSE)</f>
        <v>STAMBAUGH JAMES</v>
      </c>
      <c r="O39" s="203" t="s">
        <v>180</v>
      </c>
      <c r="P39" s="134"/>
      <c r="Q39" s="30"/>
      <c r="R39" s="81" t="str">
        <f>VLOOKUP(C39,'Train Runs'!$A$13:$AE$9931,31,0)</f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S39" s="84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-06-26T17:06:36-0600',mode:absolute,to:'2017-06-26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9" s="86" t="str">
        <f t="shared" ref="T39:T55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/stypes="*4021*201706270*" /stext=" 00:.+((SYSTEM_STATE.+slice.+state.+changed )|(ment ac)|(multiple cpu faults)|(system.+state.+changed )|(\[timeout)|(PRM\|1\|D)|(kpr)|(kdp)|(train st.+moving)|(\|lc)|(penalty))"</v>
      </c>
      <c r="U39" s="9" t="str">
        <f t="shared" ref="U39:U55" si="12">MID(B39,13,4)</f>
        <v>4021</v>
      </c>
      <c r="V39" s="31">
        <f t="shared" ref="V39:V55" si="13">A39-utc_offset/24</f>
        <v>42913.012719907405</v>
      </c>
      <c r="W39" s="45" t="str">
        <f t="shared" ref="W39:W55" si="14">DetSubdiv(C39)</f>
        <v>NW</v>
      </c>
      <c r="X39" s="22">
        <f t="shared" ref="X39:X55" si="15">VALUE(LEFT(C39,LEN(C39)-3))</f>
        <v>836</v>
      </c>
      <c r="Y39" s="96" t="str">
        <f t="shared" ref="Y39:Y55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{"issue":{"subject":"","project_id":79,"tracker_id":40,"status_id":1,"priority_id":2,"assigned_to_id":23,"start_date":"2017-06-26","description":"","custom_fields":[{"id":1,"name":"Subdivision","value":"NW"},{"id":4,"name":"Milepost","value":"2.3561"},{"id":17,"name":"Train ID","value":"836-26"},{"id":16,"name":"Locomotive ID","value":"4021"},{"id":130,"name":"Impact","value":""},{"id":150,"name":"Time of Event (Mountain Time)","value":"18:18:19"},{"id":151,"name":"Denver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5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/c/Users/stu/AppData/Local/Temp/OnboardLogs/RTDC4021 --include="*4021*201706270*"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"%USERPROFILE%\AppData\Local\Temp\OnboardLogs"\RTDC4021\*4021*201706270* &gt;&gt; 2017-06-26-SliceDisagreementCheck.txt</v>
      </c>
      <c r="AE39" s="145" t="str">
        <f t="shared" si="9"/>
        <v>start /low /b %USERPROFILE%\Documents\GitHub\eaglep3\Utilities\DownloadLogsFromS3.py --loco 4021 --day 2017-06-27</v>
      </c>
      <c r="AF39" s="1"/>
    </row>
    <row r="40" spans="1:32" x14ac:dyDescent="0.25">
      <c r="A40" s="31">
        <v>42912.767523148148</v>
      </c>
      <c r="B40" s="30" t="s">
        <v>365</v>
      </c>
      <c r="C40" s="30" t="s">
        <v>647</v>
      </c>
      <c r="D40" s="30" t="s">
        <v>49</v>
      </c>
      <c r="E40" s="30" t="s">
        <v>181</v>
      </c>
      <c r="F40" s="42">
        <v>0</v>
      </c>
      <c r="G40" s="42">
        <v>50</v>
      </c>
      <c r="H40" s="42">
        <v>724</v>
      </c>
      <c r="I40" s="42">
        <v>684</v>
      </c>
      <c r="J40" s="30" t="s">
        <v>182</v>
      </c>
      <c r="K40" s="42">
        <v>575</v>
      </c>
      <c r="L40" s="131" t="s">
        <v>51</v>
      </c>
      <c r="M40" s="132">
        <f t="shared" si="10"/>
        <v>57.552</v>
      </c>
      <c r="N40" s="133" t="str">
        <f>VLOOKUP(C40,'Trips&amp;Operators'!$C$1:$G$99999,5,FALSE)</f>
        <v>STAMBAUGH JAMES</v>
      </c>
      <c r="O40" s="203" t="s">
        <v>180</v>
      </c>
      <c r="P40" s="134"/>
      <c r="Q40" s="30"/>
      <c r="R40" s="81" t="str">
        <f>VLOOKUP(C40,'Train Runs'!$A$13:$AE$9931,31,0)</f>
        <v>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 &amp; aws s3 cp s3://rtdc.mdm.uploadarchive.raw/RTDC4021/ "%USERPROFILE%\AppData\Local\Temp\OnboardLogs"\RTDC4021\2017-06-27 --exclude "*" --recursive --include "*20170627*" &amp; "%USERPROFILE%\Documents\GitHub\mrs-test-scripts\Headless Mode &amp; Sideloading\WalkAndUnGZ.bat" "%USERPROFILE%\AppData\Local\Temp\OnboardLogs"\RTDC4021\2017-06-27</v>
      </c>
      <c r="S40" s="84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-06-26T17:06:36-0600',mode:absolute,to:'2017-06-26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0" s="86" t="str">
        <f t="shared" si="11"/>
        <v>"C:\Program Files (x86)\AstroGrep\AstroGrep.exe" /e /r /s /spath="%USERPROFILE%\AppData\Local\Temp\OnboardLogs" /stypes="*4021*201706270*" /stext=" 00:.+((SYSTEM_STATE.+slice.+state.+changed )|(ment ac)|(multiple cpu faults)|(system.+state.+changed )|(\[timeout)|(PRM\|1\|D)|(kpr)|(kdp)|(train st.+moving)|(\|lc)|(penalty))"</v>
      </c>
      <c r="U40" s="9" t="str">
        <f t="shared" si="12"/>
        <v>4021</v>
      </c>
      <c r="V40" s="31">
        <f t="shared" si="13"/>
        <v>42913.017523148148</v>
      </c>
      <c r="W40" s="45" t="str">
        <f t="shared" si="14"/>
        <v>NW</v>
      </c>
      <c r="X40" s="22">
        <f t="shared" si="15"/>
        <v>836</v>
      </c>
      <c r="Y40" s="96" t="str">
        <f t="shared" si="16"/>
        <v>echo {"issue":{"subject":"","project_id":79,"tracker_id":40,"status_id":1,"priority_id":2,"assigned_to_id":23,"start_date":"2017-06-26","description":"","custom_fields":[{"id":1,"name":"Subdivision","value":"NW"},{"id":4,"name":"Milepost","value":"0.0575"},{"id":17,"name":"Train ID","value":"836-26"},{"id":16,"name":"Locomotive ID","value":"4021"},{"id":130,"name":"Impact","value":""},{"id":150,"name":"Time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/c/Users/stu/AppData/Local/Temp/OnboardLogs/RTDC4021 --include="*4021*201706270*"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"%USERPROFILE%\AppData\Local\Temp\OnboardLogs"\RTDC4021\*4021*201706270* &gt;&gt; 2017-06-26-SliceDisagreementCheck.txt</v>
      </c>
      <c r="AE40" s="145" t="str">
        <f t="shared" si="9"/>
        <v>start /low /b %USERPROFILE%\Documents\GitHub\eaglep3\Utilities\DownloadLogsFromS3.py --loco 4021 --day 2017-06-27</v>
      </c>
      <c r="AF40" s="1"/>
    </row>
    <row r="41" spans="1:32" x14ac:dyDescent="0.25">
      <c r="A41" s="31">
        <v>42912.913182870368</v>
      </c>
      <c r="B41" s="30" t="s">
        <v>651</v>
      </c>
      <c r="C41" s="30" t="s">
        <v>652</v>
      </c>
      <c r="D41" s="30" t="s">
        <v>49</v>
      </c>
      <c r="E41" s="30" t="s">
        <v>181</v>
      </c>
      <c r="F41" s="42">
        <v>0</v>
      </c>
      <c r="G41" s="42">
        <v>36</v>
      </c>
      <c r="H41" s="42">
        <v>699</v>
      </c>
      <c r="I41" s="42">
        <v>687</v>
      </c>
      <c r="J41" s="30" t="s">
        <v>182</v>
      </c>
      <c r="K41" s="42">
        <v>575</v>
      </c>
      <c r="L41" s="131" t="s">
        <v>51</v>
      </c>
      <c r="M41" s="132">
        <f t="shared" si="10"/>
        <v>59.136000000000003</v>
      </c>
      <c r="N41" s="133" t="str">
        <f>VLOOKUP(C41,'Trips&amp;Operators'!$C$1:$G$99999,5,FALSE)</f>
        <v>STAMBAUGH JAMES</v>
      </c>
      <c r="O41" s="203" t="s">
        <v>180</v>
      </c>
      <c r="P41" s="134"/>
      <c r="Q41" s="30"/>
      <c r="R41" s="81" t="str">
        <f>VLOOKUP(C41,'Train Runs'!$A$13:$AE$9931,31,0)</f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S41" s="84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-06-26T20:35:54-0600',mode:absolute,to:'2017-06-26T22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86" t="str">
        <f t="shared" si="11"/>
        <v>"C:\Program Files (x86)\AstroGrep\AstroGrep.exe" /e /r /s /spath="%USERPROFILE%\AppData\Local\Temp\OnboardLogs" /stypes="*4041*201706270*" /stext=" 03:.+((SYSTEM_STATE.+slice.+state.+changed )|(ment ac)|(multiple cpu faults)|(system.+state.+changed )|(\[timeout)|(PRM\|1\|D)|(kpr)|(kdp)|(train st.+moving)|(\|lc)|(penalty))"</v>
      </c>
      <c r="U41" s="9" t="str">
        <f t="shared" si="12"/>
        <v>4041</v>
      </c>
      <c r="V41" s="31">
        <f t="shared" si="13"/>
        <v>42913.163182870368</v>
      </c>
      <c r="W41" s="45" t="str">
        <f t="shared" si="14"/>
        <v>NW</v>
      </c>
      <c r="X41" s="22">
        <f t="shared" si="15"/>
        <v>844</v>
      </c>
      <c r="Y41" s="96" t="str">
        <f t="shared" si="16"/>
        <v>echo {"issue":{"subject":"","project_id":79,"tracker_id":40,"status_id":1,"priority_id":2,"assigned_to_id":23,"start_date":"2017-06-26","description":"","custom_fields":[{"id":1,"name":"Subdivision","value":"NW"},{"id":4,"name":"Milepost","value":"0.0575"},{"id":17,"name":"Train ID","value":"844-26"},{"id":16,"name":"Locomotive ID","value":"4041"},{"id":130,"name":"Impact","value":""},{"id":150,"name":"Time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/c/Users/stu/AppData/Local/Temp/OnboardLogs/RTDC4041 --include="*4041*201706270*"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"%USERPROFILE%\AppData\Local\Temp\OnboardLogs"\RTDC4041\*4041*201706270* &gt;&gt; 2017-06-26-SliceDisagreementCheck.txt</v>
      </c>
      <c r="AE41" s="145" t="str">
        <f t="shared" si="9"/>
        <v>start /low /b %USERPROFILE%\Documents\GitHub\eaglep3\Utilities\DownloadLogsFromS3.py --loco 4041 --day 2017-06-27</v>
      </c>
      <c r="AF41" s="1"/>
    </row>
    <row r="42" spans="1:32" x14ac:dyDescent="0.25">
      <c r="A42" s="31">
        <v>42912.566990740743</v>
      </c>
      <c r="B42" s="30" t="s">
        <v>357</v>
      </c>
      <c r="C42" s="30" t="s">
        <v>637</v>
      </c>
      <c r="D42" s="30" t="s">
        <v>49</v>
      </c>
      <c r="E42" s="30" t="s">
        <v>181</v>
      </c>
      <c r="F42" s="42">
        <v>0</v>
      </c>
      <c r="G42" s="42">
        <v>21</v>
      </c>
      <c r="H42" s="42">
        <v>58988</v>
      </c>
      <c r="I42" s="42">
        <v>58993</v>
      </c>
      <c r="J42" s="30" t="s">
        <v>182</v>
      </c>
      <c r="K42" s="42">
        <v>59048</v>
      </c>
      <c r="L42" s="131" t="s">
        <v>50</v>
      </c>
      <c r="M42" s="132">
        <f t="shared" si="10"/>
        <v>29.04</v>
      </c>
      <c r="N42" s="133" t="str">
        <f>VLOOKUP(C42,'Trips&amp;Operators'!$C$1:$G$99999,5,FALSE)</f>
        <v>NELSON ARIANE</v>
      </c>
      <c r="O42" s="203" t="s">
        <v>180</v>
      </c>
      <c r="P42" s="134"/>
      <c r="Q42" s="30"/>
      <c r="R42" s="81" t="str">
        <f>VLOOKUP(C42,'Train Runs'!$A$13:$AE$9931,31,0)</f>
        <v>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 &amp; 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</v>
      </c>
      <c r="S42" s="84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-06-26T12:14:35-0600',mode:absolute,to:'2017-06-26T14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86" t="str">
        <f t="shared" si="11"/>
        <v>"C:\Program Files (x86)\AstroGrep\AstroGrep.exe" /e /r /s /spath="%USERPROFILE%\AppData\Local\Temp\OnboardLogs" /stypes="*4042*201706261*" /stext=" 19:.+((SYSTEM_STATE.+slice.+state.+changed )|(ment ac)|(multiple cpu faults)|(system.+state.+changed )|(\[timeout)|(PRM\|1\|D)|(kpr)|(kdp)|(train st.+moving)|(\|lc)|(penalty))"</v>
      </c>
      <c r="U42" s="9" t="str">
        <f t="shared" si="12"/>
        <v>4042</v>
      </c>
      <c r="V42" s="31">
        <f t="shared" si="13"/>
        <v>42912.816990740743</v>
      </c>
      <c r="W42" s="45" t="str">
        <f t="shared" si="14"/>
        <v>NW</v>
      </c>
      <c r="X42" s="22">
        <f t="shared" si="15"/>
        <v>821</v>
      </c>
      <c r="Y42" s="96" t="str">
        <f t="shared" si="16"/>
        <v>echo {"issue":{"subject":"","project_id":79,"tracker_id":40,"status_id":1,"priority_id":2,"assigned_to_id":23,"start_date":"2017-06-26","description":"","custom_fields":[{"id":1,"name":"Subdivision","value":"NW"},{"id":4,"name":"Milepost","value":"5.9048"},{"id":17,"name":"Train ID","value":"821-26"},{"id":16,"name":"Locomotive ID","value":"4042"},{"id":130,"name":"Impact","value":""},{"id":150,"name":"Time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/c/Users/stu/AppData/Local/Temp/OnboardLogs/RTDC4042 --include="*4042*201706261*"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"%USERPROFILE%\AppData\Local\Temp\OnboardLogs"\RTDC4042\*4042*201706261* &gt;&gt; 2017-06-26-SliceDisagreementCheck.txt</v>
      </c>
      <c r="AE42" s="145" t="str">
        <f t="shared" si="9"/>
        <v>start /low /b %USERPROFILE%\Documents\GitHub\eaglep3\Utilities\DownloadLogsFromS3.py --loco 4042 --day 2017-06-26</v>
      </c>
      <c r="AF42" s="1"/>
    </row>
    <row r="43" spans="1:32" x14ac:dyDescent="0.25">
      <c r="A43" s="31">
        <v>42913.050740740742</v>
      </c>
      <c r="B43" s="30" t="s">
        <v>549</v>
      </c>
      <c r="C43" s="30" t="s">
        <v>657</v>
      </c>
      <c r="D43" s="30" t="s">
        <v>96</v>
      </c>
      <c r="E43" s="30" t="s">
        <v>200</v>
      </c>
      <c r="F43" s="42">
        <v>150</v>
      </c>
      <c r="G43" s="42">
        <v>200</v>
      </c>
      <c r="H43" s="42">
        <v>5143</v>
      </c>
      <c r="I43" s="42">
        <v>5457</v>
      </c>
      <c r="J43" s="30" t="s">
        <v>201</v>
      </c>
      <c r="K43" s="42">
        <v>3478</v>
      </c>
      <c r="L43" s="131" t="s">
        <v>50</v>
      </c>
      <c r="M43" s="132">
        <f t="shared" si="10"/>
        <v>-1044.912</v>
      </c>
      <c r="N43" s="133" t="str">
        <f>VLOOKUP(C43,'Trips&amp;Operators'!$C$1:$G$99999,5,FALSE)</f>
        <v>SMITH MICHAEL</v>
      </c>
      <c r="O43" s="203" t="s">
        <v>180</v>
      </c>
      <c r="P43" s="134"/>
      <c r="Q43" s="30"/>
      <c r="R43" s="81" t="str">
        <f>VLOOKUP(C43,'Train Runs'!$A$13:$AE$9931,31,0)</f>
        <v>aws s3 cp s3://rtdc.mdm.uploadarchive.raw/RTDC4058/ "%USERPROFILE%\AppData\Local\Temp\OnboardLogs"\RTDC4058\2017-06-27 --exclude "*" --recursive --include "*20170627*" &amp; "%USERPROFILE%\Documents\GitHub\mrs-test-scripts\Headless Mode &amp; Sideloading\WalkAndUnGZ.bat" "%USERPROFILE%\AppData\Local\Temp\OnboardLogs"\RTDC4058\2017-06-27 &amp; aws s3 cp s3://rtdc.mdm.uploadarchive.raw/RTDC4058/ "%USERPROFILE%\AppData\Local\Temp\OnboardLogs"\RTDC4058\2017-06-28 --exclude "*" --recursive --include "*20170628*" &amp; "%USERPROFILE%\Documents\GitHub\mrs-test-scripts\Headless Mode &amp; Sideloading\WalkAndUnGZ.bat" "%USERPROFILE%\AppData\Local\Temp\OnboardLogs"\RTDC4058\2017-06-28</v>
      </c>
      <c r="S43" s="84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-06-27T00:08:40-0600',mode:absolute,to:'2017-06-27T02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3" s="86" t="str">
        <f t="shared" si="11"/>
        <v>"C:\Program Files (x86)\AstroGrep\AstroGrep.exe" /e /r /s /spath="%USERPROFILE%\AppData\Local\Temp\OnboardLogs" /stypes="*4058*201706270*" /stext=" 07:.+((SYSTEM_STATE.+slice.+state.+changed )|(ment ac)|(multiple cpu faults)|(system.+state.+changed )|(\[timeout)|(PRM\|1\|D)|(kpr)|(kdp)|(train st.+moving)|(\|lc)|(penalty))"</v>
      </c>
      <c r="U43" s="9" t="str">
        <f t="shared" si="12"/>
        <v>4058</v>
      </c>
      <c r="V43" s="31">
        <f t="shared" si="13"/>
        <v>42913.300740740742</v>
      </c>
      <c r="W43" s="45" t="str">
        <f t="shared" si="14"/>
        <v>Other</v>
      </c>
      <c r="X43" s="22">
        <f t="shared" si="15"/>
        <v>309</v>
      </c>
      <c r="Y43" s="96" t="str">
        <f t="shared" si="16"/>
        <v>echo {"issue":{"subject":"","project_id":79,"tracker_id":40,"status_id":1,"priority_id":2,"assigned_to_id":23,"start_date":"2017-06-27","description":"","custom_fields":[{"id":1,"name":"Subdivision","value":"Other"},{"id":4,"name":"Milepost","value":"0.3478"},{"id":17,"name":"Train ID","value":"309-26"},{"id":16,"name":"Locomotive ID","value":"4058"},{"id":130,"name":"Impact","value":""},{"id":150,"name":"Time of Event (Mountain Time)","value":"01:13:04"},{"id":151,"name":"Denver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/c/Users/stu/AppData/Local/Temp/OnboardLogs/RTDC4058 --include="*4058*201706270*"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"%USERPROFILE%\AppData\Local\Temp\OnboardLogs"\RTDC4058\*4058*201706270* &gt;&gt; 2017-06-26-SliceDisagreementCheck.txt</v>
      </c>
      <c r="AE43" s="145" t="str">
        <f t="shared" si="9"/>
        <v>start /low /b %USERPROFILE%\Documents\GitHub\eaglep3\Utilities\DownloadLogsFromS3.py --loco 4058 --day 2017-06-27</v>
      </c>
      <c r="AF43" s="1"/>
    </row>
    <row r="44" spans="1:32" x14ac:dyDescent="0.25">
      <c r="A44" s="31">
        <v>42912.949884259258</v>
      </c>
      <c r="B44" s="30" t="s">
        <v>357</v>
      </c>
      <c r="C44" s="30" t="s">
        <v>653</v>
      </c>
      <c r="D44" s="30" t="s">
        <v>96</v>
      </c>
      <c r="E44" s="30" t="s">
        <v>361</v>
      </c>
      <c r="F44" s="42">
        <v>0</v>
      </c>
      <c r="G44" s="42">
        <v>29</v>
      </c>
      <c r="H44" s="42">
        <v>22397</v>
      </c>
      <c r="I44" s="42">
        <v>22408</v>
      </c>
      <c r="J44" s="30" t="s">
        <v>362</v>
      </c>
      <c r="K44" s="42">
        <v>22314</v>
      </c>
      <c r="L44" s="131" t="s">
        <v>50</v>
      </c>
      <c r="M44" s="132">
        <f t="shared" si="10"/>
        <v>-49.631999999999998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Runs'!$A$13:$AE$9931,31,0)</f>
        <v>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 &amp; 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</v>
      </c>
      <c r="S44" s="84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-06-26T21:37:05-0600',mode:absolute,to:'2017-06-26T23:47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86" t="str">
        <f t="shared" si="11"/>
        <v>"C:\Program Files (x86)\AstroGrep\AstroGrep.exe" /e /r /s /spath="%USERPROFILE%\AppData\Local\Temp\OnboardLogs" /stypes="*4042*201706270*" /stext=" 04:.+((SYSTEM_STATE.+slice.+state.+changed )|(ment ac)|(multiple cpu faults)|(system.+state.+changed )|(\[timeout)|(PRM\|1\|D)|(kpr)|(kdp)|(train st.+moving)|(\|lc)|(penalty))"</v>
      </c>
      <c r="U44" s="9" t="str">
        <f t="shared" si="12"/>
        <v>4042</v>
      </c>
      <c r="V44" s="31">
        <f t="shared" si="13"/>
        <v>42913.199884259258</v>
      </c>
      <c r="W44" s="45" t="str">
        <f t="shared" si="14"/>
        <v>Other</v>
      </c>
      <c r="X44" s="22">
        <f t="shared" si="15"/>
        <v>908</v>
      </c>
      <c r="Y44" s="96" t="str">
        <f t="shared" si="16"/>
        <v>echo {"issue":{"subject":"","project_id":79,"tracker_id":40,"status_id":1,"priority_id":2,"assigned_to_id":23,"start_date":"2017-06-26","description":"","custom_fields":[{"id":1,"name":"Subdivision","value":"Other"},{"id":4,"name":"Milepost","value":"2.2314"},{"id":17,"name":"Train ID","value":"908-26"},{"id":16,"name":"Locomotive ID","value":"4042"},{"id":130,"name":"Impact","value":""},{"id":150,"name":"Time of Event (Mountain Time)","value":"22:47:50"},{"id":151,"name":"Denver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/c/Users/stu/AppData/Local/Temp/OnboardLogs/RTDC4042 --include="*4042*201706270*"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"%USERPROFILE%\AppData\Local\Temp\OnboardLogs"\RTDC4042\*4042*201706270* &gt;&gt; 2017-06-26-SliceDisagreementCheck.txt</v>
      </c>
      <c r="AE44" s="145" t="str">
        <f t="shared" si="9"/>
        <v>start /low /b %USERPROFILE%\Documents\GitHub\eaglep3\Utilities\DownloadLogsFromS3.py --loco 4042 --day 2017-06-27</v>
      </c>
      <c r="AF44" s="1"/>
    </row>
    <row r="45" spans="1:32" x14ac:dyDescent="0.25">
      <c r="A45" s="31">
        <v>42912.355185185188</v>
      </c>
      <c r="B45" s="30" t="s">
        <v>341</v>
      </c>
      <c r="C45" s="30" t="s">
        <v>626</v>
      </c>
      <c r="D45" s="30" t="s">
        <v>96</v>
      </c>
      <c r="E45" s="30" t="s">
        <v>503</v>
      </c>
      <c r="F45" s="42">
        <v>0</v>
      </c>
      <c r="G45" s="42">
        <v>130</v>
      </c>
      <c r="H45" s="42">
        <v>2240</v>
      </c>
      <c r="I45" s="42">
        <v>0</v>
      </c>
      <c r="J45" s="30" t="s">
        <v>504</v>
      </c>
      <c r="K45" s="42">
        <v>1725</v>
      </c>
      <c r="L45" s="131" t="s">
        <v>50</v>
      </c>
      <c r="M45" s="132">
        <f t="shared" si="10"/>
        <v>910.8</v>
      </c>
      <c r="N45" s="133" t="str">
        <f>VLOOKUP(C45,'Trips&amp;Operators'!$C$1:$G$99999,5,FALSE)</f>
        <v>DAVIDSON DAVID</v>
      </c>
      <c r="O45" s="203" t="s">
        <v>180</v>
      </c>
      <c r="P45" s="134"/>
      <c r="Q45" s="30"/>
      <c r="R45" s="81" t="str">
        <f>VLOOKUP(C45,'Train Runs'!$A$13:$AE$9931,31,0)</f>
        <v>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 &amp; aws s3 cp s3://rtdc.mdm.uploadarchive.raw/RTDC4022/ "%USERPROFILE%\AppData\Local\Temp\OnboardLogs"\RTDC4022\2017-06-27 --exclude "*" --recursive --include "*20170627*" &amp; "%USERPROFILE%\Documents\GitHub\mrs-test-scripts\Headless Mode &amp; Sideloading\WalkAndUnGZ.bat" "%USERPROFILE%\AppData\Local\Temp\OnboardLogs"\RTDC4022\2017-06-27</v>
      </c>
      <c r="S45" s="84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-06-26T07:28:28-0600',mode:absolute,to:'2017-06-26T09:31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5" s="86" t="str">
        <f t="shared" si="11"/>
        <v>"C:\Program Files (x86)\AstroGrep\AstroGrep.exe" /e /r /s /spath="%USERPROFILE%\AppData\Local\Temp\OnboardLogs" /stypes="*4022*201706261*" /stext=" 14:.+((SYSTEM_STATE.+slice.+state.+changed )|(ment ac)|(multiple cpu faults)|(system.+state.+changed )|(\[timeout)|(PRM\|1\|D)|(kpr)|(kdp)|(train st.+moving)|(\|lc)|(penalty))"</v>
      </c>
      <c r="U45" s="9" t="str">
        <f t="shared" si="12"/>
        <v>4022</v>
      </c>
      <c r="V45" s="31">
        <f t="shared" si="13"/>
        <v>42912.605185185188</v>
      </c>
      <c r="W45" s="45" t="str">
        <f t="shared" si="14"/>
        <v>Other</v>
      </c>
      <c r="X45" s="22">
        <f t="shared" si="15"/>
        <v>903</v>
      </c>
      <c r="Y45" s="96" t="str">
        <f t="shared" si="16"/>
        <v>echo {"issue":{"subject":"","project_id":79,"tracker_id":40,"status_id":1,"priority_id":2,"assigned_to_id":23,"start_date":"2017-06-26","description":"","custom_fields":[{"id":1,"name":"Subdivision","value":"Other"},{"id":4,"name":"Milepost","value":"0.1725"},{"id":17,"name":"Train ID","value":"903-26"},{"id":16,"name":"Locomotive ID","value":"4022"},{"id":130,"name":"Impact","value":""},{"id":150,"name":"Time of Event (Mountain Time)","value":"08:31:28"},{"id":151,"name":"Denver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/c/Users/stu/AppData/Local/Temp/OnboardLogs/RTDC4022 --include="*4022*201706261*"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"%USERPROFILE%\AppData\Local\Temp\OnboardLogs"\RTDC4022\*4022*201706261* &gt;&gt; 2017-06-26-SliceDisagreementCheck.txt</v>
      </c>
      <c r="AE45" s="145" t="str">
        <f t="shared" si="9"/>
        <v>start /low /b %USERPROFILE%\Documents\GitHub\eaglep3\Utilities\DownloadLogsFromS3.py --loco 4022 --day 2017-06-26</v>
      </c>
      <c r="AF45" s="1"/>
    </row>
    <row r="46" spans="1:32" x14ac:dyDescent="0.25">
      <c r="A46" s="31">
        <v>42912.707395833335</v>
      </c>
      <c r="B46" s="30" t="s">
        <v>453</v>
      </c>
      <c r="C46" s="30" t="s">
        <v>640</v>
      </c>
      <c r="D46" s="30" t="s">
        <v>49</v>
      </c>
      <c r="E46" s="30" t="s">
        <v>187</v>
      </c>
      <c r="F46" s="42">
        <v>360</v>
      </c>
      <c r="G46" s="42">
        <v>412</v>
      </c>
      <c r="H46" s="42">
        <v>49052</v>
      </c>
      <c r="I46" s="42">
        <v>50002</v>
      </c>
      <c r="J46" s="30" t="s">
        <v>188</v>
      </c>
      <c r="K46" s="42">
        <v>49872</v>
      </c>
      <c r="L46" s="131" t="s">
        <v>50</v>
      </c>
      <c r="M46" s="132">
        <f t="shared" si="10"/>
        <v>-68.64</v>
      </c>
      <c r="N46" s="133" t="str">
        <f>VLOOKUP(C46,'Trips&amp;Operators'!$C$1:$G$99999,5,FALSE)</f>
        <v>STORY SAMANTHA</v>
      </c>
      <c r="O46" s="203" t="s">
        <v>180</v>
      </c>
      <c r="P46" s="134"/>
      <c r="Q46" s="30"/>
      <c r="R46" s="81" t="str">
        <f>VLOOKUP(C46,'Train Runs'!$A$13:$AE$9931,31,0)</f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S46" s="84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6" s="86" t="str">
        <f t="shared" si="11"/>
        <v>"C:\Program Files (x86)\AstroGrep\AstroGrep.exe" /e /r /s /spath="%USERPROFILE%\AppData\Local\Temp\OnboardLogs" /stypes="*4032*201706262*" /stext=" 22:.+((SYSTEM_STATE.+slice.+state.+changed )|(ment ac)|(multiple cpu faults)|(system.+state.+changed )|(\[timeout)|(PRM\|1\|D)|(kpr)|(kdp)|(train st.+moving)|(\|lc)|(penalty))"</v>
      </c>
      <c r="U46" s="9" t="str">
        <f t="shared" si="12"/>
        <v>4032</v>
      </c>
      <c r="V46" s="31">
        <f t="shared" si="13"/>
        <v>42912.957395833335</v>
      </c>
      <c r="W46" s="45" t="str">
        <f t="shared" si="14"/>
        <v>Shuttle/Test</v>
      </c>
      <c r="X46" s="22">
        <f t="shared" si="15"/>
        <v>59</v>
      </c>
      <c r="Y46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4.9872"},{"id":17,"name":"Train ID","value":"59-26"},{"id":16,"name":"Locomotive ID","value":"4032"},{"id":130,"name":"Impact","value":""},{"id":150,"name":"Time of Event (Mountain Time)","value":"16:58:39"},{"id":151,"name":"Denver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/c/Users/stu/AppData/Local/Temp/OnboardLogs/RTDC4032 --include="*4032*201706262*"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"%USERPROFILE%\AppData\Local\Temp\OnboardLogs"\RTDC4032\*4032*201706262* &gt;&gt; 2017-06-26-SliceDisagreementCheck.txt</v>
      </c>
      <c r="AE46" s="145" t="str">
        <f t="shared" si="9"/>
        <v>start /low /b %USERPROFILE%\Documents\GitHub\eaglep3\Utilities\DownloadLogsFromS3.py --loco 4032 --day 2017-06-26</v>
      </c>
      <c r="AF46" s="1"/>
    </row>
    <row r="47" spans="1:32" x14ac:dyDescent="0.25">
      <c r="A47" s="31">
        <v>42912.659594907411</v>
      </c>
      <c r="B47" s="30" t="s">
        <v>547</v>
      </c>
      <c r="C47" s="30" t="s">
        <v>640</v>
      </c>
      <c r="D47" s="30" t="s">
        <v>49</v>
      </c>
      <c r="E47" s="30" t="s">
        <v>200</v>
      </c>
      <c r="F47" s="42">
        <v>300</v>
      </c>
      <c r="G47" s="42">
        <v>367</v>
      </c>
      <c r="H47" s="42">
        <v>48940</v>
      </c>
      <c r="I47" s="42">
        <v>48007</v>
      </c>
      <c r="J47" s="30" t="s">
        <v>201</v>
      </c>
      <c r="K47" s="42">
        <v>47783</v>
      </c>
      <c r="L47" s="131" t="s">
        <v>51</v>
      </c>
      <c r="M47" s="132">
        <f t="shared" si="10"/>
        <v>118.27200000000001</v>
      </c>
      <c r="N47" s="133" t="str">
        <f>VLOOKUP(C47,'Trips&amp;Operators'!$C$1:$G$99999,5,FALSE)</f>
        <v>STORY SAMANTHA</v>
      </c>
      <c r="O47" s="203" t="s">
        <v>180</v>
      </c>
      <c r="P47" s="134"/>
      <c r="Q47" s="30"/>
      <c r="R47" s="81" t="str">
        <f>VLOOKUP(C47,'Train Runs'!$A$13:$AE$9931,31,0)</f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S47" s="84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7" s="86" t="str">
        <f t="shared" si="11"/>
        <v>"C:\Program Files (x86)\AstroGrep\AstroGrep.exe" /e /r /s /spath="%USERPROFILE%\AppData\Local\Temp\OnboardLogs" /stypes="*4031*201706262*" /stext=" 21:.+((SYSTEM_STATE.+slice.+state.+changed )|(ment ac)|(multiple cpu faults)|(system.+state.+changed )|(\[timeout)|(PRM\|1\|D)|(kpr)|(kdp)|(train st.+moving)|(\|lc)|(penalty))"</v>
      </c>
      <c r="U47" s="9" t="str">
        <f t="shared" si="12"/>
        <v>4031</v>
      </c>
      <c r="V47" s="31">
        <f t="shared" si="13"/>
        <v>42912.909594907411</v>
      </c>
      <c r="W47" s="45" t="str">
        <f t="shared" si="14"/>
        <v>Shuttle/Test</v>
      </c>
      <c r="X47" s="22">
        <f t="shared" si="15"/>
        <v>59</v>
      </c>
      <c r="Y47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4.7783"},{"id":17,"name":"Train ID","value":"59-26"},{"id":16,"name":"Locomotive ID","value":"4031"},{"id":130,"name":"Impact","value":""},{"id":150,"name":"Time of Event (Mountain Time)","value":"15:49:49"},{"id":151,"name":"Denver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/c/Users/stu/AppData/Local/Temp/OnboardLogs/RTDC4031 --include="*4031*201706262*"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"%USERPROFILE%\AppData\Local\Temp\OnboardLogs"\RTDC4031\*4031*201706262* &gt;&gt; 2017-06-26-SliceDisagreementCheck.txt</v>
      </c>
      <c r="AE47" s="145" t="str">
        <f t="shared" si="9"/>
        <v>start /low /b %USERPROFILE%\Documents\GitHub\eaglep3\Utilities\DownloadLogsFromS3.py --loco 4031 --day 2017-06-26</v>
      </c>
      <c r="AF47" s="1"/>
    </row>
    <row r="48" spans="1:32" x14ac:dyDescent="0.25">
      <c r="A48" s="31">
        <v>42912.657407407409</v>
      </c>
      <c r="B48" s="30" t="s">
        <v>547</v>
      </c>
      <c r="C48" s="30" t="s">
        <v>640</v>
      </c>
      <c r="D48" s="30" t="s">
        <v>96</v>
      </c>
      <c r="E48" s="30" t="s">
        <v>200</v>
      </c>
      <c r="F48" s="42">
        <v>300</v>
      </c>
      <c r="G48" s="42">
        <v>350</v>
      </c>
      <c r="H48" s="42">
        <v>67503</v>
      </c>
      <c r="I48" s="42">
        <v>66252</v>
      </c>
      <c r="J48" s="30" t="s">
        <v>201</v>
      </c>
      <c r="K48" s="42">
        <v>71417</v>
      </c>
      <c r="L48" s="131" t="s">
        <v>51</v>
      </c>
      <c r="M48" s="132">
        <f t="shared" si="10"/>
        <v>-2727.12</v>
      </c>
      <c r="N48" s="133" t="str">
        <f>VLOOKUP(C48,'Trips&amp;Operators'!$C$1:$G$99999,5,FALSE)</f>
        <v>STORY SAMANTHA</v>
      </c>
      <c r="O48" s="203" t="s">
        <v>180</v>
      </c>
      <c r="P48" s="134"/>
      <c r="Q48" s="30"/>
      <c r="R48" s="81" t="str">
        <f>VLOOKUP(C48,'Train Runs'!$A$13:$AE$9931,31,0)</f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S48" s="84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8" s="86" t="str">
        <f t="shared" si="11"/>
        <v>"C:\Program Files (x86)\AstroGrep\AstroGrep.exe" /e /r /s /spath="%USERPROFILE%\AppData\Local\Temp\OnboardLogs" /stypes="*4031*201706262*" /stext=" 21:.+((SYSTEM_STATE.+slice.+state.+changed )|(ment ac)|(multiple cpu faults)|(system.+state.+changed )|(\[timeout)|(PRM\|1\|D)|(kpr)|(kdp)|(train st.+moving)|(\|lc)|(penalty))"</v>
      </c>
      <c r="U48" s="9" t="str">
        <f t="shared" si="12"/>
        <v>4031</v>
      </c>
      <c r="V48" s="31">
        <f t="shared" si="13"/>
        <v>42912.907407407409</v>
      </c>
      <c r="W48" s="45" t="str">
        <f t="shared" si="14"/>
        <v>Shuttle/Test</v>
      </c>
      <c r="X48" s="22">
        <f t="shared" si="15"/>
        <v>59</v>
      </c>
      <c r="Y48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7.1417"},{"id":17,"name":"Train ID","value":"59-26"},{"id":16,"name":"Locomotive ID","value":"4031"},{"id":130,"name":"Impact","value":""},{"id":150,"name":"Time of Event (Mountain Time)","value":"15:46:40"},{"id":151,"name":"Denver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/c/Users/stu/AppData/Local/Temp/OnboardLogs/RTDC4031 --include="*4031*201706262*"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"%USERPROFILE%\AppData\Local\Temp\OnboardLogs"\RTDC4031\*4031*201706262* &gt;&gt; 2017-06-26-SliceDisagreementCheck.txt</v>
      </c>
      <c r="AE48" s="145" t="str">
        <f t="shared" si="9"/>
        <v>start /low /b %USERPROFILE%\Documents\GitHub\eaglep3\Utilities\DownloadLogsFromS3.py --loco 4031 --day 2017-06-26</v>
      </c>
      <c r="AF48" s="1"/>
    </row>
    <row r="49" spans="1:32" x14ac:dyDescent="0.25">
      <c r="A49" s="31">
        <v>42912.670162037037</v>
      </c>
      <c r="B49" s="30" t="s">
        <v>461</v>
      </c>
      <c r="C49" s="30" t="s">
        <v>643</v>
      </c>
      <c r="D49" s="30" t="s">
        <v>96</v>
      </c>
      <c r="E49" s="30" t="s">
        <v>361</v>
      </c>
      <c r="F49" s="42">
        <v>0</v>
      </c>
      <c r="G49" s="42">
        <v>64</v>
      </c>
      <c r="H49" s="42">
        <v>1814</v>
      </c>
      <c r="I49" s="42">
        <v>1900</v>
      </c>
      <c r="J49" s="30" t="s">
        <v>362</v>
      </c>
      <c r="K49" s="42">
        <v>1692</v>
      </c>
      <c r="L49" s="131" t="s">
        <v>50</v>
      </c>
      <c r="M49" s="132">
        <f t="shared" si="10"/>
        <v>-109.824</v>
      </c>
      <c r="N49" s="133" t="str">
        <f>VLOOKUP(C49,'Trips&amp;Operators'!$C$1:$G$99999,5,FALSE)</f>
        <v>CHANDLER KELVIN</v>
      </c>
      <c r="O49" s="203" t="s">
        <v>180</v>
      </c>
      <c r="P49" s="134"/>
      <c r="Q49" s="30"/>
      <c r="R49" s="81" t="str">
        <f>VLOOKUP(C49,'Train Runs'!$A$13:$AE$9931,31,0)</f>
        <v>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 &amp; aws s3 cp s3://rtdc.mdm.uploadarchive.raw/RTDC4004/ "%USERPROFILE%\AppData\Local\Temp\OnboardLogs"\RTDC4004\2017-06-27 --exclude "*" --recursive --include "*20170627*" &amp; "%USERPROFILE%\Documents\GitHub\mrs-test-scripts\Headless Mode &amp; Sideloading\WalkAndUnGZ.bat" "%USERPROFILE%\AppData\Local\Temp\OnboardLogs"\RTDC4004\2017-06-27</v>
      </c>
      <c r="S49" s="84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-06-26T15:01:32-0600',mode:absolute,to:'2017-06-26T17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9" s="86" t="str">
        <f t="shared" si="11"/>
        <v>"C:\Program Files (x86)\AstroGrep\AstroGrep.exe" /e /r /s /spath="%USERPROFILE%\AppData\Local\Temp\OnboardLogs" /stypes="*4004*201706262*" /stext=" 22:.+((SYSTEM_STATE.+slice.+state.+changed )|(ment ac)|(multiple cpu faults)|(system.+state.+changed )|(\[timeout)|(PRM\|1\|D)|(kpr)|(kdp)|(train st.+moving)|(\|lc)|(penalty))"</v>
      </c>
      <c r="U49" s="9" t="str">
        <f t="shared" si="12"/>
        <v>4004</v>
      </c>
      <c r="V49" s="31">
        <f t="shared" si="13"/>
        <v>42912.920162037037</v>
      </c>
      <c r="W49" s="45" t="str">
        <f t="shared" si="14"/>
        <v>Shuttle/Test</v>
      </c>
      <c r="X49" s="22">
        <f t="shared" si="15"/>
        <v>65</v>
      </c>
      <c r="Y49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0.1692"},{"id":17,"name":"Train ID","value":"65-26"},{"id":16,"name":"Locomotive ID","value":"4004"},{"id":130,"name":"Impact","value":""},{"id":150,"name":"Time of Event (Mountain Time)","value":"16:05:02"},{"id":151,"name":"Denver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/c/Users/stu/AppData/Local/Temp/OnboardLogs/RTDC4004 --include="*4004*201706262*"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"%USERPROFILE%\AppData\Local\Temp\OnboardLogs"\RTDC4004\*4004*201706262* &gt;&gt; 2017-06-26-SliceDisagreementCheck.txt</v>
      </c>
      <c r="AE49" s="145" t="str">
        <f t="shared" si="9"/>
        <v>start /low /b %USERPROFILE%\Documents\GitHub\eaglep3\Utilities\DownloadLogsFromS3.py --loco 4004 --day 2017-06-26</v>
      </c>
      <c r="AF49" s="1"/>
    </row>
    <row r="50" spans="1:32" x14ac:dyDescent="0.25">
      <c r="A50" s="31">
        <v>42912.657673611109</v>
      </c>
      <c r="B50" s="30" t="s">
        <v>505</v>
      </c>
      <c r="C50" s="30" t="s">
        <v>642</v>
      </c>
      <c r="D50" s="30" t="s">
        <v>49</v>
      </c>
      <c r="E50" s="30" t="s">
        <v>181</v>
      </c>
      <c r="F50" s="42">
        <v>0</v>
      </c>
      <c r="G50" s="42">
        <v>51</v>
      </c>
      <c r="H50" s="42">
        <v>209</v>
      </c>
      <c r="I50" s="42">
        <v>169</v>
      </c>
      <c r="J50" s="30" t="s">
        <v>182</v>
      </c>
      <c r="K50" s="42">
        <v>1</v>
      </c>
      <c r="L50" s="131" t="s">
        <v>51</v>
      </c>
      <c r="M50" s="132">
        <f t="shared" si="10"/>
        <v>88.703999999999994</v>
      </c>
      <c r="N50" s="133" t="str">
        <f>VLOOKUP(C50,'Trips&amp;Operators'!$C$1:$G$99999,5,FALSE)</f>
        <v>MOSES BRADLEY</v>
      </c>
      <c r="O50" s="203" t="s">
        <v>180</v>
      </c>
      <c r="P50" s="134"/>
      <c r="Q50" s="30"/>
      <c r="R50" s="81" t="str">
        <f>VLOOKUP(C50,'Train Runs'!$A$13:$AE$9931,31,0)</f>
        <v>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 &amp; 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</v>
      </c>
      <c r="S50" s="84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-06-26T14:42:42-0600',mode:absolute,to:'2017-06-26T16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86" t="str">
        <f t="shared" si="11"/>
        <v>"C:\Program Files (x86)\AstroGrep\AstroGrep.exe" /e /r /s /spath="%USERPROFILE%\AppData\Local\Temp\OnboardLogs" /stypes="*4009*201706262*" /stext=" 21:.+((SYSTEM_STATE.+slice.+state.+changed )|(ment ac)|(multiple cpu faults)|(system.+state.+changed )|(\[timeout)|(PRM\|1\|D)|(kpr)|(kdp)|(train st.+moving)|(\|lc)|(penalty))"</v>
      </c>
      <c r="U50" s="9" t="str">
        <f t="shared" si="12"/>
        <v>4009</v>
      </c>
      <c r="V50" s="31">
        <f t="shared" si="13"/>
        <v>42912.907673611109</v>
      </c>
      <c r="W50" s="45" t="str">
        <f t="shared" si="14"/>
        <v>Shuttle/Test</v>
      </c>
      <c r="X50" s="22">
        <f t="shared" si="15"/>
        <v>62</v>
      </c>
      <c r="Y50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0.0001"},{"id":17,"name":"Train ID","value":"62-26"},{"id":16,"name":"Locomotive ID","value":"4009"},{"id":130,"name":"Impact","value":""},{"id":150,"name":"Time of Event (Mountain Time)","value":"15:47:03"},{"id":151,"name":"Denver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/c/Users/stu/AppData/Local/Temp/OnboardLogs/RTDC4009 --include="*4009*201706262*"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"%USERPROFILE%\AppData\Local\Temp\OnboardLogs"\RTDC4009\*4009*201706262* &gt;&gt; 2017-06-26-SliceDisagreementCheck.txt</v>
      </c>
      <c r="AE50" s="145" t="str">
        <f t="shared" si="9"/>
        <v>start /low /b %USERPROFILE%\Documents\GitHub\eaglep3\Utilities\DownloadLogsFromS3.py --loco 4009 --day 2017-06-26</v>
      </c>
      <c r="AF50" s="1"/>
    </row>
    <row r="51" spans="1:32" x14ac:dyDescent="0.25">
      <c r="A51" s="31">
        <v>42912.391030092593</v>
      </c>
      <c r="B51" s="30" t="s">
        <v>453</v>
      </c>
      <c r="C51" s="30" t="s">
        <v>627</v>
      </c>
      <c r="D51" s="30" t="s">
        <v>49</v>
      </c>
      <c r="E51" s="30" t="s">
        <v>181</v>
      </c>
      <c r="F51" s="42">
        <v>0</v>
      </c>
      <c r="G51" s="42">
        <v>39</v>
      </c>
      <c r="H51" s="42">
        <v>112462</v>
      </c>
      <c r="I51" s="42">
        <v>112494</v>
      </c>
      <c r="J51" s="30" t="s">
        <v>182</v>
      </c>
      <c r="K51" s="42">
        <v>112547</v>
      </c>
      <c r="L51" s="131" t="s">
        <v>50</v>
      </c>
      <c r="M51" s="132">
        <f t="shared" si="10"/>
        <v>27.984000000000002</v>
      </c>
      <c r="N51" s="133" t="str">
        <f>VLOOKUP(C51,'Trips&amp;Operators'!$C$1:$G$99999,5,FALSE)</f>
        <v>ACKERMAN JARED</v>
      </c>
      <c r="O51" s="203" t="s">
        <v>180</v>
      </c>
      <c r="P51" s="134"/>
      <c r="Q51" s="30"/>
      <c r="R51" s="81" t="str">
        <f>VLOOKUP(C51,'Train Runs'!$A$13:$AE$9931,31,0)</f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S51" s="84" t="str">
        <f>VLOOKUP(C51,'Train Runs'!$A$13:$AE$9931,22,0)</f>
        <v>https://d0f6bd738d7f1b3e5a7ca70fe4ff75f0.us-east-1.aws.found.io/app/kibana#/discover/Steve-Slow-Train-Analysis-(2080s-and-2083s)?_g=(refreshInterval:(display:Off,pause:!f,section:0,value:0),time:(from:'2017-06-26T07:45:54-0600',mode:absolute,to:'2017-06-26T10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1" s="86" t="str">
        <f t="shared" si="11"/>
        <v>"C:\Program Files (x86)\AstroGrep\AstroGrep.exe" /e /r /s /spath="%USERPROFILE%\AppData\Local\Temp\OnboardLogs" /stypes="*4032*201706261*" /stext=" 15:.+((SYSTEM_STATE.+slice.+state.+changed )|(ment ac)|(multiple cpu faults)|(system.+state.+changed )|(\[timeout)|(PRM\|1\|D)|(kpr)|(kdp)|(train st.+moving)|(\|lc)|(penalty))"</v>
      </c>
      <c r="U51" s="9" t="str">
        <f t="shared" si="12"/>
        <v>4032</v>
      </c>
      <c r="V51" s="31">
        <f t="shared" si="13"/>
        <v>42912.641030092593</v>
      </c>
      <c r="W51" s="45" t="str">
        <f t="shared" si="14"/>
        <v>Shuttle/Test</v>
      </c>
      <c r="X51" s="22">
        <f t="shared" si="15"/>
        <v>51</v>
      </c>
      <c r="Y51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11.2547"},{"id":17,"name":"Train ID","value":"51-26"},{"id":16,"name":"Locomotive ID","value":"4032"},{"id":130,"name":"Impact","value":""},{"id":150,"name":"Time of Event (Mountain Time)","value":"09:23:05"},{"id":151,"name":"Denver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/c/Users/stu/AppData/Local/Temp/OnboardLogs/RTDC4032 --include="*4032*201706261*"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"%USERPROFILE%\AppData\Local\Temp\OnboardLogs"\RTDC4032\*4032*201706261* &gt;&gt; 2017-06-26-SliceDisagreementCheck.txt</v>
      </c>
      <c r="AE51" s="145" t="str">
        <f t="shared" si="9"/>
        <v>start /low /b %USERPROFILE%\Documents\GitHub\eaglep3\Utilities\DownloadLogsFromS3.py --loco 4032 --day 2017-06-26</v>
      </c>
      <c r="AF51" s="1"/>
    </row>
    <row r="52" spans="1:32" x14ac:dyDescent="0.25">
      <c r="A52" s="31">
        <v>42912.39162037037</v>
      </c>
      <c r="B52" s="30" t="s">
        <v>453</v>
      </c>
      <c r="C52" s="30" t="s">
        <v>627</v>
      </c>
      <c r="D52" s="30" t="s">
        <v>96</v>
      </c>
      <c r="E52" s="30" t="s">
        <v>181</v>
      </c>
      <c r="F52" s="42">
        <v>0</v>
      </c>
      <c r="G52" s="42">
        <v>6</v>
      </c>
      <c r="H52" s="42">
        <v>112547</v>
      </c>
      <c r="I52" s="42">
        <v>0</v>
      </c>
      <c r="J52" s="30" t="s">
        <v>182</v>
      </c>
      <c r="K52" s="42">
        <v>112547</v>
      </c>
      <c r="L52" s="131" t="s">
        <v>50</v>
      </c>
      <c r="M52" s="132">
        <f t="shared" si="10"/>
        <v>59424.815999999999</v>
      </c>
      <c r="N52" s="133" t="str">
        <f>VLOOKUP(C52,'Trips&amp;Operators'!$C$1:$G$99999,5,FALSE)</f>
        <v>ACKERMAN JARED</v>
      </c>
      <c r="O52" s="203" t="s">
        <v>180</v>
      </c>
      <c r="P52" s="134"/>
      <c r="Q52" s="30"/>
      <c r="R52" s="81" t="str">
        <f>VLOOKUP(C52,'Train Runs'!$A$13:$AE$9931,31,0)</f>
        <v>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 &amp; 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</v>
      </c>
      <c r="S52" s="84" t="str">
        <f>VLOOKUP(C52,'Train Runs'!$A$13:$AE$9931,22,0)</f>
        <v>https://d0f6bd738d7f1b3e5a7ca70fe4ff75f0.us-east-1.aws.found.io/app/kibana#/discover/Steve-Slow-Train-Analysis-(2080s-and-2083s)?_g=(refreshInterval:(display:Off,pause:!f,section:0,value:0),time:(from:'2017-06-26T07:45:54-0600',mode:absolute,to:'2017-06-26T10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2" s="86" t="str">
        <f t="shared" si="11"/>
        <v>"C:\Program Files (x86)\AstroGrep\AstroGrep.exe" /e /r /s /spath="%USERPROFILE%\AppData\Local\Temp\OnboardLogs" /stypes="*4032*201706261*" /stext=" 15:.+((SYSTEM_STATE.+slice.+state.+changed )|(ment ac)|(multiple cpu faults)|(system.+state.+changed )|(\[timeout)|(PRM\|1\|D)|(kpr)|(kdp)|(train st.+moving)|(\|lc)|(penalty))"</v>
      </c>
      <c r="U52" s="9" t="str">
        <f t="shared" si="12"/>
        <v>4032</v>
      </c>
      <c r="V52" s="31">
        <f t="shared" si="13"/>
        <v>42912.64162037037</v>
      </c>
      <c r="W52" s="45" t="str">
        <f t="shared" si="14"/>
        <v>Shuttle/Test</v>
      </c>
      <c r="X52" s="22">
        <f t="shared" si="15"/>
        <v>51</v>
      </c>
      <c r="Y52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11.2547"},{"id":17,"name":"Train ID","value":"51-26"},{"id":16,"name":"Locomotive ID","value":"4032"},{"id":130,"name":"Impact","value":""},{"id":150,"name":"Time of Event (Mountain Time)","value":"09:23:56"},{"id":151,"name":"Denver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/c/Users/stu/AppData/Local/Temp/OnboardLogs/RTDC4032 --include="*4032*201706261*"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"%USERPROFILE%\AppData\Local\Temp\OnboardLogs"\RTDC4032\*4032*201706261* &gt;&gt; 2017-06-26-SliceDisagreementCheck.txt</v>
      </c>
      <c r="AE52" s="145" t="str">
        <f t="shared" si="9"/>
        <v>start /low /b %USERPROFILE%\Documents\GitHub\eaglep3\Utilities\DownloadLogsFromS3.py --loco 4032 --day 2017-06-26</v>
      </c>
      <c r="AF52" s="1"/>
    </row>
    <row r="53" spans="1:32" x14ac:dyDescent="0.25">
      <c r="A53" s="31">
        <v>42912.629525462966</v>
      </c>
      <c r="B53" s="30" t="s">
        <v>453</v>
      </c>
      <c r="C53" s="30" t="s">
        <v>640</v>
      </c>
      <c r="D53" s="30" t="s">
        <v>96</v>
      </c>
      <c r="E53" s="30" t="s">
        <v>181</v>
      </c>
      <c r="F53" s="42">
        <v>0</v>
      </c>
      <c r="G53" s="42">
        <v>4</v>
      </c>
      <c r="H53" s="42">
        <v>112547</v>
      </c>
      <c r="I53" s="42">
        <v>112545</v>
      </c>
      <c r="J53" s="30" t="s">
        <v>182</v>
      </c>
      <c r="K53" s="42">
        <v>112547</v>
      </c>
      <c r="L53" s="131" t="s">
        <v>50</v>
      </c>
      <c r="M53" s="132">
        <f t="shared" si="10"/>
        <v>1.056</v>
      </c>
      <c r="N53" s="133" t="str">
        <f>VLOOKUP(C53,'Trips&amp;Operators'!$C$1:$G$99999,5,FALSE)</f>
        <v>STORY SAMANTHA</v>
      </c>
      <c r="O53" s="203" t="s">
        <v>180</v>
      </c>
      <c r="P53" s="134"/>
      <c r="Q53" s="30"/>
      <c r="R53" s="81" t="str">
        <f>VLOOKUP(C53,'Train Runs'!$A$13:$AE$9931,31,0)</f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S53" s="84" t="str">
        <f>VLOOKUP(C53,'Train Runs'!$A$13:$AE$9931,22,0)</f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3" s="86" t="str">
        <f t="shared" si="11"/>
        <v>"C:\Program Files (x86)\AstroGrep\AstroGrep.exe" /e /r /s /spath="%USERPROFILE%\AppData\Local\Temp\OnboardLogs" /stypes="*4032*201706262*" /stext=" 21:.+((SYSTEM_STATE.+slice.+state.+changed )|(ment ac)|(multiple cpu faults)|(system.+state.+changed )|(\[timeout)|(PRM\|1\|D)|(kpr)|(kdp)|(train st.+moving)|(\|lc)|(penalty))"</v>
      </c>
      <c r="U53" s="9" t="str">
        <f t="shared" si="12"/>
        <v>4032</v>
      </c>
      <c r="V53" s="31">
        <f t="shared" si="13"/>
        <v>42912.879525462966</v>
      </c>
      <c r="W53" s="45" t="str">
        <f t="shared" si="14"/>
        <v>Shuttle/Test</v>
      </c>
      <c r="X53" s="22">
        <f t="shared" si="15"/>
        <v>59</v>
      </c>
      <c r="Y53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11.2547"},{"id":17,"name":"Train ID","value":"59-26"},{"id":16,"name":"Locomotive ID","value":"4032"},{"id":130,"name":"Impact","value":""},{"id":150,"name":"Time of Event (Mountain Time)","value":"15:06:31"},{"id":151,"name":"Denver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/c/Users/stu/AppData/Local/Temp/OnboardLogs/RTDC4032 --include="*4032*201706262*"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"%USERPROFILE%\AppData\Local\Temp\OnboardLogs"\RTDC4032\*4032*201706262* &gt;&gt; 2017-06-26-SliceDisagreementCheck.txt</v>
      </c>
      <c r="AE53" s="145" t="str">
        <f t="shared" si="9"/>
        <v>start /low /b %USERPROFILE%\Documents\GitHub\eaglep3\Utilities\DownloadLogsFromS3.py --loco 4032 --day 2017-06-26</v>
      </c>
      <c r="AF53" s="1"/>
    </row>
    <row r="54" spans="1:32" x14ac:dyDescent="0.25">
      <c r="A54" s="31">
        <v>42912.685856481483</v>
      </c>
      <c r="B54" s="30" t="s">
        <v>453</v>
      </c>
      <c r="C54" s="30" t="s">
        <v>640</v>
      </c>
      <c r="D54" s="30" t="s">
        <v>96</v>
      </c>
      <c r="E54" s="30" t="s">
        <v>181</v>
      </c>
      <c r="F54" s="42">
        <v>0</v>
      </c>
      <c r="G54" s="42">
        <v>3</v>
      </c>
      <c r="H54" s="42">
        <v>112547</v>
      </c>
      <c r="I54" s="42">
        <v>112547</v>
      </c>
      <c r="J54" s="30" t="s">
        <v>182</v>
      </c>
      <c r="K54" s="42">
        <v>112547</v>
      </c>
      <c r="L54" s="131" t="s">
        <v>50</v>
      </c>
      <c r="M54" s="132">
        <f t="shared" si="10"/>
        <v>0</v>
      </c>
      <c r="N54" s="133" t="str">
        <f>VLOOKUP(C54,'Trips&amp;Operators'!$C$1:$G$99999,5,FALSE)</f>
        <v>STORY SAMANTHA</v>
      </c>
      <c r="O54" s="203" t="s">
        <v>180</v>
      </c>
      <c r="P54" s="134"/>
      <c r="Q54" s="30"/>
      <c r="R54" s="81" t="str">
        <f>VLOOKUP(C54,'Train Runs'!$A$13:$AE$9931,31,0)</f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S54" s="84" t="str">
        <f>VLOOKUP(C54,'Train Runs'!$A$13:$AE$9931,22,0)</f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4" s="86" t="str">
        <f t="shared" si="11"/>
        <v>"C:\Program Files (x86)\AstroGrep\AstroGrep.exe" /e /r /s /spath="%USERPROFILE%\AppData\Local\Temp\OnboardLogs" /stypes="*4032*201706262*" /stext=" 22:.+((SYSTEM_STATE.+slice.+state.+changed )|(ment ac)|(multiple cpu faults)|(system.+state.+changed )|(\[timeout)|(PRM\|1\|D)|(kpr)|(kdp)|(train st.+moving)|(\|lc)|(penalty))"</v>
      </c>
      <c r="U54" s="9" t="str">
        <f t="shared" si="12"/>
        <v>4032</v>
      </c>
      <c r="V54" s="31">
        <f t="shared" si="13"/>
        <v>42912.935856481483</v>
      </c>
      <c r="W54" s="45" t="str">
        <f t="shared" si="14"/>
        <v>Shuttle/Test</v>
      </c>
      <c r="X54" s="22">
        <f t="shared" si="15"/>
        <v>59</v>
      </c>
      <c r="Y54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11.2547"},{"id":17,"name":"Train ID","value":"59-26"},{"id":16,"name":"Locomotive ID","value":"4032"},{"id":130,"name":"Impact","value":""},{"id":150,"name":"Time of Event (Mountain Time)","value":"16:27:38"},{"id":151,"name":"Denver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/c/Users/stu/AppData/Local/Temp/OnboardLogs/RTDC4032 --include="*4032*201706262*"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"%USERPROFILE%\AppData\Local\Temp\OnboardLogs"\RTDC4032\*4032*201706262* &gt;&gt; 2017-06-26-SliceDisagreementCheck.txt</v>
      </c>
      <c r="AE54" s="145" t="str">
        <f t="shared" si="9"/>
        <v>start /low /b %USERPROFILE%\Documents\GitHub\eaglep3\Utilities\DownloadLogsFromS3.py --loco 4032 --day 2017-06-26</v>
      </c>
      <c r="AF54" s="1"/>
    </row>
    <row r="55" spans="1:32" x14ac:dyDescent="0.25">
      <c r="A55" s="31">
        <v>42912.716516203705</v>
      </c>
      <c r="B55" s="30" t="s">
        <v>453</v>
      </c>
      <c r="C55" s="30" t="s">
        <v>640</v>
      </c>
      <c r="D55" s="30" t="s">
        <v>96</v>
      </c>
      <c r="E55" s="30" t="s">
        <v>181</v>
      </c>
      <c r="F55" s="42">
        <v>0</v>
      </c>
      <c r="G55" s="42">
        <v>2</v>
      </c>
      <c r="H55" s="42">
        <v>112614</v>
      </c>
      <c r="I55" s="42">
        <v>0</v>
      </c>
      <c r="J55" s="30" t="s">
        <v>182</v>
      </c>
      <c r="K55" s="42">
        <v>112612</v>
      </c>
      <c r="L55" s="131" t="s">
        <v>50</v>
      </c>
      <c r="M55" s="132">
        <f t="shared" si="10"/>
        <v>59459.135999999999</v>
      </c>
      <c r="N55" s="133" t="str">
        <f>VLOOKUP(C55,'Trips&amp;Operators'!$C$1:$G$99999,5,FALSE)</f>
        <v>STORY SAMANTHA</v>
      </c>
      <c r="O55" s="203" t="s">
        <v>180</v>
      </c>
      <c r="P55" s="134"/>
      <c r="Q55" s="30"/>
      <c r="R55" s="81" t="str">
        <f>VLOOKUP(C55,'Train Runs'!$A$13:$AE$9931,31,0)</f>
        <v>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 &amp; 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</v>
      </c>
      <c r="S55" s="84" t="str">
        <f>VLOOKUP(C55,'Train Runs'!$A$13:$AE$9931,22,0)</f>
        <v>https://d0f6bd738d7f1b3e5a7ca70fe4ff75f0.us-east-1.aws.found.io/app/kibana#/discover/Steve-Slow-Train-Analysis-(2080s-and-2083s)?_g=(refreshInterval:(display:Off,pause:!f,section:0,value:0),time:(from:'2017-06-26T13:22:57-0600',mode:absolute,to:'2017-06-26T16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5" s="86" t="str">
        <f t="shared" si="11"/>
        <v>"C:\Program Files (x86)\AstroGrep\AstroGrep.exe" /e /r /s /spath="%USERPROFILE%\AppData\Local\Temp\OnboardLogs" /stypes="*4032*201706262*"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4032</v>
      </c>
      <c r="V55" s="31">
        <f t="shared" si="13"/>
        <v>42912.966516203705</v>
      </c>
      <c r="W55" s="45" t="str">
        <f t="shared" si="14"/>
        <v>Shuttle/Test</v>
      </c>
      <c r="X55" s="22">
        <f t="shared" si="15"/>
        <v>59</v>
      </c>
      <c r="Y55" s="96" t="str">
        <f t="shared" si="16"/>
        <v>echo {"issue":{"subject":"","project_id":79,"tracker_id":40,"status_id":1,"priority_id":2,"assigned_to_id":23,"start_date":"2017-06-26","description":"","custom_fields":[{"id":1,"name":"Subdivision","value":"Shuttle/Test"},{"id":4,"name":"Milepost","value":"11.2612"},{"id":17,"name":"Train ID","value":"59-26"},{"id":16,"name":"Locomotive ID","value":"4032"},{"id":130,"name":"Impact","value":""},{"id":150,"name":"Time of Event (Mountain Time)","value":"17:11:47"},{"id":151,"name":"Denver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/c/Users/stu/AppData/Local/Temp/OnboardLogs/RTDC4032 --include="*4032*201706262*"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"%USERPROFILE%\AppData\Local\Temp\OnboardLogs"\RTDC4032\*4032*201706262* &gt;&gt; 2017-06-26-SliceDisagreementCheck.txt</v>
      </c>
      <c r="AE55" s="145" t="str">
        <f t="shared" si="9"/>
        <v>start /low /b %USERPROFILE%\Documents\GitHub\eaglep3\Utilities\DownloadLogsFromS3.py --loco 4032 --day 2017-06-26</v>
      </c>
      <c r="AF55" s="1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5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AA7:AA55</xm:sqref>
        </x14:dataValidation>
        <x14:dataValidation type="list" allowBlank="1" showInputMessage="1" showErrorMessage="1">
          <x14:formula1>
            <xm:f>'Redmine List Values'!$C$2:$C$15</xm:f>
          </x14:formula1>
          <xm:sqref>AB7:AB55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Runs'!$A$13:$A$99928,1,FALSE)</f>
        <v>#N/A</v>
      </c>
    </row>
    <row r="4" spans="1:10" x14ac:dyDescent="0.25">
      <c r="A4" s="195"/>
      <c r="B4" s="42" t="str">
        <f>A4&amp;"-"&amp;IF(DAY(Variables!$A$2)&lt;10,0,"")&amp;DAY(Variables!$A$2)</f>
        <v>-26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Runs'!$A$13:$A$99928,1,FALSE)</f>
        <v>#N/A</v>
      </c>
    </row>
    <row r="5" spans="1:10" x14ac:dyDescent="0.25">
      <c r="A5" s="195"/>
      <c r="B5" s="42" t="str">
        <f>A5&amp;"-"&amp;IF(DAY(Variables!$A$2)&lt;10,0,"")&amp;DAY(Variables!$A$2)</f>
        <v>-26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Runs'!$A$13:$A$99928,1,FALSE)</f>
        <v>#N/A</v>
      </c>
    </row>
    <row r="6" spans="1:10" x14ac:dyDescent="0.25">
      <c r="A6" s="195"/>
      <c r="B6" s="42" t="str">
        <f>A6&amp;"-"&amp;IF(DAY(Variables!$A$2)&lt;10,0,"")&amp;DAY(Variables!$A$2)</f>
        <v>-26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Runs'!$A$13:$A$99928,1,FALSE)</f>
        <v>#N/A</v>
      </c>
    </row>
    <row r="7" spans="1:10" x14ac:dyDescent="0.25">
      <c r="A7" s="195"/>
      <c r="B7" s="42" t="str">
        <f>A7&amp;"-"&amp;IF(DAY(Variables!$A$2)&lt;10,0,"")&amp;DAY(Variables!$A$2)</f>
        <v>-26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Runs'!$A$13:$A$99928,1,FALSE)</f>
        <v>#N/A</v>
      </c>
    </row>
    <row r="8" spans="1:10" x14ac:dyDescent="0.25">
      <c r="A8" s="195"/>
      <c r="B8" s="42" t="str">
        <f>A8&amp;"-"&amp;IF(DAY(Variables!$A$2)&lt;10,0,"")&amp;DAY(Variables!$A$2)</f>
        <v>-26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Runs'!$A$13:$A$99928,1,FALSE)</f>
        <v>#N/A</v>
      </c>
    </row>
    <row r="9" spans="1:10" x14ac:dyDescent="0.25">
      <c r="A9" s="195"/>
      <c r="B9" s="42" t="str">
        <f>A9&amp;"-"&amp;IF(DAY(Variables!$A$2)&lt;10,0,"")&amp;DAY(Variables!$A$2)</f>
        <v>-26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Runs'!$A$13:$A$99928,1,FALSE)</f>
        <v>#N/A</v>
      </c>
    </row>
    <row r="10" spans="1:10" x14ac:dyDescent="0.25">
      <c r="A10" s="195"/>
      <c r="B10" s="42" t="str">
        <f>A10&amp;"-"&amp;IF(DAY(Variables!$A$2)&lt;10,0,"")&amp;DAY(Variables!$A$2)</f>
        <v>-26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Runs'!$A$13:$A$99928,1,FALSE)</f>
        <v>#N/A</v>
      </c>
    </row>
    <row r="11" spans="1:10" x14ac:dyDescent="0.25">
      <c r="A11" s="195"/>
      <c r="B11" s="42" t="str">
        <f>A11&amp;"-"&amp;IF(DAY(Variables!$A$2)&lt;10,0,"")&amp;DAY(Variables!$A$2)</f>
        <v>-26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Runs'!$A$13:$A$99928,1,FALSE)</f>
        <v>#N/A</v>
      </c>
    </row>
    <row r="12" spans="1:10" x14ac:dyDescent="0.25">
      <c r="A12" s="195"/>
      <c r="B12" s="42" t="str">
        <f>A12&amp;"-"&amp;IF(DAY(Variables!$A$2)&lt;10,0,"")&amp;DAY(Variables!$A$2)</f>
        <v>-26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Runs'!$A$13:$A$99928,1,FALSE)</f>
        <v>#N/A</v>
      </c>
    </row>
    <row r="13" spans="1:10" x14ac:dyDescent="0.25">
      <c r="A13" s="195"/>
      <c r="B13" s="42" t="str">
        <f>A13&amp;"-"&amp;IF(DAY(Variables!$A$2)&lt;10,0,"")&amp;DAY(Variables!$A$2)</f>
        <v>-26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Runs'!$A$13:$A$99928,1,FALSE)</f>
        <v>#N/A</v>
      </c>
    </row>
    <row r="14" spans="1:10" x14ac:dyDescent="0.25">
      <c r="A14" s="195"/>
      <c r="B14" s="42" t="str">
        <f>A14&amp;"-"&amp;IF(DAY(Variables!$A$2)&lt;10,0,"")&amp;DAY(Variables!$A$2)</f>
        <v>-26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Runs'!$A$13:$A$99928,1,FALSE)</f>
        <v>#N/A</v>
      </c>
    </row>
    <row r="15" spans="1:10" x14ac:dyDescent="0.25">
      <c r="A15" s="195"/>
      <c r="B15" s="42" t="str">
        <f>A15&amp;"-"&amp;IF(DAY(Variables!$A$2)&lt;10,0,"")&amp;DAY(Variables!$A$2)</f>
        <v>-26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Runs'!$A$13:$A$99928,1,FALSE)</f>
        <v>#N/A</v>
      </c>
    </row>
    <row r="16" spans="1:10" x14ac:dyDescent="0.25">
      <c r="A16" s="195"/>
      <c r="B16" s="42" t="str">
        <f>A16&amp;"-"&amp;IF(DAY(Variables!$A$2)&lt;10,0,"")&amp;DAY(Variables!$A$2)</f>
        <v>-26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Runs'!$A$13:$A$99928,1,FALSE)</f>
        <v>#N/A</v>
      </c>
    </row>
    <row r="17" spans="1:10" x14ac:dyDescent="0.25">
      <c r="A17" s="195"/>
      <c r="B17" s="42" t="str">
        <f>A17&amp;"-"&amp;IF(DAY(Variables!$A$2)&lt;10,0,"")&amp;DAY(Variables!$A$2)</f>
        <v>-26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Runs'!$A$13:$A$99928,1,FALSE)</f>
        <v>#N/A</v>
      </c>
    </row>
    <row r="18" spans="1:10" x14ac:dyDescent="0.25">
      <c r="A18" s="195"/>
      <c r="B18" s="42" t="str">
        <f>A18&amp;"-"&amp;IF(DAY(Variables!$A$2)&lt;10,0,"")&amp;DAY(Variables!$A$2)</f>
        <v>-26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Runs'!$A$13:$A$99928,1,FALSE)</f>
        <v>#N/A</v>
      </c>
    </row>
    <row r="19" spans="1:10" x14ac:dyDescent="0.25">
      <c r="A19" s="195"/>
      <c r="B19" s="42" t="str">
        <f>A19&amp;"-"&amp;IF(DAY(Variables!$A$2)&lt;10,0,"")&amp;DAY(Variables!$A$2)</f>
        <v>-26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Runs'!$A$13:$A$99928,1,FALSE)</f>
        <v>#N/A</v>
      </c>
    </row>
    <row r="20" spans="1:10" x14ac:dyDescent="0.25">
      <c r="A20" s="195"/>
      <c r="B20" s="42" t="str">
        <f>A20&amp;"-"&amp;IF(DAY(Variables!$A$2)&lt;10,0,"")&amp;DAY(Variables!$A$2)</f>
        <v>-26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Runs'!$A$13:$A$99928,1,FALSE)</f>
        <v>#N/A</v>
      </c>
    </row>
    <row r="21" spans="1:10" x14ac:dyDescent="0.25">
      <c r="A21" s="195"/>
      <c r="B21" s="42" t="str">
        <f>A21&amp;"-"&amp;IF(DAY(Variables!$A$2)&lt;10,0,"")&amp;DAY(Variables!$A$2)</f>
        <v>-26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Runs'!$A$13:$A$99928,1,FALSE)</f>
        <v>#N/A</v>
      </c>
    </row>
    <row r="22" spans="1:10" x14ac:dyDescent="0.25">
      <c r="A22" s="195"/>
      <c r="B22" s="42" t="str">
        <f>A22&amp;"-"&amp;IF(DAY(Variables!$A$2)&lt;10,0,"")&amp;DAY(Variables!$A$2)</f>
        <v>-26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Runs'!$A$13:$A$99928,1,FALSE)</f>
        <v>#N/A</v>
      </c>
    </row>
    <row r="23" spans="1:10" x14ac:dyDescent="0.25">
      <c r="A23" s="195"/>
      <c r="B23" s="42" t="str">
        <f>A23&amp;"-"&amp;IF(DAY(Variables!$A$2)&lt;10,0,"")&amp;DAY(Variables!$A$2)</f>
        <v>-26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Runs'!$A$13:$A$99928,1,FALSE)</f>
        <v>#N/A</v>
      </c>
    </row>
    <row r="24" spans="1:10" x14ac:dyDescent="0.25">
      <c r="A24" s="195"/>
      <c r="B24" s="42" t="str">
        <f>A24&amp;"-"&amp;IF(DAY(Variables!$A$2)&lt;10,0,"")&amp;DAY(Variables!$A$2)</f>
        <v>-26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0" t="e">
        <f>VLOOKUP(B24,'Train Runs'!$A$13:$A$99928,1,FALSE)</f>
        <v>#N/A</v>
      </c>
    </row>
    <row r="25" spans="1:10" x14ac:dyDescent="0.25">
      <c r="A25" s="195"/>
      <c r="B25" s="42" t="str">
        <f>A25&amp;"-"&amp;IF(DAY(Variables!$A$2)&lt;10,0,"")&amp;DAY(Variables!$A$2)</f>
        <v>-26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0" t="e">
        <f>VLOOKUP(B25,'Train Runs'!$A$13:$A$99928,1,FALSE)</f>
        <v>#N/A</v>
      </c>
    </row>
    <row r="26" spans="1:10" x14ac:dyDescent="0.25">
      <c r="A26" s="195"/>
      <c r="B26" s="42" t="str">
        <f>A26&amp;"-"&amp;IF(DAY(Variables!$A$2)&lt;10,0,"")&amp;DAY(Variables!$A$2)</f>
        <v>-26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0" t="e">
        <f>VLOOKUP(B26,'Train Runs'!$A$13:$A$99928,1,FALSE)</f>
        <v>#N/A</v>
      </c>
    </row>
    <row r="27" spans="1:10" x14ac:dyDescent="0.25">
      <c r="A27" s="195"/>
      <c r="B27" s="42" t="str">
        <f>A27&amp;"-"&amp;IF(DAY(Variables!$A$2)&lt;10,0,"")&amp;DAY(Variables!$A$2)</f>
        <v>-26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0" t="e">
        <f>VLOOKUP(B27,'Train Runs'!$A$13:$A$99928,1,FALSE)</f>
        <v>#N/A</v>
      </c>
    </row>
    <row r="28" spans="1:10" x14ac:dyDescent="0.25">
      <c r="A28" s="195"/>
      <c r="B28" s="42" t="str">
        <f>A28&amp;"-"&amp;IF(DAY(Variables!$A$2)&lt;10,0,"")&amp;DAY(Variables!$A$2)</f>
        <v>-26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0" t="e">
        <f>VLOOKUP(B28,'Train Runs'!$A$13:$A$99928,1,FALSE)</f>
        <v>#N/A</v>
      </c>
    </row>
    <row r="29" spans="1:10" x14ac:dyDescent="0.25">
      <c r="A29" s="195"/>
      <c r="B29" s="42" t="str">
        <f>A29&amp;"-"&amp;IF(DAY(Variables!$A$2)&lt;10,0,"")&amp;DAY(Variables!$A$2)</f>
        <v>-26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9" s="30" t="e">
        <f>VLOOKUP(B29,'Train Runs'!$A$13:$A$99928,1,FALSE)</f>
        <v>#N/A</v>
      </c>
    </row>
    <row r="30" spans="1:10" x14ac:dyDescent="0.25">
      <c r="A30" s="195"/>
      <c r="B30" s="42" t="str">
        <f>A30&amp;"-"&amp;IF(DAY(Variables!$A$2)&lt;10,0,"")&amp;DAY(Variables!$A$2)</f>
        <v>-26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0" s="30" t="e">
        <f>VLOOKUP(B30,'Train Runs'!$A$13:$A$99928,1,FALSE)</f>
        <v>#N/A</v>
      </c>
    </row>
    <row r="31" spans="1:10" x14ac:dyDescent="0.25">
      <c r="A31" s="195"/>
      <c r="B31" s="42" t="str">
        <f>A31&amp;"-"&amp;IF(DAY(Variables!$A$2)&lt;10,0,"")&amp;DAY(Variables!$A$2)</f>
        <v>-26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1" s="30" t="e">
        <f>VLOOKUP(B31,'Train Runs'!$A$13:$A$99928,1,FALSE)</f>
        <v>#N/A</v>
      </c>
    </row>
    <row r="32" spans="1:10" x14ac:dyDescent="0.25">
      <c r="A32" s="195"/>
      <c r="B32" s="42" t="str">
        <f>A32&amp;"-"&amp;IF(DAY(Variables!$A$2)&lt;10,0,"")&amp;DAY(Variables!$A$2)</f>
        <v>-26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2" s="30" t="e">
        <f>VLOOKUP(B32,'Train Runs'!$A$13:$A$99928,1,FALSE)</f>
        <v>#N/A</v>
      </c>
    </row>
    <row r="33" spans="1:10" x14ac:dyDescent="0.25">
      <c r="A33" s="195"/>
      <c r="B33" s="42" t="str">
        <f>A33&amp;"-"&amp;IF(DAY(Variables!$A$2)&lt;10,0,"")&amp;DAY(Variables!$A$2)</f>
        <v>-26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3" s="30" t="e">
        <f>VLOOKUP(B33,'Train Runs'!$A$13:$A$99928,1,FALSE)</f>
        <v>#N/A</v>
      </c>
    </row>
    <row r="34" spans="1:10" x14ac:dyDescent="0.25">
      <c r="A34" s="195"/>
      <c r="B34" s="42" t="str">
        <f>A34&amp;"-"&amp;IF(DAY(Variables!$A$2)&lt;10,0,"")&amp;DAY(Variables!$A$2)</f>
        <v>-26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4" s="30" t="e">
        <f>VLOOKUP(B34,'Train Runs'!$A$13:$A$99928,1,FALSE)</f>
        <v>#N/A</v>
      </c>
    </row>
    <row r="35" spans="1:10" x14ac:dyDescent="0.25">
      <c r="A35" s="195"/>
      <c r="B35" s="42" t="str">
        <f>A35&amp;"-"&amp;IF(DAY(Variables!$A$2)&lt;10,0,"")&amp;DAY(Variables!$A$2)</f>
        <v>-26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5" s="30" t="e">
        <f>VLOOKUP(B35,'Train Runs'!$A$13:$A$99928,1,FALSE)</f>
        <v>#N/A</v>
      </c>
    </row>
    <row r="36" spans="1:10" x14ac:dyDescent="0.25">
      <c r="A36" s="195"/>
      <c r="B36" s="42" t="str">
        <f>A36&amp;"-"&amp;IF(DAY(Variables!$A$2)&lt;10,0,"")&amp;DAY(Variables!$A$2)</f>
        <v>-26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6" s="30" t="e">
        <f>VLOOKUP(B36,'Train Runs'!$A$13:$A$99928,1,FALSE)</f>
        <v>#N/A</v>
      </c>
    </row>
    <row r="37" spans="1:10" x14ac:dyDescent="0.25">
      <c r="A37" s="195"/>
      <c r="B37" s="42" t="str">
        <f>A37&amp;"-"&amp;IF(DAY(Variables!$A$2)&lt;10,0,"")&amp;DAY(Variables!$A$2)</f>
        <v>-26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7" s="30" t="e">
        <f>VLOOKUP(B37,'Train Runs'!$A$13:$A$99928,1,FALSE)</f>
        <v>#N/A</v>
      </c>
    </row>
    <row r="38" spans="1:10" x14ac:dyDescent="0.25">
      <c r="A38" s="195"/>
      <c r="B38" s="42" t="str">
        <f>A38&amp;"-"&amp;IF(DAY(Variables!$A$2)&lt;10,0,"")&amp;DAY(Variables!$A$2)</f>
        <v>-26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8" s="30" t="e">
        <f>VLOOKUP(B38,'Train Runs'!$A$13:$A$99928,1,FALSE)</f>
        <v>#N/A</v>
      </c>
    </row>
    <row r="39" spans="1:10" x14ac:dyDescent="0.25">
      <c r="A39" s="195"/>
      <c r="B39" s="42" t="str">
        <f>A39&amp;"-"&amp;IF(DAY(Variables!$A$2)&lt;10,0,"")&amp;DAY(Variables!$A$2)</f>
        <v>-26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9" s="30" t="e">
        <f>VLOOKUP(B39,'Train Runs'!$A$13:$A$99928,1,FALSE)</f>
        <v>#N/A</v>
      </c>
    </row>
    <row r="40" spans="1:10" x14ac:dyDescent="0.25">
      <c r="A40" s="195"/>
      <c r="B40" s="42" t="str">
        <f>A40&amp;"-"&amp;IF(DAY(Variables!$A$2)&lt;10,0,"")&amp;DAY(Variables!$A$2)</f>
        <v>-26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0" s="30" t="e">
        <f>VLOOKUP(B40,'Train Runs'!$A$13:$A$99928,1,FALSE)</f>
        <v>#N/A</v>
      </c>
    </row>
    <row r="41" spans="1:10" x14ac:dyDescent="0.25">
      <c r="A41" s="195"/>
      <c r="B41" s="42" t="str">
        <f>A41&amp;"-"&amp;IF(DAY(Variables!$A$2)&lt;10,0,"")&amp;DAY(Variables!$A$2)</f>
        <v>-26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1" s="30" t="e">
        <f>VLOOKUP(B41,'Train Runs'!$A$13:$A$99928,1,FALSE)</f>
        <v>#N/A</v>
      </c>
    </row>
    <row r="42" spans="1:10" x14ac:dyDescent="0.25">
      <c r="A42" s="195"/>
      <c r="B42" s="42" t="str">
        <f>A42&amp;"-"&amp;IF(DAY(Variables!$A$2)&lt;10,0,"")&amp;DAY(Variables!$A$2)</f>
        <v>-26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2" s="30" t="e">
        <f>VLOOKUP(B42,'Train Runs'!$A$13:$A$99928,1,FALSE)</f>
        <v>#N/A</v>
      </c>
    </row>
    <row r="43" spans="1:10" x14ac:dyDescent="0.25">
      <c r="A43" s="195"/>
      <c r="B43" s="42" t="str">
        <f>A43&amp;"-"&amp;IF(DAY(Variables!$A$2)&lt;10,0,"")&amp;DAY(Variables!$A$2)</f>
        <v>-26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3" s="30" t="e">
        <f>VLOOKUP(B43,'Train Runs'!$A$13:$A$99928,1,FALSE)</f>
        <v>#N/A</v>
      </c>
    </row>
    <row r="44" spans="1:10" x14ac:dyDescent="0.25">
      <c r="A44" s="195"/>
      <c r="B44" s="42" t="str">
        <f>A44&amp;"-"&amp;IF(DAY(Variables!$A$2)&lt;10,0,"")&amp;DAY(Variables!$A$2)</f>
        <v>-26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4" s="30" t="e">
        <f>VLOOKUP(B44,'Train Runs'!$A$13:$A$99928,1,FALSE)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42912.035856481481</v>
      </c>
      <c r="B2" s="20" t="s">
        <v>523</v>
      </c>
      <c r="C2" s="20" t="s">
        <v>568</v>
      </c>
      <c r="D2" s="138">
        <v>2620000</v>
      </c>
      <c r="E2" s="20" t="s">
        <v>521</v>
      </c>
      <c r="F2" s="20" t="s">
        <v>522</v>
      </c>
      <c r="G2" s="8" t="str">
        <f>E2&amp;" "&amp;F2</f>
        <v>PERKINS DARREN</v>
      </c>
    </row>
    <row r="3" spans="1:7" x14ac:dyDescent="0.25">
      <c r="A3" s="8">
        <v>42912.048263888886</v>
      </c>
      <c r="B3" s="20" t="s">
        <v>502</v>
      </c>
      <c r="C3" s="20" t="s">
        <v>569</v>
      </c>
      <c r="D3" s="138">
        <v>2090000</v>
      </c>
      <c r="E3" s="20" t="s">
        <v>445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42912.049328703702</v>
      </c>
      <c r="B4" s="20" t="s">
        <v>497</v>
      </c>
      <c r="C4" s="20" t="s">
        <v>570</v>
      </c>
      <c r="D4" s="138">
        <v>2230000</v>
      </c>
      <c r="E4" s="20" t="s">
        <v>342</v>
      </c>
      <c r="F4" s="20" t="s">
        <v>192</v>
      </c>
      <c r="G4" s="8" t="str">
        <f t="shared" si="0"/>
        <v>SMITH MICHAEL</v>
      </c>
    </row>
    <row r="5" spans="1:7" x14ac:dyDescent="0.25">
      <c r="A5" s="8">
        <v>42912.050324074073</v>
      </c>
      <c r="B5" s="20" t="s">
        <v>497</v>
      </c>
      <c r="C5" s="20" t="s">
        <v>570</v>
      </c>
      <c r="D5" s="138">
        <v>2230000</v>
      </c>
      <c r="E5" s="20" t="s">
        <v>342</v>
      </c>
      <c r="F5" s="20" t="s">
        <v>192</v>
      </c>
      <c r="G5" s="8" t="str">
        <f t="shared" si="0"/>
        <v>SMITH MICHAEL</v>
      </c>
    </row>
    <row r="6" spans="1:7" x14ac:dyDescent="0.25">
      <c r="A6" s="8">
        <v>42912.070324074077</v>
      </c>
      <c r="B6" s="20" t="s">
        <v>524</v>
      </c>
      <c r="C6" s="20" t="s">
        <v>571</v>
      </c>
      <c r="D6" s="138">
        <v>2620000</v>
      </c>
      <c r="E6" s="20" t="s">
        <v>521</v>
      </c>
      <c r="F6" s="20" t="s">
        <v>522</v>
      </c>
      <c r="G6" s="8" t="str">
        <f t="shared" si="0"/>
        <v>PERKINS DARREN</v>
      </c>
    </row>
    <row r="7" spans="1:7" x14ac:dyDescent="0.25">
      <c r="A7" s="8">
        <v>42912.078194444446</v>
      </c>
      <c r="B7" s="20" t="s">
        <v>523</v>
      </c>
      <c r="C7" s="20" t="s">
        <v>571</v>
      </c>
      <c r="D7" s="138">
        <v>2620000</v>
      </c>
      <c r="E7" s="20" t="s">
        <v>521</v>
      </c>
      <c r="F7" s="20" t="s">
        <v>522</v>
      </c>
      <c r="G7" s="8" t="str">
        <f t="shared" si="0"/>
        <v>PERKINS DARREN</v>
      </c>
    </row>
    <row r="8" spans="1:7" x14ac:dyDescent="0.25">
      <c r="A8" s="8">
        <v>42912.089166666665</v>
      </c>
      <c r="B8" s="20" t="s">
        <v>488</v>
      </c>
      <c r="C8" s="20" t="s">
        <v>572</v>
      </c>
      <c r="D8" s="138">
        <v>2090000</v>
      </c>
      <c r="E8" s="20" t="s">
        <v>445</v>
      </c>
      <c r="F8" s="20" t="s">
        <v>192</v>
      </c>
      <c r="G8" s="8" t="str">
        <f t="shared" si="0"/>
        <v>HAITHCOX MICHAEL</v>
      </c>
    </row>
    <row r="9" spans="1:7" ht="15.75" thickBot="1" x14ac:dyDescent="0.3">
      <c r="A9" s="24">
        <v>42912.114722222221</v>
      </c>
      <c r="B9" s="20" t="s">
        <v>628</v>
      </c>
      <c r="C9" s="20" t="s">
        <v>658</v>
      </c>
      <c r="D9" s="138">
        <v>2010000</v>
      </c>
      <c r="E9" s="20" t="s">
        <v>550</v>
      </c>
      <c r="F9" s="20" t="s">
        <v>551</v>
      </c>
      <c r="G9" s="8" t="str">
        <f t="shared" si="0"/>
        <v>MAELZER KURT</v>
      </c>
    </row>
    <row r="10" spans="1:7" x14ac:dyDescent="0.25">
      <c r="A10" s="8">
        <v>42912.116157407407</v>
      </c>
      <c r="B10" s="20" t="s">
        <v>628</v>
      </c>
      <c r="C10" s="20" t="s">
        <v>658</v>
      </c>
      <c r="D10" s="138">
        <v>2010000</v>
      </c>
      <c r="E10" s="20" t="s">
        <v>550</v>
      </c>
      <c r="F10" s="20" t="s">
        <v>551</v>
      </c>
      <c r="G10" s="8" t="str">
        <f t="shared" si="0"/>
        <v>MAELZER KURT</v>
      </c>
    </row>
    <row r="11" spans="1:7" x14ac:dyDescent="0.25">
      <c r="A11" s="8">
        <v>42912.127800925926</v>
      </c>
      <c r="B11" s="20" t="s">
        <v>659</v>
      </c>
      <c r="C11" s="20" t="s">
        <v>660</v>
      </c>
      <c r="D11" s="138">
        <v>1230000</v>
      </c>
      <c r="E11" s="20" t="s">
        <v>661</v>
      </c>
      <c r="F11" s="20" t="s">
        <v>662</v>
      </c>
      <c r="G11" s="8" t="str">
        <f t="shared" si="0"/>
        <v>YANAI IAN</v>
      </c>
    </row>
    <row r="12" spans="1:7" x14ac:dyDescent="0.25">
      <c r="A12" s="8">
        <v>42912.128738425927</v>
      </c>
      <c r="B12" s="20" t="s">
        <v>549</v>
      </c>
      <c r="C12" s="20" t="s">
        <v>663</v>
      </c>
      <c r="D12" s="138">
        <v>2010000</v>
      </c>
      <c r="E12" s="20" t="s">
        <v>550</v>
      </c>
      <c r="F12" s="20" t="s">
        <v>551</v>
      </c>
      <c r="G12" s="8" t="str">
        <f t="shared" si="0"/>
        <v>MAELZER KURT</v>
      </c>
    </row>
    <row r="13" spans="1:7" x14ac:dyDescent="0.25">
      <c r="A13" s="8">
        <v>42912.139189814814</v>
      </c>
      <c r="B13" s="20" t="s">
        <v>460</v>
      </c>
      <c r="C13" s="20" t="s">
        <v>664</v>
      </c>
      <c r="D13" s="138">
        <v>940000</v>
      </c>
      <c r="E13" s="20" t="s">
        <v>665</v>
      </c>
      <c r="F13" s="20" t="s">
        <v>666</v>
      </c>
      <c r="G13" s="8" t="str">
        <f t="shared" si="0"/>
        <v>BONDS REYNALDO</v>
      </c>
    </row>
    <row r="14" spans="1:7" x14ac:dyDescent="0.25">
      <c r="A14" s="8">
        <v>42912.139293981483</v>
      </c>
      <c r="B14" s="20" t="s">
        <v>628</v>
      </c>
      <c r="C14" s="20" t="s">
        <v>660</v>
      </c>
      <c r="D14" s="138">
        <v>1230000</v>
      </c>
      <c r="E14" s="20" t="s">
        <v>661</v>
      </c>
      <c r="F14" s="20" t="s">
        <v>662</v>
      </c>
      <c r="G14" s="8" t="str">
        <f t="shared" si="0"/>
        <v>YANAI IAN</v>
      </c>
    </row>
    <row r="15" spans="1:7" x14ac:dyDescent="0.25">
      <c r="A15" s="8">
        <v>42912.15</v>
      </c>
      <c r="B15" s="20" t="s">
        <v>461</v>
      </c>
      <c r="C15" s="20" t="s">
        <v>667</v>
      </c>
      <c r="D15" s="138">
        <v>940000</v>
      </c>
      <c r="E15" s="20" t="s">
        <v>665</v>
      </c>
      <c r="F15" s="20" t="s">
        <v>666</v>
      </c>
      <c r="G15" s="8" t="str">
        <f t="shared" si="0"/>
        <v>BONDS REYNALDO</v>
      </c>
    </row>
    <row r="16" spans="1:7" x14ac:dyDescent="0.25">
      <c r="A16" s="8">
        <v>42912.162326388891</v>
      </c>
      <c r="B16" s="20" t="s">
        <v>630</v>
      </c>
      <c r="C16" s="20" t="s">
        <v>668</v>
      </c>
      <c r="D16" s="138">
        <v>1110000</v>
      </c>
      <c r="E16" s="20" t="s">
        <v>669</v>
      </c>
      <c r="F16" s="20" t="s">
        <v>670</v>
      </c>
      <c r="G16" s="8" t="str">
        <f t="shared" si="0"/>
        <v>STARKS ANGELINA</v>
      </c>
    </row>
    <row r="17" spans="1:7" x14ac:dyDescent="0.25">
      <c r="A17" s="8">
        <v>42912.172534722224</v>
      </c>
      <c r="B17" s="20" t="s">
        <v>548</v>
      </c>
      <c r="C17" s="20" t="s">
        <v>671</v>
      </c>
      <c r="D17" s="138">
        <v>2010000</v>
      </c>
      <c r="E17" s="20" t="s">
        <v>550</v>
      </c>
      <c r="F17" s="20" t="s">
        <v>551</v>
      </c>
      <c r="G17" s="8" t="str">
        <f t="shared" si="0"/>
        <v>MAELZER KURT</v>
      </c>
    </row>
    <row r="18" spans="1:7" x14ac:dyDescent="0.25">
      <c r="A18" s="8">
        <v>42912.172592592593</v>
      </c>
      <c r="B18" s="20" t="s">
        <v>368</v>
      </c>
      <c r="C18" s="20" t="s">
        <v>672</v>
      </c>
      <c r="D18" s="138">
        <v>2530000</v>
      </c>
      <c r="E18" s="20" t="s">
        <v>554</v>
      </c>
      <c r="F18" s="20" t="s">
        <v>555</v>
      </c>
      <c r="G18" s="8" t="str">
        <f t="shared" si="0"/>
        <v>LALONDE GREGORY</v>
      </c>
    </row>
    <row r="19" spans="1:7" x14ac:dyDescent="0.25">
      <c r="A19" s="8">
        <v>42912.176180555558</v>
      </c>
      <c r="B19" s="20" t="s">
        <v>398</v>
      </c>
      <c r="C19" s="20" t="s">
        <v>673</v>
      </c>
      <c r="D19" s="138">
        <v>1110000</v>
      </c>
      <c r="E19" s="20" t="s">
        <v>669</v>
      </c>
      <c r="F19" s="20" t="s">
        <v>670</v>
      </c>
      <c r="G19" s="8" t="str">
        <f t="shared" si="0"/>
        <v>STARKS ANGELINA</v>
      </c>
    </row>
    <row r="20" spans="1:7" x14ac:dyDescent="0.25">
      <c r="A20" s="8">
        <v>42912.181180555555</v>
      </c>
      <c r="B20" s="20" t="s">
        <v>618</v>
      </c>
      <c r="C20" s="20" t="s">
        <v>674</v>
      </c>
      <c r="D20" s="138">
        <v>3040000</v>
      </c>
      <c r="E20" s="20" t="s">
        <v>382</v>
      </c>
      <c r="F20" s="20" t="s">
        <v>383</v>
      </c>
      <c r="G20" s="8" t="str">
        <f t="shared" si="0"/>
        <v>WILLIAMS DONTE</v>
      </c>
    </row>
    <row r="21" spans="1:7" x14ac:dyDescent="0.25">
      <c r="A21" s="8">
        <v>42912.183703703704</v>
      </c>
      <c r="B21" s="20" t="s">
        <v>374</v>
      </c>
      <c r="C21" s="20" t="s">
        <v>675</v>
      </c>
      <c r="D21" s="138">
        <v>2530000</v>
      </c>
      <c r="E21" s="20" t="s">
        <v>554</v>
      </c>
      <c r="F21" s="20" t="s">
        <v>555</v>
      </c>
      <c r="G21" s="8" t="str">
        <f t="shared" si="0"/>
        <v>LALONDE GREGORY</v>
      </c>
    </row>
    <row r="22" spans="1:7" x14ac:dyDescent="0.25">
      <c r="A22" s="26">
        <v>42912.193182870367</v>
      </c>
      <c r="B22" s="20" t="s">
        <v>460</v>
      </c>
      <c r="C22" s="20" t="s">
        <v>676</v>
      </c>
      <c r="D22" s="138">
        <v>940000</v>
      </c>
      <c r="E22" s="20" t="s">
        <v>665</v>
      </c>
      <c r="F22" s="20" t="s">
        <v>666</v>
      </c>
      <c r="G22" s="8" t="str">
        <f t="shared" si="0"/>
        <v>BONDS REYNALDO</v>
      </c>
    </row>
    <row r="23" spans="1:7" x14ac:dyDescent="0.25">
      <c r="A23" s="8">
        <v>42912.194803240738</v>
      </c>
      <c r="B23" s="20" t="s">
        <v>620</v>
      </c>
      <c r="C23" s="20" t="s">
        <v>677</v>
      </c>
      <c r="D23" s="138">
        <v>3040000</v>
      </c>
      <c r="E23" s="20" t="s">
        <v>382</v>
      </c>
      <c r="F23" s="20" t="s">
        <v>383</v>
      </c>
      <c r="G23" s="8" t="str">
        <f t="shared" si="0"/>
        <v>WILLIAMS DONTE</v>
      </c>
    </row>
    <row r="24" spans="1:7" x14ac:dyDescent="0.25">
      <c r="A24" s="8">
        <v>42912.198206018518</v>
      </c>
      <c r="B24" s="20" t="s">
        <v>341</v>
      </c>
      <c r="C24" s="20" t="s">
        <v>678</v>
      </c>
      <c r="D24" s="138">
        <v>2600000</v>
      </c>
      <c r="E24" s="20" t="s">
        <v>556</v>
      </c>
      <c r="F24" s="20" t="s">
        <v>557</v>
      </c>
      <c r="G24" s="8" t="str">
        <f t="shared" si="0"/>
        <v>DAVIDSON DAVID</v>
      </c>
    </row>
    <row r="25" spans="1:7" x14ac:dyDescent="0.25">
      <c r="A25" s="8">
        <v>42912.198506944442</v>
      </c>
      <c r="B25" s="20" t="s">
        <v>440</v>
      </c>
      <c r="C25" s="20" t="s">
        <v>679</v>
      </c>
      <c r="D25" s="138">
        <v>1540000</v>
      </c>
      <c r="E25" s="20" t="s">
        <v>680</v>
      </c>
      <c r="F25" s="20" t="s">
        <v>681</v>
      </c>
      <c r="G25" s="8" t="str">
        <f t="shared" si="0"/>
        <v>HELVIE ADAM</v>
      </c>
    </row>
    <row r="26" spans="1:7" x14ac:dyDescent="0.25">
      <c r="A26" s="8">
        <v>42912.205636574072</v>
      </c>
      <c r="B26" s="20" t="s">
        <v>549</v>
      </c>
      <c r="C26" s="20" t="s">
        <v>682</v>
      </c>
      <c r="D26" s="138">
        <v>2010000</v>
      </c>
      <c r="E26" s="20" t="s">
        <v>550</v>
      </c>
      <c r="F26" s="20" t="s">
        <v>551</v>
      </c>
      <c r="G26" s="8" t="str">
        <f t="shared" si="0"/>
        <v>MAELZER KURT</v>
      </c>
    </row>
    <row r="27" spans="1:7" x14ac:dyDescent="0.25">
      <c r="A27" s="8">
        <v>42912.209641203706</v>
      </c>
      <c r="B27" s="20" t="s">
        <v>365</v>
      </c>
      <c r="C27" s="20" t="s">
        <v>683</v>
      </c>
      <c r="D27" s="138">
        <v>2600000</v>
      </c>
      <c r="E27" s="20" t="s">
        <v>556</v>
      </c>
      <c r="F27" s="20" t="s">
        <v>557</v>
      </c>
      <c r="G27" s="8" t="str">
        <f t="shared" si="0"/>
        <v>DAVIDSON DAVID</v>
      </c>
    </row>
    <row r="28" spans="1:7" x14ac:dyDescent="0.25">
      <c r="A28" s="8">
        <v>42912.214108796295</v>
      </c>
      <c r="B28" s="20" t="s">
        <v>368</v>
      </c>
      <c r="C28" s="20" t="s">
        <v>684</v>
      </c>
      <c r="D28" s="138">
        <v>2530000</v>
      </c>
      <c r="E28" s="20" t="s">
        <v>554</v>
      </c>
      <c r="F28" s="20" t="s">
        <v>555</v>
      </c>
      <c r="G28" s="8" t="str">
        <f t="shared" si="0"/>
        <v>LALONDE GREGORY</v>
      </c>
    </row>
    <row r="29" spans="1:7" x14ac:dyDescent="0.25">
      <c r="A29" s="8">
        <v>42912.215312499997</v>
      </c>
      <c r="B29" s="20" t="s">
        <v>630</v>
      </c>
      <c r="C29" s="20" t="s">
        <v>685</v>
      </c>
      <c r="D29" s="138">
        <v>1110000</v>
      </c>
      <c r="E29" s="20" t="s">
        <v>669</v>
      </c>
      <c r="F29" s="20" t="s">
        <v>670</v>
      </c>
      <c r="G29" s="8" t="str">
        <f t="shared" si="0"/>
        <v>STARKS ANGELINA</v>
      </c>
    </row>
    <row r="30" spans="1:7" x14ac:dyDescent="0.25">
      <c r="A30" s="8">
        <v>42912.217974537038</v>
      </c>
      <c r="B30" s="20" t="s">
        <v>439</v>
      </c>
      <c r="C30" s="20" t="s">
        <v>686</v>
      </c>
      <c r="D30" s="138">
        <v>1540000</v>
      </c>
      <c r="E30" s="20" t="s">
        <v>680</v>
      </c>
      <c r="F30" s="20" t="s">
        <v>681</v>
      </c>
      <c r="G30" s="8" t="str">
        <f t="shared" si="0"/>
        <v>HELVIE ADAM</v>
      </c>
    </row>
    <row r="31" spans="1:7" x14ac:dyDescent="0.25">
      <c r="A31" s="8">
        <v>42912.226527777777</v>
      </c>
      <c r="B31" s="20" t="s">
        <v>418</v>
      </c>
      <c r="C31" s="20" t="s">
        <v>687</v>
      </c>
      <c r="D31" s="138">
        <v>2560000</v>
      </c>
      <c r="E31" s="20" t="s">
        <v>558</v>
      </c>
      <c r="F31" s="20" t="s">
        <v>366</v>
      </c>
      <c r="G31" s="8" t="str">
        <f t="shared" si="0"/>
        <v>MACDONALD THOMAS</v>
      </c>
    </row>
    <row r="32" spans="1:7" x14ac:dyDescent="0.25">
      <c r="A32" s="8">
        <v>42912.227696759262</v>
      </c>
      <c r="B32" s="20" t="s">
        <v>461</v>
      </c>
      <c r="C32" s="20" t="s">
        <v>688</v>
      </c>
      <c r="D32" s="138">
        <v>940000</v>
      </c>
      <c r="E32" s="20" t="s">
        <v>665</v>
      </c>
      <c r="F32" s="20" t="s">
        <v>666</v>
      </c>
      <c r="G32" s="8" t="str">
        <f t="shared" si="0"/>
        <v>BONDS REYNALDO</v>
      </c>
    </row>
    <row r="33" spans="1:7" x14ac:dyDescent="0.25">
      <c r="A33" s="8">
        <v>42912.229201388887</v>
      </c>
      <c r="B33" s="20" t="s">
        <v>341</v>
      </c>
      <c r="C33" s="20" t="s">
        <v>689</v>
      </c>
      <c r="D33" s="138">
        <v>2600000</v>
      </c>
      <c r="E33" s="20" t="s">
        <v>556</v>
      </c>
      <c r="F33" s="20" t="s">
        <v>557</v>
      </c>
      <c r="G33" s="8" t="str">
        <f t="shared" si="0"/>
        <v>DAVIDSON DAVID</v>
      </c>
    </row>
    <row r="34" spans="1:7" x14ac:dyDescent="0.25">
      <c r="A34" s="8">
        <v>42912.235474537039</v>
      </c>
      <c r="B34" s="20" t="s">
        <v>618</v>
      </c>
      <c r="C34" s="20" t="s">
        <v>619</v>
      </c>
      <c r="D34" s="138">
        <v>3040000</v>
      </c>
      <c r="E34" s="20" t="s">
        <v>382</v>
      </c>
      <c r="F34" s="20" t="s">
        <v>383</v>
      </c>
      <c r="G34" s="8" t="str">
        <f t="shared" si="0"/>
        <v>WILLIAMS DONTE</v>
      </c>
    </row>
    <row r="35" spans="1:7" x14ac:dyDescent="0.25">
      <c r="A35" s="8">
        <v>42912.237673611111</v>
      </c>
      <c r="B35" s="20" t="s">
        <v>420</v>
      </c>
      <c r="C35" s="20" t="s">
        <v>690</v>
      </c>
      <c r="D35" s="138">
        <v>2560000</v>
      </c>
      <c r="E35" s="20" t="s">
        <v>558</v>
      </c>
      <c r="F35" s="20" t="s">
        <v>366</v>
      </c>
      <c r="G35" s="8" t="str">
        <f t="shared" si="0"/>
        <v>MACDONALD THOMAS</v>
      </c>
    </row>
    <row r="36" spans="1:7" x14ac:dyDescent="0.25">
      <c r="A36" s="8">
        <v>42912.244525462964</v>
      </c>
      <c r="B36" s="20" t="s">
        <v>548</v>
      </c>
      <c r="C36" s="20" t="s">
        <v>691</v>
      </c>
      <c r="D36" s="138">
        <v>2010000</v>
      </c>
      <c r="E36" s="20" t="s">
        <v>550</v>
      </c>
      <c r="F36" s="20" t="s">
        <v>551</v>
      </c>
      <c r="G36" s="8" t="str">
        <f t="shared" si="0"/>
        <v>MAELZER KURT</v>
      </c>
    </row>
    <row r="37" spans="1:7" x14ac:dyDescent="0.25">
      <c r="A37" s="8">
        <v>42912.247766203705</v>
      </c>
      <c r="B37" s="20" t="s">
        <v>651</v>
      </c>
      <c r="C37" s="20" t="s">
        <v>692</v>
      </c>
      <c r="D37" s="138">
        <v>890000</v>
      </c>
      <c r="E37" s="20" t="s">
        <v>693</v>
      </c>
      <c r="F37" s="20" t="s">
        <v>694</v>
      </c>
      <c r="G37" s="8" t="str">
        <f t="shared" si="0"/>
        <v>LOZA FIDEL</v>
      </c>
    </row>
    <row r="38" spans="1:7" x14ac:dyDescent="0.25">
      <c r="A38" s="8">
        <v>42912.248703703706</v>
      </c>
      <c r="B38" s="20" t="s">
        <v>398</v>
      </c>
      <c r="C38" s="20" t="s">
        <v>695</v>
      </c>
      <c r="D38" s="138">
        <v>1110000</v>
      </c>
      <c r="E38" s="20" t="s">
        <v>669</v>
      </c>
      <c r="F38" s="20" t="s">
        <v>670</v>
      </c>
      <c r="G38" s="8" t="str">
        <f t="shared" si="0"/>
        <v>STARKS ANGELINA</v>
      </c>
    </row>
    <row r="39" spans="1:7" x14ac:dyDescent="0.25">
      <c r="A39" s="8">
        <v>42912.254606481481</v>
      </c>
      <c r="B39" s="20" t="s">
        <v>440</v>
      </c>
      <c r="C39" s="20" t="s">
        <v>696</v>
      </c>
      <c r="D39" s="138">
        <v>1540000</v>
      </c>
      <c r="E39" s="20" t="s">
        <v>680</v>
      </c>
      <c r="F39" s="20" t="s">
        <v>681</v>
      </c>
      <c r="G39" s="8" t="str">
        <f t="shared" si="0"/>
        <v>HELVIE ADAM</v>
      </c>
    </row>
    <row r="40" spans="1:7" x14ac:dyDescent="0.25">
      <c r="A40" s="8">
        <v>42912.25509259259</v>
      </c>
      <c r="B40" s="25" t="s">
        <v>374</v>
      </c>
      <c r="C40" s="20" t="s">
        <v>697</v>
      </c>
      <c r="D40" s="138">
        <v>2530000</v>
      </c>
      <c r="E40" s="20" t="s">
        <v>554</v>
      </c>
      <c r="F40" s="20" t="s">
        <v>555</v>
      </c>
      <c r="G40" s="8" t="str">
        <f t="shared" si="0"/>
        <v>LALONDE GREGORY</v>
      </c>
    </row>
    <row r="41" spans="1:7" x14ac:dyDescent="0.25">
      <c r="A41" s="8">
        <v>42912.255381944444</v>
      </c>
      <c r="B41" s="20" t="s">
        <v>365</v>
      </c>
      <c r="C41" s="20" t="s">
        <v>698</v>
      </c>
      <c r="D41" s="138">
        <v>2600000</v>
      </c>
      <c r="E41" s="20" t="s">
        <v>556</v>
      </c>
      <c r="F41" s="20" t="s">
        <v>557</v>
      </c>
      <c r="G41" s="8" t="str">
        <f t="shared" si="0"/>
        <v>DAVIDSON DAVID</v>
      </c>
    </row>
    <row r="42" spans="1:7" x14ac:dyDescent="0.25">
      <c r="A42" s="8">
        <v>42912.262488425928</v>
      </c>
      <c r="B42" s="20" t="s">
        <v>357</v>
      </c>
      <c r="C42" s="20" t="s">
        <v>699</v>
      </c>
      <c r="D42" s="138">
        <v>890000</v>
      </c>
      <c r="E42" s="20" t="s">
        <v>693</v>
      </c>
      <c r="F42" s="20" t="s">
        <v>694</v>
      </c>
      <c r="G42" s="8" t="str">
        <f t="shared" si="0"/>
        <v>LOZA FIDEL</v>
      </c>
    </row>
    <row r="43" spans="1:7" x14ac:dyDescent="0.25">
      <c r="A43" s="8">
        <v>42912.266516203701</v>
      </c>
      <c r="B43" s="20" t="s">
        <v>460</v>
      </c>
      <c r="C43" s="20" t="s">
        <v>700</v>
      </c>
      <c r="D43" s="138">
        <v>940000</v>
      </c>
      <c r="E43" s="20" t="s">
        <v>665</v>
      </c>
      <c r="F43" s="20" t="s">
        <v>666</v>
      </c>
      <c r="G43" s="8" t="str">
        <f t="shared" si="0"/>
        <v>BONDS REYNALDO</v>
      </c>
    </row>
    <row r="44" spans="1:7" x14ac:dyDescent="0.25">
      <c r="A44" s="8">
        <v>42912.269074074073</v>
      </c>
      <c r="B44" s="20" t="s">
        <v>620</v>
      </c>
      <c r="C44" s="20" t="s">
        <v>621</v>
      </c>
      <c r="D44" s="138">
        <v>3040000</v>
      </c>
      <c r="E44" s="20" t="s">
        <v>382</v>
      </c>
      <c r="F44" s="20" t="s">
        <v>383</v>
      </c>
      <c r="G44" s="8" t="str">
        <f t="shared" si="0"/>
        <v>WILLIAMS DONTE</v>
      </c>
    </row>
    <row r="45" spans="1:7" x14ac:dyDescent="0.25">
      <c r="A45" s="8">
        <v>42912.273148148146</v>
      </c>
      <c r="B45" s="20" t="s">
        <v>341</v>
      </c>
      <c r="C45" s="20" t="s">
        <v>701</v>
      </c>
      <c r="D45" s="138">
        <v>2600000</v>
      </c>
      <c r="E45" s="20" t="s">
        <v>556</v>
      </c>
      <c r="F45" s="20" t="s">
        <v>557</v>
      </c>
      <c r="G45" s="8" t="str">
        <f t="shared" si="0"/>
        <v>DAVIDSON DAVID</v>
      </c>
    </row>
    <row r="46" spans="1:7" x14ac:dyDescent="0.25">
      <c r="A46" s="8">
        <v>42912.275636574072</v>
      </c>
      <c r="B46" s="20" t="s">
        <v>651</v>
      </c>
      <c r="C46" s="20" t="s">
        <v>702</v>
      </c>
      <c r="D46" s="138">
        <v>890000</v>
      </c>
      <c r="E46" s="20" t="s">
        <v>693</v>
      </c>
      <c r="F46" s="20" t="s">
        <v>694</v>
      </c>
      <c r="G46" s="8" t="str">
        <f t="shared" si="0"/>
        <v>LOZA FIDEL</v>
      </c>
    </row>
    <row r="47" spans="1:7" x14ac:dyDescent="0.25">
      <c r="A47" s="8">
        <v>42912.277048611111</v>
      </c>
      <c r="B47" s="20" t="s">
        <v>549</v>
      </c>
      <c r="C47" s="20" t="s">
        <v>703</v>
      </c>
      <c r="D47" s="138">
        <v>2010000</v>
      </c>
      <c r="E47" s="20" t="s">
        <v>550</v>
      </c>
      <c r="F47" s="20" t="s">
        <v>551</v>
      </c>
      <c r="G47" s="8" t="str">
        <f t="shared" si="0"/>
        <v>MAELZER KURT</v>
      </c>
    </row>
    <row r="48" spans="1:7" x14ac:dyDescent="0.25">
      <c r="A48" s="8">
        <v>42912.277743055558</v>
      </c>
      <c r="B48" s="20" t="s">
        <v>418</v>
      </c>
      <c r="C48" s="20" t="s">
        <v>704</v>
      </c>
      <c r="D48" s="138">
        <v>2560000</v>
      </c>
      <c r="E48" s="20" t="s">
        <v>558</v>
      </c>
      <c r="F48" s="20" t="s">
        <v>366</v>
      </c>
      <c r="G48" s="8" t="str">
        <f t="shared" si="0"/>
        <v>MACDONALD THOMAS</v>
      </c>
    </row>
    <row r="49" spans="1:7" x14ac:dyDescent="0.25">
      <c r="A49" s="8">
        <v>42912.28634259259</v>
      </c>
      <c r="B49" s="20" t="s">
        <v>368</v>
      </c>
      <c r="C49" s="20" t="s">
        <v>705</v>
      </c>
      <c r="D49" s="138">
        <v>2530000</v>
      </c>
      <c r="E49" s="20" t="s">
        <v>554</v>
      </c>
      <c r="F49" s="20" t="s">
        <v>555</v>
      </c>
      <c r="G49" s="8" t="str">
        <f t="shared" si="0"/>
        <v>LALONDE GREGORY</v>
      </c>
    </row>
    <row r="50" spans="1:7" x14ac:dyDescent="0.25">
      <c r="A50" s="8">
        <v>42912.287997685184</v>
      </c>
      <c r="B50" s="20" t="s">
        <v>630</v>
      </c>
      <c r="C50" s="20" t="s">
        <v>706</v>
      </c>
      <c r="D50" s="138">
        <v>1110000</v>
      </c>
      <c r="E50" s="20" t="s">
        <v>669</v>
      </c>
      <c r="F50" s="20" t="s">
        <v>670</v>
      </c>
      <c r="G50" s="8" t="str">
        <f t="shared" si="0"/>
        <v>STARKS ANGELINA</v>
      </c>
    </row>
    <row r="51" spans="1:7" x14ac:dyDescent="0.25">
      <c r="A51" s="8">
        <v>42912.289756944447</v>
      </c>
      <c r="B51" s="20" t="s">
        <v>439</v>
      </c>
      <c r="C51" s="20" t="s">
        <v>707</v>
      </c>
      <c r="D51" s="138">
        <v>1540000</v>
      </c>
      <c r="E51" s="20" t="s">
        <v>680</v>
      </c>
      <c r="F51" s="20" t="s">
        <v>681</v>
      </c>
      <c r="G51" s="8" t="str">
        <f t="shared" si="0"/>
        <v>HELVIE ADAM</v>
      </c>
    </row>
    <row r="52" spans="1:7" x14ac:dyDescent="0.25">
      <c r="A52" s="8">
        <v>42912.291689814818</v>
      </c>
      <c r="B52" s="20" t="s">
        <v>357</v>
      </c>
      <c r="C52" s="20" t="s">
        <v>708</v>
      </c>
      <c r="D52" s="138">
        <v>890000</v>
      </c>
      <c r="E52" s="20" t="s">
        <v>693</v>
      </c>
      <c r="F52" s="20" t="s">
        <v>694</v>
      </c>
      <c r="G52" s="8" t="str">
        <f t="shared" si="0"/>
        <v>LOZA FIDEL</v>
      </c>
    </row>
    <row r="53" spans="1:7" x14ac:dyDescent="0.25">
      <c r="A53" s="8">
        <v>42912.296736111108</v>
      </c>
      <c r="B53" s="20" t="s">
        <v>365</v>
      </c>
      <c r="C53" s="20" t="s">
        <v>709</v>
      </c>
      <c r="D53" s="138">
        <v>2600000</v>
      </c>
      <c r="E53" s="20" t="s">
        <v>556</v>
      </c>
      <c r="F53" s="20" t="s">
        <v>557</v>
      </c>
      <c r="G53" s="8" t="str">
        <f t="shared" si="0"/>
        <v>DAVIDSON DAVID</v>
      </c>
    </row>
    <row r="54" spans="1:7" x14ac:dyDescent="0.25">
      <c r="A54" s="8">
        <v>42912.299780092595</v>
      </c>
      <c r="B54" s="20" t="s">
        <v>461</v>
      </c>
      <c r="C54" s="20" t="s">
        <v>710</v>
      </c>
      <c r="D54" s="138">
        <v>940000</v>
      </c>
      <c r="E54" s="20" t="s">
        <v>665</v>
      </c>
      <c r="F54" s="20" t="s">
        <v>666</v>
      </c>
      <c r="G54" s="8" t="str">
        <f t="shared" si="0"/>
        <v>BONDS REYNALDO</v>
      </c>
    </row>
    <row r="55" spans="1:7" x14ac:dyDescent="0.25">
      <c r="A55" s="8">
        <v>42912.301400462966</v>
      </c>
      <c r="B55" s="20" t="s">
        <v>618</v>
      </c>
      <c r="C55" s="20" t="s">
        <v>711</v>
      </c>
      <c r="D55" s="138">
        <v>3040000</v>
      </c>
      <c r="E55" s="20" t="s">
        <v>382</v>
      </c>
      <c r="F55" s="20" t="s">
        <v>383</v>
      </c>
      <c r="G55" s="8" t="str">
        <f t="shared" si="0"/>
        <v>WILLIAMS DONTE</v>
      </c>
    </row>
    <row r="56" spans="1:7" x14ac:dyDescent="0.25">
      <c r="A56" s="8">
        <v>42912.308564814812</v>
      </c>
      <c r="B56" s="20" t="s">
        <v>420</v>
      </c>
      <c r="C56" s="20" t="s">
        <v>622</v>
      </c>
      <c r="D56" s="138">
        <v>2560000</v>
      </c>
      <c r="E56" s="20" t="s">
        <v>558</v>
      </c>
      <c r="F56" s="20" t="s">
        <v>366</v>
      </c>
      <c r="G56" s="8" t="str">
        <f t="shared" si="0"/>
        <v>MACDONALD THOMAS</v>
      </c>
    </row>
    <row r="57" spans="1:7" x14ac:dyDescent="0.25">
      <c r="A57" s="8">
        <v>42912.311111111114</v>
      </c>
      <c r="B57" s="20" t="s">
        <v>548</v>
      </c>
      <c r="C57" s="20" t="s">
        <v>712</v>
      </c>
      <c r="D57" s="138">
        <v>2010000</v>
      </c>
      <c r="E57" s="20" t="s">
        <v>550</v>
      </c>
      <c r="F57" s="20" t="s">
        <v>551</v>
      </c>
      <c r="G57" s="8" t="str">
        <f t="shared" si="0"/>
        <v>MAELZER KURT</v>
      </c>
    </row>
    <row r="58" spans="1:7" x14ac:dyDescent="0.25">
      <c r="A58" s="8">
        <v>42912.312928240739</v>
      </c>
      <c r="B58" s="20" t="s">
        <v>341</v>
      </c>
      <c r="C58" s="20" t="s">
        <v>713</v>
      </c>
      <c r="D58" s="138">
        <v>2600000</v>
      </c>
      <c r="E58" s="20" t="s">
        <v>556</v>
      </c>
      <c r="F58" s="20" t="s">
        <v>557</v>
      </c>
      <c r="G58" s="8" t="str">
        <f t="shared" si="0"/>
        <v>DAVIDSON DAVID</v>
      </c>
    </row>
    <row r="59" spans="1:7" x14ac:dyDescent="0.25">
      <c r="A59" s="8">
        <v>42912.317777777775</v>
      </c>
      <c r="B59" s="20" t="s">
        <v>651</v>
      </c>
      <c r="C59" s="20" t="s">
        <v>714</v>
      </c>
      <c r="D59" s="138">
        <v>890000</v>
      </c>
      <c r="E59" s="20" t="s">
        <v>693</v>
      </c>
      <c r="F59" s="20" t="s">
        <v>694</v>
      </c>
      <c r="G59" s="8" t="str">
        <f t="shared" si="0"/>
        <v>LOZA FIDEL</v>
      </c>
    </row>
    <row r="60" spans="1:7" x14ac:dyDescent="0.25">
      <c r="A60" s="8">
        <v>42912.319976851853</v>
      </c>
      <c r="B60" s="20" t="s">
        <v>398</v>
      </c>
      <c r="C60" s="20" t="s">
        <v>715</v>
      </c>
      <c r="D60" s="138">
        <v>1110000</v>
      </c>
      <c r="E60" s="20" t="s">
        <v>669</v>
      </c>
      <c r="F60" s="20" t="s">
        <v>670</v>
      </c>
      <c r="G60" s="8" t="str">
        <f t="shared" si="0"/>
        <v>STARKS ANGELINA</v>
      </c>
    </row>
    <row r="61" spans="1:7" x14ac:dyDescent="0.25">
      <c r="A61" s="8">
        <v>42912.328344907408</v>
      </c>
      <c r="B61" s="20" t="s">
        <v>440</v>
      </c>
      <c r="C61" s="20" t="s">
        <v>716</v>
      </c>
      <c r="D61" s="138">
        <v>1540000</v>
      </c>
      <c r="E61" s="20" t="s">
        <v>680</v>
      </c>
      <c r="F61" s="20" t="s">
        <v>681</v>
      </c>
      <c r="G61" s="8" t="str">
        <f t="shared" si="0"/>
        <v>HELVIE ADAM</v>
      </c>
    </row>
    <row r="62" spans="1:7" x14ac:dyDescent="0.25">
      <c r="A62" s="8">
        <v>42912.328634259262</v>
      </c>
      <c r="B62" s="20" t="s">
        <v>374</v>
      </c>
      <c r="C62" s="20" t="s">
        <v>717</v>
      </c>
      <c r="D62" s="138">
        <v>2530000</v>
      </c>
      <c r="E62" s="20" t="s">
        <v>554</v>
      </c>
      <c r="F62" s="20" t="s">
        <v>555</v>
      </c>
      <c r="G62" s="8" t="str">
        <f t="shared" si="0"/>
        <v>LALONDE GREGORY</v>
      </c>
    </row>
    <row r="63" spans="1:7" x14ac:dyDescent="0.25">
      <c r="A63" s="8">
        <v>42912.33792824074</v>
      </c>
      <c r="B63" s="20" t="s">
        <v>460</v>
      </c>
      <c r="C63" s="20" t="s">
        <v>718</v>
      </c>
      <c r="D63" s="138">
        <v>940000</v>
      </c>
      <c r="E63" s="20" t="s">
        <v>665</v>
      </c>
      <c r="F63" s="20" t="s">
        <v>666</v>
      </c>
      <c r="G63" s="8" t="str">
        <f t="shared" si="0"/>
        <v>BONDS REYNALDO</v>
      </c>
    </row>
    <row r="64" spans="1:7" x14ac:dyDescent="0.25">
      <c r="A64" s="26">
        <v>42912.338726851849</v>
      </c>
      <c r="B64" s="20" t="s">
        <v>365</v>
      </c>
      <c r="C64" s="20" t="s">
        <v>719</v>
      </c>
      <c r="D64" s="138">
        <v>2600000</v>
      </c>
      <c r="E64" s="20" t="s">
        <v>556</v>
      </c>
      <c r="F64" s="20" t="s">
        <v>557</v>
      </c>
      <c r="G64" s="8" t="str">
        <f t="shared" si="0"/>
        <v>DAVIDSON DAVID</v>
      </c>
    </row>
    <row r="65" spans="1:7" x14ac:dyDescent="0.25">
      <c r="A65" s="8">
        <v>42912.342650462961</v>
      </c>
      <c r="B65" s="20" t="s">
        <v>620</v>
      </c>
      <c r="C65" s="20" t="s">
        <v>623</v>
      </c>
      <c r="D65" s="138">
        <v>3040000</v>
      </c>
      <c r="E65" s="20" t="s">
        <v>382</v>
      </c>
      <c r="F65" s="20" t="s">
        <v>383</v>
      </c>
      <c r="G65" s="8" t="str">
        <f t="shared" si="0"/>
        <v>WILLIAMS DONTE</v>
      </c>
    </row>
    <row r="66" spans="1:7" x14ac:dyDescent="0.25">
      <c r="A66" s="8">
        <v>42912.344525462962</v>
      </c>
      <c r="B66" s="20" t="s">
        <v>418</v>
      </c>
      <c r="C66" s="20" t="s">
        <v>624</v>
      </c>
      <c r="D66" s="138">
        <v>2560000</v>
      </c>
      <c r="E66" s="20" t="s">
        <v>558</v>
      </c>
      <c r="F66" s="20" t="s">
        <v>366</v>
      </c>
      <c r="G66" s="8" t="str">
        <f t="shared" si="0"/>
        <v>MACDONALD THOMAS</v>
      </c>
    </row>
    <row r="67" spans="1:7" x14ac:dyDescent="0.25">
      <c r="A67" s="8">
        <v>42912.346041666664</v>
      </c>
      <c r="B67" s="20" t="s">
        <v>357</v>
      </c>
      <c r="C67" s="20" t="s">
        <v>720</v>
      </c>
      <c r="D67" s="138">
        <v>890000</v>
      </c>
      <c r="E67" s="20" t="s">
        <v>693</v>
      </c>
      <c r="F67" s="20" t="s">
        <v>694</v>
      </c>
      <c r="G67" s="8" t="str">
        <f t="shared" ref="G67:G130" si="1">E67&amp;" "&amp;F67</f>
        <v>LOZA FIDEL</v>
      </c>
    </row>
    <row r="68" spans="1:7" x14ac:dyDescent="0.25">
      <c r="A68" s="8">
        <v>42912.351400462961</v>
      </c>
      <c r="B68" s="20" t="s">
        <v>549</v>
      </c>
      <c r="C68" s="20" t="s">
        <v>625</v>
      </c>
      <c r="D68" s="138">
        <v>2010000</v>
      </c>
      <c r="E68" s="20" t="s">
        <v>550</v>
      </c>
      <c r="F68" s="20" t="s">
        <v>551</v>
      </c>
      <c r="G68" s="8" t="str">
        <f t="shared" si="1"/>
        <v>MAELZER KURT</v>
      </c>
    </row>
    <row r="69" spans="1:7" x14ac:dyDescent="0.25">
      <c r="A69" s="8">
        <v>42912.353773148148</v>
      </c>
      <c r="B69" s="20" t="s">
        <v>341</v>
      </c>
      <c r="C69" s="20" t="s">
        <v>626</v>
      </c>
      <c r="D69" s="138">
        <v>2600000</v>
      </c>
      <c r="E69" s="20" t="s">
        <v>556</v>
      </c>
      <c r="F69" s="20" t="s">
        <v>557</v>
      </c>
      <c r="G69" s="8" t="str">
        <f t="shared" si="1"/>
        <v>DAVIDSON DAVID</v>
      </c>
    </row>
    <row r="70" spans="1:7" x14ac:dyDescent="0.25">
      <c r="A70" s="8">
        <v>42912.358680555553</v>
      </c>
      <c r="B70" s="20" t="s">
        <v>651</v>
      </c>
      <c r="C70" s="20" t="s">
        <v>721</v>
      </c>
      <c r="D70" s="138">
        <v>890000</v>
      </c>
      <c r="E70" s="20" t="s">
        <v>693</v>
      </c>
      <c r="F70" s="20" t="s">
        <v>694</v>
      </c>
      <c r="G70" s="8" t="str">
        <f t="shared" si="1"/>
        <v>LOZA FIDEL</v>
      </c>
    </row>
    <row r="71" spans="1:7" x14ac:dyDescent="0.25">
      <c r="A71" s="8">
        <v>42912.360590277778</v>
      </c>
      <c r="B71" s="20" t="s">
        <v>630</v>
      </c>
      <c r="C71" s="20" t="s">
        <v>722</v>
      </c>
      <c r="D71" s="138">
        <v>1110000</v>
      </c>
      <c r="E71" s="20" t="s">
        <v>669</v>
      </c>
      <c r="F71" s="20" t="s">
        <v>670</v>
      </c>
      <c r="G71" s="8" t="str">
        <f t="shared" si="1"/>
        <v>STARKS ANGELINA</v>
      </c>
    </row>
    <row r="72" spans="1:7" x14ac:dyDescent="0.25">
      <c r="A72" s="8">
        <v>42912.36074074074</v>
      </c>
      <c r="B72" s="20" t="s">
        <v>368</v>
      </c>
      <c r="C72" s="20" t="s">
        <v>723</v>
      </c>
      <c r="D72" s="138">
        <v>2530000</v>
      </c>
      <c r="E72" s="20" t="s">
        <v>554</v>
      </c>
      <c r="F72" s="20" t="s">
        <v>555</v>
      </c>
      <c r="G72" s="8" t="str">
        <f t="shared" si="1"/>
        <v>LALONDE GREGORY</v>
      </c>
    </row>
    <row r="73" spans="1:7" x14ac:dyDescent="0.25">
      <c r="A73" s="8">
        <v>42912.363530092596</v>
      </c>
      <c r="B73" s="20" t="s">
        <v>439</v>
      </c>
      <c r="C73" s="20" t="s">
        <v>724</v>
      </c>
      <c r="D73" s="138">
        <v>1540000</v>
      </c>
      <c r="E73" s="20" t="s">
        <v>680</v>
      </c>
      <c r="F73" s="20" t="s">
        <v>681</v>
      </c>
      <c r="G73" s="8" t="str">
        <f t="shared" si="1"/>
        <v>HELVIE ADAM</v>
      </c>
    </row>
    <row r="74" spans="1:7" x14ac:dyDescent="0.25">
      <c r="A74" s="8">
        <v>42912.365729166668</v>
      </c>
      <c r="B74" s="20" t="s">
        <v>453</v>
      </c>
      <c r="C74" s="20" t="s">
        <v>627</v>
      </c>
      <c r="D74" s="138">
        <v>1260000</v>
      </c>
      <c r="E74" s="20" t="s">
        <v>725</v>
      </c>
      <c r="F74" s="20" t="s">
        <v>726</v>
      </c>
      <c r="G74" s="8" t="str">
        <f t="shared" si="1"/>
        <v>ACKERMAN JARED</v>
      </c>
    </row>
    <row r="75" spans="1:7" x14ac:dyDescent="0.25">
      <c r="A75" s="8">
        <v>42912.372685185182</v>
      </c>
      <c r="B75" s="20" t="s">
        <v>461</v>
      </c>
      <c r="C75" s="20" t="s">
        <v>727</v>
      </c>
      <c r="D75" s="138">
        <v>940000</v>
      </c>
      <c r="E75" s="20" t="s">
        <v>665</v>
      </c>
      <c r="F75" s="20" t="s">
        <v>666</v>
      </c>
      <c r="G75" s="8" t="str">
        <f t="shared" si="1"/>
        <v>BONDS REYNALDO</v>
      </c>
    </row>
    <row r="76" spans="1:7" x14ac:dyDescent="0.25">
      <c r="A76" s="8">
        <v>42912.374768518515</v>
      </c>
      <c r="B76" s="20" t="s">
        <v>618</v>
      </c>
      <c r="C76" s="20" t="s">
        <v>728</v>
      </c>
      <c r="D76" s="138">
        <v>3040000</v>
      </c>
      <c r="E76" s="20" t="s">
        <v>382</v>
      </c>
      <c r="F76" s="20" t="s">
        <v>383</v>
      </c>
      <c r="G76" s="8" t="str">
        <f t="shared" si="1"/>
        <v>WILLIAMS DONTE</v>
      </c>
    </row>
    <row r="77" spans="1:7" x14ac:dyDescent="0.25">
      <c r="A77" s="8">
        <v>42912.37872685185</v>
      </c>
      <c r="B77" s="20" t="s">
        <v>659</v>
      </c>
      <c r="C77" s="20" t="s">
        <v>729</v>
      </c>
      <c r="D77" s="138">
        <v>1520000</v>
      </c>
      <c r="E77" s="20" t="s">
        <v>552</v>
      </c>
      <c r="F77" s="20" t="s">
        <v>553</v>
      </c>
      <c r="G77" s="8" t="str">
        <f t="shared" si="1"/>
        <v>MAYBERRY BILL</v>
      </c>
    </row>
    <row r="78" spans="1:7" x14ac:dyDescent="0.25">
      <c r="A78" s="8">
        <v>42912.385474537034</v>
      </c>
      <c r="B78" s="20" t="s">
        <v>420</v>
      </c>
      <c r="C78" s="20" t="s">
        <v>624</v>
      </c>
      <c r="D78" s="138">
        <v>2560000</v>
      </c>
      <c r="E78" s="20" t="s">
        <v>558</v>
      </c>
      <c r="F78" s="20" t="s">
        <v>366</v>
      </c>
      <c r="G78" s="8" t="str">
        <f t="shared" si="1"/>
        <v>MACDONALD THOMAS</v>
      </c>
    </row>
    <row r="79" spans="1:7" x14ac:dyDescent="0.25">
      <c r="A79" s="8">
        <v>42912.387407407405</v>
      </c>
      <c r="B79" s="20" t="s">
        <v>357</v>
      </c>
      <c r="C79" s="20" t="s">
        <v>730</v>
      </c>
      <c r="D79" s="138">
        <v>890000</v>
      </c>
      <c r="E79" s="20" t="s">
        <v>693</v>
      </c>
      <c r="F79" s="20" t="s">
        <v>694</v>
      </c>
      <c r="G79" s="8" t="str">
        <f t="shared" si="1"/>
        <v>LOZA FIDEL</v>
      </c>
    </row>
    <row r="80" spans="1:7" x14ac:dyDescent="0.25">
      <c r="A80" s="8">
        <v>42912.38894675926</v>
      </c>
      <c r="B80" s="20" t="s">
        <v>420</v>
      </c>
      <c r="C80" s="20" t="s">
        <v>731</v>
      </c>
      <c r="D80" s="138">
        <v>2560000</v>
      </c>
      <c r="E80" s="20" t="s">
        <v>558</v>
      </c>
      <c r="F80" s="20" t="s">
        <v>366</v>
      </c>
      <c r="G80" s="8" t="str">
        <f t="shared" si="1"/>
        <v>MACDONALD THOMAS</v>
      </c>
    </row>
    <row r="81" spans="1:7" x14ac:dyDescent="0.25">
      <c r="A81" s="8">
        <v>42912.390625</v>
      </c>
      <c r="B81" s="20" t="s">
        <v>548</v>
      </c>
      <c r="C81" s="20" t="s">
        <v>732</v>
      </c>
      <c r="D81" s="138">
        <v>2010000</v>
      </c>
      <c r="E81" s="20" t="s">
        <v>550</v>
      </c>
      <c r="F81" s="20" t="s">
        <v>551</v>
      </c>
      <c r="G81" s="8" t="str">
        <f t="shared" si="1"/>
        <v>MAELZER KURT</v>
      </c>
    </row>
    <row r="82" spans="1:7" x14ac:dyDescent="0.25">
      <c r="A82" s="8">
        <v>42912.393530092595</v>
      </c>
      <c r="B82" s="20" t="s">
        <v>418</v>
      </c>
      <c r="C82" s="20" t="s">
        <v>731</v>
      </c>
      <c r="D82" s="138">
        <v>2560000</v>
      </c>
      <c r="E82" s="20" t="s">
        <v>558</v>
      </c>
      <c r="F82" s="20" t="s">
        <v>366</v>
      </c>
      <c r="G82" s="8" t="str">
        <f t="shared" si="1"/>
        <v>MACDONALD THOMAS</v>
      </c>
    </row>
    <row r="83" spans="1:7" x14ac:dyDescent="0.25">
      <c r="A83" s="8">
        <v>42912.393645833334</v>
      </c>
      <c r="B83" s="20" t="s">
        <v>398</v>
      </c>
      <c r="C83" s="20" t="s">
        <v>733</v>
      </c>
      <c r="D83" s="138">
        <v>1110000</v>
      </c>
      <c r="E83" s="20" t="s">
        <v>669</v>
      </c>
      <c r="F83" s="20" t="s">
        <v>670</v>
      </c>
      <c r="G83" s="8" t="str">
        <f t="shared" si="1"/>
        <v>STARKS ANGELINA</v>
      </c>
    </row>
    <row r="84" spans="1:7" x14ac:dyDescent="0.25">
      <c r="A84" s="8">
        <v>42912.400659722225</v>
      </c>
      <c r="B84" s="20" t="s">
        <v>651</v>
      </c>
      <c r="C84" s="20" t="s">
        <v>734</v>
      </c>
      <c r="D84" s="138">
        <v>890000</v>
      </c>
      <c r="E84" s="20" t="s">
        <v>693</v>
      </c>
      <c r="F84" s="20" t="s">
        <v>694</v>
      </c>
      <c r="G84" s="8" t="str">
        <f t="shared" si="1"/>
        <v>LOZA FIDEL</v>
      </c>
    </row>
    <row r="85" spans="1:7" x14ac:dyDescent="0.25">
      <c r="A85" s="8">
        <v>42912.401574074072</v>
      </c>
      <c r="B85" s="20" t="s">
        <v>374</v>
      </c>
      <c r="C85" s="20" t="s">
        <v>735</v>
      </c>
      <c r="D85" s="138">
        <v>2530000</v>
      </c>
      <c r="E85" s="20" t="s">
        <v>554</v>
      </c>
      <c r="F85" s="20" t="s">
        <v>555</v>
      </c>
      <c r="G85" s="8" t="str">
        <f t="shared" si="1"/>
        <v>LALONDE GREGORY</v>
      </c>
    </row>
    <row r="86" spans="1:7" x14ac:dyDescent="0.25">
      <c r="A86" s="8">
        <v>42912.403124999997</v>
      </c>
      <c r="B86" s="20" t="s">
        <v>440</v>
      </c>
      <c r="C86" s="20" t="s">
        <v>736</v>
      </c>
      <c r="D86" s="138">
        <v>1540000</v>
      </c>
      <c r="E86" s="20" t="s">
        <v>680</v>
      </c>
      <c r="F86" s="20" t="s">
        <v>681</v>
      </c>
      <c r="G86" s="8" t="str">
        <f t="shared" si="1"/>
        <v>HELVIE ADAM</v>
      </c>
    </row>
    <row r="87" spans="1:7" x14ac:dyDescent="0.25">
      <c r="A87" s="8">
        <v>42912.412870370368</v>
      </c>
      <c r="B87" s="20" t="s">
        <v>460</v>
      </c>
      <c r="C87" s="20" t="s">
        <v>737</v>
      </c>
      <c r="D87" s="138">
        <v>940000</v>
      </c>
      <c r="E87" s="20" t="s">
        <v>665</v>
      </c>
      <c r="F87" s="20" t="s">
        <v>666</v>
      </c>
      <c r="G87" s="8" t="str">
        <f t="shared" si="1"/>
        <v>BONDS REYNALDO</v>
      </c>
    </row>
    <row r="88" spans="1:7" x14ac:dyDescent="0.25">
      <c r="A88" s="8">
        <v>42912.41511574074</v>
      </c>
      <c r="B88" s="20" t="s">
        <v>620</v>
      </c>
      <c r="C88" s="20" t="s">
        <v>738</v>
      </c>
      <c r="D88" s="138">
        <v>3040000</v>
      </c>
      <c r="E88" s="20" t="s">
        <v>382</v>
      </c>
      <c r="F88" s="20" t="s">
        <v>383</v>
      </c>
      <c r="G88" s="8" t="str">
        <f t="shared" si="1"/>
        <v>WILLIAMS DONTE</v>
      </c>
    </row>
    <row r="89" spans="1:7" x14ac:dyDescent="0.25">
      <c r="A89" s="8">
        <v>42912.422476851854</v>
      </c>
      <c r="B89" s="20" t="s">
        <v>628</v>
      </c>
      <c r="C89" s="20" t="s">
        <v>629</v>
      </c>
      <c r="D89" s="138">
        <v>1520000</v>
      </c>
      <c r="E89" s="20" t="s">
        <v>552</v>
      </c>
      <c r="F89" s="20" t="s">
        <v>553</v>
      </c>
      <c r="G89" s="8" t="str">
        <f t="shared" si="1"/>
        <v>MAYBERRY BILL</v>
      </c>
    </row>
    <row r="90" spans="1:7" x14ac:dyDescent="0.25">
      <c r="A90" s="8">
        <v>42912.423472222225</v>
      </c>
      <c r="B90" s="20" t="s">
        <v>549</v>
      </c>
      <c r="C90" s="20" t="s">
        <v>739</v>
      </c>
      <c r="D90" s="138">
        <v>2600000</v>
      </c>
      <c r="E90" s="20" t="s">
        <v>556</v>
      </c>
      <c r="F90" s="20" t="s">
        <v>557</v>
      </c>
      <c r="G90" s="8" t="str">
        <f t="shared" si="1"/>
        <v>DAVIDSON DAVID</v>
      </c>
    </row>
    <row r="91" spans="1:7" x14ac:dyDescent="0.25">
      <c r="A91" s="8">
        <v>42912.428865740738</v>
      </c>
      <c r="B91" s="20" t="s">
        <v>357</v>
      </c>
      <c r="C91" s="20" t="s">
        <v>740</v>
      </c>
      <c r="D91" s="138">
        <v>890000</v>
      </c>
      <c r="E91" s="20" t="s">
        <v>693</v>
      </c>
      <c r="F91" s="20" t="s">
        <v>694</v>
      </c>
      <c r="G91" s="8" t="str">
        <f t="shared" si="1"/>
        <v>LOZA FIDEL</v>
      </c>
    </row>
    <row r="92" spans="1:7" x14ac:dyDescent="0.25">
      <c r="A92" s="8">
        <v>42912.432395833333</v>
      </c>
      <c r="B92" s="20" t="s">
        <v>368</v>
      </c>
      <c r="C92" s="20" t="s">
        <v>741</v>
      </c>
      <c r="D92" s="138">
        <v>2530000</v>
      </c>
      <c r="E92" s="20" t="s">
        <v>554</v>
      </c>
      <c r="F92" s="20" t="s">
        <v>555</v>
      </c>
      <c r="G92" s="8" t="str">
        <f t="shared" si="1"/>
        <v>LALONDE GREGORY</v>
      </c>
    </row>
    <row r="93" spans="1:7" x14ac:dyDescent="0.25">
      <c r="A93" s="8">
        <v>42912.433483796296</v>
      </c>
      <c r="B93" s="20" t="s">
        <v>630</v>
      </c>
      <c r="C93" s="20" t="s">
        <v>631</v>
      </c>
      <c r="D93" s="138">
        <v>1110000</v>
      </c>
      <c r="E93" s="20" t="s">
        <v>669</v>
      </c>
      <c r="F93" s="20" t="s">
        <v>670</v>
      </c>
      <c r="G93" s="8" t="str">
        <f t="shared" si="1"/>
        <v>STARKS ANGELINA</v>
      </c>
    </row>
    <row r="94" spans="1:7" x14ac:dyDescent="0.25">
      <c r="A94" s="8">
        <v>42912.435671296298</v>
      </c>
      <c r="B94" s="20" t="s">
        <v>439</v>
      </c>
      <c r="C94" s="20" t="s">
        <v>742</v>
      </c>
      <c r="D94" s="138">
        <v>1540000</v>
      </c>
      <c r="E94" s="20" t="s">
        <v>680</v>
      </c>
      <c r="F94" s="20" t="s">
        <v>681</v>
      </c>
      <c r="G94" s="8" t="str">
        <f t="shared" si="1"/>
        <v>HELVIE ADAM</v>
      </c>
    </row>
    <row r="95" spans="1:7" x14ac:dyDescent="0.25">
      <c r="A95" s="8">
        <v>42912.437581018516</v>
      </c>
      <c r="B95" s="20" t="s">
        <v>420</v>
      </c>
      <c r="C95" s="20" t="s">
        <v>743</v>
      </c>
      <c r="D95" s="138">
        <v>1780000</v>
      </c>
      <c r="E95" s="20" t="s">
        <v>744</v>
      </c>
      <c r="F95" s="20" t="s">
        <v>745</v>
      </c>
      <c r="G95" s="8" t="str">
        <f t="shared" si="1"/>
        <v>DE LA ROSA ALEX</v>
      </c>
    </row>
    <row r="96" spans="1:7" x14ac:dyDescent="0.25">
      <c r="A96" s="8">
        <v>42912.442777777775</v>
      </c>
      <c r="B96" s="20" t="s">
        <v>520</v>
      </c>
      <c r="C96" s="20" t="s">
        <v>746</v>
      </c>
      <c r="D96" s="138">
        <v>2470000</v>
      </c>
      <c r="E96" s="20" t="s">
        <v>479</v>
      </c>
      <c r="F96" s="20" t="s">
        <v>480</v>
      </c>
      <c r="G96" s="8" t="str">
        <f t="shared" si="1"/>
        <v>ROMERO CHAD</v>
      </c>
    </row>
    <row r="97" spans="1:7" x14ac:dyDescent="0.25">
      <c r="A97" s="8">
        <v>42912.442824074074</v>
      </c>
      <c r="B97" s="20" t="s">
        <v>651</v>
      </c>
      <c r="C97" s="20" t="s">
        <v>747</v>
      </c>
      <c r="D97" s="138">
        <v>890000</v>
      </c>
      <c r="E97" s="20" t="s">
        <v>693</v>
      </c>
      <c r="F97" s="20" t="s">
        <v>694</v>
      </c>
      <c r="G97" s="8" t="str">
        <f t="shared" si="1"/>
        <v>LOZA FIDEL</v>
      </c>
    </row>
    <row r="98" spans="1:7" x14ac:dyDescent="0.25">
      <c r="A98" s="8">
        <v>42912.445289351854</v>
      </c>
      <c r="B98" s="20" t="s">
        <v>461</v>
      </c>
      <c r="C98" s="20" t="s">
        <v>748</v>
      </c>
      <c r="D98" s="138">
        <v>3010000</v>
      </c>
      <c r="E98" s="20" t="s">
        <v>392</v>
      </c>
      <c r="F98" s="20" t="s">
        <v>393</v>
      </c>
      <c r="G98" s="8" t="str">
        <f t="shared" si="1"/>
        <v>SULLIVAN BRANDON</v>
      </c>
    </row>
    <row r="99" spans="1:7" x14ac:dyDescent="0.25">
      <c r="A99" s="8">
        <v>42912.447199074071</v>
      </c>
      <c r="B99" s="20" t="s">
        <v>618</v>
      </c>
      <c r="C99" s="20" t="s">
        <v>632</v>
      </c>
      <c r="D99" s="138">
        <v>3040000</v>
      </c>
      <c r="E99" s="20" t="s">
        <v>382</v>
      </c>
      <c r="F99" s="20" t="s">
        <v>383</v>
      </c>
      <c r="G99" s="8" t="str">
        <f t="shared" si="1"/>
        <v>WILLIAMS DONTE</v>
      </c>
    </row>
    <row r="100" spans="1:7" x14ac:dyDescent="0.25">
      <c r="A100" s="8">
        <v>42912.453518518516</v>
      </c>
      <c r="B100" s="20" t="s">
        <v>505</v>
      </c>
      <c r="C100" s="20" t="s">
        <v>743</v>
      </c>
      <c r="D100" s="138">
        <v>1780000</v>
      </c>
      <c r="E100" s="20" t="s">
        <v>744</v>
      </c>
      <c r="F100" s="20" t="s">
        <v>745</v>
      </c>
      <c r="G100" s="8" t="str">
        <f t="shared" si="1"/>
        <v>DE LA ROSA ALEX</v>
      </c>
    </row>
    <row r="101" spans="1:7" x14ac:dyDescent="0.25">
      <c r="A101" s="8">
        <v>42912.455185185187</v>
      </c>
      <c r="B101" s="20" t="s">
        <v>548</v>
      </c>
      <c r="C101" s="20" t="s">
        <v>749</v>
      </c>
      <c r="D101" s="138">
        <v>2600000</v>
      </c>
      <c r="E101" s="20" t="s">
        <v>556</v>
      </c>
      <c r="F101" s="20" t="s">
        <v>557</v>
      </c>
      <c r="G101" s="8" t="str">
        <f t="shared" si="1"/>
        <v>DAVIDSON DAVID</v>
      </c>
    </row>
    <row r="102" spans="1:7" x14ac:dyDescent="0.25">
      <c r="A102" s="8">
        <v>42912.455462962964</v>
      </c>
      <c r="B102" s="20" t="s">
        <v>659</v>
      </c>
      <c r="C102" s="20" t="s">
        <v>750</v>
      </c>
      <c r="D102" s="138">
        <v>2560000</v>
      </c>
      <c r="E102" s="20" t="s">
        <v>558</v>
      </c>
      <c r="F102" s="20" t="s">
        <v>366</v>
      </c>
      <c r="G102" s="8" t="str">
        <f t="shared" si="1"/>
        <v>MACDONALD THOMAS</v>
      </c>
    </row>
    <row r="103" spans="1:7" x14ac:dyDescent="0.25">
      <c r="A103" s="8">
        <v>42912.458483796298</v>
      </c>
      <c r="B103" s="20" t="s">
        <v>357</v>
      </c>
      <c r="C103" s="20" t="s">
        <v>751</v>
      </c>
      <c r="D103" s="138">
        <v>890000</v>
      </c>
      <c r="E103" s="20" t="s">
        <v>693</v>
      </c>
      <c r="F103" s="20" t="s">
        <v>694</v>
      </c>
      <c r="G103" s="8" t="str">
        <f t="shared" si="1"/>
        <v>LOZA FIDEL</v>
      </c>
    </row>
    <row r="104" spans="1:7" x14ac:dyDescent="0.25">
      <c r="A104" s="8">
        <v>42912.468148148146</v>
      </c>
      <c r="B104" s="20" t="s">
        <v>398</v>
      </c>
      <c r="C104" s="20" t="s">
        <v>752</v>
      </c>
      <c r="D104" s="138">
        <v>920000</v>
      </c>
      <c r="E104" s="20" t="s">
        <v>411</v>
      </c>
      <c r="F104" s="20" t="s">
        <v>192</v>
      </c>
      <c r="G104" s="8" t="str">
        <f t="shared" si="1"/>
        <v>DAVIS MICHAEL</v>
      </c>
    </row>
    <row r="105" spans="1:7" x14ac:dyDescent="0.25">
      <c r="A105" s="8">
        <v>42912.473287037035</v>
      </c>
      <c r="B105" s="20" t="s">
        <v>440</v>
      </c>
      <c r="C105" s="20" t="s">
        <v>753</v>
      </c>
      <c r="D105" s="138">
        <v>1540000</v>
      </c>
      <c r="E105" s="20" t="s">
        <v>680</v>
      </c>
      <c r="F105" s="20" t="s">
        <v>681</v>
      </c>
      <c r="G105" s="8" t="str">
        <f t="shared" si="1"/>
        <v>HELVIE ADAM</v>
      </c>
    </row>
    <row r="106" spans="1:7" x14ac:dyDescent="0.25">
      <c r="A106" s="8">
        <v>42912.474791666667</v>
      </c>
      <c r="B106" s="20" t="s">
        <v>374</v>
      </c>
      <c r="C106" s="20" t="s">
        <v>754</v>
      </c>
      <c r="D106" s="138">
        <v>2470000</v>
      </c>
      <c r="E106" s="20" t="s">
        <v>479</v>
      </c>
      <c r="F106" s="20" t="s">
        <v>480</v>
      </c>
      <c r="G106" s="8" t="str">
        <f t="shared" si="1"/>
        <v>ROMERO CHAD</v>
      </c>
    </row>
    <row r="107" spans="1:7" x14ac:dyDescent="0.25">
      <c r="A107" s="8">
        <v>42912.481886574074</v>
      </c>
      <c r="B107" s="20" t="s">
        <v>397</v>
      </c>
      <c r="C107" s="20" t="s">
        <v>755</v>
      </c>
      <c r="D107" s="138">
        <v>1110000</v>
      </c>
      <c r="E107" s="20" t="s">
        <v>669</v>
      </c>
      <c r="F107" s="20" t="s">
        <v>670</v>
      </c>
      <c r="G107" s="8" t="str">
        <f t="shared" si="1"/>
        <v>STARKS ANGELINA</v>
      </c>
    </row>
    <row r="108" spans="1:7" x14ac:dyDescent="0.25">
      <c r="A108" s="8">
        <v>42912.483124999999</v>
      </c>
      <c r="B108" s="20" t="s">
        <v>460</v>
      </c>
      <c r="C108" s="20" t="s">
        <v>633</v>
      </c>
      <c r="D108" s="138">
        <v>3010000</v>
      </c>
      <c r="E108" s="20" t="s">
        <v>392</v>
      </c>
      <c r="F108" s="20" t="s">
        <v>393</v>
      </c>
      <c r="G108" s="8" t="str">
        <f t="shared" si="1"/>
        <v>SULLIVAN BRANDON</v>
      </c>
    </row>
    <row r="109" spans="1:7" x14ac:dyDescent="0.25">
      <c r="A109" s="8">
        <v>42912.484074074076</v>
      </c>
      <c r="B109" s="20" t="s">
        <v>651</v>
      </c>
      <c r="C109" s="20" t="s">
        <v>756</v>
      </c>
      <c r="D109" s="138">
        <v>890000</v>
      </c>
      <c r="E109" s="20" t="s">
        <v>693</v>
      </c>
      <c r="F109" s="20" t="s">
        <v>694</v>
      </c>
      <c r="G109" s="8" t="str">
        <f t="shared" si="1"/>
        <v>LOZA FIDEL</v>
      </c>
    </row>
    <row r="110" spans="1:7" x14ac:dyDescent="0.25">
      <c r="A110" s="8">
        <v>42912.488692129627</v>
      </c>
      <c r="B110" s="20" t="s">
        <v>620</v>
      </c>
      <c r="C110" s="20" t="s">
        <v>757</v>
      </c>
      <c r="D110" s="138">
        <v>1180000</v>
      </c>
      <c r="E110" s="20" t="s">
        <v>758</v>
      </c>
      <c r="F110" s="20" t="s">
        <v>759</v>
      </c>
      <c r="G110" s="8" t="str">
        <f t="shared" si="1"/>
        <v>LEVERE CRAIG</v>
      </c>
    </row>
    <row r="111" spans="1:7" x14ac:dyDescent="0.25">
      <c r="A111" s="8">
        <v>42912.49324074074</v>
      </c>
      <c r="B111" s="20" t="s">
        <v>628</v>
      </c>
      <c r="C111" s="20" t="s">
        <v>634</v>
      </c>
      <c r="D111" s="138">
        <v>2560000</v>
      </c>
      <c r="E111" s="20" t="s">
        <v>558</v>
      </c>
      <c r="F111" s="20" t="s">
        <v>366</v>
      </c>
      <c r="G111" s="8" t="str">
        <f t="shared" si="1"/>
        <v>MACDONALD THOMAS</v>
      </c>
    </row>
    <row r="112" spans="1:7" x14ac:dyDescent="0.25">
      <c r="A112" s="8">
        <v>42912.49759259259</v>
      </c>
      <c r="B112" s="20" t="s">
        <v>549</v>
      </c>
      <c r="C112" s="20" t="s">
        <v>760</v>
      </c>
      <c r="D112" s="138">
        <v>1770000</v>
      </c>
      <c r="E112" s="20" t="s">
        <v>561</v>
      </c>
      <c r="F112" s="20" t="s">
        <v>562</v>
      </c>
      <c r="G112" s="8" t="str">
        <f t="shared" si="1"/>
        <v>BRUDER RICHARD</v>
      </c>
    </row>
    <row r="113" spans="1:7" x14ac:dyDescent="0.25">
      <c r="A113" s="8">
        <v>42912.503807870373</v>
      </c>
      <c r="B113" s="20" t="s">
        <v>357</v>
      </c>
      <c r="C113" s="20" t="s">
        <v>761</v>
      </c>
      <c r="D113" s="138">
        <v>890000</v>
      </c>
      <c r="E113" s="20" t="s">
        <v>693</v>
      </c>
      <c r="F113" s="20" t="s">
        <v>694</v>
      </c>
      <c r="G113" s="8" t="str">
        <f t="shared" si="1"/>
        <v>LOZA FIDEL</v>
      </c>
    </row>
    <row r="114" spans="1:7" x14ac:dyDescent="0.25">
      <c r="A114" s="8">
        <v>42912.50571759259</v>
      </c>
      <c r="B114" s="20" t="s">
        <v>630</v>
      </c>
      <c r="C114" s="20" t="s">
        <v>636</v>
      </c>
      <c r="D114" s="138">
        <v>920000</v>
      </c>
      <c r="E114" s="20" t="s">
        <v>411</v>
      </c>
      <c r="F114" s="20" t="s">
        <v>192</v>
      </c>
      <c r="G114" s="8" t="str">
        <f t="shared" si="1"/>
        <v>DAVIS MICHAEL</v>
      </c>
    </row>
    <row r="115" spans="1:7" x14ac:dyDescent="0.25">
      <c r="A115" s="8">
        <v>42912.507152777776</v>
      </c>
      <c r="B115" s="20" t="s">
        <v>368</v>
      </c>
      <c r="C115" s="20" t="s">
        <v>762</v>
      </c>
      <c r="D115" s="138">
        <v>2470000</v>
      </c>
      <c r="E115" s="20" t="s">
        <v>479</v>
      </c>
      <c r="F115" s="20" t="s">
        <v>480</v>
      </c>
      <c r="G115" s="8" t="str">
        <f t="shared" si="1"/>
        <v>ROMERO CHAD</v>
      </c>
    </row>
    <row r="116" spans="1:7" x14ac:dyDescent="0.25">
      <c r="A116" s="8">
        <v>42912.508437500001</v>
      </c>
      <c r="B116" s="20" t="s">
        <v>439</v>
      </c>
      <c r="C116" s="20" t="s">
        <v>763</v>
      </c>
      <c r="D116" s="138">
        <v>2360000</v>
      </c>
      <c r="E116" s="20" t="s">
        <v>559</v>
      </c>
      <c r="F116" s="20" t="s">
        <v>560</v>
      </c>
      <c r="G116" s="8" t="str">
        <f t="shared" si="1"/>
        <v>BRANDNER MELINDA</v>
      </c>
    </row>
    <row r="117" spans="1:7" x14ac:dyDescent="0.25">
      <c r="A117" s="8">
        <v>42912.517025462963</v>
      </c>
      <c r="B117" s="20" t="s">
        <v>461</v>
      </c>
      <c r="C117" s="20" t="s">
        <v>635</v>
      </c>
      <c r="D117" s="138">
        <v>3010000</v>
      </c>
      <c r="E117" s="20" t="s">
        <v>392</v>
      </c>
      <c r="F117" s="20" t="s">
        <v>393</v>
      </c>
      <c r="G117" s="8" t="str">
        <f t="shared" si="1"/>
        <v>SULLIVAN BRANDON</v>
      </c>
    </row>
    <row r="118" spans="1:7" x14ac:dyDescent="0.25">
      <c r="A118" s="8">
        <v>42912.523865740739</v>
      </c>
      <c r="B118" s="20" t="s">
        <v>618</v>
      </c>
      <c r="C118" s="20" t="s">
        <v>764</v>
      </c>
      <c r="D118" s="138">
        <v>1180000</v>
      </c>
      <c r="E118" s="20" t="s">
        <v>758</v>
      </c>
      <c r="F118" s="20" t="s">
        <v>759</v>
      </c>
      <c r="G118" s="8" t="str">
        <f t="shared" si="1"/>
        <v>LEVERE CRAIG</v>
      </c>
    </row>
    <row r="119" spans="1:7" x14ac:dyDescent="0.25">
      <c r="A119" s="8">
        <v>42912.525601851848</v>
      </c>
      <c r="B119" s="20" t="s">
        <v>651</v>
      </c>
      <c r="C119" s="20" t="s">
        <v>765</v>
      </c>
      <c r="D119" s="138">
        <v>890000</v>
      </c>
      <c r="E119" s="20" t="s">
        <v>693</v>
      </c>
      <c r="F119" s="20" t="s">
        <v>694</v>
      </c>
      <c r="G119" s="8" t="str">
        <f t="shared" si="1"/>
        <v>LOZA FIDEL</v>
      </c>
    </row>
    <row r="120" spans="1:7" x14ac:dyDescent="0.25">
      <c r="A120" s="8">
        <v>42912.528252314813</v>
      </c>
      <c r="B120" s="20" t="s">
        <v>659</v>
      </c>
      <c r="C120" s="20" t="s">
        <v>766</v>
      </c>
      <c r="D120" s="138">
        <v>2540000</v>
      </c>
      <c r="E120" s="20" t="s">
        <v>563</v>
      </c>
      <c r="F120" s="20" t="s">
        <v>564</v>
      </c>
      <c r="G120" s="8" t="str">
        <f t="shared" si="1"/>
        <v>MCREYNOLDS KYLE</v>
      </c>
    </row>
    <row r="121" spans="1:7" x14ac:dyDescent="0.25">
      <c r="A121" s="8">
        <v>42912.536979166667</v>
      </c>
      <c r="B121" s="20" t="s">
        <v>548</v>
      </c>
      <c r="C121" s="20" t="s">
        <v>767</v>
      </c>
      <c r="D121" s="138">
        <v>1770000</v>
      </c>
      <c r="E121" s="20" t="s">
        <v>561</v>
      </c>
      <c r="F121" s="20" t="s">
        <v>562</v>
      </c>
      <c r="G121" s="8" t="str">
        <f t="shared" si="1"/>
        <v>BRUDER RICHARD</v>
      </c>
    </row>
    <row r="122" spans="1:7" x14ac:dyDescent="0.25">
      <c r="A122" s="8">
        <v>42912.540196759262</v>
      </c>
      <c r="B122" s="25" t="s">
        <v>398</v>
      </c>
      <c r="C122" s="20" t="s">
        <v>768</v>
      </c>
      <c r="D122" s="138">
        <v>920000</v>
      </c>
      <c r="E122" s="20" t="s">
        <v>411</v>
      </c>
      <c r="F122" s="20" t="s">
        <v>192</v>
      </c>
      <c r="G122" s="8" t="str">
        <f t="shared" si="1"/>
        <v>DAVIS MICHAEL</v>
      </c>
    </row>
    <row r="123" spans="1:7" x14ac:dyDescent="0.25">
      <c r="A123" s="8">
        <v>42912.548483796294</v>
      </c>
      <c r="B123" s="20" t="s">
        <v>440</v>
      </c>
      <c r="C123" s="20" t="s">
        <v>769</v>
      </c>
      <c r="D123" s="138">
        <v>2360000</v>
      </c>
      <c r="E123" s="20" t="s">
        <v>559</v>
      </c>
      <c r="F123" s="20" t="s">
        <v>560</v>
      </c>
      <c r="G123" s="8" t="str">
        <f t="shared" si="1"/>
        <v>BRANDNER MELINDA</v>
      </c>
    </row>
    <row r="124" spans="1:7" x14ac:dyDescent="0.25">
      <c r="A124" s="8">
        <v>42912.54965277778</v>
      </c>
      <c r="B124" s="20" t="s">
        <v>365</v>
      </c>
      <c r="C124" s="20" t="s">
        <v>770</v>
      </c>
      <c r="D124" s="138">
        <v>2270000</v>
      </c>
      <c r="E124" s="20" t="s">
        <v>565</v>
      </c>
      <c r="F124" s="20" t="s">
        <v>566</v>
      </c>
      <c r="G124" s="8" t="str">
        <f t="shared" si="1"/>
        <v>BROWN JACOB</v>
      </c>
    </row>
    <row r="125" spans="1:7" x14ac:dyDescent="0.25">
      <c r="A125" s="8">
        <v>42912.549768518518</v>
      </c>
      <c r="B125" s="20" t="s">
        <v>374</v>
      </c>
      <c r="C125" s="20" t="s">
        <v>638</v>
      </c>
      <c r="D125" s="138">
        <v>2470000</v>
      </c>
      <c r="E125" s="20" t="s">
        <v>479</v>
      </c>
      <c r="F125" s="20" t="s">
        <v>480</v>
      </c>
      <c r="G125" s="8" t="str">
        <f t="shared" si="1"/>
        <v>ROMERO CHAD</v>
      </c>
    </row>
    <row r="126" spans="1:7" x14ac:dyDescent="0.25">
      <c r="A126" s="8">
        <v>42912.552442129629</v>
      </c>
      <c r="B126" s="20" t="s">
        <v>341</v>
      </c>
      <c r="C126" s="20" t="s">
        <v>770</v>
      </c>
      <c r="D126" s="138">
        <v>2270000</v>
      </c>
      <c r="E126" s="20" t="s">
        <v>565</v>
      </c>
      <c r="F126" s="20" t="s">
        <v>566</v>
      </c>
      <c r="G126" s="8" t="str">
        <f t="shared" si="1"/>
        <v>BROWN JACOB</v>
      </c>
    </row>
    <row r="127" spans="1:7" x14ac:dyDescent="0.25">
      <c r="A127" s="8">
        <v>42912.552511574075</v>
      </c>
      <c r="B127" s="20" t="s">
        <v>357</v>
      </c>
      <c r="C127" s="20" t="s">
        <v>637</v>
      </c>
      <c r="D127" s="138">
        <v>2450000</v>
      </c>
      <c r="E127" s="20" t="s">
        <v>771</v>
      </c>
      <c r="F127" s="20" t="s">
        <v>772</v>
      </c>
      <c r="G127" s="8" t="str">
        <f t="shared" si="1"/>
        <v>NELSON ARIANE</v>
      </c>
    </row>
    <row r="128" spans="1:7" x14ac:dyDescent="0.25">
      <c r="A128" s="8">
        <v>42912.553900462961</v>
      </c>
      <c r="B128" s="20" t="s">
        <v>460</v>
      </c>
      <c r="C128" s="20" t="s">
        <v>773</v>
      </c>
      <c r="D128" s="138">
        <v>3010000</v>
      </c>
      <c r="E128" s="20" t="s">
        <v>392</v>
      </c>
      <c r="F128" s="20" t="s">
        <v>393</v>
      </c>
      <c r="G128" s="8" t="str">
        <f t="shared" si="1"/>
        <v>SULLIVAN BRANDON</v>
      </c>
    </row>
    <row r="129" spans="1:7" x14ac:dyDescent="0.25">
      <c r="A129" s="8">
        <v>42912.558761574073</v>
      </c>
      <c r="B129" s="20" t="s">
        <v>620</v>
      </c>
      <c r="C129" s="20" t="s">
        <v>774</v>
      </c>
      <c r="D129" s="138">
        <v>1180000</v>
      </c>
      <c r="E129" s="20" t="s">
        <v>758</v>
      </c>
      <c r="F129" s="20" t="s">
        <v>759</v>
      </c>
      <c r="G129" s="8" t="str">
        <f t="shared" si="1"/>
        <v>LEVERE CRAIG</v>
      </c>
    </row>
    <row r="130" spans="1:7" x14ac:dyDescent="0.25">
      <c r="A130" s="8">
        <v>42912.565833333334</v>
      </c>
      <c r="B130" s="20" t="s">
        <v>628</v>
      </c>
      <c r="C130" s="20" t="s">
        <v>775</v>
      </c>
      <c r="D130" s="138">
        <v>2540000</v>
      </c>
      <c r="E130" s="20" t="s">
        <v>563</v>
      </c>
      <c r="F130" s="20" t="s">
        <v>564</v>
      </c>
      <c r="G130" s="8" t="str">
        <f t="shared" si="1"/>
        <v>MCREYNOLDS KYLE</v>
      </c>
    </row>
    <row r="131" spans="1:7" x14ac:dyDescent="0.25">
      <c r="A131" s="8">
        <v>42912.568622685183</v>
      </c>
      <c r="B131" s="20" t="s">
        <v>651</v>
      </c>
      <c r="C131" s="20" t="s">
        <v>776</v>
      </c>
      <c r="D131" s="138">
        <v>2450000</v>
      </c>
      <c r="E131" s="20" t="s">
        <v>771</v>
      </c>
      <c r="F131" s="20" t="s">
        <v>772</v>
      </c>
      <c r="G131" s="8" t="str">
        <f t="shared" ref="G131:G194" si="2">E131&amp;" "&amp;F131</f>
        <v>NELSON ARIANE</v>
      </c>
    </row>
    <row r="132" spans="1:7" x14ac:dyDescent="0.25">
      <c r="A132" s="8">
        <v>42912.569016203706</v>
      </c>
      <c r="B132" s="20" t="s">
        <v>549</v>
      </c>
      <c r="C132" s="20" t="s">
        <v>639</v>
      </c>
      <c r="D132" s="138">
        <v>1770000</v>
      </c>
      <c r="E132" s="20" t="s">
        <v>561</v>
      </c>
      <c r="F132" s="20" t="s">
        <v>562</v>
      </c>
      <c r="G132" s="8" t="str">
        <f t="shared" si="2"/>
        <v>BRUDER RICHARD</v>
      </c>
    </row>
    <row r="133" spans="1:7" x14ac:dyDescent="0.25">
      <c r="A133" s="8">
        <v>42912.578750000001</v>
      </c>
      <c r="B133" s="20" t="s">
        <v>368</v>
      </c>
      <c r="C133" s="20" t="s">
        <v>777</v>
      </c>
      <c r="D133" s="138">
        <v>2470000</v>
      </c>
      <c r="E133" s="20" t="s">
        <v>479</v>
      </c>
      <c r="F133" s="20" t="s">
        <v>480</v>
      </c>
      <c r="G133" s="8" t="str">
        <f t="shared" si="2"/>
        <v>ROMERO CHAD</v>
      </c>
    </row>
    <row r="134" spans="1:7" x14ac:dyDescent="0.25">
      <c r="A134" s="8">
        <v>42912.579398148147</v>
      </c>
      <c r="B134" s="20" t="s">
        <v>453</v>
      </c>
      <c r="C134" s="20" t="s">
        <v>640</v>
      </c>
      <c r="D134" s="138">
        <v>1740000</v>
      </c>
      <c r="E134" s="20" t="s">
        <v>778</v>
      </c>
      <c r="F134" s="20" t="s">
        <v>779</v>
      </c>
      <c r="G134" s="8" t="str">
        <f t="shared" si="2"/>
        <v>STORY SAMANTHA</v>
      </c>
    </row>
    <row r="135" spans="1:7" x14ac:dyDescent="0.25">
      <c r="A135" s="8">
        <v>42912.579768518517</v>
      </c>
      <c r="B135" s="20" t="s">
        <v>630</v>
      </c>
      <c r="C135" s="20" t="s">
        <v>780</v>
      </c>
      <c r="D135" s="138">
        <v>920000</v>
      </c>
      <c r="E135" s="20" t="s">
        <v>411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42912.580150462964</v>
      </c>
      <c r="B136" s="20" t="s">
        <v>439</v>
      </c>
      <c r="C136" s="20" t="s">
        <v>781</v>
      </c>
      <c r="D136" s="138">
        <v>2360000</v>
      </c>
      <c r="E136" s="20" t="s">
        <v>559</v>
      </c>
      <c r="F136" s="20" t="s">
        <v>560</v>
      </c>
      <c r="G136" s="8" t="str">
        <f t="shared" si="2"/>
        <v>BRANDNER MELINDA</v>
      </c>
    </row>
    <row r="137" spans="1:7" x14ac:dyDescent="0.25">
      <c r="A137" s="8">
        <v>42912.589328703703</v>
      </c>
      <c r="B137" s="20" t="s">
        <v>461</v>
      </c>
      <c r="C137" s="20" t="s">
        <v>782</v>
      </c>
      <c r="D137" s="138">
        <v>3010000</v>
      </c>
      <c r="E137" s="20" t="s">
        <v>392</v>
      </c>
      <c r="F137" s="20" t="s">
        <v>393</v>
      </c>
      <c r="G137" s="8" t="str">
        <f t="shared" si="2"/>
        <v>SULLIVAN BRANDON</v>
      </c>
    </row>
    <row r="138" spans="1:7" x14ac:dyDescent="0.25">
      <c r="A138" s="8">
        <v>42912.596030092594</v>
      </c>
      <c r="B138" s="20" t="s">
        <v>357</v>
      </c>
      <c r="C138" s="20" t="s">
        <v>783</v>
      </c>
      <c r="D138" s="138">
        <v>2450000</v>
      </c>
      <c r="E138" s="20" t="s">
        <v>771</v>
      </c>
      <c r="F138" s="20" t="s">
        <v>772</v>
      </c>
      <c r="G138" s="8" t="str">
        <f t="shared" si="2"/>
        <v>NELSON ARIANE</v>
      </c>
    </row>
    <row r="139" spans="1:7" x14ac:dyDescent="0.25">
      <c r="A139" s="8">
        <v>42912.596145833333</v>
      </c>
      <c r="B139" s="20" t="s">
        <v>618</v>
      </c>
      <c r="C139" s="20" t="s">
        <v>784</v>
      </c>
      <c r="D139" s="138">
        <v>1180000</v>
      </c>
      <c r="E139" s="20" t="s">
        <v>758</v>
      </c>
      <c r="F139" s="20" t="s">
        <v>759</v>
      </c>
      <c r="G139" s="8" t="str">
        <f t="shared" si="2"/>
        <v>LEVERE CRAIG</v>
      </c>
    </row>
    <row r="140" spans="1:7" x14ac:dyDescent="0.25">
      <c r="A140" s="8">
        <v>42912.598252314812</v>
      </c>
      <c r="B140" s="20" t="s">
        <v>659</v>
      </c>
      <c r="C140" s="20" t="s">
        <v>785</v>
      </c>
      <c r="D140" s="138">
        <v>2540000</v>
      </c>
      <c r="E140" s="20" t="s">
        <v>563</v>
      </c>
      <c r="F140" s="20" t="s">
        <v>564</v>
      </c>
      <c r="G140" s="8" t="str">
        <f t="shared" si="2"/>
        <v>MCREYNOLDS KYLE</v>
      </c>
    </row>
    <row r="141" spans="1:7" x14ac:dyDescent="0.25">
      <c r="A141" s="8">
        <v>42912.599756944444</v>
      </c>
      <c r="B141" s="20" t="s">
        <v>547</v>
      </c>
      <c r="C141" s="20" t="s">
        <v>640</v>
      </c>
      <c r="D141" s="138">
        <v>1740000</v>
      </c>
      <c r="E141" s="20" t="s">
        <v>778</v>
      </c>
      <c r="F141" s="20" t="s">
        <v>779</v>
      </c>
      <c r="G141" s="8" t="str">
        <f t="shared" si="2"/>
        <v>STORY SAMANTHA</v>
      </c>
    </row>
    <row r="142" spans="1:7" x14ac:dyDescent="0.25">
      <c r="A142" s="8">
        <v>42912.609699074077</v>
      </c>
      <c r="B142" s="20" t="s">
        <v>548</v>
      </c>
      <c r="C142" s="20" t="s">
        <v>786</v>
      </c>
      <c r="D142" s="138">
        <v>1770000</v>
      </c>
      <c r="E142" s="20" t="s">
        <v>561</v>
      </c>
      <c r="F142" s="20" t="s">
        <v>562</v>
      </c>
      <c r="G142" s="8" t="str">
        <f t="shared" si="2"/>
        <v>BRUDER RICHARD</v>
      </c>
    </row>
    <row r="143" spans="1:7" x14ac:dyDescent="0.25">
      <c r="A143" s="8">
        <v>42912.611087962963</v>
      </c>
      <c r="B143" s="20" t="s">
        <v>651</v>
      </c>
      <c r="C143" s="20" t="s">
        <v>787</v>
      </c>
      <c r="D143" s="138">
        <v>2450000</v>
      </c>
      <c r="E143" s="20" t="s">
        <v>771</v>
      </c>
      <c r="F143" s="20" t="s">
        <v>772</v>
      </c>
      <c r="G143" s="8" t="str">
        <f t="shared" si="2"/>
        <v>NELSON ARIANE</v>
      </c>
    </row>
    <row r="144" spans="1:7" x14ac:dyDescent="0.25">
      <c r="A144" s="8">
        <v>42912.613263888888</v>
      </c>
      <c r="B144" s="20" t="s">
        <v>398</v>
      </c>
      <c r="C144" s="20" t="s">
        <v>788</v>
      </c>
      <c r="D144" s="138">
        <v>920000</v>
      </c>
      <c r="E144" s="20" t="s">
        <v>411</v>
      </c>
      <c r="F144" s="20" t="s">
        <v>192</v>
      </c>
      <c r="G144" s="8" t="str">
        <f t="shared" si="2"/>
        <v>DAVIS MICHAEL</v>
      </c>
    </row>
    <row r="145" spans="1:7" x14ac:dyDescent="0.25">
      <c r="A145" s="8">
        <v>42912.616053240738</v>
      </c>
      <c r="B145" s="20" t="s">
        <v>453</v>
      </c>
      <c r="C145" s="20" t="s">
        <v>640</v>
      </c>
      <c r="D145" s="138">
        <v>1740000</v>
      </c>
      <c r="E145" s="20" t="s">
        <v>778</v>
      </c>
      <c r="F145" s="20" t="s">
        <v>779</v>
      </c>
      <c r="G145" s="8" t="str">
        <f t="shared" si="2"/>
        <v>STORY SAMANTHA</v>
      </c>
    </row>
    <row r="146" spans="1:7" x14ac:dyDescent="0.25">
      <c r="A146" s="8">
        <v>42912.619467592594</v>
      </c>
      <c r="B146" s="20" t="s">
        <v>374</v>
      </c>
      <c r="C146" s="20" t="s">
        <v>789</v>
      </c>
      <c r="D146" s="138">
        <v>2470000</v>
      </c>
      <c r="E146" s="20" t="s">
        <v>479</v>
      </c>
      <c r="F146" s="20" t="s">
        <v>480</v>
      </c>
      <c r="G146" s="8" t="str">
        <f t="shared" si="2"/>
        <v>ROMERO CHAD</v>
      </c>
    </row>
    <row r="147" spans="1:7" x14ac:dyDescent="0.25">
      <c r="A147" s="8">
        <v>42912.621087962965</v>
      </c>
      <c r="B147" s="20" t="s">
        <v>440</v>
      </c>
      <c r="C147" s="20" t="s">
        <v>641</v>
      </c>
      <c r="D147" s="138">
        <v>2360000</v>
      </c>
      <c r="E147" s="20" t="s">
        <v>559</v>
      </c>
      <c r="F147" s="20" t="s">
        <v>560</v>
      </c>
      <c r="G147" s="8" t="str">
        <f t="shared" si="2"/>
        <v>BRANDNER MELINDA</v>
      </c>
    </row>
    <row r="148" spans="1:7" x14ac:dyDescent="0.25">
      <c r="A148" s="8">
        <v>42912.626585648148</v>
      </c>
      <c r="B148" s="20" t="s">
        <v>460</v>
      </c>
      <c r="C148" s="20" t="s">
        <v>790</v>
      </c>
      <c r="D148" s="138">
        <v>3010000</v>
      </c>
      <c r="E148" s="20" t="s">
        <v>392</v>
      </c>
      <c r="F148" s="20" t="s">
        <v>393</v>
      </c>
      <c r="G148" s="8" t="str">
        <f t="shared" si="2"/>
        <v>SULLIVAN BRANDON</v>
      </c>
    </row>
    <row r="149" spans="1:7" x14ac:dyDescent="0.25">
      <c r="A149" s="8">
        <v>42912.630439814813</v>
      </c>
      <c r="B149" s="20" t="s">
        <v>365</v>
      </c>
      <c r="C149" s="20" t="s">
        <v>791</v>
      </c>
      <c r="D149" s="138">
        <v>1810000</v>
      </c>
      <c r="E149" s="20" t="s">
        <v>367</v>
      </c>
      <c r="F149" s="20" t="s">
        <v>189</v>
      </c>
      <c r="G149" s="8" t="str">
        <f t="shared" si="2"/>
        <v>NEWELL JAMES</v>
      </c>
    </row>
    <row r="150" spans="1:7" x14ac:dyDescent="0.25">
      <c r="A150" s="8">
        <v>42912.631504629629</v>
      </c>
      <c r="B150" s="20" t="s">
        <v>620</v>
      </c>
      <c r="C150" s="20" t="s">
        <v>792</v>
      </c>
      <c r="D150" s="138">
        <v>1180000</v>
      </c>
      <c r="E150" s="20" t="s">
        <v>758</v>
      </c>
      <c r="F150" s="20" t="s">
        <v>759</v>
      </c>
      <c r="G150" s="8" t="str">
        <f t="shared" si="2"/>
        <v>LEVERE CRAIG</v>
      </c>
    </row>
    <row r="151" spans="1:7" x14ac:dyDescent="0.25">
      <c r="A151" s="8">
        <v>42912.632800925923</v>
      </c>
      <c r="B151" s="20" t="s">
        <v>547</v>
      </c>
      <c r="C151" s="20" t="s">
        <v>640</v>
      </c>
      <c r="D151" s="138">
        <v>2680000</v>
      </c>
      <c r="E151" s="20" t="s">
        <v>412</v>
      </c>
      <c r="F151" s="20" t="s">
        <v>413</v>
      </c>
      <c r="G151" s="8" t="str">
        <f t="shared" si="2"/>
        <v>DUNCAN SHEILA</v>
      </c>
    </row>
    <row r="152" spans="1:7" x14ac:dyDescent="0.25">
      <c r="A152" s="8">
        <v>42912.638831018521</v>
      </c>
      <c r="B152" s="20" t="s">
        <v>357</v>
      </c>
      <c r="C152" s="20" t="s">
        <v>793</v>
      </c>
      <c r="D152" s="138">
        <v>2450000</v>
      </c>
      <c r="E152" s="20" t="s">
        <v>771</v>
      </c>
      <c r="F152" s="20" t="s">
        <v>772</v>
      </c>
      <c r="G152" s="8" t="str">
        <f t="shared" si="2"/>
        <v>NELSON ARIANE</v>
      </c>
    </row>
    <row r="153" spans="1:7" x14ac:dyDescent="0.25">
      <c r="A153" s="8">
        <v>42912.638958333337</v>
      </c>
      <c r="B153" s="20" t="s">
        <v>628</v>
      </c>
      <c r="C153" s="20" t="s">
        <v>794</v>
      </c>
      <c r="D153" s="138">
        <v>2540000</v>
      </c>
      <c r="E153" s="20" t="s">
        <v>563</v>
      </c>
      <c r="F153" s="20" t="s">
        <v>564</v>
      </c>
      <c r="G153" s="8" t="str">
        <f t="shared" si="2"/>
        <v>MCREYNOLDS KYLE</v>
      </c>
    </row>
    <row r="154" spans="1:7" x14ac:dyDescent="0.25">
      <c r="A154" s="8">
        <v>42912.64298611111</v>
      </c>
      <c r="B154" s="20" t="s">
        <v>549</v>
      </c>
      <c r="C154" s="20" t="s">
        <v>795</v>
      </c>
      <c r="D154" s="138">
        <v>1770000</v>
      </c>
      <c r="E154" s="20" t="s">
        <v>561</v>
      </c>
      <c r="F154" s="20" t="s">
        <v>562</v>
      </c>
      <c r="G154" s="8" t="str">
        <f t="shared" si="2"/>
        <v>BRUDER RICHARD</v>
      </c>
    </row>
    <row r="155" spans="1:7" x14ac:dyDescent="0.25">
      <c r="A155" s="8">
        <v>42912.64576388889</v>
      </c>
      <c r="B155" s="20" t="s">
        <v>341</v>
      </c>
      <c r="C155" s="20" t="s">
        <v>796</v>
      </c>
      <c r="D155" s="138">
        <v>1810000</v>
      </c>
      <c r="E155" s="20" t="s">
        <v>367</v>
      </c>
      <c r="F155" s="20" t="s">
        <v>189</v>
      </c>
      <c r="G155" s="8" t="str">
        <f t="shared" si="2"/>
        <v>NEWELL JAMES</v>
      </c>
    </row>
    <row r="156" spans="1:7" x14ac:dyDescent="0.25">
      <c r="A156" s="8">
        <v>42912.647696759261</v>
      </c>
      <c r="B156" s="20" t="s">
        <v>497</v>
      </c>
      <c r="C156" s="20" t="s">
        <v>642</v>
      </c>
      <c r="D156" s="138">
        <v>2040000</v>
      </c>
      <c r="E156" s="20" t="s">
        <v>797</v>
      </c>
      <c r="F156" s="20" t="s">
        <v>798</v>
      </c>
      <c r="G156" s="8" t="str">
        <f t="shared" si="2"/>
        <v>MOSES BRADLEY</v>
      </c>
    </row>
    <row r="157" spans="1:7" x14ac:dyDescent="0.25">
      <c r="A157" s="8">
        <v>42912.651828703703</v>
      </c>
      <c r="B157" s="20" t="s">
        <v>368</v>
      </c>
      <c r="C157" s="20" t="s">
        <v>799</v>
      </c>
      <c r="D157" s="138">
        <v>2470000</v>
      </c>
      <c r="E157" s="20" t="s">
        <v>479</v>
      </c>
      <c r="F157" s="20" t="s">
        <v>480</v>
      </c>
      <c r="G157" s="8" t="str">
        <f t="shared" si="2"/>
        <v>ROMERO CHAD</v>
      </c>
    </row>
    <row r="158" spans="1:7" x14ac:dyDescent="0.25">
      <c r="A158" s="8">
        <v>42912.651909722219</v>
      </c>
      <c r="B158" s="20" t="s">
        <v>630</v>
      </c>
      <c r="C158" s="20" t="s">
        <v>800</v>
      </c>
      <c r="D158" s="138">
        <v>920000</v>
      </c>
      <c r="E158" s="20" t="s">
        <v>411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42912.651932870373</v>
      </c>
      <c r="B159" s="20" t="s">
        <v>651</v>
      </c>
      <c r="C159" s="20" t="s">
        <v>801</v>
      </c>
      <c r="D159" s="138">
        <v>2450000</v>
      </c>
      <c r="E159" s="20" t="s">
        <v>771</v>
      </c>
      <c r="F159" s="20" t="s">
        <v>772</v>
      </c>
      <c r="G159" s="8" t="str">
        <f t="shared" si="2"/>
        <v>NELSON ARIANE</v>
      </c>
    </row>
    <row r="160" spans="1:7" x14ac:dyDescent="0.25">
      <c r="A160" s="8">
        <v>42912.655115740738</v>
      </c>
      <c r="B160" s="20" t="s">
        <v>505</v>
      </c>
      <c r="C160" s="20" t="s">
        <v>642</v>
      </c>
      <c r="D160" s="138">
        <v>2040000</v>
      </c>
      <c r="E160" s="20" t="s">
        <v>797</v>
      </c>
      <c r="F160" s="20" t="s">
        <v>798</v>
      </c>
      <c r="G160" s="8" t="str">
        <f t="shared" si="2"/>
        <v>MOSES BRADLEY</v>
      </c>
    </row>
    <row r="161" spans="1:7" x14ac:dyDescent="0.25">
      <c r="A161" s="8">
        <v>42912.655289351853</v>
      </c>
      <c r="B161" s="20" t="s">
        <v>439</v>
      </c>
      <c r="C161" s="20" t="s">
        <v>802</v>
      </c>
      <c r="D161" s="138">
        <v>2360000</v>
      </c>
      <c r="E161" s="20" t="s">
        <v>559</v>
      </c>
      <c r="F161" s="20" t="s">
        <v>560</v>
      </c>
      <c r="G161" s="8" t="str">
        <f t="shared" si="2"/>
        <v>BRANDNER MELINDA</v>
      </c>
    </row>
    <row r="162" spans="1:7" x14ac:dyDescent="0.25">
      <c r="A162" s="8">
        <v>42912.664375</v>
      </c>
      <c r="B162" s="20" t="s">
        <v>497</v>
      </c>
      <c r="C162" s="20" t="s">
        <v>803</v>
      </c>
      <c r="D162" s="138">
        <v>3010000</v>
      </c>
      <c r="E162" s="20" t="s">
        <v>392</v>
      </c>
      <c r="F162" s="20" t="s">
        <v>393</v>
      </c>
      <c r="G162" s="8" t="str">
        <f t="shared" si="2"/>
        <v>SULLIVAN BRANDON</v>
      </c>
    </row>
    <row r="163" spans="1:7" x14ac:dyDescent="0.25">
      <c r="A163" s="8">
        <v>42912.664606481485</v>
      </c>
      <c r="B163" s="20" t="s">
        <v>453</v>
      </c>
      <c r="C163" s="20" t="s">
        <v>640</v>
      </c>
      <c r="D163" s="138">
        <v>2680000</v>
      </c>
      <c r="E163" s="20" t="s">
        <v>412</v>
      </c>
      <c r="F163" s="20" t="s">
        <v>413</v>
      </c>
      <c r="G163" s="8" t="str">
        <f t="shared" si="2"/>
        <v>DUNCAN SHEILA</v>
      </c>
    </row>
    <row r="164" spans="1:7" x14ac:dyDescent="0.25">
      <c r="A164" s="8">
        <v>42912.665960648148</v>
      </c>
      <c r="B164" s="20" t="s">
        <v>497</v>
      </c>
      <c r="C164" s="20" t="s">
        <v>803</v>
      </c>
      <c r="D164" s="138">
        <v>3010000</v>
      </c>
      <c r="E164" s="20" t="s">
        <v>392</v>
      </c>
      <c r="F164" s="20" t="s">
        <v>393</v>
      </c>
      <c r="G164" s="8" t="str">
        <f t="shared" si="2"/>
        <v>SULLIVAN BRANDON</v>
      </c>
    </row>
    <row r="165" spans="1:7" x14ac:dyDescent="0.25">
      <c r="A165" s="8">
        <v>42912.668020833335</v>
      </c>
      <c r="B165" s="20" t="s">
        <v>618</v>
      </c>
      <c r="C165" s="20" t="s">
        <v>804</v>
      </c>
      <c r="D165" s="138">
        <v>1180000</v>
      </c>
      <c r="E165" s="20" t="s">
        <v>758</v>
      </c>
      <c r="F165" s="20" t="s">
        <v>759</v>
      </c>
      <c r="G165" s="8" t="str">
        <f t="shared" si="2"/>
        <v>LEVERE CRAIG</v>
      </c>
    </row>
    <row r="166" spans="1:7" x14ac:dyDescent="0.25">
      <c r="A166" s="8">
        <v>42912.668287037035</v>
      </c>
      <c r="B166" s="20" t="s">
        <v>461</v>
      </c>
      <c r="C166" s="20" t="s">
        <v>643</v>
      </c>
      <c r="D166" s="138">
        <v>1800000</v>
      </c>
      <c r="E166" s="20" t="s">
        <v>377</v>
      </c>
      <c r="F166" s="20" t="s">
        <v>378</v>
      </c>
      <c r="G166" s="8" t="str">
        <f t="shared" si="2"/>
        <v>CHANDLER KELVIN</v>
      </c>
    </row>
    <row r="167" spans="1:7" x14ac:dyDescent="0.25">
      <c r="A167" s="8">
        <v>42912.671863425923</v>
      </c>
      <c r="B167" s="20" t="s">
        <v>365</v>
      </c>
      <c r="C167" s="20" t="s">
        <v>805</v>
      </c>
      <c r="D167" s="138">
        <v>1810000</v>
      </c>
      <c r="E167" s="20" t="s">
        <v>367</v>
      </c>
      <c r="F167" s="20" t="s">
        <v>189</v>
      </c>
      <c r="G167" s="8" t="str">
        <f t="shared" si="2"/>
        <v>NEWELL JAMES</v>
      </c>
    </row>
    <row r="168" spans="1:7" x14ac:dyDescent="0.25">
      <c r="A168" s="8">
        <v>42912.672546296293</v>
      </c>
      <c r="B168" s="20" t="s">
        <v>659</v>
      </c>
      <c r="C168" s="20" t="s">
        <v>806</v>
      </c>
      <c r="D168" s="138">
        <v>2540000</v>
      </c>
      <c r="E168" s="20" t="s">
        <v>563</v>
      </c>
      <c r="F168" s="20" t="s">
        <v>564</v>
      </c>
      <c r="G168" s="8" t="str">
        <f t="shared" si="2"/>
        <v>MCREYNOLDS KYLE</v>
      </c>
    </row>
    <row r="169" spans="1:7" x14ac:dyDescent="0.25">
      <c r="A169" s="8">
        <v>42912.679618055554</v>
      </c>
      <c r="B169" s="20" t="s">
        <v>357</v>
      </c>
      <c r="C169" s="20" t="s">
        <v>807</v>
      </c>
      <c r="D169" s="138">
        <v>2450000</v>
      </c>
      <c r="E169" s="20" t="s">
        <v>771</v>
      </c>
      <c r="F169" s="20" t="s">
        <v>772</v>
      </c>
      <c r="G169" s="8" t="str">
        <f t="shared" si="2"/>
        <v>NELSON ARIANE</v>
      </c>
    </row>
    <row r="170" spans="1:7" x14ac:dyDescent="0.25">
      <c r="A170" s="8">
        <v>42912.682175925926</v>
      </c>
      <c r="B170" s="20" t="s">
        <v>548</v>
      </c>
      <c r="C170" s="20" t="s">
        <v>644</v>
      </c>
      <c r="D170" s="138">
        <v>1770000</v>
      </c>
      <c r="E170" s="20" t="s">
        <v>561</v>
      </c>
      <c r="F170" s="20" t="s">
        <v>562</v>
      </c>
      <c r="G170" s="8" t="str">
        <f t="shared" si="2"/>
        <v>BRUDER RICHARD</v>
      </c>
    </row>
    <row r="171" spans="1:7" x14ac:dyDescent="0.25">
      <c r="A171" s="8">
        <v>42912.685069444444</v>
      </c>
      <c r="B171" s="20" t="s">
        <v>398</v>
      </c>
      <c r="C171" s="20" t="s">
        <v>808</v>
      </c>
      <c r="D171" s="138">
        <v>920000</v>
      </c>
      <c r="E171" s="20" t="s">
        <v>411</v>
      </c>
      <c r="F171" s="20" t="s">
        <v>192</v>
      </c>
      <c r="G171" s="8" t="str">
        <f t="shared" si="2"/>
        <v>DAVIS MICHAEL</v>
      </c>
    </row>
    <row r="172" spans="1:7" x14ac:dyDescent="0.25">
      <c r="A172" s="8">
        <v>42912.687291666669</v>
      </c>
      <c r="B172" s="20" t="s">
        <v>547</v>
      </c>
      <c r="C172" s="20" t="s">
        <v>640</v>
      </c>
      <c r="D172" s="138">
        <v>2680000</v>
      </c>
      <c r="E172" s="20" t="s">
        <v>412</v>
      </c>
      <c r="F172" s="20" t="s">
        <v>413</v>
      </c>
      <c r="G172" s="8" t="str">
        <f t="shared" si="2"/>
        <v>DUNCAN SHEILA</v>
      </c>
    </row>
    <row r="173" spans="1:7" x14ac:dyDescent="0.25">
      <c r="A173" s="8">
        <v>42912.687662037039</v>
      </c>
      <c r="B173" s="20" t="s">
        <v>341</v>
      </c>
      <c r="C173" s="20" t="s">
        <v>809</v>
      </c>
      <c r="D173" s="138">
        <v>1810000</v>
      </c>
      <c r="E173" s="20" t="s">
        <v>367</v>
      </c>
      <c r="F173" s="20" t="s">
        <v>189</v>
      </c>
      <c r="G173" s="8" t="str">
        <f t="shared" si="2"/>
        <v>NEWELL JAMES</v>
      </c>
    </row>
    <row r="174" spans="1:7" x14ac:dyDescent="0.25">
      <c r="A174" s="8">
        <v>42912.691817129627</v>
      </c>
      <c r="B174" s="20" t="s">
        <v>374</v>
      </c>
      <c r="C174" s="20" t="s">
        <v>645</v>
      </c>
      <c r="D174" s="138">
        <v>2470000</v>
      </c>
      <c r="E174" s="20" t="s">
        <v>479</v>
      </c>
      <c r="F174" s="20" t="s">
        <v>480</v>
      </c>
      <c r="G174" s="8" t="str">
        <f t="shared" si="2"/>
        <v>ROMERO CHAD</v>
      </c>
    </row>
    <row r="175" spans="1:7" x14ac:dyDescent="0.25">
      <c r="A175" s="8">
        <v>42912.694108796299</v>
      </c>
      <c r="B175" s="20" t="s">
        <v>651</v>
      </c>
      <c r="C175" s="20" t="s">
        <v>810</v>
      </c>
      <c r="D175" s="138">
        <v>2450000</v>
      </c>
      <c r="E175" s="20" t="s">
        <v>771</v>
      </c>
      <c r="F175" s="20" t="s">
        <v>772</v>
      </c>
      <c r="G175" s="8" t="str">
        <f t="shared" si="2"/>
        <v>NELSON ARIANE</v>
      </c>
    </row>
    <row r="176" spans="1:7" x14ac:dyDescent="0.25">
      <c r="A176" s="8">
        <v>42912.694212962961</v>
      </c>
      <c r="B176" s="20" t="s">
        <v>341</v>
      </c>
      <c r="C176" s="20" t="s">
        <v>809</v>
      </c>
      <c r="D176" s="138">
        <v>2000000</v>
      </c>
      <c r="E176" s="20" t="s">
        <v>462</v>
      </c>
      <c r="F176" s="20" t="s">
        <v>189</v>
      </c>
      <c r="G176" s="8" t="str">
        <f t="shared" si="2"/>
        <v>STAMBAUGH JAMES</v>
      </c>
    </row>
    <row r="177" spans="1:7" x14ac:dyDescent="0.25">
      <c r="A177" s="8">
        <v>42912.694872685184</v>
      </c>
      <c r="B177" s="20" t="s">
        <v>440</v>
      </c>
      <c r="C177" s="20" t="s">
        <v>811</v>
      </c>
      <c r="D177" s="138">
        <v>2360000</v>
      </c>
      <c r="E177" s="20" t="s">
        <v>559</v>
      </c>
      <c r="F177" s="20" t="s">
        <v>560</v>
      </c>
      <c r="G177" s="8" t="str">
        <f t="shared" si="2"/>
        <v>BRANDNER MELINDA</v>
      </c>
    </row>
    <row r="178" spans="1:7" x14ac:dyDescent="0.25">
      <c r="A178" s="8">
        <v>42912.699317129627</v>
      </c>
      <c r="B178" s="20" t="s">
        <v>505</v>
      </c>
      <c r="C178" s="20" t="s">
        <v>646</v>
      </c>
      <c r="D178" s="138">
        <v>3010000</v>
      </c>
      <c r="E178" s="20" t="s">
        <v>392</v>
      </c>
      <c r="F178" s="20" t="s">
        <v>393</v>
      </c>
      <c r="G178" s="8" t="str">
        <f t="shared" si="2"/>
        <v>SULLIVAN BRANDON</v>
      </c>
    </row>
    <row r="179" spans="1:7" x14ac:dyDescent="0.25">
      <c r="A179" s="8">
        <v>42912.699606481481</v>
      </c>
      <c r="B179" s="20" t="s">
        <v>655</v>
      </c>
      <c r="C179" s="20" t="s">
        <v>812</v>
      </c>
      <c r="D179" s="138">
        <v>2040000</v>
      </c>
      <c r="E179" s="20" t="s">
        <v>797</v>
      </c>
      <c r="F179" s="20" t="s">
        <v>798</v>
      </c>
      <c r="G179" s="8" t="str">
        <f t="shared" si="2"/>
        <v>MOSES BRADLEY</v>
      </c>
    </row>
    <row r="180" spans="1:7" x14ac:dyDescent="0.25">
      <c r="A180" s="8">
        <v>42912.704456018517</v>
      </c>
      <c r="B180" s="20" t="s">
        <v>453</v>
      </c>
      <c r="C180" s="20" t="s">
        <v>640</v>
      </c>
      <c r="D180" s="138">
        <v>1740000</v>
      </c>
      <c r="E180" s="20" t="s">
        <v>778</v>
      </c>
      <c r="F180" s="20" t="s">
        <v>779</v>
      </c>
      <c r="G180" s="8" t="str">
        <f t="shared" si="2"/>
        <v>STORY SAMANTHA</v>
      </c>
    </row>
    <row r="181" spans="1:7" x14ac:dyDescent="0.25">
      <c r="A181" s="8">
        <v>42912.704606481479</v>
      </c>
      <c r="B181" s="20" t="s">
        <v>620</v>
      </c>
      <c r="C181" s="20" t="s">
        <v>813</v>
      </c>
      <c r="D181" s="138">
        <v>1180000</v>
      </c>
      <c r="E181" s="20" t="s">
        <v>758</v>
      </c>
      <c r="F181" s="20" t="s">
        <v>759</v>
      </c>
      <c r="G181" s="8" t="str">
        <f t="shared" si="2"/>
        <v>LEVERE CRAIG</v>
      </c>
    </row>
    <row r="182" spans="1:7" x14ac:dyDescent="0.25">
      <c r="A182" s="8">
        <v>42912.705706018518</v>
      </c>
      <c r="B182" s="20" t="s">
        <v>567</v>
      </c>
      <c r="C182" s="20" t="s">
        <v>812</v>
      </c>
      <c r="D182" s="138">
        <v>2040000</v>
      </c>
      <c r="E182" s="20" t="s">
        <v>797</v>
      </c>
      <c r="F182" s="20" t="s">
        <v>798</v>
      </c>
      <c r="G182" s="8" t="str">
        <f t="shared" si="2"/>
        <v>MOSES BRADLEY</v>
      </c>
    </row>
    <row r="183" spans="1:7" x14ac:dyDescent="0.25">
      <c r="A183" s="8">
        <v>42912.710879629631</v>
      </c>
      <c r="B183" s="20" t="s">
        <v>628</v>
      </c>
      <c r="C183" s="20" t="s">
        <v>814</v>
      </c>
      <c r="D183" s="138">
        <v>2540000</v>
      </c>
      <c r="E183" s="20" t="s">
        <v>563</v>
      </c>
      <c r="F183" s="20" t="s">
        <v>564</v>
      </c>
      <c r="G183" s="8" t="str">
        <f t="shared" si="2"/>
        <v>MCREYNOLDS KYLE</v>
      </c>
    </row>
    <row r="184" spans="1:7" x14ac:dyDescent="0.25">
      <c r="A184" s="8">
        <v>42912.713587962964</v>
      </c>
      <c r="B184" s="20" t="s">
        <v>365</v>
      </c>
      <c r="C184" s="20" t="s">
        <v>815</v>
      </c>
      <c r="D184" s="138">
        <v>2000000</v>
      </c>
      <c r="E184" s="20" t="s">
        <v>462</v>
      </c>
      <c r="F184" s="20" t="s">
        <v>189</v>
      </c>
      <c r="G184" s="8" t="str">
        <f t="shared" si="2"/>
        <v>STAMBAUGH JAMES</v>
      </c>
    </row>
    <row r="185" spans="1:7" x14ac:dyDescent="0.25">
      <c r="A185" s="8">
        <v>42912.716006944444</v>
      </c>
      <c r="B185" s="20" t="s">
        <v>655</v>
      </c>
      <c r="C185" s="20" t="s">
        <v>816</v>
      </c>
      <c r="D185" s="138">
        <v>1770000</v>
      </c>
      <c r="E185" s="20" t="s">
        <v>561</v>
      </c>
      <c r="F185" s="20" t="s">
        <v>562</v>
      </c>
      <c r="G185" s="8" t="str">
        <f t="shared" si="2"/>
        <v>BRUDER RICHARD</v>
      </c>
    </row>
    <row r="186" spans="1:7" x14ac:dyDescent="0.25">
      <c r="A186" s="8">
        <v>42912.718078703707</v>
      </c>
      <c r="B186" s="20" t="s">
        <v>547</v>
      </c>
      <c r="C186" s="20" t="s">
        <v>640</v>
      </c>
      <c r="D186" s="138">
        <v>1740000</v>
      </c>
      <c r="E186" s="20" t="s">
        <v>778</v>
      </c>
      <c r="F186" s="20" t="s">
        <v>779</v>
      </c>
      <c r="G186" s="8" t="str">
        <f t="shared" si="2"/>
        <v>STORY SAMANTHA</v>
      </c>
    </row>
    <row r="187" spans="1:7" x14ac:dyDescent="0.25">
      <c r="A187" s="8">
        <v>42912.720879629633</v>
      </c>
      <c r="B187" s="20" t="s">
        <v>357</v>
      </c>
      <c r="C187" s="20" t="s">
        <v>817</v>
      </c>
      <c r="D187" s="138">
        <v>2450000</v>
      </c>
      <c r="E187" s="20" t="s">
        <v>771</v>
      </c>
      <c r="F187" s="20" t="s">
        <v>772</v>
      </c>
      <c r="G187" s="8" t="str">
        <f t="shared" si="2"/>
        <v>NELSON ARIANE</v>
      </c>
    </row>
    <row r="188" spans="1:7" x14ac:dyDescent="0.25">
      <c r="A188" s="8">
        <v>42912.721168981479</v>
      </c>
      <c r="B188" s="20" t="s">
        <v>549</v>
      </c>
      <c r="C188" s="20" t="s">
        <v>818</v>
      </c>
      <c r="D188" s="138">
        <v>2040000</v>
      </c>
      <c r="E188" s="20" t="s">
        <v>797</v>
      </c>
      <c r="F188" s="20" t="s">
        <v>798</v>
      </c>
      <c r="G188" s="8" t="str">
        <f t="shared" si="2"/>
        <v>MOSES BRADLEY</v>
      </c>
    </row>
    <row r="189" spans="1:7" x14ac:dyDescent="0.25">
      <c r="A189" s="8">
        <v>42912.724965277775</v>
      </c>
      <c r="B189" s="20" t="s">
        <v>630</v>
      </c>
      <c r="C189" s="20" t="s">
        <v>819</v>
      </c>
      <c r="D189" s="138">
        <v>920000</v>
      </c>
      <c r="E189" s="20" t="s">
        <v>411</v>
      </c>
      <c r="F189" s="20" t="s">
        <v>192</v>
      </c>
      <c r="G189" s="8" t="str">
        <f t="shared" si="2"/>
        <v>DAVIS MICHAEL</v>
      </c>
    </row>
    <row r="190" spans="1:7" x14ac:dyDescent="0.25">
      <c r="A190" s="8">
        <v>42912.725289351853</v>
      </c>
      <c r="B190" s="20" t="s">
        <v>368</v>
      </c>
      <c r="C190" s="20" t="s">
        <v>820</v>
      </c>
      <c r="D190" s="138">
        <v>2470000</v>
      </c>
      <c r="E190" s="20" t="s">
        <v>479</v>
      </c>
      <c r="F190" s="20" t="s">
        <v>480</v>
      </c>
      <c r="G190" s="8" t="str">
        <f t="shared" si="2"/>
        <v>ROMERO CHAD</v>
      </c>
    </row>
    <row r="191" spans="1:7" x14ac:dyDescent="0.25">
      <c r="A191" s="8">
        <v>42912.726539351854</v>
      </c>
      <c r="B191" s="20" t="s">
        <v>439</v>
      </c>
      <c r="C191" s="20" t="s">
        <v>821</v>
      </c>
      <c r="D191" s="138">
        <v>2360000</v>
      </c>
      <c r="E191" s="20" t="s">
        <v>559</v>
      </c>
      <c r="F191" s="20" t="s">
        <v>560</v>
      </c>
      <c r="G191" s="8" t="str">
        <f t="shared" si="2"/>
        <v>BRANDNER MELINDA</v>
      </c>
    </row>
    <row r="192" spans="1:7" x14ac:dyDescent="0.25">
      <c r="A192" s="8">
        <v>42912.727442129632</v>
      </c>
      <c r="B192" s="20" t="s">
        <v>548</v>
      </c>
      <c r="C192" s="20" t="s">
        <v>818</v>
      </c>
      <c r="D192" s="138">
        <v>2040000</v>
      </c>
      <c r="E192" s="20" t="s">
        <v>797</v>
      </c>
      <c r="F192" s="20" t="s">
        <v>798</v>
      </c>
      <c r="G192" s="8" t="str">
        <f t="shared" si="2"/>
        <v>MOSES BRADLEY</v>
      </c>
    </row>
    <row r="193" spans="1:7" x14ac:dyDescent="0.25">
      <c r="A193" s="8">
        <v>42912.728587962964</v>
      </c>
      <c r="B193" s="20" t="s">
        <v>341</v>
      </c>
      <c r="C193" s="20" t="s">
        <v>822</v>
      </c>
      <c r="D193" s="138">
        <v>2000000</v>
      </c>
      <c r="E193" s="20" t="s">
        <v>462</v>
      </c>
      <c r="F193" s="20" t="s">
        <v>189</v>
      </c>
      <c r="G193" s="8" t="str">
        <f t="shared" si="2"/>
        <v>STAMBAUGH JAMES</v>
      </c>
    </row>
    <row r="194" spans="1:7" x14ac:dyDescent="0.25">
      <c r="A194" s="8">
        <v>42912.733935185184</v>
      </c>
      <c r="B194" s="20" t="s">
        <v>549</v>
      </c>
      <c r="C194" s="20" t="s">
        <v>823</v>
      </c>
      <c r="D194" s="138">
        <v>2230000</v>
      </c>
      <c r="E194" s="20" t="s">
        <v>342</v>
      </c>
      <c r="F194" s="20" t="s">
        <v>192</v>
      </c>
      <c r="G194" s="8" t="str">
        <f t="shared" si="2"/>
        <v>SMITH MICHAEL</v>
      </c>
    </row>
    <row r="195" spans="1:7" x14ac:dyDescent="0.25">
      <c r="A195" s="8">
        <v>42912.735682870371</v>
      </c>
      <c r="B195" s="20" t="s">
        <v>453</v>
      </c>
      <c r="C195" s="20" t="s">
        <v>640</v>
      </c>
      <c r="D195" s="138">
        <v>1740000</v>
      </c>
      <c r="E195" s="20" t="s">
        <v>778</v>
      </c>
      <c r="F195" s="20" t="s">
        <v>779</v>
      </c>
      <c r="G195" s="8" t="str">
        <f t="shared" ref="G195:G258" si="3">E195&amp;" "&amp;F195</f>
        <v>STORY SAMANTHA</v>
      </c>
    </row>
    <row r="196" spans="1:7" x14ac:dyDescent="0.25">
      <c r="A196" s="8">
        <v>42912.73574074074</v>
      </c>
      <c r="B196" s="20" t="s">
        <v>651</v>
      </c>
      <c r="C196" s="20" t="s">
        <v>824</v>
      </c>
      <c r="D196" s="138">
        <v>2450000</v>
      </c>
      <c r="E196" s="20" t="s">
        <v>771</v>
      </c>
      <c r="F196" s="20" t="s">
        <v>772</v>
      </c>
      <c r="G196" s="8" t="str">
        <f t="shared" si="3"/>
        <v>NELSON ARIANE</v>
      </c>
    </row>
    <row r="197" spans="1:7" x14ac:dyDescent="0.25">
      <c r="A197" s="8">
        <v>42912.737696759257</v>
      </c>
      <c r="B197" s="20" t="s">
        <v>549</v>
      </c>
      <c r="C197" s="20" t="s">
        <v>823</v>
      </c>
      <c r="D197" s="138">
        <v>2230000</v>
      </c>
      <c r="E197" s="20" t="s">
        <v>342</v>
      </c>
      <c r="F197" s="20" t="s">
        <v>192</v>
      </c>
      <c r="G197" s="8" t="str">
        <f t="shared" si="3"/>
        <v>SMITH MICHAEL</v>
      </c>
    </row>
    <row r="198" spans="1:7" x14ac:dyDescent="0.25">
      <c r="A198" s="8">
        <v>42912.741539351853</v>
      </c>
      <c r="B198" s="20" t="s">
        <v>497</v>
      </c>
      <c r="C198" s="20" t="s">
        <v>818</v>
      </c>
      <c r="D198" s="138">
        <v>2040000</v>
      </c>
      <c r="E198" s="20" t="s">
        <v>797</v>
      </c>
      <c r="F198" s="20" t="s">
        <v>798</v>
      </c>
      <c r="G198" s="8" t="str">
        <f t="shared" si="3"/>
        <v>MOSES BRADLEY</v>
      </c>
    </row>
    <row r="199" spans="1:7" x14ac:dyDescent="0.25">
      <c r="A199" s="8">
        <v>42912.742291666669</v>
      </c>
      <c r="B199" s="20" t="s">
        <v>618</v>
      </c>
      <c r="C199" s="20" t="s">
        <v>825</v>
      </c>
      <c r="D199" s="138">
        <v>1180000</v>
      </c>
      <c r="E199" s="20" t="s">
        <v>758</v>
      </c>
      <c r="F199" s="20" t="s">
        <v>759</v>
      </c>
      <c r="G199" s="8" t="str">
        <f t="shared" si="3"/>
        <v>LEVERE CRAIG</v>
      </c>
    </row>
    <row r="200" spans="1:7" x14ac:dyDescent="0.25">
      <c r="A200" s="8">
        <v>42912.74255787037</v>
      </c>
      <c r="B200" s="20" t="s">
        <v>437</v>
      </c>
      <c r="C200" s="20" t="s">
        <v>826</v>
      </c>
      <c r="D200" s="138">
        <v>3030000</v>
      </c>
      <c r="E200" s="20" t="s">
        <v>381</v>
      </c>
      <c r="F200" s="20" t="s">
        <v>366</v>
      </c>
      <c r="G200" s="8" t="str">
        <f t="shared" si="3"/>
        <v>BIRENBAUM THOMAS</v>
      </c>
    </row>
    <row r="201" spans="1:7" x14ac:dyDescent="0.25">
      <c r="A201" s="8">
        <v>42912.746145833335</v>
      </c>
      <c r="B201" s="20" t="s">
        <v>659</v>
      </c>
      <c r="C201" s="20" t="s">
        <v>827</v>
      </c>
      <c r="D201" s="138">
        <v>2540000</v>
      </c>
      <c r="E201" s="20" t="s">
        <v>563</v>
      </c>
      <c r="F201" s="20" t="s">
        <v>564</v>
      </c>
      <c r="G201" s="8" t="str">
        <f t="shared" si="3"/>
        <v>MCREYNOLDS KYLE</v>
      </c>
    </row>
    <row r="202" spans="1:7" x14ac:dyDescent="0.25">
      <c r="A202" s="26">
        <v>42912.753055555557</v>
      </c>
      <c r="B202" s="20" t="s">
        <v>567</v>
      </c>
      <c r="C202" s="20" t="s">
        <v>828</v>
      </c>
      <c r="D202" s="138">
        <v>1770000</v>
      </c>
      <c r="E202" s="20" t="s">
        <v>561</v>
      </c>
      <c r="F202" s="20" t="s">
        <v>562</v>
      </c>
      <c r="G202" s="8" t="str">
        <f t="shared" si="3"/>
        <v>BRUDER RICHARD</v>
      </c>
    </row>
    <row r="203" spans="1:7" x14ac:dyDescent="0.25">
      <c r="A203" s="8">
        <v>42912.754976851851</v>
      </c>
      <c r="B203" s="20" t="s">
        <v>365</v>
      </c>
      <c r="C203" s="20" t="s">
        <v>647</v>
      </c>
      <c r="D203" s="138">
        <v>2000000</v>
      </c>
      <c r="E203" s="20" t="s">
        <v>462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42912.757696759261</v>
      </c>
      <c r="B204" s="20" t="s">
        <v>398</v>
      </c>
      <c r="C204" s="20" t="s">
        <v>829</v>
      </c>
      <c r="D204" s="138">
        <v>2090000</v>
      </c>
      <c r="E204" s="20" t="s">
        <v>445</v>
      </c>
      <c r="F204" s="20" t="s">
        <v>192</v>
      </c>
      <c r="G204" s="8" t="str">
        <f t="shared" si="3"/>
        <v>HAITHCOX MICHAEL</v>
      </c>
    </row>
    <row r="205" spans="1:7" x14ac:dyDescent="0.25">
      <c r="A205" s="8">
        <v>42912.763032407405</v>
      </c>
      <c r="B205" s="20" t="s">
        <v>357</v>
      </c>
      <c r="C205" s="20" t="s">
        <v>830</v>
      </c>
      <c r="D205" s="138">
        <v>2450000</v>
      </c>
      <c r="E205" s="20" t="s">
        <v>771</v>
      </c>
      <c r="F205" s="20" t="s">
        <v>772</v>
      </c>
      <c r="G205" s="8" t="str">
        <f t="shared" si="3"/>
        <v>NELSON ARIANE</v>
      </c>
    </row>
    <row r="206" spans="1:7" x14ac:dyDescent="0.25">
      <c r="A206" s="8">
        <v>42912.767245370371</v>
      </c>
      <c r="B206" s="20" t="s">
        <v>440</v>
      </c>
      <c r="C206" s="20" t="s">
        <v>648</v>
      </c>
      <c r="D206" s="138">
        <v>2360000</v>
      </c>
      <c r="E206" s="20" t="s">
        <v>559</v>
      </c>
      <c r="F206" s="20" t="s">
        <v>560</v>
      </c>
      <c r="G206" s="8" t="str">
        <f t="shared" si="3"/>
        <v>BRANDNER MELINDA</v>
      </c>
    </row>
    <row r="207" spans="1:7" x14ac:dyDescent="0.25">
      <c r="A207" s="8">
        <v>42912.767314814817</v>
      </c>
      <c r="B207" s="20" t="s">
        <v>374</v>
      </c>
      <c r="C207" s="20" t="s">
        <v>831</v>
      </c>
      <c r="D207" s="138">
        <v>3120000</v>
      </c>
      <c r="E207" s="20" t="s">
        <v>832</v>
      </c>
      <c r="F207" s="20" t="s">
        <v>833</v>
      </c>
      <c r="G207" s="8" t="str">
        <f t="shared" si="3"/>
        <v>THOMPSON LESTER</v>
      </c>
    </row>
    <row r="208" spans="1:7" x14ac:dyDescent="0.25">
      <c r="A208" s="8">
        <v>42912.772685185184</v>
      </c>
      <c r="B208" s="20" t="s">
        <v>548</v>
      </c>
      <c r="C208" s="20" t="s">
        <v>834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42912.777071759258</v>
      </c>
      <c r="B209" s="20" t="s">
        <v>651</v>
      </c>
      <c r="C209" s="20" t="s">
        <v>835</v>
      </c>
      <c r="D209" s="138">
        <v>2450000</v>
      </c>
      <c r="E209" s="20" t="s">
        <v>771</v>
      </c>
      <c r="F209" s="20" t="s">
        <v>772</v>
      </c>
      <c r="G209" s="8" t="str">
        <f t="shared" si="3"/>
        <v>NELSON ARIANE</v>
      </c>
    </row>
    <row r="210" spans="1:7" x14ac:dyDescent="0.25">
      <c r="A210" s="8">
        <v>42912.780173611114</v>
      </c>
      <c r="B210" s="20" t="s">
        <v>620</v>
      </c>
      <c r="C210" s="20" t="s">
        <v>836</v>
      </c>
      <c r="D210" s="138">
        <v>1180000</v>
      </c>
      <c r="E210" s="20" t="s">
        <v>758</v>
      </c>
      <c r="F210" s="20" t="s">
        <v>759</v>
      </c>
      <c r="G210" s="8" t="str">
        <f t="shared" si="3"/>
        <v>LEVERE CRAIG</v>
      </c>
    </row>
    <row r="211" spans="1:7" x14ac:dyDescent="0.25">
      <c r="A211" s="8">
        <v>42912.780243055553</v>
      </c>
      <c r="B211" s="20" t="s">
        <v>341</v>
      </c>
      <c r="C211" s="20" t="s">
        <v>837</v>
      </c>
      <c r="D211" s="138">
        <v>2000000</v>
      </c>
      <c r="E211" s="20" t="s">
        <v>462</v>
      </c>
      <c r="F211" s="20" t="s">
        <v>189</v>
      </c>
      <c r="G211" s="8" t="str">
        <f t="shared" si="3"/>
        <v>STAMBAUGH JAMES</v>
      </c>
    </row>
    <row r="212" spans="1:7" x14ac:dyDescent="0.25">
      <c r="A212" s="8">
        <v>42912.783136574071</v>
      </c>
      <c r="B212" s="20" t="s">
        <v>628</v>
      </c>
      <c r="C212" s="20" t="s">
        <v>838</v>
      </c>
      <c r="D212" s="138">
        <v>2540000</v>
      </c>
      <c r="E212" s="20" t="s">
        <v>563</v>
      </c>
      <c r="F212" s="20" t="s">
        <v>564</v>
      </c>
      <c r="G212" s="8" t="str">
        <f t="shared" si="3"/>
        <v>MCREYNOLDS KYLE</v>
      </c>
    </row>
    <row r="213" spans="1:7" x14ac:dyDescent="0.25">
      <c r="A213" s="8">
        <v>42912.787048611113</v>
      </c>
      <c r="B213" s="20" t="s">
        <v>655</v>
      </c>
      <c r="C213" s="20" t="s">
        <v>839</v>
      </c>
      <c r="D213" s="138">
        <v>2620000</v>
      </c>
      <c r="E213" s="20" t="s">
        <v>521</v>
      </c>
      <c r="F213" s="20" t="s">
        <v>522</v>
      </c>
      <c r="G213" s="8" t="str">
        <f t="shared" si="3"/>
        <v>PERKINS DARREN</v>
      </c>
    </row>
    <row r="214" spans="1:7" x14ac:dyDescent="0.25">
      <c r="A214" s="8">
        <v>42912.796307870369</v>
      </c>
      <c r="B214" s="20" t="s">
        <v>630</v>
      </c>
      <c r="C214" s="20" t="s">
        <v>840</v>
      </c>
      <c r="D214" s="138">
        <v>2090000</v>
      </c>
      <c r="E214" s="20" t="s">
        <v>445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42912.796979166669</v>
      </c>
      <c r="B215" s="20" t="s">
        <v>365</v>
      </c>
      <c r="C215" s="20" t="s">
        <v>841</v>
      </c>
      <c r="D215" s="138">
        <v>2000000</v>
      </c>
      <c r="E215" s="20" t="s">
        <v>462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42912.800613425927</v>
      </c>
      <c r="B216" s="20" t="s">
        <v>439</v>
      </c>
      <c r="C216" s="20" t="s">
        <v>842</v>
      </c>
      <c r="D216" s="138">
        <v>2360000</v>
      </c>
      <c r="E216" s="20" t="s">
        <v>559</v>
      </c>
      <c r="F216" s="20" t="s">
        <v>560</v>
      </c>
      <c r="G216" s="8" t="str">
        <f t="shared" si="3"/>
        <v>BRANDNER MELINDA</v>
      </c>
    </row>
    <row r="217" spans="1:7" x14ac:dyDescent="0.25">
      <c r="A217" s="8">
        <v>42912.806331018517</v>
      </c>
      <c r="B217" s="20" t="s">
        <v>357</v>
      </c>
      <c r="C217" s="20" t="s">
        <v>843</v>
      </c>
      <c r="D217" s="138">
        <v>2450000</v>
      </c>
      <c r="E217" s="20" t="s">
        <v>771</v>
      </c>
      <c r="F217" s="20" t="s">
        <v>772</v>
      </c>
      <c r="G217" s="8" t="str">
        <f t="shared" si="3"/>
        <v>NELSON ARIANE</v>
      </c>
    </row>
    <row r="218" spans="1:7" x14ac:dyDescent="0.25">
      <c r="A218" s="8">
        <v>42912.80741898148</v>
      </c>
      <c r="B218" s="20" t="s">
        <v>368</v>
      </c>
      <c r="C218" s="20" t="s">
        <v>844</v>
      </c>
      <c r="D218" s="138">
        <v>3120000</v>
      </c>
      <c r="E218" s="20" t="s">
        <v>832</v>
      </c>
      <c r="F218" s="20" t="s">
        <v>833</v>
      </c>
      <c r="G218" s="8" t="str">
        <f t="shared" si="3"/>
        <v>THOMPSON LESTER</v>
      </c>
    </row>
    <row r="219" spans="1:7" x14ac:dyDescent="0.25">
      <c r="A219" s="8">
        <v>42912.818807870368</v>
      </c>
      <c r="B219" s="20" t="s">
        <v>659</v>
      </c>
      <c r="C219" s="20" t="s">
        <v>845</v>
      </c>
      <c r="D219" s="138">
        <v>2540000</v>
      </c>
      <c r="E219" s="20" t="s">
        <v>563</v>
      </c>
      <c r="F219" s="20" t="s">
        <v>564</v>
      </c>
      <c r="G219" s="8" t="str">
        <f t="shared" si="3"/>
        <v>MCREYNOLDS KYLE</v>
      </c>
    </row>
    <row r="220" spans="1:7" x14ac:dyDescent="0.25">
      <c r="A220" s="8">
        <v>42912.819108796299</v>
      </c>
      <c r="B220" s="20" t="s">
        <v>651</v>
      </c>
      <c r="C220" s="20" t="s">
        <v>846</v>
      </c>
      <c r="D220" s="138">
        <v>2450000</v>
      </c>
      <c r="E220" s="20" t="s">
        <v>771</v>
      </c>
      <c r="F220" s="20" t="s">
        <v>772</v>
      </c>
      <c r="G220" s="8" t="str">
        <f t="shared" si="3"/>
        <v>NELSON ARIANE</v>
      </c>
    </row>
    <row r="221" spans="1:7" x14ac:dyDescent="0.25">
      <c r="A221" s="8">
        <v>42912.825289351851</v>
      </c>
      <c r="B221" s="20" t="s">
        <v>567</v>
      </c>
      <c r="C221" s="20" t="s">
        <v>649</v>
      </c>
      <c r="D221" s="138">
        <v>2620000</v>
      </c>
      <c r="E221" s="20" t="s">
        <v>521</v>
      </c>
      <c r="F221" s="20" t="s">
        <v>522</v>
      </c>
      <c r="G221" s="8" t="str">
        <f t="shared" si="3"/>
        <v>PERKINS DARREN</v>
      </c>
    </row>
    <row r="222" spans="1:7" x14ac:dyDescent="0.25">
      <c r="A222" s="8">
        <v>42912.829363425924</v>
      </c>
      <c r="B222" s="20" t="s">
        <v>398</v>
      </c>
      <c r="C222" s="20" t="s">
        <v>847</v>
      </c>
      <c r="D222" s="138">
        <v>2090000</v>
      </c>
      <c r="E222" s="20" t="s">
        <v>445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42912.846805555557</v>
      </c>
      <c r="B223" s="20" t="s">
        <v>357</v>
      </c>
      <c r="C223" s="20" t="s">
        <v>848</v>
      </c>
      <c r="D223" s="138">
        <v>2450000</v>
      </c>
      <c r="E223" s="20" t="s">
        <v>771</v>
      </c>
      <c r="F223" s="20" t="s">
        <v>772</v>
      </c>
      <c r="G223" s="8" t="str">
        <f t="shared" si="3"/>
        <v>NELSON ARIANE</v>
      </c>
    </row>
    <row r="224" spans="1:7" x14ac:dyDescent="0.25">
      <c r="A224" s="8">
        <v>42912.847361111111</v>
      </c>
      <c r="B224" t="s">
        <v>548</v>
      </c>
      <c r="C224" t="s">
        <v>849</v>
      </c>
      <c r="D224" s="138">
        <v>2230000</v>
      </c>
      <c r="E224" t="s">
        <v>342</v>
      </c>
      <c r="F224" s="20" t="s">
        <v>192</v>
      </c>
      <c r="G224" s="8" t="str">
        <f t="shared" si="3"/>
        <v>SMITH MICHAEL</v>
      </c>
    </row>
    <row r="225" spans="1:7" x14ac:dyDescent="0.25">
      <c r="A225" s="8">
        <v>42912.847418981481</v>
      </c>
      <c r="B225" t="s">
        <v>374</v>
      </c>
      <c r="C225" t="s">
        <v>650</v>
      </c>
      <c r="D225" s="138">
        <v>3120000</v>
      </c>
      <c r="E225" t="s">
        <v>832</v>
      </c>
      <c r="F225" s="20" t="s">
        <v>833</v>
      </c>
      <c r="G225" s="8" t="str">
        <f t="shared" si="3"/>
        <v>THOMPSON LESTER</v>
      </c>
    </row>
    <row r="226" spans="1:7" x14ac:dyDescent="0.25">
      <c r="A226" s="8">
        <v>42912.860474537039</v>
      </c>
      <c r="B226" t="s">
        <v>630</v>
      </c>
      <c r="C226" t="s">
        <v>850</v>
      </c>
      <c r="D226" s="138">
        <v>2090000</v>
      </c>
      <c r="E226" t="s">
        <v>445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42912.86136574074</v>
      </c>
      <c r="B227" t="s">
        <v>651</v>
      </c>
      <c r="C227" t="s">
        <v>851</v>
      </c>
      <c r="D227" s="138">
        <v>2450000</v>
      </c>
      <c r="E227" t="s">
        <v>771</v>
      </c>
      <c r="F227" s="20" t="s">
        <v>772</v>
      </c>
      <c r="G227" s="8" t="str">
        <f t="shared" si="3"/>
        <v>NELSON ARIANE</v>
      </c>
    </row>
    <row r="228" spans="1:7" x14ac:dyDescent="0.25">
      <c r="A228" s="8">
        <v>42912.868171296293</v>
      </c>
      <c r="B228" t="s">
        <v>655</v>
      </c>
      <c r="C228" t="s">
        <v>852</v>
      </c>
      <c r="D228" s="138">
        <v>2620000</v>
      </c>
      <c r="E228" t="s">
        <v>521</v>
      </c>
      <c r="F228" s="20" t="s">
        <v>522</v>
      </c>
      <c r="G228" s="8" t="str">
        <f t="shared" si="3"/>
        <v>PERKINS DARREN</v>
      </c>
    </row>
    <row r="229" spans="1:7" x14ac:dyDescent="0.25">
      <c r="A229" s="8">
        <v>42912.881018518521</v>
      </c>
      <c r="B229" t="s">
        <v>357</v>
      </c>
      <c r="C229" t="s">
        <v>853</v>
      </c>
      <c r="D229" s="138">
        <v>2000000</v>
      </c>
      <c r="E229" t="s">
        <v>462</v>
      </c>
      <c r="F229" s="20" t="s">
        <v>189</v>
      </c>
      <c r="G229" s="8" t="str">
        <f t="shared" si="3"/>
        <v>STAMBAUGH JAMES</v>
      </c>
    </row>
    <row r="230" spans="1:7" x14ac:dyDescent="0.25">
      <c r="A230" s="8">
        <v>42912.887812499997</v>
      </c>
      <c r="B230" t="s">
        <v>549</v>
      </c>
      <c r="C230" t="s">
        <v>854</v>
      </c>
      <c r="D230" s="138">
        <v>2230000</v>
      </c>
      <c r="E230" t="s">
        <v>342</v>
      </c>
      <c r="F230" s="20" t="s">
        <v>192</v>
      </c>
      <c r="G230" s="8" t="str">
        <f t="shared" si="3"/>
        <v>SMITH MICHAEL</v>
      </c>
    </row>
    <row r="231" spans="1:7" x14ac:dyDescent="0.25">
      <c r="A231" s="8">
        <v>42912.891006944446</v>
      </c>
      <c r="B231" t="s">
        <v>368</v>
      </c>
      <c r="C231" t="s">
        <v>855</v>
      </c>
      <c r="D231" s="138">
        <v>3120000</v>
      </c>
      <c r="E231" t="s">
        <v>832</v>
      </c>
      <c r="F231" s="20" t="s">
        <v>833</v>
      </c>
      <c r="G231" s="8" t="str">
        <f t="shared" si="3"/>
        <v>THOMPSON LESTER</v>
      </c>
    </row>
    <row r="232" spans="1:7" x14ac:dyDescent="0.25">
      <c r="A232" s="8">
        <v>42912.90042824074</v>
      </c>
      <c r="B232" t="s">
        <v>651</v>
      </c>
      <c r="C232" t="s">
        <v>652</v>
      </c>
      <c r="D232" s="138">
        <v>2000000</v>
      </c>
      <c r="E232" t="s">
        <v>462</v>
      </c>
      <c r="F232" s="20" t="s">
        <v>189</v>
      </c>
      <c r="G232" s="8" t="str">
        <f t="shared" si="3"/>
        <v>STAMBAUGH JAMES</v>
      </c>
    </row>
    <row r="233" spans="1:7" x14ac:dyDescent="0.25">
      <c r="A233" s="8">
        <v>42912.903553240743</v>
      </c>
      <c r="B233" t="s">
        <v>567</v>
      </c>
      <c r="C233" t="s">
        <v>856</v>
      </c>
      <c r="D233" s="138">
        <v>2620000</v>
      </c>
      <c r="E233" t="s">
        <v>521</v>
      </c>
      <c r="F233" s="20" t="s">
        <v>522</v>
      </c>
      <c r="G233" s="8" t="str">
        <f t="shared" si="3"/>
        <v>PERKINS DARREN</v>
      </c>
    </row>
    <row r="234" spans="1:7" x14ac:dyDescent="0.25">
      <c r="A234" s="8">
        <v>42912.90425925926</v>
      </c>
      <c r="B234" t="s">
        <v>398</v>
      </c>
      <c r="C234" t="s">
        <v>857</v>
      </c>
      <c r="D234" s="138">
        <v>2090000</v>
      </c>
      <c r="E234" t="s">
        <v>445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42912.926111111112</v>
      </c>
      <c r="B235" t="s">
        <v>357</v>
      </c>
      <c r="C235" t="s">
        <v>858</v>
      </c>
      <c r="D235" s="138">
        <v>2000000</v>
      </c>
      <c r="E235" t="s">
        <v>462</v>
      </c>
      <c r="F235" s="20" t="s">
        <v>189</v>
      </c>
      <c r="G235" s="8" t="str">
        <f t="shared" si="3"/>
        <v>STAMBAUGH JAMES</v>
      </c>
    </row>
    <row r="236" spans="1:7" x14ac:dyDescent="0.25">
      <c r="A236" s="8">
        <v>42912.930115740739</v>
      </c>
      <c r="B236" t="s">
        <v>548</v>
      </c>
      <c r="C236" t="s">
        <v>654</v>
      </c>
      <c r="D236" s="138">
        <v>2230000</v>
      </c>
      <c r="E236" t="s">
        <v>342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42912.933865740742</v>
      </c>
      <c r="B237" t="s">
        <v>374</v>
      </c>
      <c r="C237" t="s">
        <v>859</v>
      </c>
      <c r="D237" s="138">
        <v>3120000</v>
      </c>
      <c r="E237" t="s">
        <v>832</v>
      </c>
      <c r="F237" s="20" t="s">
        <v>833</v>
      </c>
      <c r="G237" s="8" t="str">
        <f t="shared" si="3"/>
        <v>THOMPSON LESTER</v>
      </c>
    </row>
    <row r="238" spans="1:7" x14ac:dyDescent="0.25">
      <c r="A238" s="8">
        <v>42912.942731481482</v>
      </c>
      <c r="B238" t="s">
        <v>651</v>
      </c>
      <c r="C238" t="s">
        <v>653</v>
      </c>
      <c r="D238" s="138">
        <v>2000000</v>
      </c>
      <c r="E238" t="s">
        <v>462</v>
      </c>
      <c r="F238" s="20" t="s">
        <v>189</v>
      </c>
      <c r="G238" s="8" t="str">
        <f t="shared" si="3"/>
        <v>STAMBAUGH JAMES</v>
      </c>
    </row>
    <row r="239" spans="1:7" x14ac:dyDescent="0.25">
      <c r="A239" s="8">
        <v>42912.944085648145</v>
      </c>
      <c r="B239" t="s">
        <v>655</v>
      </c>
      <c r="C239" t="s">
        <v>656</v>
      </c>
      <c r="D239" s="138">
        <v>2620000</v>
      </c>
      <c r="E239" t="s">
        <v>521</v>
      </c>
      <c r="F239" s="20" t="s">
        <v>522</v>
      </c>
      <c r="G239" s="8" t="str">
        <f t="shared" si="3"/>
        <v>PERKINS DARREN</v>
      </c>
    </row>
    <row r="240" spans="1:7" x14ac:dyDescent="0.25">
      <c r="A240" s="8">
        <v>42912.944606481484</v>
      </c>
      <c r="B240" t="s">
        <v>630</v>
      </c>
      <c r="C240" t="s">
        <v>860</v>
      </c>
      <c r="D240" s="138">
        <v>2090000</v>
      </c>
      <c r="E240" t="s">
        <v>445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42912.949050925927</v>
      </c>
      <c r="B241" t="s">
        <v>357</v>
      </c>
      <c r="C241" t="s">
        <v>653</v>
      </c>
      <c r="D241" s="138">
        <v>2000000</v>
      </c>
      <c r="E241" t="s">
        <v>462</v>
      </c>
      <c r="F241" s="20" t="s">
        <v>189</v>
      </c>
      <c r="G241" s="8" t="str">
        <f t="shared" si="3"/>
        <v>STAMBAUGH JAMES</v>
      </c>
    </row>
    <row r="242" spans="1:7" x14ac:dyDescent="0.25">
      <c r="A242" s="8">
        <v>42912.965532407405</v>
      </c>
      <c r="B242" t="s">
        <v>374</v>
      </c>
      <c r="C242" t="s">
        <v>859</v>
      </c>
      <c r="D242" s="138">
        <v>3120000</v>
      </c>
      <c r="E242" t="s">
        <v>832</v>
      </c>
      <c r="F242" s="20" t="s">
        <v>833</v>
      </c>
      <c r="G242" s="8" t="str">
        <f t="shared" si="3"/>
        <v>THOMPSON LESTER</v>
      </c>
    </row>
    <row r="243" spans="1:7" x14ac:dyDescent="0.25">
      <c r="A243" s="8">
        <v>42912.971145833333</v>
      </c>
      <c r="B243" t="s">
        <v>549</v>
      </c>
      <c r="C243" t="s">
        <v>861</v>
      </c>
      <c r="D243" s="138">
        <v>2230000</v>
      </c>
      <c r="E243" t="s">
        <v>342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42912.975983796299</v>
      </c>
      <c r="B244" t="s">
        <v>368</v>
      </c>
      <c r="C244" t="s">
        <v>862</v>
      </c>
      <c r="D244" s="138">
        <v>3120000</v>
      </c>
      <c r="E244" t="s">
        <v>832</v>
      </c>
      <c r="F244" s="20" t="s">
        <v>833</v>
      </c>
      <c r="G244" s="8" t="str">
        <f t="shared" si="3"/>
        <v>THOMPSON LESTER</v>
      </c>
    </row>
    <row r="245" spans="1:7" x14ac:dyDescent="0.25">
      <c r="A245" s="8">
        <v>42912.985266203701</v>
      </c>
      <c r="B245" t="s">
        <v>398</v>
      </c>
      <c r="C245" t="s">
        <v>863</v>
      </c>
      <c r="D245" s="138">
        <v>2090000</v>
      </c>
      <c r="E245" t="s">
        <v>445</v>
      </c>
      <c r="F245" s="20" t="s">
        <v>192</v>
      </c>
      <c r="G245" s="8" t="str">
        <f t="shared" si="3"/>
        <v>HAITHCOX MICHAEL</v>
      </c>
    </row>
    <row r="246" spans="1:7" x14ac:dyDescent="0.25">
      <c r="A246" s="8">
        <v>42912.991203703707</v>
      </c>
      <c r="B246" t="s">
        <v>567</v>
      </c>
      <c r="C246" t="s">
        <v>864</v>
      </c>
      <c r="D246" s="138">
        <v>2620000</v>
      </c>
      <c r="E246" t="s">
        <v>521</v>
      </c>
      <c r="F246" s="20" t="s">
        <v>522</v>
      </c>
      <c r="G246" s="8" t="str">
        <f t="shared" si="3"/>
        <v>PERKINS DARREN</v>
      </c>
    </row>
    <row r="247" spans="1:7" x14ac:dyDescent="0.25">
      <c r="A247" s="8">
        <v>42913.009710648148</v>
      </c>
      <c r="B247" t="s">
        <v>548</v>
      </c>
      <c r="C247" t="s">
        <v>865</v>
      </c>
      <c r="D247" s="138">
        <v>2230000</v>
      </c>
      <c r="E247" t="s">
        <v>342</v>
      </c>
      <c r="F247" s="20" t="s">
        <v>192</v>
      </c>
      <c r="G247" s="8" t="str">
        <f t="shared" si="3"/>
        <v>SMITH MICHAEL</v>
      </c>
    </row>
    <row r="248" spans="1:7" x14ac:dyDescent="0.25">
      <c r="A248" s="8">
        <v>42913.019050925926</v>
      </c>
      <c r="B248" t="s">
        <v>374</v>
      </c>
      <c r="C248" t="s">
        <v>866</v>
      </c>
      <c r="D248" s="138">
        <v>3120000</v>
      </c>
      <c r="E248" t="s">
        <v>832</v>
      </c>
      <c r="F248" s="20" t="s">
        <v>833</v>
      </c>
      <c r="G248" s="8" t="str">
        <f t="shared" si="3"/>
        <v>THOMPSON LESTER</v>
      </c>
    </row>
    <row r="249" spans="1:7" x14ac:dyDescent="0.25">
      <c r="A249" s="8">
        <v>42913.027106481481</v>
      </c>
      <c r="B249" t="s">
        <v>630</v>
      </c>
      <c r="C249" t="s">
        <v>867</v>
      </c>
      <c r="D249" s="138">
        <v>2090000</v>
      </c>
      <c r="E249" t="s">
        <v>445</v>
      </c>
      <c r="F249" s="20" t="s">
        <v>192</v>
      </c>
      <c r="G249" s="8" t="str">
        <f t="shared" si="3"/>
        <v>HAITHCOX MICHAEL</v>
      </c>
    </row>
    <row r="250" spans="1:7" x14ac:dyDescent="0.25">
      <c r="A250" s="8">
        <v>42913.027280092596</v>
      </c>
      <c r="B250" t="s">
        <v>655</v>
      </c>
      <c r="C250" t="s">
        <v>868</v>
      </c>
      <c r="D250" s="138">
        <v>2620000</v>
      </c>
      <c r="E250" t="s">
        <v>521</v>
      </c>
      <c r="F250" s="20" t="s">
        <v>522</v>
      </c>
      <c r="G250" s="8" t="str">
        <f t="shared" si="3"/>
        <v>PERKINS DARREN</v>
      </c>
    </row>
    <row r="251" spans="1:7" x14ac:dyDescent="0.25">
      <c r="A251" s="8">
        <v>42913.048032407409</v>
      </c>
      <c r="B251" t="s">
        <v>549</v>
      </c>
      <c r="C251" t="s">
        <v>657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42913.057534722226</v>
      </c>
      <c r="B252" t="s">
        <v>368</v>
      </c>
      <c r="C252" t="s">
        <v>869</v>
      </c>
      <c r="D252" s="138">
        <v>3120000</v>
      </c>
      <c r="E252" t="s">
        <v>832</v>
      </c>
      <c r="F252" s="20" t="s">
        <v>833</v>
      </c>
      <c r="G252" s="8" t="str">
        <f t="shared" si="3"/>
        <v>THOMPSON LESTER</v>
      </c>
    </row>
    <row r="253" spans="1:7" x14ac:dyDescent="0.25">
      <c r="A253" s="8">
        <v>42913.068402777775</v>
      </c>
      <c r="B253" t="s">
        <v>398</v>
      </c>
      <c r="C253" t="s">
        <v>870</v>
      </c>
      <c r="D253" s="138">
        <v>2090000</v>
      </c>
      <c r="E253" t="s">
        <v>445</v>
      </c>
      <c r="F253" s="20" t="s">
        <v>192</v>
      </c>
      <c r="G253" s="8" t="str">
        <f t="shared" si="3"/>
        <v>HAITHCOX MICHAEL</v>
      </c>
    </row>
    <row r="254" spans="1:7" x14ac:dyDescent="0.25">
      <c r="A254" s="8">
        <v>42913.069166666668</v>
      </c>
      <c r="B254" t="s">
        <v>398</v>
      </c>
      <c r="C254" t="s">
        <v>870</v>
      </c>
      <c r="D254" s="138">
        <v>2090000</v>
      </c>
      <c r="E254" t="s">
        <v>445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42913.09065972222</v>
      </c>
      <c r="B255" t="s">
        <v>374</v>
      </c>
      <c r="C255" t="s">
        <v>871</v>
      </c>
      <c r="D255" s="138">
        <v>3120000</v>
      </c>
      <c r="E255" t="s">
        <v>832</v>
      </c>
      <c r="F255" s="20" t="s">
        <v>833</v>
      </c>
      <c r="G255" s="8" t="str">
        <f t="shared" si="3"/>
        <v>THOMPSON LESTER</v>
      </c>
    </row>
    <row r="256" spans="1:7" x14ac:dyDescent="0.25">
      <c r="A256" s="8">
        <v>42913.091932870368</v>
      </c>
      <c r="B256" t="s">
        <v>374</v>
      </c>
      <c r="C256" t="s">
        <v>871</v>
      </c>
      <c r="D256" s="138">
        <v>3120000</v>
      </c>
      <c r="E256" t="s">
        <v>832</v>
      </c>
      <c r="F256" s="20" t="s">
        <v>833</v>
      </c>
      <c r="G256" s="8" t="str">
        <f t="shared" si="3"/>
        <v>THOMPSON LESTER</v>
      </c>
    </row>
    <row r="257" spans="1:7" x14ac:dyDescent="0.25">
      <c r="A257" s="8">
        <v>42913.092800925922</v>
      </c>
      <c r="B257" t="s">
        <v>374</v>
      </c>
      <c r="C257" t="s">
        <v>871</v>
      </c>
      <c r="D257" s="138">
        <v>3120000</v>
      </c>
      <c r="E257" t="s">
        <v>832</v>
      </c>
      <c r="F257" s="20" t="s">
        <v>833</v>
      </c>
      <c r="G257" s="8" t="str">
        <f t="shared" si="3"/>
        <v>THOMPSON LESTER</v>
      </c>
    </row>
    <row r="258" spans="1:7" x14ac:dyDescent="0.25">
      <c r="A258" s="8">
        <v>42913.093865740739</v>
      </c>
      <c r="B258" t="s">
        <v>374</v>
      </c>
      <c r="C258" t="s">
        <v>871</v>
      </c>
      <c r="D258" s="138">
        <v>3120000</v>
      </c>
      <c r="E258" t="s">
        <v>832</v>
      </c>
      <c r="F258" s="20" t="s">
        <v>833</v>
      </c>
      <c r="G258" s="8" t="str">
        <f t="shared" si="3"/>
        <v>THOMPSON LESTER</v>
      </c>
    </row>
    <row r="259" spans="1:7" x14ac:dyDescent="0.25">
      <c r="A259" s="8">
        <v>42913.095023148147</v>
      </c>
      <c r="B259" t="s">
        <v>374</v>
      </c>
      <c r="C259" t="s">
        <v>871</v>
      </c>
      <c r="D259" s="138">
        <v>3120000</v>
      </c>
      <c r="E259" t="s">
        <v>832</v>
      </c>
      <c r="F259" s="20" t="s">
        <v>833</v>
      </c>
      <c r="G259" s="8" t="str">
        <f t="shared" ref="G259:G322" si="4">E259&amp;" "&amp;F259</f>
        <v>THOMPSON LESTER</v>
      </c>
    </row>
    <row r="260" spans="1:7" x14ac:dyDescent="0.25">
      <c r="A260" s="8">
        <v>42900.030798611115</v>
      </c>
      <c r="B260" t="s">
        <v>453</v>
      </c>
      <c r="C260" t="s">
        <v>454</v>
      </c>
      <c r="D260" s="138">
        <v>2090000</v>
      </c>
      <c r="E260" t="s">
        <v>445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453</v>
      </c>
      <c r="C261" t="s">
        <v>454</v>
      </c>
      <c r="D261" s="138">
        <v>2090000</v>
      </c>
      <c r="E261" t="s">
        <v>445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453</v>
      </c>
      <c r="C262" t="s">
        <v>454</v>
      </c>
      <c r="D262" s="138">
        <v>2090000</v>
      </c>
      <c r="E262" t="s">
        <v>445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440</v>
      </c>
      <c r="C263" t="s">
        <v>455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438</v>
      </c>
      <c r="C264" t="s">
        <v>456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438</v>
      </c>
      <c r="C265" t="s">
        <v>456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447</v>
      </c>
      <c r="C266" t="s">
        <v>457</v>
      </c>
      <c r="D266" s="138">
        <v>3000000</v>
      </c>
      <c r="E266" t="s">
        <v>422</v>
      </c>
      <c r="F266" s="20" t="s">
        <v>423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439</v>
      </c>
      <c r="C267" t="s">
        <v>458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463</v>
      </c>
      <c r="O1" s="171" t="s">
        <v>156</v>
      </c>
      <c r="P1" s="171" t="s">
        <v>163</v>
      </c>
      <c r="Q1" s="171" t="s">
        <v>464</v>
      </c>
      <c r="R1" s="171" t="s">
        <v>160</v>
      </c>
      <c r="S1"/>
    </row>
    <row r="2" spans="1:19" x14ac:dyDescent="0.25">
      <c r="A2" s="172">
        <v>65.95</v>
      </c>
      <c r="B2" s="172">
        <v>0.42</v>
      </c>
      <c r="C2" s="172">
        <v>53.28</v>
      </c>
      <c r="D2" s="8">
        <v>42912</v>
      </c>
      <c r="E2" s="172">
        <v>0.64</v>
      </c>
      <c r="F2" s="172" t="s">
        <v>498</v>
      </c>
      <c r="G2" s="172">
        <v>295.98</v>
      </c>
      <c r="H2" s="172">
        <v>0</v>
      </c>
      <c r="I2" s="172">
        <v>0</v>
      </c>
      <c r="J2" s="172">
        <v>1020.91</v>
      </c>
      <c r="K2" s="172" t="s">
        <v>477</v>
      </c>
      <c r="L2" s="172">
        <v>65.95</v>
      </c>
      <c r="M2" s="172">
        <v>1498456800</v>
      </c>
      <c r="N2" s="172">
        <v>0</v>
      </c>
      <c r="O2" s="172">
        <v>10</v>
      </c>
      <c r="P2" s="172">
        <v>107</v>
      </c>
      <c r="Q2" s="172">
        <v>3.35</v>
      </c>
      <c r="R2" s="172">
        <v>3.09</v>
      </c>
      <c r="S2"/>
    </row>
    <row r="3" spans="1:19" x14ac:dyDescent="0.25">
      <c r="A3" s="172">
        <v>65.510000000000005</v>
      </c>
      <c r="B3" s="172">
        <v>0.33</v>
      </c>
      <c r="C3" s="172">
        <v>53.38</v>
      </c>
      <c r="D3" s="8">
        <v>42912.041666666664</v>
      </c>
      <c r="E3" s="172">
        <v>0.65</v>
      </c>
      <c r="F3" s="172" t="s">
        <v>498</v>
      </c>
      <c r="G3" s="172">
        <v>296.64999999999998</v>
      </c>
      <c r="H3" s="172">
        <v>0</v>
      </c>
      <c r="I3" s="172">
        <v>0</v>
      </c>
      <c r="J3" s="172">
        <v>1020.75</v>
      </c>
      <c r="K3" s="172" t="s">
        <v>477</v>
      </c>
      <c r="L3" s="172">
        <v>65.510000000000005</v>
      </c>
      <c r="M3" s="172">
        <v>1498460400</v>
      </c>
      <c r="N3" s="172">
        <v>0</v>
      </c>
      <c r="O3" s="172">
        <v>10</v>
      </c>
      <c r="P3" s="172">
        <v>143</v>
      </c>
      <c r="Q3" s="172">
        <v>3.28</v>
      </c>
      <c r="R3" s="172">
        <v>3.09</v>
      </c>
      <c r="S3"/>
    </row>
    <row r="4" spans="1:19" x14ac:dyDescent="0.25">
      <c r="A4" s="172">
        <v>65.27</v>
      </c>
      <c r="B4" s="172">
        <v>0.17</v>
      </c>
      <c r="C4" s="172">
        <v>53.37</v>
      </c>
      <c r="D4" s="8">
        <v>42912.083333333336</v>
      </c>
      <c r="E4" s="172">
        <v>0.65</v>
      </c>
      <c r="F4" s="172" t="s">
        <v>448</v>
      </c>
      <c r="G4" s="172">
        <v>297.3</v>
      </c>
      <c r="H4" s="172">
        <v>0</v>
      </c>
      <c r="I4" s="172">
        <v>0</v>
      </c>
      <c r="J4" s="172">
        <v>1020.34</v>
      </c>
      <c r="K4" s="172" t="s">
        <v>449</v>
      </c>
      <c r="L4" s="172">
        <v>65.27</v>
      </c>
      <c r="M4" s="172">
        <v>1498464000</v>
      </c>
      <c r="N4" s="172">
        <v>0</v>
      </c>
      <c r="O4" s="172">
        <v>10</v>
      </c>
      <c r="P4" s="172">
        <v>172</v>
      </c>
      <c r="Q4" s="172">
        <v>4.1399999999999997</v>
      </c>
      <c r="R4" s="172">
        <v>3.5</v>
      </c>
      <c r="S4"/>
    </row>
    <row r="5" spans="1:19" x14ac:dyDescent="0.25">
      <c r="A5" s="172">
        <v>64.11</v>
      </c>
      <c r="B5" s="172">
        <v>0.09</v>
      </c>
      <c r="C5" s="172">
        <v>52.75</v>
      </c>
      <c r="D5" s="8">
        <v>42912.125</v>
      </c>
      <c r="E5" s="172">
        <v>0.67</v>
      </c>
      <c r="F5" s="172" t="s">
        <v>448</v>
      </c>
      <c r="G5" s="172">
        <v>297.52999999999997</v>
      </c>
      <c r="H5" s="172">
        <v>0</v>
      </c>
      <c r="I5" s="172">
        <v>0</v>
      </c>
      <c r="J5" s="172">
        <v>1020.18</v>
      </c>
      <c r="K5" s="172" t="s">
        <v>449</v>
      </c>
      <c r="L5" s="172">
        <v>64.11</v>
      </c>
      <c r="M5" s="172">
        <v>1498467600</v>
      </c>
      <c r="N5" s="172">
        <v>0</v>
      </c>
      <c r="O5" s="172">
        <v>10</v>
      </c>
      <c r="P5" s="172">
        <v>191</v>
      </c>
      <c r="Q5" s="172">
        <v>4.3</v>
      </c>
      <c r="R5" s="172">
        <v>3.02</v>
      </c>
      <c r="S5"/>
    </row>
    <row r="6" spans="1:19" x14ac:dyDescent="0.25">
      <c r="A6" s="172">
        <v>62.84</v>
      </c>
      <c r="B6" s="172">
        <v>0.05</v>
      </c>
      <c r="C6" s="172">
        <v>51.62</v>
      </c>
      <c r="D6" s="8">
        <v>42912.166666666664</v>
      </c>
      <c r="E6" s="172">
        <v>0.67</v>
      </c>
      <c r="F6" s="172" t="s">
        <v>448</v>
      </c>
      <c r="G6" s="172">
        <v>297.64</v>
      </c>
      <c r="H6" s="172">
        <v>0</v>
      </c>
      <c r="I6" s="172">
        <v>0</v>
      </c>
      <c r="J6" s="172">
        <v>1019.94</v>
      </c>
      <c r="K6" s="172" t="s">
        <v>449</v>
      </c>
      <c r="L6" s="172">
        <v>62.84</v>
      </c>
      <c r="M6" s="172">
        <v>1498471200</v>
      </c>
      <c r="N6" s="172">
        <v>0</v>
      </c>
      <c r="O6" s="172">
        <v>9.9499999999999993</v>
      </c>
      <c r="P6" s="172">
        <v>195</v>
      </c>
      <c r="Q6" s="172">
        <v>4.54</v>
      </c>
      <c r="R6" s="172">
        <v>3.13</v>
      </c>
      <c r="S6"/>
    </row>
    <row r="7" spans="1:19" x14ac:dyDescent="0.25">
      <c r="A7" s="172">
        <v>61.75</v>
      </c>
      <c r="B7" s="172">
        <v>0.03</v>
      </c>
      <c r="C7" s="172">
        <v>50.2</v>
      </c>
      <c r="D7" s="8">
        <v>42912.208333333336</v>
      </c>
      <c r="E7" s="172">
        <v>0.66</v>
      </c>
      <c r="F7" s="172" t="s">
        <v>448</v>
      </c>
      <c r="G7" s="172">
        <v>297.52999999999997</v>
      </c>
      <c r="H7" s="172">
        <v>0</v>
      </c>
      <c r="I7" s="172">
        <v>0</v>
      </c>
      <c r="J7" s="172">
        <v>1019.74</v>
      </c>
      <c r="K7" s="172" t="s">
        <v>449</v>
      </c>
      <c r="L7" s="172">
        <v>61.75</v>
      </c>
      <c r="M7" s="172">
        <v>1498474800</v>
      </c>
      <c r="N7" s="172">
        <v>0</v>
      </c>
      <c r="O7" s="172">
        <v>9.7899999999999991</v>
      </c>
      <c r="P7" s="172">
        <v>254</v>
      </c>
      <c r="Q7" s="172">
        <v>4.2699999999999996</v>
      </c>
      <c r="R7" s="172">
        <v>2.95</v>
      </c>
      <c r="S7"/>
    </row>
    <row r="8" spans="1:19" x14ac:dyDescent="0.25">
      <c r="A8" s="172">
        <v>63.2</v>
      </c>
      <c r="B8" s="172">
        <v>0.01</v>
      </c>
      <c r="C8" s="172">
        <v>49.19</v>
      </c>
      <c r="D8" s="8">
        <v>42912.25</v>
      </c>
      <c r="E8" s="172">
        <v>0.6</v>
      </c>
      <c r="F8" s="172" t="s">
        <v>450</v>
      </c>
      <c r="G8" s="172">
        <v>298.64</v>
      </c>
      <c r="H8" s="172">
        <v>0</v>
      </c>
      <c r="I8" s="172">
        <v>0</v>
      </c>
      <c r="J8" s="172">
        <v>1019.42</v>
      </c>
      <c r="K8" s="172" t="s">
        <v>449</v>
      </c>
      <c r="L8" s="172">
        <v>63.2</v>
      </c>
      <c r="M8" s="172">
        <v>1498478400</v>
      </c>
      <c r="N8" s="172">
        <v>0</v>
      </c>
      <c r="O8" s="172">
        <v>10</v>
      </c>
      <c r="P8" s="172">
        <v>263</v>
      </c>
      <c r="Q8" s="172">
        <v>4.76</v>
      </c>
      <c r="R8" s="172">
        <v>3.27</v>
      </c>
      <c r="S8"/>
    </row>
    <row r="9" spans="1:19" x14ac:dyDescent="0.25">
      <c r="A9" s="172">
        <v>65.180000000000007</v>
      </c>
      <c r="B9" s="172">
        <v>0</v>
      </c>
      <c r="C9" s="172">
        <v>49.43</v>
      </c>
      <c r="D9" s="8">
        <v>42912.291666666664</v>
      </c>
      <c r="E9" s="172">
        <v>0.56999999999999995</v>
      </c>
      <c r="F9" s="172" t="s">
        <v>450</v>
      </c>
      <c r="G9" s="172">
        <v>298.2</v>
      </c>
      <c r="H9" s="172">
        <v>0</v>
      </c>
      <c r="I9" s="172">
        <v>0</v>
      </c>
      <c r="J9" s="172">
        <v>1018.99</v>
      </c>
      <c r="K9" s="172" t="s">
        <v>449</v>
      </c>
      <c r="L9" s="172">
        <v>65.180000000000007</v>
      </c>
      <c r="M9" s="172">
        <v>1498482000</v>
      </c>
      <c r="N9" s="172">
        <v>1</v>
      </c>
      <c r="O9" s="172">
        <v>10</v>
      </c>
      <c r="P9" s="172">
        <v>231</v>
      </c>
      <c r="Q9" s="172">
        <v>7.82</v>
      </c>
      <c r="R9" s="172">
        <v>3.38</v>
      </c>
      <c r="S9"/>
    </row>
    <row r="10" spans="1:19" x14ac:dyDescent="0.25">
      <c r="A10" s="172">
        <v>68.650000000000006</v>
      </c>
      <c r="B10" s="172">
        <v>0</v>
      </c>
      <c r="C10" s="172">
        <v>48.91</v>
      </c>
      <c r="D10" s="8">
        <v>42912.333333333336</v>
      </c>
      <c r="E10" s="172">
        <v>0.49</v>
      </c>
      <c r="F10" s="172" t="s">
        <v>450</v>
      </c>
      <c r="G10" s="172">
        <v>297.32</v>
      </c>
      <c r="H10" s="172">
        <v>0</v>
      </c>
      <c r="I10" s="172">
        <v>0</v>
      </c>
      <c r="J10" s="172">
        <v>1018.46</v>
      </c>
      <c r="K10" s="172" t="s">
        <v>449</v>
      </c>
      <c r="L10" s="172">
        <v>68.650000000000006</v>
      </c>
      <c r="M10" s="172">
        <v>1498485600</v>
      </c>
      <c r="N10" s="172">
        <v>1</v>
      </c>
      <c r="O10" s="172">
        <v>10</v>
      </c>
      <c r="P10" s="172">
        <v>26</v>
      </c>
      <c r="Q10" s="172">
        <v>6.2</v>
      </c>
      <c r="R10" s="172">
        <v>4.0599999999999996</v>
      </c>
      <c r="S10"/>
    </row>
    <row r="11" spans="1:19" x14ac:dyDescent="0.25">
      <c r="A11" s="172">
        <v>72.33</v>
      </c>
      <c r="B11" s="172">
        <v>0</v>
      </c>
      <c r="C11" s="172">
        <v>49.5</v>
      </c>
      <c r="D11" s="8">
        <v>42912.375</v>
      </c>
      <c r="E11" s="172">
        <v>0.45</v>
      </c>
      <c r="F11" s="172" t="s">
        <v>450</v>
      </c>
      <c r="G11" s="172">
        <v>296.66000000000003</v>
      </c>
      <c r="H11" s="172">
        <v>0</v>
      </c>
      <c r="I11" s="172">
        <v>0</v>
      </c>
      <c r="J11" s="172">
        <v>1017.9</v>
      </c>
      <c r="K11" s="172" t="s">
        <v>449</v>
      </c>
      <c r="L11" s="172">
        <v>72.33</v>
      </c>
      <c r="M11" s="172">
        <v>1498489200</v>
      </c>
      <c r="N11" s="172">
        <v>3</v>
      </c>
      <c r="O11" s="172">
        <v>10</v>
      </c>
      <c r="P11" s="172">
        <v>356</v>
      </c>
      <c r="Q11" s="172">
        <v>5.19</v>
      </c>
      <c r="R11" s="172">
        <v>4.1900000000000004</v>
      </c>
      <c r="S11"/>
    </row>
    <row r="12" spans="1:19" x14ac:dyDescent="0.25">
      <c r="A12" s="172">
        <v>75.72</v>
      </c>
      <c r="B12" s="172">
        <v>0</v>
      </c>
      <c r="C12" s="172">
        <v>49.19</v>
      </c>
      <c r="D12" s="8">
        <v>42912.416666666664</v>
      </c>
      <c r="E12" s="172">
        <v>0.39</v>
      </c>
      <c r="F12" s="172" t="s">
        <v>450</v>
      </c>
      <c r="G12" s="172">
        <v>296.66000000000003</v>
      </c>
      <c r="H12" s="172">
        <v>0</v>
      </c>
      <c r="I12" s="172">
        <v>0</v>
      </c>
      <c r="J12" s="172">
        <v>1017.03</v>
      </c>
      <c r="K12" s="172" t="s">
        <v>449</v>
      </c>
      <c r="L12" s="172">
        <v>75.72</v>
      </c>
      <c r="M12" s="172">
        <v>1498492800</v>
      </c>
      <c r="N12" s="172">
        <v>5</v>
      </c>
      <c r="O12" s="172">
        <v>10</v>
      </c>
      <c r="P12" s="172">
        <v>359</v>
      </c>
      <c r="Q12" s="172">
        <v>5.54</v>
      </c>
      <c r="R12" s="172">
        <v>4.5</v>
      </c>
      <c r="S12"/>
    </row>
    <row r="13" spans="1:19" x14ac:dyDescent="0.25">
      <c r="A13" s="172">
        <v>78.78</v>
      </c>
      <c r="B13" s="172">
        <v>0</v>
      </c>
      <c r="C13" s="172">
        <v>48.55</v>
      </c>
      <c r="D13" s="8">
        <v>42912.458333333336</v>
      </c>
      <c r="E13" s="172">
        <v>0.35</v>
      </c>
      <c r="F13" s="172" t="s">
        <v>450</v>
      </c>
      <c r="G13" s="172">
        <v>296.89</v>
      </c>
      <c r="H13" s="172">
        <v>0</v>
      </c>
      <c r="I13" s="172">
        <v>0</v>
      </c>
      <c r="J13" s="172">
        <v>1015.95</v>
      </c>
      <c r="K13" s="172" t="s">
        <v>449</v>
      </c>
      <c r="L13" s="172">
        <v>78.78</v>
      </c>
      <c r="M13" s="172">
        <v>1498496400</v>
      </c>
      <c r="N13" s="172">
        <v>9</v>
      </c>
      <c r="O13" s="172">
        <v>10</v>
      </c>
      <c r="P13" s="172">
        <v>30</v>
      </c>
      <c r="Q13" s="172">
        <v>4.97</v>
      </c>
      <c r="R13" s="172">
        <v>4.8099999999999996</v>
      </c>
      <c r="S13"/>
    </row>
    <row r="14" spans="1:19" x14ac:dyDescent="0.25">
      <c r="A14" s="172">
        <v>82.23</v>
      </c>
      <c r="B14" s="172">
        <v>0</v>
      </c>
      <c r="C14" s="172">
        <v>46.91</v>
      </c>
      <c r="D14" s="8">
        <v>42912.5</v>
      </c>
      <c r="E14" s="172">
        <v>0.28999999999999998</v>
      </c>
      <c r="F14" s="172" t="s">
        <v>450</v>
      </c>
      <c r="G14" s="172">
        <v>292.98</v>
      </c>
      <c r="H14" s="172">
        <v>0</v>
      </c>
      <c r="I14" s="172">
        <v>0</v>
      </c>
      <c r="J14" s="172">
        <v>1014.67</v>
      </c>
      <c r="K14" s="172" t="s">
        <v>449</v>
      </c>
      <c r="L14" s="172">
        <v>82.23</v>
      </c>
      <c r="M14" s="172">
        <v>1498500000</v>
      </c>
      <c r="N14" s="172">
        <v>12</v>
      </c>
      <c r="O14" s="172">
        <v>10</v>
      </c>
      <c r="P14" s="172">
        <v>72</v>
      </c>
      <c r="Q14" s="172">
        <v>4.84</v>
      </c>
      <c r="R14" s="172">
        <v>4.84</v>
      </c>
      <c r="S14"/>
    </row>
    <row r="15" spans="1:19" x14ac:dyDescent="0.25">
      <c r="A15" s="172">
        <v>85.14</v>
      </c>
      <c r="B15" s="172">
        <v>0</v>
      </c>
      <c r="C15" s="172">
        <v>43.23</v>
      </c>
      <c r="D15" s="8">
        <v>42912.541666666664</v>
      </c>
      <c r="E15" s="172">
        <v>0.23</v>
      </c>
      <c r="F15" s="172" t="s">
        <v>450</v>
      </c>
      <c r="G15" s="172">
        <v>292.42</v>
      </c>
      <c r="H15" s="172">
        <v>0</v>
      </c>
      <c r="I15" s="172">
        <v>0</v>
      </c>
      <c r="J15" s="172">
        <v>1013.62</v>
      </c>
      <c r="K15" s="172" t="s">
        <v>449</v>
      </c>
      <c r="L15" s="172">
        <v>85.14</v>
      </c>
      <c r="M15" s="172">
        <v>1498503600</v>
      </c>
      <c r="N15" s="172">
        <v>13</v>
      </c>
      <c r="O15" s="172">
        <v>10</v>
      </c>
      <c r="P15" s="172">
        <v>78</v>
      </c>
      <c r="Q15" s="172">
        <v>6.82</v>
      </c>
      <c r="R15" s="172">
        <v>5.35</v>
      </c>
      <c r="S15"/>
    </row>
    <row r="16" spans="1:19" x14ac:dyDescent="0.25">
      <c r="A16" s="172">
        <v>87.3</v>
      </c>
      <c r="B16" s="172">
        <v>0</v>
      </c>
      <c r="C16" s="172">
        <v>40.22</v>
      </c>
      <c r="D16" s="8">
        <v>42912.583333333336</v>
      </c>
      <c r="E16" s="172">
        <v>0.19</v>
      </c>
      <c r="F16" s="172" t="s">
        <v>450</v>
      </c>
      <c r="G16" s="172">
        <v>292.08</v>
      </c>
      <c r="H16" s="172">
        <v>0</v>
      </c>
      <c r="I16" s="172">
        <v>0</v>
      </c>
      <c r="J16" s="172">
        <v>1012.54</v>
      </c>
      <c r="K16" s="172" t="s">
        <v>449</v>
      </c>
      <c r="L16" s="172">
        <v>87.3</v>
      </c>
      <c r="M16" s="172">
        <v>1498507200</v>
      </c>
      <c r="N16" s="172">
        <v>12</v>
      </c>
      <c r="O16" s="172">
        <v>10</v>
      </c>
      <c r="P16" s="172">
        <v>71</v>
      </c>
      <c r="Q16" s="172">
        <v>8.1199999999999992</v>
      </c>
      <c r="R16" s="172">
        <v>6.14</v>
      </c>
      <c r="S16"/>
    </row>
    <row r="17" spans="1:19" x14ac:dyDescent="0.25">
      <c r="A17" s="172">
        <v>89.52</v>
      </c>
      <c r="B17" s="172">
        <v>0</v>
      </c>
      <c r="C17" s="172">
        <v>38.770000000000003</v>
      </c>
      <c r="D17" s="8">
        <v>42912.625</v>
      </c>
      <c r="E17" s="172">
        <v>0.17</v>
      </c>
      <c r="F17" s="172" t="s">
        <v>450</v>
      </c>
      <c r="G17" s="172">
        <v>291.74</v>
      </c>
      <c r="H17" s="172">
        <v>0</v>
      </c>
      <c r="I17" s="172">
        <v>0</v>
      </c>
      <c r="J17" s="172">
        <v>1011.72</v>
      </c>
      <c r="K17" s="172" t="s">
        <v>449</v>
      </c>
      <c r="L17" s="172">
        <v>89.52</v>
      </c>
      <c r="M17" s="172">
        <v>1498510800</v>
      </c>
      <c r="N17" s="172">
        <v>9</v>
      </c>
      <c r="O17" s="172">
        <v>10</v>
      </c>
      <c r="P17" s="172">
        <v>62</v>
      </c>
      <c r="Q17" s="172">
        <v>9.39</v>
      </c>
      <c r="R17" s="172">
        <v>6.86</v>
      </c>
      <c r="S17"/>
    </row>
    <row r="18" spans="1:19" x14ac:dyDescent="0.25">
      <c r="A18" s="172">
        <v>90.62</v>
      </c>
      <c r="B18" s="172">
        <v>0.08</v>
      </c>
      <c r="C18" s="172">
        <v>38.11</v>
      </c>
      <c r="D18" s="8">
        <v>42912.666666666664</v>
      </c>
      <c r="E18" s="172">
        <v>0.16</v>
      </c>
      <c r="F18" s="172" t="s">
        <v>450</v>
      </c>
      <c r="G18" s="172">
        <v>291.06</v>
      </c>
      <c r="H18" s="172">
        <v>0</v>
      </c>
      <c r="I18" s="172">
        <v>0</v>
      </c>
      <c r="J18" s="172">
        <v>1010.85</v>
      </c>
      <c r="K18" s="172" t="s">
        <v>449</v>
      </c>
      <c r="L18" s="172">
        <v>90.62</v>
      </c>
      <c r="M18" s="172">
        <v>1498514400</v>
      </c>
      <c r="N18" s="172">
        <v>6</v>
      </c>
      <c r="O18" s="172">
        <v>10</v>
      </c>
      <c r="P18" s="172">
        <v>66</v>
      </c>
      <c r="Q18" s="172">
        <v>10.02</v>
      </c>
      <c r="R18" s="172">
        <v>6.69</v>
      </c>
      <c r="S18"/>
    </row>
    <row r="19" spans="1:19" x14ac:dyDescent="0.25">
      <c r="A19" s="172">
        <v>90.54</v>
      </c>
      <c r="B19" s="172">
        <v>0.21</v>
      </c>
      <c r="C19" s="172">
        <v>37.31</v>
      </c>
      <c r="D19" s="8">
        <v>42912.708333333336</v>
      </c>
      <c r="E19" s="172">
        <v>0.15</v>
      </c>
      <c r="F19" s="172" t="s">
        <v>450</v>
      </c>
      <c r="G19" s="172">
        <v>290.49</v>
      </c>
      <c r="H19" s="172">
        <v>0</v>
      </c>
      <c r="I19" s="172">
        <v>0</v>
      </c>
      <c r="J19" s="172">
        <v>1010.2</v>
      </c>
      <c r="K19" s="172" t="s">
        <v>449</v>
      </c>
      <c r="L19" s="172">
        <v>90.54</v>
      </c>
      <c r="M19" s="172">
        <v>1498518000</v>
      </c>
      <c r="N19" s="172">
        <v>3</v>
      </c>
      <c r="O19" s="172">
        <v>10</v>
      </c>
      <c r="P19" s="172">
        <v>66</v>
      </c>
      <c r="Q19" s="172">
        <v>9.5500000000000007</v>
      </c>
      <c r="R19" s="172">
        <v>6.71</v>
      </c>
      <c r="S19"/>
    </row>
    <row r="20" spans="1:19" x14ac:dyDescent="0.25">
      <c r="A20" s="172">
        <v>88.72</v>
      </c>
      <c r="B20" s="172">
        <v>0.24</v>
      </c>
      <c r="C20" s="172">
        <v>38.68</v>
      </c>
      <c r="D20" s="8">
        <v>42912.75</v>
      </c>
      <c r="E20" s="172">
        <v>0.17</v>
      </c>
      <c r="F20" s="172" t="s">
        <v>450</v>
      </c>
      <c r="G20" s="172">
        <v>288.10000000000002</v>
      </c>
      <c r="H20" s="172">
        <v>0</v>
      </c>
      <c r="I20" s="172">
        <v>0</v>
      </c>
      <c r="J20" s="172">
        <v>1009.91</v>
      </c>
      <c r="K20" s="172" t="s">
        <v>449</v>
      </c>
      <c r="L20" s="172">
        <v>88.72</v>
      </c>
      <c r="M20" s="172">
        <v>1498521600</v>
      </c>
      <c r="N20" s="172">
        <v>1</v>
      </c>
      <c r="O20" s="172">
        <v>10</v>
      </c>
      <c r="P20" s="172">
        <v>66</v>
      </c>
      <c r="Q20" s="172">
        <v>9.1300000000000008</v>
      </c>
      <c r="R20" s="172">
        <v>6.91</v>
      </c>
      <c r="S20"/>
    </row>
    <row r="21" spans="1:19" x14ac:dyDescent="0.25">
      <c r="A21" s="172">
        <v>86.07</v>
      </c>
      <c r="B21" s="172">
        <v>0.25</v>
      </c>
      <c r="C21" s="172">
        <v>39.36</v>
      </c>
      <c r="D21" s="8">
        <v>42912.791666666664</v>
      </c>
      <c r="E21" s="172">
        <v>0.19</v>
      </c>
      <c r="F21" s="172" t="s">
        <v>476</v>
      </c>
      <c r="G21" s="172">
        <v>287.64</v>
      </c>
      <c r="H21" s="172">
        <v>0</v>
      </c>
      <c r="I21" s="172">
        <v>0</v>
      </c>
      <c r="J21" s="172">
        <v>1010.18</v>
      </c>
      <c r="K21" s="172" t="s">
        <v>477</v>
      </c>
      <c r="L21" s="172">
        <v>86.07</v>
      </c>
      <c r="M21" s="172">
        <v>1498525200</v>
      </c>
      <c r="N21" s="172">
        <v>1</v>
      </c>
      <c r="O21" s="172">
        <v>10</v>
      </c>
      <c r="P21" s="172">
        <v>68</v>
      </c>
      <c r="Q21" s="172">
        <v>9.3800000000000008</v>
      </c>
      <c r="R21" s="172">
        <v>7.08</v>
      </c>
      <c r="S21"/>
    </row>
    <row r="22" spans="1:19" x14ac:dyDescent="0.25">
      <c r="A22" s="172">
        <v>82.52</v>
      </c>
      <c r="B22" s="172">
        <v>0.19</v>
      </c>
      <c r="C22" s="172">
        <v>39.82</v>
      </c>
      <c r="D22" s="8">
        <v>42912.833333333336</v>
      </c>
      <c r="E22" s="172">
        <v>0.22</v>
      </c>
      <c r="F22" s="172" t="s">
        <v>450</v>
      </c>
      <c r="G22" s="172">
        <v>287.64</v>
      </c>
      <c r="H22" s="172">
        <v>0</v>
      </c>
      <c r="I22" s="172">
        <v>0</v>
      </c>
      <c r="J22" s="172">
        <v>1010.62</v>
      </c>
      <c r="K22" s="172" t="s">
        <v>449</v>
      </c>
      <c r="L22" s="172">
        <v>82.52</v>
      </c>
      <c r="M22" s="172">
        <v>1498528800</v>
      </c>
      <c r="N22" s="172">
        <v>0</v>
      </c>
      <c r="O22" s="172">
        <v>10</v>
      </c>
      <c r="P22" s="172">
        <v>71</v>
      </c>
      <c r="Q22" s="172">
        <v>9.2100000000000009</v>
      </c>
      <c r="R22" s="172">
        <v>6.71</v>
      </c>
      <c r="S22"/>
    </row>
    <row r="23" spans="1:19" x14ac:dyDescent="0.25">
      <c r="A23" s="172">
        <v>78.25</v>
      </c>
      <c r="B23" s="172">
        <v>0.16</v>
      </c>
      <c r="C23" s="172">
        <v>39.92</v>
      </c>
      <c r="D23" s="8">
        <v>42912.875</v>
      </c>
      <c r="E23" s="172">
        <v>0.25</v>
      </c>
      <c r="F23" s="172" t="s">
        <v>448</v>
      </c>
      <c r="G23" s="172">
        <v>287.75</v>
      </c>
      <c r="H23" s="172">
        <v>0</v>
      </c>
      <c r="I23" s="172">
        <v>0</v>
      </c>
      <c r="J23" s="172">
        <v>1011.21</v>
      </c>
      <c r="K23" s="172" t="s">
        <v>449</v>
      </c>
      <c r="L23" s="172">
        <v>78.25</v>
      </c>
      <c r="M23" s="172">
        <v>1498532400</v>
      </c>
      <c r="N23" s="172">
        <v>0</v>
      </c>
      <c r="O23" s="172">
        <v>10</v>
      </c>
      <c r="P23" s="172">
        <v>96</v>
      </c>
      <c r="Q23" s="172">
        <v>8.11</v>
      </c>
      <c r="R23" s="172">
        <v>5.55</v>
      </c>
      <c r="S23"/>
    </row>
    <row r="24" spans="1:19" x14ac:dyDescent="0.25">
      <c r="A24" s="172">
        <v>75.349999999999994</v>
      </c>
      <c r="B24" s="172">
        <v>0.12</v>
      </c>
      <c r="C24" s="172">
        <v>42.84</v>
      </c>
      <c r="D24" s="8">
        <v>42912.916666666664</v>
      </c>
      <c r="E24" s="172">
        <v>0.31</v>
      </c>
      <c r="F24" s="172" t="s">
        <v>448</v>
      </c>
      <c r="G24" s="172">
        <v>288.20999999999998</v>
      </c>
      <c r="H24" s="172">
        <v>0</v>
      </c>
      <c r="I24" s="172">
        <v>0</v>
      </c>
      <c r="J24" s="172">
        <v>1011.66</v>
      </c>
      <c r="K24" s="172" t="s">
        <v>449</v>
      </c>
      <c r="L24" s="172">
        <v>75.349999999999994</v>
      </c>
      <c r="M24" s="172">
        <v>1498536000</v>
      </c>
      <c r="N24" s="172">
        <v>0</v>
      </c>
      <c r="O24" s="172">
        <v>10</v>
      </c>
      <c r="P24" s="172">
        <v>127</v>
      </c>
      <c r="Q24" s="172">
        <v>10.119999999999999</v>
      </c>
      <c r="R24" s="172">
        <v>6.17</v>
      </c>
      <c r="S24"/>
    </row>
    <row r="25" spans="1:19" x14ac:dyDescent="0.25">
      <c r="A25" s="172">
        <v>73.56</v>
      </c>
      <c r="B25" s="172">
        <v>7.0000000000000007E-2</v>
      </c>
      <c r="C25" s="172">
        <v>44.19</v>
      </c>
      <c r="D25" s="8">
        <v>42912.958333333336</v>
      </c>
      <c r="E25" s="172">
        <v>0.35</v>
      </c>
      <c r="F25" s="172" t="s">
        <v>448</v>
      </c>
      <c r="G25" s="172">
        <v>288.89999999999998</v>
      </c>
      <c r="H25" s="172">
        <v>0</v>
      </c>
      <c r="I25" s="172">
        <v>0</v>
      </c>
      <c r="J25" s="172">
        <v>1011.93</v>
      </c>
      <c r="K25" s="172" t="s">
        <v>449</v>
      </c>
      <c r="L25" s="172">
        <v>73.56</v>
      </c>
      <c r="M25" s="172">
        <v>1498539600</v>
      </c>
      <c r="N25" s="172">
        <v>0</v>
      </c>
      <c r="O25" s="172">
        <v>10</v>
      </c>
      <c r="P25" s="172">
        <v>150</v>
      </c>
      <c r="Q25" s="172">
        <v>7.8</v>
      </c>
      <c r="R25" s="172">
        <v>5.83</v>
      </c>
      <c r="S25"/>
    </row>
    <row r="26" spans="1:19" x14ac:dyDescent="0.25">
      <c r="A26" s="172">
        <v>71.849999999999994</v>
      </c>
      <c r="B26" s="172">
        <v>0.03</v>
      </c>
      <c r="C26" s="172">
        <v>45.15</v>
      </c>
      <c r="D26" s="8">
        <v>42913</v>
      </c>
      <c r="E26" s="172">
        <v>0.38</v>
      </c>
      <c r="F26" s="172" t="s">
        <v>448</v>
      </c>
      <c r="G26" s="172">
        <v>289.47000000000003</v>
      </c>
      <c r="H26" s="172">
        <v>0</v>
      </c>
      <c r="I26" s="172">
        <v>0</v>
      </c>
      <c r="J26" s="172">
        <v>1011.85</v>
      </c>
      <c r="K26" s="172" t="s">
        <v>449</v>
      </c>
      <c r="L26" s="172">
        <v>71.849999999999994</v>
      </c>
      <c r="M26" s="172">
        <v>1498543200</v>
      </c>
      <c r="N26" s="172">
        <v>0</v>
      </c>
      <c r="O26" s="172">
        <v>10</v>
      </c>
      <c r="P26" s="172">
        <v>178</v>
      </c>
      <c r="Q26" s="172">
        <v>12.03</v>
      </c>
      <c r="R26" s="172">
        <v>7.22</v>
      </c>
      <c r="S26"/>
    </row>
    <row r="27" spans="1:19" x14ac:dyDescent="0.25">
      <c r="A27" s="172">
        <v>70.709999999999994</v>
      </c>
      <c r="B27" s="172">
        <v>0.02</v>
      </c>
      <c r="C27" s="172">
        <v>45.9</v>
      </c>
      <c r="D27" s="8">
        <v>42913.041666666664</v>
      </c>
      <c r="E27" s="172">
        <v>0.41</v>
      </c>
      <c r="F27" s="172" t="s">
        <v>448</v>
      </c>
      <c r="G27" s="172">
        <v>290.05</v>
      </c>
      <c r="H27" s="172">
        <v>0</v>
      </c>
      <c r="I27" s="172">
        <v>0</v>
      </c>
      <c r="J27" s="172">
        <v>1011.47</v>
      </c>
      <c r="K27" s="172" t="s">
        <v>449</v>
      </c>
      <c r="L27" s="172">
        <v>70.709999999999994</v>
      </c>
      <c r="M27" s="172">
        <v>1498546800</v>
      </c>
      <c r="N27" s="172">
        <v>0</v>
      </c>
      <c r="O27" s="172">
        <v>10</v>
      </c>
      <c r="P27" s="172">
        <v>189</v>
      </c>
      <c r="Q27" s="172">
        <v>11.43</v>
      </c>
      <c r="R27" s="172">
        <v>7.08</v>
      </c>
      <c r="S27"/>
    </row>
    <row r="28" spans="1:19" x14ac:dyDescent="0.25">
      <c r="A28" s="172">
        <v>70.010000000000005</v>
      </c>
      <c r="B28" s="172">
        <v>0.01</v>
      </c>
      <c r="C28" s="172">
        <v>46.19</v>
      </c>
      <c r="D28" s="8">
        <v>42913.083333333336</v>
      </c>
      <c r="E28" s="172">
        <v>0.43</v>
      </c>
      <c r="F28" s="172" t="s">
        <v>448</v>
      </c>
      <c r="G28" s="172">
        <v>290.73</v>
      </c>
      <c r="H28" s="172">
        <v>0</v>
      </c>
      <c r="I28" s="172">
        <v>0</v>
      </c>
      <c r="J28" s="172">
        <v>1010.85</v>
      </c>
      <c r="K28" s="172" t="s">
        <v>449</v>
      </c>
      <c r="L28" s="172">
        <v>70.010000000000005</v>
      </c>
      <c r="M28" s="172">
        <v>1498550400</v>
      </c>
      <c r="N28" s="172">
        <v>0</v>
      </c>
      <c r="O28" s="172">
        <v>10</v>
      </c>
      <c r="P28" s="172">
        <v>194</v>
      </c>
      <c r="Q28" s="172">
        <v>10.28</v>
      </c>
      <c r="R28" s="172">
        <v>7.59</v>
      </c>
      <c r="S28"/>
    </row>
    <row r="29" spans="1:19" x14ac:dyDescent="0.25">
      <c r="A29" s="172">
        <v>69.75</v>
      </c>
      <c r="B29" s="172">
        <v>0</v>
      </c>
      <c r="C29" s="172">
        <v>45.73</v>
      </c>
      <c r="D29" s="8">
        <v>42913.125</v>
      </c>
      <c r="E29" s="172">
        <v>0.42</v>
      </c>
      <c r="F29" s="172" t="s">
        <v>448</v>
      </c>
      <c r="G29" s="172">
        <v>291.18</v>
      </c>
      <c r="H29" s="172">
        <v>0</v>
      </c>
      <c r="I29" s="172">
        <v>0</v>
      </c>
      <c r="J29" s="172">
        <v>1010.22</v>
      </c>
      <c r="K29" s="172" t="s">
        <v>449</v>
      </c>
      <c r="L29" s="172">
        <v>69.75</v>
      </c>
      <c r="M29" s="172">
        <v>1498554000</v>
      </c>
      <c r="N29" s="172">
        <v>0</v>
      </c>
      <c r="O29" s="172">
        <v>10</v>
      </c>
      <c r="P29" s="172">
        <v>205</v>
      </c>
      <c r="Q29" s="172">
        <v>7.75</v>
      </c>
      <c r="R29" s="172">
        <v>6.54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469</v>
      </c>
      <c r="AE2" s="56" t="s">
        <v>472</v>
      </c>
      <c r="AF2" s="56" t="s">
        <v>473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470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471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474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1046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1047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1048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1050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1052</v>
      </c>
      <c r="J25" s="140" t="s">
        <v>146</v>
      </c>
      <c r="M25" s="154" t="b">
        <v>1</v>
      </c>
    </row>
    <row r="26" spans="3:24" x14ac:dyDescent="0.25">
      <c r="C26" t="s">
        <v>1053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C:\Users\stu\Documents\GitHub\eaglep3-reporting\EC\2017-06-26-refined-times.txt</v>
      </c>
    </row>
    <row r="27" spans="3:24" x14ac:dyDescent="0.25">
      <c r="C27" t="s">
        <v>1054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C:\Users\stu\Documents\GitHub\eaglep3-reporting\EC\2017-06-26-Enforcements.txt</v>
      </c>
    </row>
    <row r="28" spans="3:24" x14ac:dyDescent="0.25">
      <c r="C28" t="s">
        <v>1055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C:\Users\stu\Documents\GitHub\eaglep3-reporting\EC\2017-06-26-Runs-refined.txt</v>
      </c>
    </row>
    <row r="29" spans="3:24" x14ac:dyDescent="0.25">
      <c r="C29" t="s">
        <v>1056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C:\Users\stu\Documents\GitHub\eaglep3-reporting\EC\2017-06-26-Trips.txt</v>
      </c>
    </row>
    <row r="30" spans="3:24" x14ac:dyDescent="0.25">
      <c r="C30" t="s">
        <v>1057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C:\Users\stu\Documents\GitHub\eaglep3-reporting\EC\2017-06-26-Weather.txt</v>
      </c>
    </row>
    <row r="31" spans="3:24" x14ac:dyDescent="0.25">
      <c r="C31" t="s">
        <v>1058</v>
      </c>
      <c r="J31" s="140" t="s">
        <v>196</v>
      </c>
      <c r="M31" s="154" t="s">
        <v>197</v>
      </c>
    </row>
    <row r="32" spans="3:24" x14ac:dyDescent="0.25">
      <c r="C32" t="s">
        <v>1059</v>
      </c>
    </row>
    <row r="33" spans="3:3" x14ac:dyDescent="0.25">
      <c r="C33" t="s">
        <v>1060</v>
      </c>
    </row>
    <row r="34" spans="3:3" x14ac:dyDescent="0.25">
      <c r="C34" t="s">
        <v>1061</v>
      </c>
    </row>
    <row r="35" spans="3:3" x14ac:dyDescent="0.25">
      <c r="C35" t="s">
        <v>1062</v>
      </c>
    </row>
    <row r="36" spans="3:3" x14ac:dyDescent="0.25">
      <c r="C36" t="s">
        <v>1063</v>
      </c>
    </row>
    <row r="37" spans="3:3" x14ac:dyDescent="0.25">
      <c r="C37" t="s">
        <v>1064</v>
      </c>
    </row>
    <row r="38" spans="3:3" x14ac:dyDescent="0.25">
      <c r="C38" t="s">
        <v>1065</v>
      </c>
    </row>
    <row r="39" spans="3:3" x14ac:dyDescent="0.25">
      <c r="C39" t="s">
        <v>1066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2017-06-27T20:41:40Z</dcterms:modified>
</cp:coreProperties>
</file>