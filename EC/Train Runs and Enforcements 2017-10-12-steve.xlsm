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1" i="1" l="1"/>
  <c r="K150" i="1"/>
  <c r="L150" i="1"/>
  <c r="M150" i="1"/>
  <c r="N150" i="1" s="1"/>
  <c r="T150" i="1"/>
  <c r="V150" i="1"/>
  <c r="X150" i="1"/>
  <c r="AA150" i="1"/>
  <c r="AB150" i="1"/>
  <c r="AC150" i="1"/>
  <c r="AD150" i="1"/>
  <c r="AE150" i="1"/>
  <c r="AF150" i="1"/>
  <c r="AH150" i="1"/>
  <c r="AM150" i="1"/>
  <c r="AN150" i="1"/>
  <c r="AO150" i="1"/>
  <c r="X135" i="1"/>
  <c r="K134" i="1"/>
  <c r="L134" i="1"/>
  <c r="M134" i="1"/>
  <c r="N134" i="1" s="1"/>
  <c r="T134" i="1"/>
  <c r="V134" i="1"/>
  <c r="X134" i="1"/>
  <c r="AA134" i="1"/>
  <c r="AB134" i="1"/>
  <c r="AC134" i="1"/>
  <c r="AD134" i="1"/>
  <c r="AE134" i="1"/>
  <c r="AF134" i="1"/>
  <c r="AH134" i="1"/>
  <c r="AM134" i="1"/>
  <c r="AN134" i="1"/>
  <c r="AO134" i="1"/>
  <c r="X189" i="1"/>
  <c r="K188" i="1"/>
  <c r="L188" i="1"/>
  <c r="M188" i="1"/>
  <c r="N188" i="1" s="1"/>
  <c r="V188" i="1"/>
  <c r="AA188" i="1"/>
  <c r="AB188" i="1"/>
  <c r="AC188" i="1"/>
  <c r="AD188" i="1"/>
  <c r="X188" i="1" s="1"/>
  <c r="AE188" i="1"/>
  <c r="AF188" i="1"/>
  <c r="AH188" i="1"/>
  <c r="AM188" i="1"/>
  <c r="AN188" i="1"/>
  <c r="AO188" i="1"/>
  <c r="X182" i="1"/>
  <c r="K181" i="1"/>
  <c r="L181" i="1"/>
  <c r="M181" i="1"/>
  <c r="N181" i="1" s="1"/>
  <c r="T181" i="1"/>
  <c r="V181" i="1"/>
  <c r="AA181" i="1"/>
  <c r="AB181" i="1"/>
  <c r="AC181" i="1"/>
  <c r="AD181" i="1"/>
  <c r="X181" i="1" s="1"/>
  <c r="AE181" i="1"/>
  <c r="R28" i="3" s="1"/>
  <c r="AF181" i="1"/>
  <c r="AH181" i="1"/>
  <c r="AM181" i="1"/>
  <c r="AN181" i="1"/>
  <c r="AO18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AA39" i="1" s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/>
  <c r="V47" i="1"/>
  <c r="Y47" i="1"/>
  <c r="Z47" i="1"/>
  <c r="AA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/>
  <c r="V51" i="1"/>
  <c r="Y51" i="1"/>
  <c r="Z51" i="1"/>
  <c r="AA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A67" i="1" s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AA69" i="1" s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/>
  <c r="V89" i="1"/>
  <c r="Y89" i="1"/>
  <c r="AA89" i="1" s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/>
  <c r="V95" i="1"/>
  <c r="Y95" i="1"/>
  <c r="Z95" i="1"/>
  <c r="AA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X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X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N99" i="1" s="1"/>
  <c r="V99" i="1"/>
  <c r="Y99" i="1"/>
  <c r="AA99" i="1" s="1"/>
  <c r="Z99" i="1"/>
  <c r="AB99" i="1"/>
  <c r="AC99" i="1"/>
  <c r="AD99" i="1"/>
  <c r="X99" i="1" s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T104" i="1"/>
  <c r="V104" i="1"/>
  <c r="X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AM113" i="1"/>
  <c r="AN113" i="1"/>
  <c r="AO113" i="1"/>
  <c r="K114" i="1"/>
  <c r="L114" i="1"/>
  <c r="M114" i="1"/>
  <c r="N114" i="1" s="1"/>
  <c r="T114" i="1"/>
  <c r="V114" i="1"/>
  <c r="X114" i="1"/>
  <c r="Y114" i="1"/>
  <c r="Z114" i="1"/>
  <c r="AA114" i="1" s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AO119" i="1"/>
  <c r="K120" i="1"/>
  <c r="L120" i="1"/>
  <c r="M120" i="1"/>
  <c r="N120" i="1" s="1"/>
  <c r="T120" i="1"/>
  <c r="V120" i="1"/>
  <c r="X120" i="1"/>
  <c r="Y120" i="1"/>
  <c r="Z120" i="1"/>
  <c r="AA120" i="1" s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AO129" i="1"/>
  <c r="K130" i="1"/>
  <c r="L130" i="1"/>
  <c r="M130" i="1"/>
  <c r="N130" i="1"/>
  <c r="V130" i="1"/>
  <c r="Y130" i="1"/>
  <c r="Z130" i="1"/>
  <c r="AA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36" i="1"/>
  <c r="AM136" i="1"/>
  <c r="AN136" i="1"/>
  <c r="AO136" i="1"/>
  <c r="K137" i="1"/>
  <c r="L137" i="1"/>
  <c r="M137" i="1"/>
  <c r="N137" i="1" s="1"/>
  <c r="T137" i="1"/>
  <c r="V137" i="1"/>
  <c r="X137" i="1"/>
  <c r="Y137" i="1"/>
  <c r="Z137" i="1"/>
  <c r="AA137" i="1" s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A139" i="1" s="1"/>
  <c r="AB139" i="1"/>
  <c r="AC139" i="1"/>
  <c r="AD139" i="1"/>
  <c r="X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2" i="1"/>
  <c r="AM152" i="1"/>
  <c r="AN152" i="1"/>
  <c r="AO152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153" i="1"/>
  <c r="AM153" i="1"/>
  <c r="AN153" i="1"/>
  <c r="AO153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154" i="1"/>
  <c r="AM154" i="1"/>
  <c r="AN154" i="1"/>
  <c r="AO154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55" i="1"/>
  <c r="AM155" i="1"/>
  <c r="AN155" i="1"/>
  <c r="AO155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56" i="1"/>
  <c r="AM156" i="1"/>
  <c r="AN156" i="1"/>
  <c r="AO156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57" i="1"/>
  <c r="AM157" i="1"/>
  <c r="AN157" i="1"/>
  <c r="AO157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158" i="1"/>
  <c r="AM158" i="1"/>
  <c r="AN158" i="1"/>
  <c r="AO158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59" i="1"/>
  <c r="AM159" i="1"/>
  <c r="AN159" i="1"/>
  <c r="AO159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0" i="1"/>
  <c r="AM160" i="1"/>
  <c r="AN160" i="1"/>
  <c r="AO160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1" i="1"/>
  <c r="AM161" i="1"/>
  <c r="AN161" i="1"/>
  <c r="AO161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62" i="1"/>
  <c r="AM162" i="1"/>
  <c r="AN162" i="1"/>
  <c r="AO162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3" i="1"/>
  <c r="AM163" i="1"/>
  <c r="AN163" i="1"/>
  <c r="AO163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64" i="1"/>
  <c r="AM164" i="1"/>
  <c r="AN164" i="1"/>
  <c r="AO164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65" i="1"/>
  <c r="AM165" i="1"/>
  <c r="AN165" i="1"/>
  <c r="AO165" i="1"/>
  <c r="K224" i="1"/>
  <c r="L224" i="1"/>
  <c r="M224" i="1"/>
  <c r="N224" i="1" s="1"/>
  <c r="V224" i="1"/>
  <c r="Y224" i="1"/>
  <c r="Z224" i="1"/>
  <c r="AB224" i="1"/>
  <c r="AC224" i="1"/>
  <c r="AD224" i="1"/>
  <c r="X224" i="1" s="1"/>
  <c r="AE224" i="1"/>
  <c r="AF224" i="1"/>
  <c r="AH166" i="1"/>
  <c r="AM166" i="1"/>
  <c r="AN166" i="1"/>
  <c r="AO166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67" i="1"/>
  <c r="AM167" i="1"/>
  <c r="AN167" i="1"/>
  <c r="AO167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68" i="1"/>
  <c r="AM168" i="1"/>
  <c r="AN168" i="1"/>
  <c r="AO168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69" i="1"/>
  <c r="AM169" i="1"/>
  <c r="AN169" i="1"/>
  <c r="AO169" i="1"/>
  <c r="K228" i="1"/>
  <c r="L228" i="1"/>
  <c r="M228" i="1"/>
  <c r="N228" i="1" s="1"/>
  <c r="V228" i="1"/>
  <c r="Y228" i="1"/>
  <c r="Z228" i="1"/>
  <c r="AB228" i="1"/>
  <c r="AC228" i="1"/>
  <c r="AD228" i="1"/>
  <c r="X228" i="1" s="1"/>
  <c r="AE228" i="1"/>
  <c r="AF228" i="1"/>
  <c r="AH170" i="1"/>
  <c r="AM170" i="1"/>
  <c r="AN170" i="1"/>
  <c r="AO170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1" i="1"/>
  <c r="AM171" i="1"/>
  <c r="AN171" i="1"/>
  <c r="AO171" i="1"/>
  <c r="K230" i="1"/>
  <c r="L230" i="1"/>
  <c r="M230" i="1"/>
  <c r="N230" i="1" s="1"/>
  <c r="V230" i="1"/>
  <c r="Y230" i="1"/>
  <c r="AA230" i="1" s="1"/>
  <c r="Z230" i="1"/>
  <c r="AB230" i="1"/>
  <c r="AC230" i="1"/>
  <c r="AD230" i="1"/>
  <c r="T230" i="1" s="1"/>
  <c r="AE230" i="1"/>
  <c r="AF230" i="1"/>
  <c r="AH172" i="1"/>
  <c r="AM172" i="1"/>
  <c r="AN172" i="1"/>
  <c r="AO172" i="1"/>
  <c r="K231" i="1"/>
  <c r="L231" i="1"/>
  <c r="M231" i="1"/>
  <c r="N231" i="1" s="1"/>
  <c r="V231" i="1"/>
  <c r="Y231" i="1"/>
  <c r="AA231" i="1" s="1"/>
  <c r="Z231" i="1"/>
  <c r="AB231" i="1"/>
  <c r="AC231" i="1"/>
  <c r="AD231" i="1"/>
  <c r="T231" i="1" s="1"/>
  <c r="AE231" i="1"/>
  <c r="AF231" i="1"/>
  <c r="AH173" i="1"/>
  <c r="AM173" i="1"/>
  <c r="AN173" i="1"/>
  <c r="AO173" i="1"/>
  <c r="K232" i="1"/>
  <c r="L232" i="1"/>
  <c r="M232" i="1"/>
  <c r="N232" i="1" s="1"/>
  <c r="T232" i="1"/>
  <c r="V232" i="1"/>
  <c r="X232" i="1"/>
  <c r="Y232" i="1"/>
  <c r="Z232" i="1"/>
  <c r="AB232" i="1"/>
  <c r="AC232" i="1"/>
  <c r="AD232" i="1"/>
  <c r="AE232" i="1"/>
  <c r="AF232" i="1"/>
  <c r="AH174" i="1"/>
  <c r="AM174" i="1"/>
  <c r="AN174" i="1"/>
  <c r="AO174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75" i="1"/>
  <c r="AM175" i="1"/>
  <c r="AN175" i="1"/>
  <c r="AO175" i="1"/>
  <c r="K153" i="1"/>
  <c r="L153" i="1"/>
  <c r="M153" i="1"/>
  <c r="N153" i="1" s="1"/>
  <c r="V153" i="1"/>
  <c r="Y153" i="1"/>
  <c r="AA153" i="1" s="1"/>
  <c r="Z153" i="1"/>
  <c r="AB153" i="1"/>
  <c r="AC153" i="1"/>
  <c r="AD153" i="1"/>
  <c r="X153" i="1" s="1"/>
  <c r="AE153" i="1"/>
  <c r="AF153" i="1"/>
  <c r="AH176" i="1"/>
  <c r="AM176" i="1"/>
  <c r="AN176" i="1"/>
  <c r="AO176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77" i="1"/>
  <c r="AM177" i="1"/>
  <c r="AN177" i="1"/>
  <c r="AO177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78" i="1"/>
  <c r="AM178" i="1"/>
  <c r="AN178" i="1"/>
  <c r="AO178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R25" i="3" s="1"/>
  <c r="AF156" i="1"/>
  <c r="AH179" i="1"/>
  <c r="AM179" i="1"/>
  <c r="AN179" i="1"/>
  <c r="AO179" i="1"/>
  <c r="K157" i="1"/>
  <c r="L157" i="1"/>
  <c r="M157" i="1"/>
  <c r="N157" i="1" s="1"/>
  <c r="V157" i="1"/>
  <c r="Y157" i="1"/>
  <c r="AA157" i="1" s="1"/>
  <c r="Z157" i="1"/>
  <c r="AB157" i="1"/>
  <c r="AC157" i="1"/>
  <c r="AD157" i="1"/>
  <c r="T157" i="1" s="1"/>
  <c r="AE157" i="1"/>
  <c r="AF157" i="1"/>
  <c r="AH180" i="1"/>
  <c r="AM180" i="1"/>
  <c r="AN180" i="1"/>
  <c r="AO180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2" i="1"/>
  <c r="AM182" i="1"/>
  <c r="AN182" i="1"/>
  <c r="AO182" i="1"/>
  <c r="K159" i="1"/>
  <c r="L159" i="1"/>
  <c r="M159" i="1"/>
  <c r="V159" i="1"/>
  <c r="Y159" i="1"/>
  <c r="Z159" i="1"/>
  <c r="AB159" i="1"/>
  <c r="AC159" i="1"/>
  <c r="AD159" i="1"/>
  <c r="T159" i="1" s="1"/>
  <c r="AE159" i="1"/>
  <c r="AF159" i="1"/>
  <c r="AH183" i="1"/>
  <c r="AM183" i="1"/>
  <c r="AN183" i="1"/>
  <c r="AO18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4" i="1"/>
  <c r="AM184" i="1"/>
  <c r="AN184" i="1"/>
  <c r="AO184" i="1"/>
  <c r="K161" i="1"/>
  <c r="L161" i="1"/>
  <c r="M161" i="1"/>
  <c r="N161" i="1" s="1"/>
  <c r="V161" i="1"/>
  <c r="Y161" i="1"/>
  <c r="AA161" i="1" s="1"/>
  <c r="Z161" i="1"/>
  <c r="AB161" i="1"/>
  <c r="AC161" i="1"/>
  <c r="AD161" i="1"/>
  <c r="T161" i="1" s="1"/>
  <c r="AE161" i="1"/>
  <c r="AF161" i="1"/>
  <c r="AH185" i="1"/>
  <c r="AM185" i="1"/>
  <c r="AN185" i="1"/>
  <c r="AO18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6" i="1"/>
  <c r="AM186" i="1"/>
  <c r="AN186" i="1"/>
  <c r="AO18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R24" i="3" s="1"/>
  <c r="AF163" i="1"/>
  <c r="AH187" i="1"/>
  <c r="AM187" i="1"/>
  <c r="AN187" i="1"/>
  <c r="AO187" i="1"/>
  <c r="K164" i="1"/>
  <c r="L164" i="1"/>
  <c r="M164" i="1"/>
  <c r="V164" i="1"/>
  <c r="Y164" i="1"/>
  <c r="Z164" i="1"/>
  <c r="AB164" i="1"/>
  <c r="AC164" i="1"/>
  <c r="AD164" i="1"/>
  <c r="T164" i="1" s="1"/>
  <c r="AE164" i="1"/>
  <c r="AF164" i="1"/>
  <c r="AH189" i="1"/>
  <c r="AM189" i="1"/>
  <c r="AN189" i="1"/>
  <c r="AO189" i="1"/>
  <c r="K165" i="1"/>
  <c r="L165" i="1"/>
  <c r="M165" i="1"/>
  <c r="N165" i="1" s="1"/>
  <c r="V165" i="1"/>
  <c r="Y165" i="1"/>
  <c r="AA165" i="1" s="1"/>
  <c r="Z165" i="1"/>
  <c r="AB165" i="1"/>
  <c r="AC165" i="1"/>
  <c r="AD165" i="1"/>
  <c r="T165" i="1" s="1"/>
  <c r="AE165" i="1"/>
  <c r="AF165" i="1"/>
  <c r="AH190" i="1"/>
  <c r="AM190" i="1"/>
  <c r="AN190" i="1"/>
  <c r="AO190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91" i="1"/>
  <c r="AM191" i="1"/>
  <c r="AN191" i="1"/>
  <c r="AO19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2" i="1"/>
  <c r="AM192" i="1"/>
  <c r="AN192" i="1"/>
  <c r="AO192" i="1"/>
  <c r="K168" i="1"/>
  <c r="L168" i="1"/>
  <c r="M168" i="1"/>
  <c r="N168" i="1"/>
  <c r="V168" i="1"/>
  <c r="Y168" i="1"/>
  <c r="Z168" i="1"/>
  <c r="AB168" i="1"/>
  <c r="AC168" i="1"/>
  <c r="AD168" i="1"/>
  <c r="AE168" i="1"/>
  <c r="AF168" i="1"/>
  <c r="AH193" i="1"/>
  <c r="AM193" i="1"/>
  <c r="AN193" i="1"/>
  <c r="AO1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4" i="1"/>
  <c r="AM194" i="1"/>
  <c r="AN194" i="1"/>
  <c r="AO19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5" i="1"/>
  <c r="AM195" i="1"/>
  <c r="AN195" i="1"/>
  <c r="AO19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6" i="1"/>
  <c r="AM196" i="1"/>
  <c r="AN196" i="1"/>
  <c r="AO19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7" i="1"/>
  <c r="AM197" i="1"/>
  <c r="AN197" i="1"/>
  <c r="AO19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8" i="1"/>
  <c r="AM198" i="1"/>
  <c r="AN198" i="1"/>
  <c r="AO19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9" i="1"/>
  <c r="AM199" i="1"/>
  <c r="AN199" i="1"/>
  <c r="AO199" i="1"/>
  <c r="K175" i="1"/>
  <c r="L175" i="1"/>
  <c r="M175" i="1"/>
  <c r="N175" i="1" s="1"/>
  <c r="V175" i="1"/>
  <c r="Y175" i="1"/>
  <c r="Z175" i="1"/>
  <c r="AA175" i="1"/>
  <c r="AB175" i="1"/>
  <c r="AC175" i="1"/>
  <c r="AD175" i="1"/>
  <c r="AE175" i="1"/>
  <c r="AF175" i="1"/>
  <c r="AH200" i="1"/>
  <c r="AM200" i="1"/>
  <c r="AN200" i="1"/>
  <c r="AO20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1" i="1"/>
  <c r="AM201" i="1"/>
  <c r="AN201" i="1"/>
  <c r="AO201" i="1"/>
  <c r="K177" i="1"/>
  <c r="L177" i="1"/>
  <c r="M177" i="1"/>
  <c r="N177" i="1" s="1"/>
  <c r="V177" i="1"/>
  <c r="S27" i="3" s="1"/>
  <c r="Y177" i="1"/>
  <c r="Z177" i="1"/>
  <c r="AA177" i="1" s="1"/>
  <c r="AB177" i="1"/>
  <c r="AC177" i="1"/>
  <c r="AD177" i="1"/>
  <c r="AE177" i="1"/>
  <c r="AF177" i="1"/>
  <c r="AH202" i="1"/>
  <c r="AM202" i="1"/>
  <c r="AN202" i="1"/>
  <c r="AO202" i="1"/>
  <c r="K178" i="1"/>
  <c r="L178" i="1"/>
  <c r="M178" i="1"/>
  <c r="V178" i="1"/>
  <c r="Y178" i="1"/>
  <c r="Z178" i="1"/>
  <c r="AB178" i="1"/>
  <c r="AC178" i="1"/>
  <c r="AD178" i="1"/>
  <c r="AE178" i="1"/>
  <c r="AF178" i="1"/>
  <c r="AH203" i="1"/>
  <c r="AM203" i="1"/>
  <c r="AN203" i="1"/>
  <c r="AO203" i="1"/>
  <c r="K179" i="1"/>
  <c r="L179" i="1"/>
  <c r="M179" i="1"/>
  <c r="N179" i="1" s="1"/>
  <c r="V179" i="1"/>
  <c r="Y179" i="1"/>
  <c r="AA179" i="1" s="1"/>
  <c r="Z179" i="1"/>
  <c r="AB179" i="1"/>
  <c r="AC179" i="1"/>
  <c r="AD179" i="1"/>
  <c r="AE179" i="1"/>
  <c r="AF179" i="1"/>
  <c r="AH204" i="1"/>
  <c r="AM204" i="1"/>
  <c r="AN204" i="1"/>
  <c r="AO20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5" i="1"/>
  <c r="AM205" i="1"/>
  <c r="AN205" i="1"/>
  <c r="AO205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206" i="1"/>
  <c r="AM206" i="1"/>
  <c r="AN206" i="1"/>
  <c r="AO20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7" i="1"/>
  <c r="AM207" i="1"/>
  <c r="AN207" i="1"/>
  <c r="AO207" i="1"/>
  <c r="K184" i="1"/>
  <c r="L184" i="1"/>
  <c r="M184" i="1"/>
  <c r="V184" i="1"/>
  <c r="Y184" i="1"/>
  <c r="Z184" i="1"/>
  <c r="AA184" i="1"/>
  <c r="AB184" i="1"/>
  <c r="AC184" i="1"/>
  <c r="AD184" i="1"/>
  <c r="AE184" i="1"/>
  <c r="AF184" i="1"/>
  <c r="AH208" i="1"/>
  <c r="AM208" i="1"/>
  <c r="AN208" i="1"/>
  <c r="AO20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9" i="1"/>
  <c r="AM209" i="1"/>
  <c r="AN209" i="1"/>
  <c r="AO209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210" i="1"/>
  <c r="AM210" i="1"/>
  <c r="AN210" i="1"/>
  <c r="AO21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1" i="1"/>
  <c r="AM211" i="1"/>
  <c r="AN211" i="1"/>
  <c r="AO211" i="1"/>
  <c r="K189" i="1"/>
  <c r="L189" i="1"/>
  <c r="M189" i="1"/>
  <c r="N189" i="1" s="1"/>
  <c r="V189" i="1"/>
  <c r="Y189" i="1"/>
  <c r="AA189" i="1" s="1"/>
  <c r="Z189" i="1"/>
  <c r="AB189" i="1"/>
  <c r="AC189" i="1"/>
  <c r="AD189" i="1"/>
  <c r="AE189" i="1"/>
  <c r="AF189" i="1"/>
  <c r="AH212" i="1"/>
  <c r="AM212" i="1"/>
  <c r="AN212" i="1"/>
  <c r="AO212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3" i="1"/>
  <c r="AM213" i="1"/>
  <c r="AN213" i="1"/>
  <c r="AO213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214" i="1"/>
  <c r="AM214" i="1"/>
  <c r="AN214" i="1"/>
  <c r="AO214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5" i="1"/>
  <c r="AM215" i="1"/>
  <c r="AN215" i="1"/>
  <c r="AO21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6" i="1"/>
  <c r="AM216" i="1"/>
  <c r="AN216" i="1"/>
  <c r="AO21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7" i="1"/>
  <c r="AM217" i="1"/>
  <c r="AN217" i="1"/>
  <c r="AO21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8" i="1"/>
  <c r="AM218" i="1"/>
  <c r="AN218" i="1"/>
  <c r="AO21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9" i="1"/>
  <c r="AM219" i="1"/>
  <c r="AN219" i="1"/>
  <c r="AO219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0" i="1"/>
  <c r="AM220" i="1"/>
  <c r="AN220" i="1"/>
  <c r="AO22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1" i="1"/>
  <c r="AM221" i="1"/>
  <c r="AN221" i="1"/>
  <c r="AO221" i="1"/>
  <c r="K199" i="1"/>
  <c r="L199" i="1"/>
  <c r="M199" i="1"/>
  <c r="V199" i="1"/>
  <c r="Y199" i="1"/>
  <c r="AA199" i="1" s="1"/>
  <c r="Z199" i="1"/>
  <c r="AB199" i="1"/>
  <c r="AC199" i="1"/>
  <c r="AD199" i="1"/>
  <c r="AE199" i="1"/>
  <c r="AF199" i="1"/>
  <c r="AH222" i="1"/>
  <c r="AM222" i="1"/>
  <c r="AN222" i="1"/>
  <c r="AO222" i="1"/>
  <c r="K200" i="1"/>
  <c r="L200" i="1"/>
  <c r="M200" i="1"/>
  <c r="N200" i="1" s="1"/>
  <c r="V200" i="1"/>
  <c r="Y200" i="1"/>
  <c r="AA200" i="1" s="1"/>
  <c r="Z200" i="1"/>
  <c r="AB200" i="1"/>
  <c r="AC200" i="1"/>
  <c r="AD200" i="1"/>
  <c r="AE200" i="1"/>
  <c r="AF200" i="1"/>
  <c r="AH223" i="1"/>
  <c r="AM223" i="1"/>
  <c r="AN223" i="1"/>
  <c r="AO223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24" i="1"/>
  <c r="AM224" i="1"/>
  <c r="AN224" i="1"/>
  <c r="AO224" i="1"/>
  <c r="K202" i="1"/>
  <c r="L202" i="1"/>
  <c r="M202" i="1"/>
  <c r="N202" i="1" s="1"/>
  <c r="V202" i="1"/>
  <c r="Y202" i="1"/>
  <c r="AA202" i="1" s="1"/>
  <c r="Z202" i="1"/>
  <c r="AB202" i="1"/>
  <c r="AC202" i="1"/>
  <c r="AD202" i="1"/>
  <c r="AE202" i="1"/>
  <c r="AF202" i="1"/>
  <c r="AH225" i="1"/>
  <c r="AM225" i="1"/>
  <c r="AN225" i="1"/>
  <c r="AO225" i="1"/>
  <c r="K203" i="1"/>
  <c r="L203" i="1"/>
  <c r="M203" i="1"/>
  <c r="N203" i="1" s="1"/>
  <c r="V203" i="1"/>
  <c r="Y203" i="1"/>
  <c r="Z203" i="1"/>
  <c r="AA203" i="1" s="1"/>
  <c r="AB203" i="1"/>
  <c r="AC203" i="1"/>
  <c r="AD203" i="1"/>
  <c r="AE203" i="1"/>
  <c r="AF203" i="1"/>
  <c r="AH226" i="1"/>
  <c r="AM226" i="1"/>
  <c r="AN226" i="1"/>
  <c r="AO226" i="1"/>
  <c r="K204" i="1"/>
  <c r="L204" i="1"/>
  <c r="M204" i="1"/>
  <c r="N204" i="1" s="1"/>
  <c r="V204" i="1"/>
  <c r="Y204" i="1"/>
  <c r="AA204" i="1" s="1"/>
  <c r="Z204" i="1"/>
  <c r="AB204" i="1"/>
  <c r="AC204" i="1"/>
  <c r="AD204" i="1"/>
  <c r="AE204" i="1"/>
  <c r="AF204" i="1"/>
  <c r="AH227" i="1"/>
  <c r="AM227" i="1"/>
  <c r="AN227" i="1"/>
  <c r="AO227" i="1"/>
  <c r="K205" i="1"/>
  <c r="L205" i="1"/>
  <c r="M205" i="1"/>
  <c r="N205" i="1" s="1"/>
  <c r="V205" i="1"/>
  <c r="Y205" i="1"/>
  <c r="Z205" i="1"/>
  <c r="AA205" i="1" s="1"/>
  <c r="AB205" i="1"/>
  <c r="AC205" i="1"/>
  <c r="AD205" i="1"/>
  <c r="AE205" i="1"/>
  <c r="AF205" i="1"/>
  <c r="AH228" i="1"/>
  <c r="AM228" i="1"/>
  <c r="AN228" i="1"/>
  <c r="AO22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29" i="1"/>
  <c r="AM229" i="1"/>
  <c r="AN229" i="1"/>
  <c r="AO229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230" i="1"/>
  <c r="AM230" i="1"/>
  <c r="AN230" i="1"/>
  <c r="AO23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1" i="1"/>
  <c r="AM231" i="1"/>
  <c r="AN231" i="1"/>
  <c r="AO23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2" i="1"/>
  <c r="AM232" i="1"/>
  <c r="AN232" i="1"/>
  <c r="AO232" i="1"/>
  <c r="M39" i="3"/>
  <c r="R39" i="3"/>
  <c r="S39" i="3"/>
  <c r="U39" i="3"/>
  <c r="T39" i="3" s="1"/>
  <c r="V39" i="3"/>
  <c r="X39" i="3"/>
  <c r="AC39" i="3"/>
  <c r="M29" i="3"/>
  <c r="R29" i="3"/>
  <c r="S29" i="3"/>
  <c r="U29" i="3"/>
  <c r="V29" i="3"/>
  <c r="X29" i="3"/>
  <c r="AC29" i="3"/>
  <c r="M15" i="3"/>
  <c r="R15" i="3"/>
  <c r="S15" i="3"/>
  <c r="U15" i="3"/>
  <c r="AC15" i="3" s="1"/>
  <c r="V15" i="3"/>
  <c r="X15" i="3"/>
  <c r="M25" i="3"/>
  <c r="S25" i="3"/>
  <c r="T25" i="3"/>
  <c r="U25" i="3"/>
  <c r="AC25" i="3" s="1"/>
  <c r="V25" i="3"/>
  <c r="X25" i="3"/>
  <c r="M30" i="3"/>
  <c r="R30" i="3"/>
  <c r="S30" i="3"/>
  <c r="U30" i="3"/>
  <c r="T30" i="3" s="1"/>
  <c r="V30" i="3"/>
  <c r="X30" i="3"/>
  <c r="M31" i="3"/>
  <c r="R31" i="3"/>
  <c r="S31" i="3"/>
  <c r="U31" i="3"/>
  <c r="V31" i="3"/>
  <c r="X31" i="3"/>
  <c r="M26" i="3"/>
  <c r="R26" i="3"/>
  <c r="S26" i="3"/>
  <c r="U26" i="3"/>
  <c r="AC26" i="3" s="1"/>
  <c r="V26" i="3"/>
  <c r="X26" i="3"/>
  <c r="M24" i="3"/>
  <c r="S24" i="3"/>
  <c r="U24" i="3"/>
  <c r="AC24" i="3" s="1"/>
  <c r="V24" i="3"/>
  <c r="X24" i="3"/>
  <c r="AE15" i="3"/>
  <c r="M12" i="3"/>
  <c r="R12" i="3"/>
  <c r="S12" i="3"/>
  <c r="T12" i="3"/>
  <c r="U12" i="3"/>
  <c r="AD12" i="3" s="1"/>
  <c r="V12" i="3"/>
  <c r="X12" i="3"/>
  <c r="AC12" i="3"/>
  <c r="M41" i="3"/>
  <c r="R41" i="3"/>
  <c r="S41" i="3"/>
  <c r="U41" i="3"/>
  <c r="V41" i="3"/>
  <c r="X41" i="3"/>
  <c r="M18" i="3"/>
  <c r="R18" i="3"/>
  <c r="S18" i="3"/>
  <c r="U18" i="3"/>
  <c r="AC18" i="3" s="1"/>
  <c r="V18" i="3"/>
  <c r="X18" i="3"/>
  <c r="M32" i="3"/>
  <c r="R32" i="3"/>
  <c r="S32" i="3"/>
  <c r="U32" i="3"/>
  <c r="AC32" i="3" s="1"/>
  <c r="V32" i="3"/>
  <c r="X32" i="3"/>
  <c r="M43" i="3"/>
  <c r="R43" i="3"/>
  <c r="S43" i="3"/>
  <c r="U43" i="3"/>
  <c r="T43" i="3" s="1"/>
  <c r="V43" i="3"/>
  <c r="X43" i="3"/>
  <c r="M40" i="3"/>
  <c r="R40" i="3"/>
  <c r="S40" i="3"/>
  <c r="U40" i="3"/>
  <c r="V40" i="3"/>
  <c r="X40" i="3"/>
  <c r="AC40" i="3"/>
  <c r="M42" i="3"/>
  <c r="R42" i="3"/>
  <c r="S42" i="3"/>
  <c r="U42" i="3"/>
  <c r="AC42" i="3" s="1"/>
  <c r="V42" i="3"/>
  <c r="X42" i="3"/>
  <c r="M11" i="3"/>
  <c r="R11" i="3"/>
  <c r="S11" i="3"/>
  <c r="T11" i="3"/>
  <c r="U11" i="3"/>
  <c r="AC11" i="3" s="1"/>
  <c r="V11" i="3"/>
  <c r="X11" i="3"/>
  <c r="AD23" i="3"/>
  <c r="M16" i="3"/>
  <c r="R16" i="3"/>
  <c r="S16" i="3"/>
  <c r="U16" i="3"/>
  <c r="T16" i="3" s="1"/>
  <c r="V16" i="3"/>
  <c r="X16" i="3"/>
  <c r="AD24" i="3"/>
  <c r="M23" i="3"/>
  <c r="R23" i="3"/>
  <c r="S23" i="3"/>
  <c r="U23" i="3"/>
  <c r="AD25" i="3" s="1"/>
  <c r="V23" i="3"/>
  <c r="X23" i="3"/>
  <c r="AC23" i="3"/>
  <c r="M19" i="3"/>
  <c r="R19" i="3"/>
  <c r="S19" i="3"/>
  <c r="U19" i="3"/>
  <c r="AC19" i="3" s="1"/>
  <c r="V19" i="3"/>
  <c r="X19" i="3"/>
  <c r="M17" i="3"/>
  <c r="R17" i="3"/>
  <c r="S17" i="3"/>
  <c r="T17" i="3"/>
  <c r="U17" i="3"/>
  <c r="AC17" i="3" s="1"/>
  <c r="V17" i="3"/>
  <c r="X17" i="3"/>
  <c r="AD27" i="3"/>
  <c r="AE27" i="3"/>
  <c r="M27" i="3"/>
  <c r="R27" i="3"/>
  <c r="U27" i="3"/>
  <c r="T27" i="3" s="1"/>
  <c r="V27" i="3"/>
  <c r="X27" i="3"/>
  <c r="M9" i="3"/>
  <c r="R9" i="3"/>
  <c r="S9" i="3"/>
  <c r="U9" i="3"/>
  <c r="AD29" i="3" s="1"/>
  <c r="V9" i="3"/>
  <c r="X9" i="3"/>
  <c r="M13" i="3"/>
  <c r="R13" i="3"/>
  <c r="S13" i="3"/>
  <c r="U13" i="3"/>
  <c r="AC13" i="3" s="1"/>
  <c r="V13" i="3"/>
  <c r="X13" i="3"/>
  <c r="M28" i="3"/>
  <c r="S28" i="3"/>
  <c r="U28" i="3"/>
  <c r="AC28" i="3" s="1"/>
  <c r="V28" i="3"/>
  <c r="X28" i="3"/>
  <c r="AE31" i="3"/>
  <c r="M8" i="3"/>
  <c r="R8" i="3"/>
  <c r="S8" i="3"/>
  <c r="T8" i="3"/>
  <c r="U8" i="3"/>
  <c r="AD8" i="3" s="1"/>
  <c r="V8" i="3"/>
  <c r="AE32" i="3" s="1"/>
  <c r="X8" i="3"/>
  <c r="AC8" i="3"/>
  <c r="AD32" i="3"/>
  <c r="M10" i="3"/>
  <c r="R10" i="3"/>
  <c r="S10" i="3"/>
  <c r="U10" i="3"/>
  <c r="V10" i="3"/>
  <c r="X10" i="3"/>
  <c r="M20" i="3"/>
  <c r="R20" i="3"/>
  <c r="S20" i="3"/>
  <c r="U20" i="3"/>
  <c r="AC20" i="3" s="1"/>
  <c r="V20" i="3"/>
  <c r="X20" i="3"/>
  <c r="M14" i="3"/>
  <c r="R14" i="3"/>
  <c r="S14" i="3"/>
  <c r="U14" i="3"/>
  <c r="AC14" i="3" s="1"/>
  <c r="V14" i="3"/>
  <c r="X14" i="3"/>
  <c r="M21" i="3"/>
  <c r="R21" i="3"/>
  <c r="S21" i="3"/>
  <c r="U21" i="3"/>
  <c r="AC21" i="3" s="1"/>
  <c r="V21" i="3"/>
  <c r="X21" i="3"/>
  <c r="M33" i="3"/>
  <c r="R33" i="3"/>
  <c r="S33" i="3"/>
  <c r="U33" i="3"/>
  <c r="V33" i="3"/>
  <c r="X33" i="3"/>
  <c r="AC33" i="3"/>
  <c r="M34" i="3"/>
  <c r="R34" i="3"/>
  <c r="S34" i="3"/>
  <c r="U34" i="3"/>
  <c r="AC34" i="3" s="1"/>
  <c r="V34" i="3"/>
  <c r="X34" i="3"/>
  <c r="M35" i="3"/>
  <c r="R35" i="3"/>
  <c r="S35" i="3"/>
  <c r="T35" i="3"/>
  <c r="U35" i="3"/>
  <c r="AC35" i="3" s="1"/>
  <c r="V35" i="3"/>
  <c r="AE39" i="3" s="1"/>
  <c r="X35" i="3"/>
  <c r="AD39" i="3"/>
  <c r="M36" i="3"/>
  <c r="R36" i="3"/>
  <c r="S36" i="3"/>
  <c r="U36" i="3"/>
  <c r="T36" i="3" s="1"/>
  <c r="V36" i="3"/>
  <c r="AE40" i="3" s="1"/>
  <c r="X36" i="3"/>
  <c r="AD40" i="3"/>
  <c r="M22" i="3"/>
  <c r="R22" i="3"/>
  <c r="S22" i="3"/>
  <c r="U22" i="3"/>
  <c r="AD41" i="3" s="1"/>
  <c r="V22" i="3"/>
  <c r="X22" i="3"/>
  <c r="M37" i="3"/>
  <c r="R37" i="3"/>
  <c r="S37" i="3"/>
  <c r="U37" i="3"/>
  <c r="AC37" i="3" s="1"/>
  <c r="V37" i="3"/>
  <c r="X37" i="3"/>
  <c r="M7" i="3"/>
  <c r="R7" i="3"/>
  <c r="S7" i="3"/>
  <c r="U7" i="3"/>
  <c r="AC7" i="3" s="1"/>
  <c r="V7" i="3"/>
  <c r="X7" i="3"/>
  <c r="AE43" i="3"/>
  <c r="AG150" i="1"/>
  <c r="AG134" i="1"/>
  <c r="AG188" i="1"/>
  <c r="AG181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6" i="1"/>
  <c r="AG73" i="1"/>
  <c r="AG77" i="1"/>
  <c r="AG81" i="1"/>
  <c r="AG85" i="1"/>
  <c r="AG89" i="1"/>
  <c r="AG93" i="1"/>
  <c r="AG97" i="1"/>
  <c r="AG101" i="1"/>
  <c r="AG67" i="1"/>
  <c r="AG105" i="1"/>
  <c r="AG109" i="1"/>
  <c r="AG113" i="1"/>
  <c r="AG117" i="1"/>
  <c r="AG121" i="1"/>
  <c r="AG125" i="1"/>
  <c r="AG129" i="1"/>
  <c r="AG133" i="1"/>
  <c r="AG138" i="1"/>
  <c r="AG142" i="1"/>
  <c r="AG147" i="1"/>
  <c r="AG151" i="1"/>
  <c r="AG209" i="1"/>
  <c r="AG213" i="1"/>
  <c r="AG217" i="1"/>
  <c r="AG225" i="1"/>
  <c r="AG229" i="1"/>
  <c r="AG152" i="1"/>
  <c r="AG156" i="1"/>
  <c r="AG167" i="1"/>
  <c r="AG175" i="1"/>
  <c r="AG184" i="1"/>
  <c r="AG193" i="1"/>
  <c r="AG201" i="1"/>
  <c r="AG162" i="1"/>
  <c r="AG172" i="1"/>
  <c r="AG180" i="1"/>
  <c r="AG190" i="1"/>
  <c r="AG198" i="1"/>
  <c r="AG218" i="1"/>
  <c r="AG221" i="1"/>
  <c r="AG68" i="1"/>
  <c r="AG98" i="1"/>
  <c r="AG110" i="1"/>
  <c r="AG122" i="1"/>
  <c r="AG135" i="1"/>
  <c r="AG149" i="1"/>
  <c r="AG214" i="1"/>
  <c r="AG230" i="1"/>
  <c r="AG157" i="1"/>
  <c r="AG186" i="1"/>
  <c r="AG166" i="1"/>
  <c r="AG200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70" i="1"/>
  <c r="AG75" i="1"/>
  <c r="AG79" i="1"/>
  <c r="AG83" i="1"/>
  <c r="AG87" i="1"/>
  <c r="AG91" i="1"/>
  <c r="AG95" i="1"/>
  <c r="AG99" i="1"/>
  <c r="AG103" i="1"/>
  <c r="AG71" i="1"/>
  <c r="AG107" i="1"/>
  <c r="AG111" i="1"/>
  <c r="AG115" i="1"/>
  <c r="AG119" i="1"/>
  <c r="AG123" i="1"/>
  <c r="AG127" i="1"/>
  <c r="AG131" i="1"/>
  <c r="AG136" i="1"/>
  <c r="AG140" i="1"/>
  <c r="AG144" i="1"/>
  <c r="AG146" i="1"/>
  <c r="AG207" i="1"/>
  <c r="AG211" i="1"/>
  <c r="AG215" i="1"/>
  <c r="AG223" i="1"/>
  <c r="AG227" i="1"/>
  <c r="AG231" i="1"/>
  <c r="AG154" i="1"/>
  <c r="AG160" i="1"/>
  <c r="AG171" i="1"/>
  <c r="AG179" i="1"/>
  <c r="AG189" i="1"/>
  <c r="AG197" i="1"/>
  <c r="AG165" i="1"/>
  <c r="AG168" i="1"/>
  <c r="AG176" i="1"/>
  <c r="AG185" i="1"/>
  <c r="AG194" i="1"/>
  <c r="AG202" i="1"/>
  <c r="AG163" i="1"/>
  <c r="AG205" i="1"/>
  <c r="AG14" i="1"/>
  <c r="AG22" i="1"/>
  <c r="AG30" i="1"/>
  <c r="AG34" i="1"/>
  <c r="AG42" i="1"/>
  <c r="AG50" i="1"/>
  <c r="AG58" i="1"/>
  <c r="AG74" i="1"/>
  <c r="AG82" i="1"/>
  <c r="AG90" i="1"/>
  <c r="AG69" i="1"/>
  <c r="AG114" i="1"/>
  <c r="AG126" i="1"/>
  <c r="AG139" i="1"/>
  <c r="AG210" i="1"/>
  <c r="AG226" i="1"/>
  <c r="AG177" i="1"/>
  <c r="AG161" i="1"/>
  <c r="AG183" i="1"/>
  <c r="AG159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72" i="1"/>
  <c r="AG76" i="1"/>
  <c r="AG80" i="1"/>
  <c r="AG84" i="1"/>
  <c r="AG88" i="1"/>
  <c r="AG92" i="1"/>
  <c r="AG96" i="1"/>
  <c r="AG100" i="1"/>
  <c r="AG65" i="1"/>
  <c r="AG104" i="1"/>
  <c r="AG108" i="1"/>
  <c r="AG112" i="1"/>
  <c r="AG116" i="1"/>
  <c r="AG120" i="1"/>
  <c r="AG124" i="1"/>
  <c r="AG128" i="1"/>
  <c r="AG132" i="1"/>
  <c r="AG137" i="1"/>
  <c r="AG141" i="1"/>
  <c r="AG145" i="1"/>
  <c r="AG148" i="1"/>
  <c r="AG208" i="1"/>
  <c r="AG212" i="1"/>
  <c r="AG216" i="1"/>
  <c r="AG224" i="1"/>
  <c r="AG228" i="1"/>
  <c r="AG232" i="1"/>
  <c r="AG155" i="1"/>
  <c r="AG164" i="1"/>
  <c r="AG173" i="1"/>
  <c r="AG182" i="1"/>
  <c r="AG191" i="1"/>
  <c r="AG199" i="1"/>
  <c r="AG158" i="1"/>
  <c r="AG170" i="1"/>
  <c r="AG178" i="1"/>
  <c r="AG187" i="1"/>
  <c r="AG196" i="1"/>
  <c r="AG204" i="1"/>
  <c r="AG220" i="1"/>
  <c r="AG219" i="1"/>
  <c r="AG18" i="1"/>
  <c r="AG26" i="1"/>
  <c r="AG38" i="1"/>
  <c r="AG46" i="1"/>
  <c r="AG54" i="1"/>
  <c r="AG62" i="1"/>
  <c r="AG78" i="1"/>
  <c r="AG86" i="1"/>
  <c r="AG94" i="1"/>
  <c r="AG102" i="1"/>
  <c r="AG106" i="1"/>
  <c r="AG118" i="1"/>
  <c r="AG130" i="1"/>
  <c r="AG143" i="1"/>
  <c r="AG206" i="1"/>
  <c r="AG222" i="1"/>
  <c r="AG153" i="1"/>
  <c r="AG169" i="1"/>
  <c r="AG195" i="1"/>
  <c r="AG174" i="1"/>
  <c r="AG192" i="1"/>
  <c r="AG203" i="1"/>
  <c r="W29" i="3"/>
  <c r="W23" i="3"/>
  <c r="W22" i="3"/>
  <c r="W42" i="3"/>
  <c r="W34" i="3"/>
  <c r="W24" i="3"/>
  <c r="W14" i="3"/>
  <c r="W8" i="3"/>
  <c r="W30" i="3"/>
  <c r="W40" i="3"/>
  <c r="W33" i="3"/>
  <c r="W18" i="3"/>
  <c r="W20" i="3"/>
  <c r="W25" i="3"/>
  <c r="W28" i="3"/>
  <c r="W27" i="3"/>
  <c r="W39" i="3"/>
  <c r="W16" i="3"/>
  <c r="W31" i="3"/>
  <c r="W9" i="3"/>
  <c r="W15" i="3"/>
  <c r="W19" i="3"/>
  <c r="W37" i="3"/>
  <c r="W32" i="3"/>
  <c r="W35" i="3"/>
  <c r="W21" i="3"/>
  <c r="W12" i="3"/>
  <c r="W41" i="3"/>
  <c r="W10" i="3"/>
  <c r="W26" i="3"/>
  <c r="W13" i="3"/>
  <c r="W11" i="3"/>
  <c r="W17" i="3"/>
  <c r="W7" i="3"/>
  <c r="W36" i="3"/>
  <c r="W43" i="3"/>
  <c r="AI150" i="1" l="1"/>
  <c r="U150" i="1"/>
  <c r="S150" i="1" s="1"/>
  <c r="W150" i="1"/>
  <c r="AI134" i="1"/>
  <c r="U134" i="1"/>
  <c r="S134" i="1" s="1"/>
  <c r="W134" i="1"/>
  <c r="T188" i="1"/>
  <c r="AI188" i="1"/>
  <c r="U188" i="1"/>
  <c r="S188" i="1" s="1"/>
  <c r="W188" i="1"/>
  <c r="AI181" i="1"/>
  <c r="U181" i="1"/>
  <c r="S181" i="1" s="1"/>
  <c r="W181" i="1"/>
  <c r="T99" i="1"/>
  <c r="AA44" i="1"/>
  <c r="AA42" i="1"/>
  <c r="X221" i="1"/>
  <c r="X220" i="1"/>
  <c r="AA195" i="1"/>
  <c r="AA194" i="1"/>
  <c r="AA173" i="1"/>
  <c r="AA172" i="1"/>
  <c r="AA167" i="1"/>
  <c r="T152" i="1"/>
  <c r="X231" i="1"/>
  <c r="AA141" i="1"/>
  <c r="AA136" i="1"/>
  <c r="AA135" i="1"/>
  <c r="X132" i="1"/>
  <c r="X128" i="1"/>
  <c r="X127" i="1"/>
  <c r="AA115" i="1"/>
  <c r="AA113" i="1"/>
  <c r="X112" i="1"/>
  <c r="AA109" i="1"/>
  <c r="X108" i="1"/>
  <c r="AA105" i="1"/>
  <c r="AA88" i="1"/>
  <c r="AA84" i="1"/>
  <c r="AA80" i="1"/>
  <c r="AA76" i="1"/>
  <c r="AA72" i="1"/>
  <c r="AA66" i="1"/>
  <c r="X63" i="1"/>
  <c r="X61" i="1"/>
  <c r="X58" i="1"/>
  <c r="AA48" i="1"/>
  <c r="AA46" i="1"/>
  <c r="AA45" i="1"/>
  <c r="AA33" i="1"/>
  <c r="AA29" i="1"/>
  <c r="AA25" i="1"/>
  <c r="AA21" i="1"/>
  <c r="AA17" i="1"/>
  <c r="AA30" i="1"/>
  <c r="AA26" i="1"/>
  <c r="AA22" i="1"/>
  <c r="AA220" i="1"/>
  <c r="AA197" i="1"/>
  <c r="AA196" i="1"/>
  <c r="AA193" i="1"/>
  <c r="AA192" i="1"/>
  <c r="AA170" i="1"/>
  <c r="AA164" i="1"/>
  <c r="AA160" i="1"/>
  <c r="AA156" i="1"/>
  <c r="X229" i="1"/>
  <c r="X225" i="1"/>
  <c r="X217" i="1"/>
  <c r="X213" i="1"/>
  <c r="X209" i="1"/>
  <c r="AA149" i="1"/>
  <c r="AA143" i="1"/>
  <c r="AA131" i="1"/>
  <c r="X130" i="1"/>
  <c r="AA128" i="1"/>
  <c r="AA123" i="1"/>
  <c r="AA122" i="1"/>
  <c r="AA119" i="1"/>
  <c r="AA118" i="1"/>
  <c r="X116" i="1"/>
  <c r="AA111" i="1"/>
  <c r="X110" i="1"/>
  <c r="AA107" i="1"/>
  <c r="AA102" i="1"/>
  <c r="X100" i="1"/>
  <c r="AA94" i="1"/>
  <c r="AA93" i="1"/>
  <c r="AA86" i="1"/>
  <c r="AA82" i="1"/>
  <c r="AA78" i="1"/>
  <c r="AA74" i="1"/>
  <c r="X72" i="1"/>
  <c r="AA63" i="1"/>
  <c r="AA61" i="1"/>
  <c r="AA58" i="1"/>
  <c r="AA56" i="1"/>
  <c r="AA54" i="1"/>
  <c r="AA53" i="1"/>
  <c r="AA40" i="1"/>
  <c r="AA38" i="1"/>
  <c r="AA37" i="1"/>
  <c r="AA31" i="1"/>
  <c r="AA27" i="1"/>
  <c r="AA23" i="1"/>
  <c r="AA19" i="1"/>
  <c r="AA15" i="1"/>
  <c r="AA221" i="1"/>
  <c r="AA169" i="1"/>
  <c r="AA168" i="1"/>
  <c r="AA163" i="1"/>
  <c r="AA159" i="1"/>
  <c r="AA155" i="1"/>
  <c r="AA232" i="1"/>
  <c r="X227" i="1"/>
  <c r="X223" i="1"/>
  <c r="X215" i="1"/>
  <c r="X211" i="1"/>
  <c r="X206" i="1"/>
  <c r="T132" i="1"/>
  <c r="X124" i="1"/>
  <c r="T116" i="1"/>
  <c r="AA171" i="1"/>
  <c r="T153" i="1"/>
  <c r="X133" i="1"/>
  <c r="X117" i="1"/>
  <c r="X118" i="1"/>
  <c r="AA218" i="1"/>
  <c r="AA198" i="1"/>
  <c r="AA190" i="1"/>
  <c r="AA187" i="1"/>
  <c r="AA185" i="1"/>
  <c r="AA183" i="1"/>
  <c r="AA180" i="1"/>
  <c r="AA178" i="1"/>
  <c r="AA176" i="1"/>
  <c r="AA174" i="1"/>
  <c r="AA162" i="1"/>
  <c r="AA158" i="1"/>
  <c r="AA154" i="1"/>
  <c r="AA152" i="1"/>
  <c r="X226" i="1"/>
  <c r="X222" i="1"/>
  <c r="X214" i="1"/>
  <c r="X210" i="1"/>
  <c r="X125" i="1"/>
  <c r="X126" i="1"/>
  <c r="T100" i="1"/>
  <c r="AA140" i="1"/>
  <c r="T139" i="1"/>
  <c r="AA133" i="1"/>
  <c r="T130" i="1"/>
  <c r="AA125" i="1"/>
  <c r="T122" i="1"/>
  <c r="AA117" i="1"/>
  <c r="X103" i="1"/>
  <c r="X102" i="1"/>
  <c r="AA70" i="1"/>
  <c r="AA68" i="1"/>
  <c r="AA65" i="1"/>
  <c r="X62" i="1"/>
  <c r="AA60" i="1"/>
  <c r="AA59" i="1"/>
  <c r="X57" i="1"/>
  <c r="X101" i="1"/>
  <c r="AA147" i="1"/>
  <c r="AA138" i="1"/>
  <c r="AA129" i="1"/>
  <c r="AA121" i="1"/>
  <c r="X98" i="1"/>
  <c r="T97" i="1"/>
  <c r="AA62" i="1"/>
  <c r="X59" i="1"/>
  <c r="AA57" i="1"/>
  <c r="AI230" i="1"/>
  <c r="AI228" i="1"/>
  <c r="AI226" i="1"/>
  <c r="AI232" i="1"/>
  <c r="U221" i="1"/>
  <c r="S221" i="1" s="1"/>
  <c r="AI231" i="1"/>
  <c r="U220" i="1"/>
  <c r="S220" i="1" s="1"/>
  <c r="AI187" i="1"/>
  <c r="U163" i="1"/>
  <c r="S163" i="1" s="1"/>
  <c r="AI183" i="1"/>
  <c r="U159" i="1"/>
  <c r="AI229" i="1"/>
  <c r="AI227" i="1"/>
  <c r="AI225" i="1"/>
  <c r="AI223" i="1"/>
  <c r="AI221" i="1"/>
  <c r="AI219" i="1"/>
  <c r="AI217" i="1"/>
  <c r="AI215" i="1"/>
  <c r="AI213" i="1"/>
  <c r="AI211" i="1"/>
  <c r="AI209" i="1"/>
  <c r="AI207" i="1"/>
  <c r="AI205" i="1"/>
  <c r="AI203" i="1"/>
  <c r="AI201" i="1"/>
  <c r="AI199" i="1"/>
  <c r="AI197" i="1"/>
  <c r="AI195" i="1"/>
  <c r="AI193" i="1"/>
  <c r="AI191" i="1"/>
  <c r="U166" i="1"/>
  <c r="S166" i="1" s="1"/>
  <c r="AI186" i="1"/>
  <c r="U162" i="1"/>
  <c r="S162" i="1" s="1"/>
  <c r="AI182" i="1"/>
  <c r="U158" i="1"/>
  <c r="S158" i="1" s="1"/>
  <c r="AI190" i="1"/>
  <c r="U165" i="1"/>
  <c r="S165" i="1" s="1"/>
  <c r="AI185" i="1"/>
  <c r="U161" i="1"/>
  <c r="S161" i="1" s="1"/>
  <c r="AI224" i="1"/>
  <c r="AI222" i="1"/>
  <c r="AI220" i="1"/>
  <c r="AI218" i="1"/>
  <c r="AI216" i="1"/>
  <c r="AI214" i="1"/>
  <c r="AI212" i="1"/>
  <c r="AI210" i="1"/>
  <c r="AI208" i="1"/>
  <c r="AI206" i="1"/>
  <c r="AI204" i="1"/>
  <c r="AI202" i="1"/>
  <c r="AI200" i="1"/>
  <c r="AI198" i="1"/>
  <c r="AI196" i="1"/>
  <c r="AI194" i="1"/>
  <c r="AI192" i="1"/>
  <c r="AI189" i="1"/>
  <c r="U164" i="1"/>
  <c r="AI184" i="1"/>
  <c r="U160" i="1"/>
  <c r="S160" i="1" s="1"/>
  <c r="AI180" i="1"/>
  <c r="U157" i="1"/>
  <c r="S157" i="1" s="1"/>
  <c r="AI179" i="1"/>
  <c r="U156" i="1"/>
  <c r="S156" i="1" s="1"/>
  <c r="AI178" i="1"/>
  <c r="U155" i="1"/>
  <c r="S155" i="1" s="1"/>
  <c r="AI177" i="1"/>
  <c r="U154" i="1"/>
  <c r="S154" i="1" s="1"/>
  <c r="AI176" i="1"/>
  <c r="U153" i="1"/>
  <c r="S153" i="1" s="1"/>
  <c r="AI175" i="1"/>
  <c r="U152" i="1"/>
  <c r="S152" i="1" s="1"/>
  <c r="AI174" i="1"/>
  <c r="U232" i="1"/>
  <c r="S232" i="1" s="1"/>
  <c r="AI173" i="1"/>
  <c r="U231" i="1"/>
  <c r="S231" i="1" s="1"/>
  <c r="U230" i="1"/>
  <c r="S230" i="1" s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48" i="1"/>
  <c r="AI146" i="1"/>
  <c r="AI149" i="1"/>
  <c r="AI147" i="1"/>
  <c r="AI145" i="1"/>
  <c r="AI144" i="1"/>
  <c r="AI143" i="1"/>
  <c r="AI142" i="1"/>
  <c r="U142" i="1"/>
  <c r="S142" i="1" s="1"/>
  <c r="AI141" i="1"/>
  <c r="U141" i="1"/>
  <c r="S141" i="1" s="1"/>
  <c r="AI140" i="1"/>
  <c r="U140" i="1"/>
  <c r="S140" i="1" s="1"/>
  <c r="U139" i="1"/>
  <c r="S139" i="1" s="1"/>
  <c r="AI139" i="1"/>
  <c r="AI138" i="1"/>
  <c r="U137" i="1"/>
  <c r="S137" i="1" s="1"/>
  <c r="AI137" i="1"/>
  <c r="AI136" i="1"/>
  <c r="U135" i="1"/>
  <c r="S135" i="1" s="1"/>
  <c r="AI135" i="1"/>
  <c r="AI133" i="1"/>
  <c r="U132" i="1"/>
  <c r="S132" i="1" s="1"/>
  <c r="AI132" i="1"/>
  <c r="AI131" i="1"/>
  <c r="U130" i="1"/>
  <c r="S130" i="1" s="1"/>
  <c r="AI130" i="1"/>
  <c r="AI129" i="1"/>
  <c r="U128" i="1"/>
  <c r="S128" i="1" s="1"/>
  <c r="AI128" i="1"/>
  <c r="AI127" i="1"/>
  <c r="U126" i="1"/>
  <c r="S126" i="1" s="1"/>
  <c r="AI126" i="1"/>
  <c r="AI125" i="1"/>
  <c r="U124" i="1"/>
  <c r="S124" i="1" s="1"/>
  <c r="AI124" i="1"/>
  <c r="AI123" i="1"/>
  <c r="U122" i="1"/>
  <c r="S122" i="1" s="1"/>
  <c r="AI122" i="1"/>
  <c r="AI121" i="1"/>
  <c r="U120" i="1"/>
  <c r="S120" i="1" s="1"/>
  <c r="AI120" i="1"/>
  <c r="AI119" i="1"/>
  <c r="U118" i="1"/>
  <c r="S118" i="1" s="1"/>
  <c r="AI118" i="1"/>
  <c r="AI117" i="1"/>
  <c r="U116" i="1"/>
  <c r="S116" i="1" s="1"/>
  <c r="AI116" i="1"/>
  <c r="AI115" i="1"/>
  <c r="U114" i="1"/>
  <c r="S114" i="1" s="1"/>
  <c r="AI114" i="1"/>
  <c r="AI113" i="1"/>
  <c r="AI112" i="1"/>
  <c r="AI111" i="1"/>
  <c r="U111" i="1"/>
  <c r="S111" i="1" s="1"/>
  <c r="AI110" i="1"/>
  <c r="AI109" i="1"/>
  <c r="U109" i="1"/>
  <c r="S109" i="1" s="1"/>
  <c r="AI108" i="1"/>
  <c r="AI107" i="1"/>
  <c r="U107" i="1"/>
  <c r="S107" i="1" s="1"/>
  <c r="AI106" i="1"/>
  <c r="U106" i="1"/>
  <c r="S106" i="1" s="1"/>
  <c r="AI105" i="1"/>
  <c r="U105" i="1"/>
  <c r="S105" i="1" s="1"/>
  <c r="AI104" i="1"/>
  <c r="U104" i="1"/>
  <c r="S104" i="1" s="1"/>
  <c r="AI71" i="1"/>
  <c r="AI69" i="1"/>
  <c r="AI67" i="1"/>
  <c r="AI65" i="1"/>
  <c r="U103" i="1"/>
  <c r="S103" i="1" s="1"/>
  <c r="AI103" i="1"/>
  <c r="U102" i="1"/>
  <c r="S102" i="1" s="1"/>
  <c r="AI102" i="1"/>
  <c r="U101" i="1"/>
  <c r="S101" i="1" s="1"/>
  <c r="AI101" i="1"/>
  <c r="W101" i="1"/>
  <c r="U100" i="1"/>
  <c r="S100" i="1" s="1"/>
  <c r="AI100" i="1"/>
  <c r="U99" i="1"/>
  <c r="S99" i="1" s="1"/>
  <c r="AI99" i="1"/>
  <c r="U98" i="1"/>
  <c r="S98" i="1" s="1"/>
  <c r="AI98" i="1"/>
  <c r="U97" i="1"/>
  <c r="S97" i="1" s="1"/>
  <c r="AI97" i="1"/>
  <c r="W97" i="1"/>
  <c r="U96" i="1"/>
  <c r="S96" i="1" s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AI70" i="1"/>
  <c r="AI68" i="1"/>
  <c r="AI66" i="1"/>
  <c r="AI64" i="1"/>
  <c r="W64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0" i="1"/>
  <c r="W219" i="1"/>
  <c r="W204" i="1"/>
  <c r="W199" i="1"/>
  <c r="W196" i="1"/>
  <c r="W191" i="1"/>
  <c r="W189" i="1"/>
  <c r="W186" i="1"/>
  <c r="W184" i="1"/>
  <c r="W182" i="1"/>
  <c r="W179" i="1"/>
  <c r="W177" i="1"/>
  <c r="W175" i="1"/>
  <c r="W173" i="1"/>
  <c r="W172" i="1"/>
  <c r="W218" i="1"/>
  <c r="W201" i="1"/>
  <c r="W198" i="1"/>
  <c r="W193" i="1"/>
  <c r="W190" i="1"/>
  <c r="W187" i="1"/>
  <c r="W185" i="1"/>
  <c r="W183" i="1"/>
  <c r="W180" i="1"/>
  <c r="W178" i="1"/>
  <c r="W176" i="1"/>
  <c r="W174" i="1"/>
  <c r="W167" i="1"/>
  <c r="W221" i="1"/>
  <c r="W203" i="1"/>
  <c r="W200" i="1"/>
  <c r="W195" i="1"/>
  <c r="W192" i="1"/>
  <c r="W169" i="1"/>
  <c r="W168" i="1"/>
  <c r="W205" i="1"/>
  <c r="W202" i="1"/>
  <c r="W197" i="1"/>
  <c r="W194" i="1"/>
  <c r="W171" i="1"/>
  <c r="W170" i="1"/>
  <c r="T218" i="1"/>
  <c r="U218" i="1" s="1"/>
  <c r="S218" i="1" s="1"/>
  <c r="X218" i="1"/>
  <c r="T204" i="1"/>
  <c r="U204" i="1" s="1"/>
  <c r="S204" i="1" s="1"/>
  <c r="X204" i="1"/>
  <c r="T202" i="1"/>
  <c r="U202" i="1" s="1"/>
  <c r="S202" i="1" s="1"/>
  <c r="X202" i="1"/>
  <c r="T200" i="1"/>
  <c r="U200" i="1" s="1"/>
  <c r="S200" i="1" s="1"/>
  <c r="X200" i="1"/>
  <c r="T198" i="1"/>
  <c r="U198" i="1" s="1"/>
  <c r="S198" i="1" s="1"/>
  <c r="X198" i="1"/>
  <c r="T196" i="1"/>
  <c r="U196" i="1" s="1"/>
  <c r="S196" i="1" s="1"/>
  <c r="X196" i="1"/>
  <c r="T194" i="1"/>
  <c r="U194" i="1" s="1"/>
  <c r="S194" i="1" s="1"/>
  <c r="X194" i="1"/>
  <c r="T192" i="1"/>
  <c r="U192" i="1" s="1"/>
  <c r="S192" i="1" s="1"/>
  <c r="X192" i="1"/>
  <c r="T190" i="1"/>
  <c r="U190" i="1" s="1"/>
  <c r="S190" i="1" s="1"/>
  <c r="X190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180" i="1"/>
  <c r="U180" i="1" s="1"/>
  <c r="S180" i="1" s="1"/>
  <c r="X180" i="1"/>
  <c r="T178" i="1"/>
  <c r="U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W162" i="1"/>
  <c r="W158" i="1"/>
  <c r="W157" i="1"/>
  <c r="W153" i="1"/>
  <c r="W230" i="1"/>
  <c r="W165" i="1"/>
  <c r="W161" i="1"/>
  <c r="W154" i="1"/>
  <c r="W152" i="1"/>
  <c r="T219" i="1"/>
  <c r="U219" i="1" s="1"/>
  <c r="S219" i="1" s="1"/>
  <c r="X219" i="1"/>
  <c r="T205" i="1"/>
  <c r="U205" i="1" s="1"/>
  <c r="S205" i="1" s="1"/>
  <c r="X205" i="1"/>
  <c r="T203" i="1"/>
  <c r="U203" i="1" s="1"/>
  <c r="S203" i="1" s="1"/>
  <c r="X203" i="1"/>
  <c r="T201" i="1"/>
  <c r="U201" i="1" s="1"/>
  <c r="S201" i="1" s="1"/>
  <c r="X201" i="1"/>
  <c r="T199" i="1"/>
  <c r="U199" i="1" s="1"/>
  <c r="X199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X193" i="1"/>
  <c r="T191" i="1"/>
  <c r="U191" i="1" s="1"/>
  <c r="S191" i="1" s="1"/>
  <c r="X191" i="1"/>
  <c r="T189" i="1"/>
  <c r="U189" i="1" s="1"/>
  <c r="S189" i="1" s="1"/>
  <c r="T186" i="1"/>
  <c r="U186" i="1" s="1"/>
  <c r="S186" i="1" s="1"/>
  <c r="X186" i="1"/>
  <c r="T184" i="1"/>
  <c r="U184" i="1" s="1"/>
  <c r="X184" i="1"/>
  <c r="T182" i="1"/>
  <c r="U182" i="1" s="1"/>
  <c r="S182" i="1" s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W164" i="1"/>
  <c r="W160" i="1"/>
  <c r="W155" i="1"/>
  <c r="W232" i="1"/>
  <c r="W166" i="1"/>
  <c r="W163" i="1"/>
  <c r="W159" i="1"/>
  <c r="W156" i="1"/>
  <c r="W231" i="1"/>
  <c r="T229" i="1"/>
  <c r="U229" i="1" s="1"/>
  <c r="S229" i="1" s="1"/>
  <c r="T228" i="1"/>
  <c r="U228" i="1" s="1"/>
  <c r="S228" i="1" s="1"/>
  <c r="T227" i="1"/>
  <c r="U227" i="1" s="1"/>
  <c r="S227" i="1" s="1"/>
  <c r="T226" i="1"/>
  <c r="U226" i="1" s="1"/>
  <c r="S226" i="1" s="1"/>
  <c r="T225" i="1"/>
  <c r="U225" i="1" s="1"/>
  <c r="S225" i="1" s="1"/>
  <c r="T224" i="1"/>
  <c r="U224" i="1" s="1"/>
  <c r="S224" i="1" s="1"/>
  <c r="T223" i="1"/>
  <c r="U223" i="1" s="1"/>
  <c r="S223" i="1" s="1"/>
  <c r="T222" i="1"/>
  <c r="U222" i="1" s="1"/>
  <c r="S222" i="1" s="1"/>
  <c r="T217" i="1"/>
  <c r="U217" i="1" s="1"/>
  <c r="S217" i="1" s="1"/>
  <c r="T216" i="1"/>
  <c r="U216" i="1" s="1"/>
  <c r="S216" i="1" s="1"/>
  <c r="T215" i="1"/>
  <c r="U215" i="1" s="1"/>
  <c r="S215" i="1" s="1"/>
  <c r="T214" i="1"/>
  <c r="U214" i="1" s="1"/>
  <c r="S214" i="1" s="1"/>
  <c r="T213" i="1"/>
  <c r="U213" i="1" s="1"/>
  <c r="S213" i="1" s="1"/>
  <c r="T212" i="1"/>
  <c r="U212" i="1" s="1"/>
  <c r="S212" i="1" s="1"/>
  <c r="T211" i="1"/>
  <c r="U211" i="1" s="1"/>
  <c r="S211" i="1" s="1"/>
  <c r="T210" i="1"/>
  <c r="U210" i="1" s="1"/>
  <c r="S210" i="1" s="1"/>
  <c r="T209" i="1"/>
  <c r="U209" i="1" s="1"/>
  <c r="S209" i="1" s="1"/>
  <c r="T208" i="1"/>
  <c r="U208" i="1" s="1"/>
  <c r="S208" i="1" s="1"/>
  <c r="T207" i="1"/>
  <c r="U207" i="1" s="1"/>
  <c r="S207" i="1" s="1"/>
  <c r="T206" i="1"/>
  <c r="U206" i="1" s="1"/>
  <c r="S206" i="1" s="1"/>
  <c r="T151" i="1"/>
  <c r="U151" i="1" s="1"/>
  <c r="S151" i="1" s="1"/>
  <c r="T148" i="1"/>
  <c r="U148" i="1" s="1"/>
  <c r="S148" i="1" s="1"/>
  <c r="X148" i="1"/>
  <c r="T146" i="1"/>
  <c r="U146" i="1" s="1"/>
  <c r="S146" i="1" s="1"/>
  <c r="X146" i="1"/>
  <c r="W139" i="1"/>
  <c r="W131" i="1"/>
  <c r="W130" i="1"/>
  <c r="W123" i="1"/>
  <c r="W122" i="1"/>
  <c r="W115" i="1"/>
  <c r="W114" i="1"/>
  <c r="W103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230" i="1"/>
  <c r="W149" i="1"/>
  <c r="W147" i="1"/>
  <c r="W145" i="1"/>
  <c r="W140" i="1"/>
  <c r="W133" i="1"/>
  <c r="W132" i="1"/>
  <c r="W125" i="1"/>
  <c r="W124" i="1"/>
  <c r="W117" i="1"/>
  <c r="W116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W144" i="1"/>
  <c r="W143" i="1"/>
  <c r="W142" i="1"/>
  <c r="W141" i="1"/>
  <c r="W136" i="1"/>
  <c r="W135" i="1"/>
  <c r="W127" i="1"/>
  <c r="W126" i="1"/>
  <c r="W119" i="1"/>
  <c r="W118" i="1"/>
  <c r="W113" i="1"/>
  <c r="W102" i="1"/>
  <c r="W99" i="1"/>
  <c r="AA229" i="1"/>
  <c r="W229" i="1" s="1"/>
  <c r="AA228" i="1"/>
  <c r="W228" i="1" s="1"/>
  <c r="AA227" i="1"/>
  <c r="W227" i="1" s="1"/>
  <c r="AA226" i="1"/>
  <c r="W226" i="1" s="1"/>
  <c r="AA225" i="1"/>
  <c r="W225" i="1" s="1"/>
  <c r="AA224" i="1"/>
  <c r="W224" i="1" s="1"/>
  <c r="AA223" i="1"/>
  <c r="W223" i="1" s="1"/>
  <c r="AA222" i="1"/>
  <c r="W222" i="1" s="1"/>
  <c r="AA217" i="1"/>
  <c r="W217" i="1" s="1"/>
  <c r="AA216" i="1"/>
  <c r="W216" i="1" s="1"/>
  <c r="AA215" i="1"/>
  <c r="W215" i="1" s="1"/>
  <c r="AA214" i="1"/>
  <c r="W214" i="1" s="1"/>
  <c r="AA213" i="1"/>
  <c r="W213" i="1" s="1"/>
  <c r="AA212" i="1"/>
  <c r="W212" i="1" s="1"/>
  <c r="AA211" i="1"/>
  <c r="W211" i="1" s="1"/>
  <c r="AA210" i="1"/>
  <c r="W210" i="1" s="1"/>
  <c r="AA209" i="1"/>
  <c r="W209" i="1" s="1"/>
  <c r="AA208" i="1"/>
  <c r="W208" i="1" s="1"/>
  <c r="AA207" i="1"/>
  <c r="W207" i="1" s="1"/>
  <c r="AA206" i="1"/>
  <c r="W206" i="1" s="1"/>
  <c r="AA151" i="1"/>
  <c r="W151" i="1" s="1"/>
  <c r="AA148" i="1"/>
  <c r="W148" i="1" s="1"/>
  <c r="AA146" i="1"/>
  <c r="W146" i="1" s="1"/>
  <c r="T144" i="1"/>
  <c r="U144" i="1" s="1"/>
  <c r="S144" i="1" s="1"/>
  <c r="X144" i="1"/>
  <c r="T143" i="1"/>
  <c r="U143" i="1" s="1"/>
  <c r="S143" i="1" s="1"/>
  <c r="X143" i="1"/>
  <c r="W138" i="1"/>
  <c r="W137" i="1"/>
  <c r="W129" i="1"/>
  <c r="W128" i="1"/>
  <c r="W121" i="1"/>
  <c r="W120" i="1"/>
  <c r="W95" i="1"/>
  <c r="W91" i="1"/>
  <c r="X142" i="1"/>
  <c r="X141" i="1"/>
  <c r="X140" i="1"/>
  <c r="T138" i="1"/>
  <c r="U138" i="1" s="1"/>
  <c r="S138" i="1" s="1"/>
  <c r="T136" i="1"/>
  <c r="U136" i="1" s="1"/>
  <c r="S136" i="1" s="1"/>
  <c r="T133" i="1"/>
  <c r="U133" i="1" s="1"/>
  <c r="S133" i="1" s="1"/>
  <c r="T131" i="1"/>
  <c r="U131" i="1" s="1"/>
  <c r="S131" i="1" s="1"/>
  <c r="T129" i="1"/>
  <c r="U129" i="1" s="1"/>
  <c r="S129" i="1" s="1"/>
  <c r="T127" i="1"/>
  <c r="U127" i="1" s="1"/>
  <c r="S127" i="1" s="1"/>
  <c r="T125" i="1"/>
  <c r="U125" i="1" s="1"/>
  <c r="S125" i="1" s="1"/>
  <c r="T123" i="1"/>
  <c r="U123" i="1" s="1"/>
  <c r="S123" i="1" s="1"/>
  <c r="T121" i="1"/>
  <c r="U121" i="1" s="1"/>
  <c r="S121" i="1" s="1"/>
  <c r="T119" i="1"/>
  <c r="U119" i="1" s="1"/>
  <c r="S119" i="1" s="1"/>
  <c r="T117" i="1"/>
  <c r="U117" i="1" s="1"/>
  <c r="S117" i="1" s="1"/>
  <c r="T115" i="1"/>
  <c r="U115" i="1" s="1"/>
  <c r="S115" i="1" s="1"/>
  <c r="T113" i="1"/>
  <c r="U113" i="1" s="1"/>
  <c r="S113" i="1" s="1"/>
  <c r="W112" i="1"/>
  <c r="T112" i="1"/>
  <c r="U112" i="1" s="1"/>
  <c r="S112" i="1" s="1"/>
  <c r="X111" i="1"/>
  <c r="W110" i="1"/>
  <c r="T110" i="1"/>
  <c r="U110" i="1" s="1"/>
  <c r="S110" i="1" s="1"/>
  <c r="X109" i="1"/>
  <c r="W108" i="1"/>
  <c r="T108" i="1"/>
  <c r="U108" i="1" s="1"/>
  <c r="S108" i="1" s="1"/>
  <c r="X107" i="1"/>
  <c r="W106" i="1"/>
  <c r="X105" i="1"/>
  <c r="W104" i="1"/>
  <c r="W100" i="1"/>
  <c r="W96" i="1"/>
  <c r="W94" i="1"/>
  <c r="W90" i="1"/>
  <c r="W93" i="1"/>
  <c r="W89" i="1"/>
  <c r="W111" i="1"/>
  <c r="W109" i="1"/>
  <c r="W107" i="1"/>
  <c r="X106" i="1"/>
  <c r="W105" i="1"/>
  <c r="W98" i="1"/>
  <c r="W92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69" i="1"/>
  <c r="W67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W70" i="1"/>
  <c r="W68" i="1"/>
  <c r="W65" i="1"/>
  <c r="W6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W61" i="1"/>
  <c r="W57" i="1"/>
  <c r="W55" i="1"/>
  <c r="W51" i="1"/>
  <c r="W47" i="1"/>
  <c r="W43" i="1"/>
  <c r="W39" i="1"/>
  <c r="W62" i="1"/>
  <c r="X60" i="1"/>
  <c r="W58" i="1"/>
  <c r="X56" i="1"/>
  <c r="W54" i="1"/>
  <c r="W50" i="1"/>
  <c r="W46" i="1"/>
  <c r="W42" i="1"/>
  <c r="W38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W63" i="1"/>
  <c r="W59" i="1"/>
  <c r="W53" i="1"/>
  <c r="W49" i="1"/>
  <c r="W45" i="1"/>
  <c r="W41" i="1"/>
  <c r="X77" i="1"/>
  <c r="X76" i="1"/>
  <c r="X75" i="1"/>
  <c r="X74" i="1"/>
  <c r="X73" i="1"/>
  <c r="W60" i="1"/>
  <c r="W56" i="1"/>
  <c r="W52" i="1"/>
  <c r="W48" i="1"/>
  <c r="W44" i="1"/>
  <c r="W40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D37" i="3"/>
  <c r="AE28" i="3"/>
  <c r="AC43" i="3"/>
  <c r="AE12" i="3"/>
  <c r="AD36" i="3"/>
  <c r="AD33" i="3"/>
  <c r="AE23" i="3"/>
  <c r="AD17" i="3"/>
  <c r="AE16" i="3"/>
  <c r="AD13" i="3"/>
  <c r="AE35" i="3"/>
  <c r="AD28" i="3"/>
  <c r="AD21" i="3"/>
  <c r="AE19" i="3"/>
  <c r="AD16" i="3"/>
  <c r="AE11" i="3"/>
  <c r="AD9" i="3"/>
  <c r="AD20" i="3"/>
  <c r="AD11" i="3"/>
  <c r="T21" i="3"/>
  <c r="AC36" i="3"/>
  <c r="AD31" i="3"/>
  <c r="T28" i="3"/>
  <c r="AC9" i="3"/>
  <c r="AC16" i="3"/>
  <c r="AD15" i="3"/>
  <c r="T24" i="3"/>
  <c r="AC31" i="3"/>
  <c r="AC22" i="3"/>
  <c r="AE36" i="3"/>
  <c r="AD35" i="3"/>
  <c r="T14" i="3"/>
  <c r="AC10" i="3"/>
  <c r="AC27" i="3"/>
  <c r="AE20" i="3"/>
  <c r="AD19" i="3"/>
  <c r="T32" i="3"/>
  <c r="AC41" i="3"/>
  <c r="AC30" i="3"/>
  <c r="AE24" i="3"/>
  <c r="AD43" i="3"/>
  <c r="T7" i="3"/>
  <c r="Y16" i="3"/>
  <c r="Y43" i="3"/>
  <c r="Y12" i="3"/>
  <c r="Y30" i="3"/>
  <c r="Y39" i="3"/>
  <c r="Y36" i="3"/>
  <c r="Y21" i="3"/>
  <c r="Y8" i="3"/>
  <c r="Y27" i="3"/>
  <c r="Y7" i="3"/>
  <c r="Y35" i="3"/>
  <c r="Y14" i="3"/>
  <c r="Y28" i="3"/>
  <c r="Y17" i="3"/>
  <c r="Y32" i="3"/>
  <c r="Y24" i="3"/>
  <c r="Y25" i="3"/>
  <c r="Y11" i="3"/>
  <c r="Y37" i="3"/>
  <c r="Y34" i="3"/>
  <c r="Y20" i="3"/>
  <c r="Y13" i="3"/>
  <c r="Y19" i="3"/>
  <c r="Y42" i="3"/>
  <c r="Y18" i="3"/>
  <c r="Y26" i="3"/>
  <c r="Y15" i="3"/>
  <c r="Y22" i="3"/>
  <c r="Y33" i="3"/>
  <c r="Y10" i="3"/>
  <c r="Y9" i="3"/>
  <c r="Y23" i="3"/>
  <c r="Y40" i="3"/>
  <c r="Y41" i="3"/>
  <c r="Y31" i="3"/>
  <c r="Y29" i="3"/>
  <c r="AE22" i="3"/>
  <c r="T42" i="3"/>
  <c r="AE18" i="3"/>
  <c r="T18" i="3"/>
  <c r="AE14" i="3"/>
  <c r="T26" i="3"/>
  <c r="AE10" i="3"/>
  <c r="T15" i="3"/>
  <c r="T34" i="3"/>
  <c r="AE34" i="3"/>
  <c r="T20" i="3"/>
  <c r="AE30" i="3"/>
  <c r="T13" i="3"/>
  <c r="AE26" i="3"/>
  <c r="T19" i="3"/>
  <c r="AD42" i="3"/>
  <c r="AE41" i="3"/>
  <c r="T22" i="3"/>
  <c r="AE37" i="3"/>
  <c r="T33" i="3"/>
  <c r="AD34" i="3"/>
  <c r="AE33" i="3"/>
  <c r="T10" i="3"/>
  <c r="AD30" i="3"/>
  <c r="AE29" i="3"/>
  <c r="T9" i="3"/>
  <c r="AD26" i="3"/>
  <c r="AE25" i="3"/>
  <c r="T23" i="3"/>
  <c r="AD22" i="3"/>
  <c r="AE21" i="3"/>
  <c r="T40" i="3"/>
  <c r="AD18" i="3"/>
  <c r="AE17" i="3"/>
  <c r="T41" i="3"/>
  <c r="AD14" i="3"/>
  <c r="AE13" i="3"/>
  <c r="T31" i="3"/>
  <c r="AD10" i="3"/>
  <c r="AE9" i="3"/>
  <c r="T29" i="3"/>
  <c r="AE42" i="3"/>
  <c r="T37" i="3"/>
  <c r="AE8" i="3"/>
  <c r="R38" i="3"/>
  <c r="M38" i="3"/>
  <c r="U38" i="3"/>
  <c r="AD38" i="3" s="1"/>
  <c r="X38" i="3"/>
  <c r="W38" i="3"/>
  <c r="Y38" i="3" l="1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S38" i="3" l="1"/>
  <c r="V38" i="3"/>
  <c r="AE38" i="3" s="1"/>
  <c r="AC38" i="3"/>
  <c r="V13" i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15" i="3" s="1"/>
  <c r="G33" i="4"/>
  <c r="G34" i="4"/>
  <c r="G35" i="4"/>
  <c r="G36" i="4"/>
  <c r="G37" i="4"/>
  <c r="G38" i="4"/>
  <c r="G39" i="4"/>
  <c r="G40" i="4"/>
  <c r="G41" i="4"/>
  <c r="G42" i="4"/>
  <c r="G43" i="4"/>
  <c r="G44" i="4"/>
  <c r="N30" i="3" s="1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N12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43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N16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9" i="3" s="1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8" i="3" l="1"/>
  <c r="N13" i="3"/>
  <c r="N26" i="3"/>
  <c r="N39" i="3"/>
  <c r="N7" i="3"/>
  <c r="N37" i="3"/>
  <c r="N35" i="3"/>
  <c r="N33" i="3"/>
  <c r="N34" i="3"/>
  <c r="N36" i="3"/>
  <c r="N8" i="3"/>
  <c r="N10" i="3"/>
  <c r="N27" i="3"/>
  <c r="N19" i="3"/>
  <c r="N11" i="3"/>
  <c r="N23" i="3"/>
  <c r="N41" i="3"/>
  <c r="N31" i="3"/>
  <c r="N22" i="3"/>
  <c r="N14" i="3"/>
  <c r="N21" i="3"/>
  <c r="N20" i="3"/>
  <c r="N40" i="3"/>
  <c r="N42" i="3"/>
  <c r="N32" i="3"/>
  <c r="N18" i="3"/>
  <c r="N24" i="3"/>
  <c r="N17" i="3"/>
  <c r="N25" i="3"/>
  <c r="N29" i="3"/>
  <c r="N3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38" i="3" l="1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<sst xmlns="http://schemas.openxmlformats.org/spreadsheetml/2006/main" count="2708" uniqueCount="988">
  <si>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</si>
  <si>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</si>
  <si>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</si>
  <si>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</si>
  <si>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</si>
  <si>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</si>
  <si>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</si>
  <si>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</si>
  <si>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</si>
  <si>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</si>
  <si>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</si>
  <si>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</si>
  <si>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</si>
  <si>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</si>
  <si>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</si>
  <si>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</si>
  <si>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</si>
  <si>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</si>
  <si>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</si>
  <si>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</si>
  <si>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</si>
  <si>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</si>
  <si>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</si>
  <si>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</si>
  <si>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</si>
  <si>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</si>
  <si>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</si>
  <si>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</si>
  <si>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</si>
  <si>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</si>
  <si>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</si>
  <si>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</si>
  <si>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</si>
  <si>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</si>
  <si>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</si>
  <si>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</si>
  <si>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</si>
  <si>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</si>
  <si>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</si>
  <si>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</si>
  <si>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</si>
  <si>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</si>
  <si>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</si>
  <si>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</si>
  <si>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</si>
  <si>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</si>
  <si>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</si>
  <si>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</si>
  <si>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</si>
  <si>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</si>
  <si>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</si>
  <si>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</si>
  <si>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</si>
  <si>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</si>
  <si>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</si>
  <si>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</si>
  <si>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</si>
  <si>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</si>
  <si>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</si>
  <si>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</si>
  <si>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</si>
  <si>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</si>
  <si>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</si>
  <si>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</si>
  <si>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</si>
  <si>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</si>
  <si>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</si>
  <si>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</si>
  <si>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</si>
  <si>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</si>
  <si>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</si>
  <si>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</si>
  <si>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</si>
  <si>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</si>
  <si>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</si>
  <si>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</si>
  <si>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</si>
  <si>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</si>
  <si>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</si>
  <si>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</si>
  <si>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</si>
  <si>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</si>
  <si>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</si>
  <si>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</si>
  <si>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</si>
  <si>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</si>
  <si>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</si>
  <si>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</si>
  <si>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</si>
  <si>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</si>
  <si>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</si>
  <si>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</si>
  <si>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</si>
  <si>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</si>
  <si>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</si>
  <si>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</si>
  <si>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</si>
  <si>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</si>
  <si>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</si>
  <si>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</si>
  <si>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</si>
  <si>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</si>
  <si>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</si>
  <si>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</si>
  <si>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</si>
  <si>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</si>
  <si>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</si>
  <si>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</si>
  <si>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</si>
  <si>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</si>
  <si>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</si>
  <si>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</si>
  <si>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</si>
  <si>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</si>
  <si>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</si>
  <si>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</si>
  <si>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</si>
  <si>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</si>
  <si>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</si>
  <si>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</si>
  <si>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</si>
  <si>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</si>
  <si>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</si>
  <si>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</si>
  <si>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</si>
  <si>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</si>
  <si>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</si>
  <si>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</si>
  <si>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</si>
  <si>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</si>
  <si>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</si>
  <si>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</si>
  <si>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</si>
  <si>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</si>
  <si>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</si>
  <si>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</si>
  <si>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</si>
  <si>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</si>
  <si>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</si>
  <si>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</si>
  <si>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</si>
  <si>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</si>
  <si>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</si>
  <si>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</si>
  <si>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</si>
  <si>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</si>
  <si>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</si>
  <si>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</si>
  <si>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</si>
  <si>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</si>
  <si>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</si>
  <si>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</si>
  <si>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</si>
  <si>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</si>
  <si>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</si>
  <si>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</si>
  <si>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</si>
  <si>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</si>
  <si>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</si>
  <si>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</si>
  <si>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</si>
  <si>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</si>
  <si>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</si>
  <si>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</si>
  <si>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</si>
  <si>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</si>
  <si>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</si>
  <si>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</si>
  <si>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</si>
  <si>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</si>
  <si>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</si>
  <si>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</si>
  <si>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</si>
  <si>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</si>
  <si>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</si>
  <si>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</si>
  <si>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</si>
  <si>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</si>
  <si>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</si>
  <si>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</si>
  <si>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</si>
  <si>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</si>
  <si>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</si>
  <si>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</si>
  <si>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</si>
  <si>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</si>
  <si>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</si>
  <si>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</si>
  <si>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</si>
  <si>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</si>
  <si>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</si>
  <si>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</si>
  <si>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</si>
  <si>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</si>
  <si>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</si>
  <si>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</si>
  <si>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</si>
  <si>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</si>
  <si>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</si>
  <si>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</si>
  <si>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</si>
  <si>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</si>
  <si>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</si>
  <si>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</si>
  <si>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</si>
  <si>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</si>
  <si>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</si>
  <si>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</si>
  <si>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</si>
  <si>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</si>
  <si>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</si>
  <si>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</si>
  <si>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</si>
  <si>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</si>
  <si>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</si>
  <si>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</si>
  <si>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</si>
  <si>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</si>
  <si>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</si>
  <si>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</si>
  <si>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</si>
  <si>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</si>
  <si>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</si>
  <si>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</si>
  <si>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</si>
  <si>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</si>
  <si>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</si>
  <si>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</si>
  <si>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</si>
  <si>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</si>
  <si>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</si>
  <si>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</si>
  <si>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</si>
  <si>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</si>
  <si>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</si>
  <si>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</si>
  <si>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</si>
  <si>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</si>
  <si>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</si>
  <si>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</si>
  <si>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</si>
  <si>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</si>
  <si>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</si>
  <si>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</si>
  <si>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</si>
  <si>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</si>
  <si>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</si>
  <si>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</si>
  <si>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</si>
  <si>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</si>
  <si>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</si>
  <si>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</si>
  <si>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</si>
  <si>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</si>
  <si>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</si>
  <si>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</si>
  <si>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</si>
  <si>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</si>
  <si>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</si>
  <si>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</si>
  <si>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</si>
  <si>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</si>
  <si>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</si>
  <si>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</si>
  <si>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</si>
  <si>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</si>
  <si>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</si>
  <si>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</si>
  <si>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</si>
  <si>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</si>
  <si>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</si>
  <si>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</si>
  <si>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</si>
  <si>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</si>
  <si>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</si>
  <si>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</si>
  <si>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</si>
  <si>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</si>
  <si>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</si>
  <si>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</si>
  <si>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</si>
  <si>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</si>
  <si>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</si>
  <si>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</si>
  <si>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</si>
  <si>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</si>
  <si>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</si>
  <si>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</si>
  <si>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</si>
  <si>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</si>
  <si>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</si>
  <si>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</si>
  <si>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</si>
  <si>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</si>
  <si>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</si>
  <si>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</si>
  <si>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</si>
  <si>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</si>
  <si>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</si>
  <si>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</si>
  <si>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</si>
  <si>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</si>
  <si>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</si>
  <si>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</si>
  <si>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</si>
  <si>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</si>
  <si>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</si>
  <si>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</si>
  <si>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</si>
  <si>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</si>
  <si>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</si>
  <si>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</si>
  <si>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</si>
  <si>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</si>
  <si>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</si>
  <si>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</si>
  <si>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</si>
  <si>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</si>
  <si>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</si>
  <si>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</si>
  <si>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</si>
  <si>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</si>
  <si>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</si>
  <si>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</si>
  <si>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</si>
  <si>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</si>
  <si>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</si>
  <si>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</si>
  <si>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</si>
  <si>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</si>
  <si>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</si>
  <si>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</si>
  <si>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</si>
  <si>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</si>
  <si>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</si>
  <si>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</si>
  <si>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</si>
  <si>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</si>
  <si>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</si>
  <si>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</si>
  <si>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</si>
  <si>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</si>
  <si>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</si>
  <si>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</si>
  <si>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</si>
  <si>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</si>
  <si>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</si>
  <si>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</si>
  <si>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</si>
  <si>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</si>
  <si>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</si>
  <si>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</si>
  <si>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</si>
  <si>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</si>
  <si>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</si>
  <si>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</si>
  <si>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</si>
  <si>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</si>
  <si>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</si>
  <si>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</si>
  <si>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</si>
  <si>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</si>
  <si>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</si>
  <si>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</si>
  <si>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</si>
  <si>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</si>
  <si>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</si>
  <si>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</si>
  <si>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</si>
  <si>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</si>
  <si>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</si>
  <si>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</si>
  <si>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</si>
  <si>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STAMBAUGH</t>
  </si>
  <si>
    <t>204:154</t>
  </si>
  <si>
    <t>204:466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</si>
  <si>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</si>
  <si>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</si>
  <si>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</si>
  <si>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</si>
  <si>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</si>
  <si>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</si>
  <si>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</si>
  <si>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</si>
  <si>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</si>
  <si>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</si>
  <si>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</si>
  <si>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</si>
  <si>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</si>
  <si>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</si>
  <si>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204:233291</t>
  </si>
  <si>
    <t>204:467</t>
  </si>
  <si>
    <t>204:473</t>
  </si>
  <si>
    <t>rtdc.l.rtdc.4061:itc</t>
  </si>
  <si>
    <t>rtdc.l.rtdc.4055:itc</t>
  </si>
  <si>
    <t>204:469</t>
  </si>
  <si>
    <t>204:232992</t>
  </si>
  <si>
    <t>Wi-MAX data drop</t>
  </si>
  <si>
    <t>MICHAEL</t>
  </si>
  <si>
    <t>204:475</t>
  </si>
  <si>
    <t>204:233308</t>
  </si>
  <si>
    <t>204:233302</t>
  </si>
  <si>
    <t>204:233010</t>
  </si>
  <si>
    <t>204:160</t>
  </si>
  <si>
    <t>LEVERE</t>
  </si>
  <si>
    <t>CRAIG</t>
  </si>
  <si>
    <t>LEVIN</t>
  </si>
  <si>
    <t>SCOTT</t>
  </si>
  <si>
    <t>204:233325</t>
  </si>
  <si>
    <t>204:233336</t>
  </si>
  <si>
    <t>204:232980</t>
  </si>
  <si>
    <t>clear-night</t>
  </si>
  <si>
    <t>Clear</t>
  </si>
  <si>
    <t>rtdc.l.rtdc.4066:itc</t>
  </si>
  <si>
    <t>rtdc.l.rtdc.4065:itc</t>
  </si>
  <si>
    <t>309-04</t>
  </si>
  <si>
    <t>MCREYNOLDS</t>
  </si>
  <si>
    <t>KYLE</t>
  </si>
  <si>
    <t>242-04</t>
  </si>
  <si>
    <t>307-04</t>
  </si>
  <si>
    <t>244-04</t>
  </si>
  <si>
    <t>311-04</t>
  </si>
  <si>
    <t>50-05</t>
  </si>
  <si>
    <t>300-05</t>
  </si>
  <si>
    <t>204:233306</t>
  </si>
  <si>
    <t>204:233280</t>
  </si>
  <si>
    <t>204:232975</t>
  </si>
  <si>
    <t>204:233314</t>
  </si>
  <si>
    <t>204:233305</t>
  </si>
  <si>
    <t>204:233316</t>
  </si>
  <si>
    <t>204:992</t>
  </si>
  <si>
    <t>%REDMINEAPIKEY%</t>
  </si>
  <si>
    <t>rtdc.l.rtdc.4036:itc</t>
  </si>
  <si>
    <t>204:163</t>
  </si>
  <si>
    <t>204:232977</t>
  </si>
  <si>
    <t>204:464</t>
  </si>
  <si>
    <t>204:232991</t>
  </si>
  <si>
    <t>rtdc.l.rtdc.4052:itc</t>
  </si>
  <si>
    <t>rtdc.l.rtdc.4051:itc</t>
  </si>
  <si>
    <t>rtdc.l.rtdc.4046:itc</t>
  </si>
  <si>
    <t>YANG</t>
  </si>
  <si>
    <t>JAN</t>
  </si>
  <si>
    <t>STEWART</t>
  </si>
  <si>
    <t>204:232985</t>
  </si>
  <si>
    <t>204:165</t>
  </si>
  <si>
    <t>204:232972</t>
  </si>
  <si>
    <t>204:233303</t>
  </si>
  <si>
    <t>204:232984</t>
  </si>
  <si>
    <t>204:233327</t>
  </si>
  <si>
    <t>204:232994</t>
  </si>
  <si>
    <t>204:965</t>
  </si>
  <si>
    <t>204:981</t>
  </si>
  <si>
    <t>300:58960</t>
  </si>
  <si>
    <t>300:58943</t>
  </si>
  <si>
    <t>rtdc.l.rtdc.4035:itc</t>
  </si>
  <si>
    <t>rtdc.l.rtdc.4020:itc</t>
  </si>
  <si>
    <t>FORTUNATO</t>
  </si>
  <si>
    <t>FRANK</t>
  </si>
  <si>
    <t>GEBRETEKLE</t>
  </si>
  <si>
    <t>DAGNEW</t>
  </si>
  <si>
    <t>BRUDER</t>
  </si>
  <si>
    <t>RICHARD</t>
  </si>
  <si>
    <t>MOSES</t>
  </si>
  <si>
    <t>BRADLEY</t>
  </si>
  <si>
    <t>NEWELL</t>
  </si>
  <si>
    <t>ZEWDU</t>
  </si>
  <si>
    <t>DEREJE</t>
  </si>
  <si>
    <t>ROBINSON</t>
  </si>
  <si>
    <t>KADDIBA</t>
  </si>
  <si>
    <t>clear-day</t>
  </si>
  <si>
    <t>204:233284</t>
  </si>
  <si>
    <t>204:442</t>
  </si>
  <si>
    <t>204:233002</t>
  </si>
  <si>
    <t>204:232965</t>
  </si>
  <si>
    <t>204:449</t>
  </si>
  <si>
    <t>204:233003</t>
  </si>
  <si>
    <t>204:462</t>
  </si>
  <si>
    <t>204:232982</t>
  </si>
  <si>
    <t>204:233310</t>
  </si>
  <si>
    <t>204:232989</t>
  </si>
  <si>
    <t>204:233321</t>
  </si>
  <si>
    <t>204:232998</t>
  </si>
  <si>
    <t>204:233309</t>
  </si>
  <si>
    <t>204:233289</t>
  </si>
  <si>
    <t>204:232987</t>
  </si>
  <si>
    <t>300:23346</t>
  </si>
  <si>
    <t>204:976</t>
  </si>
  <si>
    <t>300:58655</t>
  </si>
  <si>
    <t>204:675</t>
  </si>
  <si>
    <t>300:58952</t>
  </si>
  <si>
    <t>300:58628</t>
  </si>
  <si>
    <t>SIGNAL</t>
  </si>
  <si>
    <t>Signal based authority (5)</t>
  </si>
  <si>
    <t>rtdc.l.rtdc.4001:itc</t>
  </si>
  <si>
    <t>rtdc.l.rtdc.4013:itc</t>
  </si>
  <si>
    <t>rtdc.l.rtdc.4045:itc</t>
  </si>
  <si>
    <t>rtdc.l.rtdc.4014:itc</t>
  </si>
  <si>
    <t>rtdc.l.rtdc.4032:itc</t>
  </si>
  <si>
    <t>ACKERMAN</t>
  </si>
  <si>
    <t>JARED</t>
  </si>
  <si>
    <t>rtdc.l.rtdc.4031:itc</t>
  </si>
  <si>
    <t>WENDY</t>
  </si>
  <si>
    <t>rtdc.l.rtdc.4002:itc</t>
  </si>
  <si>
    <t>DELGADO</t>
  </si>
  <si>
    <t>DIANAH</t>
  </si>
  <si>
    <t>KILLION</t>
  </si>
  <si>
    <t>DAVID</t>
  </si>
  <si>
    <t>LOPES</t>
  </si>
  <si>
    <t>KIMBERLY</t>
  </si>
  <si>
    <t>908-11</t>
  </si>
  <si>
    <t>238-11</t>
  </si>
  <si>
    <t>241-11</t>
  </si>
  <si>
    <t>240-11</t>
  </si>
  <si>
    <t>243-11</t>
  </si>
  <si>
    <t>313-11</t>
  </si>
  <si>
    <t>88-11</t>
  </si>
  <si>
    <t>89-11</t>
  </si>
  <si>
    <t>242-11</t>
  </si>
  <si>
    <t>307-11</t>
  </si>
  <si>
    <t>244-11</t>
  </si>
  <si>
    <t>309-11</t>
  </si>
  <si>
    <t>311-11</t>
  </si>
  <si>
    <t>300-12</t>
  </si>
  <si>
    <t>204:438</t>
  </si>
  <si>
    <t>204:174</t>
  </si>
  <si>
    <t>204:129</t>
  </si>
  <si>
    <t>204:233301</t>
  </si>
  <si>
    <t>204:233042</t>
  </si>
  <si>
    <t>204:138</t>
  </si>
  <si>
    <t>204:233293</t>
  </si>
  <si>
    <t>204:232978</t>
  </si>
  <si>
    <t>204:440</t>
  </si>
  <si>
    <t>204:233011</t>
  </si>
  <si>
    <t>204:233331</t>
  </si>
  <si>
    <t>204:484</t>
  </si>
  <si>
    <t>204:232967</t>
  </si>
  <si>
    <t>204:233019</t>
  </si>
  <si>
    <t>204:169</t>
  </si>
  <si>
    <t>204:444</t>
  </si>
  <si>
    <t>204:233355</t>
  </si>
  <si>
    <t>204:480</t>
  </si>
  <si>
    <t>300:23497</t>
  </si>
  <si>
    <t>204:477</t>
  </si>
  <si>
    <t>204:433</t>
  </si>
  <si>
    <t>300:23308</t>
  </si>
  <si>
    <t>300:58961</t>
  </si>
  <si>
    <t>204:1004</t>
  </si>
  <si>
    <t>300:58653</t>
  </si>
  <si>
    <t>204:703</t>
  </si>
  <si>
    <t>300:58965</t>
  </si>
  <si>
    <t>204:962</t>
  </si>
  <si>
    <t>204:986</t>
  </si>
  <si>
    <t>204:692</t>
  </si>
  <si>
    <t>300:58640</t>
  </si>
  <si>
    <t>300:58935</t>
  </si>
  <si>
    <t>300:58645</t>
  </si>
  <si>
    <t>300:58954</t>
  </si>
  <si>
    <t>300:23563</t>
  </si>
  <si>
    <t>300:28795</t>
  </si>
  <si>
    <t>start /low /b %USERPROFILE%\Documents\GitHub\eaglep3\Utilities\DownloadLogsFromS3.py --loco 4064 --day 2017-10-12</t>
  </si>
  <si>
    <t>308-12</t>
  </si>
  <si>
    <t>rtdc.l.rtdc.4030:itc</t>
  </si>
  <si>
    <t>901-12</t>
  </si>
  <si>
    <t>801-12</t>
  </si>
  <si>
    <t>110-12</t>
  </si>
  <si>
    <t>rtdc.l.rtdc.4041:itc</t>
  </si>
  <si>
    <t>804-12</t>
  </si>
  <si>
    <t>805-12</t>
  </si>
  <si>
    <t>809-12</t>
  </si>
  <si>
    <t>rtdc.l.rtdc.4042:itc</t>
  </si>
  <si>
    <t>811-12</t>
  </si>
  <si>
    <t>rtdc.l.rtdc.4029:itc</t>
  </si>
  <si>
    <t>810-12</t>
  </si>
  <si>
    <t>151-12</t>
  </si>
  <si>
    <t>rtdc.l.rtdc.4057:itc</t>
  </si>
  <si>
    <t>52-12</t>
  </si>
  <si>
    <t>rtdc.l.rtdc.4025:itc</t>
  </si>
  <si>
    <t>148-12</t>
  </si>
  <si>
    <t>817-12</t>
  </si>
  <si>
    <t>rtdc.l.rtdc.4011:itc</t>
  </si>
  <si>
    <t>56-12</t>
  </si>
  <si>
    <t>57-12</t>
  </si>
  <si>
    <t>171-12</t>
  </si>
  <si>
    <t>166-12</t>
  </si>
  <si>
    <t>172-12</t>
  </si>
  <si>
    <t>rtdc.l.rtdc.4003:itc</t>
  </si>
  <si>
    <t>174-12</t>
  </si>
  <si>
    <t>SWITCH UNKNOWN</t>
  </si>
  <si>
    <t>Track device (7)</t>
  </si>
  <si>
    <t>823-12</t>
  </si>
  <si>
    <t>182-12</t>
  </si>
  <si>
    <t>193-12</t>
  </si>
  <si>
    <t>826-12</t>
  </si>
  <si>
    <t>rtdc.l.rtdc.4062:itc</t>
  </si>
  <si>
    <t>211-12</t>
  </si>
  <si>
    <t>200-12</t>
  </si>
  <si>
    <t>210-12</t>
  </si>
  <si>
    <t>202-12</t>
  </si>
  <si>
    <t>841-12</t>
  </si>
  <si>
    <t>216-12</t>
  </si>
  <si>
    <t>843-12</t>
  </si>
  <si>
    <t>226-12</t>
  </si>
  <si>
    <t>101-12</t>
  </si>
  <si>
    <t>302-12</t>
  </si>
  <si>
    <t>MAELZER</t>
  </si>
  <si>
    <t>KURT</t>
  </si>
  <si>
    <t>103-12</t>
  </si>
  <si>
    <t>304-12</t>
  </si>
  <si>
    <t>PAGE</t>
  </si>
  <si>
    <t>MARCUS</t>
  </si>
  <si>
    <t>102-12</t>
  </si>
  <si>
    <t>306-12</t>
  </si>
  <si>
    <t>rtdc.l.rtdc.4026:itc</t>
  </si>
  <si>
    <t>105-12</t>
  </si>
  <si>
    <t>WILLIAMS</t>
  </si>
  <si>
    <t>DONTE</t>
  </si>
  <si>
    <t>107-12</t>
  </si>
  <si>
    <t>104-12</t>
  </si>
  <si>
    <t>109-12</t>
  </si>
  <si>
    <t>rtdc.l.rtdc.4053:itc</t>
  </si>
  <si>
    <t>310-12</t>
  </si>
  <si>
    <t>CASSIDY</t>
  </si>
  <si>
    <t>BRANDON</t>
  </si>
  <si>
    <t>111-12</t>
  </si>
  <si>
    <t>106-12</t>
  </si>
  <si>
    <t>108-12</t>
  </si>
  <si>
    <t>800-12</t>
  </si>
  <si>
    <t>rtdc.l.rtdc.4054:itc</t>
  </si>
  <si>
    <t>113-12</t>
  </si>
  <si>
    <t>312-12</t>
  </si>
  <si>
    <t>115-12</t>
  </si>
  <si>
    <t>rtdc.l.rtdc.4004:itc</t>
  </si>
  <si>
    <t>117-12</t>
  </si>
  <si>
    <t>902-12</t>
  </si>
  <si>
    <t>112-12</t>
  </si>
  <si>
    <t>119-12</t>
  </si>
  <si>
    <t>802-12</t>
  </si>
  <si>
    <t>803-12</t>
  </si>
  <si>
    <t>114-12</t>
  </si>
  <si>
    <t>121-12</t>
  </si>
  <si>
    <t>116-12</t>
  </si>
  <si>
    <t>123-12</t>
  </si>
  <si>
    <t>118-12</t>
  </si>
  <si>
    <t>125-12</t>
  </si>
  <si>
    <t>120-12</t>
  </si>
  <si>
    <t>122-12</t>
  </si>
  <si>
    <t>127-12</t>
  </si>
  <si>
    <t>806-12</t>
  </si>
  <si>
    <t>807-12</t>
  </si>
  <si>
    <t>129-12</t>
  </si>
  <si>
    <t>124-12</t>
  </si>
  <si>
    <t>126-12</t>
  </si>
  <si>
    <t>131-12</t>
  </si>
  <si>
    <t>808-12</t>
  </si>
  <si>
    <t>133-12</t>
  </si>
  <si>
    <t>128-12</t>
  </si>
  <si>
    <t>GONZALEZ</t>
  </si>
  <si>
    <t>ARMANDO</t>
  </si>
  <si>
    <t>135-12</t>
  </si>
  <si>
    <t>130-12</t>
  </si>
  <si>
    <t>137-12</t>
  </si>
  <si>
    <t>132-12</t>
  </si>
  <si>
    <t>139-12</t>
  </si>
  <si>
    <t>812-12</t>
  </si>
  <si>
    <t>903-12</t>
  </si>
  <si>
    <t>134-12</t>
  </si>
  <si>
    <t>141-12</t>
  </si>
  <si>
    <t>136-12</t>
  </si>
  <si>
    <t>143-12</t>
  </si>
  <si>
    <t>813-12</t>
  </si>
  <si>
    <t>138-12</t>
  </si>
  <si>
    <t>145-12</t>
  </si>
  <si>
    <t>147-12</t>
  </si>
  <si>
    <t>140-12</t>
  </si>
  <si>
    <t>51-12</t>
  </si>
  <si>
    <t>814-12</t>
  </si>
  <si>
    <t>142-12</t>
  </si>
  <si>
    <t>149-12</t>
  </si>
  <si>
    <t>144-12</t>
  </si>
  <si>
    <t>815-12</t>
  </si>
  <si>
    <t>rtdc.l.rtdc.4058:itc</t>
  </si>
  <si>
    <t>146-12</t>
  </si>
  <si>
    <t>153-12</t>
  </si>
  <si>
    <t>150-12</t>
  </si>
  <si>
    <t>155-12</t>
  </si>
  <si>
    <t>816-12</t>
  </si>
  <si>
    <t>157-12</t>
  </si>
  <si>
    <t>BADERTSCHER</t>
  </si>
  <si>
    <t>DIANE</t>
  </si>
  <si>
    <t>152-12</t>
  </si>
  <si>
    <t>159-12</t>
  </si>
  <si>
    <t>154-12</t>
  </si>
  <si>
    <t>156-12</t>
  </si>
  <si>
    <t>161-12</t>
  </si>
  <si>
    <t>163-12</t>
  </si>
  <si>
    <t>818-12</t>
  </si>
  <si>
    <t>158-12</t>
  </si>
  <si>
    <t>55-12</t>
  </si>
  <si>
    <t>165-12</t>
  </si>
  <si>
    <t>160-12</t>
  </si>
  <si>
    <t>167-12</t>
  </si>
  <si>
    <t>819-12</t>
  </si>
  <si>
    <t>rtdc.l.rtdc.4012:itc</t>
  </si>
  <si>
    <t>59-12</t>
  </si>
  <si>
    <t>162-12</t>
  </si>
  <si>
    <t>169-12</t>
  </si>
  <si>
    <t>164-12</t>
  </si>
  <si>
    <t>820-12</t>
  </si>
  <si>
    <t>173-12</t>
  </si>
  <si>
    <t>58-12</t>
  </si>
  <si>
    <t>168-12</t>
  </si>
  <si>
    <t>175-12</t>
  </si>
  <si>
    <t>821-12</t>
  </si>
  <si>
    <t>NELSON</t>
  </si>
  <si>
    <t>ARIANE</t>
  </si>
  <si>
    <t>170-12</t>
  </si>
  <si>
    <t>177-12</t>
  </si>
  <si>
    <t>179-12</t>
  </si>
  <si>
    <t>822-12</t>
  </si>
  <si>
    <t>181-12</t>
  </si>
  <si>
    <t>176-12</t>
  </si>
  <si>
    <t>183-12</t>
  </si>
  <si>
    <t>178-12</t>
  </si>
  <si>
    <t>185-12</t>
  </si>
  <si>
    <t>180-12</t>
  </si>
  <si>
    <t>187-12</t>
  </si>
  <si>
    <t>824-12</t>
  </si>
  <si>
    <t>189-12</t>
  </si>
  <si>
    <t>184-12</t>
  </si>
  <si>
    <t>191-12</t>
  </si>
  <si>
    <t>186-12</t>
  </si>
  <si>
    <t>825-12</t>
  </si>
  <si>
    <t>188-12</t>
  </si>
  <si>
    <t>195-12</t>
  </si>
  <si>
    <t>BERLING</t>
  </si>
  <si>
    <t>GARY</t>
  </si>
  <si>
    <t>904-12</t>
  </si>
  <si>
    <t>190-12</t>
  </si>
  <si>
    <t>827-12</t>
  </si>
  <si>
    <t>197-12</t>
  </si>
  <si>
    <t>192-12</t>
  </si>
  <si>
    <t>199-12</t>
  </si>
  <si>
    <t>828-12</t>
  </si>
  <si>
    <t>194-12</t>
  </si>
  <si>
    <t>829-12</t>
  </si>
  <si>
    <t>201-12</t>
  </si>
  <si>
    <t>196-12</t>
  </si>
  <si>
    <t>203-12</t>
  </si>
  <si>
    <t>830-12</t>
  </si>
  <si>
    <t>831-12</t>
  </si>
  <si>
    <t>198-12</t>
  </si>
  <si>
    <t>61-12</t>
  </si>
  <si>
    <t>205-12</t>
  </si>
  <si>
    <t>207-12</t>
  </si>
  <si>
    <t>832-12</t>
  </si>
  <si>
    <t>833-12</t>
  </si>
  <si>
    <t>63-12</t>
  </si>
  <si>
    <t>209-12</t>
  </si>
  <si>
    <t>BIRENBAUM</t>
  </si>
  <si>
    <t>THOMAS</t>
  </si>
  <si>
    <t>204-12</t>
  </si>
  <si>
    <t>834-12</t>
  </si>
  <si>
    <t>835-12</t>
  </si>
  <si>
    <t>76-12</t>
  </si>
  <si>
    <t>213-12</t>
  </si>
  <si>
    <t>215-12</t>
  </si>
  <si>
    <t>836-12</t>
  </si>
  <si>
    <t>837-12</t>
  </si>
  <si>
    <t>206-12</t>
  </si>
  <si>
    <t>208-12</t>
  </si>
  <si>
    <t>838-12</t>
  </si>
  <si>
    <t>839-12</t>
  </si>
  <si>
    <t>219-12</t>
  </si>
  <si>
    <t>305-12</t>
  </si>
  <si>
    <t>212-12</t>
  </si>
  <si>
    <t>301-12</t>
  </si>
  <si>
    <t>221-12</t>
  </si>
  <si>
    <t>WEST</t>
  </si>
  <si>
    <t>BRYAN</t>
  </si>
  <si>
    <t>906-12</t>
  </si>
  <si>
    <t>223-12</t>
  </si>
  <si>
    <t>303-12</t>
  </si>
  <si>
    <t>220-12</t>
  </si>
  <si>
    <t>840-12</t>
  </si>
  <si>
    <t>225-12</t>
  </si>
  <si>
    <t>ELBAUM</t>
  </si>
  <si>
    <t>MIKE</t>
  </si>
  <si>
    <t>222-12</t>
  </si>
  <si>
    <t>224-12</t>
  </si>
  <si>
    <t>227-12</t>
  </si>
  <si>
    <t>842-12</t>
  </si>
  <si>
    <t>229-12</t>
  </si>
  <si>
    <t>845-12</t>
  </si>
  <si>
    <t>231-12</t>
  </si>
  <si>
    <t>228-12</t>
  </si>
  <si>
    <t>844-12</t>
  </si>
  <si>
    <t>233-12</t>
  </si>
  <si>
    <t>230-12</t>
  </si>
  <si>
    <t>847-12</t>
  </si>
  <si>
    <t>235-12</t>
  </si>
  <si>
    <t>232-12</t>
  </si>
  <si>
    <t>846-12</t>
  </si>
  <si>
    <t>234-12</t>
  </si>
  <si>
    <t>237-12</t>
  </si>
  <si>
    <t>849-12</t>
  </si>
  <si>
    <t>239-12</t>
  </si>
  <si>
    <t>236-12</t>
  </si>
  <si>
    <t>908-12</t>
  </si>
  <si>
    <t>241-12</t>
  </si>
  <si>
    <t>238-12</t>
  </si>
  <si>
    <t>243-12</t>
  </si>
  <si>
    <t>240-12</t>
  </si>
  <si>
    <t>242-12</t>
  </si>
  <si>
    <t>313-12</t>
  </si>
  <si>
    <t>307-12</t>
  </si>
  <si>
    <t>244-12</t>
  </si>
  <si>
    <t>309-12</t>
  </si>
  <si>
    <t>311-12</t>
  </si>
  <si>
    <t>precipType</t>
  </si>
  <si>
    <t>rain</t>
  </si>
  <si>
    <t>204:233349</t>
  </si>
  <si>
    <t>204:130</t>
  </si>
  <si>
    <t>204:429</t>
  </si>
  <si>
    <t>204:233353</t>
  </si>
  <si>
    <t>204:233023</t>
  </si>
  <si>
    <t>204:232993</t>
  </si>
  <si>
    <t>204:232953</t>
  </si>
  <si>
    <t>204:232968</t>
  </si>
  <si>
    <t>204:172</t>
  </si>
  <si>
    <t>204:233323</t>
  </si>
  <si>
    <t>204:233299</t>
  </si>
  <si>
    <t>204:233317</t>
  </si>
  <si>
    <t>204:233257</t>
  </si>
  <si>
    <t>204:232969</t>
  </si>
  <si>
    <t>204:482</t>
  </si>
  <si>
    <t>204:233330</t>
  </si>
  <si>
    <t>204:233001</t>
  </si>
  <si>
    <t>204:134</t>
  </si>
  <si>
    <t>204:232988</t>
  </si>
  <si>
    <t>204:232981</t>
  </si>
  <si>
    <t>204:232952</t>
  </si>
  <si>
    <t>204:233286</t>
  </si>
  <si>
    <t>204:136</t>
  </si>
  <si>
    <t>204:233332</t>
  </si>
  <si>
    <t>204:232973</t>
  </si>
  <si>
    <t>204:233287</t>
  </si>
  <si>
    <t>204:185</t>
  </si>
  <si>
    <t>204:233283</t>
  </si>
  <si>
    <t>204:232976</t>
  </si>
  <si>
    <t>204:118</t>
  </si>
  <si>
    <t>204:407</t>
  </si>
  <si>
    <t>204:435</t>
  </si>
  <si>
    <t>204:233281</t>
  </si>
  <si>
    <t>204:233040</t>
  </si>
  <si>
    <t>204:233264</t>
  </si>
  <si>
    <t>204:232959</t>
  </si>
  <si>
    <t>204:233300</t>
  </si>
  <si>
    <t>204:232986</t>
  </si>
  <si>
    <t>204:19126</t>
  </si>
  <si>
    <t>204:232970</t>
  </si>
  <si>
    <t>204:233362</t>
  </si>
  <si>
    <t>204:233026</t>
  </si>
  <si>
    <t>204:107324</t>
  </si>
  <si>
    <t>204:233329</t>
  </si>
  <si>
    <t>204:914</t>
  </si>
  <si>
    <t>204:1165</t>
  </si>
  <si>
    <t>204:1747</t>
  </si>
  <si>
    <t>204:232955</t>
  </si>
  <si>
    <t>204:64698</t>
  </si>
  <si>
    <t>204:233311</t>
  </si>
  <si>
    <t>204:183</t>
  </si>
  <si>
    <t>204:233276</t>
  </si>
  <si>
    <t>204:233328</t>
  </si>
  <si>
    <t>204:141</t>
  </si>
  <si>
    <t>204:497</t>
  </si>
  <si>
    <t>204:233051</t>
  </si>
  <si>
    <t>204:233008</t>
  </si>
  <si>
    <t>204:233074</t>
  </si>
  <si>
    <t>204:116</t>
  </si>
  <si>
    <t>204:233015</t>
  </si>
  <si>
    <t>204:233072</t>
  </si>
  <si>
    <t>204:1235</t>
  </si>
  <si>
    <t>300:19662</t>
  </si>
  <si>
    <t>204:1177</t>
  </si>
  <si>
    <t>300:23457</t>
  </si>
  <si>
    <t>204:431</t>
  </si>
  <si>
    <t>300:23304</t>
  </si>
  <si>
    <t>300:23561</t>
  </si>
  <si>
    <t>300:23576</t>
  </si>
  <si>
    <t>300:23360</t>
  </si>
  <si>
    <t>204:366</t>
  </si>
  <si>
    <t>300:24277</t>
  </si>
  <si>
    <t>300:22087</t>
  </si>
  <si>
    <t>204:106</t>
  </si>
  <si>
    <t>300:24226</t>
  </si>
  <si>
    <t>300:24697</t>
  </si>
  <si>
    <t>300:24343</t>
  </si>
  <si>
    <t>204:336</t>
  </si>
  <si>
    <t>300:24250</t>
  </si>
  <si>
    <t>204:1290</t>
  </si>
  <si>
    <t>300:24260</t>
  </si>
  <si>
    <t>204:1471</t>
  </si>
  <si>
    <t>300:23302</t>
  </si>
  <si>
    <t>204:1158</t>
  </si>
  <si>
    <t>204:3320</t>
  </si>
  <si>
    <t>204:2985</t>
  </si>
  <si>
    <t>300:23555</t>
  </si>
  <si>
    <t>300:58700</t>
  </si>
  <si>
    <t>204:717</t>
  </si>
  <si>
    <t>204:1018</t>
  </si>
  <si>
    <t>300:59014</t>
  </si>
  <si>
    <t>300:58690</t>
  </si>
  <si>
    <t>204:663</t>
  </si>
  <si>
    <t>204:983</t>
  </si>
  <si>
    <t>300:58982</t>
  </si>
  <si>
    <t>300:58666</t>
  </si>
  <si>
    <t>300:59016</t>
  </si>
  <si>
    <t>300:58692</t>
  </si>
  <si>
    <t>204:643</t>
  </si>
  <si>
    <t>300:58696</t>
  </si>
  <si>
    <t>204:915</t>
  </si>
  <si>
    <t>204:164</t>
  </si>
  <si>
    <t>204:1693</t>
  </si>
  <si>
    <t>300:58980</t>
  </si>
  <si>
    <t>204:710</t>
  </si>
  <si>
    <t>300:58638</t>
  </si>
  <si>
    <t>204:720</t>
  </si>
  <si>
    <t>204:1027</t>
  </si>
  <si>
    <t>300:58976</t>
  </si>
  <si>
    <t>204:727</t>
  </si>
  <si>
    <t>204:993</t>
  </si>
  <si>
    <t>300:58990</t>
  </si>
  <si>
    <t>300:58683</t>
  </si>
  <si>
    <t>204:724</t>
  </si>
  <si>
    <t>204:1014</t>
  </si>
  <si>
    <t>204:712</t>
  </si>
  <si>
    <t>204:967</t>
  </si>
  <si>
    <t>300:58636</t>
  </si>
  <si>
    <t>204:953</t>
  </si>
  <si>
    <t>300:58929</t>
  </si>
  <si>
    <t>300:57301</t>
  </si>
  <si>
    <t>300:58613</t>
  </si>
  <si>
    <t>300:57291</t>
  </si>
  <si>
    <t>204:943</t>
  </si>
  <si>
    <t>300:58621</t>
  </si>
  <si>
    <t>204:661</t>
  </si>
  <si>
    <t>204:974</t>
  </si>
  <si>
    <t>300:58931</t>
  </si>
  <si>
    <t>204:948</t>
  </si>
  <si>
    <t>300:58626</t>
  </si>
  <si>
    <t>204:678</t>
  </si>
  <si>
    <t>204:964</t>
  </si>
  <si>
    <t>300:58926</t>
  </si>
  <si>
    <t>300:58609</t>
  </si>
  <si>
    <t>204:680</t>
  </si>
  <si>
    <t>204:706</t>
  </si>
  <si>
    <t>300:58922</t>
  </si>
  <si>
    <t>204:682</t>
  </si>
  <si>
    <t>204:990</t>
  </si>
  <si>
    <t>300:57246</t>
  </si>
  <si>
    <t>300:58617</t>
  </si>
  <si>
    <t>300:57238</t>
  </si>
  <si>
    <t>300:58950</t>
  </si>
  <si>
    <t>300:58619</t>
  </si>
  <si>
    <t>204:677</t>
  </si>
  <si>
    <t>300:23591</t>
  </si>
  <si>
    <t>204:621</t>
  </si>
  <si>
    <t>300:23614</t>
  </si>
  <si>
    <t>start /low /b %USERPROFILE%\Documents\GitHub\eaglep3\Utilities\DownloadLogsFromS3.py --loco 4053 --day 2017-10-12</t>
  </si>
  <si>
    <t>start /low /b %USERPROFILE%\Documents\GitHub\eaglep3\Utilities\DownloadLogsFromS3.py --loco 4062 --day 2017-10-12</t>
  </si>
  <si>
    <t>start /low /b %USERPROFILE%\Documents\GitHub\eaglep3\Utilities\DownloadLogsFromS3.py --loco 4014 --day 2017-10-12</t>
  </si>
  <si>
    <t>start /low /b %USERPROFILE%\Documents\GitHub\eaglep3\Utilities\DownloadLogsFromS3.py --loco 4029 --day 2017-10-12</t>
  </si>
  <si>
    <t>start /low /b %USERPROFILE%\Documents\GitHub\eaglep3\Utilities\DownloadLogsFromS3.py --loco 4042 --day 2017-10-12</t>
  </si>
  <si>
    <t>start /low /b %USERPROFILE%\Documents\GitHub\eaglep3\Utilities\DownloadLogsFromS3.py --loco 4041 --day 2017-10-12</t>
  </si>
  <si>
    <t>start /low /b %USERPROFILE%\Documents\GitHub\eaglep3\Utilities\DownloadLogsFromS3.py --loco 4001 --day 2017-10-13</t>
  </si>
  <si>
    <t>start /low /b %USERPROFILE%\Documents\GitHub\eaglep3\Utilities\DownloadLogsFromS3.py --loco 4001 --day 2017-10-12</t>
  </si>
  <si>
    <t>start /low /b %USERPROFILE%\Documents\GitHub\eaglep3\Utilities\DownloadLogsFromS3.py --loco 4052 --day 2017-10-12</t>
  </si>
  <si>
    <t>start /low /b %USERPROFILE%\Documents\GitHub\eaglep3\Utilities\DownloadLogsFromS3.py --loco 4066 --day 2017-10-12</t>
  </si>
  <si>
    <t>start /low /b %USERPROFILE%\Documents\GitHub\eaglep3\Utilities\DownloadLogsFromS3.py --loco 4065 --day 2017-10-12</t>
  </si>
  <si>
    <t>start /low /b %USERPROFILE%\Documents\GitHub\eaglep3\Utilities\DownloadLogsFromS3.py --loco 4003 --day 2017-10-12</t>
  </si>
  <si>
    <t>start /low /b %USERPROFILE%\Documents\GitHub\eaglep3\Utilities\DownloadLogsFromS3.py --loco 4025 --day 2017-10-12</t>
  </si>
  <si>
    <t>start /low /b %USERPROFILE%\Documents\GitHub\eaglep3\Utilities\DownloadLogsFromS3.py --loco 4051 --day 2017-10-12</t>
  </si>
  <si>
    <t>start /low /b %USERPROFILE%\Documents\GitHub\eaglep3\Utilities\DownloadLogsFromS3.py --loco 4051 --day 2017-10-13</t>
  </si>
  <si>
    <t>start /low /b %USERPROFILE%\Documents\GitHub\eaglep3\Utilities\DownloadLogsFromS3.py --loco 4003 --day 2017-10-13</t>
  </si>
  <si>
    <t>start /low /b %USERPROFILE%\Documents\GitHub\eaglep3\Utilities\DownloadLogsFromS3.py --loco 4013 --day 2017-10-13</t>
  </si>
  <si>
    <t>start /low /b %USERPROFILE%\Documents\GitHub\eaglep3\Utilities\DownloadLogsFromS3.py --loco 4030 --day 2017-10-12</t>
  </si>
  <si>
    <t>start /low /b %USERPROFILE%\Documents\GitHub\eaglep3\Utilities\DownloadLogsFromS3.py --loco 4042 --day 2017-10-13</t>
  </si>
  <si>
    <t>Went active past Westminster 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</si>
</sst>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3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0" xfId="0" applyNumberFormat="1"/>
    <xf numFmtId="169" fontId="0" fillId="0" borderId="5" xfId="0" applyNumberFormat="1" applyFill="1" applyBorder="1"/>
    <xf numFmtId="169" fontId="0" fillId="0" borderId="2" xfId="2" applyNumberFormat="1" applyFont="1" applyBorder="1" applyAlignment="1"/>
    <xf numFmtId="169" fontId="0" fillId="0" borderId="2" xfId="2" applyNumberFormat="1" applyFont="1" applyBorder="1" applyAlignment="1">
      <alignment vertical="center"/>
    </xf>
    <xf numFmtId="169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 applyAlignment="1">
      <alignment horizontal="left"/>
    </xf>
    <xf numFmtId="0" fontId="0" fillId="0" borderId="4" xfId="2" applyNumberFormat="1" applyFont="1" applyBorder="1" applyAlignment="1">
      <alignment horizontal="left" vertic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73"/>
  <sheetViews>
    <sheetView topLeftCell="A205" zoomScaleNormal="100" workbookViewId="0">
      <selection activeCell="N127" sqref="N127:R232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197" customWidth="1"/>
    <col min="20" max="20" width="3.85546875" style="168" customWidth="1"/>
    <col min="21" max="21" width="5" style="207" customWidth="1"/>
    <col min="22" max="22" width="5.7109375" style="227" customWidth="1"/>
    <col min="23" max="23" width="3.85546875" style="208" customWidth="1"/>
    <col min="24" max="24" width="6.5703125" style="208" customWidth="1"/>
    <col min="25" max="25" width="8.85546875" style="208" customWidth="1"/>
    <col min="26" max="26" width="7.28515625" style="208" customWidth="1"/>
    <col min="27" max="27" width="9.140625" style="20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205"/>
      <c r="V1" s="206"/>
      <c r="W1" s="205"/>
      <c r="X1" s="207"/>
      <c r="Y1" s="208"/>
      <c r="Z1" s="208"/>
      <c r="AA1" s="208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43020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43020</v>
      </c>
      <c r="S2" s="194"/>
      <c r="T2" s="170"/>
      <c r="U2" s="209"/>
      <c r="V2" s="210" t="s">
        <v>8</v>
      </c>
      <c r="W2" s="211"/>
      <c r="X2" s="212"/>
      <c r="Y2" s="208"/>
      <c r="Z2" s="208"/>
      <c r="AA2" s="208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95"/>
      <c r="T3" s="171"/>
      <c r="U3" s="213"/>
      <c r="V3" s="214" t="s">
        <v>11</v>
      </c>
      <c r="W3" s="215" t="s">
        <v>12</v>
      </c>
      <c r="X3" s="216" t="s">
        <v>13</v>
      </c>
      <c r="Y3" s="208"/>
      <c r="Z3" s="208"/>
      <c r="AA3" s="208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139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29">
        <f>SUM(S5:S7)</f>
        <v>49</v>
      </c>
      <c r="T4" s="172"/>
      <c r="U4" s="217"/>
      <c r="V4" s="214" t="s">
        <v>15</v>
      </c>
      <c r="W4" s="215" t="s">
        <v>15</v>
      </c>
      <c r="X4" s="216" t="s">
        <v>15</v>
      </c>
      <c r="Y4" s="208"/>
      <c r="Z4" s="208"/>
      <c r="AA4" s="208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COUNTIFS($N$13:$N$9416,"&gt;0",$AG$13:$AG$9416,I1)</f>
        <v>139</v>
      </c>
      <c r="K5" s="39"/>
      <c r="L5" s="172"/>
      <c r="M5" s="40">
        <f>AVERAGEIFS($N$13:$N$9416,$AG$13:$AG$9416,I1)</f>
        <v>39.83405275795468</v>
      </c>
      <c r="N5" s="38">
        <f t="array" ref="N5">MIN(IF($AG$13:$AG$9416=I1,IF(ISNUMBER($N$13:$N$9416),IF($N$13:$N$9416&gt;0,$N$13:$N$9416))))</f>
        <v>31.799999994691461</v>
      </c>
      <c r="O5" s="3">
        <f t="array" ref="O5">MAX(IF($AG$13:$AG$9416=I1,IF(ISNUMBER($N$13:$N$9416),IF($N$13:$N$9416&gt;0,$N$13:$N$9416))))</f>
        <v>99.166666672099382</v>
      </c>
      <c r="P5" s="2"/>
      <c r="R5" s="163" t="s">
        <v>17</v>
      </c>
      <c r="S5" s="229">
        <f>COUNTIFS($N$13:$N$9416,"&gt;0",$AG$13:$AG$9416,R1)</f>
        <v>49</v>
      </c>
      <c r="T5" s="172"/>
      <c r="U5" s="217"/>
      <c r="V5" s="214">
        <f>AVERAGEIFS($N$13:$N$9416,$AG$13:$AG$9416,R1)</f>
        <v>14.166666665732176</v>
      </c>
      <c r="W5" s="215">
        <f t="array" ref="W5">MIN(IF($AG$13:$AG$9416=R1,IF(ISNUMBER($N$13:$N$9416),IF($N$13:$N$9416&gt;0,$N$13:$N$9416))))</f>
        <v>10.783333329018205</v>
      </c>
      <c r="X5" s="216">
        <f t="array" ref="X5">MAX(IF($AG$13:$AG$9416=R1,IF(ISNUMBER($N$13:$N$9416),IF($N$13:$N$9416&gt;0,$N$13:$N$9416))))</f>
        <v>24.41666666418314</v>
      </c>
      <c r="Y5" s="208"/>
      <c r="Z5" s="208"/>
      <c r="AA5" s="208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COUNT($O$13:$O$176)</f>
        <v>0</v>
      </c>
      <c r="K6" s="39"/>
      <c r="L6" s="172"/>
      <c r="M6" s="40">
        <f>IFERROR(AVERAGE($O$13:$O$176),0)</f>
        <v>0</v>
      </c>
      <c r="N6" s="38">
        <f>MIN($O$13:$O$176)</f>
        <v>0</v>
      </c>
      <c r="O6" s="3">
        <f>MAX($O$13:$O$176)</f>
        <v>0</v>
      </c>
      <c r="P6" s="2"/>
      <c r="R6" s="164" t="s">
        <v>43</v>
      </c>
      <c r="S6" s="229">
        <f>COUNT($O$13:$O$176)</f>
        <v>0</v>
      </c>
      <c r="T6" s="172"/>
      <c r="U6" s="217"/>
      <c r="V6" s="214">
        <f>IFERROR(AVERAGE($O$13:$O$176),0)</f>
        <v>0</v>
      </c>
      <c r="W6" s="215">
        <f>MIN($O$13:$O$176)</f>
        <v>0</v>
      </c>
      <c r="X6" s="216">
        <f>MAX($O$13:$O$176)</f>
        <v>0</v>
      </c>
      <c r="Y6" s="208"/>
      <c r="Z6" s="208"/>
      <c r="AA6" s="208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COUNTIFS($P$13:$P$9416,"&gt;0",$AG$13:$AG$9416,I1)</f>
        <v>0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29">
        <f>COUNTIFS($P$13:$P$9416,"&gt;0",$AG$13:$AG$9416,R1)</f>
        <v>0</v>
      </c>
      <c r="T7" s="172"/>
      <c r="U7" s="217"/>
      <c r="V7" s="214" t="s">
        <v>15</v>
      </c>
      <c r="W7" s="215" t="s">
        <v>15</v>
      </c>
      <c r="X7" s="216" t="s">
        <v>15</v>
      </c>
      <c r="Y7" s="208"/>
      <c r="Z7" s="208"/>
      <c r="AA7" s="208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2"/>
      <c r="M8" s="40">
        <f>M5</f>
        <v>39.83405275795468</v>
      </c>
      <c r="N8" s="38">
        <f>N5</f>
        <v>31.799999994691461</v>
      </c>
      <c r="O8" s="3">
        <f>O5</f>
        <v>99.166666672099382</v>
      </c>
      <c r="P8" s="2"/>
      <c r="R8" s="163" t="s">
        <v>16</v>
      </c>
      <c r="S8" s="229">
        <f>S5</f>
        <v>49</v>
      </c>
      <c r="T8" s="172"/>
      <c r="U8" s="217"/>
      <c r="V8" s="214">
        <f>V5</f>
        <v>14.166666665732176</v>
      </c>
      <c r="W8" s="215">
        <f>W5</f>
        <v>10.783333329018205</v>
      </c>
      <c r="X8" s="216">
        <f>X5</f>
        <v>24.41666666418314</v>
      </c>
      <c r="Y8" s="208"/>
      <c r="Z8" s="208"/>
      <c r="AA8" s="208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169"/>
      <c r="M9" s="69"/>
      <c r="N9" s="36"/>
      <c r="O9" s="70"/>
      <c r="P9" s="2"/>
      <c r="R9" s="163" t="s">
        <v>19</v>
      </c>
      <c r="S9" s="228">
        <f>S8/S4</f>
        <v>1</v>
      </c>
      <c r="T9" s="169"/>
      <c r="U9" s="205"/>
      <c r="V9" s="218"/>
      <c r="W9" s="205"/>
      <c r="X9" s="219"/>
      <c r="Y9" s="208"/>
      <c r="Z9" s="208"/>
      <c r="AA9" s="208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197"/>
      <c r="T10" s="168"/>
      <c r="U10" s="207"/>
      <c r="V10" s="220"/>
      <c r="W10" s="208"/>
      <c r="X10" s="208"/>
      <c r="Y10" s="208"/>
      <c r="Z10" s="208"/>
      <c r="AA10" s="208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03" t="str">
        <f>"Eagle P3 System Performance - "&amp;TEXT(Variables!A2,"yyyy-mm-dd")</f>
        <v>Eagle P3 System Performance - 2017-10-12</v>
      </c>
      <c r="B11" s="203"/>
      <c r="C11" s="203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S11" s="197">
        <f>AVERAGE(S13:S110)</f>
        <v>1</v>
      </c>
      <c r="V11" s="220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198" t="s">
        <v>63</v>
      </c>
      <c r="T12" s="173" t="s">
        <v>64</v>
      </c>
      <c r="U12" s="221" t="s">
        <v>65</v>
      </c>
      <c r="V12" s="222" t="s">
        <v>45</v>
      </c>
      <c r="W12" s="223" t="s">
        <v>23</v>
      </c>
      <c r="X12" s="223" t="s">
        <v>48</v>
      </c>
      <c r="Y12" s="223" t="s">
        <v>20</v>
      </c>
      <c r="Z12" s="223" t="s">
        <v>21</v>
      </c>
      <c r="AA12" s="22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602</v>
      </c>
      <c r="B13" s="7">
        <v>4002</v>
      </c>
      <c r="C13" s="21" t="s">
        <v>194</v>
      </c>
      <c r="D13" s="21" t="s">
        <v>380</v>
      </c>
      <c r="E13" s="13">
        <v>43020.132928240739</v>
      </c>
      <c r="F13" s="13">
        <v>43020.135763888888</v>
      </c>
      <c r="G13" s="7">
        <v>148</v>
      </c>
      <c r="H13" s="21" t="s">
        <v>820</v>
      </c>
      <c r="I13" s="13">
        <v>43020.160937499997</v>
      </c>
      <c r="J13" s="7">
        <v>0</v>
      </c>
      <c r="K13" s="89" t="str">
        <f t="shared" ref="K13:K76" si="0">IF(ISEVEN(B13),(B13-1)&amp;"/"&amp;B13,B13&amp;"/"&amp;(B13+1))</f>
        <v>4001/4002</v>
      </c>
      <c r="L13" s="185" t="str">
        <f>VLOOKUP(A13,'Trips&amp;Operators'!$C$1:$G$99911,5,FALSE)</f>
        <v>ACKERMAN JARED</v>
      </c>
      <c r="M13" s="6">
        <f t="shared" ref="M13:M76" si="1">I13-F13</f>
        <v>2.5173611109494232E-2</v>
      </c>
      <c r="N13" s="7">
        <f t="shared" ref="N13:N44" si="2">24*60*SUM($M13:$M13)</f>
        <v>36.249999997671694</v>
      </c>
      <c r="O13" s="7"/>
      <c r="P13" s="7"/>
      <c r="Q13" s="22"/>
      <c r="R13" s="167"/>
      <c r="S13" s="199">
        <f t="shared" ref="S13:S44" si="3">1/IF(AG13="EC",12,1)*SUM(U13:U13)</f>
        <v>1</v>
      </c>
      <c r="T13" s="174" t="str">
        <f t="shared" ref="T13:T76" si="4">IF(ISEVEN(LEFT(AD13,4)),"Southbound","NorthBound")</f>
        <v>NorthBound</v>
      </c>
      <c r="U13" s="22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2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-12T02:11:25-0600',mode:absolute,to:'2017-10-12T04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226" t="str">
        <f>IF(AA13&lt;VLOOKUP(AG13,Variables!$AC$3:$AD$8,2,FALSE),"Y","N")</f>
        <v>N</v>
      </c>
      <c r="X13" s="226" t="e">
        <f t="shared" ref="X13:X76" si="6">VALUE(LEFT(AD13,4))-VALUE(LEFT(AD12,4))</f>
        <v>#VALUE!</v>
      </c>
      <c r="Y13" s="226">
        <f t="shared" ref="Y13:Y44" si="7">RIGHT(D13,LEN(D13)-4)/10000</f>
        <v>4.5699999999999998E-2</v>
      </c>
      <c r="Z13" s="226">
        <f t="shared" ref="Z13:Z44" si="8">RIGHT(H13,LEN(H13)-4)/10000</f>
        <v>23.334900000000001</v>
      </c>
      <c r="AA13" s="226">
        <f t="shared" ref="AA13:AA76" si="9">ABS(Z13-Y13)</f>
        <v>23.289200000000001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/stypes="app*4002*20171012*"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4002 --swversion DE.1.0.9.0 --startMP 204:457 --initTime 2017-10-12T03:11:25 --startdatetime 2017-10-12T03:15:30 --delay 148 --endMP 204:233349 --enddatetime 2017-10-12T03:51:45 --enforcementcount 0 &gt;&gt;%USERPROFILE%\Documents\GitHub\eaglep3-reporting\EC\2017-10-12-refined-times.txt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{"issue":{"subject":"","project_id":79,"tracker_id":40,"status_id":1,"priority_id":2,"assigned_to_id":338,"start_date":"2017-10-12","description":"","custom_fields":[{"id":1,"name":"Subdivision","value":"EC"},{"id":4,"name":"Milepost","value":"23.3349"},{"id":17,"name":"Train ID","value":"101-12"},{"id":16,"name":"Locomotive ID","value":"4002"},{"id":130,"name":"Impact","value":""},{"id":150,"name":"Time of Event (Mountain Time)","value":"03:51:45"},{"id":151,"name":"Denver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4002 --day 2017-10-12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09:51:45"},{"id":29,"name":"Sharepoint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-12T02:11:25-0600',mode:absolute,to:'2017-10-12T04:51:45-0600'))&amp;_a=(columns:!('Message%20ID',Summary),filters:!(),index:'emp_*',interval:auto,query:(query_string:(analyze_wildcard:!t,query:'%22rtdc.l.rtdc.4002%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610</v>
      </c>
      <c r="B14" s="7">
        <v>4001</v>
      </c>
      <c r="C14" s="21" t="s">
        <v>194</v>
      </c>
      <c r="D14" s="21" t="s">
        <v>396</v>
      </c>
      <c r="E14" s="13">
        <v>43020.168055555558</v>
      </c>
      <c r="F14" s="13">
        <v>43020.175393518519</v>
      </c>
      <c r="G14" s="7">
        <v>76</v>
      </c>
      <c r="H14" s="21" t="s">
        <v>821</v>
      </c>
      <c r="I14" s="13">
        <v>43020.202175925922</v>
      </c>
      <c r="J14" s="7">
        <v>0</v>
      </c>
      <c r="K14" s="89" t="str">
        <f t="shared" si="0"/>
        <v>4001/4002</v>
      </c>
      <c r="L14" s="185" t="str">
        <f>VLOOKUP(A14,'Trips&amp;Operators'!$C$1:$G$99911,5,FALSE)</f>
        <v>ACKERMAN JARED</v>
      </c>
      <c r="M14" s="6">
        <f t="shared" si="1"/>
        <v>2.6782407403516117E-2</v>
      </c>
      <c r="N14" s="7">
        <f t="shared" si="2"/>
        <v>38.566666661063209</v>
      </c>
      <c r="O14" s="7"/>
      <c r="P14" s="7"/>
      <c r="Q14" s="22"/>
      <c r="R14" s="174"/>
      <c r="S14" s="199">
        <f t="shared" si="3"/>
        <v>1</v>
      </c>
      <c r="T14" s="174" t="str">
        <f t="shared" si="4"/>
        <v>Southbound</v>
      </c>
      <c r="U14" s="22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25" t="str">
        <f t="shared" si="5"/>
        <v>https://d0f6bd738d7f1b3e5a7ca70fe4ff75f0.us-east-1.aws.found.io/app/kibana#/discover/Steve-Slow-Train-Analysis-(2080s-and-2083s)?_g=(refreshInterval:(display:Off,pause:!f,section:0,value:0),time:(from:'2017-10-12T03:02:00-0600',mode:absolute,to:'2017-10-12T05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226" t="str">
        <f>IF(AA14&lt;VLOOKUP(AG14,Variables!$AC$3:$AD$8,2,FALSE),"Y","N")</f>
        <v>N</v>
      </c>
      <c r="X14" s="226">
        <f t="shared" si="6"/>
        <v>1</v>
      </c>
      <c r="Y14" s="226">
        <f t="shared" si="7"/>
        <v>23.299199999999999</v>
      </c>
      <c r="Z14" s="226">
        <f t="shared" si="8"/>
        <v>1.2999999999999999E-2</v>
      </c>
      <c r="AA14" s="226">
        <f t="shared" si="9"/>
        <v>23.286199999999997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14" s="74" t="str">
        <f t="shared" si="12"/>
        <v>"C:\Program Files (x86)\AstroGrep\AstroGrep.exe" /e /r /s /spath="%USERPROFILE%\AppData\Local\Temp\OnboardLogs" /stypes="app*4001*20171012*"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4001 --swversion DE.1.0.9.0 --startMP 204:232992 --initTime 2017-10-12T04:02:00 --startdatetime 2017-10-12T04:12:34 --delay 76 --endMP 204:130 --enddatetime 2017-10-12T04:51:08 --enforcementcount 0 &gt;&gt;%USERPROFILE%\Documents\GitHub\eaglep3-reporting\EC\2017-10-12-refined-times.txt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{"issue":{"subject":"","project_id":79,"tracker_id":40,"status_id":1,"priority_id":2,"assigned_to_id":338,"start_date":"2017-10-12","description":"","custom_fields":[{"id":1,"name":"Subdivision","value":"EC"},{"id":4,"name":"Milepost","value":"0.013"},{"id":17,"name":"Train ID","value":"102-12"},{"id":16,"name":"Locomotive ID","value":"4001"},{"id":130,"name":"Impact","value":""},{"id":150,"name":"Time of Event (Mountain Time)","value":"04:51:08"},{"id":151,"name":"Denver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4001 --day 2017-10-12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-12T03:02:00-0600',mode:absolute,to:'2017-10-12T05:51:08-0600'))&amp;_a=(columns:!('Message%20ID',Summary),filters:!(),index:'emp_*',interval:auto,query:(query_string:(analyze_wildcard:!t,query:'%22rtdc.l.rtdc.4001%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606</v>
      </c>
      <c r="B15" s="7">
        <v>4052</v>
      </c>
      <c r="C15" s="21" t="s">
        <v>194</v>
      </c>
      <c r="D15" s="21" t="s">
        <v>822</v>
      </c>
      <c r="E15" s="13">
        <v>43020.152824074074</v>
      </c>
      <c r="F15" s="13">
        <v>43020.156469907408</v>
      </c>
      <c r="G15" s="7">
        <v>54</v>
      </c>
      <c r="H15" s="21" t="s">
        <v>823</v>
      </c>
      <c r="I15" s="13">
        <v>43020.181469907409</v>
      </c>
      <c r="J15" s="7">
        <v>0</v>
      </c>
      <c r="K15" s="89" t="str">
        <f t="shared" si="0"/>
        <v>4051/4052</v>
      </c>
      <c r="L15" s="185" t="str">
        <f>VLOOKUP(A15,'Trips&amp;Operators'!$C$1:$G$99911,5,FALSE)</f>
        <v>MAELZER KURT</v>
      </c>
      <c r="M15" s="6">
        <f t="shared" si="1"/>
        <v>2.5000000001455192E-2</v>
      </c>
      <c r="N15" s="7">
        <f t="shared" si="2"/>
        <v>36.000000002095476</v>
      </c>
      <c r="O15" s="7"/>
      <c r="P15" s="7"/>
      <c r="Q15" s="22"/>
      <c r="R15" s="174"/>
      <c r="S15" s="199">
        <f t="shared" si="3"/>
        <v>1</v>
      </c>
      <c r="T15" s="174" t="str">
        <f t="shared" si="4"/>
        <v>NorthBound</v>
      </c>
      <c r="U15" s="22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25" t="str">
        <f t="shared" si="5"/>
        <v>https://d0f6bd738d7f1b3e5a7ca70fe4ff75f0.us-east-1.aws.found.io/app/kibana#/discover/Steve-Slow-Train-Analysis-(2080s-and-2083s)?_g=(refreshInterval:(display:Off,pause:!f,section:0,value:0),time:(from:'2017-10-12T02:40:04-0600',mode:absolute,to:'2017-10-12T05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226" t="str">
        <f>IF(AA15&lt;VLOOKUP(AG15,Variables!$AC$3:$AD$8,2,FALSE),"Y","N")</f>
        <v>N</v>
      </c>
      <c r="X15" s="226">
        <f t="shared" si="6"/>
        <v>1</v>
      </c>
      <c r="Y15" s="226">
        <f t="shared" si="7"/>
        <v>4.2900000000000001E-2</v>
      </c>
      <c r="Z15" s="226">
        <f t="shared" si="8"/>
        <v>23.3353</v>
      </c>
      <c r="AA15" s="226">
        <f t="shared" si="9"/>
        <v>23.292400000000001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15" s="74" t="str">
        <f t="shared" si="12"/>
        <v>"C:\Program Files (x86)\AstroGrep\AstroGrep.exe" /e /r /s /spath="%USERPROFILE%\AppData\Local\Temp\OnboardLogs" /stypes="app*4052*20171012*"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103-12 --locoid 4052 --swversion DE.1.0.9.0 --startMP 204:429 --initTime 2017-10-12T03:40:04 --startdatetime 2017-10-12T03:45:19 --delay 54 --endMP 204:233353 --enddatetime 2017-10-12T04:21:19 --enforcementcount 0 &gt;&gt;%USERPROFILE%\Documents\GitHub\eaglep3-reporting\EC\2017-10-12-refined-times.txt</v>
      </c>
      <c r="AI1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{"issue":{"subject":"","project_id":79,"tracker_id":40,"status_id":1,"priority_id":2,"assigned_to_id":338,"start_date":"2017-10-12","description":"","custom_fields":[{"id":1,"name":"Subdivision","value":"EC"},{"id":4,"name":"Milepost","value":"23.3353"},{"id":17,"name":"Train ID","value":"103-12"},{"id":16,"name":"Locomotive ID","value":"4052"},{"id":130,"name":"Impact","value":""},{"id":150,"name":"Time of Event (Mountain Time)","value":"04:21:19"},{"id":151,"name":"Denver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4052 --day 2017-10-12</v>
      </c>
      <c r="AN1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-10-12T02:40:04-0600',mode:absolute,to:'2017-10-12T05:21:19-0600'))&amp;_a=(columns:!('Message%20ID',Summary),filters:!(),index:'emp_*',interval:auto,query:(query_string:(analyze_wildcard:!t,query:'%22rtdc.l.rtdc.4052%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617</v>
      </c>
      <c r="B16" s="7">
        <v>4051</v>
      </c>
      <c r="C16" s="21" t="s">
        <v>194</v>
      </c>
      <c r="D16" s="21" t="s">
        <v>824</v>
      </c>
      <c r="E16" s="13">
        <v>43020.186111111114</v>
      </c>
      <c r="F16" s="13">
        <v>43020.196006944447</v>
      </c>
      <c r="G16" s="7">
        <v>45</v>
      </c>
      <c r="H16" s="21" t="s">
        <v>356</v>
      </c>
      <c r="I16" s="13">
        <v>43020.222349537034</v>
      </c>
      <c r="J16" s="7">
        <v>0</v>
      </c>
      <c r="K16" s="89" t="str">
        <f t="shared" si="0"/>
        <v>4051/4052</v>
      </c>
      <c r="L16" s="185" t="str">
        <f>VLOOKUP(A16,'Trips&amp;Operators'!$C$1:$G$99911,5,FALSE)</f>
        <v>MAELZER KURT</v>
      </c>
      <c r="M16" s="6">
        <f t="shared" si="1"/>
        <v>2.6342592587752733E-2</v>
      </c>
      <c r="N16" s="7">
        <f t="shared" si="2"/>
        <v>37.933333326363936</v>
      </c>
      <c r="O16" s="7"/>
      <c r="P16" s="7"/>
      <c r="Q16" s="22"/>
      <c r="R16" s="174"/>
      <c r="S16" s="199">
        <f t="shared" si="3"/>
        <v>1</v>
      </c>
      <c r="T16" s="174" t="str">
        <f t="shared" si="4"/>
        <v>Southbound</v>
      </c>
      <c r="U16" s="22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25" t="str">
        <f t="shared" si="5"/>
        <v>https://d0f6bd738d7f1b3e5a7ca70fe4ff75f0.us-east-1.aws.found.io/app/kibana#/discover/Steve-Slow-Train-Analysis-(2080s-and-2083s)?_g=(refreshInterval:(display:Off,pause:!f,section:0,value:0),time:(from:'2017-10-12T03:28:00-0600',mode:absolute,to:'2017-10-12T06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" s="226" t="str">
        <f>IF(AA16&lt;VLOOKUP(AG16,Variables!$AC$3:$AD$8,2,FALSE),"Y","N")</f>
        <v>N</v>
      </c>
      <c r="X16" s="226">
        <f t="shared" si="6"/>
        <v>1</v>
      </c>
      <c r="Y16" s="226">
        <f t="shared" si="7"/>
        <v>23.302299999999999</v>
      </c>
      <c r="Z16" s="226">
        <f t="shared" si="8"/>
        <v>1.4500000000000001E-2</v>
      </c>
      <c r="AA16" s="226">
        <f t="shared" si="9"/>
        <v>23.287799999999997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16" s="74" t="str">
        <f t="shared" si="12"/>
        <v>"C:\Program Files (x86)\AstroGrep\AstroGrep.exe" /e /r /s /spath="%USERPROFILE%\AppData\Local\Temp\OnboardLogs" /stypes="app*4051*20171012*"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104-12 --locoid 4051 --swversion DE.1.0.9.0 --startMP 204:233023 --initTime 2017-10-12T04:28:00 --startdatetime 2017-10-12T04:42:15 --delay 45 --endMP 204:145 --enddatetime 2017-10-12T05:20:11 --enforcementcount 0 &gt;&gt;%USERPROFILE%\Documents\GitHub\eaglep3-reporting\EC\2017-10-12-refined-times.txt</v>
      </c>
      <c r="AI1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ID","value":"104-12"},{"id":16,"name":"Locomotive ID","value":"4051"},{"id":130,"name":"Impact","value":""},{"id":150,"name":"Time of Event (Mountain Time)","value":"05:20:11"},{"id":151,"name":"Denver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4051 --day 2017-10-12</v>
      </c>
      <c r="AN1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-10-12T03:28:00-0600',mode:absolute,to:'2017-10-12T06:20:11-0600'))&amp;_a=(columns:!('Message%20ID',Summary),filters:!(),index:'emp_*',interval:auto,query:(query_string:(analyze_wildcard:!t,query:'%22rtdc.l.rtdc.4051%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613</v>
      </c>
      <c r="B17" s="7">
        <v>4026</v>
      </c>
      <c r="C17" s="21" t="s">
        <v>194</v>
      </c>
      <c r="D17" s="21" t="s">
        <v>476</v>
      </c>
      <c r="E17" s="13">
        <v>43020.171886574077</v>
      </c>
      <c r="F17" s="13">
        <v>43020.177245370367</v>
      </c>
      <c r="G17" s="7">
        <v>69</v>
      </c>
      <c r="H17" s="21" t="s">
        <v>446</v>
      </c>
      <c r="I17" s="13">
        <v>43020.201944444445</v>
      </c>
      <c r="J17" s="7">
        <v>0</v>
      </c>
      <c r="K17" s="89" t="str">
        <f t="shared" si="0"/>
        <v>4025/4026</v>
      </c>
      <c r="L17" s="185" t="str">
        <f>VLOOKUP(A17,'Trips&amp;Operators'!$C$1:$G$99911,5,FALSE)</f>
        <v>PAGE MARCUS</v>
      </c>
      <c r="M17" s="6">
        <f t="shared" si="1"/>
        <v>2.4699074077943806E-2</v>
      </c>
      <c r="N17" s="7">
        <f t="shared" si="2"/>
        <v>35.56666667223908</v>
      </c>
      <c r="O17" s="7"/>
      <c r="P17" s="7"/>
      <c r="Q17" s="22"/>
      <c r="R17" s="174"/>
      <c r="S17" s="199">
        <f t="shared" si="3"/>
        <v>1</v>
      </c>
      <c r="T17" s="174" t="str">
        <f t="shared" si="4"/>
        <v>NorthBound</v>
      </c>
      <c r="U17" s="22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25" t="str">
        <f t="shared" si="5"/>
        <v>https://d0f6bd738d7f1b3e5a7ca70fe4ff75f0.us-east-1.aws.found.io/app/kibana#/discover/Steve-Slow-Train-Analysis-(2080s-and-2083s)?_g=(refreshInterval:(display:Off,pause:!f,section:0,value:0),time:(from:'2017-10-12T03:07:31-0600',mode:absolute,to:'2017-10-12T05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226" t="str">
        <f>IF(AA17&lt;VLOOKUP(AG17,Variables!$AC$3:$AD$8,2,FALSE),"Y","N")</f>
        <v>N</v>
      </c>
      <c r="X17" s="226">
        <f t="shared" si="6"/>
        <v>1</v>
      </c>
      <c r="Y17" s="226">
        <f t="shared" si="7"/>
        <v>4.6199999999999998E-2</v>
      </c>
      <c r="Z17" s="226">
        <f t="shared" si="8"/>
        <v>23.330300000000001</v>
      </c>
      <c r="AA17" s="226">
        <f t="shared" si="9"/>
        <v>23.284100000000002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7" s="74" t="str">
        <f t="shared" si="12"/>
        <v>"C:\Program Files (x86)\AstroGrep\AstroGrep.exe" /e /r /s /spath="%USERPROFILE%\AppData\Local\Temp\OnboardLogs" /stypes="app*4026*20171012*"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105-12 --locoid 4026 --swversion DE.1.0.9.0 --startMP 204:462 --initTime 2017-10-12T04:07:31 --startdatetime 2017-10-12T04:15:14 --delay 69 --endMP 204:233303 --enddatetime 2017-10-12T04:50:48 --enforcementcount 0 &gt;&gt;%USERPROFILE%\Documents\GitHub\eaglep3-reporting\EC\2017-10-12-refined-times.txt</v>
      </c>
      <c r="AI1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{"issue":{"subject":"","project_id":79,"tracker_id":40,"status_id":1,"priority_id":2,"assigned_to_id":338,"start_date":"2017-10-12","description":"","custom_fields":[{"id":1,"name":"Subdivision","value":"EC"},{"id":4,"name":"Milepost","value":"23.3303"},{"id":17,"name":"Train ID","value":"105-12"},{"id":16,"name":"Locomotive ID","value":"4026"},{"id":130,"name":"Impact","value":""},{"id":150,"name":"Time of Event (Mountain Time)","value":"04:50:48"},{"id":151,"name":"Denver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4026 --day 2017-10-12</v>
      </c>
      <c r="AN1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-10-12T03:07:31-0600',mode:absolute,to:'2017-10-12T05:50:48-0600'))&amp;_a=(columns:!('Message%20ID',Summary),filters:!(),index:'emp_*',interval:auto,query:(query_string:(analyze_wildcard:!t,query:'%22rtdc.l.rtdc.4026%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624</v>
      </c>
      <c r="B18" s="7">
        <v>4025</v>
      </c>
      <c r="C18" s="21" t="s">
        <v>194</v>
      </c>
      <c r="D18" s="21" t="s">
        <v>477</v>
      </c>
      <c r="E18" s="13">
        <v>43020.209629629629</v>
      </c>
      <c r="F18" s="13">
        <v>43020.216851851852</v>
      </c>
      <c r="G18" s="7">
        <v>55</v>
      </c>
      <c r="H18" s="21" t="s">
        <v>339</v>
      </c>
      <c r="I18" s="13">
        <v>43020.243981481479</v>
      </c>
      <c r="J18" s="7">
        <v>0</v>
      </c>
      <c r="K18" s="89" t="str">
        <f t="shared" si="0"/>
        <v>4025/4026</v>
      </c>
      <c r="L18" s="185" t="str">
        <f>VLOOKUP(A18,'Trips&amp;Operators'!$C$1:$G$99911,5,FALSE)</f>
        <v>PAGE MARCUS</v>
      </c>
      <c r="M18" s="6">
        <f t="shared" si="1"/>
        <v>2.7129629626870155E-2</v>
      </c>
      <c r="N18" s="7">
        <f t="shared" si="2"/>
        <v>39.066666662693024</v>
      </c>
      <c r="O18" s="7"/>
      <c r="P18" s="7"/>
      <c r="Q18" s="22"/>
      <c r="R18" s="174"/>
      <c r="S18" s="199">
        <f t="shared" si="3"/>
        <v>1</v>
      </c>
      <c r="T18" s="174" t="str">
        <f t="shared" si="4"/>
        <v>Southbound</v>
      </c>
      <c r="U18" s="22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25" t="str">
        <f t="shared" si="5"/>
        <v>https://d0f6bd738d7f1b3e5a7ca70fe4ff75f0.us-east-1.aws.found.io/app/kibana#/discover/Steve-Slow-Train-Analysis-(2080s-and-2083s)?_g=(refreshInterval:(display:Off,pause:!f,section:0,value:0),time:(from:'2017-10-12T04:01:52-0600',mode:absolute,to:'2017-10-12T06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226" t="str">
        <f>IF(AA18&lt;VLOOKUP(AG18,Variables!$AC$3:$AD$8,2,FALSE),"Y","N")</f>
        <v>N</v>
      </c>
      <c r="X18" s="226">
        <f t="shared" si="6"/>
        <v>1</v>
      </c>
      <c r="Y18" s="226">
        <f t="shared" si="7"/>
        <v>23.298200000000001</v>
      </c>
      <c r="Z18" s="226">
        <f t="shared" si="8"/>
        <v>1.47E-2</v>
      </c>
      <c r="AA18" s="226">
        <f t="shared" si="9"/>
        <v>23.2835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8" s="74" t="str">
        <f t="shared" si="12"/>
        <v>"C:\Program Files (x86)\AstroGrep\AstroGrep.exe" /e /r /s /spath="%USERPROFILE%\AppData\Local\Temp\OnboardLogs" /stypes="app*4025*20171012*"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106-12 --locoid 4025 --swversion DE.1.0.9.0 --startMP 204:232982 --initTime 2017-10-12T05:01:52 --startdatetime 2017-10-12T05:12:16 --delay 55 --endMP 204:147 --enddatetime 2017-10-12T05:51:20 --enforcementcount 0 &gt;&gt;%USERPROFILE%\Documents\GitHub\eaglep3-reporting\EC\2017-10-12-refined-times.txt</v>
      </c>
      <c r="AI1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{"issue":{"subject":"","project_id":79,"tracker_id":40,"status_id":1,"priority_id":2,"assigned_to_id":338,"start_date":"2017-10-12","description":"","custom_fields":[{"id":1,"name":"Subdivision","value":"EC"},{"id":4,"name":"Milepost","value":"0.0147"},{"id":17,"name":"Train ID","value":"106-12"},{"id":16,"name":"Locomotive ID","value":"4025"},{"id":130,"name":"Impact","value":""},{"id":150,"name":"Time of Event (Mountain Time)","value":"05:51:20"},{"id":151,"name":"Denver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4025 --day 2017-10-12</v>
      </c>
      <c r="AN1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-10-12T04:01:52-0600',mode:absolute,to:'2017-10-12T06:51:20-0600'))&amp;_a=(columns:!('Message%20ID',Summary),filters:!(),index:'emp_*',interval:auto,query:(query_string:(analyze_wildcard:!t,query:'%22rtdc.l.rtdc.4025%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616</v>
      </c>
      <c r="B19" s="7">
        <v>4064</v>
      </c>
      <c r="C19" s="21" t="s">
        <v>194</v>
      </c>
      <c r="D19" s="21" t="s">
        <v>435</v>
      </c>
      <c r="E19" s="13">
        <v>43020.183310185188</v>
      </c>
      <c r="F19" s="13">
        <v>43020.187708333331</v>
      </c>
      <c r="G19" s="7">
        <v>66</v>
      </c>
      <c r="H19" s="21" t="s">
        <v>427</v>
      </c>
      <c r="I19" s="13">
        <v>43020.212534722225</v>
      </c>
      <c r="J19" s="7">
        <v>0</v>
      </c>
      <c r="K19" s="89" t="str">
        <f t="shared" si="0"/>
        <v>4063/4064</v>
      </c>
      <c r="L19" s="185" t="str">
        <f>VLOOKUP(A19,'Trips&amp;Operators'!$C$1:$G$99911,5,FALSE)</f>
        <v>GEBRETEKLE DAGNEW</v>
      </c>
      <c r="M19" s="6">
        <f t="shared" si="1"/>
        <v>2.4826388893416151E-2</v>
      </c>
      <c r="N19" s="7">
        <f t="shared" si="2"/>
        <v>35.750000006519258</v>
      </c>
      <c r="O19" s="7"/>
      <c r="P19" s="7"/>
      <c r="Q19" s="22"/>
      <c r="R19" s="174"/>
      <c r="S19" s="199">
        <f t="shared" si="3"/>
        <v>1</v>
      </c>
      <c r="T19" s="174" t="str">
        <f t="shared" si="4"/>
        <v>NorthBound</v>
      </c>
      <c r="U19" s="22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25" t="str">
        <f t="shared" si="5"/>
        <v>https://d0f6bd738d7f1b3e5a7ca70fe4ff75f0.us-east-1.aws.found.io/app/kibana#/discover/Steve-Slow-Train-Analysis-(2080s-and-2083s)?_g=(refreshInterval:(display:Off,pause:!f,section:0,value:0),time:(from:'2017-10-12T03:23:58-0600',mode:absolute,to:'2017-10-12T06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" s="226" t="str">
        <f>IF(AA19&lt;VLOOKUP(AG19,Variables!$AC$3:$AD$8,2,FALSE),"Y","N")</f>
        <v>N</v>
      </c>
      <c r="X19" s="226">
        <f t="shared" si="6"/>
        <v>1</v>
      </c>
      <c r="Y19" s="226">
        <f t="shared" si="7"/>
        <v>4.6399999999999997E-2</v>
      </c>
      <c r="Z19" s="226">
        <f t="shared" si="8"/>
        <v>23.331399999999999</v>
      </c>
      <c r="AA19" s="226">
        <f t="shared" si="9"/>
        <v>23.285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9" s="74" t="str">
        <f t="shared" si="12"/>
        <v>"C:\Program Files (x86)\AstroGrep\AstroGrep.exe" /e /r /s /spath="%USERPROFILE%\AppData\Local\Temp\OnboardLogs" /stypes="app*4064*20171012*"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107-12 --locoid 4064 --swversion DE.1.0.9.0 --startMP 204:464 --initTime 2017-10-12T04:23:58 --startdatetime 2017-10-12T04:30:18 --delay 66 --endMP 204:233314 --enddatetime 2017-10-12T05:06:03 --enforcementcount 0 &gt;&gt;%USERPROFILE%\Documents\GitHub\eaglep3-reporting\EC\2017-10-12-refined-times.txt</v>
      </c>
      <c r="AI1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{"issue":{"subject":"","project_id":79,"tracker_id":40,"status_id":1,"priority_id":2,"assigned_to_id":338,"start_date":"2017-10-12","description":"","custom_fields":[{"id":1,"name":"Subdivision","value":"EC"},{"id":4,"name":"Milepost","value":"23.3314"},{"id":17,"name":"Train ID","value":"107-12"},{"id":16,"name":"Locomotive ID","value":"4064"},{"id":130,"name":"Impact","value":""},{"id":150,"name":"Time of Event (Mountain Time)","value":"05:06:03"},{"id":151,"name":"Denver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4064 --day 2017-10-12</v>
      </c>
      <c r="AN1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-10-12T03:23:58-0600',mode:absolute,to:'2017-10-12T06:06:03-0600'))&amp;_a=(columns:!('Message%20ID',Summary),filters:!(),index:'emp_*',interval:auto,query:(query_string:(analyze_wildcard:!t,query:'%22rtdc.l.rtdc.4064%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625</v>
      </c>
      <c r="B20" s="7">
        <v>4063</v>
      </c>
      <c r="C20" s="21" t="s">
        <v>194</v>
      </c>
      <c r="D20" s="21" t="s">
        <v>825</v>
      </c>
      <c r="E20" s="13">
        <v>43020.213877314818</v>
      </c>
      <c r="F20" s="13">
        <v>43020.22729166667</v>
      </c>
      <c r="G20" s="7">
        <v>52</v>
      </c>
      <c r="H20" s="21" t="s">
        <v>339</v>
      </c>
      <c r="I20" s="13">
        <v>43020.253275462965</v>
      </c>
      <c r="J20" s="7">
        <v>0</v>
      </c>
      <c r="K20" s="89" t="str">
        <f t="shared" si="0"/>
        <v>4063/4064</v>
      </c>
      <c r="L20" s="185" t="str">
        <f>VLOOKUP(A20,'Trips&amp;Operators'!$C$1:$G$99911,5,FALSE)</f>
        <v>GEBRETEKLE DAGNEW</v>
      </c>
      <c r="M20" s="6">
        <f t="shared" si="1"/>
        <v>2.5983796294895001E-2</v>
      </c>
      <c r="N20" s="7">
        <f t="shared" si="2"/>
        <v>37.416666664648801</v>
      </c>
      <c r="O20" s="7"/>
      <c r="P20" s="7"/>
      <c r="Q20" s="22"/>
      <c r="R20" s="174"/>
      <c r="S20" s="199">
        <f t="shared" si="3"/>
        <v>1</v>
      </c>
      <c r="T20" s="174" t="str">
        <f t="shared" si="4"/>
        <v>Southbound</v>
      </c>
      <c r="U20" s="22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25" t="str">
        <f t="shared" si="5"/>
        <v>https://d0f6bd738d7f1b3e5a7ca70fe4ff75f0.us-east-1.aws.found.io/app/kibana#/discover/Steve-Slow-Train-Analysis-(2080s-and-2083s)?_g=(refreshInterval:(display:Off,pause:!f,section:0,value:0),time:(from:'2017-10-12T04:07:59-0600',mode:absolute,to:'2017-10-12T07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" s="226" t="str">
        <f>IF(AA20&lt;VLOOKUP(AG20,Variables!$AC$3:$AD$8,2,FALSE),"Y","N")</f>
        <v>N</v>
      </c>
      <c r="X20" s="226">
        <f t="shared" si="6"/>
        <v>1</v>
      </c>
      <c r="Y20" s="226">
        <f t="shared" si="7"/>
        <v>23.299299999999999</v>
      </c>
      <c r="Z20" s="226">
        <f t="shared" si="8"/>
        <v>1.47E-2</v>
      </c>
      <c r="AA20" s="226">
        <f t="shared" si="9"/>
        <v>23.284599999999998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20" s="74" t="str">
        <f t="shared" si="12"/>
        <v>"C:\Program Files (x86)\AstroGrep\AstroGrep.exe" /e /r /s /spath="%USERPROFILE%\AppData\Local\Temp\OnboardLogs" /stypes="app*4063*20171012*"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108-12 --locoid 4063 --swversion DE.1.0.9.0 --startMP 204:232993 --initTime 2017-10-12T05:07:59 --startdatetime 2017-10-12T05:27:18 --delay 52 --endMP 204:147 --enddatetime 2017-10-12T06:04:43 --enforcementcount 0 &gt;&gt;%USERPROFILE%\Documents\GitHub\eaglep3-reporting\EC\2017-10-12-refined-times.txt</v>
      </c>
      <c r="AI2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{"issue":{"subject":"","project_id":79,"tracker_id":40,"status_id":1,"priority_id":2,"assigned_to_id":338,"start_date":"2017-10-12","description":"","custom_fields":[{"id":1,"name":"Subdivision","value":"EC"},{"id":4,"name":"Milepost","value":"0.0147"},{"id":17,"name":"Train ID","value":"108-12"},{"id":16,"name":"Locomotive ID","value":"4063"},{"id":130,"name":"Impact","value":""},{"id":150,"name":"Time of Event (Mountain Time)","value":"06:04:43"},{"id":151,"name":"Denver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4063 --day 2017-10-12</v>
      </c>
      <c r="AN2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-10-12T04:07:59-0600',mode:absolute,to:'2017-10-12T07:04:43-0600'))&amp;_a=(columns:!('Message%20ID',Summary),filters:!(),index:'emp_*',interval:auto,query:(query_string:(analyze_wildcard:!t,query:'%22rtdc.l.rtdc.4063%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618</v>
      </c>
      <c r="B21" s="7">
        <v>4066</v>
      </c>
      <c r="C21" s="21" t="s">
        <v>194</v>
      </c>
      <c r="D21" s="21" t="s">
        <v>372</v>
      </c>
      <c r="E21" s="13">
        <v>43020.194594907407</v>
      </c>
      <c r="F21" s="13">
        <v>43020.198148148149</v>
      </c>
      <c r="G21" s="7">
        <v>102</v>
      </c>
      <c r="H21" s="21" t="s">
        <v>425</v>
      </c>
      <c r="I21" s="13">
        <v>43020.226134259261</v>
      </c>
      <c r="J21" s="7">
        <v>0</v>
      </c>
      <c r="K21" s="89" t="str">
        <f t="shared" si="0"/>
        <v>4065/4066</v>
      </c>
      <c r="L21" s="185" t="str">
        <f>VLOOKUP(A21,'Trips&amp;Operators'!$C$1:$G$99911,5,FALSE)</f>
        <v>WILLIAMS DONTE</v>
      </c>
      <c r="M21" s="6">
        <f t="shared" si="1"/>
        <v>2.7986111112113576E-2</v>
      </c>
      <c r="N21" s="7">
        <f t="shared" si="2"/>
        <v>40.30000000144355</v>
      </c>
      <c r="O21" s="7"/>
      <c r="P21" s="7"/>
      <c r="Q21" s="22"/>
      <c r="R21" s="174"/>
      <c r="S21" s="199">
        <f t="shared" si="3"/>
        <v>1</v>
      </c>
      <c r="T21" s="174" t="str">
        <f t="shared" si="4"/>
        <v>NorthBound</v>
      </c>
      <c r="U21" s="22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25" t="str">
        <f t="shared" si="5"/>
        <v>https://d0f6bd738d7f1b3e5a7ca70fe4ff75f0.us-east-1.aws.found.io/app/kibana#/discover/Steve-Slow-Train-Analysis-(2080s-and-2083s)?_g=(refreshInterval:(display:Off,pause:!f,section:0,value:0),time:(from:'2017-10-12T03:40:13-0600',mode:absolute,to:'2017-10-12T06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" s="226" t="str">
        <f>IF(AA21&lt;VLOOKUP(AG21,Variables!$AC$3:$AD$8,2,FALSE),"Y","N")</f>
        <v>N</v>
      </c>
      <c r="X21" s="226">
        <f t="shared" si="6"/>
        <v>1</v>
      </c>
      <c r="Y21" s="226">
        <f t="shared" si="7"/>
        <v>4.7100000000000003E-2</v>
      </c>
      <c r="Z21" s="226">
        <f t="shared" si="8"/>
        <v>23.327999999999999</v>
      </c>
      <c r="AA21" s="226">
        <f t="shared" si="9"/>
        <v>23.280899999999999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21" s="74" t="str">
        <f t="shared" si="12"/>
        <v>"C:\Program Files (x86)\AstroGrep\AstroGrep.exe" /e /r /s /spath="%USERPROFILE%\AppData\Local\Temp\OnboardLogs" /stypes="app*4066*20171012*"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109-12 --locoid 4066 --swversion DE.1.0.9.0 --startMP 204:471 --initTime 2017-10-12T04:40:13 --startdatetime 2017-10-12T04:45:20 --delay 102 --endMP 204:233280 --enddatetime 2017-10-12T05:25:38 --enforcementcount 0 &gt;&gt;%USERPROFILE%\Documents\GitHub\eaglep3-reporting\EC\2017-10-12-refined-times.txt</v>
      </c>
      <c r="AI2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{"issue":{"subject":"","project_id":79,"tracker_id":40,"status_id":1,"priority_id":2,"assigned_to_id":338,"start_date":"2017-10-12","description":"","custom_fields":[{"id":1,"name":"Subdivision","value":"EC"},{"id":4,"name":"Milepost","value":"23.328"},{"id":17,"name":"Train ID","value":"109-12"},{"id":16,"name":"Locomotive ID","value":"4066"},{"id":130,"name":"Impact","value":""},{"id":150,"name":"Time of Event (Mountain Time)","value":"05:25:38"},{"id":151,"name":"Denver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4066 --day 2017-10-12</v>
      </c>
      <c r="AN2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-10-12T03:40:13-0600',mode:absolute,to:'2017-10-12T06:25:38-0600'))&amp;_a=(columns:!('Message%20ID',Summary),filters:!(),index:'emp_*',interval:auto,query:(query_string:(analyze_wildcard:!t,query:'%22rtdc.l.rtdc.4066%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564</v>
      </c>
      <c r="B22" s="7">
        <v>4065</v>
      </c>
      <c r="C22" s="21" t="s">
        <v>194</v>
      </c>
      <c r="D22" s="21" t="s">
        <v>826</v>
      </c>
      <c r="E22" s="13">
        <v>43020.233263888891</v>
      </c>
      <c r="F22" s="13">
        <v>43020.237696759257</v>
      </c>
      <c r="G22" s="7">
        <v>85</v>
      </c>
      <c r="H22" s="21" t="s">
        <v>537</v>
      </c>
      <c r="I22" s="13">
        <v>43020.267743055556</v>
      </c>
      <c r="J22" s="7">
        <v>0</v>
      </c>
      <c r="K22" s="89" t="str">
        <f t="shared" si="0"/>
        <v>4065/4066</v>
      </c>
      <c r="L22" s="185" t="str">
        <f>VLOOKUP(A22,'Trips&amp;Operators'!$C$1:$G$99911,5,FALSE)</f>
        <v>WILLIAMS DONTE</v>
      </c>
      <c r="M22" s="6">
        <f t="shared" si="1"/>
        <v>3.0046296298678499E-2</v>
      </c>
      <c r="N22" s="7">
        <f t="shared" si="2"/>
        <v>43.266666670097038</v>
      </c>
      <c r="O22" s="7"/>
      <c r="P22" s="7"/>
      <c r="Q22" s="22"/>
      <c r="R22" s="174"/>
      <c r="S22" s="199">
        <f t="shared" si="3"/>
        <v>1</v>
      </c>
      <c r="T22" s="174" t="str">
        <f t="shared" si="4"/>
        <v>Southbound</v>
      </c>
      <c r="U22" s="22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25" t="str">
        <f t="shared" si="5"/>
        <v>https://d0f6bd738d7f1b3e5a7ca70fe4ff75f0.us-east-1.aws.found.io/app/kibana#/discover/Steve-Slow-Train-Analysis-(2080s-and-2083s)?_g=(refreshInterval:(display:Off,pause:!f,section:0,value:0),time:(from:'2017-10-12T04:35:54-0600',mode:absolute,to:'2017-10-12T07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" s="226" t="str">
        <f>IF(AA22&lt;VLOOKUP(AG22,Variables!$AC$3:$AD$8,2,FALSE),"Y","N")</f>
        <v>N</v>
      </c>
      <c r="X22" s="226">
        <f t="shared" si="6"/>
        <v>1</v>
      </c>
      <c r="Y22" s="226">
        <f t="shared" si="7"/>
        <v>23.295300000000001</v>
      </c>
      <c r="Z22" s="226">
        <f t="shared" si="8"/>
        <v>1.6899999999999998E-2</v>
      </c>
      <c r="AA22" s="226">
        <f t="shared" si="9"/>
        <v>23.278400000000001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22" s="74" t="str">
        <f t="shared" si="12"/>
        <v>"C:\Program Files (x86)\AstroGrep\AstroGrep.exe" /e /r /s /spath="%USERPROFILE%\AppData\Local\Temp\OnboardLogs" /stypes="app*4065*20171012*"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110-12 --locoid 4065 --swversion DE.1.0.9.0 --startMP 204:232953 --initTime 2017-10-12T05:35:54 --startdatetime 2017-10-12T05:42:17 --delay 85 --endMP 204:169 --enddatetime 2017-10-12T06:25:33 --enforcementcount 0 &gt;&gt;%USERPROFILE%\Documents\GitHub\eaglep3-reporting\EC\2017-10-12-refined-times.txt</v>
      </c>
      <c r="AI2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{"issue":{"subject":"","project_id":79,"tracker_id":40,"status_id":1,"priority_id":2,"assigned_to_id":338,"start_date":"2017-10-12","description":"","custom_fields":[{"id":1,"name":"Subdivision","value":"EC"},{"id":4,"name":"Milepost","value":"0.0169"},{"id":17,"name":"Train ID","value":"110-12"},{"id":16,"name":"Locomotive ID","value":"4065"},{"id":130,"name":"Impact","value":""},{"id":150,"name":"Time of Event (Mountain Time)","value":"06:25:33"},{"id":151,"name":"Denver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4065 --day 2017-10-12</v>
      </c>
      <c r="AN2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-10-12T04:35:54-0600',mode:absolute,to:'2017-10-12T07:25:33-0600'))&amp;_a=(columns:!('Message%20ID',Summary),filters:!(),index:'emp_*',interval:auto,query:(query_string:(analyze_wildcard:!t,query:'%22rtdc.l.rtdc.4065%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623</v>
      </c>
      <c r="B23" s="7">
        <v>4002</v>
      </c>
      <c r="C23" s="21" t="s">
        <v>194</v>
      </c>
      <c r="D23" s="21" t="s">
        <v>334</v>
      </c>
      <c r="E23" s="13">
        <v>43020.203356481485</v>
      </c>
      <c r="F23" s="13">
        <v>43020.208599537036</v>
      </c>
      <c r="G23" s="7">
        <v>61</v>
      </c>
      <c r="H23" s="21" t="s">
        <v>400</v>
      </c>
      <c r="I23" s="13">
        <v>43020.233576388891</v>
      </c>
      <c r="J23" s="7">
        <v>0</v>
      </c>
      <c r="K23" s="89" t="str">
        <f t="shared" si="0"/>
        <v>4001/4002</v>
      </c>
      <c r="L23" s="185" t="str">
        <f>VLOOKUP(A23,'Trips&amp;Operators'!$C$1:$G$99911,5,FALSE)</f>
        <v>YORK EDGAR</v>
      </c>
      <c r="M23" s="6">
        <f t="shared" si="1"/>
        <v>2.4976851855171844E-2</v>
      </c>
      <c r="N23" s="7">
        <f t="shared" si="2"/>
        <v>35.966666671447456</v>
      </c>
      <c r="O23" s="7"/>
      <c r="P23" s="7"/>
      <c r="Q23" s="22"/>
      <c r="R23" s="174"/>
      <c r="S23" s="199">
        <f t="shared" si="3"/>
        <v>1</v>
      </c>
      <c r="T23" s="174" t="str">
        <f t="shared" si="4"/>
        <v>NorthBound</v>
      </c>
      <c r="U23" s="22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25" t="str">
        <f t="shared" si="5"/>
        <v>https://d0f6bd738d7f1b3e5a7ca70fe4ff75f0.us-east-1.aws.found.io/app/kibana#/discover/Steve-Slow-Train-Analysis-(2080s-and-2083s)?_g=(refreshInterval:(display:Off,pause:!f,section:0,value:0),time:(from:'2017-10-12T03:52:50-0600',mode:absolute,to:'2017-10-12T06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226" t="str">
        <f>IF(AA23&lt;VLOOKUP(AG23,Variables!$AC$3:$AD$8,2,FALSE),"Y","N")</f>
        <v>N</v>
      </c>
      <c r="X23" s="226">
        <f t="shared" si="6"/>
        <v>1</v>
      </c>
      <c r="Y23" s="226">
        <f t="shared" si="7"/>
        <v>4.4600000000000001E-2</v>
      </c>
      <c r="Z23" s="226">
        <f t="shared" si="8"/>
        <v>23.3308</v>
      </c>
      <c r="AA23" s="226">
        <f t="shared" si="9"/>
        <v>23.286200000000001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23" s="74" t="str">
        <f t="shared" si="12"/>
        <v>"C:\Program Files (x86)\AstroGrep\AstroGrep.exe" /e /r /s /spath="%USERPROFILE%\AppData\Local\Temp\OnboardLogs" /stypes="app*4002*20171012*"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111-12 --locoid 4002 --swversion DE.1.0.9.0 --startMP 204:446 --initTime 2017-10-12T04:52:50 --startdatetime 2017-10-12T05:00:23 --delay 61 --endMP 204:233308 --enddatetime 2017-10-12T05:36:21 --enforcementcount 0 &gt;&gt;%USERPROFILE%\Documents\GitHub\eaglep3-reporting\EC\2017-10-12-refined-times.txt</v>
      </c>
      <c r="AI2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{"issue":{"subject":"","project_id":79,"tracker_id":40,"status_id":1,"priority_id":2,"assigned_to_id":338,"start_date":"2017-10-12","description":"","custom_fields":[{"id":1,"name":"Subdivision","value":"EC"},{"id":4,"name":"Milepost","value":"23.3308"},{"id":17,"name":"Train ID","value":"111-12"},{"id":16,"name":"Locomotive ID","value":"4002"},{"id":130,"name":"Impact","value":""},{"id":150,"name":"Time of Event (Mountain Time)","value":"05:36:21"},{"id":151,"name":"Denver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4002 --day 2017-10-12</v>
      </c>
      <c r="AN2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-10-12T03:52:50-0600',mode:absolute,to:'2017-10-12T06:36:21-0600'))&amp;_a=(columns:!('Message%20ID',Summary),filters:!(),index:'emp_*',interval:auto,query:(query_string:(analyze_wildcard:!t,query:'%22rtdc.l.rtdc.4002%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634</v>
      </c>
      <c r="B24" s="7">
        <v>4001</v>
      </c>
      <c r="C24" s="21" t="s">
        <v>194</v>
      </c>
      <c r="D24" s="21" t="s">
        <v>827</v>
      </c>
      <c r="E24" s="13">
        <v>43020.245243055557</v>
      </c>
      <c r="F24" s="13">
        <v>43020.248171296298</v>
      </c>
      <c r="G24" s="7">
        <v>70</v>
      </c>
      <c r="H24" s="21" t="s">
        <v>335</v>
      </c>
      <c r="I24" s="13">
        <v>43020.273576388892</v>
      </c>
      <c r="J24" s="7">
        <v>0</v>
      </c>
      <c r="K24" s="89" t="str">
        <f t="shared" si="0"/>
        <v>4001/4002</v>
      </c>
      <c r="L24" s="185" t="str">
        <f>VLOOKUP(A24,'Trips&amp;Operators'!$C$1:$G$99911,5,FALSE)</f>
        <v>YORK EDGAR</v>
      </c>
      <c r="M24" s="6">
        <f t="shared" si="1"/>
        <v>2.5405092594155576E-2</v>
      </c>
      <c r="N24" s="7">
        <f t="shared" si="2"/>
        <v>36.58333333558403</v>
      </c>
      <c r="O24" s="7"/>
      <c r="P24" s="7"/>
      <c r="Q24" s="22"/>
      <c r="R24" s="174"/>
      <c r="S24" s="199">
        <f t="shared" si="3"/>
        <v>1</v>
      </c>
      <c r="T24" s="174" t="str">
        <f t="shared" si="4"/>
        <v>Southbound</v>
      </c>
      <c r="U24" s="22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25" t="str">
        <f t="shared" si="5"/>
        <v>https://d0f6bd738d7f1b3e5a7ca70fe4ff75f0.us-east-1.aws.found.io/app/kibana#/discover/Steve-Slow-Train-Analysis-(2080s-and-2083s)?_g=(refreshInterval:(display:Off,pause:!f,section:0,value:0),time:(from:'2017-10-12T04:53:09-0600',mode:absolute,to:'2017-10-12T07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226" t="str">
        <f>IF(AA24&lt;VLOOKUP(AG24,Variables!$AC$3:$AD$8,2,FALSE),"Y","N")</f>
        <v>N</v>
      </c>
      <c r="X24" s="226">
        <f t="shared" si="6"/>
        <v>1</v>
      </c>
      <c r="Y24" s="226">
        <f t="shared" si="7"/>
        <v>23.296800000000001</v>
      </c>
      <c r="Z24" s="226">
        <f t="shared" si="8"/>
        <v>1.4999999999999999E-2</v>
      </c>
      <c r="AA24" s="226">
        <f t="shared" si="9"/>
        <v>23.2818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24" s="74" t="str">
        <f t="shared" si="12"/>
        <v>"C:\Program Files (x86)\AstroGrep\AstroGrep.exe" /e /r /s /spath="%USERPROFILE%\AppData\Local\Temp\OnboardLogs" /stypes="app*4001*20171012*"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112-12 --locoid 4001 --swversion DE.1.0.9.0 --startMP 204:232968 --initTime 2017-10-12T05:53:09 --startdatetime 2017-10-12T05:57:22 --delay 70 --endMP 204:150 --enddatetime 2017-10-12T06:33:57 --enforcementcount 0 &gt;&gt;%USERPROFILE%\Documents\GitHub\eaglep3-reporting\EC\2017-10-12-refined-times.txt</v>
      </c>
      <c r="AI2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{"issue":{"subject":"","project_id":79,"tracker_id":40,"status_id":1,"priority_id":2,"assigned_to_id":338,"start_date":"2017-10-12","description":"","custom_fields":[{"id":1,"name":"Subdivision","value":"EC"},{"id":4,"name":"Milepost","value":"0.015"},{"id":17,"name":"Train ID","value":"112-12"},{"id":16,"name":"Locomotive ID","value":"4001"},{"id":130,"name":"Impact","value":""},{"id":150,"name":"Time of Event (Mountain Time)","value":"06:33:57"},{"id":151,"name":"Denver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4001 --day 2017-10-12</v>
      </c>
      <c r="AN2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-10-12T04:53:09-0600',mode:absolute,to:'2017-10-12T07:33:57-0600'))&amp;_a=(columns:!('Message%20ID',Summary),filters:!(),index:'emp_*',interval:auto,query:(query_string:(analyze_wildcard:!t,query:'%22rtdc.l.rtdc.4001%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628</v>
      </c>
      <c r="B25" s="7">
        <v>4054</v>
      </c>
      <c r="C25" s="21" t="s">
        <v>194</v>
      </c>
      <c r="D25" s="21" t="s">
        <v>476</v>
      </c>
      <c r="E25" s="13">
        <v>43020.215844907405</v>
      </c>
      <c r="F25" s="13">
        <v>43020.219004629631</v>
      </c>
      <c r="G25" s="7">
        <v>69</v>
      </c>
      <c r="H25" s="21" t="s">
        <v>470</v>
      </c>
      <c r="I25" s="13">
        <v>43020.245682870373</v>
      </c>
      <c r="J25" s="7">
        <v>0</v>
      </c>
      <c r="K25" s="89" t="str">
        <f t="shared" si="0"/>
        <v>4053/4054</v>
      </c>
      <c r="L25" s="185" t="str">
        <f>VLOOKUP(A25,'Trips&amp;Operators'!$C$1:$G$99911,5,FALSE)</f>
        <v>CASSIDY BRANDON</v>
      </c>
      <c r="M25" s="6">
        <f t="shared" si="1"/>
        <v>2.6678240741603076E-2</v>
      </c>
      <c r="N25" s="7">
        <f t="shared" si="2"/>
        <v>38.41666666790843</v>
      </c>
      <c r="O25" s="7"/>
      <c r="P25" s="7"/>
      <c r="Q25" s="22"/>
      <c r="R25" s="174"/>
      <c r="S25" s="199">
        <f t="shared" si="3"/>
        <v>1</v>
      </c>
      <c r="T25" s="174" t="str">
        <f t="shared" si="4"/>
        <v>NorthBound</v>
      </c>
      <c r="U25" s="22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25" t="str">
        <f t="shared" si="5"/>
        <v>https://d0f6bd738d7f1b3e5a7ca70fe4ff75f0.us-east-1.aws.found.io/app/kibana#/discover/Steve-Slow-Train-Analysis-(2080s-and-2083s)?_g=(refreshInterval:(display:Off,pause:!f,section:0,value:0),time:(from:'2017-10-12T04:10:49-0600',mode:absolute,to:'2017-10-12T06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226" t="str">
        <f>IF(AA25&lt;VLOOKUP(AG25,Variables!$AC$3:$AD$8,2,FALSE),"Y","N")</f>
        <v>N</v>
      </c>
      <c r="X25" s="226">
        <f t="shared" si="6"/>
        <v>1</v>
      </c>
      <c r="Y25" s="226">
        <f t="shared" si="7"/>
        <v>4.6199999999999998E-2</v>
      </c>
      <c r="Z25" s="226">
        <f t="shared" si="8"/>
        <v>23.328399999999998</v>
      </c>
      <c r="AA25" s="226">
        <f t="shared" si="9"/>
        <v>23.2822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25" s="74" t="str">
        <f t="shared" si="12"/>
        <v>"C:\Program Files (x86)\AstroGrep\AstroGrep.exe" /e /r /s /spath="%USERPROFILE%\AppData\Local\Temp\OnboardLogs" /stypes="app*4054*20171012*"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113-12 --locoid 4054 --swversion DE.1.0.9.0 --startMP 204:462 --initTime 2017-10-12T05:10:49 --startdatetime 2017-10-12T05:15:22 --delay 69 --endMP 204:233284 --enddatetime 2017-10-12T05:53:47 --enforcementcount 0 &gt;&gt;%USERPROFILE%\Documents\GitHub\eaglep3-reporting\EC\2017-10-12-refined-times.txt</v>
      </c>
      <c r="AI2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{"issue":{"subject":"","project_id":79,"tracker_id":40,"status_id":1,"priority_id":2,"assigned_to_id":338,"start_date":"2017-10-12","description":"","custom_fields":[{"id":1,"name":"Subdivision","value":"EC"},{"id":4,"name":"Milepost","value":"23.3284"},{"id":17,"name":"Train ID","value":"113-12"},{"id":16,"name":"Locomotive ID","value":"4054"},{"id":130,"name":"Impact","value":""},{"id":150,"name":"Time of Event (Mountain Time)","value":"05:53:47"},{"id":151,"name":"Denver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4054 --day 2017-10-12</v>
      </c>
      <c r="AN2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-10-12T04:10:49-0600',mode:absolute,to:'2017-10-12T06:53:47-0600'))&amp;_a=(columns:!('Message%20ID',Summary),filters:!(),index:'emp_*',interval:auto,query:(query_string:(analyze_wildcard:!t,query:'%22rtdc.l.rtdc.4054%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638</v>
      </c>
      <c r="B26" s="7">
        <v>4053</v>
      </c>
      <c r="C26" s="21" t="s">
        <v>194</v>
      </c>
      <c r="D26" s="21" t="s">
        <v>449</v>
      </c>
      <c r="E26" s="13">
        <v>43020.25072916667</v>
      </c>
      <c r="F26" s="13">
        <v>43020.258576388886</v>
      </c>
      <c r="G26" s="7">
        <v>53</v>
      </c>
      <c r="H26" s="21" t="s">
        <v>828</v>
      </c>
      <c r="I26" s="13">
        <v>43020.285914351851</v>
      </c>
      <c r="J26" s="7">
        <v>0</v>
      </c>
      <c r="K26" s="89" t="str">
        <f t="shared" si="0"/>
        <v>4053/4054</v>
      </c>
      <c r="L26" s="185" t="str">
        <f>VLOOKUP(A26,'Trips&amp;Operators'!$C$1:$G$99911,5,FALSE)</f>
        <v>CASSIDY BRANDON</v>
      </c>
      <c r="M26" s="6">
        <f t="shared" si="1"/>
        <v>2.7337962965248153E-2</v>
      </c>
      <c r="N26" s="7">
        <f t="shared" si="2"/>
        <v>39.36666666995734</v>
      </c>
      <c r="O26" s="7"/>
      <c r="P26" s="7"/>
      <c r="Q26" s="22"/>
      <c r="R26" s="174"/>
      <c r="S26" s="199">
        <f t="shared" si="3"/>
        <v>1</v>
      </c>
      <c r="T26" s="174" t="str">
        <f t="shared" si="4"/>
        <v>Southbound</v>
      </c>
      <c r="U26" s="22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25" t="str">
        <f t="shared" si="5"/>
        <v>https://d0f6bd738d7f1b3e5a7ca70fe4ff75f0.us-east-1.aws.found.io/app/kibana#/discover/Steve-Slow-Train-Analysis-(2080s-and-2083s)?_g=(refreshInterval:(display:Off,pause:!f,section:0,value:0),time:(from:'2017-10-12T05:01:03-0600',mode:absolute,to:'2017-10-12T07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226" t="str">
        <f>IF(AA26&lt;VLOOKUP(AG26,Variables!$AC$3:$AD$8,2,FALSE),"Y","N")</f>
        <v>N</v>
      </c>
      <c r="X26" s="226">
        <f t="shared" si="6"/>
        <v>1</v>
      </c>
      <c r="Y26" s="226">
        <f t="shared" si="7"/>
        <v>23.299399999999999</v>
      </c>
      <c r="Z26" s="226">
        <f t="shared" si="8"/>
        <v>1.72E-2</v>
      </c>
      <c r="AA26" s="226">
        <f t="shared" si="9"/>
        <v>23.2822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26" s="74" t="str">
        <f t="shared" si="12"/>
        <v>"C:\Program Files (x86)\AstroGrep\AstroGrep.exe" /e /r /s /spath="%USERPROFILE%\AppData\Local\Temp\OnboardLogs" /stypes="app*4053*20171012*"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114-12 --locoid 4053 --swversion DE.1.0.9.0 --startMP 204:232994 --initTime 2017-10-12T06:01:03 --startdatetime 2017-10-12T06:12:21 --delay 53 --endMP 204:172 --enddatetime 2017-10-12T06:51:43 --enforcementcount 0 &gt;&gt;%USERPROFILE%\Documents\GitHub\eaglep3-reporting\EC\2017-10-12-refined-times.txt</v>
      </c>
      <c r="AI2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{"issue":{"subject":"","project_id":79,"tracker_id":40,"status_id":1,"priority_id":2,"assigned_to_id":338,"start_date":"2017-10-12","description":"","custom_fields":[{"id":1,"name":"Subdivision","value":"EC"},{"id":4,"name":"Milepost","value":"0.0172"},{"id":17,"name":"Train ID","value":"114-12"},{"id":16,"name":"Locomotive ID","value":"4053"},{"id":130,"name":"Impact","value":""},{"id":150,"name":"Time of Event (Mountain Time)","value":"06:51:43"},{"id":151,"name":"Denver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4053 --day 2017-10-12</v>
      </c>
      <c r="AN2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-10-12T05:01:03-0600',mode:absolute,to:'2017-10-12T07:51:43-0600'))&amp;_a=(columns:!('Message%20ID',Summary),filters:!(),index:'emp_*',interval:auto,query:(query_string:(analyze_wildcard:!t,query:'%22rtdc.l.rtdc.4053%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630</v>
      </c>
      <c r="B27" s="7">
        <v>4052</v>
      </c>
      <c r="C27" s="21" t="s">
        <v>194</v>
      </c>
      <c r="D27" s="21" t="s">
        <v>376</v>
      </c>
      <c r="E27" s="13">
        <v>43020.224618055552</v>
      </c>
      <c r="F27" s="13">
        <v>43020.229375000003</v>
      </c>
      <c r="G27" s="7">
        <v>49</v>
      </c>
      <c r="H27" s="21" t="s">
        <v>829</v>
      </c>
      <c r="I27" s="13">
        <v>43020.254502314812</v>
      </c>
      <c r="J27" s="7">
        <v>0</v>
      </c>
      <c r="K27" s="89" t="str">
        <f t="shared" si="0"/>
        <v>4051/4052</v>
      </c>
      <c r="L27" s="185" t="str">
        <f>VLOOKUP(A27,'Trips&amp;Operators'!$C$1:$G$99911,5,FALSE)</f>
        <v>MAELZER KURT</v>
      </c>
      <c r="M27" s="6">
        <f t="shared" si="1"/>
        <v>2.512731480965158E-2</v>
      </c>
      <c r="N27" s="7">
        <f t="shared" si="2"/>
        <v>36.183333325898275</v>
      </c>
      <c r="O27" s="7"/>
      <c r="P27" s="7"/>
      <c r="Q27" s="22"/>
      <c r="R27" s="174"/>
      <c r="S27" s="199">
        <f t="shared" si="3"/>
        <v>1</v>
      </c>
      <c r="T27" s="174" t="str">
        <f t="shared" si="4"/>
        <v>NorthBound</v>
      </c>
      <c r="U27" s="22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25" t="str">
        <f t="shared" si="5"/>
        <v>https://d0f6bd738d7f1b3e5a7ca70fe4ff75f0.us-east-1.aws.found.io/app/kibana#/discover/Steve-Slow-Train-Analysis-(2080s-and-2083s)?_g=(refreshInterval:(display:Off,pause:!f,section:0,value:0),time:(from:'2017-10-12T04:23:27-0600',mode:absolute,to:'2017-10-12T07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7" s="226" t="str">
        <f>IF(AA27&lt;VLOOKUP(AG27,Variables!$AC$3:$AD$8,2,FALSE),"Y","N")</f>
        <v>N</v>
      </c>
      <c r="X27" s="226">
        <f t="shared" si="6"/>
        <v>1</v>
      </c>
      <c r="Y27" s="226">
        <f t="shared" si="7"/>
        <v>4.4699999999999997E-2</v>
      </c>
      <c r="Z27" s="226">
        <f t="shared" si="8"/>
        <v>23.3323</v>
      </c>
      <c r="AA27" s="226">
        <f t="shared" si="9"/>
        <v>23.287600000000001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27" s="74" t="str">
        <f t="shared" si="12"/>
        <v>"C:\Program Files (x86)\AstroGrep\AstroGrep.exe" /e /r /s /spath="%USERPROFILE%\AppData\Local\Temp\OnboardLogs" /stypes="app*4052*20171012*"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115-12 --locoid 4052 --swversion DE.1.0.9.0 --startMP 204:447 --initTime 2017-10-12T05:23:27 --startdatetime 2017-10-12T05:30:18 --delay 49 --endMP 204:233323 --enddatetime 2017-10-12T06:06:29 --enforcementcount 0 &gt;&gt;%USERPROFILE%\Documents\GitHub\eaglep3-reporting\EC\2017-10-12-refined-times.txt</v>
      </c>
      <c r="AI2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{"issue":{"subject":"","project_id":79,"tracker_id":40,"status_id":1,"priority_id":2,"assigned_to_id":338,"start_date":"2017-10-12","description":"","custom_fields":[{"id":1,"name":"Subdivision","value":"EC"},{"id":4,"name":"Milepost","value":"23.3323"},{"id":17,"name":"Train ID","value":"115-12"},{"id":16,"name":"Locomotive ID","value":"4052"},{"id":130,"name":"Impact","value":""},{"id":150,"name":"Time of Event (Mountain Time)","value":"06:06:29"},{"id":151,"name":"Denver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4052 --day 2017-10-12</v>
      </c>
      <c r="AN2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-10-12T04:23:27-0600',mode:absolute,to:'2017-10-12T07:06:29-0600'))&amp;_a=(columns:!('Message%20ID',Summary),filters:!(),index:'emp_*',interval:auto,query:(query_string:(analyze_wildcard:!t,query:'%22rtdc.l.rtdc.4052%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640</v>
      </c>
      <c r="B28" s="7">
        <v>4051</v>
      </c>
      <c r="C28" s="21" t="s">
        <v>194</v>
      </c>
      <c r="D28" s="21" t="s">
        <v>402</v>
      </c>
      <c r="E28" s="13">
        <v>43020.263796296298</v>
      </c>
      <c r="F28" s="13">
        <v>43020.269004629627</v>
      </c>
      <c r="G28" s="7">
        <v>49</v>
      </c>
      <c r="H28" s="21" t="s">
        <v>528</v>
      </c>
      <c r="I28" s="13">
        <v>43020.295381944445</v>
      </c>
      <c r="J28" s="7">
        <v>0</v>
      </c>
      <c r="K28" s="89" t="str">
        <f t="shared" si="0"/>
        <v>4051/4052</v>
      </c>
      <c r="L28" s="185" t="str">
        <f>VLOOKUP(A28,'Trips&amp;Operators'!$C$1:$G$99911,5,FALSE)</f>
        <v>MAELZER KURT</v>
      </c>
      <c r="M28" s="6">
        <f t="shared" si="1"/>
        <v>2.6377314818091691E-2</v>
      </c>
      <c r="N28" s="7">
        <f t="shared" si="2"/>
        <v>37.983333338052034</v>
      </c>
      <c r="O28" s="7"/>
      <c r="P28" s="7"/>
      <c r="Q28" s="22"/>
      <c r="R28" s="174"/>
      <c r="S28" s="199">
        <f t="shared" si="3"/>
        <v>1</v>
      </c>
      <c r="T28" s="174" t="str">
        <f t="shared" si="4"/>
        <v>Southbound</v>
      </c>
      <c r="U28" s="22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25" t="str">
        <f t="shared" si="5"/>
        <v>https://d0f6bd738d7f1b3e5a7ca70fe4ff75f0.us-east-1.aws.found.io/app/kibana#/discover/Steve-Slow-Train-Analysis-(2080s-and-2083s)?_g=(refreshInterval:(display:Off,pause:!f,section:0,value:0),time:(from:'2017-10-12T05:19:52-0600',mode:absolute,to:'2017-10-12T08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8" s="226" t="str">
        <f>IF(AA28&lt;VLOOKUP(AG28,Variables!$AC$3:$AD$8,2,FALSE),"Y","N")</f>
        <v>N</v>
      </c>
      <c r="X28" s="226">
        <f t="shared" si="6"/>
        <v>1</v>
      </c>
      <c r="Y28" s="226">
        <f t="shared" si="7"/>
        <v>23.300999999999998</v>
      </c>
      <c r="Z28" s="226">
        <f t="shared" si="8"/>
        <v>1.38E-2</v>
      </c>
      <c r="AA28" s="226">
        <f t="shared" si="9"/>
        <v>23.287199999999999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28" s="74" t="str">
        <f t="shared" si="12"/>
        <v>"C:\Program Files (x86)\AstroGrep\AstroGrep.exe" /e /r /s /spath="%USERPROFILE%\AppData\Local\Temp\OnboardLogs" /stypes="app*4051*20171012*"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116-12 --locoid 4051 --swversion DE.1.0.9.0 --startMP 204:233010 --initTime 2017-10-12T06:19:52 --startdatetime 2017-10-12T06:27:22 --delay 49 --endMP 204:138 --enddatetime 2017-10-12T07:05:21 --enforcementcount 0 &gt;&gt;%USERPROFILE%\Documents\GitHub\eaglep3-reporting\EC\2017-10-12-refined-times.txt</v>
      </c>
      <c r="AI2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{"issue":{"subject":"","project_id":79,"tracker_id":40,"status_id":1,"priority_id":2,"assigned_to_id":338,"start_date":"2017-10-12","description":"","custom_fields":[{"id":1,"name":"Subdivision","value":"EC"},{"id":4,"name":"Milepost","value":"0.0138"},{"id":17,"name":"Train ID","value":"116-12"},{"id":16,"name":"Locomotive ID","value":"4051"},{"id":130,"name":"Impact","value":""},{"id":150,"name":"Time of Event (Mountain Time)","value":"07:05:21"},{"id":151,"name":"Denver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4051 --day 2017-10-12</v>
      </c>
      <c r="AN2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-10-12T05:19:52-0600',mode:absolute,to:'2017-10-12T08:05:21-0600'))&amp;_a=(columns:!('Message%20ID',Summary),filters:!(),index:'emp_*',interval:auto,query:(query_string:(analyze_wildcard:!t,query:'%22rtdc.l.rtdc.4051%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632</v>
      </c>
      <c r="B29" s="7">
        <v>4004</v>
      </c>
      <c r="C29" s="21" t="s">
        <v>194</v>
      </c>
      <c r="D29" s="21" t="s">
        <v>534</v>
      </c>
      <c r="E29" s="13">
        <v>43020.234363425923</v>
      </c>
      <c r="F29" s="13">
        <v>43020.239814814813</v>
      </c>
      <c r="G29" s="7">
        <v>66</v>
      </c>
      <c r="H29" s="21" t="s">
        <v>830</v>
      </c>
      <c r="I29" s="13">
        <v>43020.264837962961</v>
      </c>
      <c r="J29" s="7">
        <v>0</v>
      </c>
      <c r="K29" s="89" t="str">
        <f t="shared" si="0"/>
        <v>4003/4004</v>
      </c>
      <c r="L29" s="185" t="str">
        <f>VLOOKUP(A29,'Trips&amp;Operators'!$C$1:$G$99911,5,FALSE)</f>
        <v>YANG JAN</v>
      </c>
      <c r="M29" s="6">
        <f t="shared" si="1"/>
        <v>2.5023148147738539E-2</v>
      </c>
      <c r="N29" s="7">
        <f t="shared" si="2"/>
        <v>36.033333332743496</v>
      </c>
      <c r="O29" s="7"/>
      <c r="P29" s="7"/>
      <c r="Q29" s="22"/>
      <c r="R29" s="174"/>
      <c r="S29" s="199">
        <f t="shared" si="3"/>
        <v>1</v>
      </c>
      <c r="T29" s="174" t="str">
        <f t="shared" si="4"/>
        <v>NorthBound</v>
      </c>
      <c r="U29" s="22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25" t="str">
        <f t="shared" si="5"/>
        <v>https://d0f6bd738d7f1b3e5a7ca70fe4ff75f0.us-east-1.aws.found.io/app/kibana#/discover/Steve-Slow-Train-Analysis-(2080s-and-2083s)?_g=(refreshInterval:(display:Off,pause:!f,section:0,value:0),time:(from:'2017-10-12T04:37:29-0600',mode:absolute,to:'2017-10-12T07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9" s="226" t="str">
        <f>IF(AA29&lt;VLOOKUP(AG29,Variables!$AC$3:$AD$8,2,FALSE),"Y","N")</f>
        <v>N</v>
      </c>
      <c r="X29" s="226">
        <f t="shared" si="6"/>
        <v>1</v>
      </c>
      <c r="Y29" s="226">
        <f t="shared" si="7"/>
        <v>4.8399999999999999E-2</v>
      </c>
      <c r="Z29" s="226">
        <f t="shared" si="8"/>
        <v>23.329899999999999</v>
      </c>
      <c r="AA29" s="226">
        <f t="shared" si="9"/>
        <v>23.281499999999998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29" s="74" t="str">
        <f t="shared" si="12"/>
        <v>"C:\Program Files (x86)\AstroGrep\AstroGrep.exe" /e /r /s /spath="%USERPROFILE%\AppData\Local\Temp\OnboardLogs" /stypes="app*4004*20171012*"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117-12 --locoid 4004 --swversion DE.1.0.9.0 --startMP 204:484 --initTime 2017-10-12T05:37:29 --startdatetime 2017-10-12T05:45:20 --delay 66 --endMP 204:233299 --enddatetime 2017-10-12T06:21:22 --enforcementcount 0 &gt;&gt;%USERPROFILE%\Documents\GitHub\eaglep3-reporting\EC\2017-10-12-refined-times.txt</v>
      </c>
      <c r="AI2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{"issue":{"subject":"","project_id":79,"tracker_id":40,"status_id":1,"priority_id":2,"assigned_to_id":338,"start_date":"2017-10-12","description":"","custom_fields":[{"id":1,"name":"Subdivision","value":"EC"},{"id":4,"name":"Milepost","value":"23.3299"},{"id":17,"name":"Train ID","value":"117-12"},{"id":16,"name":"Locomotive ID","value":"4004"},{"id":130,"name":"Impact","value":""},{"id":150,"name":"Time of Event (Mountain Time)","value":"06:21:22"},{"id":151,"name":"Denver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4004 --day 2017-10-12</v>
      </c>
      <c r="AN2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-10-12T04:37:29-0600',mode:absolute,to:'2017-10-12T07:21:22-0600'))&amp;_a=(columns:!('Message%20ID',Summary),filters:!(),index:'emp_*',interval:auto,query:(query_string:(analyze_wildcard:!t,query:'%22rtdc.l.rtdc.4004%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642</v>
      </c>
      <c r="B30" s="7">
        <v>4003</v>
      </c>
      <c r="C30" s="21" t="s">
        <v>194</v>
      </c>
      <c r="D30" s="21" t="s">
        <v>477</v>
      </c>
      <c r="E30" s="13">
        <v>43020.274340277778</v>
      </c>
      <c r="F30" s="13">
        <v>43020.279351851852</v>
      </c>
      <c r="G30" s="7">
        <v>98</v>
      </c>
      <c r="H30" s="21" t="s">
        <v>364</v>
      </c>
      <c r="I30" s="13">
        <v>43020.306342592594</v>
      </c>
      <c r="J30" s="7">
        <v>0</v>
      </c>
      <c r="K30" s="89" t="str">
        <f t="shared" si="0"/>
        <v>4003/4004</v>
      </c>
      <c r="L30" s="185" t="str">
        <f>VLOOKUP(A30,'Trips&amp;Operators'!$C$1:$G$99911,5,FALSE)</f>
        <v>YANG JAN</v>
      </c>
      <c r="M30" s="6">
        <f t="shared" si="1"/>
        <v>2.6990740741894115E-2</v>
      </c>
      <c r="N30" s="7">
        <f t="shared" si="2"/>
        <v>38.866666668327525</v>
      </c>
      <c r="O30" s="7"/>
      <c r="P30" s="7"/>
      <c r="Q30" s="22"/>
      <c r="R30" s="174"/>
      <c r="S30" s="199">
        <f t="shared" si="3"/>
        <v>1</v>
      </c>
      <c r="T30" s="174" t="str">
        <f t="shared" si="4"/>
        <v>Southbound</v>
      </c>
      <c r="U30" s="22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25" t="str">
        <f t="shared" si="5"/>
        <v>https://d0f6bd738d7f1b3e5a7ca70fe4ff75f0.us-east-1.aws.found.io/app/kibana#/discover/Steve-Slow-Train-Analysis-(2080s-and-2083s)?_g=(refreshInterval:(display:Off,pause:!f,section:0,value:0),time:(from:'2017-10-12T05:35:03-0600',mode:absolute,to:'2017-10-12T08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0" s="226" t="str">
        <f>IF(AA30&lt;VLOOKUP(AG30,Variables!$AC$3:$AD$8,2,FALSE),"Y","N")</f>
        <v>N</v>
      </c>
      <c r="X30" s="226">
        <f t="shared" si="6"/>
        <v>1</v>
      </c>
      <c r="Y30" s="226">
        <f t="shared" si="7"/>
        <v>23.298200000000001</v>
      </c>
      <c r="Z30" s="226">
        <f t="shared" si="8"/>
        <v>1.5800000000000002E-2</v>
      </c>
      <c r="AA30" s="226">
        <f t="shared" si="9"/>
        <v>23.282400000000003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30" s="74" t="str">
        <f t="shared" si="12"/>
        <v>"C:\Program Files (x86)\AstroGrep\AstroGrep.exe" /e /r /s /spath="%USERPROFILE%\AppData\Local\Temp\OnboardLogs" /stypes="app*4003*20171012*"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118-12 --locoid 4003 --swversion DE.1.0.9.0 --startMP 204:232982 --initTime 2017-10-12T06:35:03 --startdatetime 2017-10-12T06:42:16 --delay 98 --endMP 204:158 --enddatetime 2017-10-12T07:21:08 --enforcementcount 0 &gt;&gt;%USERPROFILE%\Documents\GitHub\eaglep3-reporting\EC\2017-10-12-refined-times.txt</v>
      </c>
      <c r="AI3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{"issue":{"subject":"","project_id":79,"tracker_id":40,"status_id":1,"priority_id":2,"assigned_to_id":338,"start_date":"2017-10-12","description":"","custom_fields":[{"id":1,"name":"Subdivision","value":"EC"},{"id":4,"name":"Milepost","value":"0.0158"},{"id":17,"name":"Train ID","value":"118-12"},{"id":16,"name":"Locomotive ID","value":"4003"},{"id":130,"name":"Impact","value":""},{"id":150,"name":"Time of Event (Mountain Time)","value":"07:21:08"},{"id":151,"name":"Denver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4003 --day 2017-10-12</v>
      </c>
      <c r="AN3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-10-12T05:35:03-0600',mode:absolute,to:'2017-10-12T08:21:08-0600'))&amp;_a=(columns:!('Message%20ID',Summary),filters:!(),index:'emp_*',interval:auto,query:(query_string:(analyze_wildcard:!t,query:'%22rtdc.l.rtdc.4003%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635</v>
      </c>
      <c r="B31" s="7">
        <v>4026</v>
      </c>
      <c r="C31" s="21" t="s">
        <v>194</v>
      </c>
      <c r="D31" s="21" t="s">
        <v>476</v>
      </c>
      <c r="E31" s="13">
        <v>43020.246539351851</v>
      </c>
      <c r="F31" s="13">
        <v>43020.250243055554</v>
      </c>
      <c r="G31" s="7">
        <v>75</v>
      </c>
      <c r="H31" s="21" t="s">
        <v>480</v>
      </c>
      <c r="I31" s="13">
        <v>43020.275416666664</v>
      </c>
      <c r="J31" s="7">
        <v>0</v>
      </c>
      <c r="K31" s="89" t="str">
        <f t="shared" si="0"/>
        <v>4025/4026</v>
      </c>
      <c r="L31" s="185" t="str">
        <f>VLOOKUP(A31,'Trips&amp;Operators'!$C$1:$G$99911,5,FALSE)</f>
        <v>PAGE MARCUS</v>
      </c>
      <c r="M31" s="6">
        <f t="shared" si="1"/>
        <v>2.5173611109494232E-2</v>
      </c>
      <c r="N31" s="7">
        <f t="shared" si="2"/>
        <v>36.249999997671694</v>
      </c>
      <c r="O31" s="7"/>
      <c r="P31" s="7"/>
      <c r="Q31" s="22"/>
      <c r="R31" s="174"/>
      <c r="S31" s="199">
        <f t="shared" si="3"/>
        <v>1</v>
      </c>
      <c r="T31" s="174" t="str">
        <f t="shared" si="4"/>
        <v>NorthBound</v>
      </c>
      <c r="U31" s="22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25" t="str">
        <f t="shared" si="5"/>
        <v>https://d0f6bd738d7f1b3e5a7ca70fe4ff75f0.us-east-1.aws.found.io/app/kibana#/discover/Steve-Slow-Train-Analysis-(2080s-and-2083s)?_g=(refreshInterval:(display:Off,pause:!f,section:0,value:0),time:(from:'2017-10-12T04:55:01-0600',mode:absolute,to:'2017-10-12T07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226" t="str">
        <f>IF(AA31&lt;VLOOKUP(AG31,Variables!$AC$3:$AD$8,2,FALSE),"Y","N")</f>
        <v>N</v>
      </c>
      <c r="X31" s="226">
        <f t="shared" si="6"/>
        <v>1</v>
      </c>
      <c r="Y31" s="226">
        <f t="shared" si="7"/>
        <v>4.6199999999999998E-2</v>
      </c>
      <c r="Z31" s="226">
        <f t="shared" si="8"/>
        <v>23.332100000000001</v>
      </c>
      <c r="AA31" s="226">
        <f t="shared" si="9"/>
        <v>23.285900000000002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31" s="74" t="str">
        <f t="shared" si="12"/>
        <v>"C:\Program Files (x86)\AstroGrep\AstroGrep.exe" /e /r /s /spath="%USERPROFILE%\AppData\Local\Temp\OnboardLogs" /stypes="app*4026*20171012*"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119-12 --locoid 4026 --swversion DE.1.0.9.0 --startMP 204:462 --initTime 2017-10-12T05:55:01 --startdatetime 2017-10-12T06:00:21 --delay 75 --endMP 204:233321 --enddatetime 2017-10-12T06:36:36 --enforcementcount 0 &gt;&gt;%USERPROFILE%\Documents\GitHub\eaglep3-reporting\EC\2017-10-12-refined-times.txt</v>
      </c>
      <c r="AI3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{"issue":{"subject":"","project_id":79,"tracker_id":40,"status_id":1,"priority_id":2,"assigned_to_id":338,"start_date":"2017-10-12","description":"","custom_fields":[{"id":1,"name":"Subdivision","value":"EC"},{"id":4,"name":"Milepost","value":"23.3321"},{"id":17,"name":"Train ID","value":"119-12"},{"id":16,"name":"Locomotive ID","value":"4026"},{"id":130,"name":"Impact","value":""},{"id":150,"name":"Time of Event (Mountain Time)","value":"06:36:36"},{"id":151,"name":"Denver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4026 --day 2017-10-12</v>
      </c>
      <c r="AN3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-10-12T04:55:01-0600',mode:absolute,to:'2017-10-12T07:36:36-0600'))&amp;_a=(columns:!('Message%20ID',Summary),filters:!(),index:'emp_*',interval:auto,query:(query_string:(analyze_wildcard:!t,query:'%22rtdc.l.rtdc.4026%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644</v>
      </c>
      <c r="B32" s="7">
        <v>4025</v>
      </c>
      <c r="C32" s="21" t="s">
        <v>194</v>
      </c>
      <c r="D32" s="21" t="s">
        <v>481</v>
      </c>
      <c r="E32" s="13">
        <v>43020.285578703704</v>
      </c>
      <c r="F32" s="13">
        <v>43020.289768518516</v>
      </c>
      <c r="G32" s="7">
        <v>56</v>
      </c>
      <c r="H32" s="21" t="s">
        <v>356</v>
      </c>
      <c r="I32" s="13">
        <v>43020.316145833334</v>
      </c>
      <c r="J32" s="7">
        <v>0</v>
      </c>
      <c r="K32" s="89" t="str">
        <f t="shared" si="0"/>
        <v>4025/4026</v>
      </c>
      <c r="L32" s="185" t="str">
        <f>VLOOKUP(A32,'Trips&amp;Operators'!$C$1:$G$99911,5,FALSE)</f>
        <v>PAGE MARCUS</v>
      </c>
      <c r="M32" s="6">
        <f t="shared" si="1"/>
        <v>2.6377314818091691E-2</v>
      </c>
      <c r="N32" s="7">
        <f t="shared" si="2"/>
        <v>37.983333338052034</v>
      </c>
      <c r="O32" s="7"/>
      <c r="P32" s="7"/>
      <c r="Q32" s="22"/>
      <c r="R32" s="174"/>
      <c r="S32" s="199">
        <f t="shared" si="3"/>
        <v>1</v>
      </c>
      <c r="T32" s="174" t="str">
        <f t="shared" si="4"/>
        <v>Southbound</v>
      </c>
      <c r="U32" s="22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25" t="str">
        <f t="shared" si="5"/>
        <v>https://d0f6bd738d7f1b3e5a7ca70fe4ff75f0.us-east-1.aws.found.io/app/kibana#/discover/Steve-Slow-Train-Analysis-(2080s-and-2083s)?_g=(refreshInterval:(display:Off,pause:!f,section:0,value:0),time:(from:'2017-10-12T05:51:14-0600',mode:absolute,to:'2017-10-12T08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226" t="str">
        <f>IF(AA32&lt;VLOOKUP(AG32,Variables!$AC$3:$AD$8,2,FALSE),"Y","N")</f>
        <v>N</v>
      </c>
      <c r="X32" s="226">
        <f t="shared" si="6"/>
        <v>1</v>
      </c>
      <c r="Y32" s="226">
        <f t="shared" si="7"/>
        <v>23.299800000000001</v>
      </c>
      <c r="Z32" s="226">
        <f t="shared" si="8"/>
        <v>1.4500000000000001E-2</v>
      </c>
      <c r="AA32" s="226">
        <f t="shared" si="9"/>
        <v>23.285299999999999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32" s="74" t="str">
        <f t="shared" si="12"/>
        <v>"C:\Program Files (x86)\AstroGrep\AstroGrep.exe" /e /r /s /spath="%USERPROFILE%\AppData\Local\Temp\OnboardLogs" /stypes="app*4025*20171012*"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120-12 --locoid 4025 --swversion DE.1.0.9.0 --startMP 204:232998 --initTime 2017-10-12T06:51:14 --startdatetime 2017-10-12T06:57:16 --delay 56 --endMP 204:145 --enddatetime 2017-10-12T07:35:15 --enforcementcount 0 &gt;&gt;%USERPROFILE%\Documents\GitHub\eaglep3-reporting\EC\2017-10-12-refined-times.txt</v>
      </c>
      <c r="AI3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ID","value":"120-12"},{"id":16,"name":"Locomotive ID","value":"4025"},{"id":130,"name":"Impact","value":""},{"id":150,"name":"Time of Event (Mountain Time)","value":"07:35:15"},{"id":151,"name":"Denver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4025 --day 2017-10-12</v>
      </c>
      <c r="AN3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-10-12T05:51:14-0600',mode:absolute,to:'2017-10-12T08:35:15-0600'))&amp;_a=(columns:!('Message%20ID',Summary),filters:!(),index:'emp_*',interval:auto,query:(query_string:(analyze_wildcard:!t,query:'%22rtdc.l.rtdc.4025%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639</v>
      </c>
      <c r="B33" s="7">
        <v>4064</v>
      </c>
      <c r="C33" s="21" t="s">
        <v>194</v>
      </c>
      <c r="D33" s="21" t="s">
        <v>476</v>
      </c>
      <c r="E33" s="13">
        <v>43020.25509259259</v>
      </c>
      <c r="F33" s="13">
        <v>43020.26116898148</v>
      </c>
      <c r="G33" s="7">
        <v>53</v>
      </c>
      <c r="H33" s="21" t="s">
        <v>483</v>
      </c>
      <c r="I33" s="13">
        <v>43020.285231481481</v>
      </c>
      <c r="J33" s="7">
        <v>0</v>
      </c>
      <c r="K33" s="89" t="str">
        <f t="shared" si="0"/>
        <v>4063/4064</v>
      </c>
      <c r="L33" s="185" t="str">
        <f>VLOOKUP(A33,'Trips&amp;Operators'!$C$1:$G$99911,5,FALSE)</f>
        <v>GEBRETEKLE DAGNEW</v>
      </c>
      <c r="M33" s="6">
        <f t="shared" si="1"/>
        <v>2.4062500000582077E-2</v>
      </c>
      <c r="N33" s="7">
        <f t="shared" si="2"/>
        <v>34.65000000083819</v>
      </c>
      <c r="O33" s="7"/>
      <c r="P33" s="7"/>
      <c r="Q33" s="22"/>
      <c r="R33" s="174"/>
      <c r="S33" s="199">
        <f t="shared" si="3"/>
        <v>1</v>
      </c>
      <c r="T33" s="174" t="str">
        <f t="shared" si="4"/>
        <v>NorthBound</v>
      </c>
      <c r="U33" s="22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25" t="str">
        <f t="shared" si="5"/>
        <v>https://d0f6bd738d7f1b3e5a7ca70fe4ff75f0.us-east-1.aws.found.io/app/kibana#/discover/Steve-Slow-Train-Analysis-(2080s-and-2083s)?_g=(refreshInterval:(display:Off,pause:!f,section:0,value:0),time:(from:'2017-10-12T05:07:20-0600',mode:absolute,to:'2017-10-12T07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3" s="226" t="str">
        <f>IF(AA33&lt;VLOOKUP(AG33,Variables!$AC$3:$AD$8,2,FALSE),"Y","N")</f>
        <v>N</v>
      </c>
      <c r="X33" s="226">
        <f t="shared" si="6"/>
        <v>1</v>
      </c>
      <c r="Y33" s="226">
        <f t="shared" si="7"/>
        <v>4.6199999999999998E-2</v>
      </c>
      <c r="Z33" s="226">
        <f t="shared" si="8"/>
        <v>23.328900000000001</v>
      </c>
      <c r="AA33" s="226">
        <f t="shared" si="9"/>
        <v>23.282700000000002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33" s="74" t="str">
        <f t="shared" si="12"/>
        <v>"C:\Program Files (x86)\AstroGrep\AstroGrep.exe" /e /r /s /spath="%USERPROFILE%\AppData\Local\Temp\OnboardLogs" /stypes="app*4064*20171012*"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121-12 --locoid 4064 --swversion DE.1.0.9.0 --startMP 204:462 --initTime 2017-10-12T06:07:20 --startdatetime 2017-10-12T06:16:05 --delay 53 --endMP 204:233289 --enddatetime 2017-10-12T06:50:44 --enforcementcount 0 &gt;&gt;%USERPROFILE%\Documents\GitHub\eaglep3-reporting\EC\2017-10-12-refined-times.txt</v>
      </c>
      <c r="AI3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{"issue":{"subject":"","project_id":79,"tracker_id":40,"status_id":1,"priority_id":2,"assigned_to_id":338,"start_date":"2017-10-12","description":"","custom_fields":[{"id":1,"name":"Subdivision","value":"EC"},{"id":4,"name":"Milepost","value":"23.3289"},{"id":17,"name":"Train ID","value":"121-12"},{"id":16,"name":"Locomotive ID","value":"4064"},{"id":130,"name":"Impact","value":""},{"id":150,"name":"Time of Event (Mountain Time)","value":"06:50:44"},{"id":151,"name":"Denver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4064 --day 2017-10-12</v>
      </c>
      <c r="AN3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-10-12T05:07:20-0600',mode:absolute,to:'2017-10-12T07:50:44-0600'))&amp;_a=(columns:!('Message%20ID',Summary),filters:!(),index:'emp_*',interval:auto,query:(query_string:(analyze_wildcard:!t,query:'%22rtdc.l.rtdc.4064%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645</v>
      </c>
      <c r="B34" s="7">
        <v>4063</v>
      </c>
      <c r="C34" s="21" t="s">
        <v>194</v>
      </c>
      <c r="D34" s="21" t="s">
        <v>473</v>
      </c>
      <c r="E34" s="13">
        <v>43020.286354166667</v>
      </c>
      <c r="F34" s="13">
        <v>43020.300162037034</v>
      </c>
      <c r="G34" s="7">
        <v>49</v>
      </c>
      <c r="H34" s="21" t="s">
        <v>336</v>
      </c>
      <c r="I34" s="13">
        <v>43020.327233796299</v>
      </c>
      <c r="J34" s="7">
        <v>0</v>
      </c>
      <c r="K34" s="89" t="str">
        <f t="shared" si="0"/>
        <v>4063/4064</v>
      </c>
      <c r="L34" s="185" t="str">
        <f>VLOOKUP(A34,'Trips&amp;Operators'!$C$1:$G$99911,5,FALSE)</f>
        <v>GEBRETEKLE DAGNEW</v>
      </c>
      <c r="M34" s="6">
        <f t="shared" si="1"/>
        <v>2.7071759264799766E-2</v>
      </c>
      <c r="N34" s="7">
        <f t="shared" si="2"/>
        <v>38.983333341311663</v>
      </c>
      <c r="O34" s="7"/>
      <c r="P34" s="7"/>
      <c r="Q34" s="22"/>
      <c r="R34" s="174"/>
      <c r="S34" s="199">
        <f t="shared" si="3"/>
        <v>1</v>
      </c>
      <c r="T34" s="174" t="str">
        <f t="shared" si="4"/>
        <v>Southbound</v>
      </c>
      <c r="U34" s="22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25" t="str">
        <f t="shared" si="5"/>
        <v>https://d0f6bd738d7f1b3e5a7ca70fe4ff75f0.us-east-1.aws.found.io/app/kibana#/discover/Steve-Slow-Train-Analysis-(2080s-and-2083s)?_g=(refreshInterval:(display:Off,pause:!f,section:0,value:0),time:(from:'2017-10-12T05:52:21-0600',mode:absolute,to:'2017-10-12T08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4" s="226" t="str">
        <f>IF(AA34&lt;VLOOKUP(AG34,Variables!$AC$3:$AD$8,2,FALSE),"Y","N")</f>
        <v>N</v>
      </c>
      <c r="X34" s="226">
        <f t="shared" si="6"/>
        <v>1</v>
      </c>
      <c r="Y34" s="226">
        <f t="shared" si="7"/>
        <v>23.296500000000002</v>
      </c>
      <c r="Z34" s="226">
        <f t="shared" si="8"/>
        <v>1.49E-2</v>
      </c>
      <c r="AA34" s="226">
        <f t="shared" si="9"/>
        <v>23.281600000000001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34" s="74" t="str">
        <f t="shared" si="12"/>
        <v>"C:\Program Files (x86)\AstroGrep\AstroGrep.exe" /e /r /s /spath="%USERPROFILE%\AppData\Local\Temp\OnboardLogs" /stypes="app*4063*20171012*"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122-12 --locoid 4063 --swversion DE.1.0.9.0 --startMP 204:232965 --initTime 2017-10-12T06:52:21 --startdatetime 2017-10-12T07:12:14 --delay 49 --endMP 204:149 --enddatetime 2017-10-12T07:51:13 --enforcementcount 0 &gt;&gt;%USERPROFILE%\Documents\GitHub\eaglep3-reporting\EC\2017-10-12-refined-times.txt</v>
      </c>
      <c r="AI3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{"issue":{"subject":"","project_id":79,"tracker_id":40,"status_id":1,"priority_id":2,"assigned_to_id":338,"start_date":"2017-10-12","description":"","custom_fields":[{"id":1,"name":"Subdivision","value":"EC"},{"id":4,"name":"Milepost","value":"0.0149"},{"id":17,"name":"Train ID","value":"122-12"},{"id":16,"name":"Locomotive ID","value":"4063"},{"id":130,"name":"Impact","value":""},{"id":150,"name":"Time of Event (Mountain Time)","value":"07:51:13"},{"id":151,"name":"Denver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4063 --day 2017-10-12</v>
      </c>
      <c r="AN3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-10-12T05:52:21-0600',mode:absolute,to:'2017-10-12T08:51:13-0600'))&amp;_a=(columns:!('Message%20ID',Summary),filters:!(),index:'emp_*',interval:auto,query:(query_string:(analyze_wildcard:!t,query:'%22rtdc.l.rtdc.4063%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641</v>
      </c>
      <c r="B35" s="7">
        <v>4066</v>
      </c>
      <c r="C35" s="21" t="s">
        <v>194</v>
      </c>
      <c r="D35" s="21" t="s">
        <v>363</v>
      </c>
      <c r="E35" s="13">
        <v>43020.269108796296</v>
      </c>
      <c r="F35" s="13">
        <v>43020.271018518521</v>
      </c>
      <c r="G35" s="7">
        <v>56</v>
      </c>
      <c r="H35" s="21" t="s">
        <v>831</v>
      </c>
      <c r="I35" s="13">
        <v>43020.296805555554</v>
      </c>
      <c r="J35" s="7">
        <v>0</v>
      </c>
      <c r="K35" s="89" t="str">
        <f t="shared" si="0"/>
        <v>4065/4066</v>
      </c>
      <c r="L35" s="185" t="str">
        <f>VLOOKUP(A35,'Trips&amp;Operators'!$C$1:$G$99911,5,FALSE)</f>
        <v>WILLIAMS DONTE</v>
      </c>
      <c r="M35" s="6">
        <f t="shared" si="1"/>
        <v>2.5787037033296656E-2</v>
      </c>
      <c r="N35" s="7">
        <f t="shared" si="2"/>
        <v>37.133333327947184</v>
      </c>
      <c r="O35" s="7"/>
      <c r="P35" s="7"/>
      <c r="Q35" s="22"/>
      <c r="R35" s="174"/>
      <c r="S35" s="199">
        <f t="shared" si="3"/>
        <v>1</v>
      </c>
      <c r="T35" s="174" t="str">
        <f t="shared" si="4"/>
        <v>NorthBound</v>
      </c>
      <c r="U35" s="22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25" t="str">
        <f t="shared" si="5"/>
        <v>https://d0f6bd738d7f1b3e5a7ca70fe4ff75f0.us-east-1.aws.found.io/app/kibana#/discover/Steve-Slow-Train-Analysis-(2080s-and-2083s)?_g=(refreshInterval:(display:Off,pause:!f,section:0,value:0),time:(from:'2017-10-12T05:27:31-0600',mode:absolute,to:'2017-10-12T08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5" s="226" t="str">
        <f>IF(AA35&lt;VLOOKUP(AG35,Variables!$AC$3:$AD$8,2,FALSE),"Y","N")</f>
        <v>N</v>
      </c>
      <c r="X35" s="226">
        <f t="shared" si="6"/>
        <v>1</v>
      </c>
      <c r="Y35" s="226">
        <f t="shared" si="7"/>
        <v>4.5999999999999999E-2</v>
      </c>
      <c r="Z35" s="226">
        <f t="shared" si="8"/>
        <v>23.331700000000001</v>
      </c>
      <c r="AA35" s="226">
        <f t="shared" si="9"/>
        <v>23.285700000000002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35" s="74" t="str">
        <f t="shared" si="12"/>
        <v>"C:\Program Files (x86)\AstroGrep\AstroGrep.exe" /e /r /s /spath="%USERPROFILE%\AppData\Local\Temp\OnboardLogs" /stypes="app*4066*20171012*"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123-12 --locoid 4066 --swversion DE.1.0.9.0 --startMP 204:460 --initTime 2017-10-12T06:27:31 --startdatetime 2017-10-12T06:30:16 --delay 56 --endMP 204:233317 --enddatetime 2017-10-12T07:07:24 --enforcementcount 0 &gt;&gt;%USERPROFILE%\Documents\GitHub\eaglep3-reporting\EC\2017-10-12-refined-times.txt</v>
      </c>
      <c r="AI3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{"issue":{"subject":"","project_id":79,"tracker_id":40,"status_id":1,"priority_id":2,"assigned_to_id":338,"start_date":"2017-10-12","description":"","custom_fields":[{"id":1,"name":"Subdivision","value":"EC"},{"id":4,"name":"Milepost","value":"23.3317"},{"id":17,"name":"Train ID","value":"123-12"},{"id":16,"name":"Locomotive ID","value":"4066"},{"id":130,"name":"Impact","value":""},{"id":150,"name":"Time of Event (Mountain Time)","value":"07:07:24"},{"id":151,"name":"Denver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4066 --day 2017-10-12</v>
      </c>
      <c r="AN3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-10-12T05:27:31-0600',mode:absolute,to:'2017-10-12T08:07:24-0600'))&amp;_a=(columns:!('Message%20ID',Summary),filters:!(),index:'emp_*',interval:auto,query:(query_string:(analyze_wildcard:!t,query:'%22rtdc.l.rtdc.4066%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650</v>
      </c>
      <c r="B36" s="7">
        <v>4065</v>
      </c>
      <c r="C36" s="21" t="s">
        <v>194</v>
      </c>
      <c r="D36" s="21" t="s">
        <v>484</v>
      </c>
      <c r="E36" s="13">
        <v>43020.305787037039</v>
      </c>
      <c r="F36" s="13">
        <v>43020.310601851852</v>
      </c>
      <c r="G36" s="7">
        <v>79</v>
      </c>
      <c r="H36" s="21" t="s">
        <v>355</v>
      </c>
      <c r="I36" s="13">
        <v>43020.337418981479</v>
      </c>
      <c r="J36" s="7">
        <v>0</v>
      </c>
      <c r="K36" s="89" t="str">
        <f t="shared" si="0"/>
        <v>4065/4066</v>
      </c>
      <c r="L36" s="185" t="str">
        <f>VLOOKUP(A36,'Trips&amp;Operators'!$C$1:$G$99911,5,FALSE)</f>
        <v>WILLIAMS DONTE</v>
      </c>
      <c r="M36" s="6">
        <f t="shared" si="1"/>
        <v>2.6817129626579117E-2</v>
      </c>
      <c r="N36" s="7">
        <f t="shared" si="2"/>
        <v>38.616666662273929</v>
      </c>
      <c r="O36" s="7"/>
      <c r="P36" s="7"/>
      <c r="Q36" s="22"/>
      <c r="R36" s="174"/>
      <c r="S36" s="199">
        <f t="shared" si="3"/>
        <v>1</v>
      </c>
      <c r="T36" s="174" t="str">
        <f t="shared" si="4"/>
        <v>Southbound</v>
      </c>
      <c r="U36" s="22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25" t="str">
        <f t="shared" si="5"/>
        <v>https://d0f6bd738d7f1b3e5a7ca70fe4ff75f0.us-east-1.aws.found.io/app/kibana#/discover/Steve-Slow-Train-Analysis-(2080s-and-2083s)?_g=(refreshInterval:(display:Off,pause:!f,section:0,value:0),time:(from:'2017-10-12T06:20:20-0600',mode:absolute,to:'2017-10-12T09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6" s="226" t="str">
        <f>IF(AA36&lt;VLOOKUP(AG36,Variables!$AC$3:$AD$8,2,FALSE),"Y","N")</f>
        <v>N</v>
      </c>
      <c r="X36" s="226">
        <f t="shared" si="6"/>
        <v>1</v>
      </c>
      <c r="Y36" s="226">
        <f t="shared" si="7"/>
        <v>23.2987</v>
      </c>
      <c r="Z36" s="226">
        <f t="shared" si="8"/>
        <v>1.52E-2</v>
      </c>
      <c r="AA36" s="226">
        <f t="shared" si="9"/>
        <v>23.2835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36" s="74" t="str">
        <f t="shared" si="12"/>
        <v>"C:\Program Files (x86)\AstroGrep\AstroGrep.exe" /e /r /s /spath="%USERPROFILE%\AppData\Local\Temp\OnboardLogs" /stypes="app*4065*20171012*"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124-12 --locoid 4065 --swversion DE.1.0.9.0 --startMP 204:232987 --initTime 2017-10-12T07:20:20 --startdatetime 2017-10-12T07:27:16 --delay 79 --endMP 204:152 --enddatetime 2017-10-12T08:05:53 --enforcementcount 0 &gt;&gt;%USERPROFILE%\Documents\GitHub\eaglep3-reporting\EC\2017-10-12-refined-times.txt</v>
      </c>
      <c r="AI3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{"issue":{"subject":"","project_id":79,"tracker_id":40,"status_id":1,"priority_id":2,"assigned_to_id":338,"start_date":"2017-10-12","description":"","custom_fields":[{"id":1,"name":"Subdivision","value":"EC"},{"id":4,"name":"Milepost","value":"0.0152"},{"id":17,"name":"Train ID","value":"124-12"},{"id":16,"name":"Locomotive ID","value":"4065"},{"id":130,"name":"Impact","value":""},{"id":150,"name":"Time of Event (Mountain Time)","value":"08:05:53"},{"id":151,"name":"Denver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4065 --day 2017-10-12</v>
      </c>
      <c r="AN3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-10-12T06:20:20-0600',mode:absolute,to:'2017-10-12T09:05:53-0600'))&amp;_a=(columns:!('Message%20ID',Summary),filters:!(),index:'emp_*',interval:auto,query:(query_string:(analyze_wildcard:!t,query:'%22rtdc.l.rtdc.4065%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643</v>
      </c>
      <c r="B37" s="7">
        <v>4002</v>
      </c>
      <c r="C37" s="21" t="s">
        <v>194</v>
      </c>
      <c r="D37" s="21" t="s">
        <v>392</v>
      </c>
      <c r="E37" s="13">
        <v>43020.274583333332</v>
      </c>
      <c r="F37" s="13">
        <v>43020.281527777777</v>
      </c>
      <c r="G37" s="7">
        <v>58</v>
      </c>
      <c r="H37" s="21" t="s">
        <v>832</v>
      </c>
      <c r="I37" s="13">
        <v>43020.305578703701</v>
      </c>
      <c r="J37" s="7">
        <v>0</v>
      </c>
      <c r="K37" s="89" t="str">
        <f t="shared" si="0"/>
        <v>4001/4002</v>
      </c>
      <c r="L37" s="185" t="str">
        <f>VLOOKUP(A37,'Trips&amp;Operators'!$C$1:$G$99911,5,FALSE)</f>
        <v>YORK EDGAR</v>
      </c>
      <c r="M37" s="6">
        <f t="shared" si="1"/>
        <v>2.4050925923802424E-2</v>
      </c>
      <c r="N37" s="7">
        <f t="shared" si="2"/>
        <v>34.633333330275491</v>
      </c>
      <c r="O37" s="7"/>
      <c r="P37" s="7"/>
      <c r="Q37" s="22"/>
      <c r="R37" s="174"/>
      <c r="S37" s="199">
        <f t="shared" si="3"/>
        <v>1</v>
      </c>
      <c r="T37" s="174" t="str">
        <f t="shared" si="4"/>
        <v>NorthBound</v>
      </c>
      <c r="U37" s="22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25" t="str">
        <f t="shared" si="5"/>
        <v>https://d0f6bd738d7f1b3e5a7ca70fe4ff75f0.us-east-1.aws.found.io/app/kibana#/discover/Steve-Slow-Train-Analysis-(2080s-and-2083s)?_g=(refreshInterval:(display:Off,pause:!f,section:0,value:0),time:(from:'2017-10-12T05:35:24-0600',mode:absolute,to:'2017-10-12T08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226" t="str">
        <f>IF(AA37&lt;VLOOKUP(AG37,Variables!$AC$3:$AD$8,2,FALSE),"Y","N")</f>
        <v>N</v>
      </c>
      <c r="X37" s="226">
        <f t="shared" si="6"/>
        <v>1</v>
      </c>
      <c r="Y37" s="226">
        <f t="shared" si="7"/>
        <v>4.7300000000000002E-2</v>
      </c>
      <c r="Z37" s="226">
        <f t="shared" si="8"/>
        <v>23.325700000000001</v>
      </c>
      <c r="AA37" s="226">
        <f t="shared" si="9"/>
        <v>23.278400000000001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37" s="74" t="str">
        <f t="shared" si="12"/>
        <v>"C:\Program Files (x86)\AstroGrep\AstroGrep.exe" /e /r /s /spath="%USERPROFILE%\AppData\Local\Temp\OnboardLogs" /stypes="app*4002*20171012*"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125-12 --locoid 4002 --swversion DE.1.0.9.0 --startMP 204:473 --initTime 2017-10-12T06:35:24 --startdatetime 2017-10-12T06:45:24 --delay 58 --endMP 204:233257 --enddatetime 2017-10-12T07:20:02 --enforcementcount 0 &gt;&gt;%USERPROFILE%\Documents\GitHub\eaglep3-reporting\EC\2017-10-12-refined-times.txt</v>
      </c>
      <c r="AI3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{"issue":{"subject":"","project_id":79,"tracker_id":40,"status_id":1,"priority_id":2,"assigned_to_id":338,"start_date":"2017-10-12","description":"","custom_fields":[{"id":1,"name":"Subdivision","value":"EC"},{"id":4,"name":"Milepost","value":"23.3257"},{"id":17,"name":"Train ID","value":"125-12"},{"id":16,"name":"Locomotive ID","value":"4002"},{"id":130,"name":"Impact","value":""},{"id":150,"name":"Time of Event (Mountain Time)","value":"07:20:02"},{"id":151,"name":"Denver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4002 --day 2017-10-12</v>
      </c>
      <c r="AN3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-10-12T05:35:24-0600',mode:absolute,to:'2017-10-12T08:20:02-0600'))&amp;_a=(columns:!('Message%20ID',Summary),filters:!(),index:'emp_*',interval:auto,query:(query_string:(analyze_wildcard:!t,query:'%22rtdc.l.rtdc.4002%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651</v>
      </c>
      <c r="B38" s="7">
        <v>4001</v>
      </c>
      <c r="C38" s="21" t="s">
        <v>194</v>
      </c>
      <c r="D38" s="21" t="s">
        <v>833</v>
      </c>
      <c r="E38" s="13">
        <v>43020.306759259256</v>
      </c>
      <c r="F38" s="13">
        <v>43020.321006944447</v>
      </c>
      <c r="G38" s="7">
        <v>55</v>
      </c>
      <c r="H38" s="21" t="s">
        <v>356</v>
      </c>
      <c r="I38" s="13">
        <v>43020.346608796295</v>
      </c>
      <c r="J38" s="7">
        <v>0</v>
      </c>
      <c r="K38" s="89" t="str">
        <f t="shared" si="0"/>
        <v>4001/4002</v>
      </c>
      <c r="L38" s="185" t="str">
        <f>VLOOKUP(A38,'Trips&amp;Operators'!$C$1:$G$99911,5,FALSE)</f>
        <v>YORK EDGAR</v>
      </c>
      <c r="M38" s="6">
        <f t="shared" si="1"/>
        <v>2.5601851848477963E-2</v>
      </c>
      <c r="N38" s="7">
        <f t="shared" si="2"/>
        <v>36.866666661808267</v>
      </c>
      <c r="O38" s="7"/>
      <c r="P38" s="7"/>
      <c r="Q38" s="22"/>
      <c r="R38" s="174"/>
      <c r="S38" s="199">
        <f t="shared" si="3"/>
        <v>1</v>
      </c>
      <c r="T38" s="174" t="str">
        <f t="shared" si="4"/>
        <v>Southbound</v>
      </c>
      <c r="U38" s="22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25" t="str">
        <f t="shared" si="5"/>
        <v>https://d0f6bd738d7f1b3e5a7ca70fe4ff75f0.us-east-1.aws.found.io/app/kibana#/discover/Steve-Slow-Train-Analysis-(2080s-and-2083s)?_g=(refreshInterval:(display:Off,pause:!f,section:0,value:0),time:(from:'2017-10-12T06:21:44-0600',mode:absolute,to:'2017-10-12T09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226" t="str">
        <f>IF(AA38&lt;VLOOKUP(AG38,Variables!$AC$3:$AD$8,2,FALSE),"Y","N")</f>
        <v>N</v>
      </c>
      <c r="X38" s="226">
        <f t="shared" si="6"/>
        <v>1</v>
      </c>
      <c r="Y38" s="226">
        <f t="shared" si="7"/>
        <v>23.296900000000001</v>
      </c>
      <c r="Z38" s="226">
        <f t="shared" si="8"/>
        <v>1.4500000000000001E-2</v>
      </c>
      <c r="AA38" s="226">
        <f t="shared" si="9"/>
        <v>23.282399999999999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38" s="74" t="str">
        <f t="shared" si="12"/>
        <v>"C:\Program Files (x86)\AstroGrep\AstroGrep.exe" /e /r /s /spath="%USERPROFILE%\AppData\Local\Temp\OnboardLogs" /stypes="app*4001*20171012*"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126-12 --locoid 4001 --swversion DE.1.0.9.0 --startMP 204:232969 --initTime 2017-10-12T07:21:44 --startdatetime 2017-10-12T07:42:15 --delay 55 --endMP 204:145 --enddatetime 2017-10-12T08:19:07 --enforcementcount 0 &gt;&gt;%USERPROFILE%\Documents\GitHub\eaglep3-reporting\EC\2017-10-12-refined-times.txt</v>
      </c>
      <c r="AI3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ID","value":"126-12"},{"id":16,"name":"Locomotive ID","value":"4001"},{"id":130,"name":"Impact","value":""},{"id":150,"name":"Time of Event (Mountain Time)","value":"08:19:07"},{"id":151,"name":"Denver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4001 --day 2017-10-12</v>
      </c>
      <c r="AN3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-10-12T06:21:44-0600',mode:absolute,to:'2017-10-12T09:19:07-0600'))&amp;_a=(columns:!('Message%20ID',Summary),filters:!(),index:'emp_*',interval:auto,query:(query_string:(analyze_wildcard:!t,query:'%22rtdc.l.rtdc.4001%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646</v>
      </c>
      <c r="B39" s="7">
        <v>4054</v>
      </c>
      <c r="C39" s="21" t="s">
        <v>194</v>
      </c>
      <c r="D39" s="21" t="s">
        <v>834</v>
      </c>
      <c r="E39" s="13">
        <v>43020.288032407407</v>
      </c>
      <c r="F39" s="13">
        <v>43020.291909722226</v>
      </c>
      <c r="G39" s="7">
        <v>59</v>
      </c>
      <c r="H39" s="21" t="s">
        <v>480</v>
      </c>
      <c r="I39" s="13">
        <v>43020.31659722222</v>
      </c>
      <c r="J39" s="7">
        <v>0</v>
      </c>
      <c r="K39" s="89" t="str">
        <f t="shared" si="0"/>
        <v>4053/4054</v>
      </c>
      <c r="L39" s="185" t="str">
        <f>VLOOKUP(A39,'Trips&amp;Operators'!$C$1:$G$99911,5,FALSE)</f>
        <v>CASSIDY BRANDON</v>
      </c>
      <c r="M39" s="6">
        <f t="shared" si="1"/>
        <v>2.4687499993888196E-2</v>
      </c>
      <c r="N39" s="7">
        <f t="shared" si="2"/>
        <v>35.549999991199002</v>
      </c>
      <c r="O39" s="7"/>
      <c r="P39" s="7"/>
      <c r="Q39" s="22"/>
      <c r="R39" s="174"/>
      <c r="S39" s="199">
        <f t="shared" si="3"/>
        <v>1</v>
      </c>
      <c r="T39" s="174" t="str">
        <f t="shared" si="4"/>
        <v>NorthBound</v>
      </c>
      <c r="U39" s="22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25" t="str">
        <f t="shared" si="5"/>
        <v>https://d0f6bd738d7f1b3e5a7ca70fe4ff75f0.us-east-1.aws.found.io/app/kibana#/discover/Steve-Slow-Train-Analysis-(2080s-and-2083s)?_g=(refreshInterval:(display:Off,pause:!f,section:0,value:0),time:(from:'2017-10-12T05:54:46-0600',mode:absolute,to:'2017-10-12T08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226" t="str">
        <f>IF(AA39&lt;VLOOKUP(AG39,Variables!$AC$3:$AD$8,2,FALSE),"Y","N")</f>
        <v>N</v>
      </c>
      <c r="X39" s="226">
        <f t="shared" si="6"/>
        <v>1</v>
      </c>
      <c r="Y39" s="226">
        <f t="shared" si="7"/>
        <v>4.82E-2</v>
      </c>
      <c r="Z39" s="226">
        <f t="shared" si="8"/>
        <v>23.332100000000001</v>
      </c>
      <c r="AA39" s="226">
        <f t="shared" si="9"/>
        <v>23.283899999999999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39" s="74" t="str">
        <f t="shared" si="12"/>
        <v>"C:\Program Files (x86)\AstroGrep\AstroGrep.exe" /e /r /s /spath="%USERPROFILE%\AppData\Local\Temp\OnboardLogs" /stypes="app*4054*20171012*"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127-12 --locoid 4054 --swversion DE.1.0.9.0 --startMP 204:482 --initTime 2017-10-12T06:54:46 --startdatetime 2017-10-12T07:00:21 --delay 59 --endMP 204:233321 --enddatetime 2017-10-12T07:35:54 --enforcementcount 0 &gt;&gt;%USERPROFILE%\Documents\GitHub\eaglep3-reporting\EC\2017-10-12-refined-times.txt</v>
      </c>
      <c r="AI3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{"issue":{"subject":"","project_id":79,"tracker_id":40,"status_id":1,"priority_id":2,"assigned_to_id":338,"start_date":"2017-10-12","description":"","custom_fields":[{"id":1,"name":"Subdivision","value":"EC"},{"id":4,"name":"Milepost","value":"23.3321"},{"id":17,"name":"Train ID","value":"127-12"},{"id":16,"name":"Locomotive ID","value":"4054"},{"id":130,"name":"Impact","value":""},{"id":150,"name":"Time of Event (Mountain Time)","value":"07:35:54"},{"id":151,"name":"Denver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4054 --day 2017-10-12</v>
      </c>
      <c r="AN3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-10-12T05:54:46-0600',mode:absolute,to:'2017-10-12T08:35:54-0600'))&amp;_a=(columns:!('Message%20ID',Summary),filters:!(),index:'emp_*',interval:auto,query:(query_string:(analyze_wildcard:!t,query:'%22rtdc.l.rtdc.4054%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655</v>
      </c>
      <c r="B40" s="7">
        <v>4053</v>
      </c>
      <c r="C40" s="21" t="s">
        <v>194</v>
      </c>
      <c r="D40" s="21" t="s">
        <v>472</v>
      </c>
      <c r="E40" s="13">
        <v>43020.31832175926</v>
      </c>
      <c r="F40" s="13">
        <v>43020.331423611111</v>
      </c>
      <c r="G40" s="7">
        <v>810</v>
      </c>
      <c r="H40" s="21" t="s">
        <v>367</v>
      </c>
      <c r="I40" s="13">
        <v>43020.357175925928</v>
      </c>
      <c r="J40" s="7">
        <v>0</v>
      </c>
      <c r="K40" s="89" t="str">
        <f t="shared" si="0"/>
        <v>4053/4054</v>
      </c>
      <c r="L40" s="185" t="str">
        <f>VLOOKUP(A40,'Trips&amp;Operators'!$C$1:$G$99911,5,FALSE)</f>
        <v>GONZALEZ ARMANDO</v>
      </c>
      <c r="M40" s="6">
        <f t="shared" si="1"/>
        <v>2.5752314817509614E-2</v>
      </c>
      <c r="N40" s="7">
        <f t="shared" si="2"/>
        <v>37.083333337213844</v>
      </c>
      <c r="O40" s="7"/>
      <c r="P40" s="7"/>
      <c r="Q40" s="22"/>
      <c r="R40" s="174"/>
      <c r="S40" s="199">
        <f t="shared" si="3"/>
        <v>1</v>
      </c>
      <c r="T40" s="174" t="str">
        <f t="shared" si="4"/>
        <v>Southbound</v>
      </c>
      <c r="U40" s="22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25" t="str">
        <f t="shared" si="5"/>
        <v>https://d0f6bd738d7f1b3e5a7ca70fe4ff75f0.us-east-1.aws.found.io/app/kibana#/discover/Steve-Slow-Train-Analysis-(2080s-and-2083s)?_g=(refreshInterval:(display:Off,pause:!f,section:0,value:0),time:(from:'2017-10-12T06:38:23-0600',mode:absolute,to:'2017-10-12T09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226" t="str">
        <f>IF(AA40&lt;VLOOKUP(AG40,Variables!$AC$3:$AD$8,2,FALSE),"Y","N")</f>
        <v>N</v>
      </c>
      <c r="X40" s="226">
        <f t="shared" si="6"/>
        <v>1</v>
      </c>
      <c r="Y40" s="226">
        <f t="shared" si="7"/>
        <v>23.3002</v>
      </c>
      <c r="Z40" s="226">
        <f t="shared" si="8"/>
        <v>1.3899999999999999E-2</v>
      </c>
      <c r="AA40" s="226">
        <f t="shared" si="9"/>
        <v>23.286300000000001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40" s="74" t="str">
        <f t="shared" si="12"/>
        <v>"C:\Program Files (x86)\AstroGrep\AstroGrep.exe" /e /r /s /spath="%USERPROFILE%\AppData\Local\Temp\OnboardLogs" /stypes="app*4053*20171012*"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128-12 --locoid 4053 --swversion DE.1.0.9.0 --startMP 204:233002 --initTime 2017-10-12T07:38:23 --startdatetime 2017-10-12T07:57:15 --delay 810 --endMP 204:139 --enddatetime 2017-10-12T08:34:20 --enforcementcount 0 &gt;&gt;%USERPROFILE%\Documents\GitHub\eaglep3-reporting\EC\2017-10-12-refined-times.txt</v>
      </c>
      <c r="AI4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{"issue":{"subject":"","project_id":79,"tracker_id":40,"status_id":1,"priority_id":2,"assigned_to_id":338,"start_date":"2017-10-12","description":"","custom_fields":[{"id":1,"name":"Subdivision","value":"EC"},{"id":4,"name":"Milepost","value":"0.0139"},{"id":17,"name":"Train ID","value":"128-12"},{"id":16,"name":"Locomotive ID","value":"4053"},{"id":130,"name":"Impact","value":""},{"id":150,"name":"Time of Event (Mountain Time)","value":"08:34:20"},{"id":151,"name":"Denver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4053 --day 2017-10-12</v>
      </c>
      <c r="AN4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-10-12T06:38:23-0600',mode:absolute,to:'2017-10-12T09:34:20-0600'))&amp;_a=(columns:!('Message%20ID',Summary),filters:!(),index:'emp_*',interval:auto,query:(query_string:(analyze_wildcard:!t,query:'%22rtdc.l.rtdc.4053%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649</v>
      </c>
      <c r="B41" s="7">
        <v>4052</v>
      </c>
      <c r="C41" s="21" t="s">
        <v>194</v>
      </c>
      <c r="D41" s="21" t="s">
        <v>338</v>
      </c>
      <c r="E41" s="13">
        <v>43020.29959490741</v>
      </c>
      <c r="F41" s="13">
        <v>43020.30228009259</v>
      </c>
      <c r="G41" s="7">
        <v>48</v>
      </c>
      <c r="H41" s="21" t="s">
        <v>835</v>
      </c>
      <c r="I41" s="13">
        <v>43020.326840277776</v>
      </c>
      <c r="J41" s="7">
        <v>0</v>
      </c>
      <c r="K41" s="89" t="str">
        <f t="shared" si="0"/>
        <v>4051/4052</v>
      </c>
      <c r="L41" s="185" t="str">
        <f>VLOOKUP(A41,'Trips&amp;Operators'!$C$1:$G$99911,5,FALSE)</f>
        <v>MAELZER KURT</v>
      </c>
      <c r="M41" s="6">
        <f t="shared" si="1"/>
        <v>2.4560185185691807E-2</v>
      </c>
      <c r="N41" s="7">
        <f t="shared" si="2"/>
        <v>35.366666667396203</v>
      </c>
      <c r="O41" s="7"/>
      <c r="P41" s="7"/>
      <c r="Q41" s="22"/>
      <c r="R41" s="174"/>
      <c r="S41" s="199">
        <f t="shared" si="3"/>
        <v>1</v>
      </c>
      <c r="T41" s="174" t="str">
        <f t="shared" si="4"/>
        <v>NorthBound</v>
      </c>
      <c r="U41" s="22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25" t="str">
        <f t="shared" si="5"/>
        <v>https://d0f6bd738d7f1b3e5a7ca70fe4ff75f0.us-east-1.aws.found.io/app/kibana#/discover/Steve-Slow-Train-Analysis-(2080s-and-2083s)?_g=(refreshInterval:(display:Off,pause:!f,section:0,value:0),time:(from:'2017-10-12T06:11:25-0600',mode:absolute,to:'2017-10-12T08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1" s="226" t="str">
        <f>IF(AA41&lt;VLOOKUP(AG41,Variables!$AC$3:$AD$8,2,FALSE),"Y","N")</f>
        <v>N</v>
      </c>
      <c r="X41" s="226">
        <f t="shared" si="6"/>
        <v>1</v>
      </c>
      <c r="Y41" s="226">
        <f t="shared" si="7"/>
        <v>4.53E-2</v>
      </c>
      <c r="Z41" s="226">
        <f t="shared" si="8"/>
        <v>23.332999999999998</v>
      </c>
      <c r="AA41" s="226">
        <f t="shared" si="9"/>
        <v>23.287699999999997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41" s="74" t="str">
        <f t="shared" si="12"/>
        <v>"C:\Program Files (x86)\AstroGrep\AstroGrep.exe" /e /r /s /spath="%USERPROFILE%\AppData\Local\Temp\OnboardLogs" /stypes="app*4052*20171012*"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129-12 --locoid 4052 --swversion DE.1.0.9.0 --startMP 204:453 --initTime 2017-10-12T07:11:25 --startdatetime 2017-10-12T07:15:17 --delay 48 --endMP 204:233330 --enddatetime 2017-10-12T07:50:39 --enforcementcount 0 &gt;&gt;%USERPROFILE%\Documents\GitHub\eaglep3-reporting\EC\2017-10-12-refined-times.txt</v>
      </c>
      <c r="AI4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{"issue":{"subject":"","project_id":79,"tracker_id":40,"status_id":1,"priority_id":2,"assigned_to_id":338,"start_date":"2017-10-12","description":"","custom_fields":[{"id":1,"name":"Subdivision","value":"EC"},{"id":4,"name":"Milepost","value":"23.333"},{"id":17,"name":"Train ID","value":"129-12"},{"id":16,"name":"Locomotive ID","value":"4052"},{"id":130,"name":"Impact","value":""},{"id":150,"name":"Time of Event (Mountain Time)","value":"07:50:39"},{"id":151,"name":"Denver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4052 --day 2017-10-12</v>
      </c>
      <c r="AN4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-10-12T06:11:25-0600',mode:absolute,to:'2017-10-12T08:50:39-0600'))&amp;_a=(columns:!('Message%20ID',Summary),filters:!(),index:'emp_*',interval:auto,query:(query_string:(analyze_wildcard:!t,query:'%22rtdc.l.rtdc.4052%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659</v>
      </c>
      <c r="B42" s="7">
        <v>4051</v>
      </c>
      <c r="C42" s="21" t="s">
        <v>194</v>
      </c>
      <c r="D42" s="21" t="s">
        <v>836</v>
      </c>
      <c r="E42" s="13">
        <v>43020.331284722219</v>
      </c>
      <c r="F42" s="13">
        <v>43020.341874999998</v>
      </c>
      <c r="G42" s="7">
        <v>60</v>
      </c>
      <c r="H42" s="21" t="s">
        <v>837</v>
      </c>
      <c r="I42" s="13">
        <v>43020.368449074071</v>
      </c>
      <c r="J42" s="7">
        <v>0</v>
      </c>
      <c r="K42" s="89" t="str">
        <f t="shared" si="0"/>
        <v>4051/4052</v>
      </c>
      <c r="L42" s="185" t="str">
        <f>VLOOKUP(A42,'Trips&amp;Operators'!$C$1:$G$99911,5,FALSE)</f>
        <v>MAELZER KURT</v>
      </c>
      <c r="M42" s="6">
        <f t="shared" si="1"/>
        <v>2.6574074072414078E-2</v>
      </c>
      <c r="N42" s="7">
        <f t="shared" si="2"/>
        <v>38.266666664276272</v>
      </c>
      <c r="O42" s="7"/>
      <c r="P42" s="7"/>
      <c r="Q42" s="22"/>
      <c r="R42" s="174"/>
      <c r="S42" s="199">
        <f t="shared" si="3"/>
        <v>1</v>
      </c>
      <c r="T42" s="174" t="str">
        <f t="shared" si="4"/>
        <v>Southbound</v>
      </c>
      <c r="U42" s="22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25" t="str">
        <f t="shared" si="5"/>
        <v>https://d0f6bd738d7f1b3e5a7ca70fe4ff75f0.us-east-1.aws.found.io/app/kibana#/discover/Steve-Slow-Train-Analysis-(2080s-and-2083s)?_g=(refreshInterval:(display:Off,pause:!f,section:0,value:0),time:(from:'2017-10-12T06:57:03-0600',mode:absolute,to:'2017-10-12T09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2" s="226" t="str">
        <f>IF(AA42&lt;VLOOKUP(AG42,Variables!$AC$3:$AD$8,2,FALSE),"Y","N")</f>
        <v>N</v>
      </c>
      <c r="X42" s="226">
        <f t="shared" si="6"/>
        <v>1</v>
      </c>
      <c r="Y42" s="226">
        <f t="shared" si="7"/>
        <v>23.3001</v>
      </c>
      <c r="Z42" s="226">
        <f t="shared" si="8"/>
        <v>1.34E-2</v>
      </c>
      <c r="AA42" s="226">
        <f t="shared" si="9"/>
        <v>23.2867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130</v>
      </c>
      <c r="AE42" s="77" t="str">
        <f t="shared" si="11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42" s="74" t="str">
        <f t="shared" si="12"/>
        <v>"C:\Program Files (x86)\AstroGrep\AstroGrep.exe" /e /r /s /spath="%USERPROFILE%\AppData\Local\Temp\OnboardLogs" /stypes="app*4051*20171012*"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130-12 --locoid 4051 --swversion DE.1.0.9.0 --startMP 204:233001 --initTime 2017-10-12T07:57:03 --startdatetime 2017-10-12T08:12:18 --delay 60 --endMP 204:134 --enddatetime 2017-10-12T08:50:34 --enforcementcount 0 &gt;&gt;%USERPROFILE%\Documents\GitHub\eaglep3-reporting\EC\2017-10-12-refined-times.txt</v>
      </c>
      <c r="AI4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{"issue":{"subject":"","project_id":79,"tracker_id":40,"status_id":1,"priority_id":2,"assigned_to_id":338,"start_date":"2017-10-12","description":"","custom_fields":[{"id":1,"name":"Subdivision","value":"EC"},{"id":4,"name":"Milepost","value":"0.0134"},{"id":17,"name":"Train ID","value":"130-12"},{"id":16,"name":"Locomotive ID","value":"4051"},{"id":130,"name":"Impact","value":""},{"id":150,"name":"Time of Event (Mountain Time)","value":"08:50:34"},{"id":151,"name":"Denver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4051 --day 2017-10-12</v>
      </c>
      <c r="AN4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-10-12T06:57:03-0600',mode:absolute,to:'2017-10-12T09:50:34-0600'))&amp;_a=(columns:!('Message%20ID',Summary),filters:!(),index:'emp_*',interval:auto,query:(query_string:(analyze_wildcard:!t,query:'%22rtdc.l.rtdc.4051%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652</v>
      </c>
      <c r="B43" s="7">
        <v>4004</v>
      </c>
      <c r="C43" s="21" t="s">
        <v>194</v>
      </c>
      <c r="D43" s="21" t="s">
        <v>538</v>
      </c>
      <c r="E43" s="13">
        <v>43020.30908564815</v>
      </c>
      <c r="F43" s="13">
        <v>43020.312685185185</v>
      </c>
      <c r="G43" s="7">
        <v>84</v>
      </c>
      <c r="H43" s="21" t="s">
        <v>533</v>
      </c>
      <c r="I43" s="13">
        <v>43020.337500000001</v>
      </c>
      <c r="J43" s="7">
        <v>0</v>
      </c>
      <c r="K43" s="89" t="str">
        <f t="shared" si="0"/>
        <v>4003/4004</v>
      </c>
      <c r="L43" s="185" t="str">
        <f>VLOOKUP(A43,'Trips&amp;Operators'!$C$1:$G$99911,5,FALSE)</f>
        <v>YANG JAN</v>
      </c>
      <c r="M43" s="6">
        <f t="shared" si="1"/>
        <v>2.4814814816636499E-2</v>
      </c>
      <c r="N43" s="7">
        <f t="shared" si="2"/>
        <v>35.733333335956559</v>
      </c>
      <c r="O43" s="7"/>
      <c r="P43" s="7"/>
      <c r="Q43" s="22"/>
      <c r="R43" s="174"/>
      <c r="S43" s="199">
        <f t="shared" si="3"/>
        <v>1</v>
      </c>
      <c r="T43" s="174" t="str">
        <f t="shared" si="4"/>
        <v>NorthBound</v>
      </c>
      <c r="U43" s="22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25" t="str">
        <f t="shared" si="5"/>
        <v>https://d0f6bd738d7f1b3e5a7ca70fe4ff75f0.us-east-1.aws.found.io/app/kibana#/discover/Steve-Slow-Train-Analysis-(2080s-and-2083s)?_g=(refreshInterval:(display:Off,pause:!f,section:0,value:0),time:(from:'2017-10-12T06:25:05-0600',mode:absolute,to:'2017-10-12T09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3" s="226" t="str">
        <f>IF(AA43&lt;VLOOKUP(AG43,Variables!$AC$3:$AD$8,2,FALSE),"Y","N")</f>
        <v>N</v>
      </c>
      <c r="X43" s="226">
        <f t="shared" si="6"/>
        <v>1</v>
      </c>
      <c r="Y43" s="226">
        <f t="shared" si="7"/>
        <v>4.4400000000000002E-2</v>
      </c>
      <c r="Z43" s="226">
        <f t="shared" si="8"/>
        <v>23.333100000000002</v>
      </c>
      <c r="AA43" s="226">
        <f t="shared" si="9"/>
        <v>23.288700000000002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43" s="74" t="str">
        <f t="shared" si="12"/>
        <v>"C:\Program Files (x86)\AstroGrep\AstroGrep.exe" /e /r /s /spath="%USERPROFILE%\AppData\Local\Temp\OnboardLogs" /stypes="app*4004*20171012*"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131-12 --locoid 4004 --swversion DE.1.0.9.0 --startMP 204:444 --initTime 2017-10-12T07:25:05 --startdatetime 2017-10-12T07:30:16 --delay 84 --endMP 204:233331 --enddatetime 2017-10-12T08:06:00 --enforcementcount 0 &gt;&gt;%USERPROFILE%\Documents\GitHub\eaglep3-reporting\EC\2017-10-12-refined-times.txt</v>
      </c>
      <c r="AI4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{"issue":{"subject":"","project_id":79,"tracker_id":40,"status_id":1,"priority_id":2,"assigned_to_id":338,"start_date":"2017-10-12","description":"","custom_fields":[{"id":1,"name":"Subdivision","value":"EC"},{"id":4,"name":"Milepost","value":"23.3331"},{"id":17,"name":"Train ID","value":"131-12"},{"id":16,"name":"Locomotive ID","value":"4004"},{"id":130,"name":"Impact","value":""},{"id":150,"name":"Time of Event (Mountain Time)","value":"08:06:00"},{"id":151,"name":"Denver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4004 --day 2017-10-12</v>
      </c>
      <c r="AN4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-10-12T06:25:05-0600',mode:absolute,to:'2017-10-12T09:06:00-0600'))&amp;_a=(columns:!('Message%20ID',Summary),filters:!(),index:'emp_*',interval:auto,query:(query_string:(analyze_wildcard:!t,query:'%22rtdc.l.rtdc.4004%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661</v>
      </c>
      <c r="B44" s="7">
        <v>4003</v>
      </c>
      <c r="C44" s="21" t="s">
        <v>194</v>
      </c>
      <c r="D44" s="21" t="s">
        <v>532</v>
      </c>
      <c r="E44" s="13">
        <v>43020.345868055556</v>
      </c>
      <c r="F44" s="13">
        <v>43020.35229166667</v>
      </c>
      <c r="G44" s="7">
        <v>52</v>
      </c>
      <c r="H44" s="21" t="s">
        <v>528</v>
      </c>
      <c r="I44" s="13">
        <v>43020.378738425927</v>
      </c>
      <c r="J44" s="7">
        <v>0</v>
      </c>
      <c r="K44" s="89" t="str">
        <f t="shared" si="0"/>
        <v>4003/4004</v>
      </c>
      <c r="L44" s="185" t="str">
        <f>VLOOKUP(A44,'Trips&amp;Operators'!$C$1:$G$99911,5,FALSE)</f>
        <v>YANG JAN</v>
      </c>
      <c r="M44" s="6">
        <f t="shared" si="1"/>
        <v>2.6446759256941732E-2</v>
      </c>
      <c r="N44" s="7">
        <f t="shared" si="2"/>
        <v>38.083333329996094</v>
      </c>
      <c r="O44" s="7"/>
      <c r="P44" s="7"/>
      <c r="Q44" s="22"/>
      <c r="R44" s="174"/>
      <c r="S44" s="199">
        <f t="shared" si="3"/>
        <v>1</v>
      </c>
      <c r="T44" s="174" t="str">
        <f t="shared" si="4"/>
        <v>Southbound</v>
      </c>
      <c r="U44" s="22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25" t="str">
        <f t="shared" si="5"/>
        <v>https://d0f6bd738d7f1b3e5a7ca70fe4ff75f0.us-east-1.aws.found.io/app/kibana#/discover/Steve-Slow-Train-Analysis-(2080s-and-2083s)?_g=(refreshInterval:(display:Off,pause:!f,section:0,value:0),time:(from:'2017-10-12T07:18:03-0600',mode:absolute,to:'2017-10-12T10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4" s="226" t="str">
        <f>IF(AA44&lt;VLOOKUP(AG44,Variables!$AC$3:$AD$8,2,FALSE),"Y","N")</f>
        <v>N</v>
      </c>
      <c r="X44" s="226">
        <f t="shared" si="6"/>
        <v>1</v>
      </c>
      <c r="Y44" s="226">
        <f t="shared" si="7"/>
        <v>23.301100000000002</v>
      </c>
      <c r="Z44" s="226">
        <f t="shared" si="8"/>
        <v>1.38E-2</v>
      </c>
      <c r="AA44" s="226">
        <f t="shared" si="9"/>
        <v>23.287300000000002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44" s="74" t="str">
        <f t="shared" si="12"/>
        <v>"C:\Program Files (x86)\AstroGrep\AstroGrep.exe" /e /r /s /spath="%USERPROFILE%\AppData\Local\Temp\OnboardLogs" /stypes="app*4003*20171012*"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132-12 --locoid 4003 --swversion DE.1.0.9.0 --startMP 204:233011 --initTime 2017-10-12T08:18:03 --startdatetime 2017-10-12T08:27:18 --delay 52 --endMP 204:138 --enddatetime 2017-10-12T09:05:23 --enforcementcount 0 &gt;&gt;%USERPROFILE%\Documents\GitHub\eaglep3-reporting\EC\2017-10-12-refined-times.txt</v>
      </c>
      <c r="AI4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{"issue":{"subject":"","project_id":79,"tracker_id":40,"status_id":1,"priority_id":2,"assigned_to_id":338,"start_date":"2017-10-12","description":"","custom_fields":[{"id":1,"name":"Subdivision","value":"EC"},{"id":4,"name":"Milepost","value":"0.0138"},{"id":17,"name":"Train ID","value":"132-12"},{"id":16,"name":"Locomotive ID","value":"4003"},{"id":130,"name":"Impact","value":""},{"id":150,"name":"Time of Event (Mountain Time)","value":"09:05:23"},{"id":151,"name":"Denver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4003 --day 2017-10-12</v>
      </c>
      <c r="AN4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-10-12T07:18:03-0600',mode:absolute,to:'2017-10-12T10:05:23-0600'))&amp;_a=(columns:!('Message%20ID',Summary),filters:!(),index:'emp_*',interval:auto,query:(query_string:(analyze_wildcard:!t,query:'%22rtdc.l.rtdc.4003%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654</v>
      </c>
      <c r="B45" s="7">
        <v>4026</v>
      </c>
      <c r="C45" s="21" t="s">
        <v>194</v>
      </c>
      <c r="D45" s="21" t="s">
        <v>523</v>
      </c>
      <c r="E45" s="13">
        <v>43020.318414351852</v>
      </c>
      <c r="F45" s="13">
        <v>43020.323182870372</v>
      </c>
      <c r="G45" s="7">
        <v>54</v>
      </c>
      <c r="H45" s="21" t="s">
        <v>429</v>
      </c>
      <c r="I45" s="13">
        <v>43020.34746527778</v>
      </c>
      <c r="J45" s="7">
        <v>0</v>
      </c>
      <c r="K45" s="89" t="str">
        <f t="shared" si="0"/>
        <v>4025/4026</v>
      </c>
      <c r="L45" s="185" t="str">
        <f>VLOOKUP(A45,'Trips&amp;Operators'!$C$1:$G$99911,5,FALSE)</f>
        <v>PAGE MARCUS</v>
      </c>
      <c r="M45" s="6">
        <f t="shared" si="1"/>
        <v>2.4282407408463769E-2</v>
      </c>
      <c r="N45" s="7">
        <f t="shared" ref="N45:N76" si="24">24*60*SUM($M45:$M45)</f>
        <v>34.966666668187827</v>
      </c>
      <c r="O45" s="7"/>
      <c r="P45" s="7"/>
      <c r="Q45" s="22"/>
      <c r="R45" s="174"/>
      <c r="S45" s="199">
        <f t="shared" ref="S45:S76" si="25">1/IF(AG45="EC",12,1)*SUM(U45:U45)</f>
        <v>1</v>
      </c>
      <c r="T45" s="174" t="str">
        <f t="shared" si="4"/>
        <v>NorthBound</v>
      </c>
      <c r="U45" s="22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25" t="str">
        <f t="shared" si="5"/>
        <v>https://d0f6bd738d7f1b3e5a7ca70fe4ff75f0.us-east-1.aws.found.io/app/kibana#/discover/Steve-Slow-Train-Analysis-(2080s-and-2083s)?_g=(refreshInterval:(display:Off,pause:!f,section:0,value:0),time:(from:'2017-10-12T06:38:31-0600',mode:absolute,to:'2017-10-12T09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226" t="str">
        <f>IF(AA45&lt;VLOOKUP(AG45,Variables!$AC$3:$AD$8,2,FALSE),"Y","N")</f>
        <v>N</v>
      </c>
      <c r="X45" s="226">
        <f t="shared" si="6"/>
        <v>1</v>
      </c>
      <c r="Y45" s="226">
        <f t="shared" ref="Y45:Y76" si="26">RIGHT(D45,LEN(D45)-4)/10000</f>
        <v>4.3799999999999999E-2</v>
      </c>
      <c r="Z45" s="226">
        <f t="shared" ref="Z45:Z76" si="27">RIGHT(H45,LEN(H45)-4)/10000</f>
        <v>23.331600000000002</v>
      </c>
      <c r="AA45" s="226">
        <f t="shared" si="9"/>
        <v>23.287800000000001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133</v>
      </c>
      <c r="AE45" s="77" t="str">
        <f t="shared" si="11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45" s="74" t="str">
        <f t="shared" si="12"/>
        <v>"C:\Program Files (x86)\AstroGrep\AstroGrep.exe" /e /r /s /spath="%USERPROFILE%\AppData\Local\Temp\OnboardLogs" /stypes="app*4026*20171012*"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133-12 --locoid 4026 --swversion DE.1.0.9.0 --startMP 204:438 --initTime 2017-10-12T07:38:31 --startdatetime 2017-10-12T07:45:23 --delay 54 --endMP 204:233316 --enddatetime 2017-10-12T08:20:21 --enforcementcount 0 &gt;&gt;%USERPROFILE%\Documents\GitHub\eaglep3-reporting\EC\2017-10-12-refined-times.txt</v>
      </c>
      <c r="AI4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{"issue":{"subject":"","project_id":79,"tracker_id":40,"status_id":1,"priority_id":2,"assigned_to_id":338,"start_date":"2017-10-12","description":"","custom_fields":[{"id":1,"name":"Subdivision","value":"EC"},{"id":4,"name":"Milepost","value":"23.3316"},{"id":17,"name":"Train ID","value":"133-12"},{"id":16,"name":"Locomotive ID","value":"4026"},{"id":130,"name":"Impact","value":""},{"id":150,"name":"Time of Event (Mountain Time)","value":"08:20:21"},{"id":151,"name":"Denver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4026 --day 2017-10-12</v>
      </c>
      <c r="AN4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-10-12T06:38:31-0600',mode:absolute,to:'2017-10-12T09:20:21-0600'))&amp;_a=(columns:!('Message%20ID',Summary),filters:!(),index:'emp_*',interval:auto,query:(query_string:(analyze_wildcard:!t,query:'%22rtdc.l.rtdc.4026%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665</v>
      </c>
      <c r="B46" s="7">
        <v>4025</v>
      </c>
      <c r="C46" s="21" t="s">
        <v>194</v>
      </c>
      <c r="D46" s="21" t="s">
        <v>838</v>
      </c>
      <c r="E46" s="13">
        <v>43020.357581018521</v>
      </c>
      <c r="F46" s="13">
        <v>43020.362662037034</v>
      </c>
      <c r="G46" s="7">
        <v>55</v>
      </c>
      <c r="H46" s="21" t="s">
        <v>358</v>
      </c>
      <c r="I46" s="13">
        <v>43020.389305555553</v>
      </c>
      <c r="J46" s="7">
        <v>0</v>
      </c>
      <c r="K46" s="89" t="str">
        <f t="shared" si="0"/>
        <v>4025/4026</v>
      </c>
      <c r="L46" s="185" t="str">
        <f>VLOOKUP(A46,'Trips&amp;Operators'!$C$1:$G$99911,5,FALSE)</f>
        <v>PAGE MARCUS</v>
      </c>
      <c r="M46" s="6">
        <f t="shared" si="1"/>
        <v>2.6643518518540077E-2</v>
      </c>
      <c r="N46" s="7">
        <f t="shared" si="24"/>
        <v>38.366666666697711</v>
      </c>
      <c r="O46" s="7"/>
      <c r="P46" s="7"/>
      <c r="Q46" s="22"/>
      <c r="R46" s="174"/>
      <c r="S46" s="199">
        <f t="shared" si="25"/>
        <v>1</v>
      </c>
      <c r="T46" s="174" t="str">
        <f t="shared" si="4"/>
        <v>Southbound</v>
      </c>
      <c r="U46" s="22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25" t="str">
        <f t="shared" si="5"/>
        <v>https://d0f6bd738d7f1b3e5a7ca70fe4ff75f0.us-east-1.aws.found.io/app/kibana#/discover/Steve-Slow-Train-Analysis-(2080s-and-2083s)?_g=(refreshInterval:(display:Off,pause:!f,section:0,value:0),time:(from:'2017-10-12T07:34:55-0600',mode:absolute,to:'2017-10-12T10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6" s="226" t="str">
        <f>IF(AA46&lt;VLOOKUP(AG46,Variables!$AC$3:$AD$8,2,FALSE),"Y","N")</f>
        <v>N</v>
      </c>
      <c r="X46" s="226">
        <f t="shared" si="6"/>
        <v>1</v>
      </c>
      <c r="Y46" s="226">
        <f t="shared" si="26"/>
        <v>23.2988</v>
      </c>
      <c r="Z46" s="226">
        <f t="shared" si="27"/>
        <v>1.5599999999999999E-2</v>
      </c>
      <c r="AA46" s="226">
        <f t="shared" si="9"/>
        <v>23.283200000000001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134</v>
      </c>
      <c r="AE46" s="77" t="str">
        <f t="shared" si="11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46" s="74" t="str">
        <f t="shared" si="12"/>
        <v>"C:\Program Files (x86)\AstroGrep\AstroGrep.exe" /e /r /s /spath="%USERPROFILE%\AppData\Local\Temp\OnboardLogs" /stypes="app*4025*20171012*"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134-12 --locoid 4025 --swversion DE.1.0.9.0 --startMP 204:232988 --initTime 2017-10-12T08:34:55 --startdatetime 2017-10-12T08:42:14 --delay 55 --endMP 204:156 --enddatetime 2017-10-12T09:20:36 --enforcementcount 0 &gt;&gt;%USERPROFILE%\Documents\GitHub\eaglep3-reporting\EC\2017-10-12-refined-times.txt</v>
      </c>
      <c r="AI4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{"issue":{"subject":"","project_id":79,"tracker_id":40,"status_id":1,"priority_id":2,"assigned_to_id":338,"start_date":"2017-10-12","description":"","custom_fields":[{"id":1,"name":"Subdivision","value":"EC"},{"id":4,"name":"Milepost","value":"0.0156"},{"id":17,"name":"Train ID","value":"134-12"},{"id":16,"name":"Locomotive ID","value":"4025"},{"id":130,"name":"Impact","value":""},{"id":150,"name":"Time of Event (Mountain Time)","value":"09:20:36"},{"id":151,"name":"Denver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4025 --day 2017-10-12</v>
      </c>
      <c r="AN4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-10-12T07:34:55-0600',mode:absolute,to:'2017-10-12T10:20:36-0600'))&amp;_a=(columns:!('Message%20ID',Summary),filters:!(),index:'emp_*',interval:auto,query:(query_string:(analyze_wildcard:!t,query:'%22rtdc.l.rtdc.4025%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658</v>
      </c>
      <c r="B47" s="7">
        <v>4064</v>
      </c>
      <c r="C47" s="21" t="s">
        <v>194</v>
      </c>
      <c r="D47" s="21" t="s">
        <v>531</v>
      </c>
      <c r="E47" s="13">
        <v>43020.32880787037</v>
      </c>
      <c r="F47" s="13">
        <v>43020.333518518521</v>
      </c>
      <c r="G47" s="7">
        <v>50</v>
      </c>
      <c r="H47" s="21" t="s">
        <v>371</v>
      </c>
      <c r="I47" s="13">
        <v>43020.358182870368</v>
      </c>
      <c r="J47" s="7">
        <v>0</v>
      </c>
      <c r="K47" s="89" t="str">
        <f t="shared" si="0"/>
        <v>4063/4064</v>
      </c>
      <c r="L47" s="185" t="str">
        <f>VLOOKUP(A47,'Trips&amp;Operators'!$C$1:$G$99911,5,FALSE)</f>
        <v>GEBRETEKLE DAGNEW</v>
      </c>
      <c r="M47" s="6">
        <f t="shared" si="1"/>
        <v>2.4664351847604848E-2</v>
      </c>
      <c r="N47" s="7">
        <f t="shared" si="24"/>
        <v>35.516666660550982</v>
      </c>
      <c r="O47" s="7"/>
      <c r="P47" s="7"/>
      <c r="Q47" s="22"/>
      <c r="R47" s="174"/>
      <c r="S47" s="199">
        <f t="shared" si="25"/>
        <v>1</v>
      </c>
      <c r="T47" s="174" t="str">
        <f t="shared" si="4"/>
        <v>NorthBound</v>
      </c>
      <c r="U47" s="22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25" t="str">
        <f t="shared" si="5"/>
        <v>https://d0f6bd738d7f1b3e5a7ca70fe4ff75f0.us-east-1.aws.found.io/app/kibana#/discover/Steve-Slow-Train-Analysis-(2080s-and-2083s)?_g=(refreshInterval:(display:Off,pause:!f,section:0,value:0),time:(from:'2017-10-12T06:53:29-0600',mode:absolute,to:'2017-10-12T09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7" s="226" t="str">
        <f>IF(AA47&lt;VLOOKUP(AG47,Variables!$AC$3:$AD$8,2,FALSE),"Y","N")</f>
        <v>N</v>
      </c>
      <c r="X47" s="226">
        <f t="shared" si="6"/>
        <v>1</v>
      </c>
      <c r="Y47" s="226">
        <f t="shared" si="26"/>
        <v>4.3999999999999997E-2</v>
      </c>
      <c r="Z47" s="226">
        <f t="shared" si="27"/>
        <v>23.331199999999999</v>
      </c>
      <c r="AA47" s="226">
        <f t="shared" si="9"/>
        <v>23.287199999999999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135</v>
      </c>
      <c r="AE47" s="77" t="str">
        <f t="shared" si="11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47" s="74" t="str">
        <f t="shared" si="12"/>
        <v>"C:\Program Files (x86)\AstroGrep\AstroGrep.exe" /e /r /s /spath="%USERPROFILE%\AppData\Local\Temp\OnboardLogs" /stypes="app*4064*20171012*"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135-12 --locoid 4064 --swversion DE.1.0.9.0 --startMP 204:440 --initTime 2017-10-12T07:53:29 --startdatetime 2017-10-12T08:00:16 --delay 50 --endMP 204:233312 --enddatetime 2017-10-12T08:35:47 --enforcementcount 0 &gt;&gt;%USERPROFILE%\Documents\GitHub\eaglep3-reporting\EC\2017-10-12-refined-times.txt</v>
      </c>
      <c r="AI4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{"issue":{"subject":"","project_id":79,"tracker_id":40,"status_id":1,"priority_id":2,"assigned_to_id":338,"start_date":"2017-10-12","description":"","custom_fields":[{"id":1,"name":"Subdivision","value":"EC"},{"id":4,"name":"Milepost","value":"23.3312"},{"id":17,"name":"Train ID","value":"135-12"},{"id":16,"name":"Locomotive ID","value":"4064"},{"id":130,"name":"Impact","value":""},{"id":150,"name":"Time of Event (Mountain Time)","value":"08:35:47"},{"id":151,"name":"Denver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4064 --day 2017-10-12</v>
      </c>
      <c r="AN4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-10-12T06:53:29-0600',mode:absolute,to:'2017-10-12T09:35:47-0600'))&amp;_a=(columns:!('Message%20ID',Summary),filters:!(),index:'emp_*',interval:auto,query:(query_string:(analyze_wildcard:!t,query:'%22rtdc.l.rtdc.4064%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667</v>
      </c>
      <c r="B48" s="7">
        <v>4063</v>
      </c>
      <c r="C48" s="21" t="s">
        <v>194</v>
      </c>
      <c r="D48" s="21" t="s">
        <v>839</v>
      </c>
      <c r="E48" s="13">
        <v>43020.359594907408</v>
      </c>
      <c r="F48" s="13">
        <v>43020.373287037037</v>
      </c>
      <c r="G48" s="7">
        <v>52</v>
      </c>
      <c r="H48" s="21" t="s">
        <v>364</v>
      </c>
      <c r="I48" s="13">
        <v>43020.400972222225</v>
      </c>
      <c r="J48" s="7">
        <v>0</v>
      </c>
      <c r="K48" s="89" t="str">
        <f t="shared" si="0"/>
        <v>4063/4064</v>
      </c>
      <c r="L48" s="185" t="str">
        <f>VLOOKUP(A48,'Trips&amp;Operators'!$C$1:$G$99911,5,FALSE)</f>
        <v>GEBRETEKLE DAGNEW</v>
      </c>
      <c r="M48" s="6">
        <f t="shared" si="1"/>
        <v>2.768518518860219E-2</v>
      </c>
      <c r="N48" s="7">
        <f t="shared" si="24"/>
        <v>39.866666671587154</v>
      </c>
      <c r="O48" s="7"/>
      <c r="P48" s="7"/>
      <c r="Q48" s="22"/>
      <c r="R48" s="174"/>
      <c r="S48" s="199">
        <f t="shared" si="25"/>
        <v>1</v>
      </c>
      <c r="T48" s="174" t="str">
        <f t="shared" si="4"/>
        <v>Southbound</v>
      </c>
      <c r="U48" s="22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25" t="str">
        <f t="shared" si="5"/>
        <v>https://d0f6bd738d7f1b3e5a7ca70fe4ff75f0.us-east-1.aws.found.io/app/kibana#/discover/Steve-Slow-Train-Analysis-(2080s-and-2083s)?_g=(refreshInterval:(display:Off,pause:!f,section:0,value:0),time:(from:'2017-10-12T07:37:49-0600',mode:absolute,to:'2017-10-12T10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8" s="226" t="str">
        <f>IF(AA48&lt;VLOOKUP(AG48,Variables!$AC$3:$AD$8,2,FALSE),"Y","N")</f>
        <v>N</v>
      </c>
      <c r="X48" s="226">
        <f t="shared" si="6"/>
        <v>1</v>
      </c>
      <c r="Y48" s="226">
        <f t="shared" si="26"/>
        <v>23.298100000000002</v>
      </c>
      <c r="Z48" s="226">
        <f t="shared" si="27"/>
        <v>1.5800000000000002E-2</v>
      </c>
      <c r="AA48" s="226">
        <f t="shared" si="9"/>
        <v>23.282300000000003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136</v>
      </c>
      <c r="AE48" s="77" t="str">
        <f t="shared" si="11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48" s="74" t="str">
        <f t="shared" si="12"/>
        <v>"C:\Program Files (x86)\AstroGrep\AstroGrep.exe" /e /r /s /spath="%USERPROFILE%\AppData\Local\Temp\OnboardLogs" /stypes="app*4063*20171012*"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136-12 --locoid 4063 --swversion DE.1.0.9.0 --startMP 204:232981 --initTime 2017-10-12T08:37:49 --startdatetime 2017-10-12T08:57:32 --delay 52 --endMP 204:158 --enddatetime 2017-10-12T09:37:24 --enforcementcount 0 &gt;&gt;%USERPROFILE%\Documents\GitHub\eaglep3-reporting\EC\2017-10-12-refined-times.txt</v>
      </c>
      <c r="AI4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{"issue":{"subject":"","project_id":79,"tracker_id":40,"status_id":1,"priority_id":2,"assigned_to_id":338,"start_date":"2017-10-12","description":"","custom_fields":[{"id":1,"name":"Subdivision","value":"EC"},{"id":4,"name":"Milepost","value":"0.0158"},{"id":17,"name":"Train ID","value":"136-12"},{"id":16,"name":"Locomotive ID","value":"4063"},{"id":130,"name":"Impact","value":""},{"id":150,"name":"Time of Event (Mountain Time)","value":"09:37:24"},{"id":151,"name":"Denver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4063 --day 2017-10-12</v>
      </c>
      <c r="AN4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-10-12T07:37:49-0600',mode:absolute,to:'2017-10-12T10:37:24-0600'))&amp;_a=(columns:!('Message%20ID',Summary),filters:!(),index:'emp_*',interval:auto,query:(query_string:(analyze_wildcard:!t,query:'%22rtdc.l.rtdc.4063%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660</v>
      </c>
      <c r="B49" s="7">
        <v>4066</v>
      </c>
      <c r="C49" s="21" t="s">
        <v>194</v>
      </c>
      <c r="D49" s="21" t="s">
        <v>375</v>
      </c>
      <c r="E49" s="13">
        <v>43020.339375000003</v>
      </c>
      <c r="F49" s="13">
        <v>43020.343958333331</v>
      </c>
      <c r="G49" s="7">
        <v>66</v>
      </c>
      <c r="H49" s="21" t="s">
        <v>529</v>
      </c>
      <c r="I49" s="13">
        <v>43020.369502314818</v>
      </c>
      <c r="J49" s="7">
        <v>0</v>
      </c>
      <c r="K49" s="89" t="str">
        <f t="shared" si="0"/>
        <v>4065/4066</v>
      </c>
      <c r="L49" s="185" t="str">
        <f>VLOOKUP(A49,'Trips&amp;Operators'!$C$1:$G$99911,5,FALSE)</f>
        <v>WILLIAMS DONTE</v>
      </c>
      <c r="M49" s="6">
        <f t="shared" si="1"/>
        <v>2.5543981486407574E-2</v>
      </c>
      <c r="N49" s="7">
        <f t="shared" si="24"/>
        <v>36.783333340426907</v>
      </c>
      <c r="O49" s="7"/>
      <c r="P49" s="7"/>
      <c r="Q49" s="22"/>
      <c r="R49" s="174"/>
      <c r="S49" s="199">
        <f t="shared" si="25"/>
        <v>1</v>
      </c>
      <c r="T49" s="174" t="str">
        <f t="shared" si="4"/>
        <v>NorthBound</v>
      </c>
      <c r="U49" s="22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25" t="str">
        <f t="shared" si="5"/>
        <v>https://d0f6bd738d7f1b3e5a7ca70fe4ff75f0.us-east-1.aws.found.io/app/kibana#/discover/Steve-Slow-Train-Analysis-(2080s-and-2083s)?_g=(refreshInterval:(display:Off,pause:!f,section:0,value:0),time:(from:'2017-10-12T07:08:42-0600',mode:absolute,to:'2017-10-12T09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9" s="226" t="str">
        <f>IF(AA49&lt;VLOOKUP(AG49,Variables!$AC$3:$AD$8,2,FALSE),"Y","N")</f>
        <v>N</v>
      </c>
      <c r="X49" s="226">
        <f t="shared" si="6"/>
        <v>1</v>
      </c>
      <c r="Y49" s="226">
        <f t="shared" si="26"/>
        <v>4.6600000000000003E-2</v>
      </c>
      <c r="Z49" s="226">
        <f t="shared" si="27"/>
        <v>23.3293</v>
      </c>
      <c r="AA49" s="226">
        <f t="shared" si="9"/>
        <v>23.282699999999998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137</v>
      </c>
      <c r="AE49" s="77" t="str">
        <f t="shared" si="11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49" s="74" t="str">
        <f t="shared" si="12"/>
        <v>"C:\Program Files (x86)\AstroGrep\AstroGrep.exe" /e /r /s /spath="%USERPROFILE%\AppData\Local\Temp\OnboardLogs" /stypes="app*4066*20171012*"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137-12 --locoid 4066 --swversion DE.1.0.9.0 --startMP 204:466 --initTime 2017-10-12T08:08:42 --startdatetime 2017-10-12T08:15:18 --delay 66 --endMP 204:233293 --enddatetime 2017-10-12T08:52:05 --enforcementcount 0 &gt;&gt;%USERPROFILE%\Documents\GitHub\eaglep3-reporting\EC\2017-10-12-refined-times.txt</v>
      </c>
      <c r="AI4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{"issue":{"subject":"","project_id":79,"tracker_id":40,"status_id":1,"priority_id":2,"assigned_to_id":338,"start_date":"2017-10-12","description":"","custom_fields":[{"id":1,"name":"Subdivision","value":"EC"},{"id":4,"name":"Milepost","value":"23.3293"},{"id":17,"name":"Train ID","value":"137-12"},{"id":16,"name":"Locomotive ID","value":"4066"},{"id":130,"name":"Impact","value":""},{"id":150,"name":"Time of Event (Mountain Time)","value":"08:52:05"},{"id":151,"name":"Denver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4066 --day 2017-10-12</v>
      </c>
      <c r="AN4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-10-12T07:08:42-0600',mode:absolute,to:'2017-10-12T09:52:05-0600'))&amp;_a=(columns:!('Message%20ID',Summary),filters:!(),index:'emp_*',interval:auto,query:(query_string:(analyze_wildcard:!t,query:'%22rtdc.l.rtdc.4066%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670</v>
      </c>
      <c r="B50" s="7">
        <v>4065</v>
      </c>
      <c r="C50" s="21" t="s">
        <v>194</v>
      </c>
      <c r="D50" s="21" t="s">
        <v>840</v>
      </c>
      <c r="E50" s="13">
        <v>43020.377314814818</v>
      </c>
      <c r="F50" s="13">
        <v>43020.383506944447</v>
      </c>
      <c r="G50" s="7">
        <v>85</v>
      </c>
      <c r="H50" s="21" t="s">
        <v>335</v>
      </c>
      <c r="I50" s="13">
        <v>43020.410763888889</v>
      </c>
      <c r="J50" s="7">
        <v>0</v>
      </c>
      <c r="K50" s="89" t="str">
        <f t="shared" si="0"/>
        <v>4065/4066</v>
      </c>
      <c r="L50" s="185" t="str">
        <f>VLOOKUP(A50,'Trips&amp;Operators'!$C$1:$G$99911,5,FALSE)</f>
        <v>WILLIAMS DONTE</v>
      </c>
      <c r="M50" s="6">
        <f t="shared" si="1"/>
        <v>2.7256944442342501E-2</v>
      </c>
      <c r="N50" s="7">
        <f t="shared" si="24"/>
        <v>39.249999996973202</v>
      </c>
      <c r="O50" s="7"/>
      <c r="P50" s="7"/>
      <c r="Q50" s="22"/>
      <c r="R50" s="174"/>
      <c r="S50" s="199">
        <f t="shared" si="25"/>
        <v>1</v>
      </c>
      <c r="T50" s="174" t="str">
        <f t="shared" si="4"/>
        <v>Southbound</v>
      </c>
      <c r="U50" s="22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25" t="str">
        <f t="shared" si="5"/>
        <v>https://d0f6bd738d7f1b3e5a7ca70fe4ff75f0.us-east-1.aws.found.io/app/kibana#/discover/Steve-Slow-Train-Analysis-(2080s-and-2083s)?_g=(refreshInterval:(display:Off,pause:!f,section:0,value:0),time:(from:'2017-10-12T08:03:20-0600',mode:absolute,to:'2017-10-12T10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0" s="226" t="str">
        <f>IF(AA50&lt;VLOOKUP(AG50,Variables!$AC$3:$AD$8,2,FALSE),"Y","N")</f>
        <v>N</v>
      </c>
      <c r="X50" s="226">
        <f t="shared" si="6"/>
        <v>1</v>
      </c>
      <c r="Y50" s="226">
        <f t="shared" si="26"/>
        <v>23.295200000000001</v>
      </c>
      <c r="Z50" s="226">
        <f t="shared" si="27"/>
        <v>1.4999999999999999E-2</v>
      </c>
      <c r="AA50" s="226">
        <f t="shared" si="9"/>
        <v>23.280200000000001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138</v>
      </c>
      <c r="AE50" s="77" t="str">
        <f t="shared" si="11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50" s="74" t="str">
        <f t="shared" si="12"/>
        <v>"C:\Program Files (x86)\AstroGrep\AstroGrep.exe" /e /r /s /spath="%USERPROFILE%\AppData\Local\Temp\OnboardLogs" /stypes="app*4065*20171012*"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138-12 --locoid 4065 --swversion DE.1.0.9.0 --startMP 204:232952 --initTime 2017-10-12T09:03:20 --startdatetime 2017-10-12T09:12:15 --delay 85 --endMP 204:150 --enddatetime 2017-10-12T09:51:30 --enforcementcount 0 &gt;&gt;%USERPROFILE%\Documents\GitHub\eaglep3-reporting\EC\2017-10-12-refined-times.txt</v>
      </c>
      <c r="AI5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{"issue":{"subject":"","project_id":79,"tracker_id":40,"status_id":1,"priority_id":2,"assigned_to_id":338,"start_date":"2017-10-12","description":"","custom_fields":[{"id":1,"name":"Subdivision","value":"EC"},{"id":4,"name":"Milepost","value":"0.015"},{"id":17,"name":"Train ID","value":"138-12"},{"id":16,"name":"Locomotive ID","value":"4065"},{"id":130,"name":"Impact","value":""},{"id":150,"name":"Time of Event (Mountain Time)","value":"09:51:30"},{"id":151,"name":"Denver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4065 --day 2017-10-12</v>
      </c>
      <c r="AN5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-10-12T08:03:20-0600',mode:absolute,to:'2017-10-12T10:51:30-0600'))&amp;_a=(columns:!('Message%20ID',Summary),filters:!(),index:'emp_*',interval:auto,query:(query_string:(analyze_wildcard:!t,query:'%22rtdc.l.rtdc.4065%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662</v>
      </c>
      <c r="B51" s="7">
        <v>4002</v>
      </c>
      <c r="C51" s="21" t="s">
        <v>194</v>
      </c>
      <c r="D51" s="21" t="s">
        <v>354</v>
      </c>
      <c r="E51" s="13">
        <v>43020.349120370367</v>
      </c>
      <c r="F51" s="13">
        <v>43020.354548611111</v>
      </c>
      <c r="G51" s="7">
        <v>49</v>
      </c>
      <c r="H51" s="21" t="s">
        <v>401</v>
      </c>
      <c r="I51" s="13">
        <v>43020.379247685189</v>
      </c>
      <c r="J51" s="7">
        <v>0</v>
      </c>
      <c r="K51" s="89" t="str">
        <f t="shared" si="0"/>
        <v>4001/4002</v>
      </c>
      <c r="L51" s="185" t="str">
        <f>VLOOKUP(A51,'Trips&amp;Operators'!$C$1:$G$99911,5,FALSE)</f>
        <v>YORK EDGAR</v>
      </c>
      <c r="M51" s="6">
        <f t="shared" si="1"/>
        <v>2.4699074077943806E-2</v>
      </c>
      <c r="N51" s="7">
        <f t="shared" si="24"/>
        <v>35.56666667223908</v>
      </c>
      <c r="O51" s="7"/>
      <c r="P51" s="7"/>
      <c r="Q51" s="22"/>
      <c r="R51" s="174"/>
      <c r="S51" s="199">
        <f t="shared" si="25"/>
        <v>1</v>
      </c>
      <c r="T51" s="174" t="str">
        <f t="shared" si="4"/>
        <v>NorthBound</v>
      </c>
      <c r="U51" s="22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25" t="str">
        <f t="shared" si="5"/>
        <v>https://d0f6bd738d7f1b3e5a7ca70fe4ff75f0.us-east-1.aws.found.io/app/kibana#/discover/Steve-Slow-Train-Analysis-(2080s-and-2083s)?_g=(refreshInterval:(display:Off,pause:!f,section:0,value:0),time:(from:'2017-10-12T07:22:44-0600',mode:absolute,to:'2017-10-12T10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226" t="str">
        <f>IF(AA51&lt;VLOOKUP(AG51,Variables!$AC$3:$AD$8,2,FALSE),"Y","N")</f>
        <v>N</v>
      </c>
      <c r="X51" s="226">
        <f t="shared" si="6"/>
        <v>1</v>
      </c>
      <c r="Y51" s="226">
        <f t="shared" si="26"/>
        <v>4.58E-2</v>
      </c>
      <c r="Z51" s="226">
        <f t="shared" si="27"/>
        <v>23.330200000000001</v>
      </c>
      <c r="AA51" s="226">
        <f t="shared" si="9"/>
        <v>23.284400000000002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139</v>
      </c>
      <c r="AE51" s="77" t="str">
        <f t="shared" si="11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51" s="74" t="str">
        <f t="shared" si="12"/>
        <v>"C:\Program Files (x86)\AstroGrep\AstroGrep.exe" /e /r /s /spath="%USERPROFILE%\AppData\Local\Temp\OnboardLogs" /stypes="app*4002*20171012*"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139-12 --locoid 4002 --swversion DE.1.0.9.0 --startMP 204:458 --initTime 2017-10-12T08:22:44 --startdatetime 2017-10-12T08:30:33 --delay 49 --endMP 204:233302 --enddatetime 2017-10-12T09:06:07 --enforcementcount 0 &gt;&gt;%USERPROFILE%\Documents\GitHub\eaglep3-reporting\EC\2017-10-12-refined-times.txt</v>
      </c>
      <c r="AI5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{"issue":{"subject":"","project_id":79,"tracker_id":40,"status_id":1,"priority_id":2,"assigned_to_id":338,"start_date":"2017-10-12","description":"","custom_fields":[{"id":1,"name":"Subdivision","value":"EC"},{"id":4,"name":"Milepost","value":"23.3302"},{"id":17,"name":"Train ID","value":"139-12"},{"id":16,"name":"Locomotive ID","value":"4002"},{"id":130,"name":"Impact","value":""},{"id":150,"name":"Time of Event (Mountain Time)","value":"09:06:07"},{"id":151,"name":"Denver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4002 --day 2017-10-12</v>
      </c>
      <c r="AN5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-10-12T07:22:44-0600',mode:absolute,to:'2017-10-12T10:06:07-0600'))&amp;_a=(columns:!('Message%20ID',Summary),filters:!(),index:'emp_*',interval:auto,query:(query_string:(analyze_wildcard:!t,query:'%22rtdc.l.rtdc.4002%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673</v>
      </c>
      <c r="B52" s="7">
        <v>4001</v>
      </c>
      <c r="C52" s="21" t="s">
        <v>194</v>
      </c>
      <c r="D52" s="21" t="s">
        <v>445</v>
      </c>
      <c r="E52" s="13">
        <v>43020.391631944447</v>
      </c>
      <c r="F52" s="13">
        <v>43020.394131944442</v>
      </c>
      <c r="G52" s="7">
        <v>55</v>
      </c>
      <c r="H52" s="21" t="s">
        <v>374</v>
      </c>
      <c r="I52" s="13">
        <v>43020.42119212963</v>
      </c>
      <c r="J52" s="7">
        <v>0</v>
      </c>
      <c r="K52" s="89" t="str">
        <f t="shared" si="0"/>
        <v>4001/4002</v>
      </c>
      <c r="L52" s="185" t="str">
        <f>VLOOKUP(A52,'Trips&amp;Operators'!$C$1:$G$99911,5,FALSE)</f>
        <v>YORK EDGAR</v>
      </c>
      <c r="M52" s="6">
        <f t="shared" si="1"/>
        <v>2.7060185188020114E-2</v>
      </c>
      <c r="N52" s="7">
        <f t="shared" si="24"/>
        <v>38.966666670748964</v>
      </c>
      <c r="O52" s="7"/>
      <c r="P52" s="7"/>
      <c r="Q52" s="22"/>
      <c r="R52" s="174"/>
      <c r="S52" s="199">
        <f t="shared" si="25"/>
        <v>1</v>
      </c>
      <c r="T52" s="174" t="str">
        <f t="shared" si="4"/>
        <v>Southbound</v>
      </c>
      <c r="U52" s="22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25" t="str">
        <f t="shared" si="5"/>
        <v>https://d0f6bd738d7f1b3e5a7ca70fe4ff75f0.us-east-1.aws.found.io/app/kibana#/discover/Steve-Slow-Train-Analysis-(2080s-and-2083s)?_g=(refreshInterval:(display:Off,pause:!f,section:0,value:0),time:(from:'2017-10-12T08:23:57-0600',mode:absolute,to:'2017-10-12T11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226" t="str">
        <f>IF(AA52&lt;VLOOKUP(AG52,Variables!$AC$3:$AD$8,2,FALSE),"Y","N")</f>
        <v>N</v>
      </c>
      <c r="X52" s="226">
        <f t="shared" si="6"/>
        <v>1</v>
      </c>
      <c r="Y52" s="226">
        <f t="shared" si="26"/>
        <v>23.2972</v>
      </c>
      <c r="Z52" s="226">
        <f t="shared" si="27"/>
        <v>1.54E-2</v>
      </c>
      <c r="AA52" s="226">
        <f t="shared" si="9"/>
        <v>23.2818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140</v>
      </c>
      <c r="AE52" s="77" t="str">
        <f t="shared" si="11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52" s="74" t="str">
        <f t="shared" si="12"/>
        <v>"C:\Program Files (x86)\AstroGrep\AstroGrep.exe" /e /r /s /spath="%USERPROFILE%\AppData\Local\Temp\OnboardLogs" /stypes="app*4001*20171012*"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140-12 --locoid 4001 --swversion DE.1.0.9.0 --startMP 204:232972 --initTime 2017-10-12T09:23:57 --startdatetime 2017-10-12T09:27:33 --delay 55 --endMP 204:154 --enddatetime 2017-10-12T10:06:31 --enforcementcount 0 &gt;&gt;%USERPROFILE%\Documents\GitHub\eaglep3-reporting\EC\2017-10-12-refined-times.txt</v>
      </c>
      <c r="AI5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ID","value":"140-12"},{"id":16,"name":"Locomotive ID","value":"4001"},{"id":130,"name":"Impact","value":""},{"id":150,"name":"Time of Event (Mountain Time)","value":"10:06:31"},{"id":151,"name":"Denver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4001 --day 2017-10-12</v>
      </c>
      <c r="AN5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-10-12T08:23:57-0600',mode:absolute,to:'2017-10-12T11:06:31-0600'))&amp;_a=(columns:!('Message%20ID',Summary),filters:!(),index:'emp_*',interval:auto,query:(query_string:(analyze_wildcard:!t,query:'%22rtdc.l.rtdc.4001%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666</v>
      </c>
      <c r="B53" s="7">
        <v>4054</v>
      </c>
      <c r="C53" s="21" t="s">
        <v>194</v>
      </c>
      <c r="D53" s="21" t="s">
        <v>370</v>
      </c>
      <c r="E53" s="13">
        <v>43020.358715277776</v>
      </c>
      <c r="F53" s="13">
        <v>43020.364791666667</v>
      </c>
      <c r="G53" s="7">
        <v>53</v>
      </c>
      <c r="H53" s="21" t="s">
        <v>841</v>
      </c>
      <c r="I53" s="13">
        <v>43020.389849537038</v>
      </c>
      <c r="J53" s="7">
        <v>0</v>
      </c>
      <c r="K53" s="89" t="str">
        <f t="shared" si="0"/>
        <v>4053/4054</v>
      </c>
      <c r="L53" s="185" t="str">
        <f>VLOOKUP(A53,'Trips&amp;Operators'!$C$1:$G$99911,5,FALSE)</f>
        <v>CASSIDY BRANDON</v>
      </c>
      <c r="M53" s="6">
        <f t="shared" si="1"/>
        <v>2.5057870370801538E-2</v>
      </c>
      <c r="N53" s="7">
        <f t="shared" si="24"/>
        <v>36.083333333954215</v>
      </c>
      <c r="O53" s="7"/>
      <c r="P53" s="7"/>
      <c r="Q53" s="22"/>
      <c r="R53" s="174"/>
      <c r="S53" s="199">
        <f t="shared" si="25"/>
        <v>1</v>
      </c>
      <c r="T53" s="174" t="str">
        <f t="shared" si="4"/>
        <v>NorthBound</v>
      </c>
      <c r="U53" s="22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25" t="str">
        <f t="shared" si="5"/>
        <v>https://d0f6bd738d7f1b3e5a7ca70fe4ff75f0.us-east-1.aws.found.io/app/kibana#/discover/Steve-Slow-Train-Analysis-(2080s-and-2083s)?_g=(refreshInterval:(display:Off,pause:!f,section:0,value:0),time:(from:'2017-10-12T07:36:33-0600',mode:absolute,to:'2017-10-12T10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3" s="226" t="str">
        <f>IF(AA53&lt;VLOOKUP(AG53,Variables!$AC$3:$AD$8,2,FALSE),"Y","N")</f>
        <v>N</v>
      </c>
      <c r="X53" s="226">
        <f t="shared" si="6"/>
        <v>1</v>
      </c>
      <c r="Y53" s="226">
        <f t="shared" si="26"/>
        <v>4.5100000000000001E-2</v>
      </c>
      <c r="Z53" s="226">
        <f t="shared" si="27"/>
        <v>23.328600000000002</v>
      </c>
      <c r="AA53" s="226">
        <f t="shared" si="9"/>
        <v>23.2835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141</v>
      </c>
      <c r="AE53" s="77" t="str">
        <f t="shared" si="11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53" s="74" t="str">
        <f t="shared" si="12"/>
        <v>"C:\Program Files (x86)\AstroGrep\AstroGrep.exe" /e /r /s /spath="%USERPROFILE%\AppData\Local\Temp\OnboardLogs" /stypes="app*4054*20171012*"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141-12 --locoid 4054 --swversion DE.1.0.9.0 --startMP 204:451 --initTime 2017-10-12T08:36:33 --startdatetime 2017-10-12T08:45:18 --delay 53 --endMP 204:233286 --enddatetime 2017-10-12T09:21:23 --enforcementcount 0 &gt;&gt;%USERPROFILE%\Documents\GitHub\eaglep3-reporting\EC\2017-10-12-refined-times.txt</v>
      </c>
      <c r="AI5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{"issue":{"subject":"","project_id":79,"tracker_id":40,"status_id":1,"priority_id":2,"assigned_to_id":338,"start_date":"2017-10-12","description":"","custom_fields":[{"id":1,"name":"Subdivision","value":"EC"},{"id":4,"name":"Milepost","value":"23.3286"},{"id":17,"name":"Train ID","value":"141-12"},{"id":16,"name":"Locomotive ID","value":"4054"},{"id":130,"name":"Impact","value":""},{"id":150,"name":"Time of Event (Mountain Time)","value":"09:21:23"},{"id":151,"name":"Denver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4054 --day 2017-10-12</v>
      </c>
      <c r="AN5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-10-12T07:36:33-0600',mode:absolute,to:'2017-10-12T10:21:23-0600'))&amp;_a=(columns:!('Message%20ID',Summary),filters:!(),index:'emp_*',interval:auto,query:(query_string:(analyze_wildcard:!t,query:'%22rtdc.l.rtdc.4054%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676</v>
      </c>
      <c r="B54" s="7">
        <v>4053</v>
      </c>
      <c r="C54" s="21" t="s">
        <v>194</v>
      </c>
      <c r="D54" s="21" t="s">
        <v>426</v>
      </c>
      <c r="E54" s="13">
        <v>43020.400231481479</v>
      </c>
      <c r="F54" s="13">
        <v>43020.404374999998</v>
      </c>
      <c r="G54" s="7">
        <v>76</v>
      </c>
      <c r="H54" s="21" t="s">
        <v>433</v>
      </c>
      <c r="I54" s="13">
        <v>43020.431863425925</v>
      </c>
      <c r="J54" s="7">
        <v>0</v>
      </c>
      <c r="K54" s="89" t="str">
        <f t="shared" si="0"/>
        <v>4053/4054</v>
      </c>
      <c r="L54" s="185" t="str">
        <f>VLOOKUP(A54,'Trips&amp;Operators'!$C$1:$G$99911,5,FALSE)</f>
        <v>CASSIDY BRANDON</v>
      </c>
      <c r="M54" s="6">
        <f t="shared" si="1"/>
        <v>2.7488425927003846E-2</v>
      </c>
      <c r="N54" s="7">
        <f t="shared" si="24"/>
        <v>39.583333334885538</v>
      </c>
      <c r="O54" s="7"/>
      <c r="P54" s="7"/>
      <c r="Q54" s="22"/>
      <c r="R54" s="174"/>
      <c r="S54" s="199">
        <f t="shared" si="25"/>
        <v>1</v>
      </c>
      <c r="T54" s="174" t="str">
        <f t="shared" si="4"/>
        <v>Southbound</v>
      </c>
      <c r="U54" s="22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25" t="str">
        <f t="shared" si="5"/>
        <v>https://d0f6bd738d7f1b3e5a7ca70fe4ff75f0.us-east-1.aws.found.io/app/kibana#/discover/Steve-Slow-Train-Analysis-(2080s-and-2083s)?_g=(refreshInterval:(display:Off,pause:!f,section:0,value:0),time:(from:'2017-10-12T08:36:20-0600',mode:absolute,to:'2017-10-12T11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226" t="str">
        <f>IF(AA54&lt;VLOOKUP(AG54,Variables!$AC$3:$AD$8,2,FALSE),"Y","N")</f>
        <v>N</v>
      </c>
      <c r="X54" s="226">
        <f t="shared" si="6"/>
        <v>1</v>
      </c>
      <c r="Y54" s="226">
        <f t="shared" si="26"/>
        <v>23.297499999999999</v>
      </c>
      <c r="Z54" s="226">
        <f t="shared" si="27"/>
        <v>1.6299999999999999E-2</v>
      </c>
      <c r="AA54" s="226">
        <f t="shared" si="9"/>
        <v>23.281199999999998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142</v>
      </c>
      <c r="AE54" s="77" t="str">
        <f t="shared" si="11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54" s="74" t="str">
        <f t="shared" si="12"/>
        <v>"C:\Program Files (x86)\AstroGrep\AstroGrep.exe" /e /r /s /spath="%USERPROFILE%\AppData\Local\Temp\OnboardLogs" /stypes="app*4053*20171012*"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142-12 --locoid 4053 --swversion DE.1.0.9.0 --startMP 204:232975 --initTime 2017-10-12T09:36:20 --startdatetime 2017-10-12T09:42:18 --delay 76 --endMP 204:163 --enddatetime 2017-10-12T10:21:53 --enforcementcount 0 &gt;&gt;%USERPROFILE%\Documents\GitHub\eaglep3-reporting\EC\2017-10-12-refined-times.txt</v>
      </c>
      <c r="AI5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{"issue":{"subject":"","project_id":79,"tracker_id":40,"status_id":1,"priority_id":2,"assigned_to_id":338,"start_date":"2017-10-12","description":"","custom_fields":[{"id":1,"name":"Subdivision","value":"EC"},{"id":4,"name":"Milepost","value":"0.0163"},{"id":17,"name":"Train ID","value":"142-12"},{"id":16,"name":"Locomotive ID","value":"4053"},{"id":130,"name":"Impact","value":""},{"id":150,"name":"Time of Event (Mountain Time)","value":"10:21:53"},{"id":151,"name":"Denver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4053 --day 2017-10-12</v>
      </c>
      <c r="AN5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-10-12T08:36:20-0600',mode:absolute,to:'2017-10-12T11:21:53-0600'))&amp;_a=(columns:!('Message%20ID',Summary),filters:!(),index:'emp_*',interval:auto,query:(query_string:(analyze_wildcard:!t,query:'%22rtdc.l.rtdc.4053%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668</v>
      </c>
      <c r="B55" s="7">
        <v>4052</v>
      </c>
      <c r="C55" s="21" t="s">
        <v>194</v>
      </c>
      <c r="D55" s="21" t="s">
        <v>471</v>
      </c>
      <c r="E55" s="13">
        <v>43020.370520833334</v>
      </c>
      <c r="F55" s="13">
        <v>43020.375185185185</v>
      </c>
      <c r="G55" s="7">
        <v>47</v>
      </c>
      <c r="H55" s="21" t="s">
        <v>408</v>
      </c>
      <c r="I55" s="13">
        <v>43020.400671296295</v>
      </c>
      <c r="J55" s="7">
        <v>0</v>
      </c>
      <c r="K55" s="89" t="str">
        <f t="shared" si="0"/>
        <v>4051/4052</v>
      </c>
      <c r="L55" s="185" t="str">
        <f>VLOOKUP(A55,'Trips&amp;Operators'!$C$1:$G$99911,5,FALSE)</f>
        <v>MAELZER KURT</v>
      </c>
      <c r="M55" s="6">
        <f t="shared" si="1"/>
        <v>2.548611110978527E-2</v>
      </c>
      <c r="N55" s="7">
        <f t="shared" si="24"/>
        <v>36.699999998090789</v>
      </c>
      <c r="O55" s="7"/>
      <c r="P55" s="7"/>
      <c r="Q55" s="22"/>
      <c r="R55" s="174"/>
      <c r="S55" s="199">
        <f t="shared" si="25"/>
        <v>1</v>
      </c>
      <c r="T55" s="174" t="str">
        <f t="shared" si="4"/>
        <v>NorthBound</v>
      </c>
      <c r="U55" s="22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25" t="str">
        <f t="shared" si="5"/>
        <v>https://d0f6bd738d7f1b3e5a7ca70fe4ff75f0.us-east-1.aws.found.io/app/kibana#/discover/Steve-Slow-Train-Analysis-(2080s-and-2083s)?_g=(refreshInterval:(display:Off,pause:!f,section:0,value:0),time:(from:'2017-10-12T07:53:33-0600',mode:absolute,to:'2017-10-12T10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5" s="226" t="str">
        <f>IF(AA55&lt;VLOOKUP(AG55,Variables!$AC$3:$AD$8,2,FALSE),"Y","N")</f>
        <v>N</v>
      </c>
      <c r="X55" s="226">
        <f t="shared" si="6"/>
        <v>1</v>
      </c>
      <c r="Y55" s="226">
        <f t="shared" si="26"/>
        <v>4.4200000000000003E-2</v>
      </c>
      <c r="Z55" s="226">
        <f t="shared" si="27"/>
        <v>23.3325</v>
      </c>
      <c r="AA55" s="226">
        <f t="shared" si="9"/>
        <v>23.2883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143</v>
      </c>
      <c r="AE55" s="77" t="str">
        <f t="shared" si="11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55" s="74" t="str">
        <f t="shared" si="12"/>
        <v>"C:\Program Files (x86)\AstroGrep\AstroGrep.exe" /e /r /s /spath="%USERPROFILE%\AppData\Local\Temp\OnboardLogs" /stypes="app*4052*20171012*"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143-12 --locoid 4052 --swversion DE.1.0.9.0 --startMP 204:442 --initTime 2017-10-12T08:53:33 --startdatetime 2017-10-12T09:00:16 --delay 47 --endMP 204:233325 --enddatetime 2017-10-12T09:36:58 --enforcementcount 0 &gt;&gt;%USERPROFILE%\Documents\GitHub\eaglep3-reporting\EC\2017-10-12-refined-times.txt</v>
      </c>
      <c r="AI5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{"issue":{"subject":"","project_id":79,"tracker_id":40,"status_id":1,"priority_id":2,"assigned_to_id":338,"start_date":"2017-10-12","description":"","custom_fields":[{"id":1,"name":"Subdivision","value":"EC"},{"id":4,"name":"Milepost","value":"23.3325"},{"id":17,"name":"Train ID","value":"143-12"},{"id":16,"name":"Locomotive ID","value":"4052"},{"id":130,"name":"Impact","value":""},{"id":150,"name":"Time of Event (Mountain Time)","value":"09:36:58"},{"id":151,"name":"Denver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4052 --day 2017-10-12</v>
      </c>
      <c r="AN5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-10-12T07:53:33-0600',mode:absolute,to:'2017-10-12T10:36:58-0600'))&amp;_a=(columns:!('Message%20ID',Summary),filters:!(),index:'emp_*',interval:auto,query:(query_string:(analyze_wildcard:!t,query:'%22rtdc.l.rtdc.4052%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678</v>
      </c>
      <c r="B56" s="7">
        <v>4051</v>
      </c>
      <c r="C56" s="21" t="s">
        <v>194</v>
      </c>
      <c r="D56" s="21" t="s">
        <v>436</v>
      </c>
      <c r="E56" s="13">
        <v>43020.406689814816</v>
      </c>
      <c r="F56" s="13">
        <v>43020.415081018517</v>
      </c>
      <c r="G56" s="7">
        <v>47</v>
      </c>
      <c r="H56" s="21" t="s">
        <v>821</v>
      </c>
      <c r="I56" s="13">
        <v>43020.441759259258</v>
      </c>
      <c r="J56" s="7">
        <v>0</v>
      </c>
      <c r="K56" s="89" t="str">
        <f t="shared" si="0"/>
        <v>4051/4052</v>
      </c>
      <c r="L56" s="185" t="str">
        <f>VLOOKUP(A56,'Trips&amp;Operators'!$C$1:$G$99911,5,FALSE)</f>
        <v>MAELZER KURT</v>
      </c>
      <c r="M56" s="6">
        <f t="shared" si="1"/>
        <v>2.6678240741603076E-2</v>
      </c>
      <c r="N56" s="7">
        <f t="shared" si="24"/>
        <v>38.41666666790843</v>
      </c>
      <c r="O56" s="7"/>
      <c r="P56" s="7"/>
      <c r="Q56" s="22"/>
      <c r="R56" s="174"/>
      <c r="S56" s="199">
        <f t="shared" si="25"/>
        <v>1</v>
      </c>
      <c r="T56" s="174" t="str">
        <f t="shared" si="4"/>
        <v>Southbound</v>
      </c>
      <c r="U56" s="22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25" t="str">
        <f t="shared" si="5"/>
        <v>https://d0f6bd738d7f1b3e5a7ca70fe4ff75f0.us-east-1.aws.found.io/app/kibana#/discover/Steve-Slow-Train-Analysis-(2080s-and-2083s)?_g=(refreshInterval:(display:Off,pause:!f,section:0,value:0),time:(from:'2017-10-12T08:45:38-0600',mode:absolute,to:'2017-10-12T11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6" s="226" t="str">
        <f>IF(AA56&lt;VLOOKUP(AG56,Variables!$AC$3:$AD$8,2,FALSE),"Y","N")</f>
        <v>N</v>
      </c>
      <c r="X56" s="226">
        <f t="shared" si="6"/>
        <v>1</v>
      </c>
      <c r="Y56" s="226">
        <f t="shared" si="26"/>
        <v>23.299099999999999</v>
      </c>
      <c r="Z56" s="226">
        <f t="shared" si="27"/>
        <v>1.2999999999999999E-2</v>
      </c>
      <c r="AA56" s="226">
        <f t="shared" si="9"/>
        <v>23.286099999999998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144</v>
      </c>
      <c r="AE56" s="77" t="str">
        <f t="shared" si="11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56" s="74" t="str">
        <f t="shared" si="12"/>
        <v>"C:\Program Files (x86)\AstroGrep\AstroGrep.exe" /e /r /s /spath="%USERPROFILE%\AppData\Local\Temp\OnboardLogs" /stypes="app*4051*20171012*"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144-12 --locoid 4051 --swversion DE.1.0.9.0 --startMP 204:232991 --initTime 2017-10-12T09:45:38 --startdatetime 2017-10-12T09:57:43 --delay 47 --endMP 204:130 --enddatetime 2017-10-12T10:36:08 --enforcementcount 0 &gt;&gt;%USERPROFILE%\Documents\GitHub\eaglep3-reporting\EC\2017-10-12-refined-times.txt</v>
      </c>
      <c r="AI5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{"issue":{"subject":"","project_id":79,"tracker_id":40,"status_id":1,"priority_id":2,"assigned_to_id":338,"start_date":"2017-10-12","description":"","custom_fields":[{"id":1,"name":"Subdivision","value":"EC"},{"id":4,"name":"Milepost","value":"0.013"},{"id":17,"name":"Train ID","value":"144-12"},{"id":16,"name":"Locomotive ID","value":"4051"},{"id":130,"name":"Impact","value":""},{"id":150,"name":"Time of Event (Mountain Time)","value":"10:36:08"},{"id":151,"name":"Denver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4051 --day 2017-10-12</v>
      </c>
      <c r="AN5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-10-12T08:45:38-0600',mode:absolute,to:'2017-10-12T11:36:08-0600'))&amp;_a=(columns:!('Message%20ID',Summary),filters:!(),index:'emp_*',interval:auto,query:(query_string:(analyze_wildcard:!t,query:'%22rtdc.l.rtdc.4051%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671</v>
      </c>
      <c r="B57" s="7">
        <v>4004</v>
      </c>
      <c r="C57" s="21" t="s">
        <v>194</v>
      </c>
      <c r="D57" s="21" t="s">
        <v>370</v>
      </c>
      <c r="E57" s="13">
        <v>43020.381793981483</v>
      </c>
      <c r="F57" s="13">
        <v>43020.385636574072</v>
      </c>
      <c r="G57" s="7">
        <v>55</v>
      </c>
      <c r="H57" s="21" t="s">
        <v>371</v>
      </c>
      <c r="I57" s="13">
        <v>43020.410266203704</v>
      </c>
      <c r="J57" s="7">
        <v>0</v>
      </c>
      <c r="K57" s="89" t="str">
        <f t="shared" si="0"/>
        <v>4003/4004</v>
      </c>
      <c r="L57" s="185" t="str">
        <f>VLOOKUP(A57,'Trips&amp;Operators'!$C$1:$G$99911,5,FALSE)</f>
        <v>YANG JAN</v>
      </c>
      <c r="M57" s="6">
        <f t="shared" si="1"/>
        <v>2.4629629631817807E-2</v>
      </c>
      <c r="N57" s="7">
        <f t="shared" si="24"/>
        <v>35.466666669817641</v>
      </c>
      <c r="O57" s="7"/>
      <c r="P57" s="7"/>
      <c r="Q57" s="22"/>
      <c r="R57" s="174"/>
      <c r="S57" s="199">
        <f t="shared" si="25"/>
        <v>1</v>
      </c>
      <c r="T57" s="174" t="str">
        <f t="shared" si="4"/>
        <v>NorthBound</v>
      </c>
      <c r="U57" s="22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25" t="str">
        <f t="shared" si="5"/>
        <v>https://d0f6bd738d7f1b3e5a7ca70fe4ff75f0.us-east-1.aws.found.io/app/kibana#/discover/Steve-Slow-Train-Analysis-(2080s-and-2083s)?_g=(refreshInterval:(display:Off,pause:!f,section:0,value:0),time:(from:'2017-10-12T08:09:47-0600',mode:absolute,to:'2017-10-12T10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7" s="226" t="str">
        <f>IF(AA57&lt;VLOOKUP(AG57,Variables!$AC$3:$AD$8,2,FALSE),"Y","N")</f>
        <v>N</v>
      </c>
      <c r="X57" s="226">
        <f t="shared" si="6"/>
        <v>1</v>
      </c>
      <c r="Y57" s="226">
        <f t="shared" si="26"/>
        <v>4.5100000000000001E-2</v>
      </c>
      <c r="Z57" s="226">
        <f t="shared" si="27"/>
        <v>23.331199999999999</v>
      </c>
      <c r="AA57" s="226">
        <f t="shared" si="9"/>
        <v>23.286099999999998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145</v>
      </c>
      <c r="AE57" s="77" t="str">
        <f t="shared" si="11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57" s="74" t="str">
        <f t="shared" si="12"/>
        <v>"C:\Program Files (x86)\AstroGrep\AstroGrep.exe" /e /r /s /spath="%USERPROFILE%\AppData\Local\Temp\OnboardLogs" /stypes="app*4004*20171012*"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145-12 --locoid 4004 --swversion DE.1.0.9.0 --startMP 204:451 --initTime 2017-10-12T09:09:47 --startdatetime 2017-10-12T09:15:19 --delay 55 --endMP 204:233312 --enddatetime 2017-10-12T09:50:47 --enforcementcount 0 &gt;&gt;%USERPROFILE%\Documents\GitHub\eaglep3-reporting\EC\2017-10-12-refined-times.txt</v>
      </c>
      <c r="AI5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{"issue":{"subject":"","project_id":79,"tracker_id":40,"status_id":1,"priority_id":2,"assigned_to_id":338,"start_date":"2017-10-12","description":"","custom_fields":[{"id":1,"name":"Subdivision","value":"EC"},{"id":4,"name":"Milepost","value":"23.3312"},{"id":17,"name":"Train ID","value":"145-12"},{"id":16,"name":"Locomotive ID","value":"4004"},{"id":130,"name":"Impact","value":""},{"id":150,"name":"Time of Event (Mountain Time)","value":"09:50:47"},{"id":151,"name":"Denver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4004 --day 2017-10-12</v>
      </c>
      <c r="AN5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-10-12T08:09:47-0600',mode:absolute,to:'2017-10-12T10:50:47-0600'))&amp;_a=(columns:!('Message%20ID',Summary),filters:!(),index:'emp_*',interval:auto,query:(query_string:(analyze_wildcard:!t,query:'%22rtdc.l.rtdc.4004%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681</v>
      </c>
      <c r="B58" s="7">
        <v>4003</v>
      </c>
      <c r="C58" s="21" t="s">
        <v>194</v>
      </c>
      <c r="D58" s="21" t="s">
        <v>449</v>
      </c>
      <c r="E58" s="13">
        <v>43020.419583333336</v>
      </c>
      <c r="F58" s="13">
        <v>43020.425254629627</v>
      </c>
      <c r="G58" s="7">
        <v>60</v>
      </c>
      <c r="H58" s="21" t="s">
        <v>842</v>
      </c>
      <c r="I58" s="13">
        <v>43020.452268518522</v>
      </c>
      <c r="J58" s="7">
        <v>0</v>
      </c>
      <c r="K58" s="89" t="str">
        <f t="shared" si="0"/>
        <v>4003/4004</v>
      </c>
      <c r="L58" s="185" t="str">
        <f>VLOOKUP(A58,'Trips&amp;Operators'!$C$1:$G$99911,5,FALSE)</f>
        <v>YANG JAN</v>
      </c>
      <c r="M58" s="6">
        <f t="shared" si="1"/>
        <v>2.701388889545342E-2</v>
      </c>
      <c r="N58" s="7">
        <f t="shared" si="24"/>
        <v>38.900000009452924</v>
      </c>
      <c r="O58" s="7"/>
      <c r="P58" s="7"/>
      <c r="Q58" s="22"/>
      <c r="R58" s="174"/>
      <c r="S58" s="199">
        <f t="shared" si="25"/>
        <v>1</v>
      </c>
      <c r="T58" s="174" t="str">
        <f t="shared" si="4"/>
        <v>Southbound</v>
      </c>
      <c r="U58" s="22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25" t="str">
        <f t="shared" si="5"/>
        <v>https://d0f6bd738d7f1b3e5a7ca70fe4ff75f0.us-east-1.aws.found.io/app/kibana#/discover/Steve-Slow-Train-Analysis-(2080s-and-2083s)?_g=(refreshInterval:(display:Off,pause:!f,section:0,value:0),time:(from:'2017-10-12T09:04:12-0600',mode:absolute,to:'2017-10-12T11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8" s="226" t="str">
        <f>IF(AA58&lt;VLOOKUP(AG58,Variables!$AC$3:$AD$8,2,FALSE),"Y","N")</f>
        <v>N</v>
      </c>
      <c r="X58" s="226">
        <f t="shared" si="6"/>
        <v>1</v>
      </c>
      <c r="Y58" s="226">
        <f t="shared" si="26"/>
        <v>23.299399999999999</v>
      </c>
      <c r="Z58" s="226">
        <f t="shared" si="27"/>
        <v>1.3599999999999999E-2</v>
      </c>
      <c r="AA58" s="226">
        <f t="shared" si="9"/>
        <v>23.285799999999998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146</v>
      </c>
      <c r="AE58" s="77" t="str">
        <f t="shared" si="11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58" s="74" t="str">
        <f t="shared" si="12"/>
        <v>"C:\Program Files (x86)\AstroGrep\AstroGrep.exe" /e /r /s /spath="%USERPROFILE%\AppData\Local\Temp\OnboardLogs" /stypes="app*4003*20171012*"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146-12 --locoid 4003 --swversion DE.1.0.9.0 --startMP 204:232994 --initTime 2017-10-12T10:04:12 --startdatetime 2017-10-12T10:12:22 --delay 60 --endMP 204:136 --enddatetime 2017-10-12T10:51:16 --enforcementcount 0 &gt;&gt;%USERPROFILE%\Documents\GitHub\eaglep3-reporting\EC\2017-10-12-refined-times.txt</v>
      </c>
      <c r="AI5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{"issue":{"subject":"","project_id":79,"tracker_id":40,"status_id":1,"priority_id":2,"assigned_to_id":338,"start_date":"2017-10-12","description":"","custom_fields":[{"id":1,"name":"Subdivision","value":"EC"},{"id":4,"name":"Milepost","value":"0.0136"},{"id":17,"name":"Train ID","value":"146-12"},{"id":16,"name":"Locomotive ID","value":"4003"},{"id":130,"name":"Impact","value":""},{"id":150,"name":"Time of Event (Mountain Time)","value":"10:51:16"},{"id":151,"name":"Denver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4003 --day 2017-10-12</v>
      </c>
      <c r="AN5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-10-12T09:04:12-0600',mode:absolute,to:'2017-10-12T11:51:16-0600'))&amp;_a=(columns:!('Message%20ID',Summary),filters:!(),index:'emp_*',interval:auto,query:(query_string:(analyze_wildcard:!t,query:'%22rtdc.l.rtdc.4003%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672</v>
      </c>
      <c r="B59" s="7">
        <v>4026</v>
      </c>
      <c r="C59" s="21" t="s">
        <v>194</v>
      </c>
      <c r="D59" s="21" t="s">
        <v>474</v>
      </c>
      <c r="E59" s="13">
        <v>43020.391400462962</v>
      </c>
      <c r="F59" s="13">
        <v>43020.396261574075</v>
      </c>
      <c r="G59" s="7">
        <v>58</v>
      </c>
      <c r="H59" s="21" t="s">
        <v>843</v>
      </c>
      <c r="I59" s="13">
        <v>43020.420902777776</v>
      </c>
      <c r="J59" s="7">
        <v>0</v>
      </c>
      <c r="K59" s="89" t="str">
        <f t="shared" si="0"/>
        <v>4025/4026</v>
      </c>
      <c r="L59" s="185" t="str">
        <f>VLOOKUP(A59,'Trips&amp;Operators'!$C$1:$G$99911,5,FALSE)</f>
        <v>PAGE MARCUS</v>
      </c>
      <c r="M59" s="6">
        <f t="shared" si="1"/>
        <v>2.4641203701321501E-2</v>
      </c>
      <c r="N59" s="7">
        <f t="shared" si="24"/>
        <v>35.483333329902962</v>
      </c>
      <c r="O59" s="7"/>
      <c r="P59" s="7"/>
      <c r="Q59" s="22"/>
      <c r="R59" s="174"/>
      <c r="S59" s="199">
        <f t="shared" si="25"/>
        <v>1</v>
      </c>
      <c r="T59" s="174" t="str">
        <f t="shared" si="4"/>
        <v>NorthBound</v>
      </c>
      <c r="U59" s="22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25" t="str">
        <f t="shared" si="5"/>
        <v>https://d0f6bd738d7f1b3e5a7ca70fe4ff75f0.us-east-1.aws.found.io/app/kibana#/discover/Steve-Slow-Train-Analysis-(2080s-and-2083s)?_g=(refreshInterval:(display:Off,pause:!f,section:0,value:0),time:(from:'2017-10-12T08:23:37-0600',mode:absolute,to:'2017-10-12T11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226" t="str">
        <f>IF(AA59&lt;VLOOKUP(AG59,Variables!$AC$3:$AD$8,2,FALSE),"Y","N")</f>
        <v>N</v>
      </c>
      <c r="X59" s="226">
        <f t="shared" si="6"/>
        <v>1</v>
      </c>
      <c r="Y59" s="226">
        <f t="shared" si="26"/>
        <v>4.4900000000000002E-2</v>
      </c>
      <c r="Z59" s="226">
        <f t="shared" si="27"/>
        <v>23.333200000000001</v>
      </c>
      <c r="AA59" s="226">
        <f t="shared" si="9"/>
        <v>23.288300000000003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147</v>
      </c>
      <c r="AE59" s="77" t="str">
        <f t="shared" si="11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59" s="74" t="str">
        <f t="shared" si="12"/>
        <v>"C:\Program Files (x86)\AstroGrep\AstroGrep.exe" /e /r /s /spath="%USERPROFILE%\AppData\Local\Temp\OnboardLogs" /stypes="app*4026*20171012*"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147-12 --locoid 4026 --swversion DE.1.0.9.0 --startMP 204:449 --initTime 2017-10-12T09:23:37 --startdatetime 2017-10-12T09:30:37 --delay 58 --endMP 204:233332 --enddatetime 2017-10-12T10:06:06 --enforcementcount 0 &gt;&gt;%USERPROFILE%\Documents\GitHub\eaglep3-reporting\EC\2017-10-12-refined-times.txt</v>
      </c>
      <c r="AI5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{"issue":{"subject":"","project_id":79,"tracker_id":40,"status_id":1,"priority_id":2,"assigned_to_id":338,"start_date":"2017-10-12","description":"","custom_fields":[{"id":1,"name":"Subdivision","value":"EC"},{"id":4,"name":"Milepost","value":"23.3332"},{"id":17,"name":"Train ID","value":"147-12"},{"id":16,"name":"Locomotive ID","value":"4026"},{"id":130,"name":"Impact","value":""},{"id":150,"name":"Time of Event (Mountain Time)","value":"10:06:06"},{"id":151,"name":"Denver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4026 --day 2017-10-12</v>
      </c>
      <c r="AN5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-10-12T08:23:37-0600',mode:absolute,to:'2017-10-12T11:06:06-0600'))&amp;_a=(columns:!('Message%20ID',Summary),filters:!(),index:'emp_*',interval:auto,query:(query_string:(analyze_wildcard:!t,query:'%22rtdc.l.rtdc.4026%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577</v>
      </c>
      <c r="B60" s="7">
        <v>4025</v>
      </c>
      <c r="C60" s="21" t="s">
        <v>194</v>
      </c>
      <c r="D60" s="21" t="s">
        <v>484</v>
      </c>
      <c r="E60" s="13">
        <v>43020.430706018517</v>
      </c>
      <c r="F60" s="13">
        <v>43020.435659722221</v>
      </c>
      <c r="G60" s="7">
        <v>49</v>
      </c>
      <c r="H60" s="21" t="s">
        <v>821</v>
      </c>
      <c r="I60" s="13">
        <v>43020.462581018517</v>
      </c>
      <c r="J60" s="7">
        <v>0</v>
      </c>
      <c r="K60" s="89" t="str">
        <f t="shared" si="0"/>
        <v>4025/4026</v>
      </c>
      <c r="L60" s="185" t="str">
        <f>VLOOKUP(A60,'Trips&amp;Operators'!$C$1:$G$99911,5,FALSE)</f>
        <v>PAGE MARCUS</v>
      </c>
      <c r="M60" s="6">
        <f t="shared" si="1"/>
        <v>2.6921296295768116E-2</v>
      </c>
      <c r="N60" s="7">
        <f t="shared" si="24"/>
        <v>38.766666665906087</v>
      </c>
      <c r="O60" s="7"/>
      <c r="P60" s="7"/>
      <c r="Q60" s="22"/>
      <c r="R60" s="174"/>
      <c r="S60" s="199">
        <f t="shared" si="25"/>
        <v>1</v>
      </c>
      <c r="T60" s="174" t="str">
        <f t="shared" si="4"/>
        <v>Southbound</v>
      </c>
      <c r="U60" s="22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25" t="str">
        <f t="shared" si="5"/>
        <v>https://d0f6bd738d7f1b3e5a7ca70fe4ff75f0.us-east-1.aws.found.io/app/kibana#/discover/Steve-Slow-Train-Analysis-(2080s-and-2083s)?_g=(refreshInterval:(display:Off,pause:!f,section:0,value:0),time:(from:'2017-10-12T09:20:13-0600',mode:absolute,to:'2017-10-12T12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0" s="226" t="str">
        <f>IF(AA60&lt;VLOOKUP(AG60,Variables!$AC$3:$AD$8,2,FALSE),"Y","N")</f>
        <v>N</v>
      </c>
      <c r="X60" s="226">
        <f t="shared" si="6"/>
        <v>1</v>
      </c>
      <c r="Y60" s="226">
        <f t="shared" si="26"/>
        <v>23.2987</v>
      </c>
      <c r="Z60" s="226">
        <f t="shared" si="27"/>
        <v>1.2999999999999999E-2</v>
      </c>
      <c r="AA60" s="226">
        <f t="shared" si="9"/>
        <v>23.285699999999999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148</v>
      </c>
      <c r="AE60" s="77" t="str">
        <f t="shared" si="11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60" s="74" t="str">
        <f t="shared" si="12"/>
        <v>"C:\Program Files (x86)\AstroGrep\AstroGrep.exe" /e /r /s /spath="%USERPROFILE%\AppData\Local\Temp\OnboardLogs" /stypes="app*4025*20171012*"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148-12 --locoid 4025 --swversion DE.1.0.9.0 --startMP 204:232987 --initTime 2017-10-12T10:20:13 --startdatetime 2017-10-12T10:27:21 --delay 49 --endMP 204:130 --enddatetime 2017-10-12T11:06:07 --enforcementcount 0 &gt;&gt;%USERPROFILE%\Documents\GitHub\eaglep3-reporting\EC\2017-10-12-refined-times.txt</v>
      </c>
      <c r="AI6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{"issue":{"subject":"","project_id":79,"tracker_id":40,"status_id":1,"priority_id":2,"assigned_to_id":338,"start_date":"2017-10-12","description":"","custom_fields":[{"id":1,"name":"Subdivision","value":"EC"},{"id":4,"name":"Milepost","value":"0.013"},{"id":17,"name":"Train ID","value":"148-12"},{"id":16,"name":"Locomotive ID","value":"4025"},{"id":130,"name":"Impact","value":""},{"id":150,"name":"Time of Event (Mountain Time)","value":"11:06:07"},{"id":151,"name":"Denver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4025 --day 2017-10-12</v>
      </c>
      <c r="AN6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-10-12T09:20:13-0600',mode:absolute,to:'2017-10-12T12:06:07-0600'))&amp;_a=(columns:!('Message%20ID',Summary),filters:!(),index:'emp_*',interval:auto,query:(query_string:(analyze_wildcard:!t,query:'%22rtdc.l.rtdc.4025%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677</v>
      </c>
      <c r="B61" s="7">
        <v>4064</v>
      </c>
      <c r="C61" s="21" t="s">
        <v>194</v>
      </c>
      <c r="D61" s="21" t="s">
        <v>380</v>
      </c>
      <c r="E61" s="13">
        <v>43020.403020833335</v>
      </c>
      <c r="F61" s="13">
        <v>43020.406423611108</v>
      </c>
      <c r="G61" s="7">
        <v>57</v>
      </c>
      <c r="H61" s="21" t="s">
        <v>428</v>
      </c>
      <c r="I61" s="13">
        <v>43020.430196759262</v>
      </c>
      <c r="J61" s="7">
        <v>0</v>
      </c>
      <c r="K61" s="89" t="str">
        <f t="shared" si="0"/>
        <v>4063/4064</v>
      </c>
      <c r="L61" s="185" t="str">
        <f>VLOOKUP(A61,'Trips&amp;Operators'!$C$1:$G$99911,5,FALSE)</f>
        <v>GEBRETEKLE DAGNEW</v>
      </c>
      <c r="M61" s="6">
        <f t="shared" si="1"/>
        <v>2.3773148153850343E-2</v>
      </c>
      <c r="N61" s="7">
        <f t="shared" si="24"/>
        <v>34.233333341544494</v>
      </c>
      <c r="O61" s="7"/>
      <c r="P61" s="7"/>
      <c r="Q61" s="22"/>
      <c r="R61" s="174"/>
      <c r="S61" s="199">
        <f t="shared" si="25"/>
        <v>1</v>
      </c>
      <c r="T61" s="174" t="str">
        <f t="shared" si="4"/>
        <v>NorthBound</v>
      </c>
      <c r="U61" s="22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25" t="str">
        <f t="shared" si="5"/>
        <v>https://d0f6bd738d7f1b3e5a7ca70fe4ff75f0.us-east-1.aws.found.io/app/kibana#/discover/Steve-Slow-Train-Analysis-(2080s-and-2083s)?_g=(refreshInterval:(display:Off,pause:!f,section:0,value:0),time:(from:'2017-10-12T08:40:21-0600',mode:absolute,to:'2017-10-12T11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1" s="226" t="str">
        <f>IF(AA61&lt;VLOOKUP(AG61,Variables!$AC$3:$AD$8,2,FALSE),"Y","N")</f>
        <v>N</v>
      </c>
      <c r="X61" s="226">
        <f t="shared" si="6"/>
        <v>1</v>
      </c>
      <c r="Y61" s="226">
        <f t="shared" si="26"/>
        <v>4.5699999999999998E-2</v>
      </c>
      <c r="Z61" s="226">
        <f t="shared" si="27"/>
        <v>23.330500000000001</v>
      </c>
      <c r="AA61" s="226">
        <f t="shared" si="9"/>
        <v>23.284800000000001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149</v>
      </c>
      <c r="AE61" s="77" t="str">
        <f t="shared" si="11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61" s="74" t="str">
        <f t="shared" si="12"/>
        <v>"C:\Program Files (x86)\AstroGrep\AstroGrep.exe" /e /r /s /spath="%USERPROFILE%\AppData\Local\Temp\OnboardLogs" /stypes="app*4064*20171012*"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149-12 --locoid 4064 --swversion DE.1.0.9.0 --startMP 204:457 --initTime 2017-10-12T09:40:21 --startdatetime 2017-10-12T09:45:15 --delay 57 --endMP 204:233305 --enddatetime 2017-10-12T10:19:29 --enforcementcount 0 &gt;&gt;%USERPROFILE%\Documents\GitHub\eaglep3-reporting\EC\2017-10-12-refined-times.txt</v>
      </c>
      <c r="AI6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{"issue":{"subject":"","project_id":79,"tracker_id":40,"status_id":1,"priority_id":2,"assigned_to_id":338,"start_date":"2017-10-12","description":"","custom_fields":[{"id":1,"name":"Subdivision","value":"EC"},{"id":4,"name":"Milepost","value":"23.3305"},{"id":17,"name":"Train ID","value":"149-12"},{"id":16,"name":"Locomotive ID","value":"4064"},{"id":130,"name":"Impact","value":""},{"id":150,"name":"Time of Event (Mountain Time)","value":"10:19:29"},{"id":151,"name":"Denver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4064 --day 2017-10-12</v>
      </c>
      <c r="AN6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-10-12T08:40:21-0600',mode:absolute,to:'2017-10-12T11:19:29-0600'))&amp;_a=(columns:!('Message%20ID',Summary),filters:!(),index:'emp_*',interval:auto,query:(query_string:(analyze_wildcard:!t,query:'%22rtdc.l.rtdc.4064%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683</v>
      </c>
      <c r="B62" s="7">
        <v>4063</v>
      </c>
      <c r="C62" s="21" t="s">
        <v>194</v>
      </c>
      <c r="D62" s="21" t="s">
        <v>844</v>
      </c>
      <c r="E62" s="13">
        <v>43020.431747685187</v>
      </c>
      <c r="F62" s="13">
        <v>43020.446226851855</v>
      </c>
      <c r="G62" s="7">
        <v>55</v>
      </c>
      <c r="H62" s="21" t="s">
        <v>361</v>
      </c>
      <c r="I62" s="13">
        <v>43020.473113425927</v>
      </c>
      <c r="J62" s="7">
        <v>0</v>
      </c>
      <c r="K62" s="89" t="str">
        <f t="shared" si="0"/>
        <v>4063/4064</v>
      </c>
      <c r="L62" s="185" t="str">
        <f>VLOOKUP(A62,'Trips&amp;Operators'!$C$1:$G$99911,5,FALSE)</f>
        <v>GEBRETEKLE DAGNEW</v>
      </c>
      <c r="M62" s="6">
        <f t="shared" si="1"/>
        <v>2.6886574072705116E-2</v>
      </c>
      <c r="N62" s="7">
        <f t="shared" si="24"/>
        <v>38.716666664695367</v>
      </c>
      <c r="O62" s="7"/>
      <c r="P62" s="7"/>
      <c r="Q62" s="22"/>
      <c r="R62" s="174"/>
      <c r="S62" s="199">
        <f t="shared" si="25"/>
        <v>1</v>
      </c>
      <c r="T62" s="174" t="str">
        <f t="shared" si="4"/>
        <v>Southbound</v>
      </c>
      <c r="U62" s="22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25" t="str">
        <f t="shared" si="5"/>
        <v>https://d0f6bd738d7f1b3e5a7ca70fe4ff75f0.us-east-1.aws.found.io/app/kibana#/discover/Steve-Slow-Train-Analysis-(2080s-and-2083s)?_g=(refreshInterval:(display:Off,pause:!f,section:0,value:0),time:(from:'2017-10-12T09:21:43-0600',mode:absolute,to:'2017-10-12T12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2" s="226" t="str">
        <f>IF(AA62&lt;VLOOKUP(AG62,Variables!$AC$3:$AD$8,2,FALSE),"Y","N")</f>
        <v>N</v>
      </c>
      <c r="X62" s="226">
        <f t="shared" si="6"/>
        <v>1</v>
      </c>
      <c r="Y62" s="226">
        <f t="shared" si="26"/>
        <v>23.2973</v>
      </c>
      <c r="Z62" s="226">
        <f t="shared" si="27"/>
        <v>1.61E-2</v>
      </c>
      <c r="AA62" s="226">
        <f t="shared" si="9"/>
        <v>23.281199999999998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150</v>
      </c>
      <c r="AE62" s="77" t="str">
        <f t="shared" si="11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62" s="74" t="str">
        <f t="shared" si="12"/>
        <v>"C:\Program Files (x86)\AstroGrep\AstroGrep.exe" /e /r /s /spath="%USERPROFILE%\AppData\Local\Temp\OnboardLogs" /stypes="app*4063*20171012*"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150-12 --locoid 4063 --swversion DE.1.0.9.0 --startMP 204:232973 --initTime 2017-10-12T10:21:43 --startdatetime 2017-10-12T10:42:34 --delay 55 --endMP 204:161 --enddatetime 2017-10-12T11:21:17 --enforcementcount 0 &gt;&gt;%USERPROFILE%\Documents\GitHub\eaglep3-reporting\EC\2017-10-12-refined-times.txt</v>
      </c>
      <c r="AI6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{"issue":{"subject":"","project_id":79,"tracker_id":40,"status_id":1,"priority_id":2,"assigned_to_id":338,"start_date":"2017-10-12","description":"","custom_fields":[{"id":1,"name":"Subdivision","value":"EC"},{"id":4,"name":"Milepost","value":"0.0161"},{"id":17,"name":"Train ID","value":"150-12"},{"id":16,"name":"Locomotive ID","value":"4063"},{"id":130,"name":"Impact","value":""},{"id":150,"name":"Time of Event (Mountain Time)","value":"11:21:17"},{"id":151,"name":"Denver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4063 --day 2017-10-12</v>
      </c>
      <c r="AN6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-10-12T09:21:43-0600',mode:absolute,to:'2017-10-12T12:21:17-0600'))&amp;_a=(columns:!('Message%20ID',Summary),filters:!(),index:'emp_*',interval:auto,query:(query_string:(analyze_wildcard:!t,query:'%22rtdc.l.rtdc.4063%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573</v>
      </c>
      <c r="B63" s="7">
        <v>4066</v>
      </c>
      <c r="C63" s="21" t="s">
        <v>194</v>
      </c>
      <c r="D63" s="21" t="s">
        <v>531</v>
      </c>
      <c r="E63" s="13">
        <v>43020.41233796296</v>
      </c>
      <c r="F63" s="13">
        <v>43020.41684027778</v>
      </c>
      <c r="G63" s="7">
        <v>52</v>
      </c>
      <c r="H63" s="21" t="s">
        <v>845</v>
      </c>
      <c r="I63" s="13">
        <v>43020.444224537037</v>
      </c>
      <c r="J63" s="7">
        <v>0</v>
      </c>
      <c r="K63" s="89" t="str">
        <f t="shared" si="0"/>
        <v>4065/4066</v>
      </c>
      <c r="L63" s="185" t="str">
        <f>VLOOKUP(A63,'Trips&amp;Operators'!$C$1:$G$99911,5,FALSE)</f>
        <v>WILLIAMS DONTE</v>
      </c>
      <c r="M63" s="6">
        <f t="shared" si="1"/>
        <v>2.7384259257814847E-2</v>
      </c>
      <c r="N63" s="7">
        <f t="shared" si="24"/>
        <v>39.43333333125338</v>
      </c>
      <c r="O63" s="7"/>
      <c r="P63" s="7"/>
      <c r="Q63" s="22"/>
      <c r="R63" s="174"/>
      <c r="S63" s="199">
        <f t="shared" si="25"/>
        <v>1</v>
      </c>
      <c r="T63" s="174" t="str">
        <f t="shared" si="4"/>
        <v>NorthBound</v>
      </c>
      <c r="U63" s="22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25" t="str">
        <f t="shared" si="5"/>
        <v>https://d0f6bd738d7f1b3e5a7ca70fe4ff75f0.us-east-1.aws.found.io/app/kibana#/discover/Steve-Slow-Train-Analysis-(2080s-and-2083s)?_g=(refreshInterval:(display:Off,pause:!f,section:0,value:0),time:(from:'2017-10-12T08:53:46-0600',mode:absolute,to:'2017-10-12T11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3" s="226" t="str">
        <f>IF(AA63&lt;VLOOKUP(AG63,Variables!$AC$3:$AD$8,2,FALSE),"Y","N")</f>
        <v>N</v>
      </c>
      <c r="X63" s="226">
        <f t="shared" si="6"/>
        <v>1</v>
      </c>
      <c r="Y63" s="226">
        <f t="shared" si="26"/>
        <v>4.3999999999999997E-2</v>
      </c>
      <c r="Z63" s="226">
        <f t="shared" si="27"/>
        <v>23.328700000000001</v>
      </c>
      <c r="AA63" s="226">
        <f t="shared" si="9"/>
        <v>23.284700000000001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151</v>
      </c>
      <c r="AE63" s="77" t="str">
        <f t="shared" si="11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63" s="74" t="str">
        <f t="shared" si="12"/>
        <v>"C:\Program Files (x86)\AstroGrep\AstroGrep.exe" /e /r /s /spath="%USERPROFILE%\AppData\Local\Temp\OnboardLogs" /stypes="app*4066*20171012*"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151-12 --locoid 4066 --swversion DE.1.0.9.0 --startMP 204:440 --initTime 2017-10-12T09:53:46 --startdatetime 2017-10-12T10:00:15 --delay 52 --endMP 204:233287 --enddatetime 2017-10-12T10:39:41 --enforcementcount 0 &gt;&gt;%USERPROFILE%\Documents\GitHub\eaglep3-reporting\EC\2017-10-12-refined-times.txt</v>
      </c>
      <c r="AI6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{"issue":{"subject":"","project_id":79,"tracker_id":40,"status_id":1,"priority_id":2,"assigned_to_id":338,"start_date":"2017-10-12","description":"","custom_fields":[{"id":1,"name":"Subdivision","value":"EC"},{"id":4,"name":"Milepost","value":"23.3287"},{"id":17,"name":"Train ID","value":"151-12"},{"id":16,"name":"Locomotive ID","value":"4066"},{"id":130,"name":"Impact","value":""},{"id":150,"name":"Time of Event (Mountain Time)","value":"10:39:41"},{"id":151,"name":"Denver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4066 --day 2017-10-12</v>
      </c>
      <c r="AN6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16:39:41"},{"id":29,"name":"Sharepoint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-10-12T08:53:46-0600',mode:absolute,to:'2017-10-12T11:39:41-0600'))&amp;_a=(columns:!('Message%20ID',Summary),filters:!(),index:'emp_*',interval:auto,query:(query_string:(analyze_wildcard:!t,query:'%22rtdc.l.rtdc.4066%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689</v>
      </c>
      <c r="B64" s="7">
        <v>4065</v>
      </c>
      <c r="C64" s="21" t="s">
        <v>194</v>
      </c>
      <c r="D64" s="21" t="s">
        <v>445</v>
      </c>
      <c r="E64" s="13">
        <v>43020.451157407406</v>
      </c>
      <c r="F64" s="13">
        <v>43020.456435185188</v>
      </c>
      <c r="G64" s="7">
        <v>63</v>
      </c>
      <c r="H64" s="21" t="s">
        <v>846</v>
      </c>
      <c r="I64" s="13">
        <v>43020.484583333331</v>
      </c>
      <c r="J64" s="7">
        <v>0</v>
      </c>
      <c r="K64" s="89" t="str">
        <f t="shared" si="0"/>
        <v>4065/4066</v>
      </c>
      <c r="L64" s="185" t="str">
        <f>VLOOKUP(A64,'Trips&amp;Operators'!$C$1:$G$99911,5,FALSE)</f>
        <v>WILLIAMS DONTE</v>
      </c>
      <c r="M64" s="6">
        <f t="shared" si="1"/>
        <v>2.8148148143372964E-2</v>
      </c>
      <c r="N64" s="7">
        <f t="shared" si="24"/>
        <v>40.533333326457068</v>
      </c>
      <c r="O64" s="7"/>
      <c r="P64" s="7"/>
      <c r="Q64" s="22"/>
      <c r="R64" s="174"/>
      <c r="S64" s="199">
        <f t="shared" si="25"/>
        <v>1</v>
      </c>
      <c r="T64" s="174" t="str">
        <f t="shared" si="4"/>
        <v>Southbound</v>
      </c>
      <c r="U64" s="22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25" t="str">
        <f t="shared" si="5"/>
        <v>https://d0f6bd738d7f1b3e5a7ca70fe4ff75f0.us-east-1.aws.found.io/app/kibana#/discover/Steve-Slow-Train-Analysis-(2080s-and-2083s)?_g=(refreshInterval:(display:Off,pause:!f,section:0,value:0),time:(from:'2017-10-12T09:49:40-0600',mode:absolute,to:'2017-10-12T12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4" s="226" t="str">
        <f>IF(AA64&lt;VLOOKUP(AG64,Variables!$AC$3:$AD$8,2,FALSE),"Y","N")</f>
        <v>N</v>
      </c>
      <c r="X64" s="226">
        <f t="shared" si="6"/>
        <v>1</v>
      </c>
      <c r="Y64" s="226">
        <f t="shared" si="26"/>
        <v>23.2972</v>
      </c>
      <c r="Z64" s="226">
        <f t="shared" si="27"/>
        <v>1.8499999999999999E-2</v>
      </c>
      <c r="AA64" s="226">
        <f t="shared" si="9"/>
        <v>23.278700000000001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152</v>
      </c>
      <c r="AE64" s="77" t="str">
        <f t="shared" si="11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64" s="74" t="str">
        <f t="shared" si="12"/>
        <v>"C:\Program Files (x86)\AstroGrep\AstroGrep.exe" /e /r /s /spath="%USERPROFILE%\AppData\Local\Temp\OnboardLogs" /stypes="app*4065*20171012*"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152-12 --locoid 4065 --swversion DE.1.0.9.0 --startMP 204:232972 --initTime 2017-10-12T10:49:40 --startdatetime 2017-10-12T10:57:16 --delay 63 --endMP 204:185 --enddatetime 2017-10-12T11:37:48 --enforcementcount 0 &gt;&gt;%USERPROFILE%\Documents\GitHub\eaglep3-reporting\EC\2017-10-12-refined-times.txt</v>
      </c>
      <c r="AI6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{"issue":{"subject":"","project_id":79,"tracker_id":40,"status_id":1,"priority_id":2,"assigned_to_id":338,"start_date":"2017-10-12","description":"","custom_fields":[{"id":1,"name":"Subdivision","value":"EC"},{"id":4,"name":"Milepost","value":"0.0185"},{"id":17,"name":"Train ID","value":"152-12"},{"id":16,"name":"Locomotive ID","value":"4065"},{"id":130,"name":"Impact","value":""},{"id":150,"name":"Time of Event (Mountain Time)","value":"11:37:48"},{"id":151,"name":"Denver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4065 --day 2017-10-12</v>
      </c>
      <c r="AN6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-10-12T09:49:40-0600',mode:absolute,to:'2017-10-12T12:37:48-0600'))&amp;_a=(columns:!('Message%20ID',Summary),filters:!(),index:'emp_*',interval:auto,query:(query_string:(analyze_wildcard:!t,query:'%22rtdc.l.rtdc.4065%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682</v>
      </c>
      <c r="B65" s="7">
        <v>4002</v>
      </c>
      <c r="C65" s="21" t="s">
        <v>194</v>
      </c>
      <c r="D65" s="21" t="s">
        <v>435</v>
      </c>
      <c r="E65" s="13">
        <v>43020.424687500003</v>
      </c>
      <c r="F65" s="13">
        <v>43020.427303240744</v>
      </c>
      <c r="G65" s="7">
        <v>63</v>
      </c>
      <c r="H65" s="21" t="s">
        <v>830</v>
      </c>
      <c r="I65" s="13">
        <v>43020.453275462962</v>
      </c>
      <c r="J65" s="7">
        <v>0</v>
      </c>
      <c r="K65" s="89" t="str">
        <f t="shared" si="0"/>
        <v>4001/4002</v>
      </c>
      <c r="L65" s="185" t="str">
        <f>VLOOKUP(A65,'Trips&amp;Operators'!$C$1:$G$99911,5,FALSE)</f>
        <v>DAVIS WENDY</v>
      </c>
      <c r="M65" s="6">
        <f t="shared" si="1"/>
        <v>2.5972222218115348E-2</v>
      </c>
      <c r="N65" s="7">
        <f t="shared" si="24"/>
        <v>37.399999994086102</v>
      </c>
      <c r="O65" s="7"/>
      <c r="P65" s="7"/>
      <c r="Q65" s="22"/>
      <c r="R65" s="174"/>
      <c r="S65" s="199">
        <f t="shared" si="25"/>
        <v>1</v>
      </c>
      <c r="T65" s="174" t="str">
        <f t="shared" si="4"/>
        <v>NorthBound</v>
      </c>
      <c r="U65" s="22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25" t="str">
        <f t="shared" si="5"/>
        <v>https://d0f6bd738d7f1b3e5a7ca70fe4ff75f0.us-east-1.aws.found.io/app/kibana#/discover/Steve-Slow-Train-Analysis-(2080s-and-2083s)?_g=(refreshInterval:(display:Off,pause:!f,section:0,value:0),time:(from:'2017-10-12T09:11:33-0600',mode:absolute,to:'2017-10-12T11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226" t="str">
        <f>IF(AA65&lt;VLOOKUP(AG65,Variables!$AC$3:$AD$8,2,FALSE),"Y","N")</f>
        <v>N</v>
      </c>
      <c r="X65" s="226">
        <f t="shared" si="6"/>
        <v>1</v>
      </c>
      <c r="Y65" s="226">
        <f t="shared" si="26"/>
        <v>4.6399999999999997E-2</v>
      </c>
      <c r="Z65" s="226">
        <f t="shared" si="27"/>
        <v>23.329899999999999</v>
      </c>
      <c r="AA65" s="226">
        <f t="shared" si="9"/>
        <v>23.2835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153</v>
      </c>
      <c r="AE65" s="77" t="str">
        <f t="shared" si="11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65" s="74" t="str">
        <f t="shared" si="12"/>
        <v>"C:\Program Files (x86)\AstroGrep\AstroGrep.exe" /e /r /s /spath="%USERPROFILE%\AppData\Local\Temp\OnboardLogs" /stypes="app*4002*20171012*"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153-12 --locoid 4002 --swversion DE.1.0.9.0 --startMP 204:464 --initTime 2017-10-12T10:11:33 --startdatetime 2017-10-12T10:15:19 --delay 63 --endMP 204:233299 --enddatetime 2017-10-12T10:52:43 --enforcementcount 0 &gt;&gt;%USERPROFILE%\Documents\GitHub\eaglep3-reporting\EC\2017-10-12-refined-times.txt</v>
      </c>
      <c r="AI6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{"issue":{"subject":"","project_id":79,"tracker_id":40,"status_id":1,"priority_id":2,"assigned_to_id":338,"start_date":"2017-10-12","description":"","custom_fields":[{"id":1,"name":"Subdivision","value":"EC"},{"id":4,"name":"Milepost","value":"23.3299"},{"id":17,"name":"Train ID","value":"153-12"},{"id":16,"name":"Locomotive ID","value":"4002"},{"id":130,"name":"Impact","value":""},{"id":150,"name":"Time of Event (Mountain Time)","value":"10:52:43"},{"id":151,"name":"Denver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4002 --day 2017-10-12</v>
      </c>
      <c r="AN6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-10-12T09:11:33-0600',mode:absolute,to:'2017-10-12T11:52:43-0600'))&amp;_a=(columns:!('Message%20ID',Summary),filters:!(),index:'emp_*',interval:auto,query:(query_string:(analyze_wildcard:!t,query:'%22rtdc.l.rtdc.4002%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691</v>
      </c>
      <c r="B66" s="7">
        <v>4001</v>
      </c>
      <c r="C66" s="21" t="s">
        <v>194</v>
      </c>
      <c r="D66" s="21" t="s">
        <v>535</v>
      </c>
      <c r="E66" s="13">
        <v>43020.457789351851</v>
      </c>
      <c r="F66" s="13">
        <v>43020.466817129629</v>
      </c>
      <c r="G66" s="7">
        <v>109</v>
      </c>
      <c r="H66" s="21" t="s">
        <v>374</v>
      </c>
      <c r="I66" s="13">
        <v>43020.49454861111</v>
      </c>
      <c r="J66" s="7">
        <v>0</v>
      </c>
      <c r="K66" s="89" t="str">
        <f t="shared" si="0"/>
        <v>4001/4002</v>
      </c>
      <c r="L66" s="185" t="str">
        <f>VLOOKUP(A66,'Trips&amp;Operators'!$C$1:$G$99911,5,FALSE)</f>
        <v>DAVIS WENDY</v>
      </c>
      <c r="M66" s="6">
        <f t="shared" si="1"/>
        <v>2.7731481481168885E-2</v>
      </c>
      <c r="N66" s="7">
        <f t="shared" si="24"/>
        <v>39.933333332883194</v>
      </c>
      <c r="O66" s="7"/>
      <c r="P66" s="7"/>
      <c r="Q66" s="22"/>
      <c r="R66" s="174"/>
      <c r="S66" s="199">
        <f t="shared" si="25"/>
        <v>1</v>
      </c>
      <c r="T66" s="174" t="str">
        <f t="shared" si="4"/>
        <v>Southbound</v>
      </c>
      <c r="U66" s="22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25" t="str">
        <f t="shared" si="5"/>
        <v>https://d0f6bd738d7f1b3e5a7ca70fe4ff75f0.us-east-1.aws.found.io/app/kibana#/discover/Steve-Slow-Train-Analysis-(2080s-and-2083s)?_g=(refreshInterval:(display:Off,pause:!f,section:0,value:0),time:(from:'2017-10-12T09:59:13-0600',mode:absolute,to:'2017-10-12T12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226" t="str">
        <f>IF(AA66&lt;VLOOKUP(AG66,Variables!$AC$3:$AD$8,2,FALSE),"Y","N")</f>
        <v>N</v>
      </c>
      <c r="X66" s="226">
        <f t="shared" si="6"/>
        <v>1</v>
      </c>
      <c r="Y66" s="226">
        <f t="shared" si="26"/>
        <v>23.296700000000001</v>
      </c>
      <c r="Z66" s="226">
        <f t="shared" si="27"/>
        <v>1.54E-2</v>
      </c>
      <c r="AA66" s="226">
        <f t="shared" si="9"/>
        <v>23.281300000000002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154</v>
      </c>
      <c r="AE66" s="77" t="str">
        <f t="shared" si="11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66" s="74" t="str">
        <f t="shared" si="12"/>
        <v>"C:\Program Files (x86)\AstroGrep\AstroGrep.exe" /e /r /s /spath="%USERPROFILE%\AppData\Local\Temp\OnboardLogs" /stypes="app*4001*20171012*"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154-12 --locoid 4001 --swversion DE.1.0.9.0 --startMP 204:232967 --initTime 2017-10-12T10:59:13 --startdatetime 2017-10-12T11:12:13 --delay 109 --endMP 204:154 --enddatetime 2017-10-12T11:52:09 --enforcementcount 0 &gt;&gt;%USERPROFILE%\Documents\GitHub\eaglep3-reporting\EC\2017-10-12-refined-times.txt</v>
      </c>
      <c r="AI6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ID","value":"154-12"},{"id":16,"name":"Locomotive ID","value":"4001"},{"id":130,"name":"Impact","value":""},{"id":150,"name":"Time of Event (Mountain Time)","value":"11:52:09"},{"id":151,"name":"Denver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4001 --day 2017-10-12</v>
      </c>
      <c r="AN6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-10-12T09:59:13-0600',mode:absolute,to:'2017-10-12T12:52:09-0600'))&amp;_a=(columns:!('Message%20ID',Summary),filters:!(),index:'emp_*',interval:auto,query:(query_string:(analyze_wildcard:!t,query:'%22rtdc.l.rtdc.4001%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684</v>
      </c>
      <c r="B67" s="7">
        <v>4054</v>
      </c>
      <c r="C67" s="21" t="s">
        <v>194</v>
      </c>
      <c r="D67" s="21" t="s">
        <v>372</v>
      </c>
      <c r="E67" s="13">
        <v>43020.433842592596</v>
      </c>
      <c r="F67" s="13">
        <v>43020.437708333331</v>
      </c>
      <c r="G67" s="7">
        <v>68</v>
      </c>
      <c r="H67" s="21" t="s">
        <v>847</v>
      </c>
      <c r="I67" s="13">
        <v>43020.463263888887</v>
      </c>
      <c r="J67" s="7">
        <v>0</v>
      </c>
      <c r="K67" s="89" t="str">
        <f t="shared" si="0"/>
        <v>4053/4054</v>
      </c>
      <c r="L67" s="185" t="str">
        <f>VLOOKUP(A67,'Trips&amp;Operators'!$C$1:$G$99911,5,FALSE)</f>
        <v>CASSIDY BRANDON</v>
      </c>
      <c r="M67" s="6">
        <f t="shared" si="1"/>
        <v>2.5555555555911269E-2</v>
      </c>
      <c r="N67" s="7">
        <f t="shared" si="24"/>
        <v>36.800000000512227</v>
      </c>
      <c r="O67" s="7"/>
      <c r="P67" s="7"/>
      <c r="Q67" s="22"/>
      <c r="R67" s="174"/>
      <c r="S67" s="199">
        <f t="shared" si="25"/>
        <v>1</v>
      </c>
      <c r="T67" s="174" t="str">
        <f t="shared" si="4"/>
        <v>NorthBound</v>
      </c>
      <c r="U67" s="22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25" t="str">
        <f t="shared" si="5"/>
        <v>https://d0f6bd738d7f1b3e5a7ca70fe4ff75f0.us-east-1.aws.found.io/app/kibana#/discover/Steve-Slow-Train-Analysis-(2080s-and-2083s)?_g=(refreshInterval:(display:Off,pause:!f,section:0,value:0),time:(from:'2017-10-12T09:24:44-0600',mode:absolute,to:'2017-10-12T12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226" t="str">
        <f>IF(AA67&lt;VLOOKUP(AG67,Variables!$AC$3:$AD$8,2,FALSE),"Y","N")</f>
        <v>N</v>
      </c>
      <c r="X67" s="226">
        <f t="shared" si="6"/>
        <v>1</v>
      </c>
      <c r="Y67" s="226">
        <f t="shared" si="26"/>
        <v>4.7100000000000003E-2</v>
      </c>
      <c r="Z67" s="226">
        <f t="shared" si="27"/>
        <v>23.328299999999999</v>
      </c>
      <c r="AA67" s="226">
        <f t="shared" si="9"/>
        <v>23.281199999999998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155</v>
      </c>
      <c r="AE67" s="77" t="str">
        <f t="shared" si="11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67" s="74" t="str">
        <f t="shared" si="12"/>
        <v>"C:\Program Files (x86)\AstroGrep\AstroGrep.exe" /e /r /s /spath="%USERPROFILE%\AppData\Local\Temp\OnboardLogs" /stypes="app*4054*20171012*"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155-12 --locoid 4054 --swversion DE.1.0.9.0 --startMP 204:471 --initTime 2017-10-12T10:24:44 --startdatetime 2017-10-12T10:30:18 --delay 68 --endMP 204:233283 --enddatetime 2017-10-12T11:07:06 --enforcementcount 0 &gt;&gt;%USERPROFILE%\Documents\GitHub\eaglep3-reporting\EC\2017-10-12-refined-times.txt</v>
      </c>
      <c r="AI6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{"issue":{"subject":"","project_id":79,"tracker_id":40,"status_id":1,"priority_id":2,"assigned_to_id":338,"start_date":"2017-10-12","description":"","custom_fields":[{"id":1,"name":"Subdivision","value":"EC"},{"id":4,"name":"Milepost","value":"23.3283"},{"id":17,"name":"Train ID","value":"155-12"},{"id":16,"name":"Locomotive ID","value":"4054"},{"id":130,"name":"Impact","value":""},{"id":150,"name":"Time of Event (Mountain Time)","value":"11:07:06"},{"id":151,"name":"Denver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4054 --day 2017-10-12</v>
      </c>
      <c r="AN6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-10-12T09:24:44-0600',mode:absolute,to:'2017-10-12T12:07:06-0600'))&amp;_a=(columns:!('Message%20ID',Summary),filters:!(),index:'emp_*',interval:auto,query:(query_string:(analyze_wildcard:!t,query:'%22rtdc.l.rtdc.4054%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692</v>
      </c>
      <c r="B68" s="7">
        <v>4053</v>
      </c>
      <c r="C68" s="21" t="s">
        <v>194</v>
      </c>
      <c r="D68" s="21" t="s">
        <v>848</v>
      </c>
      <c r="E68" s="13">
        <v>43020.465578703705</v>
      </c>
      <c r="F68" s="13">
        <v>43020.477407407408</v>
      </c>
      <c r="G68" s="7">
        <v>76</v>
      </c>
      <c r="H68" s="21" t="s">
        <v>356</v>
      </c>
      <c r="I68" s="13">
        <v>43020.504328703704</v>
      </c>
      <c r="J68" s="7">
        <v>0</v>
      </c>
      <c r="K68" s="89" t="str">
        <f t="shared" si="0"/>
        <v>4053/4054</v>
      </c>
      <c r="L68" s="185" t="str">
        <f>VLOOKUP(A68,'Trips&amp;Operators'!$C$1:$G$99911,5,FALSE)</f>
        <v>CASSIDY BRANDON</v>
      </c>
      <c r="M68" s="6">
        <f t="shared" si="1"/>
        <v>2.6921296295768116E-2</v>
      </c>
      <c r="N68" s="7">
        <f t="shared" si="24"/>
        <v>38.766666665906087</v>
      </c>
      <c r="O68" s="7"/>
      <c r="P68" s="7"/>
      <c r="Q68" s="22"/>
      <c r="R68" s="174"/>
      <c r="S68" s="199">
        <f t="shared" si="25"/>
        <v>1</v>
      </c>
      <c r="T68" s="174" t="str">
        <f t="shared" si="4"/>
        <v>Southbound</v>
      </c>
      <c r="U68" s="22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25" t="str">
        <f t="shared" si="5"/>
        <v>https://d0f6bd738d7f1b3e5a7ca70fe4ff75f0.us-east-1.aws.found.io/app/kibana#/discover/Steve-Slow-Train-Analysis-(2080s-and-2083s)?_g=(refreshInterval:(display:Off,pause:!f,section:0,value:0),time:(from:'2017-10-12T10:10:26-0600',mode:absolute,to:'2017-10-12T13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8" s="226" t="str">
        <f>IF(AA68&lt;VLOOKUP(AG68,Variables!$AC$3:$AD$8,2,FALSE),"Y","N")</f>
        <v>N</v>
      </c>
      <c r="X68" s="226">
        <f t="shared" si="6"/>
        <v>1</v>
      </c>
      <c r="Y68" s="226">
        <f t="shared" si="26"/>
        <v>23.297599999999999</v>
      </c>
      <c r="Z68" s="226">
        <f t="shared" si="27"/>
        <v>1.4500000000000001E-2</v>
      </c>
      <c r="AA68" s="226">
        <f t="shared" si="9"/>
        <v>23.283099999999997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156</v>
      </c>
      <c r="AE68" s="77" t="str">
        <f t="shared" si="11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68" s="74" t="str">
        <f t="shared" si="12"/>
        <v>"C:\Program Files (x86)\AstroGrep\AstroGrep.exe" /e /r /s /spath="%USERPROFILE%\AppData\Local\Temp\OnboardLogs" /stypes="app*4053*20171012*"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156-12 --locoid 4053 --swversion DE.1.0.9.0 --startMP 204:232976 --initTime 2017-10-12T11:10:26 --startdatetime 2017-10-12T11:27:28 --delay 76 --endMP 204:145 --enddatetime 2017-10-12T12:06:14 --enforcementcount 0 &gt;&gt;%USERPROFILE%\Documents\GitHub\eaglep3-reporting\EC\2017-10-12-refined-times.txt</v>
      </c>
      <c r="AI68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ID","value":"156-12"},{"id":16,"name":"Locomotive ID","value":"4053"},{"id":130,"name":"Impact","value":""},{"id":150,"name":"Time of Event (Mountain Time)","value":"12:06:14"},{"id":151,"name":"Denver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4053 --day 2017-10-12</v>
      </c>
      <c r="AN68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-10-12T10:10:26-0600',mode:absolute,to:'2017-10-12T13:06:14-0600'))&amp;_a=(columns:!('Message%20ID',Summary),filters:!(),index:'emp_*',interval:auto,query:(query_string:(analyze_wildcard:!t,query:'%22rtdc.l.rtdc.4053%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686</v>
      </c>
      <c r="B69" s="7">
        <v>4052</v>
      </c>
      <c r="C69" s="21" t="s">
        <v>194</v>
      </c>
      <c r="D69" s="21" t="s">
        <v>363</v>
      </c>
      <c r="E69" s="13">
        <v>43020.444004629629</v>
      </c>
      <c r="F69" s="13">
        <v>43020.448287037034</v>
      </c>
      <c r="G69" s="7">
        <v>77</v>
      </c>
      <c r="H69" s="21" t="s">
        <v>446</v>
      </c>
      <c r="I69" s="13">
        <v>43020.473032407404</v>
      </c>
      <c r="J69" s="7">
        <v>0</v>
      </c>
      <c r="K69" s="89" t="str">
        <f t="shared" si="0"/>
        <v>4051/4052</v>
      </c>
      <c r="L69" s="185" t="str">
        <f>VLOOKUP(A69,'Trips&amp;Operators'!$C$1:$G$99911,5,FALSE)</f>
        <v>BADERTSCHER DIANE</v>
      </c>
      <c r="M69" s="6">
        <f t="shared" si="1"/>
        <v>2.47453703705105E-2</v>
      </c>
      <c r="N69" s="7">
        <f t="shared" si="24"/>
        <v>35.63333333353512</v>
      </c>
      <c r="O69" s="7"/>
      <c r="P69" s="7"/>
      <c r="Q69" s="22"/>
      <c r="R69" s="174"/>
      <c r="S69" s="199">
        <f t="shared" si="25"/>
        <v>1</v>
      </c>
      <c r="T69" s="174" t="str">
        <f t="shared" si="4"/>
        <v>NorthBound</v>
      </c>
      <c r="U69" s="22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25" t="str">
        <f t="shared" si="5"/>
        <v>https://d0f6bd738d7f1b3e5a7ca70fe4ff75f0.us-east-1.aws.found.io/app/kibana#/discover/Steve-Slow-Train-Analysis-(2080s-and-2083s)?_g=(refreshInterval:(display:Off,pause:!f,section:0,value:0),time:(from:'2017-10-12T09:39:22-0600',mode:absolute,to:'2017-10-12T12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9" s="226" t="str">
        <f>IF(AA69&lt;VLOOKUP(AG69,Variables!$AC$3:$AD$8,2,FALSE),"Y","N")</f>
        <v>N</v>
      </c>
      <c r="X69" s="226">
        <f t="shared" si="6"/>
        <v>1</v>
      </c>
      <c r="Y69" s="226">
        <f t="shared" si="26"/>
        <v>4.5999999999999999E-2</v>
      </c>
      <c r="Z69" s="226">
        <f t="shared" si="27"/>
        <v>23.330300000000001</v>
      </c>
      <c r="AA69" s="226">
        <f t="shared" si="9"/>
        <v>23.284300000000002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157</v>
      </c>
      <c r="AE69" s="77" t="str">
        <f t="shared" si="11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69" s="74" t="str">
        <f t="shared" si="12"/>
        <v>"C:\Program Files (x86)\AstroGrep\AstroGrep.exe" /e /r /s /spath="%USERPROFILE%\AppData\Local\Temp\OnboardLogs" /stypes="app*4052*20171012*"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157-12 --locoid 4052 --swversion DE.1.0.9.0 --startMP 204:460 --initTime 2017-10-12T10:39:22 --startdatetime 2017-10-12T10:45:32 --delay 77 --endMP 204:233303 --enddatetime 2017-10-12T11:21:10 --enforcementcount 0 &gt;&gt;%USERPROFILE%\Documents\GitHub\eaglep3-reporting\EC\2017-10-12-refined-times.txt</v>
      </c>
      <c r="AI69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{"issue":{"subject":"","project_id":79,"tracker_id":40,"status_id":1,"priority_id":2,"assigned_to_id":338,"start_date":"2017-10-12","description":"","custom_fields":[{"id":1,"name":"Subdivision","value":"EC"},{"id":4,"name":"Milepost","value":"23.3303"},{"id":17,"name":"Train ID","value":"157-12"},{"id":16,"name":"Locomotive ID","value":"4052"},{"id":130,"name":"Impact","value":""},{"id":150,"name":"Time of Event (Mountain Time)","value":"11:21:10"},{"id":151,"name":"Denver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4052 --day 2017-10-12</v>
      </c>
      <c r="AN69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-10-12T09:39:22-0600',mode:absolute,to:'2017-10-12T12:21:10-0600'))&amp;_a=(columns:!('Message%20ID',Summary),filters:!(),index:'emp_*',interval:auto,query:(query_string:(analyze_wildcard:!t,query:'%22rtdc.l.rtdc.4052%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696</v>
      </c>
      <c r="B70" s="7">
        <v>4051</v>
      </c>
      <c r="C70" s="21" t="s">
        <v>194</v>
      </c>
      <c r="D70" s="21" t="s">
        <v>838</v>
      </c>
      <c r="E70" s="13">
        <v>43020.478206018517</v>
      </c>
      <c r="F70" s="13">
        <v>43020.487719907411</v>
      </c>
      <c r="G70" s="7">
        <v>71</v>
      </c>
      <c r="H70" s="21" t="s">
        <v>849</v>
      </c>
      <c r="I70" s="13">
        <v>43020.515462962961</v>
      </c>
      <c r="J70" s="7">
        <v>0</v>
      </c>
      <c r="K70" s="89" t="str">
        <f t="shared" si="0"/>
        <v>4051/4052</v>
      </c>
      <c r="L70" s="185" t="str">
        <f>VLOOKUP(A70,'Trips&amp;Operators'!$C$1:$G$99911,5,FALSE)</f>
        <v>BADERTSCHER DIANE</v>
      </c>
      <c r="M70" s="6">
        <f t="shared" si="1"/>
        <v>2.774305555067258E-2</v>
      </c>
      <c r="N70" s="7">
        <f t="shared" si="24"/>
        <v>39.949999992968515</v>
      </c>
      <c r="O70" s="7"/>
      <c r="P70" s="7"/>
      <c r="Q70" s="22"/>
      <c r="R70" s="174"/>
      <c r="S70" s="199">
        <f t="shared" si="25"/>
        <v>1</v>
      </c>
      <c r="T70" s="174" t="str">
        <f t="shared" si="4"/>
        <v>Southbound</v>
      </c>
      <c r="U70" s="22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25" t="str">
        <f t="shared" si="5"/>
        <v>https://d0f6bd738d7f1b3e5a7ca70fe4ff75f0.us-east-1.aws.found.io/app/kibana#/discover/Steve-Slow-Train-Analysis-(2080s-and-2083s)?_g=(refreshInterval:(display:Off,pause:!f,section:0,value:0),time:(from:'2017-10-12T10:28:37-0600',mode:absolute,to:'2017-10-12T13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0" s="226" t="str">
        <f>IF(AA70&lt;VLOOKUP(AG70,Variables!$AC$3:$AD$8,2,FALSE),"Y","N")</f>
        <v>N</v>
      </c>
      <c r="X70" s="226">
        <f t="shared" si="6"/>
        <v>1</v>
      </c>
      <c r="Y70" s="226">
        <f t="shared" si="26"/>
        <v>23.2988</v>
      </c>
      <c r="Z70" s="226">
        <f t="shared" si="27"/>
        <v>1.18E-2</v>
      </c>
      <c r="AA70" s="226">
        <f t="shared" si="9"/>
        <v>23.286999999999999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158</v>
      </c>
      <c r="AE70" s="77" t="str">
        <f t="shared" si="11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70" s="74" t="str">
        <f t="shared" si="12"/>
        <v>"C:\Program Files (x86)\AstroGrep\AstroGrep.exe" /e /r /s /spath="%USERPROFILE%\AppData\Local\Temp\OnboardLogs" /stypes="app*4051*20171012*"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158-12 --locoid 4051 --swversion DE.1.0.9.0 --startMP 204:232988 --initTime 2017-10-12T11:28:37 --startdatetime 2017-10-12T11:42:19 --delay 71 --endMP 204:118 --enddatetime 2017-10-12T12:22:16 --enforcementcount 0 &gt;&gt;%USERPROFILE%\Documents\GitHub\eaglep3-reporting\EC\2017-10-12-refined-times.txt</v>
      </c>
      <c r="AI70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{"issue":{"subject":"","project_id":79,"tracker_id":40,"status_id":1,"priority_id":2,"assigned_to_id":338,"start_date":"2017-10-12","description":"","custom_fields":[{"id":1,"name":"Subdivision","value":"EC"},{"id":4,"name":"Milepost","value":"0.0118"},{"id":17,"name":"Train ID","value":"158-12"},{"id":16,"name":"Locomotive ID","value":"4051"},{"id":130,"name":"Impact","value":""},{"id":150,"name":"Time of Event (Mountain Time)","value":"12:22:16"},{"id":151,"name":"Denver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4051 --day 2017-10-12</v>
      </c>
      <c r="AN70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-10-12T10:28:37-0600',mode:absolute,to:'2017-10-12T13:22:16-0600'))&amp;_a=(columns:!('Message%20ID',Summary),filters:!(),index:'emp_*',interval:auto,query:(query_string:(analyze_wildcard:!t,query:'%22rtdc.l.rtdc.4051%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690</v>
      </c>
      <c r="B71" s="7">
        <v>4004</v>
      </c>
      <c r="C71" s="21" t="s">
        <v>194</v>
      </c>
      <c r="D71" s="21" t="s">
        <v>850</v>
      </c>
      <c r="E71" s="13">
        <v>43020.454872685186</v>
      </c>
      <c r="F71" s="13">
        <v>43020.459467592591</v>
      </c>
      <c r="G71" s="7">
        <v>58</v>
      </c>
      <c r="H71" s="21" t="s">
        <v>478</v>
      </c>
      <c r="I71" s="13">
        <v>43020.484571759262</v>
      </c>
      <c r="J71" s="7">
        <v>0</v>
      </c>
      <c r="K71" s="89" t="str">
        <f t="shared" si="0"/>
        <v>4003/4004</v>
      </c>
      <c r="L71" s="185" t="str">
        <f>VLOOKUP(A71,'Trips&amp;Operators'!$C$1:$G$99911,5,FALSE)</f>
        <v>YANG JAN</v>
      </c>
      <c r="M71" s="6">
        <f t="shared" si="1"/>
        <v>2.510416667064419E-2</v>
      </c>
      <c r="N71" s="7">
        <f t="shared" si="24"/>
        <v>36.150000005727634</v>
      </c>
      <c r="O71" s="7"/>
      <c r="P71" s="7"/>
      <c r="Q71" s="22"/>
      <c r="R71" s="174"/>
      <c r="S71" s="199">
        <f t="shared" si="25"/>
        <v>1</v>
      </c>
      <c r="T71" s="174" t="str">
        <f t="shared" si="4"/>
        <v>NorthBound</v>
      </c>
      <c r="U71" s="22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25" t="str">
        <f t="shared" si="5"/>
        <v>https://d0f6bd738d7f1b3e5a7ca70fe4ff75f0.us-east-1.aws.found.io/app/kibana#/discover/Steve-Slow-Train-Analysis-(2080s-and-2083s)?_g=(refreshInterval:(display:Off,pause:!f,section:0,value:0),time:(from:'2017-10-12T09:55:01-0600',mode:absolute,to:'2017-10-12T12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1" s="226" t="str">
        <f>IF(AA71&lt;VLOOKUP(AG71,Variables!$AC$3:$AD$8,2,FALSE),"Y","N")</f>
        <v>N</v>
      </c>
      <c r="X71" s="226">
        <f t="shared" si="6"/>
        <v>1</v>
      </c>
      <c r="Y71" s="226">
        <f t="shared" si="26"/>
        <v>4.07E-2</v>
      </c>
      <c r="Z71" s="226">
        <f t="shared" si="27"/>
        <v>23.331</v>
      </c>
      <c r="AA71" s="226">
        <f t="shared" si="9"/>
        <v>23.290299999999998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159</v>
      </c>
      <c r="AE71" s="77" t="str">
        <f t="shared" si="11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71" s="74" t="str">
        <f t="shared" si="12"/>
        <v>"C:\Program Files (x86)\AstroGrep\AstroGrep.exe" /e /r /s /spath="%USERPROFILE%\AppData\Local\Temp\OnboardLogs" /stypes="app*4004*20171012*" /stext=" 17:.+((SYSTEM_STATE.+slice.+state.+changed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159-12 --locoid 4004 --swversion DE.1.0.9.0 --startMP 204:407 --initTime 2017-10-12T10:55:01 --startdatetime 2017-10-12T11:01:38 --delay 58 --endMP 204:233310 --enddatetime 2017-10-12T11:37:47 --enforcementcount 0 &gt;&gt;%USERPROFILE%\Documents\GitHub\eaglep3-reporting\EC\2017-10-12-refined-times.txt</v>
      </c>
      <c r="AI71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{"issue":{"subject":"","project_id":79,"tracker_id":40,"status_id":1,"priority_id":2,"assigned_to_id":338,"start_date":"2017-10-12","description":"","custom_fields":[{"id":1,"name":"Subdivision","value":"EC"},{"id":4,"name":"Milepost","value":"23.331"},{"id":17,"name":"Train ID","value":"159-12"},{"id":16,"name":"Locomotive ID","value":"4004"},{"id":130,"name":"Impact","value":""},{"id":150,"name":"Time of Event (Mountain Time)","value":"11:37:47"},{"id":151,"name":"Denver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4004 --day 2017-10-12</v>
      </c>
      <c r="AN71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-10-12T09:55:01-0600',mode:absolute,to:'2017-10-12T12:37:47-0600'))&amp;_a=(columns:!('Message%20ID',Summary),filters:!(),index:'emp_*',interval:auto,query:(query_string:(analyze_wildcard:!t,query:'%22rtdc.l.rtdc.4004%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699</v>
      </c>
      <c r="B72" s="7">
        <v>4003</v>
      </c>
      <c r="C72" s="21" t="s">
        <v>194</v>
      </c>
      <c r="D72" s="21" t="s">
        <v>449</v>
      </c>
      <c r="E72" s="13">
        <v>43020.491863425923</v>
      </c>
      <c r="F72" s="13">
        <v>43020.498182870368</v>
      </c>
      <c r="G72" s="7">
        <v>49</v>
      </c>
      <c r="H72" s="21" t="s">
        <v>336</v>
      </c>
      <c r="I72" s="13">
        <v>43020.524108796293</v>
      </c>
      <c r="J72" s="7">
        <v>0</v>
      </c>
      <c r="K72" s="89" t="str">
        <f t="shared" si="0"/>
        <v>4003/4004</v>
      </c>
      <c r="L72" s="185" t="str">
        <f>VLOOKUP(A72,'Trips&amp;Operators'!$C$1:$G$99911,5,FALSE)</f>
        <v>YANG JAN</v>
      </c>
      <c r="M72" s="6">
        <f t="shared" si="1"/>
        <v>2.5925925925548654E-2</v>
      </c>
      <c r="N72" s="7">
        <f t="shared" si="24"/>
        <v>37.333333332790062</v>
      </c>
      <c r="O72" s="7"/>
      <c r="P72" s="7"/>
      <c r="Q72" s="22"/>
      <c r="R72" s="174"/>
      <c r="S72" s="199">
        <f t="shared" si="25"/>
        <v>1</v>
      </c>
      <c r="T72" s="174" t="str">
        <f t="shared" si="4"/>
        <v>Southbound</v>
      </c>
      <c r="U72" s="22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25" t="str">
        <f t="shared" si="5"/>
        <v>https://d0f6bd738d7f1b3e5a7ca70fe4ff75f0.us-east-1.aws.found.io/app/kibana#/discover/Steve-Slow-Train-Analysis-(2080s-and-2083s)?_g=(refreshInterval:(display:Off,pause:!f,section:0,value:0),time:(from:'2017-10-12T10:48:17-0600',mode:absolute,to:'2017-10-12T13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2" s="226" t="str">
        <f>IF(AA72&lt;VLOOKUP(AG72,Variables!$AC$3:$AD$8,2,FALSE),"Y","N")</f>
        <v>N</v>
      </c>
      <c r="X72" s="226">
        <f t="shared" si="6"/>
        <v>1</v>
      </c>
      <c r="Y72" s="226">
        <f t="shared" si="26"/>
        <v>23.299399999999999</v>
      </c>
      <c r="Z72" s="226">
        <f t="shared" si="27"/>
        <v>1.49E-2</v>
      </c>
      <c r="AA72" s="226">
        <f t="shared" si="9"/>
        <v>23.284499999999998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160</v>
      </c>
      <c r="AE72" s="77" t="str">
        <f t="shared" si="11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72" s="74" t="str">
        <f t="shared" si="12"/>
        <v>"C:\Program Files (x86)\AstroGrep\AstroGrep.exe" /e /r /s /spath="%USERPROFILE%\AppData\Local\Temp\OnboardLogs" /stypes="app*4003*20171012*"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160-12 --locoid 4003 --swversion DE.1.0.9.0 --startMP 204:232994 --initTime 2017-10-12T11:48:17 --startdatetime 2017-10-12T11:57:23 --delay 49 --endMP 204:149 --enddatetime 2017-10-12T12:34:43 --enforcementcount 0 &gt;&gt;%USERPROFILE%\Documents\GitHub\eaglep3-reporting\EC\2017-10-12-refined-times.txt</v>
      </c>
      <c r="AI72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{"issue":{"subject":"","project_id":79,"tracker_id":40,"status_id":1,"priority_id":2,"assigned_to_id":338,"start_date":"2017-10-12","description":"","custom_fields":[{"id":1,"name":"Subdivision","value":"EC"},{"id":4,"name":"Milepost","value":"0.0149"},{"id":17,"name":"Train ID","value":"160-12"},{"id":16,"name":"Locomotive ID","value":"4003"},{"id":130,"name":"Impact","value":""},{"id":150,"name":"Time of Event (Mountain Time)","value":"12:34:43"},{"id":151,"name":"Denver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4003 --day 2017-10-12</v>
      </c>
      <c r="AN72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-10-12T10:48:17-0600',mode:absolute,to:'2017-10-12T13:34:43-0600'))&amp;_a=(columns:!('Message%20ID',Summary),filters:!(),index:'emp_*',interval:auto,query:(query_string:(analyze_wildcard:!t,query:'%22rtdc.l.rtdc.4003%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693</v>
      </c>
      <c r="B73" s="7">
        <v>4026</v>
      </c>
      <c r="C73" s="21" t="s">
        <v>194</v>
      </c>
      <c r="D73" s="21" t="s">
        <v>354</v>
      </c>
      <c r="E73" s="13">
        <v>43020.465914351851</v>
      </c>
      <c r="F73" s="13">
        <v>43020.469942129632</v>
      </c>
      <c r="G73" s="7">
        <v>93</v>
      </c>
      <c r="H73" s="21" t="s">
        <v>482</v>
      </c>
      <c r="I73" s="13">
        <v>43020.494247685187</v>
      </c>
      <c r="J73" s="7">
        <v>0</v>
      </c>
      <c r="K73" s="89" t="str">
        <f t="shared" si="0"/>
        <v>4025/4026</v>
      </c>
      <c r="L73" s="185" t="str">
        <f>VLOOKUP(A73,'Trips&amp;Operators'!$C$1:$G$99911,5,FALSE)</f>
        <v>BRUDER RICHARD</v>
      </c>
      <c r="M73" s="6">
        <f t="shared" si="1"/>
        <v>2.4305555554747116E-2</v>
      </c>
      <c r="N73" s="7">
        <f t="shared" si="24"/>
        <v>34.999999998835847</v>
      </c>
      <c r="O73" s="7"/>
      <c r="P73" s="7"/>
      <c r="Q73" s="22"/>
      <c r="R73" s="174"/>
      <c r="S73" s="199">
        <f t="shared" si="25"/>
        <v>1</v>
      </c>
      <c r="T73" s="174" t="str">
        <f t="shared" si="4"/>
        <v>NorthBound</v>
      </c>
      <c r="U73" s="22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25" t="str">
        <f t="shared" si="5"/>
        <v>https://d0f6bd738d7f1b3e5a7ca70fe4ff75f0.us-east-1.aws.found.io/app/kibana#/discover/Steve-Slow-Train-Analysis-(2080s-and-2083s)?_g=(refreshInterval:(display:Off,pause:!f,section:0,value:0),time:(from:'2017-10-12T10:10:55-0600',mode:absolute,to:'2017-10-12T12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226" t="str">
        <f>IF(AA73&lt;VLOOKUP(AG73,Variables!$AC$3:$AD$8,2,FALSE),"Y","N")</f>
        <v>N</v>
      </c>
      <c r="X73" s="226">
        <f t="shared" si="6"/>
        <v>1</v>
      </c>
      <c r="Y73" s="226">
        <f t="shared" si="26"/>
        <v>4.58E-2</v>
      </c>
      <c r="Z73" s="226">
        <f t="shared" si="27"/>
        <v>23.3309</v>
      </c>
      <c r="AA73" s="226">
        <f t="shared" si="9"/>
        <v>23.2851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161</v>
      </c>
      <c r="AE73" s="77" t="str">
        <f t="shared" si="11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73" s="74" t="str">
        <f t="shared" si="12"/>
        <v>"C:\Program Files (x86)\AstroGrep\AstroGrep.exe" /e /r /s /spath="%USERPROFILE%\AppData\Local\Temp\OnboardLogs" /stypes="app*4026*20171012*"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161-12 --locoid 4026 --swversion DE.1.0.9.0 --startMP 204:458 --initTime 2017-10-12T11:10:55 --startdatetime 2017-10-12T11:16:43 --delay 93 --endMP 204:233309 --enddatetime 2017-10-12T11:51:43 --enforcementcount 0 &gt;&gt;%USERPROFILE%\Documents\GitHub\eaglep3-reporting\EC\2017-10-12-refined-times.txt</v>
      </c>
      <c r="AI73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{"issue":{"subject":"","project_id":79,"tracker_id":40,"status_id":1,"priority_id":2,"assigned_to_id":338,"start_date":"2017-10-12","description":"","custom_fields":[{"id":1,"name":"Subdivision","value":"EC"},{"id":4,"name":"Milepost","value":"23.3309"},{"id":17,"name":"Train ID","value":"161-12"},{"id":16,"name":"Locomotive ID","value":"4026"},{"id":130,"name":"Impact","value":""},{"id":150,"name":"Time of Event (Mountain Time)","value":"11:51:43"},{"id":151,"name":"Denver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4026 --day 2017-10-12</v>
      </c>
      <c r="AN73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-10-12T10:10:55-0600',mode:absolute,to:'2017-10-12T12:51:43-0600'))&amp;_a=(columns:!('Message%20ID',Summary),filters:!(),index:'emp_*',interval:auto,query:(query_string:(analyze_wildcard:!t,query:'%22rtdc.l.rtdc.4026%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704</v>
      </c>
      <c r="B74" s="7">
        <v>4025</v>
      </c>
      <c r="C74" s="21" t="s">
        <v>194</v>
      </c>
      <c r="D74" s="21" t="s">
        <v>434</v>
      </c>
      <c r="E74" s="13">
        <v>43020.504374999997</v>
      </c>
      <c r="F74" s="13">
        <v>43020.508611111109</v>
      </c>
      <c r="G74" s="7">
        <v>126</v>
      </c>
      <c r="H74" s="21" t="s">
        <v>339</v>
      </c>
      <c r="I74" s="13">
        <v>43020.535509259258</v>
      </c>
      <c r="J74" s="7">
        <v>0</v>
      </c>
      <c r="K74" s="89" t="str">
        <f t="shared" si="0"/>
        <v>4025/4026</v>
      </c>
      <c r="L74" s="185" t="str">
        <f>VLOOKUP(A74,'Trips&amp;Operators'!$C$1:$G$99911,5,FALSE)</f>
        <v>BRUDER RICHARD</v>
      </c>
      <c r="M74" s="6">
        <f t="shared" si="1"/>
        <v>2.6898148149484769E-2</v>
      </c>
      <c r="N74" s="7">
        <f t="shared" si="24"/>
        <v>38.733333335258067</v>
      </c>
      <c r="O74" s="7"/>
      <c r="P74" s="7"/>
      <c r="Q74" s="22"/>
      <c r="R74" s="174"/>
      <c r="S74" s="199">
        <f t="shared" si="25"/>
        <v>1</v>
      </c>
      <c r="T74" s="174" t="str">
        <f t="shared" si="4"/>
        <v>Southbound</v>
      </c>
      <c r="U74" s="22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25" t="str">
        <f t="shared" si="5"/>
        <v>https://d0f6bd738d7f1b3e5a7ca70fe4ff75f0.us-east-1.aws.found.io/app/kibana#/discover/Steve-Slow-Train-Analysis-(2080s-and-2083s)?_g=(refreshInterval:(display:Off,pause:!f,section:0,value:0),time:(from:'2017-10-12T11:06:18-0600',mode:absolute,to:'2017-10-12T13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226" t="str">
        <f>IF(AA74&lt;VLOOKUP(AG74,Variables!$AC$3:$AD$8,2,FALSE),"Y","N")</f>
        <v>N</v>
      </c>
      <c r="X74" s="226">
        <f t="shared" si="6"/>
        <v>1</v>
      </c>
      <c r="Y74" s="226">
        <f t="shared" si="26"/>
        <v>23.297699999999999</v>
      </c>
      <c r="Z74" s="226">
        <f t="shared" si="27"/>
        <v>1.47E-2</v>
      </c>
      <c r="AA74" s="226">
        <f t="shared" si="9"/>
        <v>23.282999999999998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162</v>
      </c>
      <c r="AE74" s="77" t="str">
        <f t="shared" si="11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74" s="74" t="str">
        <f t="shared" si="12"/>
        <v>"C:\Program Files (x86)\AstroGrep\AstroGrep.exe" /e /r /s /spath="%USERPROFILE%\AppData\Local\Temp\OnboardLogs" /stypes="app*4025*20171012*"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162-12 --locoid 4025 --swversion DE.1.0.9.0 --startMP 204:232977 --initTime 2017-10-12T12:06:18 --startdatetime 2017-10-12T12:12:24 --delay 126 --endMP 204:147 --enddatetime 2017-10-12T12:51:08 --enforcementcount 0 &gt;&gt;%USERPROFILE%\Documents\GitHub\eaglep3-reporting\EC\2017-10-12-refined-times.txt</v>
      </c>
      <c r="AI74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{"issue":{"subject":"","project_id":79,"tracker_id":40,"status_id":1,"priority_id":2,"assigned_to_id":338,"start_date":"2017-10-12","description":"","custom_fields":[{"id":1,"name":"Subdivision","value":"EC"},{"id":4,"name":"Milepost","value":"0.0147"},{"id":17,"name":"Train ID","value":"162-12"},{"id":16,"name":"Locomotive ID","value":"4025"},{"id":130,"name":"Impact","value":""},{"id":150,"name":"Time of Event (Mountain Time)","value":"12:51:08"},{"id":151,"name":"Denver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4025 --day 2017-10-12</v>
      </c>
      <c r="AN74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-10-12T11:06:18-0600',mode:absolute,to:'2017-10-12T13:51:08-0600'))&amp;_a=(columns:!('Message%20ID',Summary),filters:!(),index:'emp_*',interval:auto,query:(query_string:(analyze_wildcard:!t,query:'%22rtdc.l.rtdc.4025%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694</v>
      </c>
      <c r="B75" s="7">
        <v>4064</v>
      </c>
      <c r="C75" s="21" t="s">
        <v>194</v>
      </c>
      <c r="D75" s="21" t="s">
        <v>851</v>
      </c>
      <c r="E75" s="13">
        <v>43020.47552083333</v>
      </c>
      <c r="F75" s="13">
        <v>43020.479375000003</v>
      </c>
      <c r="G75" s="7">
        <v>85</v>
      </c>
      <c r="H75" s="21" t="s">
        <v>852</v>
      </c>
      <c r="I75" s="13">
        <v>43020.504386574074</v>
      </c>
      <c r="J75" s="7">
        <v>0</v>
      </c>
      <c r="K75" s="89" t="str">
        <f t="shared" si="0"/>
        <v>4063/4064</v>
      </c>
      <c r="L75" s="185" t="str">
        <f>VLOOKUP(A75,'Trips&amp;Operators'!$C$1:$G$99911,5,FALSE)</f>
        <v>STEWART MICHAEL</v>
      </c>
      <c r="M75" s="6">
        <f t="shared" si="1"/>
        <v>2.5011574070958886E-2</v>
      </c>
      <c r="N75" s="7">
        <f t="shared" si="24"/>
        <v>36.016666662180796</v>
      </c>
      <c r="O75" s="7"/>
      <c r="P75" s="7"/>
      <c r="Q75" s="22"/>
      <c r="R75" s="174"/>
      <c r="S75" s="199">
        <f t="shared" si="25"/>
        <v>1</v>
      </c>
      <c r="T75" s="174" t="str">
        <f t="shared" si="4"/>
        <v>NorthBound</v>
      </c>
      <c r="U75" s="22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25" t="str">
        <f t="shared" si="5"/>
        <v>https://d0f6bd738d7f1b3e5a7ca70fe4ff75f0.us-east-1.aws.found.io/app/kibana#/discover/Steve-Slow-Train-Analysis-(2080s-and-2083s)?_g=(refreshInterval:(display:Off,pause:!f,section:0,value:0),time:(from:'2017-10-12T10:24:45-0600',mode:absolute,to:'2017-10-12T13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5" s="226" t="str">
        <f>IF(AA75&lt;VLOOKUP(AG75,Variables!$AC$3:$AD$8,2,FALSE),"Y","N")</f>
        <v>N</v>
      </c>
      <c r="X75" s="226">
        <f t="shared" si="6"/>
        <v>1</v>
      </c>
      <c r="Y75" s="226">
        <f t="shared" si="26"/>
        <v>4.3499999999999997E-2</v>
      </c>
      <c r="Z75" s="226">
        <f t="shared" si="27"/>
        <v>23.328099999999999</v>
      </c>
      <c r="AA75" s="226">
        <f t="shared" si="9"/>
        <v>23.284599999999998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163</v>
      </c>
      <c r="AE75" s="77" t="str">
        <f t="shared" si="11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75" s="74" t="str">
        <f t="shared" si="12"/>
        <v>"C:\Program Files (x86)\AstroGrep\AstroGrep.exe" /e /r /s /spath="%USERPROFILE%\AppData\Local\Temp\OnboardLogs" /stypes="app*4064*20171012*"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163-12 --locoid 4064 --swversion DE.1.0.9.0 --startMP 204:435 --initTime 2017-10-12T11:24:45 --startdatetime 2017-10-12T11:30:18 --delay 85 --endMP 204:233281 --enddatetime 2017-10-12T12:06:19 --enforcementcount 0 &gt;&gt;%USERPROFILE%\Documents\GitHub\eaglep3-reporting\EC\2017-10-12-refined-times.txt</v>
      </c>
      <c r="AI75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{"issue":{"subject":"","project_id":79,"tracker_id":40,"status_id":1,"priority_id":2,"assigned_to_id":338,"start_date":"2017-10-12","description":"","custom_fields":[{"id":1,"name":"Subdivision","value":"EC"},{"id":4,"name":"Milepost","value":"23.3281"},{"id":17,"name":"Train ID","value":"163-12"},{"id":16,"name":"Locomotive ID","value":"4064"},{"id":130,"name":"Impact","value":""},{"id":150,"name":"Time of Event (Mountain Time)","value":"12:06:19"},{"id":151,"name":"Denver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4064 --day 2017-10-12</v>
      </c>
      <c r="AN75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-10-12T10:24:45-0600',mode:absolute,to:'2017-10-12T13:06:19-0600'))&amp;_a=(columns:!('Message%20ID',Summary),filters:!(),index:'emp_*',interval:auto,query:(query_string:(analyze_wildcard:!t,query:'%22rtdc.l.rtdc.4064%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706</v>
      </c>
      <c r="B76" s="7">
        <v>4063</v>
      </c>
      <c r="C76" s="21" t="s">
        <v>194</v>
      </c>
      <c r="D76" s="21" t="s">
        <v>445</v>
      </c>
      <c r="E76" s="13">
        <v>43020.513333333336</v>
      </c>
      <c r="F76" s="13">
        <v>43020.518969907411</v>
      </c>
      <c r="G76" s="7">
        <v>91</v>
      </c>
      <c r="H76" s="21" t="s">
        <v>403</v>
      </c>
      <c r="I76" s="13">
        <v>43020.546481481484</v>
      </c>
      <c r="J76" s="7">
        <v>0</v>
      </c>
      <c r="K76" s="89" t="str">
        <f t="shared" si="0"/>
        <v>4063/4064</v>
      </c>
      <c r="L76" s="185" t="str">
        <f>VLOOKUP(A76,'Trips&amp;Operators'!$C$1:$G$99911,5,FALSE)</f>
        <v>STEWART MICHAEL</v>
      </c>
      <c r="M76" s="6">
        <f t="shared" si="1"/>
        <v>2.7511574073287193E-2</v>
      </c>
      <c r="N76" s="7">
        <f t="shared" si="24"/>
        <v>39.616666665533558</v>
      </c>
      <c r="O76" s="7"/>
      <c r="P76" s="7"/>
      <c r="Q76" s="22"/>
      <c r="R76" s="174"/>
      <c r="S76" s="199">
        <f t="shared" si="25"/>
        <v>1</v>
      </c>
      <c r="T76" s="174" t="str">
        <f t="shared" si="4"/>
        <v>Southbound</v>
      </c>
      <c r="U76" s="22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25" t="str">
        <f t="shared" si="5"/>
        <v>https://d0f6bd738d7f1b3e5a7ca70fe4ff75f0.us-east-1.aws.found.io/app/kibana#/discover/Steve-Slow-Train-Analysis-(2080s-and-2083s)?_g=(refreshInterval:(display:Off,pause:!f,section:0,value:0),time:(from:'2017-10-12T11:19:12-0600',mode:absolute,to:'2017-10-12T14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6" s="226" t="str">
        <f>IF(AA76&lt;VLOOKUP(AG76,Variables!$AC$3:$AD$8,2,FALSE),"Y","N")</f>
        <v>N</v>
      </c>
      <c r="X76" s="226">
        <f t="shared" si="6"/>
        <v>1</v>
      </c>
      <c r="Y76" s="226">
        <f t="shared" si="26"/>
        <v>23.2972</v>
      </c>
      <c r="Z76" s="226">
        <f t="shared" si="27"/>
        <v>1.6E-2</v>
      </c>
      <c r="AA76" s="226">
        <f t="shared" si="9"/>
        <v>23.281200000000002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164</v>
      </c>
      <c r="AE76" s="77" t="str">
        <f t="shared" si="11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76" s="74" t="str">
        <f t="shared" si="12"/>
        <v>"C:\Program Files (x86)\AstroGrep\AstroGrep.exe" /e /r /s /spath="%USERPROFILE%\AppData\Local\Temp\OnboardLogs" /stypes="app*4063*20171012*"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164-12 --locoid 4063 --swversion DE.1.0.9.0 --startMP 204:232972 --initTime 2017-10-12T12:19:12 --startdatetime 2017-10-12T12:27:19 --delay 91 --endMP 204:160 --enddatetime 2017-10-12T13:06:56 --enforcementcount 0 &gt;&gt;%USERPROFILE%\Documents\GitHub\eaglep3-reporting\EC\2017-10-12-refined-times.txt</v>
      </c>
      <c r="AI76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{"issue":{"subject":"","project_id":79,"tracker_id":40,"status_id":1,"priority_id":2,"assigned_to_id":338,"start_date":"2017-10-12","description":"","custom_fields":[{"id":1,"name":"Subdivision","value":"EC"},{"id":4,"name":"Milepost","value":"0.016"},{"id":17,"name":"Train ID","value":"164-12"},{"id":16,"name":"Locomotive ID","value":"4063"},{"id":130,"name":"Impact","value":""},{"id":150,"name":"Time of Event (Mountain Time)","value":"13:06:56"},{"id":151,"name":"Denver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4063 --day 2017-10-12</v>
      </c>
      <c r="AN76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-10-12T11:19:12-0600',mode:absolute,to:'2017-10-12T14:06:56-0600'))&amp;_a=(columns:!('Message%20ID',Summary),filters:!(),index:'emp_*',interval:auto,query:(query_string:(analyze_wildcard:!t,query:'%22rtdc.l.rtdc.4063%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698</v>
      </c>
      <c r="B77" s="7">
        <v>4066</v>
      </c>
      <c r="C77" s="21" t="s">
        <v>194</v>
      </c>
      <c r="D77" s="21" t="s">
        <v>540</v>
      </c>
      <c r="E77" s="13">
        <v>43020.487511574072</v>
      </c>
      <c r="F77" s="13">
        <v>43020.489768518521</v>
      </c>
      <c r="G77" s="7">
        <v>110</v>
      </c>
      <c r="H77" s="21" t="s">
        <v>526</v>
      </c>
      <c r="I77" s="13">
        <v>43020.513912037037</v>
      </c>
      <c r="J77" s="7">
        <v>0</v>
      </c>
      <c r="K77" s="89" t="str">
        <f t="shared" ref="K77:K140" si="28">IF(ISEVEN(B77),(B77-1)&amp;"/"&amp;B77,B77&amp;"/"&amp;(B77+1))</f>
        <v>4065/4066</v>
      </c>
      <c r="L77" s="185" t="str">
        <f>VLOOKUP(A77,'Trips&amp;Operators'!$C$1:$G$99911,5,FALSE)</f>
        <v>LEVIN SCOTT</v>
      </c>
      <c r="M77" s="6">
        <f t="shared" ref="M77:M140" si="29">I77-F77</f>
        <v>2.414351851621177E-2</v>
      </c>
      <c r="N77" s="7">
        <f t="shared" ref="N77:N108" si="30">24*60*SUM($M77:$M77)</f>
        <v>34.766666663344949</v>
      </c>
      <c r="O77" s="7"/>
      <c r="P77" s="7"/>
      <c r="Q77" s="22"/>
      <c r="R77" s="174"/>
      <c r="S77" s="199">
        <f t="shared" ref="S77:S108" si="31">1/IF(AG77="EC",12,1)*SUM(U77:U77)</f>
        <v>1</v>
      </c>
      <c r="T77" s="174" t="str">
        <f t="shared" ref="T77:T140" si="32">IF(ISEVEN(LEFT(AD77,4)),"Southbound","NorthBound")</f>
        <v>NorthBound</v>
      </c>
      <c r="U77" s="22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25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-12T10:42:01-0600',mode:absolute,to:'2017-10-12T13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7" s="226" t="str">
        <f>IF(AA77&lt;VLOOKUP(AG77,Variables!$AC$3:$AD$8,2,FALSE),"Y","N")</f>
        <v>N</v>
      </c>
      <c r="X77" s="226">
        <f t="shared" ref="X77:X140" si="34">VALUE(LEFT(AD77,4))-VALUE(LEFT(AD76,4))</f>
        <v>1</v>
      </c>
      <c r="Y77" s="226">
        <f t="shared" ref="Y77:Y108" si="35">RIGHT(D77,LEN(D77)-4)/10000</f>
        <v>4.8000000000000001E-2</v>
      </c>
      <c r="Z77" s="226">
        <f t="shared" ref="Z77:Z108" si="36">RIGHT(H77,LEN(H77)-4)/10000</f>
        <v>23.330100000000002</v>
      </c>
      <c r="AA77" s="226">
        <f t="shared" ref="AA77:AA140" si="37">ABS(Z77-Y77)</f>
        <v>23.282100000000003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38">VALUE(LEFT(A77,LEN(A77)-3))</f>
        <v>165</v>
      </c>
      <c r="AE77" s="77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77" s="7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/stypes="app*4066*20171012*"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41">DetSubdiv(A77)</f>
        <v>EC</v>
      </c>
      <c r="AH77" s="78" t="str">
        <f t="shared" si="19"/>
        <v>"%USERPROFILE%\Documents\GitHub\eaglep3\Utilities\RefineRTDCRunTimes.py" --tripid 165-12 --locoid 4066 --swversion DE.1.0.9.0 --startMP 204:480 --initTime 2017-10-12T11:42:01 --startdatetime 2017-10-12T11:45:16 --delay 110 --endMP 204:233301 --enddatetime 2017-10-12T12:20:02 --enforcementcount 0 &gt;&gt;%USERPROFILE%\Documents\GitHub\eaglep3-reporting\EC\2017-10-12-refined-times.txt</v>
      </c>
      <c r="AI77" s="96" t="str">
        <f t="shared" si="20"/>
        <v>echo {"issue":{"subject":"","project_id":79,"tracker_id":40,"status_id":1,"priority_id":2,"assigned_to_id":338,"start_date":"2017-10-12","description":"","custom_fields":[{"id":1,"name":"Subdivision","value":"EC"},{"id":4,"name":"Milepost","value":"23.3301"},{"id":17,"name":"Train ID","value":"165-12"},{"id":16,"name":"Locomotive ID","value":"4066"},{"id":130,"name":"Impact","value":""},{"id":150,"name":"Time of Event (Mountain Time)","value":"12:20:02"},{"id":151,"name":"Denver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4066 --day 2017-10-12</v>
      </c>
      <c r="AN77" s="151" t="str">
        <f t="shared" si="22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-10-12T10:42:01-0600',mode:absolute,to:'2017-10-12T13:20:02-0600'))&amp;_a=(columns:!('Message%20ID',Summary),filters:!(),index:'emp_*',interval:auto,query:(query_string:(analyze_wildcard:!t,query:'%22rtdc.l.rtdc.4066%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583</v>
      </c>
      <c r="B78" s="7">
        <v>4065</v>
      </c>
      <c r="C78" s="21" t="s">
        <v>194</v>
      </c>
      <c r="D78" s="21" t="s">
        <v>853</v>
      </c>
      <c r="E78" s="13">
        <v>43020.522604166668</v>
      </c>
      <c r="F78" s="13">
        <v>43020.529351851852</v>
      </c>
      <c r="G78" s="7">
        <v>68</v>
      </c>
      <c r="H78" s="21" t="s">
        <v>339</v>
      </c>
      <c r="I78" s="13">
        <v>43020.55678240741</v>
      </c>
      <c r="J78" s="7">
        <v>0</v>
      </c>
      <c r="K78" s="89" t="str">
        <f t="shared" si="28"/>
        <v>4065/4066</v>
      </c>
      <c r="L78" s="185" t="str">
        <f>VLOOKUP(A78,'Trips&amp;Operators'!$C$1:$G$99911,5,FALSE)</f>
        <v>LEVIN SCOTT</v>
      </c>
      <c r="M78" s="6">
        <f t="shared" si="29"/>
        <v>2.7430555557657499E-2</v>
      </c>
      <c r="N78" s="7">
        <f t="shared" si="30"/>
        <v>39.500000003026798</v>
      </c>
      <c r="O78" s="7"/>
      <c r="P78" s="7"/>
      <c r="Q78" s="22"/>
      <c r="R78" s="174"/>
      <c r="S78" s="199">
        <f t="shared" si="31"/>
        <v>1</v>
      </c>
      <c r="T78" s="174" t="str">
        <f t="shared" si="32"/>
        <v>Southbound</v>
      </c>
      <c r="U78" s="22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25" t="str">
        <f t="shared" si="33"/>
        <v>https://d0f6bd738d7f1b3e5a7ca70fe4ff75f0.us-east-1.aws.found.io/app/kibana#/discover/Steve-Slow-Train-Analysis-(2080s-and-2083s)?_g=(refreshInterval:(display:Off,pause:!f,section:0,value:0),time:(from:'2017-10-12T11:32:33-0600',mode:absolute,to:'2017-10-12T14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8" s="226" t="str">
        <f>IF(AA78&lt;VLOOKUP(AG78,Variables!$AC$3:$AD$8,2,FALSE),"Y","N")</f>
        <v>N</v>
      </c>
      <c r="X78" s="226">
        <f t="shared" si="34"/>
        <v>1</v>
      </c>
      <c r="Y78" s="226">
        <f t="shared" si="35"/>
        <v>23.303999999999998</v>
      </c>
      <c r="Z78" s="226">
        <f t="shared" si="36"/>
        <v>1.47E-2</v>
      </c>
      <c r="AA78" s="226">
        <f t="shared" si="37"/>
        <v>23.289299999999997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8"/>
        <v>166</v>
      </c>
      <c r="AE78" s="77" t="str">
        <f t="shared" si="39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78" s="74" t="str">
        <f t="shared" si="40"/>
        <v>"C:\Program Files (x86)\AstroGrep\AstroGrep.exe" /e /r /s /spath="%USERPROFILE%\AppData\Local\Temp\OnboardLogs" /stypes="app*4065*20171012*" /stext=" 19:.+((SYSTEM_STATE.+slice.+state.+changed )|(ment ac)|(multiple cpu faults)|(system.+state.+changed )|(\[timeout)|(PRM\|1\|D)|(kpr)|(kdp)|(train st.+moving)|(\|lc)|(penalty))"</v>
      </c>
      <c r="AG78" s="182" t="str">
        <f t="shared" si="41"/>
        <v>EC</v>
      </c>
      <c r="AH78" s="78" t="str">
        <f t="shared" ref="AH78:AH142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166-12 --locoid 4065 --swversion DE.1.0.9.0 --startMP 204:233040 --initTime 2017-10-12T12:32:33 --startdatetime 2017-10-12T12:42:16 --delay 68 --endMP 204:147 --enddatetime 2017-10-12T13:21:46 --enforcementcount 0 &gt;&gt;%USERPROFILE%\Documents\GitHub\eaglep3-reporting\EC\2017-10-12-refined-times.txt</v>
      </c>
      <c r="AI78" s="96" t="str">
        <f t="shared" ref="AI78:AI142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{"issue":{"subject":"","project_id":79,"tracker_id":40,"status_id":1,"priority_id":2,"assigned_to_id":338,"start_date":"2017-10-12","description":"","custom_fields":[{"id":1,"name":"Subdivision","value":"EC"},{"id":4,"name":"Milepost","value":"0.0147"},{"id":17,"name":"Train ID","value":"166-12"},{"id":16,"name":"Locomotive ID","value":"4065"},{"id":130,"name":"Impact","value":""},{"id":150,"name":"Time of Event (Mountain Time)","value":"13:21:46"},{"id":151,"name":"Denver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2" si="44">"start /low /b "&amp;dls3logs&amp;" --loco "&amp;B78&amp;" --day "&amp;TEXT(F78,"YYYY-MM-DD")</f>
        <v>start /low /b %USERPROFILE%\Documents\GitHub\eaglep3\Utilities\DownloadLogsFromS3.py --loco 4065 --day 2017-10-12</v>
      </c>
      <c r="AN78" s="151" t="str">
        <f t="shared" ref="AN78:AN142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2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-12T11:32:33-0600',mode:absolute,to:'2017-10-12T14:21:46-0600'))&amp;_a=(columns:!('Message%20ID',Summary),filters:!(),index:'emp_*',interval:auto,query:(query_string:(analyze_wildcard:!t,query:'%22rtdc.l.rtdc.4065%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700</v>
      </c>
      <c r="B79" s="7">
        <v>4002</v>
      </c>
      <c r="C79" s="21" t="s">
        <v>194</v>
      </c>
      <c r="D79" s="21" t="s">
        <v>354</v>
      </c>
      <c r="E79" s="13">
        <v>43020.497349537036</v>
      </c>
      <c r="F79" s="13">
        <v>43020.500532407408</v>
      </c>
      <c r="G79" s="7">
        <v>102</v>
      </c>
      <c r="H79" s="21" t="s">
        <v>845</v>
      </c>
      <c r="I79" s="13">
        <v>43020.525069444448</v>
      </c>
      <c r="J79" s="7">
        <v>0</v>
      </c>
      <c r="K79" s="89" t="str">
        <f t="shared" si="28"/>
        <v>4001/4002</v>
      </c>
      <c r="L79" s="185" t="str">
        <f>VLOOKUP(A79,'Trips&amp;Operators'!$C$1:$G$99911,5,FALSE)</f>
        <v>ROBINSON KADDIBA</v>
      </c>
      <c r="M79" s="6">
        <f t="shared" si="29"/>
        <v>2.453703703940846E-2</v>
      </c>
      <c r="N79" s="7">
        <f t="shared" si="30"/>
        <v>35.333333336748183</v>
      </c>
      <c r="O79" s="7"/>
      <c r="P79" s="7"/>
      <c r="Q79" s="22"/>
      <c r="R79" s="174"/>
      <c r="S79" s="199">
        <f t="shared" si="31"/>
        <v>1</v>
      </c>
      <c r="T79" s="174" t="str">
        <f t="shared" si="32"/>
        <v>NorthBound</v>
      </c>
      <c r="U79" s="22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25" t="str">
        <f t="shared" si="33"/>
        <v>https://d0f6bd738d7f1b3e5a7ca70fe4ff75f0.us-east-1.aws.found.io/app/kibana#/discover/Steve-Slow-Train-Analysis-(2080s-and-2083s)?_g=(refreshInterval:(display:Off,pause:!f,section:0,value:0),time:(from:'2017-10-12T10:56:11-0600',mode:absolute,to:'2017-10-12T13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226" t="str">
        <f>IF(AA79&lt;VLOOKUP(AG79,Variables!$AC$3:$AD$8,2,FALSE),"Y","N")</f>
        <v>N</v>
      </c>
      <c r="X79" s="226">
        <f t="shared" si="34"/>
        <v>1</v>
      </c>
      <c r="Y79" s="226">
        <f t="shared" si="35"/>
        <v>4.58E-2</v>
      </c>
      <c r="Z79" s="226">
        <f t="shared" si="36"/>
        <v>23.328700000000001</v>
      </c>
      <c r="AA79" s="226">
        <f t="shared" si="37"/>
        <v>23.282900000000001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8"/>
        <v>167</v>
      </c>
      <c r="AE79" s="77" t="str">
        <f t="shared" si="39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79" s="74" t="str">
        <f t="shared" si="40"/>
        <v>"C:\Program Files (x86)\AstroGrep\AstroGrep.exe" /e /r /s /spath="%USERPROFILE%\AppData\Local\Temp\OnboardLogs" /stypes="app*4002*20171012*" /stext=" 18:.+((SYSTEM_STATE.+slice.+state.+changed )|(ment ac)|(multiple cpu faults)|(system.+state.+changed )|(\[timeout)|(PRM\|1\|D)|(kpr)|(kdp)|(train st.+moving)|(\|lc)|(penalty))"</v>
      </c>
      <c r="AG79" s="182" t="str">
        <f t="shared" si="41"/>
        <v>EC</v>
      </c>
      <c r="AH79" s="78" t="str">
        <f t="shared" si="42"/>
        <v>"%USERPROFILE%\Documents\GitHub\eaglep3\Utilities\RefineRTDCRunTimes.py" --tripid 167-12 --locoid 4002 --swversion DE.1.0.9.0 --startMP 204:458 --initTime 2017-10-12T11:56:11 --startdatetime 2017-10-12T12:00:46 --delay 102 --endMP 204:233287 --enddatetime 2017-10-12T12:36:06 --enforcementcount 0 &gt;&gt;%USERPROFILE%\Documents\GitHub\eaglep3-reporting\EC\2017-10-12-refined-times.txt</v>
      </c>
      <c r="AI79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{"issue":{"subject":"","project_id":79,"tracker_id":40,"status_id":1,"priority_id":2,"assigned_to_id":338,"start_date":"2017-10-12","description":"","custom_fields":[{"id":1,"name":"Subdivision","value":"EC"},{"id":4,"name":"Milepost","value":"23.3287"},{"id":17,"name":"Train ID","value":"167-12"},{"id":16,"name":"Locomotive ID","value":"4002"},{"id":130,"name":"Impact","value":""},{"id":150,"name":"Time of Event (Mountain Time)","value":"12:36:06"},{"id":151,"name":"Denver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4"/>
        <v>start /low /b %USERPROFILE%\Documents\GitHub\eaglep3\Utilities\DownloadLogsFromS3.py --loco 4002 --day 2017-10-12</v>
      </c>
      <c r="AN79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6"/>
        <v>https://d0f6bd738d7f1b3e5a7ca70fe4ff75f0.us-east-1.aws.found.io/app/kibana#/discover/Steve-Slow-Train-Analysis-(2080s-and-2083s)?_g=(refreshInterval:(display:Off,pause:!f,section:0,value:0),time:(from:'2017-10-12T10:56:11-0600',mode:absolute,to:'2017-10-12T13:36:06-0600'))&amp;_a=(columns:!('Message%20ID',Summary),filters:!(),index:'emp_*',interval:auto,query:(query_string:(analyze_wildcard:!t,query:'%22rtdc.l.rtdc.4002%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710</v>
      </c>
      <c r="B80" s="7">
        <v>4001</v>
      </c>
      <c r="C80" s="21" t="s">
        <v>194</v>
      </c>
      <c r="D80" s="21" t="s">
        <v>445</v>
      </c>
      <c r="E80" s="13">
        <v>43020.536643518521</v>
      </c>
      <c r="F80" s="13">
        <v>43020.539780092593</v>
      </c>
      <c r="G80" s="7">
        <v>97</v>
      </c>
      <c r="H80" s="21" t="s">
        <v>528</v>
      </c>
      <c r="I80" s="13">
        <v>43020.566631944443</v>
      </c>
      <c r="J80" s="7">
        <v>0</v>
      </c>
      <c r="K80" s="89" t="str">
        <f t="shared" si="28"/>
        <v>4001/4002</v>
      </c>
      <c r="L80" s="185" t="str">
        <f>VLOOKUP(A80,'Trips&amp;Operators'!$C$1:$G$99911,5,FALSE)</f>
        <v>ROBINSON KADDIBA</v>
      </c>
      <c r="M80" s="6">
        <f t="shared" si="29"/>
        <v>2.6851851849642117E-2</v>
      </c>
      <c r="N80" s="7">
        <f t="shared" si="30"/>
        <v>38.666666663484648</v>
      </c>
      <c r="O80" s="7"/>
      <c r="P80" s="7"/>
      <c r="Q80" s="22"/>
      <c r="R80" s="174"/>
      <c r="S80" s="199">
        <f t="shared" si="31"/>
        <v>1</v>
      </c>
      <c r="T80" s="174" t="str">
        <f t="shared" si="32"/>
        <v>Southbound</v>
      </c>
      <c r="U80" s="22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25" t="str">
        <f t="shared" si="33"/>
        <v>https://d0f6bd738d7f1b3e5a7ca70fe4ff75f0.us-east-1.aws.found.io/app/kibana#/discover/Steve-Slow-Train-Analysis-(2080s-and-2083s)?_g=(refreshInterval:(display:Off,pause:!f,section:0,value:0),time:(from:'2017-10-12T11:52:46-0600',mode:absolute,to:'2017-10-12T14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226" t="str">
        <f>IF(AA80&lt;VLOOKUP(AG80,Variables!$AC$3:$AD$8,2,FALSE),"Y","N")</f>
        <v>N</v>
      </c>
      <c r="X80" s="226">
        <f t="shared" si="34"/>
        <v>1</v>
      </c>
      <c r="Y80" s="226">
        <f t="shared" si="35"/>
        <v>23.2972</v>
      </c>
      <c r="Z80" s="226">
        <f t="shared" si="36"/>
        <v>1.38E-2</v>
      </c>
      <c r="AA80" s="226">
        <f t="shared" si="37"/>
        <v>23.2834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8"/>
        <v>168</v>
      </c>
      <c r="AE80" s="77" t="str">
        <f t="shared" si="39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80" s="74" t="str">
        <f t="shared" si="40"/>
        <v>"C:\Program Files (x86)\AstroGrep\AstroGrep.exe" /e /r /s /spath="%USERPROFILE%\AppData\Local\Temp\OnboardLogs" /stypes="app*4001*20171012*" /stext=" 19:.+((SYSTEM_STATE.+slice.+state.+changed )|(ment ac)|(multiple cpu faults)|(system.+state.+changed )|(\[timeout)|(PRM\|1\|D)|(kpr)|(kdp)|(train st.+moving)|(\|lc)|(penalty))"</v>
      </c>
      <c r="AG80" s="182" t="str">
        <f t="shared" si="41"/>
        <v>EC</v>
      </c>
      <c r="AH80" s="78" t="str">
        <f t="shared" si="42"/>
        <v>"%USERPROFILE%\Documents\GitHub\eaglep3\Utilities\RefineRTDCRunTimes.py" --tripid 168-12 --locoid 4001 --swversion DE.1.0.9.0 --startMP 204:232972 --initTime 2017-10-12T12:52:46 --startdatetime 2017-10-12T12:57:17 --delay 97 --endMP 204:138 --enddatetime 2017-10-12T13:35:57 --enforcementcount 0 &gt;&gt;%USERPROFILE%\Documents\GitHub\eaglep3-reporting\EC\2017-10-12-refined-times.txt</v>
      </c>
      <c r="AI80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{"issue":{"subject":"","project_id":79,"tracker_id":40,"status_id":1,"priority_id":2,"assigned_to_id":338,"start_date":"2017-10-12","description":"","custom_fields":[{"id":1,"name":"Subdivision","value":"EC"},{"id":4,"name":"Milepost","value":"0.0138"},{"id":17,"name":"Train ID","value":"168-12"},{"id":16,"name":"Locomotive ID","value":"4001"},{"id":130,"name":"Impact","value":""},{"id":150,"name":"Time of Event (Mountain Time)","value":"13:35:57"},{"id":151,"name":"Denver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4"/>
        <v>start /low /b %USERPROFILE%\Documents\GitHub\eaglep3\Utilities\DownloadLogsFromS3.py --loco 4001 --day 2017-10-12</v>
      </c>
      <c r="AN80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6"/>
        <v>https://d0f6bd738d7f1b3e5a7ca70fe4ff75f0.us-east-1.aws.found.io/app/kibana#/discover/Steve-Slow-Train-Analysis-(2080s-and-2083s)?_g=(refreshInterval:(display:Off,pause:!f,section:0,value:0),time:(from:'2017-10-12T11:52:46-0600',mode:absolute,to:'2017-10-12T14:35:57-0600'))&amp;_a=(columns:!('Message%20ID',Summary),filters:!(),index:'emp_*',interval:auto,query:(query_string:(analyze_wildcard:!t,query:'%22rtdc.l.rtdc.4001%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705</v>
      </c>
      <c r="B81" s="7">
        <v>4054</v>
      </c>
      <c r="C81" s="21" t="s">
        <v>194</v>
      </c>
      <c r="D81" s="21" t="s">
        <v>376</v>
      </c>
      <c r="E81" s="13">
        <v>43020.506724537037</v>
      </c>
      <c r="F81" s="13">
        <v>43020.510613425926</v>
      </c>
      <c r="G81" s="7">
        <v>137</v>
      </c>
      <c r="H81" s="21" t="s">
        <v>854</v>
      </c>
      <c r="I81" s="13">
        <v>43020.535474537035</v>
      </c>
      <c r="J81" s="7">
        <v>0</v>
      </c>
      <c r="K81" s="89" t="str">
        <f t="shared" si="28"/>
        <v>4053/4054</v>
      </c>
      <c r="L81" s="185" t="str">
        <f>VLOOKUP(A81,'Trips&amp;Operators'!$C$1:$G$99911,5,FALSE)</f>
        <v>LEVERE CRAIG</v>
      </c>
      <c r="M81" s="6">
        <f t="shared" si="29"/>
        <v>2.4861111109203193E-2</v>
      </c>
      <c r="N81" s="7">
        <f t="shared" si="30"/>
        <v>35.799999997252598</v>
      </c>
      <c r="O81" s="7"/>
      <c r="P81" s="7"/>
      <c r="Q81" s="22"/>
      <c r="R81" s="174"/>
      <c r="S81" s="199">
        <f t="shared" si="31"/>
        <v>1</v>
      </c>
      <c r="T81" s="174" t="str">
        <f t="shared" si="32"/>
        <v>NorthBound</v>
      </c>
      <c r="U81" s="22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25" t="str">
        <f t="shared" si="33"/>
        <v>https://d0f6bd738d7f1b3e5a7ca70fe4ff75f0.us-east-1.aws.found.io/app/kibana#/discover/Steve-Slow-Train-Analysis-(2080s-and-2083s)?_g=(refreshInterval:(display:Off,pause:!f,section:0,value:0),time:(from:'2017-10-12T11:09:41-0600',mode:absolute,to:'2017-10-12T13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1" s="226" t="str">
        <f>IF(AA81&lt;VLOOKUP(AG81,Variables!$AC$3:$AD$8,2,FALSE),"Y","N")</f>
        <v>N</v>
      </c>
      <c r="X81" s="226">
        <f t="shared" si="34"/>
        <v>1</v>
      </c>
      <c r="Y81" s="226">
        <f t="shared" si="35"/>
        <v>4.4699999999999997E-2</v>
      </c>
      <c r="Z81" s="226">
        <f t="shared" si="36"/>
        <v>23.3264</v>
      </c>
      <c r="AA81" s="226">
        <f t="shared" si="37"/>
        <v>23.281700000000001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8"/>
        <v>169</v>
      </c>
      <c r="AE81" s="77" t="str">
        <f t="shared" si="39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81" s="74" t="str">
        <f t="shared" si="40"/>
        <v>"C:\Program Files (x86)\AstroGrep\AstroGrep.exe" /e /r /s /spath="%USERPROFILE%\AppData\Local\Temp\OnboardLogs" /stypes="app*4054*20171012*" /stext=" 18:.+((SYSTEM_STATE.+slice.+state.+changed )|(ment ac)|(multiple cpu faults)|(system.+state.+changed )|(\[timeout)|(PRM\|1\|D)|(kpr)|(kdp)|(train st.+moving)|(\|lc)|(penalty))"</v>
      </c>
      <c r="AG81" s="182" t="str">
        <f t="shared" si="41"/>
        <v>EC</v>
      </c>
      <c r="AH81" s="78" t="str">
        <f t="shared" si="42"/>
        <v>"%USERPROFILE%\Documents\GitHub\eaglep3\Utilities\RefineRTDCRunTimes.py" --tripid 169-12 --locoid 4054 --swversion DE.1.0.9.0 --startMP 204:447 --initTime 2017-10-12T12:09:41 --startdatetime 2017-10-12T12:15:17 --delay 137 --endMP 204:233264 --enddatetime 2017-10-12T12:51:05 --enforcementcount 0 &gt;&gt;%USERPROFILE%\Documents\GitHub\eaglep3-reporting\EC\2017-10-12-refined-times.txt</v>
      </c>
      <c r="AI81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{"issue":{"subject":"","project_id":79,"tracker_id":40,"status_id":1,"priority_id":2,"assigned_to_id":338,"start_date":"2017-10-12","description":"","custom_fields":[{"id":1,"name":"Subdivision","value":"EC"},{"id":4,"name":"Milepost","value":"23.3264"},{"id":17,"name":"Train ID","value":"169-12"},{"id":16,"name":"Locomotive ID","value":"4054"},{"id":130,"name":"Impact","value":""},{"id":150,"name":"Time of Event (Mountain Time)","value":"12:51:05"},{"id":151,"name":"Denver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4"/>
        <v>start /low /b %USERPROFILE%\Documents\GitHub\eaglep3\Utilities\DownloadLogsFromS3.py --loco 4054 --day 2017-10-12</v>
      </c>
      <c r="AN81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6"/>
        <v>https://d0f6bd738d7f1b3e5a7ca70fe4ff75f0.us-east-1.aws.found.io/app/kibana#/discover/Steve-Slow-Train-Analysis-(2080s-and-2083s)?_g=(refreshInterval:(display:Off,pause:!f,section:0,value:0),time:(from:'2017-10-12T11:09:41-0600',mode:absolute,to:'2017-10-12T13:51:05-0600'))&amp;_a=(columns:!('Message%20ID',Summary),filters:!(),index:'emp_*',interval:auto,query:(query_string:(analyze_wildcard:!t,query:'%22rtdc.l.rtdc.4054%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715</v>
      </c>
      <c r="B82" s="7">
        <v>4053</v>
      </c>
      <c r="C82" s="21" t="s">
        <v>194</v>
      </c>
      <c r="D82" s="21" t="s">
        <v>844</v>
      </c>
      <c r="E82" s="13">
        <v>43020.542534722219</v>
      </c>
      <c r="F82" s="13">
        <v>43020.550208333334</v>
      </c>
      <c r="G82" s="7">
        <v>82</v>
      </c>
      <c r="H82" s="21" t="s">
        <v>356</v>
      </c>
      <c r="I82" s="13">
        <v>43020.577488425923</v>
      </c>
      <c r="J82" s="7">
        <v>0</v>
      </c>
      <c r="K82" s="89" t="str">
        <f t="shared" si="28"/>
        <v>4053/4054</v>
      </c>
      <c r="L82" s="185" t="str">
        <f>VLOOKUP(A82,'Trips&amp;Operators'!$C$1:$G$99911,5,FALSE)</f>
        <v>LEVERE CRAIG</v>
      </c>
      <c r="M82" s="6">
        <f t="shared" si="29"/>
        <v>2.7280092588625848E-2</v>
      </c>
      <c r="N82" s="7">
        <f t="shared" si="30"/>
        <v>39.283333327621222</v>
      </c>
      <c r="O82" s="7"/>
      <c r="P82" s="7"/>
      <c r="Q82" s="22"/>
      <c r="R82" s="174"/>
      <c r="S82" s="199">
        <f t="shared" si="31"/>
        <v>1</v>
      </c>
      <c r="T82" s="174" t="str">
        <f t="shared" si="32"/>
        <v>Southbound</v>
      </c>
      <c r="U82" s="22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25" t="str">
        <f t="shared" si="33"/>
        <v>https://d0f6bd738d7f1b3e5a7ca70fe4ff75f0.us-east-1.aws.found.io/app/kibana#/discover/Steve-Slow-Train-Analysis-(2080s-and-2083s)?_g=(refreshInterval:(display:Off,pause:!f,section:0,value:0),time:(from:'2017-10-12T12:01:15-0600',mode:absolute,to:'2017-10-12T14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2" s="226" t="str">
        <f>IF(AA82&lt;VLOOKUP(AG82,Variables!$AC$3:$AD$8,2,FALSE),"Y","N")</f>
        <v>N</v>
      </c>
      <c r="X82" s="226">
        <f t="shared" si="34"/>
        <v>1</v>
      </c>
      <c r="Y82" s="226">
        <f t="shared" si="35"/>
        <v>23.2973</v>
      </c>
      <c r="Z82" s="226">
        <f t="shared" si="36"/>
        <v>1.4500000000000001E-2</v>
      </c>
      <c r="AA82" s="226">
        <f t="shared" si="37"/>
        <v>23.282799999999998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8"/>
        <v>170</v>
      </c>
      <c r="AE82" s="77" t="str">
        <f t="shared" si="39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82" s="74" t="str">
        <f t="shared" si="40"/>
        <v>"C:\Program Files (x86)\AstroGrep\AstroGrep.exe" /e /r /s /spath="%USERPROFILE%\AppData\Local\Temp\OnboardLogs" /stypes="app*4053*20171012*" /stext=" 19:.+((SYSTEM_STATE.+slice.+state.+changed )|(ment ac)|(multiple cpu faults)|(system.+state.+changed )|(\[timeout)|(PRM\|1\|D)|(kpr)|(kdp)|(train st.+moving)|(\|lc)|(penalty))"</v>
      </c>
      <c r="AG82" s="182" t="str">
        <f t="shared" si="41"/>
        <v>EC</v>
      </c>
      <c r="AH82" s="78" t="str">
        <f t="shared" si="42"/>
        <v>"%USERPROFILE%\Documents\GitHub\eaglep3\Utilities\RefineRTDCRunTimes.py" --tripid 170-12 --locoid 4053 --swversion DE.1.0.9.0 --startMP 204:232973 --initTime 2017-10-12T13:01:15 --startdatetime 2017-10-12T13:12:18 --delay 82 --endMP 204:145 --enddatetime 2017-10-12T13:51:35 --enforcementcount 0 &gt;&gt;%USERPROFILE%\Documents\GitHub\eaglep3-reporting\EC\2017-10-12-refined-times.txt</v>
      </c>
      <c r="AI82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ID","value":"170-12"},{"id":16,"name":"Locomotive ID","value":"4053"},{"id":130,"name":"Impact","value":""},{"id":150,"name":"Time of Event (Mountain Time)","value":"13:51:35"},{"id":151,"name":"Denver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4"/>
        <v>start /low /b %USERPROFILE%\Documents\GitHub\eaglep3\Utilities\DownloadLogsFromS3.py --loco 4053 --day 2017-10-12</v>
      </c>
      <c r="AN82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6"/>
        <v>https://d0f6bd738d7f1b3e5a7ca70fe4ff75f0.us-east-1.aws.found.io/app/kibana#/discover/Steve-Slow-Train-Analysis-(2080s-and-2083s)?_g=(refreshInterval:(display:Off,pause:!f,section:0,value:0),time:(from:'2017-10-12T12:01:15-0600',mode:absolute,to:'2017-10-12T14:51:35-0600'))&amp;_a=(columns:!('Message%20ID',Summary),filters:!(),index:'emp_*',interval:auto,query:(query_string:(analyze_wildcard:!t,query:'%22rtdc.l.rtdc.4053%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582</v>
      </c>
      <c r="B83" s="7">
        <v>4052</v>
      </c>
      <c r="C83" s="21" t="s">
        <v>194</v>
      </c>
      <c r="D83" s="21" t="s">
        <v>334</v>
      </c>
      <c r="E83" s="13">
        <v>43020.516886574071</v>
      </c>
      <c r="F83" s="13">
        <v>43020.52107638889</v>
      </c>
      <c r="G83" s="7">
        <v>56</v>
      </c>
      <c r="H83" s="21" t="s">
        <v>371</v>
      </c>
      <c r="I83" s="13">
        <v>43020.5465625</v>
      </c>
      <c r="J83" s="7">
        <v>0</v>
      </c>
      <c r="K83" s="89" t="str">
        <f t="shared" si="28"/>
        <v>4051/4052</v>
      </c>
      <c r="L83" s="185" t="str">
        <f>VLOOKUP(A83,'Trips&amp;Operators'!$C$1:$G$99911,5,FALSE)</f>
        <v>BADERTSCHER DIANE</v>
      </c>
      <c r="M83" s="6">
        <f t="shared" si="29"/>
        <v>2.548611110978527E-2</v>
      </c>
      <c r="N83" s="7">
        <f t="shared" si="30"/>
        <v>36.699999998090789</v>
      </c>
      <c r="O83" s="7"/>
      <c r="P83" s="7"/>
      <c r="Q83" s="22"/>
      <c r="R83" s="174"/>
      <c r="S83" s="199">
        <f t="shared" si="31"/>
        <v>1</v>
      </c>
      <c r="T83" s="174" t="str">
        <f t="shared" si="32"/>
        <v>NorthBound</v>
      </c>
      <c r="U83" s="22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25" t="str">
        <f t="shared" si="33"/>
        <v>https://d0f6bd738d7f1b3e5a7ca70fe4ff75f0.us-east-1.aws.found.io/app/kibana#/discover/Steve-Slow-Train-Analysis-(2080s-and-2083s)?_g=(refreshInterval:(display:Off,pause:!f,section:0,value:0),time:(from:'2017-10-12T11:24:19-0600',mode:absolute,to:'2017-10-12T14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3" s="226" t="str">
        <f>IF(AA83&lt;VLOOKUP(AG83,Variables!$AC$3:$AD$8,2,FALSE),"Y","N")</f>
        <v>N</v>
      </c>
      <c r="X83" s="226">
        <f t="shared" si="34"/>
        <v>1</v>
      </c>
      <c r="Y83" s="226">
        <f t="shared" si="35"/>
        <v>4.4600000000000001E-2</v>
      </c>
      <c r="Z83" s="226">
        <f t="shared" si="36"/>
        <v>23.331199999999999</v>
      </c>
      <c r="AA83" s="226">
        <f t="shared" si="37"/>
        <v>23.2866</v>
      </c>
      <c r="AB83" s="54" t="str">
        <f>VLOOKUP(A83,Enforcements!$C$7:$K$11,8,0)</f>
        <v>Bulletin (2)</v>
      </c>
      <c r="AC83" s="51" t="str">
        <f>VLOOKUP(A83,Enforcements!$C$7:$E$11,3,0)</f>
        <v>GRADE CROSSING</v>
      </c>
      <c r="AD83" s="179">
        <f t="shared" si="38"/>
        <v>171</v>
      </c>
      <c r="AE83" s="77" t="str">
        <f t="shared" si="39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83" s="74" t="str">
        <f t="shared" si="40"/>
        <v>"C:\Program Files (x86)\AstroGrep\AstroGrep.exe" /e /r /s /spath="%USERPROFILE%\AppData\Local\Temp\OnboardLogs" /stypes="app*4052*20171012*" /stext=" 19:.+((SYSTEM_STATE.+slice.+state.+changed )|(ment ac)|(multiple cpu faults)|(system.+state.+changed )|(\[timeout)|(PRM\|1\|D)|(kpr)|(kdp)|(train st.+moving)|(\|lc)|(penalty))"</v>
      </c>
      <c r="AG83" s="182" t="str">
        <f t="shared" si="41"/>
        <v>EC</v>
      </c>
      <c r="AH83" s="78" t="str">
        <f t="shared" si="42"/>
        <v>"%USERPROFILE%\Documents\GitHub\eaglep3\Utilities\RefineRTDCRunTimes.py" --tripid 171-12 --locoid 4052 --swversion DE.1.0.9.0 --startMP 204:446 --initTime 2017-10-12T12:24:19 --startdatetime 2017-10-12T12:30:21 --delay 56 --endMP 204:233312 --enddatetime 2017-10-12T13:07:03 --enforcementcount 0 &gt;&gt;%USERPROFILE%\Documents\GitHub\eaglep3-reporting\EC\2017-10-12-refined-times.txt</v>
      </c>
      <c r="AI83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{"issue":{"subject":"","project_id":79,"tracker_id":40,"status_id":1,"priority_id":2,"assigned_to_id":338,"start_date":"2017-10-12","description":"","custom_fields":[{"id":1,"name":"Subdivision","value":"EC"},{"id":4,"name":"Milepost","value":"23.3312"},{"id":17,"name":"Train ID","value":"171-12"},{"id":16,"name":"Locomotive ID","value":"4052"},{"id":130,"name":"Impact","value":""},{"id":150,"name":"Time of Event (Mountain Time)","value":"13:07:03"},{"id":151,"name":"Denver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4"/>
        <v>start /low /b %USERPROFILE%\Documents\GitHub\eaglep3\Utilities\DownloadLogsFromS3.py --loco 4052 --day 2017-10-12</v>
      </c>
      <c r="AN83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6"/>
        <v>https://d0f6bd738d7f1b3e5a7ca70fe4ff75f0.us-east-1.aws.found.io/app/kibana#/discover/Steve-Slow-Train-Analysis-(2080s-and-2083s)?_g=(refreshInterval:(display:Off,pause:!f,section:0,value:0),time:(from:'2017-10-12T11:24:19-0600',mode:absolute,to:'2017-10-12T14:07:03-0600'))&amp;_a=(columns:!('Message%20ID',Summary),filters:!(),index:'emp_*',interval:auto,query:(query_string:(analyze_wildcard:!t,query:'%22rtdc.l.rtdc.4052%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584</v>
      </c>
      <c r="B84" s="7">
        <v>4051</v>
      </c>
      <c r="C84" s="21" t="s">
        <v>194</v>
      </c>
      <c r="D84" s="21" t="s">
        <v>479</v>
      </c>
      <c r="E84" s="13">
        <v>43020.553020833337</v>
      </c>
      <c r="F84" s="13">
        <v>43020.560636574075</v>
      </c>
      <c r="G84" s="7">
        <v>60</v>
      </c>
      <c r="H84" s="21" t="s">
        <v>367</v>
      </c>
      <c r="I84" s="13">
        <v>43020.587673611109</v>
      </c>
      <c r="J84" s="7">
        <v>0</v>
      </c>
      <c r="K84" s="89" t="str">
        <f t="shared" si="28"/>
        <v>4051/4052</v>
      </c>
      <c r="L84" s="185" t="str">
        <f>VLOOKUP(A84,'Trips&amp;Operators'!$C$1:$G$99911,5,FALSE)</f>
        <v>BADERTSCHER DIANE</v>
      </c>
      <c r="M84" s="6">
        <f t="shared" si="29"/>
        <v>2.7037037034460809E-2</v>
      </c>
      <c r="N84" s="7">
        <f t="shared" si="30"/>
        <v>38.933333329623565</v>
      </c>
      <c r="O84" s="7"/>
      <c r="P84" s="7"/>
      <c r="Q84" s="22"/>
      <c r="R84" s="174"/>
      <c r="S84" s="199">
        <f t="shared" si="31"/>
        <v>1</v>
      </c>
      <c r="T84" s="174" t="str">
        <f t="shared" si="32"/>
        <v>Southbound</v>
      </c>
      <c r="U84" s="22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25" t="str">
        <f t="shared" si="33"/>
        <v>https://d0f6bd738d7f1b3e5a7ca70fe4ff75f0.us-east-1.aws.found.io/app/kibana#/discover/Steve-Slow-Train-Analysis-(2080s-and-2083s)?_g=(refreshInterval:(display:Off,pause:!f,section:0,value:0),time:(from:'2017-10-12T12:16:21-0600',mode:absolute,to:'2017-10-12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4" s="226" t="str">
        <f>IF(AA84&lt;VLOOKUP(AG84,Variables!$AC$3:$AD$8,2,FALSE),"Y","N")</f>
        <v>N</v>
      </c>
      <c r="X84" s="226">
        <f t="shared" si="34"/>
        <v>1</v>
      </c>
      <c r="Y84" s="226">
        <f t="shared" si="35"/>
        <v>23.2989</v>
      </c>
      <c r="Z84" s="226">
        <f t="shared" si="36"/>
        <v>1.3899999999999999E-2</v>
      </c>
      <c r="AA84" s="226">
        <f t="shared" si="37"/>
        <v>23.285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8"/>
        <v>172</v>
      </c>
      <c r="AE84" s="77" t="str">
        <f t="shared" si="39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84" s="74" t="str">
        <f t="shared" si="40"/>
        <v>"C:\Program Files (x86)\AstroGrep\AstroGrep.exe" /e /r /s /spath="%USERPROFILE%\AppData\Local\Temp\OnboardLogs" /stypes="app*4051*20171012*" /stext=" 20:.+((SYSTEM_STATE.+slice.+state.+changed )|(ment ac)|(multiple cpu faults)|(system.+state.+changed )|(\[timeout)|(PRM\|1\|D)|(kpr)|(kdp)|(train st.+moving)|(\|lc)|(penalty))"</v>
      </c>
      <c r="AG84" s="182" t="str">
        <f t="shared" si="41"/>
        <v>EC</v>
      </c>
      <c r="AH84" s="78" t="str">
        <f t="shared" si="42"/>
        <v>"%USERPROFILE%\Documents\GitHub\eaglep3\Utilities\RefineRTDCRunTimes.py" --tripid 172-12 --locoid 4051 --swversion DE.1.0.9.0 --startMP 204:232989 --initTime 2017-10-12T13:16:21 --startdatetime 2017-10-12T13:27:19 --delay 60 --endMP 204:139 --enddatetime 2017-10-12T14:06:15 --enforcementcount 0 &gt;&gt;%USERPROFILE%\Documents\GitHub\eaglep3-reporting\EC\2017-10-12-refined-times.txt</v>
      </c>
      <c r="AI84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{"issue":{"subject":"","project_id":79,"tracker_id":40,"status_id":1,"priority_id":2,"assigned_to_id":338,"start_date":"2017-10-12","description":"","custom_fields":[{"id":1,"name":"Subdivision","value":"EC"},{"id":4,"name":"Milepost","value":"0.0139"},{"id":17,"name":"Train ID","value":"172-12"},{"id":16,"name":"Locomotive ID","value":"4051"},{"id":130,"name":"Impact","value":""},{"id":150,"name":"Time of Event (Mountain Time)","value":"14:06:15"},{"id":151,"name":"Denver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4"/>
        <v>start /low /b %USERPROFILE%\Documents\GitHub\eaglep3\Utilities\DownloadLogsFromS3.py --loco 4051 --day 2017-10-12</v>
      </c>
      <c r="AN84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6"/>
        <v>https://d0f6bd738d7f1b3e5a7ca70fe4ff75f0.us-east-1.aws.found.io/app/kibana#/discover/Steve-Slow-Train-Analysis-(2080s-and-2083s)?_g=(refreshInterval:(display:Off,pause:!f,section:0,value:0),time:(from:'2017-10-12T12:16:21-0600',mode:absolute,to:'2017-10-12T15:06:15-0600'))&amp;_a=(columns:!('Message%20ID',Summary),filters:!(),index:'emp_*',interval:auto,query:(query_string:(analyze_wildcard:!t,query:'%22rtdc.l.rtdc.4051%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708</v>
      </c>
      <c r="B85" s="7">
        <v>4004</v>
      </c>
      <c r="C85" s="21" t="s">
        <v>194</v>
      </c>
      <c r="D85" s="21" t="s">
        <v>391</v>
      </c>
      <c r="E85" s="13">
        <v>43020.52579861111</v>
      </c>
      <c r="F85" s="13">
        <v>43020.531435185185</v>
      </c>
      <c r="G85" s="7">
        <v>81</v>
      </c>
      <c r="H85" s="21" t="s">
        <v>526</v>
      </c>
      <c r="I85" s="13">
        <v>43020.555983796294</v>
      </c>
      <c r="J85" s="7">
        <v>0</v>
      </c>
      <c r="K85" s="89" t="str">
        <f t="shared" si="28"/>
        <v>4003/4004</v>
      </c>
      <c r="L85" s="185" t="str">
        <f>VLOOKUP(A85,'Trips&amp;Operators'!$C$1:$G$99911,5,FALSE)</f>
        <v>KILLION DAVID</v>
      </c>
      <c r="M85" s="6">
        <f t="shared" si="29"/>
        <v>2.4548611108912155E-2</v>
      </c>
      <c r="N85" s="7">
        <f t="shared" si="30"/>
        <v>35.349999996833503</v>
      </c>
      <c r="O85" s="7"/>
      <c r="P85" s="7"/>
      <c r="Q85" s="22"/>
      <c r="R85" s="174"/>
      <c r="S85" s="199">
        <f t="shared" si="31"/>
        <v>1</v>
      </c>
      <c r="T85" s="174" t="str">
        <f t="shared" si="32"/>
        <v>NorthBound</v>
      </c>
      <c r="U85" s="22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25" t="str">
        <f t="shared" si="33"/>
        <v>https://d0f6bd738d7f1b3e5a7ca70fe4ff75f0.us-east-1.aws.found.io/app/kibana#/discover/Steve-Slow-Train-Analysis-(2080s-and-2083s)?_g=(refreshInterval:(display:Off,pause:!f,section:0,value:0),time:(from:'2017-10-12T11:37:09-0600',mode:absolute,to:'2017-10-12T14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5" s="226" t="str">
        <f>IF(AA85&lt;VLOOKUP(AG85,Variables!$AC$3:$AD$8,2,FALSE),"Y","N")</f>
        <v>N</v>
      </c>
      <c r="X85" s="226">
        <f t="shared" si="34"/>
        <v>1</v>
      </c>
      <c r="Y85" s="226">
        <f t="shared" si="35"/>
        <v>4.6699999999999998E-2</v>
      </c>
      <c r="Z85" s="226">
        <f t="shared" si="36"/>
        <v>23.330100000000002</v>
      </c>
      <c r="AA85" s="226">
        <f t="shared" si="37"/>
        <v>23.2834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8"/>
        <v>173</v>
      </c>
      <c r="AE85" s="77" t="str">
        <f t="shared" si="39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85" s="74" t="str">
        <f t="shared" si="40"/>
        <v>"C:\Program Files (x86)\AstroGrep\AstroGrep.exe" /e /r /s /spath="%USERPROFILE%\AppData\Local\Temp\OnboardLogs" /stypes="app*4004*20171012*" /stext=" 19:.+((SYSTEM_STATE.+slice.+state.+changed )|(ment ac)|(multiple cpu faults)|(system.+state.+changed )|(\[timeout)|(PRM\|1\|D)|(kpr)|(kdp)|(train st.+moving)|(\|lc)|(penalty))"</v>
      </c>
      <c r="AG85" s="182" t="str">
        <f t="shared" si="41"/>
        <v>EC</v>
      </c>
      <c r="AH85" s="78" t="str">
        <f t="shared" si="42"/>
        <v>"%USERPROFILE%\Documents\GitHub\eaglep3\Utilities\RefineRTDCRunTimes.py" --tripid 173-12 --locoid 4004 --swversion DE.1.0.9.0 --startMP 204:467 --initTime 2017-10-12T12:37:09 --startdatetime 2017-10-12T12:45:16 --delay 81 --endMP 204:233301 --enddatetime 2017-10-12T13:20:37 --enforcementcount 0 &gt;&gt;%USERPROFILE%\Documents\GitHub\eaglep3-reporting\EC\2017-10-12-refined-times.txt</v>
      </c>
      <c r="AI85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{"issue":{"subject":"","project_id":79,"tracker_id":40,"status_id":1,"priority_id":2,"assigned_to_id":338,"start_date":"2017-10-12","description":"","custom_fields":[{"id":1,"name":"Subdivision","value":"EC"},{"id":4,"name":"Milepost","value":"23.3301"},{"id":17,"name":"Train ID","value":"173-12"},{"id":16,"name":"Locomotive ID","value":"4004"},{"id":130,"name":"Impact","value":""},{"id":150,"name":"Time of Event (Mountain Time)","value":"13:20:37"},{"id":151,"name":"Denver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4"/>
        <v>start /low /b %USERPROFILE%\Documents\GitHub\eaglep3\Utilities\DownloadLogsFromS3.py --loco 4004 --day 2017-10-12</v>
      </c>
      <c r="AN85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6"/>
        <v>https://d0f6bd738d7f1b3e5a7ca70fe4ff75f0.us-east-1.aws.found.io/app/kibana#/discover/Steve-Slow-Train-Analysis-(2080s-and-2083s)?_g=(refreshInterval:(display:Off,pause:!f,section:0,value:0),time:(from:'2017-10-12T11:37:09-0600',mode:absolute,to:'2017-10-12T14:20:37-0600'))&amp;_a=(columns:!('Message%20ID',Summary),filters:!(),index:'emp_*',interval:auto,query:(query_string:(analyze_wildcard:!t,query:'%22rtdc.l.rtdc.4004%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586</v>
      </c>
      <c r="B86" s="7">
        <v>4003</v>
      </c>
      <c r="C86" s="21" t="s">
        <v>194</v>
      </c>
      <c r="D86" s="21" t="s">
        <v>434</v>
      </c>
      <c r="E86" s="13">
        <v>43020.561481481483</v>
      </c>
      <c r="F86" s="13">
        <v>43020.57099537037</v>
      </c>
      <c r="G86" s="7">
        <v>70</v>
      </c>
      <c r="H86" s="21" t="s">
        <v>356</v>
      </c>
      <c r="I86" s="13">
        <v>43020.593969907408</v>
      </c>
      <c r="J86" s="7">
        <v>0</v>
      </c>
      <c r="K86" s="89" t="str">
        <f t="shared" si="28"/>
        <v>4003/4004</v>
      </c>
      <c r="L86" s="185" t="str">
        <f>VLOOKUP(A86,'Trips&amp;Operators'!$C$1:$G$99911,5,FALSE)</f>
        <v>KILLION DAVID</v>
      </c>
      <c r="M86" s="6">
        <f t="shared" si="29"/>
        <v>2.2974537037953269E-2</v>
      </c>
      <c r="N86" s="7">
        <f t="shared" si="30"/>
        <v>33.083333334652707</v>
      </c>
      <c r="O86" s="7"/>
      <c r="P86" s="7"/>
      <c r="Q86" s="22"/>
      <c r="R86" s="174"/>
      <c r="S86" s="199">
        <f t="shared" si="31"/>
        <v>1</v>
      </c>
      <c r="T86" s="174" t="str">
        <f t="shared" si="32"/>
        <v>Southbound</v>
      </c>
      <c r="U86" s="22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25" t="str">
        <f t="shared" si="33"/>
        <v>https://d0f6bd738d7f1b3e5a7ca70fe4ff75f0.us-east-1.aws.found.io/app/kibana#/discover/Steve-Slow-Train-Analysis-(2080s-and-2083s)?_g=(refreshInterval:(display:Off,pause:!f,section:0,value:0),time:(from:'2017-10-12T12:28:32-0600',mode:absolute,to:'2017-10-12T15:15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6" s="226" t="str">
        <f>IF(AA86&lt;VLOOKUP(AG86,Variables!$AC$3:$AD$8,2,FALSE),"Y","N")</f>
        <v>N</v>
      </c>
      <c r="X86" s="226">
        <f t="shared" si="34"/>
        <v>1</v>
      </c>
      <c r="Y86" s="226">
        <f t="shared" si="35"/>
        <v>23.297699999999999</v>
      </c>
      <c r="Z86" s="226">
        <f t="shared" si="36"/>
        <v>1.4500000000000001E-2</v>
      </c>
      <c r="AA86" s="226">
        <f t="shared" si="37"/>
        <v>23.283199999999997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8"/>
        <v>174</v>
      </c>
      <c r="AE86" s="77" t="str">
        <f t="shared" si="39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86" s="74" t="str">
        <f t="shared" si="40"/>
        <v>"C:\Program Files (x86)\AstroGrep\AstroGrep.exe" /e /r /s /spath="%USERPROFILE%\AppData\Local\Temp\OnboardLogs" /stypes="app*4003*20171012*" /stext=" 20:.+((SYSTEM_STATE.+slice.+state.+changed )|(ment ac)|(multiple cpu faults)|(system.+state.+changed )|(\[timeout)|(PRM\|1\|D)|(kpr)|(kdp)|(train st.+moving)|(\|lc)|(penalty))"</v>
      </c>
      <c r="AG86" s="182" t="str">
        <f t="shared" si="41"/>
        <v>EC</v>
      </c>
      <c r="AH86" s="78" t="str">
        <f t="shared" si="42"/>
        <v>"%USERPROFILE%\Documents\GitHub\eaglep3\Utilities\RefineRTDCRunTimes.py" --tripid 174-12 --locoid 4003 --swversion DE.1.0.9.0 --startMP 204:232977 --initTime 2017-10-12T13:28:32 --startdatetime 2017-10-12T13:42:14 --delay 70 --endMP 204:145 --enddatetime 2017-10-12T14:15:19 --enforcementcount 0 &gt;&gt;%USERPROFILE%\Documents\GitHub\eaglep3-reporting\EC\2017-10-12-refined-times.txt</v>
      </c>
      <c r="AI86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ID","value":"174-12"},{"id":16,"name":"Locomotive ID","value":"4003"},{"id":130,"name":"Impact","value":""},{"id":150,"name":"Time of Event (Mountain Time)","value":"14:15:19"},{"id":151,"name":"Denver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4"/>
        <v>start /low /b %USERPROFILE%\Documents\GitHub\eaglep3\Utilities\DownloadLogsFromS3.py --loco 4003 --day 2017-10-12</v>
      </c>
      <c r="AN86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20:15:19"},{"id":29,"name":"Sharepoint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6"/>
        <v>https://d0f6bd738d7f1b3e5a7ca70fe4ff75f0.us-east-1.aws.found.io/app/kibana#/discover/Steve-Slow-Train-Analysis-(2080s-and-2083s)?_g=(refreshInterval:(display:Off,pause:!f,section:0,value:0),time:(from:'2017-10-12T12:28:32-0600',mode:absolute,to:'2017-10-12T15:15:19-0600'))&amp;_a=(columns:!('Message%20ID',Summary),filters:!(),index:'emp_*',interval:auto,query:(query_string:(analyze_wildcard:!t,query:'%22rtdc.l.rtdc.4003%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711</v>
      </c>
      <c r="B87" s="7">
        <v>4026</v>
      </c>
      <c r="C87" s="21" t="s">
        <v>194</v>
      </c>
      <c r="D87" s="21" t="s">
        <v>363</v>
      </c>
      <c r="E87" s="13">
        <v>43020.537800925929</v>
      </c>
      <c r="F87" s="13">
        <v>43020.541817129626</v>
      </c>
      <c r="G87" s="7">
        <v>89</v>
      </c>
      <c r="H87" s="21" t="s">
        <v>401</v>
      </c>
      <c r="I87" s="13">
        <v>43020.566400462965</v>
      </c>
      <c r="J87" s="7">
        <v>0</v>
      </c>
      <c r="K87" s="89" t="str">
        <f t="shared" si="28"/>
        <v>4025/4026</v>
      </c>
      <c r="L87" s="185" t="str">
        <f>VLOOKUP(A87,'Trips&amp;Operators'!$C$1:$G$99911,5,FALSE)</f>
        <v>BRUDER RICHARD</v>
      </c>
      <c r="M87" s="6">
        <f t="shared" si="29"/>
        <v>2.4583333339251112E-2</v>
      </c>
      <c r="N87" s="7">
        <f t="shared" si="30"/>
        <v>35.400000008521602</v>
      </c>
      <c r="O87" s="7"/>
      <c r="P87" s="7"/>
      <c r="Q87" s="22"/>
      <c r="R87" s="174"/>
      <c r="S87" s="199">
        <f t="shared" si="31"/>
        <v>1</v>
      </c>
      <c r="T87" s="174" t="str">
        <f t="shared" si="32"/>
        <v>NorthBound</v>
      </c>
      <c r="U87" s="22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25" t="str">
        <f t="shared" si="33"/>
        <v>https://d0f6bd738d7f1b3e5a7ca70fe4ff75f0.us-east-1.aws.found.io/app/kibana#/discover/Steve-Slow-Train-Analysis-(2080s-and-2083s)?_g=(refreshInterval:(display:Off,pause:!f,section:0,value:0),time:(from:'2017-10-12T11:54:26-0600',mode:absolute,to:'2017-10-12T14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26" t="str">
        <f>IF(AA87&lt;VLOOKUP(AG87,Variables!$AC$3:$AD$8,2,FALSE),"Y","N")</f>
        <v>N</v>
      </c>
      <c r="X87" s="226">
        <f t="shared" si="34"/>
        <v>1</v>
      </c>
      <c r="Y87" s="226">
        <f t="shared" si="35"/>
        <v>4.5999999999999999E-2</v>
      </c>
      <c r="Z87" s="226">
        <f t="shared" si="36"/>
        <v>23.330200000000001</v>
      </c>
      <c r="AA87" s="226">
        <f t="shared" si="37"/>
        <v>23.284200000000002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8"/>
        <v>175</v>
      </c>
      <c r="AE87" s="77" t="str">
        <f t="shared" si="39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87" s="74" t="str">
        <f t="shared" si="40"/>
        <v>"C:\Program Files (x86)\AstroGrep\AstroGrep.exe" /e /r /s /spath="%USERPROFILE%\AppData\Local\Temp\OnboardLogs" /stypes="app*4026*20171012*" /stext=" 19:.+((SYSTEM_STATE.+slice.+state.+changed )|(ment ac)|(multiple cpu faults)|(system.+state.+changed )|(\[timeout)|(PRM\|1\|D)|(kpr)|(kdp)|(train st.+moving)|(\|lc)|(penalty))"</v>
      </c>
      <c r="AG87" s="182" t="str">
        <f t="shared" si="41"/>
        <v>EC</v>
      </c>
      <c r="AH87" s="78" t="str">
        <f t="shared" si="42"/>
        <v>"%USERPROFILE%\Documents\GitHub\eaglep3\Utilities\RefineRTDCRunTimes.py" --tripid 175-12 --locoid 4026 --swversion DE.1.0.9.0 --startMP 204:460 --initTime 2017-10-12T12:54:26 --startdatetime 2017-10-12T13:00:13 --delay 89 --endMP 204:233302 --enddatetime 2017-10-12T13:35:37 --enforcementcount 0 &gt;&gt;%USERPROFILE%\Documents\GitHub\eaglep3-reporting\EC\2017-10-12-refined-times.txt</v>
      </c>
      <c r="AI87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{"issue":{"subject":"","project_id":79,"tracker_id":40,"status_id":1,"priority_id":2,"assigned_to_id":338,"start_date":"2017-10-12","description":"","custom_fields":[{"id":1,"name":"Subdivision","value":"EC"},{"id":4,"name":"Milepost","value":"23.3302"},{"id":17,"name":"Train ID","value":"175-12"},{"id":16,"name":"Locomotive ID","value":"4026"},{"id":130,"name":"Impact","value":""},{"id":150,"name":"Time of Event (Mountain Time)","value":"13:35:37"},{"id":151,"name":"Denver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4"/>
        <v>start /low /b %USERPROFILE%\Documents\GitHub\eaglep3\Utilities\DownloadLogsFromS3.py --loco 4026 --day 2017-10-12</v>
      </c>
      <c r="AN87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6"/>
        <v>https://d0f6bd738d7f1b3e5a7ca70fe4ff75f0.us-east-1.aws.found.io/app/kibana#/discover/Steve-Slow-Train-Analysis-(2080s-and-2083s)?_g=(refreshInterval:(display:Off,pause:!f,section:0,value:0),time:(from:'2017-10-12T11:54:26-0600',mode:absolute,to:'2017-10-12T14:35:37-0600'))&amp;_a=(columns:!('Message%20ID',Summary),filters:!(),index:'emp_*',interval:auto,query:(query_string:(analyze_wildcard:!t,query:'%22rtdc.l.rtdc.4026%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720</v>
      </c>
      <c r="B88" s="7">
        <v>4025</v>
      </c>
      <c r="C88" s="21" t="s">
        <v>194</v>
      </c>
      <c r="D88" s="21" t="s">
        <v>484</v>
      </c>
      <c r="E88" s="13">
        <v>43020.578263888892</v>
      </c>
      <c r="F88" s="13">
        <v>43020.581423611111</v>
      </c>
      <c r="G88" s="7">
        <v>55</v>
      </c>
      <c r="H88" s="21" t="s">
        <v>374</v>
      </c>
      <c r="I88" s="13">
        <v>43020.607118055559</v>
      </c>
      <c r="J88" s="7">
        <v>0</v>
      </c>
      <c r="K88" s="89" t="str">
        <f t="shared" si="28"/>
        <v>4025/4026</v>
      </c>
      <c r="L88" s="185" t="str">
        <f>VLOOKUP(A88,'Trips&amp;Operators'!$C$1:$G$99911,5,FALSE)</f>
        <v>BRUDER RICHARD</v>
      </c>
      <c r="M88" s="6">
        <f t="shared" si="29"/>
        <v>2.5694444448163267E-2</v>
      </c>
      <c r="N88" s="7">
        <f t="shared" si="30"/>
        <v>37.000000005355105</v>
      </c>
      <c r="O88" s="7"/>
      <c r="P88" s="7"/>
      <c r="Q88" s="22"/>
      <c r="R88" s="174"/>
      <c r="S88" s="199">
        <f t="shared" si="31"/>
        <v>1</v>
      </c>
      <c r="T88" s="174" t="str">
        <f t="shared" si="32"/>
        <v>Southbound</v>
      </c>
      <c r="U88" s="22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25" t="str">
        <f t="shared" si="33"/>
        <v>https://d0f6bd738d7f1b3e5a7ca70fe4ff75f0.us-east-1.aws.found.io/app/kibana#/discover/Steve-Slow-Train-Analysis-(2080s-and-2083s)?_g=(refreshInterval:(display:Off,pause:!f,section:0,value:0),time:(from:'2017-10-12T12:52:42-0600',mode:absolute,to:'2017-10-12T15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26" t="str">
        <f>IF(AA88&lt;VLOOKUP(AG88,Variables!$AC$3:$AD$8,2,FALSE),"Y","N")</f>
        <v>N</v>
      </c>
      <c r="X88" s="226">
        <f t="shared" si="34"/>
        <v>1</v>
      </c>
      <c r="Y88" s="226">
        <f t="shared" si="35"/>
        <v>23.2987</v>
      </c>
      <c r="Z88" s="226">
        <f t="shared" si="36"/>
        <v>1.54E-2</v>
      </c>
      <c r="AA88" s="226">
        <f t="shared" si="37"/>
        <v>23.283300000000001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8"/>
        <v>176</v>
      </c>
      <c r="AE88" s="77" t="str">
        <f t="shared" si="39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88" s="74" t="str">
        <f t="shared" si="40"/>
        <v>"C:\Program Files (x86)\AstroGrep\AstroGrep.exe" /e /r /s /spath="%USERPROFILE%\AppData\Local\Temp\OnboardLogs" /stypes="app*4025*20171012*" /stext=" 20:.+((SYSTEM_STATE.+slice.+state.+changed )|(ment ac)|(multiple cpu faults)|(system.+state.+changed )|(\[timeout)|(PRM\|1\|D)|(kpr)|(kdp)|(train st.+moving)|(\|lc)|(penalty))"</v>
      </c>
      <c r="AG88" s="182" t="str">
        <f t="shared" si="41"/>
        <v>EC</v>
      </c>
      <c r="AH88" s="78" t="str">
        <f t="shared" si="42"/>
        <v>"%USERPROFILE%\Documents\GitHub\eaglep3\Utilities\RefineRTDCRunTimes.py" --tripid 176-12 --locoid 4025 --swversion DE.1.0.9.0 --startMP 204:232987 --initTime 2017-10-12T13:52:42 --startdatetime 2017-10-12T13:57:15 --delay 55 --endMP 204:154 --enddatetime 2017-10-12T14:34:15 --enforcementcount 0 &gt;&gt;%USERPROFILE%\Documents\GitHub\eaglep3-reporting\EC\2017-10-12-refined-times.txt</v>
      </c>
      <c r="AI88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ID","value":"176-12"},{"id":16,"name":"Locomotive ID","value":"4025"},{"id":130,"name":"Impact","value":""},{"id":150,"name":"Time of Event (Mountain Time)","value":"14:34:15"},{"id":151,"name":"Denver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4"/>
        <v>start /low /b %USERPROFILE%\Documents\GitHub\eaglep3\Utilities\DownloadLogsFromS3.py --loco 4025 --day 2017-10-12</v>
      </c>
      <c r="AN88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6"/>
        <v>https://d0f6bd738d7f1b3e5a7ca70fe4ff75f0.us-east-1.aws.found.io/app/kibana#/discover/Steve-Slow-Train-Analysis-(2080s-and-2083s)?_g=(refreshInterval:(display:Off,pause:!f,section:0,value:0),time:(from:'2017-10-12T12:52:42-0600',mode:absolute,to:'2017-10-12T15:34:15-0600'))&amp;_a=(columns:!('Message%20ID',Summary),filters:!(),index:'emp_*',interval:auto,query:(query_string:(analyze_wildcard:!t,query:'%22rtdc.l.rtdc.4025%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716</v>
      </c>
      <c r="B89" s="7">
        <v>4064</v>
      </c>
      <c r="C89" s="21" t="s">
        <v>194</v>
      </c>
      <c r="D89" s="21" t="s">
        <v>370</v>
      </c>
      <c r="E89" s="13">
        <v>43020.548692129632</v>
      </c>
      <c r="F89" s="13">
        <v>43020.55232638889</v>
      </c>
      <c r="G89" s="7">
        <v>66</v>
      </c>
      <c r="H89" s="21" t="s">
        <v>529</v>
      </c>
      <c r="I89" s="13">
        <v>43020.577511574076</v>
      </c>
      <c r="J89" s="7">
        <v>0</v>
      </c>
      <c r="K89" s="89" t="str">
        <f t="shared" si="28"/>
        <v>4063/4064</v>
      </c>
      <c r="L89" s="185" t="str">
        <f>VLOOKUP(A89,'Trips&amp;Operators'!$C$1:$G$99911,5,FALSE)</f>
        <v>STEWART MICHAEL</v>
      </c>
      <c r="M89" s="6">
        <f t="shared" si="29"/>
        <v>2.5185185186273884E-2</v>
      </c>
      <c r="N89" s="7">
        <f t="shared" si="30"/>
        <v>36.266666668234393</v>
      </c>
      <c r="O89" s="7"/>
      <c r="P89" s="7"/>
      <c r="Q89" s="22"/>
      <c r="R89" s="174"/>
      <c r="S89" s="199">
        <f t="shared" si="31"/>
        <v>1</v>
      </c>
      <c r="T89" s="174" t="str">
        <f t="shared" si="32"/>
        <v>NorthBound</v>
      </c>
      <c r="U89" s="22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25" t="str">
        <f t="shared" si="33"/>
        <v>https://d0f6bd738d7f1b3e5a7ca70fe4ff75f0.us-east-1.aws.found.io/app/kibana#/discover/Steve-Slow-Train-Analysis-(2080s-and-2083s)?_g=(refreshInterval:(display:Off,pause:!f,section:0,value:0),time:(from:'2017-10-12T12:10:07-0600',mode:absolute,to:'2017-10-12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9" s="226" t="str">
        <f>IF(AA89&lt;VLOOKUP(AG89,Variables!$AC$3:$AD$8,2,FALSE),"Y","N")</f>
        <v>N</v>
      </c>
      <c r="X89" s="226">
        <f t="shared" si="34"/>
        <v>1</v>
      </c>
      <c r="Y89" s="226">
        <f t="shared" si="35"/>
        <v>4.5100000000000001E-2</v>
      </c>
      <c r="Z89" s="226">
        <f t="shared" si="36"/>
        <v>23.3293</v>
      </c>
      <c r="AA89" s="226">
        <f t="shared" si="37"/>
        <v>23.284199999999998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8"/>
        <v>177</v>
      </c>
      <c r="AE89" s="77" t="str">
        <f t="shared" si="39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89" s="74" t="str">
        <f t="shared" si="40"/>
        <v>"C:\Program Files (x86)\AstroGrep\AstroGrep.exe" /e /r /s /spath="%USERPROFILE%\AppData\Local\Temp\OnboardLogs" /stypes="app*4064*20171012*" /stext=" 19:.+((SYSTEM_STATE.+slice.+state.+changed )|(ment ac)|(multiple cpu faults)|(system.+state.+changed )|(\[timeout)|(PRM\|1\|D)|(kpr)|(kdp)|(train st.+moving)|(\|lc)|(penalty))"</v>
      </c>
      <c r="AG89" s="182" t="str">
        <f t="shared" si="41"/>
        <v>EC</v>
      </c>
      <c r="AH89" s="78" t="str">
        <f t="shared" si="42"/>
        <v>"%USERPROFILE%\Documents\GitHub\eaglep3\Utilities\RefineRTDCRunTimes.py" --tripid 177-12 --locoid 4064 --swversion DE.1.0.9.0 --startMP 204:451 --initTime 2017-10-12T13:10:07 --startdatetime 2017-10-12T13:15:21 --delay 66 --endMP 204:233293 --enddatetime 2017-10-12T13:51:37 --enforcementcount 0 &gt;&gt;%USERPROFILE%\Documents\GitHub\eaglep3-reporting\EC\2017-10-12-refined-times.txt</v>
      </c>
      <c r="AI89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{"issue":{"subject":"","project_id":79,"tracker_id":40,"status_id":1,"priority_id":2,"assigned_to_id":338,"start_date":"2017-10-12","description":"","custom_fields":[{"id":1,"name":"Subdivision","value":"EC"},{"id":4,"name":"Milepost","value":"23.3293"},{"id":17,"name":"Train ID","value":"177-12"},{"id":16,"name":"Locomotive ID","value":"4064"},{"id":130,"name":"Impact","value":""},{"id":150,"name":"Time of Event (Mountain Time)","value":"13:51:37"},{"id":151,"name":"Denver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4"/>
        <v>start /low /b %USERPROFILE%\Documents\GitHub\eaglep3\Utilities\DownloadLogsFromS3.py --loco 4064 --day 2017-10-12</v>
      </c>
      <c r="AN89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6"/>
        <v>https://d0f6bd738d7f1b3e5a7ca70fe4ff75f0.us-east-1.aws.found.io/app/kibana#/discover/Steve-Slow-Train-Analysis-(2080s-and-2083s)?_g=(refreshInterval:(display:Off,pause:!f,section:0,value:0),time:(from:'2017-10-12T12:10:07-0600',mode:absolute,to:'2017-10-12T14:51:37-0600'))&amp;_a=(columns:!('Message%20ID',Summary),filters:!(),index:'emp_*',interval:auto,query:(query_string:(analyze_wildcard:!t,query:'%22rtdc.l.rtdc.4064%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722</v>
      </c>
      <c r="B90" s="7">
        <v>4063</v>
      </c>
      <c r="C90" s="21" t="s">
        <v>194</v>
      </c>
      <c r="D90" s="21" t="s">
        <v>855</v>
      </c>
      <c r="E90" s="13">
        <v>43020.586921296293</v>
      </c>
      <c r="F90" s="13">
        <v>43020.591874999998</v>
      </c>
      <c r="G90" s="7">
        <v>58</v>
      </c>
      <c r="H90" s="21" t="s">
        <v>433</v>
      </c>
      <c r="I90" s="13">
        <v>43020.619606481479</v>
      </c>
      <c r="J90" s="7">
        <v>0</v>
      </c>
      <c r="K90" s="89" t="str">
        <f t="shared" si="28"/>
        <v>4063/4064</v>
      </c>
      <c r="L90" s="185" t="str">
        <f>VLOOKUP(A90,'Trips&amp;Operators'!$C$1:$G$99911,5,FALSE)</f>
        <v>STEWART MICHAEL</v>
      </c>
      <c r="M90" s="6">
        <f t="shared" si="29"/>
        <v>2.7731481481168885E-2</v>
      </c>
      <c r="N90" s="7">
        <f t="shared" si="30"/>
        <v>39.933333332883194</v>
      </c>
      <c r="O90" s="7"/>
      <c r="P90" s="7"/>
      <c r="Q90" s="22"/>
      <c r="R90" s="174"/>
      <c r="S90" s="199">
        <f t="shared" si="31"/>
        <v>1</v>
      </c>
      <c r="T90" s="174" t="str">
        <f t="shared" si="32"/>
        <v>Southbound</v>
      </c>
      <c r="U90" s="22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25" t="str">
        <f t="shared" si="33"/>
        <v>https://d0f6bd738d7f1b3e5a7ca70fe4ff75f0.us-east-1.aws.found.io/app/kibana#/discover/Steve-Slow-Train-Analysis-(2080s-and-2083s)?_g=(refreshInterval:(display:Off,pause:!f,section:0,value:0),time:(from:'2017-10-12T13:05:10-0600',mode:absolute,to:'2017-10-12T15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0" s="226" t="str">
        <f>IF(AA90&lt;VLOOKUP(AG90,Variables!$AC$3:$AD$8,2,FALSE),"Y","N")</f>
        <v>N</v>
      </c>
      <c r="X90" s="226">
        <f t="shared" si="34"/>
        <v>1</v>
      </c>
      <c r="Y90" s="226">
        <f t="shared" si="35"/>
        <v>23.2959</v>
      </c>
      <c r="Z90" s="226">
        <f t="shared" si="36"/>
        <v>1.6299999999999999E-2</v>
      </c>
      <c r="AA90" s="226">
        <f t="shared" si="37"/>
        <v>23.279599999999999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8"/>
        <v>178</v>
      </c>
      <c r="AE90" s="77" t="str">
        <f t="shared" si="39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90" s="74" t="str">
        <f t="shared" si="40"/>
        <v>"C:\Program Files (x86)\AstroGrep\AstroGrep.exe" /e /r /s /spath="%USERPROFILE%\AppData\Local\Temp\OnboardLogs" /stypes="app*4063*20171012*" /stext=" 20:.+((SYSTEM_STATE.+slice.+state.+changed )|(ment ac)|(multiple cpu faults)|(system.+state.+changed )|(\[timeout)|(PRM\|1\|D)|(kpr)|(kdp)|(train st.+moving)|(\|lc)|(penalty))"</v>
      </c>
      <c r="AG90" s="182" t="str">
        <f t="shared" si="41"/>
        <v>EC</v>
      </c>
      <c r="AH90" s="78" t="str">
        <f t="shared" si="42"/>
        <v>"%USERPROFILE%\Documents\GitHub\eaglep3\Utilities\RefineRTDCRunTimes.py" --tripid 178-12 --locoid 4063 --swversion DE.1.0.9.0 --startMP 204:232959 --initTime 2017-10-12T14:05:10 --startdatetime 2017-10-12T14:12:18 --delay 58 --endMP 204:163 --enddatetime 2017-10-12T14:52:14 --enforcementcount 0 &gt;&gt;%USERPROFILE%\Documents\GitHub\eaglep3-reporting\EC\2017-10-12-refined-times.txt</v>
      </c>
      <c r="AI90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{"issue":{"subject":"","project_id":79,"tracker_id":40,"status_id":1,"priority_id":2,"assigned_to_id":338,"start_date":"2017-10-12","description":"","custom_fields":[{"id":1,"name":"Subdivision","value":"EC"},{"id":4,"name":"Milepost","value":"0.0163"},{"id":17,"name":"Train ID","value":"178-12"},{"id":16,"name":"Locomotive ID","value":"4063"},{"id":130,"name":"Impact","value":""},{"id":150,"name":"Time of Event (Mountain Time)","value":"14:52:14"},{"id":151,"name":"Denver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4"/>
        <v>start /low /b %USERPROFILE%\Documents\GitHub\eaglep3\Utilities\DownloadLogsFromS3.py --loco 4063 --day 2017-10-12</v>
      </c>
      <c r="AN90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6"/>
        <v>https://d0f6bd738d7f1b3e5a7ca70fe4ff75f0.us-east-1.aws.found.io/app/kibana#/discover/Steve-Slow-Train-Analysis-(2080s-and-2083s)?_g=(refreshInterval:(display:Off,pause:!f,section:0,value:0),time:(from:'2017-10-12T13:05:10-0600',mode:absolute,to:'2017-10-12T15:52:14-0600'))&amp;_a=(columns:!('Message%20ID',Summary),filters:!(),index:'emp_*',interval:auto,query:(query_string:(analyze_wildcard:!t,query:'%22rtdc.l.rtdc.4063%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717</v>
      </c>
      <c r="B91" s="7">
        <v>4066</v>
      </c>
      <c r="C91" s="21" t="s">
        <v>194</v>
      </c>
      <c r="D91" s="21" t="s">
        <v>372</v>
      </c>
      <c r="E91" s="13">
        <v>43020.558587962965</v>
      </c>
      <c r="F91" s="13">
        <v>43020.562708333331</v>
      </c>
      <c r="G91" s="7">
        <v>48</v>
      </c>
      <c r="H91" s="21" t="s">
        <v>409</v>
      </c>
      <c r="I91" s="13">
        <v>43020.587777777779</v>
      </c>
      <c r="J91" s="7">
        <v>0</v>
      </c>
      <c r="K91" s="89" t="str">
        <f t="shared" si="28"/>
        <v>4065/4066</v>
      </c>
      <c r="L91" s="185" t="str">
        <f>VLOOKUP(A91,'Trips&amp;Operators'!$C$1:$G$99911,5,FALSE)</f>
        <v>LEVIN SCOTT</v>
      </c>
      <c r="M91" s="6">
        <f t="shared" si="29"/>
        <v>2.5069444447581191E-2</v>
      </c>
      <c r="N91" s="7">
        <f t="shared" si="30"/>
        <v>36.100000004516914</v>
      </c>
      <c r="O91" s="7"/>
      <c r="P91" s="7"/>
      <c r="Q91" s="22"/>
      <c r="R91" s="174"/>
      <c r="S91" s="199">
        <f t="shared" si="31"/>
        <v>1</v>
      </c>
      <c r="T91" s="174" t="str">
        <f t="shared" si="32"/>
        <v>NorthBound</v>
      </c>
      <c r="U91" s="22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25" t="str">
        <f t="shared" si="33"/>
        <v>https://d0f6bd738d7f1b3e5a7ca70fe4ff75f0.us-east-1.aws.found.io/app/kibana#/discover/Steve-Slow-Train-Analysis-(2080s-and-2083s)?_g=(refreshInterval:(display:Off,pause:!f,section:0,value:0),time:(from:'2017-10-12T12:24:22-0600',mode:absolute,to:'2017-10-12T15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1" s="226" t="str">
        <f>IF(AA91&lt;VLOOKUP(AG91,Variables!$AC$3:$AD$8,2,FALSE),"Y","N")</f>
        <v>N</v>
      </c>
      <c r="X91" s="226">
        <f t="shared" si="34"/>
        <v>1</v>
      </c>
      <c r="Y91" s="226">
        <f t="shared" si="35"/>
        <v>4.7100000000000003E-2</v>
      </c>
      <c r="Z91" s="226">
        <f t="shared" si="36"/>
        <v>23.333600000000001</v>
      </c>
      <c r="AA91" s="226">
        <f t="shared" si="37"/>
        <v>23.2865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8"/>
        <v>179</v>
      </c>
      <c r="AE91" s="77" t="str">
        <f t="shared" si="39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91" s="74" t="str">
        <f t="shared" si="40"/>
        <v>"C:\Program Files (x86)\AstroGrep\AstroGrep.exe" /e /r /s /spath="%USERPROFILE%\AppData\Local\Temp\OnboardLogs" /stypes="app*4066*20171012*" /stext=" 20:.+((SYSTEM_STATE.+slice.+state.+changed )|(ment ac)|(multiple cpu faults)|(system.+state.+changed )|(\[timeout)|(PRM\|1\|D)|(kpr)|(kdp)|(train st.+moving)|(\|lc)|(penalty))"</v>
      </c>
      <c r="AG91" s="182" t="str">
        <f t="shared" si="41"/>
        <v>EC</v>
      </c>
      <c r="AH91" s="78" t="str">
        <f t="shared" si="42"/>
        <v>"%USERPROFILE%\Documents\GitHub\eaglep3\Utilities\RefineRTDCRunTimes.py" --tripid 179-12 --locoid 4066 --swversion DE.1.0.9.0 --startMP 204:471 --initTime 2017-10-12T13:24:22 --startdatetime 2017-10-12T13:30:18 --delay 48 --endMP 204:233336 --enddatetime 2017-10-12T14:06:24 --enforcementcount 0 &gt;&gt;%USERPROFILE%\Documents\GitHub\eaglep3-reporting\EC\2017-10-12-refined-times.txt</v>
      </c>
      <c r="AI91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{"issue":{"subject":"","project_id":79,"tracker_id":40,"status_id":1,"priority_id":2,"assigned_to_id":338,"start_date":"2017-10-12","description":"","custom_fields":[{"id":1,"name":"Subdivision","value":"EC"},{"id":4,"name":"Milepost","value":"23.3336"},{"id":17,"name":"Train ID","value":"179-12"},{"id":16,"name":"Locomotive ID","value":"4066"},{"id":130,"name":"Impact","value":""},{"id":150,"name":"Time of Event (Mountain Time)","value":"14:06:24"},{"id":151,"name":"Denver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4"/>
        <v>start /low /b %USERPROFILE%\Documents\GitHub\eaglep3\Utilities\DownloadLogsFromS3.py --loco 4066 --day 2017-10-12</v>
      </c>
      <c r="AN91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6"/>
        <v>https://d0f6bd738d7f1b3e5a7ca70fe4ff75f0.us-east-1.aws.found.io/app/kibana#/discover/Steve-Slow-Train-Analysis-(2080s-and-2083s)?_g=(refreshInterval:(display:Off,pause:!f,section:0,value:0),time:(from:'2017-10-12T12:24:22-0600',mode:absolute,to:'2017-10-12T15:06:24-0600'))&amp;_a=(columns:!('Message%20ID',Summary),filters:!(),index:'emp_*',interval:auto,query:(query_string:(analyze_wildcard:!t,query:'%22rtdc.l.rtdc.4066%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724</v>
      </c>
      <c r="B92" s="7">
        <v>4065</v>
      </c>
      <c r="C92" s="21" t="s">
        <v>194</v>
      </c>
      <c r="D92" s="21" t="s">
        <v>527</v>
      </c>
      <c r="E92" s="13">
        <v>43020.598807870374</v>
      </c>
      <c r="F92" s="13">
        <v>43020.602372685185</v>
      </c>
      <c r="G92" s="7">
        <v>57</v>
      </c>
      <c r="H92" s="21" t="s">
        <v>403</v>
      </c>
      <c r="I92" s="13">
        <v>43020.62872685185</v>
      </c>
      <c r="J92" s="7">
        <v>0</v>
      </c>
      <c r="K92" s="89" t="str">
        <f t="shared" si="28"/>
        <v>4065/4066</v>
      </c>
      <c r="L92" s="185" t="str">
        <f>VLOOKUP(A92,'Trips&amp;Operators'!$C$1:$G$99911,5,FALSE)</f>
        <v>LEVIN SCOTT</v>
      </c>
      <c r="M92" s="6">
        <f t="shared" si="29"/>
        <v>2.6354166664532386E-2</v>
      </c>
      <c r="N92" s="7">
        <f t="shared" si="30"/>
        <v>37.949999996926636</v>
      </c>
      <c r="O92" s="7"/>
      <c r="P92" s="7"/>
      <c r="Q92" s="22"/>
      <c r="R92" s="174"/>
      <c r="S92" s="199">
        <f t="shared" si="31"/>
        <v>1</v>
      </c>
      <c r="T92" s="174" t="str">
        <f t="shared" si="32"/>
        <v>Southbound</v>
      </c>
      <c r="U92" s="22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25" t="str">
        <f t="shared" si="33"/>
        <v>https://d0f6bd738d7f1b3e5a7ca70fe4ff75f0.us-east-1.aws.found.io/app/kibana#/discover/Steve-Slow-Train-Analysis-(2080s-and-2083s)?_g=(refreshInterval:(display:Off,pause:!f,section:0,value:0),time:(from:'2017-10-12T13:22:17-0600',mode:absolute,to:'2017-10-12T16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2" s="226" t="str">
        <f>IF(AA92&lt;VLOOKUP(AG92,Variables!$AC$3:$AD$8,2,FALSE),"Y","N")</f>
        <v>N</v>
      </c>
      <c r="X92" s="226">
        <f t="shared" si="34"/>
        <v>1</v>
      </c>
      <c r="Y92" s="226">
        <f t="shared" si="35"/>
        <v>23.304200000000002</v>
      </c>
      <c r="Z92" s="226">
        <f t="shared" si="36"/>
        <v>1.6E-2</v>
      </c>
      <c r="AA92" s="226">
        <f t="shared" si="37"/>
        <v>23.288200000000003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8"/>
        <v>180</v>
      </c>
      <c r="AE92" s="77" t="str">
        <f t="shared" si="39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92" s="74" t="str">
        <f t="shared" si="40"/>
        <v>"C:\Program Files (x86)\AstroGrep\AstroGrep.exe" /e /r /s /spath="%USERPROFILE%\AppData\Local\Temp\OnboardLogs" /stypes="app*4065*20171012*" /stext=" 21:.+((SYSTEM_STATE.+slice.+state.+changed )|(ment ac)|(multiple cpu faults)|(system.+state.+changed )|(\[timeout)|(PRM\|1\|D)|(kpr)|(kdp)|(train st.+moving)|(\|lc)|(penalty))"</v>
      </c>
      <c r="AG92" s="182" t="str">
        <f t="shared" si="41"/>
        <v>EC</v>
      </c>
      <c r="AH92" s="78" t="str">
        <f t="shared" si="42"/>
        <v>"%USERPROFILE%\Documents\GitHub\eaglep3\Utilities\RefineRTDCRunTimes.py" --tripid 180-12 --locoid 4065 --swversion DE.1.0.9.0 --startMP 204:233042 --initTime 2017-10-12T14:22:17 --startdatetime 2017-10-12T14:27:25 --delay 57 --endMP 204:160 --enddatetime 2017-10-12T15:05:22 --enforcementcount 0 &gt;&gt;%USERPROFILE%\Documents\GitHub\eaglep3-reporting\EC\2017-10-12-refined-times.txt</v>
      </c>
      <c r="AI92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{"issue":{"subject":"","project_id":79,"tracker_id":40,"status_id":1,"priority_id":2,"assigned_to_id":338,"start_date":"2017-10-12","description":"","custom_fields":[{"id":1,"name":"Subdivision","value":"EC"},{"id":4,"name":"Milepost","value":"0.016"},{"id":17,"name":"Train ID","value":"180-12"},{"id":16,"name":"Locomotive ID","value":"4065"},{"id":130,"name":"Impact","value":""},{"id":150,"name":"Time of Event (Mountain Time)","value":"15:05:22"},{"id":151,"name":"Denver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4"/>
        <v>start /low /b %USERPROFILE%\Documents\GitHub\eaglep3\Utilities\DownloadLogsFromS3.py --loco 4065 --day 2017-10-12</v>
      </c>
      <c r="AN92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6"/>
        <v>https://d0f6bd738d7f1b3e5a7ca70fe4ff75f0.us-east-1.aws.found.io/app/kibana#/discover/Steve-Slow-Train-Analysis-(2080s-and-2083s)?_g=(refreshInterval:(display:Off,pause:!f,section:0,value:0),time:(from:'2017-10-12T13:22:17-0600',mode:absolute,to:'2017-10-12T16:05:22-0600'))&amp;_a=(columns:!('Message%20ID',Summary),filters:!(),index:'emp_*',interval:auto,query:(query_string:(analyze_wildcard:!t,query:'%22rtdc.l.rtdc.4065%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719</v>
      </c>
      <c r="B93" s="7">
        <v>4002</v>
      </c>
      <c r="C93" s="21" t="s">
        <v>194</v>
      </c>
      <c r="D93" s="21" t="s">
        <v>370</v>
      </c>
      <c r="E93" s="13">
        <v>43020.568831018521</v>
      </c>
      <c r="F93" s="13">
        <v>43020.573078703703</v>
      </c>
      <c r="G93" s="7">
        <v>213</v>
      </c>
      <c r="H93" s="21" t="s">
        <v>409</v>
      </c>
      <c r="I93" s="13">
        <v>43020.596689814818</v>
      </c>
      <c r="J93" s="7">
        <v>0</v>
      </c>
      <c r="K93" s="89" t="str">
        <f t="shared" si="28"/>
        <v>4001/4002</v>
      </c>
      <c r="L93" s="185" t="str">
        <f>VLOOKUP(A93,'Trips&amp;Operators'!$C$1:$G$99911,5,FALSE)</f>
        <v>DELGADO DIANAH</v>
      </c>
      <c r="M93" s="6">
        <f t="shared" si="29"/>
        <v>2.3611111115314998E-2</v>
      </c>
      <c r="N93" s="7">
        <f t="shared" si="30"/>
        <v>34.000000006053597</v>
      </c>
      <c r="O93" s="7"/>
      <c r="P93" s="7"/>
      <c r="Q93" s="22"/>
      <c r="R93" s="174"/>
      <c r="S93" s="199">
        <f t="shared" si="31"/>
        <v>1</v>
      </c>
      <c r="T93" s="174" t="str">
        <f t="shared" si="32"/>
        <v>NorthBound</v>
      </c>
      <c r="U93" s="22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25" t="str">
        <f t="shared" si="33"/>
        <v>https://d0f6bd738d7f1b3e5a7ca70fe4ff75f0.us-east-1.aws.found.io/app/kibana#/discover/Steve-Slow-Train-Analysis-(2080s-and-2083s)?_g=(refreshInterval:(display:Off,pause:!f,section:0,value:0),time:(from:'2017-10-12T12:39:07-0600',mode:absolute,to:'2017-10-12T15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226" t="str">
        <f>IF(AA93&lt;VLOOKUP(AG93,Variables!$AC$3:$AD$8,2,FALSE),"Y","N")</f>
        <v>N</v>
      </c>
      <c r="X93" s="226">
        <f t="shared" si="34"/>
        <v>1</v>
      </c>
      <c r="Y93" s="226">
        <f t="shared" si="35"/>
        <v>4.5100000000000001E-2</v>
      </c>
      <c r="Z93" s="226">
        <f t="shared" si="36"/>
        <v>23.333600000000001</v>
      </c>
      <c r="AA93" s="226">
        <f t="shared" si="37"/>
        <v>23.288499999999999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8"/>
        <v>181</v>
      </c>
      <c r="AE93" s="77" t="str">
        <f t="shared" si="39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93" s="74" t="str">
        <f t="shared" si="40"/>
        <v>"C:\Program Files (x86)\AstroGrep\AstroGrep.exe" /e /r /s /spath="%USERPROFILE%\AppData\Local\Temp\OnboardLogs" /stypes="app*4002*20171012*" /stext=" 20:.+((SYSTEM_STATE.+slice.+state.+changed )|(ment ac)|(multiple cpu faults)|(system.+state.+changed )|(\[timeout)|(PRM\|1\|D)|(kpr)|(kdp)|(train st.+moving)|(\|lc)|(penalty))"</v>
      </c>
      <c r="AG93" s="182" t="str">
        <f t="shared" si="41"/>
        <v>EC</v>
      </c>
      <c r="AH93" s="78" t="str">
        <f t="shared" si="42"/>
        <v>"%USERPROFILE%\Documents\GitHub\eaglep3\Utilities\RefineRTDCRunTimes.py" --tripid 181-12 --locoid 4002 --swversion DE.1.0.9.0 --startMP 204:451 --initTime 2017-10-12T13:39:07 --startdatetime 2017-10-12T13:45:14 --delay 213 --endMP 204:233336 --enddatetime 2017-10-12T14:19:14 --enforcementcount 0 &gt;&gt;%USERPROFILE%\Documents\GitHub\eaglep3-reporting\EC\2017-10-12-refined-times.txt</v>
      </c>
      <c r="AI93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{"issue":{"subject":"","project_id":79,"tracker_id":40,"status_id":1,"priority_id":2,"assigned_to_id":338,"start_date":"2017-10-12","description":"","custom_fields":[{"id":1,"name":"Subdivision","value":"EC"},{"id":4,"name":"Milepost","value":"23.3336"},{"id":17,"name":"Train ID","value":"181-12"},{"id":16,"name":"Locomotive ID","value":"4002"},{"id":130,"name":"Impact","value":""},{"id":150,"name":"Time of Event (Mountain Time)","value":"14:19:14"},{"id":151,"name":"Denver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4"/>
        <v>start /low /b %USERPROFILE%\Documents\GitHub\eaglep3\Utilities\DownloadLogsFromS3.py --loco 4002 --day 2017-10-12</v>
      </c>
      <c r="AN93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6"/>
        <v>https://d0f6bd738d7f1b3e5a7ca70fe4ff75f0.us-east-1.aws.found.io/app/kibana#/discover/Steve-Slow-Train-Analysis-(2080s-and-2083s)?_g=(refreshInterval:(display:Off,pause:!f,section:0,value:0),time:(from:'2017-10-12T12:39:07-0600',mode:absolute,to:'2017-10-12T15:19:14-0600'))&amp;_a=(columns:!('Message%20ID',Summary),filters:!(),index:'emp_*',interval:auto,query:(query_string:(analyze_wildcard:!t,query:'%22rtdc.l.rtdc.4002%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590</v>
      </c>
      <c r="B94" s="7">
        <v>4001</v>
      </c>
      <c r="C94" s="21" t="s">
        <v>194</v>
      </c>
      <c r="D94" s="21" t="s">
        <v>824</v>
      </c>
      <c r="E94" s="13">
        <v>43020.602662037039</v>
      </c>
      <c r="F94" s="13">
        <v>43020.61277777778</v>
      </c>
      <c r="G94" s="7">
        <v>68</v>
      </c>
      <c r="H94" s="21" t="s">
        <v>339</v>
      </c>
      <c r="I94" s="13">
        <v>43020.639363425929</v>
      </c>
      <c r="J94" s="7">
        <v>0</v>
      </c>
      <c r="K94" s="89" t="str">
        <f t="shared" si="28"/>
        <v>4001/4002</v>
      </c>
      <c r="L94" s="185" t="str">
        <f>VLOOKUP(A94,'Trips&amp;Operators'!$C$1:$G$99911,5,FALSE)</f>
        <v>DELGADO DIANAH</v>
      </c>
      <c r="M94" s="6">
        <f t="shared" si="29"/>
        <v>2.658564814919373E-2</v>
      </c>
      <c r="N94" s="7">
        <f t="shared" si="30"/>
        <v>38.283333334838971</v>
      </c>
      <c r="O94" s="7"/>
      <c r="P94" s="7"/>
      <c r="Q94" s="22"/>
      <c r="R94" s="174"/>
      <c r="S94" s="199">
        <f t="shared" si="31"/>
        <v>1</v>
      </c>
      <c r="T94" s="174" t="str">
        <f t="shared" si="32"/>
        <v>Southbound</v>
      </c>
      <c r="U94" s="22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25" t="str">
        <f t="shared" si="33"/>
        <v>https://d0f6bd738d7f1b3e5a7ca70fe4ff75f0.us-east-1.aws.found.io/app/kibana#/discover/Steve-Slow-Train-Analysis-(2080s-and-2083s)?_g=(refreshInterval:(display:Off,pause:!f,section:0,value:0),time:(from:'2017-10-12T13:27:50-0600',mode:absolute,to:'2017-10-12T16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226" t="str">
        <f>IF(AA94&lt;VLOOKUP(AG94,Variables!$AC$3:$AD$8,2,FALSE),"Y","N")</f>
        <v>N</v>
      </c>
      <c r="X94" s="226">
        <f t="shared" si="34"/>
        <v>1</v>
      </c>
      <c r="Y94" s="226">
        <f t="shared" si="35"/>
        <v>23.302299999999999</v>
      </c>
      <c r="Z94" s="226">
        <f t="shared" si="36"/>
        <v>1.47E-2</v>
      </c>
      <c r="AA94" s="226">
        <f t="shared" si="37"/>
        <v>23.287599999999998</v>
      </c>
      <c r="AB94" s="54" t="str">
        <f>VLOOKUP(A94,Enforcements!$C$7:$K$11,8,0)</f>
        <v>Bulletin (2)</v>
      </c>
      <c r="AC94" s="51" t="str">
        <f>VLOOKUP(A94,Enforcements!$C$7:$E$11,3,0)</f>
        <v>GRADE CROSSING</v>
      </c>
      <c r="AD94" s="179">
        <f t="shared" si="38"/>
        <v>182</v>
      </c>
      <c r="AE94" s="77" t="str">
        <f t="shared" si="39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94" s="74" t="str">
        <f t="shared" si="40"/>
        <v>"C:\Program Files (x86)\AstroGrep\AstroGrep.exe" /e /r /s /spath="%USERPROFILE%\AppData\Local\Temp\OnboardLogs" /stypes="app*4001*20171012*" /stext=" 21:.+((SYSTEM_STATE.+slice.+state.+changed )|(ment ac)|(multiple cpu faults)|(system.+state.+changed )|(\[timeout)|(PRM\|1\|D)|(kpr)|(kdp)|(train st.+moving)|(\|lc)|(penalty))"</v>
      </c>
      <c r="AG94" s="182" t="str">
        <f t="shared" si="41"/>
        <v>EC</v>
      </c>
      <c r="AH94" s="78" t="str">
        <f t="shared" si="42"/>
        <v>"%USERPROFILE%\Documents\GitHub\eaglep3\Utilities\RefineRTDCRunTimes.py" --tripid 182-12 --locoid 4001 --swversion DE.1.0.9.0 --startMP 204:233023 --initTime 2017-10-12T14:27:50 --startdatetime 2017-10-12T14:42:24 --delay 68 --endMP 204:147 --enddatetime 2017-10-12T15:20:41 --enforcementcount 0 &gt;&gt;%USERPROFILE%\Documents\GitHub\eaglep3-reporting\EC\2017-10-12-refined-times.txt</v>
      </c>
      <c r="AI94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{"issue":{"subject":"","project_id":79,"tracker_id":40,"status_id":1,"priority_id":2,"assigned_to_id":338,"start_date":"2017-10-12","description":"","custom_fields":[{"id":1,"name":"Subdivision","value":"EC"},{"id":4,"name":"Milepost","value":"0.0147"},{"id":17,"name":"Train ID","value":"182-12"},{"id":16,"name":"Locomotive ID","value":"4001"},{"id":130,"name":"Impact","value":""},{"id":150,"name":"Time of Event (Mountain Time)","value":"15:20:41"},{"id":151,"name":"Denver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4"/>
        <v>start /low /b %USERPROFILE%\Documents\GitHub\eaglep3\Utilities\DownloadLogsFromS3.py --loco 4001 --day 2017-10-12</v>
      </c>
      <c r="AN94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6"/>
        <v>https://d0f6bd738d7f1b3e5a7ca70fe4ff75f0.us-east-1.aws.found.io/app/kibana#/discover/Steve-Slow-Train-Analysis-(2080s-and-2083s)?_g=(refreshInterval:(display:Off,pause:!f,section:0,value:0),time:(from:'2017-10-12T13:27:50-0600',mode:absolute,to:'2017-10-12T16:20:41-0600'))&amp;_a=(columns:!('Message%20ID',Summary),filters:!(),index:'emp_*',interval:auto,query:(query_string:(analyze_wildcard:!t,query:'%22rtdc.l.rtdc.4001%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721</v>
      </c>
      <c r="B95" s="7">
        <v>4054</v>
      </c>
      <c r="C95" s="21" t="s">
        <v>194</v>
      </c>
      <c r="D95" s="21" t="s">
        <v>395</v>
      </c>
      <c r="E95" s="13">
        <v>43020.578877314816</v>
      </c>
      <c r="F95" s="13">
        <v>43020.583506944444</v>
      </c>
      <c r="G95" s="7">
        <v>58</v>
      </c>
      <c r="H95" s="21" t="s">
        <v>856</v>
      </c>
      <c r="I95" s="13">
        <v>43020.608749999999</v>
      </c>
      <c r="J95" s="7">
        <v>0</v>
      </c>
      <c r="K95" s="89" t="str">
        <f t="shared" si="28"/>
        <v>4053/4054</v>
      </c>
      <c r="L95" s="185" t="str">
        <f>VLOOKUP(A95,'Trips&amp;Operators'!$C$1:$G$99911,5,FALSE)</f>
        <v>LEVERE CRAIG</v>
      </c>
      <c r="M95" s="6">
        <f t="shared" si="29"/>
        <v>2.5243055555620231E-2</v>
      </c>
      <c r="N95" s="7">
        <f t="shared" si="30"/>
        <v>36.350000000093132</v>
      </c>
      <c r="O95" s="7"/>
      <c r="P95" s="7"/>
      <c r="Q95" s="22"/>
      <c r="R95" s="174"/>
      <c r="S95" s="199">
        <f t="shared" si="31"/>
        <v>1</v>
      </c>
      <c r="T95" s="174" t="str">
        <f t="shared" si="32"/>
        <v>NorthBound</v>
      </c>
      <c r="U95" s="22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25" t="str">
        <f t="shared" si="33"/>
        <v>https://d0f6bd738d7f1b3e5a7ca70fe4ff75f0.us-east-1.aws.found.io/app/kibana#/discover/Steve-Slow-Train-Analysis-(2080s-and-2083s)?_g=(refreshInterval:(display:Off,pause:!f,section:0,value:0),time:(from:'2017-10-12T12:53:35-0600',mode:absolute,to:'2017-10-12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226" t="str">
        <f>IF(AA95&lt;VLOOKUP(AG95,Variables!$AC$3:$AD$8,2,FALSE),"Y","N")</f>
        <v>N</v>
      </c>
      <c r="X95" s="226">
        <f t="shared" si="34"/>
        <v>1</v>
      </c>
      <c r="Y95" s="226">
        <f t="shared" si="35"/>
        <v>4.6899999999999997E-2</v>
      </c>
      <c r="Z95" s="226">
        <f t="shared" si="36"/>
        <v>23.33</v>
      </c>
      <c r="AA95" s="226">
        <f t="shared" si="37"/>
        <v>23.283099999999997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8"/>
        <v>183</v>
      </c>
      <c r="AE95" s="77" t="str">
        <f t="shared" si="39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95" s="74" t="str">
        <f t="shared" si="40"/>
        <v>"C:\Program Files (x86)\AstroGrep\AstroGrep.exe" /e /r /s /spath="%USERPROFILE%\AppData\Local\Temp\OnboardLogs" /stypes="app*4054*20171012*" /stext=" 20:.+((SYSTEM_STATE.+slice.+state.+changed )|(ment ac)|(multiple cpu faults)|(system.+state.+changed )|(\[timeout)|(PRM\|1\|D)|(kpr)|(kdp)|(train st.+moving)|(\|lc)|(penalty))"</v>
      </c>
      <c r="AG95" s="182" t="str">
        <f t="shared" si="41"/>
        <v>EC</v>
      </c>
      <c r="AH95" s="78" t="str">
        <f t="shared" si="42"/>
        <v>"%USERPROFILE%\Documents\GitHub\eaglep3\Utilities\RefineRTDCRunTimes.py" --tripid 183-12 --locoid 4054 --swversion DE.1.0.9.0 --startMP 204:469 --initTime 2017-10-12T13:53:35 --startdatetime 2017-10-12T14:00:15 --delay 58 --endMP 204:233300 --enddatetime 2017-10-12T14:36:36 --enforcementcount 0 &gt;&gt;%USERPROFILE%\Documents\GitHub\eaglep3-reporting\EC\2017-10-12-refined-times.txt</v>
      </c>
      <c r="AI95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{"issue":{"subject":"","project_id":79,"tracker_id":40,"status_id":1,"priority_id":2,"assigned_to_id":338,"start_date":"2017-10-12","description":"","custom_fields":[{"id":1,"name":"Subdivision","value":"EC"},{"id":4,"name":"Milepost","value":"23.33"},{"id":17,"name":"Train ID","value":"183-12"},{"id":16,"name":"Locomotive ID","value":"4054"},{"id":130,"name":"Impact","value":""},{"id":150,"name":"Time of Event (Mountain Time)","value":"14:36:36"},{"id":151,"name":"Denver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4"/>
        <v>start /low /b %USERPROFILE%\Documents\GitHub\eaglep3\Utilities\DownloadLogsFromS3.py --loco 4054 --day 2017-10-12</v>
      </c>
      <c r="AN95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6"/>
        <v>https://d0f6bd738d7f1b3e5a7ca70fe4ff75f0.us-east-1.aws.found.io/app/kibana#/discover/Steve-Slow-Train-Analysis-(2080s-and-2083s)?_g=(refreshInterval:(display:Off,pause:!f,section:0,value:0),time:(from:'2017-10-12T12:53:35-0600',mode:absolute,to:'2017-10-12T15:36:36-0600'))&amp;_a=(columns:!('Message%20ID',Summary),filters:!(),index:'emp_*',interval:auto,query:(query_string:(analyze_wildcard:!t,query:'%22rtdc.l.rtdc.4054%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728</v>
      </c>
      <c r="B96" s="7">
        <v>4053</v>
      </c>
      <c r="C96" s="21" t="s">
        <v>194</v>
      </c>
      <c r="D96" s="21" t="s">
        <v>536</v>
      </c>
      <c r="E96" s="13">
        <v>43020.618981481479</v>
      </c>
      <c r="F96" s="13">
        <v>43020.623124999998</v>
      </c>
      <c r="G96" s="7">
        <v>74</v>
      </c>
      <c r="H96" s="21" t="s">
        <v>374</v>
      </c>
      <c r="I96" s="13">
        <v>43020.649861111109</v>
      </c>
      <c r="J96" s="7">
        <v>0</v>
      </c>
      <c r="K96" s="89" t="str">
        <f t="shared" si="28"/>
        <v>4053/4054</v>
      </c>
      <c r="L96" s="185" t="str">
        <f>VLOOKUP(A96,'Trips&amp;Operators'!$C$1:$G$99911,5,FALSE)</f>
        <v>LEVERE CRAIG</v>
      </c>
      <c r="M96" s="6">
        <f t="shared" si="29"/>
        <v>2.6736111110949423E-2</v>
      </c>
      <c r="N96" s="7">
        <f t="shared" si="30"/>
        <v>38.499999999767169</v>
      </c>
      <c r="O96" s="7"/>
      <c r="P96" s="7"/>
      <c r="Q96" s="22"/>
      <c r="R96" s="174"/>
      <c r="S96" s="199">
        <f t="shared" si="31"/>
        <v>1</v>
      </c>
      <c r="T96" s="174" t="str">
        <f t="shared" si="32"/>
        <v>Southbound</v>
      </c>
      <c r="U96" s="22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25" t="str">
        <f t="shared" si="33"/>
        <v>https://d0f6bd738d7f1b3e5a7ca70fe4ff75f0.us-east-1.aws.found.io/app/kibana#/discover/Steve-Slow-Train-Analysis-(2080s-and-2083s)?_g=(refreshInterval:(display:Off,pause:!f,section:0,value:0),time:(from:'2017-10-12T13:51:20-0600',mode:absolute,to:'2017-10-12T16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226" t="str">
        <f>IF(AA96&lt;VLOOKUP(AG96,Variables!$AC$3:$AD$8,2,FALSE),"Y","N")</f>
        <v>N</v>
      </c>
      <c r="X96" s="226">
        <f t="shared" si="34"/>
        <v>1</v>
      </c>
      <c r="Y96" s="226">
        <f t="shared" si="35"/>
        <v>23.3019</v>
      </c>
      <c r="Z96" s="226">
        <f t="shared" si="36"/>
        <v>1.54E-2</v>
      </c>
      <c r="AA96" s="226">
        <f t="shared" si="37"/>
        <v>23.2865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8"/>
        <v>184</v>
      </c>
      <c r="AE96" s="77" t="str">
        <f t="shared" si="39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96" s="74" t="str">
        <f t="shared" si="40"/>
        <v>"C:\Program Files (x86)\AstroGrep\AstroGrep.exe" /e /r /s /spath="%USERPROFILE%\AppData\Local\Temp\OnboardLogs" /stypes="app*4053*20171012*" /stext=" 21:.+((SYSTEM_STATE.+slice.+state.+changed )|(ment ac)|(multiple cpu faults)|(system.+state.+changed )|(\[timeout)|(PRM\|1\|D)|(kpr)|(kdp)|(train st.+moving)|(\|lc)|(penalty))"</v>
      </c>
      <c r="AG96" s="182" t="str">
        <f t="shared" si="41"/>
        <v>EC</v>
      </c>
      <c r="AH96" s="78" t="str">
        <f t="shared" si="42"/>
        <v>"%USERPROFILE%\Documents\GitHub\eaglep3\Utilities\RefineRTDCRunTimes.py" --tripid 184-12 --locoid 4053 --swversion DE.1.0.9.0 --startMP 204:233019 --initTime 2017-10-12T14:51:20 --startdatetime 2017-10-12T14:57:18 --delay 74 --endMP 204:154 --enddatetime 2017-10-12T15:35:48 --enforcementcount 0 &gt;&gt;%USERPROFILE%\Documents\GitHub\eaglep3-reporting\EC\2017-10-12-refined-times.txt</v>
      </c>
      <c r="AI96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ID","value":"184-12"},{"id":16,"name":"Locomotive ID","value":"4053"},{"id":130,"name":"Impact","value":""},{"id":150,"name":"Time of Event (Mountain Time)","value":"15:35:48"},{"id":151,"name":"Denver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4"/>
        <v>start /low /b %USERPROFILE%\Documents\GitHub\eaglep3\Utilities\DownloadLogsFromS3.py --loco 4053 --day 2017-10-12</v>
      </c>
      <c r="AN96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6"/>
        <v>https://d0f6bd738d7f1b3e5a7ca70fe4ff75f0.us-east-1.aws.found.io/app/kibana#/discover/Steve-Slow-Train-Analysis-(2080s-and-2083s)?_g=(refreshInterval:(display:Off,pause:!f,section:0,value:0),time:(from:'2017-10-12T13:51:20-0600',mode:absolute,to:'2017-10-12T16:35:48-0600'))&amp;_a=(columns:!('Message%20ID',Summary),filters:!(),index:'emp_*',interval:auto,query:(query_string:(analyze_wildcard:!t,query:'%22rtdc.l.rtdc.4053%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723</v>
      </c>
      <c r="B97" s="7">
        <v>4052</v>
      </c>
      <c r="C97" s="21" t="s">
        <v>194</v>
      </c>
      <c r="D97" s="21" t="s">
        <v>542</v>
      </c>
      <c r="E97" s="13">
        <v>43020.589050925926</v>
      </c>
      <c r="F97" s="13">
        <v>43020.594004629631</v>
      </c>
      <c r="G97" s="7">
        <v>56</v>
      </c>
      <c r="H97" s="21" t="s">
        <v>371</v>
      </c>
      <c r="I97" s="13">
        <v>43020.618819444448</v>
      </c>
      <c r="J97" s="7">
        <v>0</v>
      </c>
      <c r="K97" s="89" t="str">
        <f t="shared" si="28"/>
        <v>4051/4052</v>
      </c>
      <c r="L97" s="185" t="str">
        <f>VLOOKUP(A97,'Trips&amp;Operators'!$C$1:$G$99911,5,FALSE)</f>
        <v>BADERTSCHER DIANE</v>
      </c>
      <c r="M97" s="6">
        <f t="shared" si="29"/>
        <v>2.4814814816636499E-2</v>
      </c>
      <c r="N97" s="7">
        <f t="shared" si="30"/>
        <v>35.733333335956559</v>
      </c>
      <c r="O97" s="7"/>
      <c r="P97" s="7"/>
      <c r="Q97" s="22"/>
      <c r="R97" s="174"/>
      <c r="S97" s="199">
        <f t="shared" si="31"/>
        <v>1</v>
      </c>
      <c r="T97" s="174" t="str">
        <f t="shared" si="32"/>
        <v>NorthBound</v>
      </c>
      <c r="U97" s="22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25" t="str">
        <f t="shared" si="33"/>
        <v>https://d0f6bd738d7f1b3e5a7ca70fe4ff75f0.us-east-1.aws.found.io/app/kibana#/discover/Steve-Slow-Train-Analysis-(2080s-and-2083s)?_g=(refreshInterval:(display:Off,pause:!f,section:0,value:0),time:(from:'2017-10-12T13:08:14-0600',mode:absolute,to:'2017-10-12T15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7" s="226" t="str">
        <f>IF(AA97&lt;VLOOKUP(AG97,Variables!$AC$3:$AD$8,2,FALSE),"Y","N")</f>
        <v>N</v>
      </c>
      <c r="X97" s="226">
        <f t="shared" si="34"/>
        <v>1</v>
      </c>
      <c r="Y97" s="226">
        <f t="shared" si="35"/>
        <v>4.7699999999999999E-2</v>
      </c>
      <c r="Z97" s="226">
        <f t="shared" si="36"/>
        <v>23.331199999999999</v>
      </c>
      <c r="AA97" s="226">
        <f t="shared" si="37"/>
        <v>23.2835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38"/>
        <v>185</v>
      </c>
      <c r="AE97" s="77" t="str">
        <f t="shared" si="39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97" s="74" t="str">
        <f t="shared" si="40"/>
        <v>"C:\Program Files (x86)\AstroGrep\AstroGrep.exe" /e /r /s /spath="%USERPROFILE%\AppData\Local\Temp\OnboardLogs" /stypes="app*4052*20171012*" /stext=" 20:.+((SYSTEM_STATE.+slice.+state.+changed )|(ment ac)|(multiple cpu faults)|(system.+state.+changed )|(\[timeout)|(PRM\|1\|D)|(kpr)|(kdp)|(train st.+moving)|(\|lc)|(penalty))"</v>
      </c>
      <c r="AG97" s="182" t="str">
        <f t="shared" si="41"/>
        <v>EC</v>
      </c>
      <c r="AH97" s="78" t="str">
        <f t="shared" si="42"/>
        <v>"%USERPROFILE%\Documents\GitHub\eaglep3\Utilities\RefineRTDCRunTimes.py" --tripid 185-12 --locoid 4052 --swversion DE.1.0.9.0 --startMP 204:477 --initTime 2017-10-12T14:08:14 --startdatetime 2017-10-12T14:15:22 --delay 56 --endMP 204:233312 --enddatetime 2017-10-12T14:51:06 --enforcementcount 0 &gt;&gt;%USERPROFILE%\Documents\GitHub\eaglep3-reporting\EC\2017-10-12-refined-times.txt</v>
      </c>
      <c r="AI97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{"issue":{"subject":"","project_id":79,"tracker_id":40,"status_id":1,"priority_id":2,"assigned_to_id":338,"start_date":"2017-10-12","description":"","custom_fields":[{"id":1,"name":"Subdivision","value":"EC"},{"id":4,"name":"Milepost","value":"23.3312"},{"id":17,"name":"Train ID","value":"185-12"},{"id":16,"name":"Locomotive ID","value":"4052"},{"id":130,"name":"Impact","value":""},{"id":150,"name":"Time of Event (Mountain Time)","value":"14:51:06"},{"id":151,"name":"Denver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4"/>
        <v>start /low /b %USERPROFILE%\Documents\GitHub\eaglep3\Utilities\DownloadLogsFromS3.py --loco 4052 --day 2017-10-12</v>
      </c>
      <c r="AN97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6"/>
        <v>https://d0f6bd738d7f1b3e5a7ca70fe4ff75f0.us-east-1.aws.found.io/app/kibana#/discover/Steve-Slow-Train-Analysis-(2080s-and-2083s)?_g=(refreshInterval:(display:Off,pause:!f,section:0,value:0),time:(from:'2017-10-12T13:08:14-0600',mode:absolute,to:'2017-10-12T15:51:06-0600'))&amp;_a=(columns:!('Message%20ID',Summary),filters:!(),index:'emp_*',interval:auto,query:(query_string:(analyze_wildcard:!t,query:'%22rtdc.l.rtdc.4052%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730</v>
      </c>
      <c r="B98" s="7">
        <v>4051</v>
      </c>
      <c r="C98" s="21" t="s">
        <v>194</v>
      </c>
      <c r="D98" s="21" t="s">
        <v>447</v>
      </c>
      <c r="E98" s="13">
        <v>43020.628368055557</v>
      </c>
      <c r="F98" s="13">
        <v>43020.633506944447</v>
      </c>
      <c r="G98" s="7">
        <v>57</v>
      </c>
      <c r="H98" s="21" t="s">
        <v>525</v>
      </c>
      <c r="I98" s="13">
        <v>43020.661412037036</v>
      </c>
      <c r="J98" s="7">
        <v>0</v>
      </c>
      <c r="K98" s="89" t="str">
        <f t="shared" si="28"/>
        <v>4051/4052</v>
      </c>
      <c r="L98" s="185" t="str">
        <f>VLOOKUP(A98,'Trips&amp;Operators'!$C$1:$G$99911,5,FALSE)</f>
        <v>BADERTSCHER DIANE</v>
      </c>
      <c r="M98" s="6">
        <f t="shared" si="29"/>
        <v>2.7905092589207925E-2</v>
      </c>
      <c r="N98" s="7">
        <f t="shared" si="30"/>
        <v>40.183333328459412</v>
      </c>
      <c r="O98" s="7"/>
      <c r="P98" s="7"/>
      <c r="Q98" s="22"/>
      <c r="R98" s="174"/>
      <c r="S98" s="199">
        <f t="shared" si="31"/>
        <v>1</v>
      </c>
      <c r="T98" s="174" t="str">
        <f t="shared" si="32"/>
        <v>Southbound</v>
      </c>
      <c r="U98" s="22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25" t="str">
        <f t="shared" si="33"/>
        <v>https://d0f6bd738d7f1b3e5a7ca70fe4ff75f0.us-east-1.aws.found.io/app/kibana#/discover/Steve-Slow-Train-Analysis-(2080s-and-2083s)?_g=(refreshInterval:(display:Off,pause:!f,section:0,value:0),time:(from:'2017-10-12T14:04:51-0600',mode:absolute,to:'2017-10-12T16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8" s="226" t="str">
        <f>IF(AA98&lt;VLOOKUP(AG98,Variables!$AC$3:$AD$8,2,FALSE),"Y","N")</f>
        <v>N</v>
      </c>
      <c r="X98" s="226">
        <f t="shared" si="34"/>
        <v>1</v>
      </c>
      <c r="Y98" s="226">
        <f t="shared" si="35"/>
        <v>23.298400000000001</v>
      </c>
      <c r="Z98" s="226">
        <f t="shared" si="36"/>
        <v>1.29E-2</v>
      </c>
      <c r="AA98" s="226">
        <f t="shared" si="37"/>
        <v>23.285500000000003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8"/>
        <v>186</v>
      </c>
      <c r="AE98" s="77" t="str">
        <f t="shared" si="39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98" s="74" t="str">
        <f t="shared" si="40"/>
        <v>"C:\Program Files (x86)\AstroGrep\AstroGrep.exe" /e /r /s /spath="%USERPROFILE%\AppData\Local\Temp\OnboardLogs" /stypes="app*4051*20171012*" /stext=" 21:.+((SYSTEM_STATE.+slice.+state.+changed )|(ment ac)|(multiple cpu faults)|(system.+state.+changed )|(\[timeout)|(PRM\|1\|D)|(kpr)|(kdp)|(train st.+moving)|(\|lc)|(penalty))"</v>
      </c>
      <c r="AG98" s="182" t="str">
        <f t="shared" si="41"/>
        <v>EC</v>
      </c>
      <c r="AH98" s="78" t="str">
        <f t="shared" si="42"/>
        <v>"%USERPROFILE%\Documents\GitHub\eaglep3\Utilities\RefineRTDCRunTimes.py" --tripid 186-12 --locoid 4051 --swversion DE.1.0.9.0 --startMP 204:232984 --initTime 2017-10-12T15:04:51 --startdatetime 2017-10-12T15:12:15 --delay 57 --endMP 204:129 --enddatetime 2017-10-12T15:52:26 --enforcementcount 0 &gt;&gt;%USERPROFILE%\Documents\GitHub\eaglep3-reporting\EC\2017-10-12-refined-times.txt</v>
      </c>
      <c r="AI98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{"issue":{"subject":"","project_id":79,"tracker_id":40,"status_id":1,"priority_id":2,"assigned_to_id":338,"start_date":"2017-10-12","description":"","custom_fields":[{"id":1,"name":"Subdivision","value":"EC"},{"id":4,"name":"Milepost","value":"0.0129"},{"id":17,"name":"Train ID","value":"186-12"},{"id":16,"name":"Locomotive ID","value":"4051"},{"id":130,"name":"Impact","value":""},{"id":150,"name":"Time of Event (Mountain Time)","value":"15:52:26"},{"id":151,"name":"Denver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4"/>
        <v>start /low /b %USERPROFILE%\Documents\GitHub\eaglep3\Utilities\DownloadLogsFromS3.py --loco 4051 --day 2017-10-12</v>
      </c>
      <c r="AN98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6"/>
        <v>https://d0f6bd738d7f1b3e5a7ca70fe4ff75f0.us-east-1.aws.found.io/app/kibana#/discover/Steve-Slow-Train-Analysis-(2080s-and-2083s)?_g=(refreshInterval:(display:Off,pause:!f,section:0,value:0),time:(from:'2017-10-12T14:04:51-0600',mode:absolute,to:'2017-10-12T16:52:26-0600'))&amp;_a=(columns:!('Message%20ID',Summary),filters:!(),index:'emp_*',interval:auto,query:(query_string:(analyze_wildcard:!t,query:'%22rtdc.l.rtdc.4051%22')),sort:!(Time.ISO8601,asc))</v>
      </c>
    </row>
    <row r="99" spans="1:91" s="20" customFormat="1" x14ac:dyDescent="0.25">
      <c r="A99" s="32" t="s">
        <v>725</v>
      </c>
      <c r="B99" s="7">
        <v>4004</v>
      </c>
      <c r="C99" s="21" t="s">
        <v>194</v>
      </c>
      <c r="D99" s="21" t="s">
        <v>375</v>
      </c>
      <c r="E99" s="13">
        <v>43020.601388888892</v>
      </c>
      <c r="F99" s="13">
        <v>43020.604351851849</v>
      </c>
      <c r="G99" s="7">
        <v>64</v>
      </c>
      <c r="H99" s="21" t="s">
        <v>401</v>
      </c>
      <c r="I99" s="13">
        <v>43020.629490740743</v>
      </c>
      <c r="J99" s="7">
        <v>0</v>
      </c>
      <c r="K99" s="89" t="str">
        <f t="shared" si="28"/>
        <v>4003/4004</v>
      </c>
      <c r="L99" s="185" t="str">
        <f>VLOOKUP(A99,'Trips&amp;Operators'!$C$1:$G$99911,5,FALSE)</f>
        <v>KILLION DAVID</v>
      </c>
      <c r="M99" s="6">
        <f t="shared" si="29"/>
        <v>2.513888889370719E-2</v>
      </c>
      <c r="N99" s="7">
        <f t="shared" si="30"/>
        <v>36.200000006938353</v>
      </c>
      <c r="O99" s="7"/>
      <c r="P99" s="7"/>
      <c r="Q99" s="22"/>
      <c r="R99" s="174"/>
      <c r="S99" s="199">
        <f t="shared" si="31"/>
        <v>1</v>
      </c>
      <c r="T99" s="174" t="str">
        <f t="shared" si="32"/>
        <v>NorthBound</v>
      </c>
      <c r="U99" s="22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25" t="str">
        <f t="shared" si="33"/>
        <v>https://d0f6bd738d7f1b3e5a7ca70fe4ff75f0.us-east-1.aws.found.io/app/kibana#/discover/Steve-Slow-Train-Analysis-(2080s-and-2083s)?_g=(refreshInterval:(display:Off,pause:!f,section:0,value:0),time:(from:'2017-10-12T13:26:00-0600',mode:absolute,to:'2017-10-12T16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9" s="226" t="str">
        <f>IF(AA99&lt;VLOOKUP(AG99,Variables!$AC$3:$AD$8,2,FALSE),"Y","N")</f>
        <v>N</v>
      </c>
      <c r="X99" s="226">
        <f t="shared" si="34"/>
        <v>1</v>
      </c>
      <c r="Y99" s="226">
        <f t="shared" si="35"/>
        <v>4.6600000000000003E-2</v>
      </c>
      <c r="Z99" s="226">
        <f t="shared" si="36"/>
        <v>23.330200000000001</v>
      </c>
      <c r="AA99" s="226">
        <f t="shared" si="37"/>
        <v>23.2836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8"/>
        <v>187</v>
      </c>
      <c r="AE99" s="77" t="str">
        <f t="shared" si="39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99" s="74" t="str">
        <f t="shared" si="40"/>
        <v>"C:\Program Files (x86)\AstroGrep\AstroGrep.exe" /e /r /s /spath="%USERPROFILE%\AppData\Local\Temp\OnboardLogs" /stypes="app*4004*20171012*" /stext=" 21:.+((SYSTEM_STATE.+slice.+state.+changed )|(ment ac)|(multiple cpu faults)|(system.+state.+changed )|(\[timeout)|(PRM\|1\|D)|(kpr)|(kdp)|(train st.+moving)|(\|lc)|(penalty))"</v>
      </c>
      <c r="AG99" s="182" t="str">
        <f t="shared" si="41"/>
        <v>EC</v>
      </c>
      <c r="AH99" s="78" t="str">
        <f t="shared" si="42"/>
        <v>"%USERPROFILE%\Documents\GitHub\eaglep3\Utilities\RefineRTDCRunTimes.py" --tripid 187-12 --locoid 4004 --swversion DE.1.0.9.0 --startMP 204:466 --initTime 2017-10-12T14:26:00 --startdatetime 2017-10-12T14:30:16 --delay 64 --endMP 204:233302 --enddatetime 2017-10-12T15:06:28 --enforcementcount 0 &gt;&gt;%USERPROFILE%\Documents\GitHub\eaglep3-reporting\EC\2017-10-12-refined-times.txt</v>
      </c>
      <c r="AI99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{"issue":{"subject":"","project_id":79,"tracker_id":40,"status_id":1,"priority_id":2,"assigned_to_id":338,"start_date":"2017-10-12","description":"","custom_fields":[{"id":1,"name":"Subdivision","value":"EC"},{"id":4,"name":"Milepost","value":"23.3302"},{"id":17,"name":"Train ID","value":"187-12"},{"id":16,"name":"Locomotive ID","value":"4004"},{"id":130,"name":"Impact","value":""},{"id":150,"name":"Time of Event (Mountain Time)","value":"15:06:28"},{"id":151,"name":"Denver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44"/>
        <v>start /low /b %USERPROFILE%\Documents\GitHub\eaglep3\Utilities\DownloadLogsFromS3.py --loco 4004 --day 2017-10-12</v>
      </c>
      <c r="AN99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6"/>
        <v>https://d0f6bd738d7f1b3e5a7ca70fe4ff75f0.us-east-1.aws.found.io/app/kibana#/discover/Steve-Slow-Train-Analysis-(2080s-and-2083s)?_g=(refreshInterval:(display:Off,pause:!f,section:0,value:0),time:(from:'2017-10-12T13:26:00-0600',mode:absolute,to:'2017-10-12T16:06:28-0600'))&amp;_a=(columns:!('Message%20ID',Summary),filters:!(),index:'emp_*',interval:auto,query:(query_string:(analyze_wildcard:!t,query:'%22rtdc.l.rtdc.4004%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732</v>
      </c>
      <c r="B100" s="7">
        <v>4003</v>
      </c>
      <c r="C100" s="21" t="s">
        <v>194</v>
      </c>
      <c r="D100" s="21" t="s">
        <v>436</v>
      </c>
      <c r="E100" s="13">
        <v>43020.634606481479</v>
      </c>
      <c r="F100" s="13">
        <v>43020.643912037034</v>
      </c>
      <c r="G100" s="7">
        <v>53</v>
      </c>
      <c r="H100" s="21" t="s">
        <v>355</v>
      </c>
      <c r="I100" s="13">
        <v>43020.670972222222</v>
      </c>
      <c r="J100" s="7">
        <v>0</v>
      </c>
      <c r="K100" s="89" t="str">
        <f t="shared" si="28"/>
        <v>4003/4004</v>
      </c>
      <c r="L100" s="185" t="str">
        <f>VLOOKUP(A100,'Trips&amp;Operators'!$C$1:$G$99911,5,FALSE)</f>
        <v>KILLION DAVID</v>
      </c>
      <c r="M100" s="6">
        <f t="shared" si="29"/>
        <v>2.7060185188020114E-2</v>
      </c>
      <c r="N100" s="7">
        <f t="shared" si="30"/>
        <v>38.966666670748964</v>
      </c>
      <c r="O100" s="7"/>
      <c r="P100" s="7"/>
      <c r="Q100" s="22"/>
      <c r="R100" s="174"/>
      <c r="S100" s="199">
        <f t="shared" si="31"/>
        <v>1</v>
      </c>
      <c r="T100" s="174" t="str">
        <f t="shared" si="32"/>
        <v>Southbound</v>
      </c>
      <c r="U100" s="22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25" t="str">
        <f t="shared" si="33"/>
        <v>https://d0f6bd738d7f1b3e5a7ca70fe4ff75f0.us-east-1.aws.found.io/app/kibana#/discover/Steve-Slow-Train-Analysis-(2080s-and-2083s)?_g=(refreshInterval:(display:Off,pause:!f,section:0,value:0),time:(from:'2017-10-12T14:13:50-0600',mode:absolute,to:'2017-10-12T17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0" s="226" t="str">
        <f>IF(AA100&lt;VLOOKUP(AG100,Variables!$AC$3:$AD$8,2,FALSE),"Y","N")</f>
        <v>N</v>
      </c>
      <c r="X100" s="226">
        <f t="shared" si="34"/>
        <v>1</v>
      </c>
      <c r="Y100" s="226">
        <f t="shared" si="35"/>
        <v>23.299099999999999</v>
      </c>
      <c r="Z100" s="226">
        <f t="shared" si="36"/>
        <v>1.52E-2</v>
      </c>
      <c r="AA100" s="226">
        <f t="shared" si="37"/>
        <v>23.283899999999999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8"/>
        <v>188</v>
      </c>
      <c r="AE100" s="77" t="str">
        <f t="shared" si="39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100" s="74" t="str">
        <f t="shared" si="40"/>
        <v>"C:\Program Files (x86)\AstroGrep\AstroGrep.exe" /e /r /s /spath="%USERPROFILE%\AppData\Local\Temp\OnboardLogs" /stypes="app*4003*20171012*" /stext=" 22:.+((SYSTEM_STATE.+slice.+state.+changed )|(ment ac)|(multiple cpu faults)|(system.+state.+changed )|(\[timeout)|(PRM\|1\|D)|(kpr)|(kdp)|(train st.+moving)|(\|lc)|(penalty))"</v>
      </c>
      <c r="AG100" s="182" t="str">
        <f t="shared" si="41"/>
        <v>EC</v>
      </c>
      <c r="AH100" s="78" t="str">
        <f t="shared" si="42"/>
        <v>"%USERPROFILE%\Documents\GitHub\eaglep3\Utilities\RefineRTDCRunTimes.py" --tripid 188-12 --locoid 4003 --swversion DE.1.0.9.0 --startMP 204:232991 --initTime 2017-10-12T15:13:50 --startdatetime 2017-10-12T15:27:14 --delay 53 --endMP 204:152 --enddatetime 2017-10-12T16:06:12 --enforcementcount 0 &gt;&gt;%USERPROFILE%\Documents\GitHub\eaglep3-reporting\EC\2017-10-12-refined-times.txt</v>
      </c>
      <c r="AI100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{"issue":{"subject":"","project_id":79,"tracker_id":40,"status_id":1,"priority_id":2,"assigned_to_id":338,"start_date":"2017-10-12","description":"","custom_fields":[{"id":1,"name":"Subdivision","value":"EC"},{"id":4,"name":"Milepost","value":"0.0152"},{"id":17,"name":"Train ID","value":"188-12"},{"id":16,"name":"Locomotive ID","value":"4003"},{"id":130,"name":"Impact","value":""},{"id":150,"name":"Time of Event (Mountain Time)","value":"16:06:12"},{"id":151,"name":"Denver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44"/>
        <v>start /low /b %USERPROFILE%\Documents\GitHub\eaglep3\Utilities\DownloadLogsFromS3.py --loco 4003 --day 2017-10-12</v>
      </c>
      <c r="AN100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6"/>
        <v>https://d0f6bd738d7f1b3e5a7ca70fe4ff75f0.us-east-1.aws.found.io/app/kibana#/discover/Steve-Slow-Train-Analysis-(2080s-and-2083s)?_g=(refreshInterval:(display:Off,pause:!f,section:0,value:0),time:(from:'2017-10-12T14:13:50-0600',mode:absolute,to:'2017-10-12T17:06:12-0600'))&amp;_a=(columns:!('Message%20ID',Summary),filters:!(),index:'emp_*',interval:auto,query:(query_string:(analyze_wildcard:!t,query:'%22rtdc.l.rtdc.4003%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727</v>
      </c>
      <c r="B101" s="7">
        <v>4026</v>
      </c>
      <c r="C101" s="21" t="s">
        <v>194</v>
      </c>
      <c r="D101" s="21" t="s">
        <v>392</v>
      </c>
      <c r="E101" s="13">
        <v>43020.609236111108</v>
      </c>
      <c r="F101" s="13">
        <v>43020.614733796298</v>
      </c>
      <c r="G101" s="7">
        <v>62</v>
      </c>
      <c r="H101" s="21" t="s">
        <v>830</v>
      </c>
      <c r="I101" s="13">
        <v>43020.638912037037</v>
      </c>
      <c r="J101" s="7">
        <v>0</v>
      </c>
      <c r="K101" s="89" t="str">
        <f t="shared" si="28"/>
        <v>4025/4026</v>
      </c>
      <c r="L101" s="185" t="str">
        <f>VLOOKUP(A101,'Trips&amp;Operators'!$C$1:$G$99911,5,FALSE)</f>
        <v>BRUDER RICHARD</v>
      </c>
      <c r="M101" s="6">
        <f t="shared" si="29"/>
        <v>2.417824073927477E-2</v>
      </c>
      <c r="N101" s="7">
        <f t="shared" si="30"/>
        <v>34.816666664555669</v>
      </c>
      <c r="O101" s="7"/>
      <c r="P101" s="7"/>
      <c r="Q101" s="22"/>
      <c r="R101" s="174"/>
      <c r="S101" s="199">
        <f t="shared" si="31"/>
        <v>1</v>
      </c>
      <c r="T101" s="174" t="str">
        <f t="shared" si="32"/>
        <v>NorthBound</v>
      </c>
      <c r="U101" s="22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25" t="str">
        <f t="shared" si="33"/>
        <v>https://d0f6bd738d7f1b3e5a7ca70fe4ff75f0.us-east-1.aws.found.io/app/kibana#/discover/Steve-Slow-Train-Analysis-(2080s-and-2083s)?_g=(refreshInterval:(display:Off,pause:!f,section:0,value:0),time:(from:'2017-10-12T13:37:18-0600',mode:absolute,to:'2017-10-12T16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226" t="str">
        <f>IF(AA101&lt;VLOOKUP(AG101,Variables!$AC$3:$AD$8,2,FALSE),"Y","N")</f>
        <v>N</v>
      </c>
      <c r="X101" s="226">
        <f t="shared" si="34"/>
        <v>1</v>
      </c>
      <c r="Y101" s="226">
        <f t="shared" si="35"/>
        <v>4.7300000000000002E-2</v>
      </c>
      <c r="Z101" s="226">
        <f t="shared" si="36"/>
        <v>23.329899999999999</v>
      </c>
      <c r="AA101" s="226">
        <f t="shared" si="37"/>
        <v>23.282599999999999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8"/>
        <v>189</v>
      </c>
      <c r="AE101" s="77" t="str">
        <f t="shared" si="39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01" s="74" t="str">
        <f t="shared" si="40"/>
        <v>"C:\Program Files (x86)\AstroGrep\AstroGrep.exe" /e /r /s /spath="%USERPROFILE%\AppData\Local\Temp\OnboardLogs" /stypes="app*4026*20171012*" /stext=" 21:.+((SYSTEM_STATE.+slice.+state.+changed )|(ment ac)|(multiple cpu faults)|(system.+state.+changed )|(\[timeout)|(PRM\|1\|D)|(kpr)|(kdp)|(train st.+moving)|(\|lc)|(penalty))"</v>
      </c>
      <c r="AG101" s="182" t="str">
        <f t="shared" si="41"/>
        <v>EC</v>
      </c>
      <c r="AH101" s="78" t="str">
        <f t="shared" si="42"/>
        <v>"%USERPROFILE%\Documents\GitHub\eaglep3\Utilities\RefineRTDCRunTimes.py" --tripid 189-12 --locoid 4026 --swversion DE.1.0.9.0 --startMP 204:473 --initTime 2017-10-12T14:37:18 --startdatetime 2017-10-12T14:45:13 --delay 62 --endMP 204:233299 --enddatetime 2017-10-12T15:20:02 --enforcementcount 0 &gt;&gt;%USERPROFILE%\Documents\GitHub\eaglep3-reporting\EC\2017-10-12-refined-times.txt</v>
      </c>
      <c r="AI101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{"issue":{"subject":"","project_id":79,"tracker_id":40,"status_id":1,"priority_id":2,"assigned_to_id":338,"start_date":"2017-10-12","description":"","custom_fields":[{"id":1,"name":"Subdivision","value":"EC"},{"id":4,"name":"Milepost","value":"23.3299"},{"id":17,"name":"Train ID","value":"189-12"},{"id":16,"name":"Locomotive ID","value":"4026"},{"id":130,"name":"Impact","value":""},{"id":150,"name":"Time of Event (Mountain Time)","value":"15:20:02"},{"id":151,"name":"Denver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44"/>
        <v>start /low /b %USERPROFILE%\Documents\GitHub\eaglep3\Utilities\DownloadLogsFromS3.py --loco 4026 --day 2017-10-12</v>
      </c>
      <c r="AN101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6"/>
        <v>https://d0f6bd738d7f1b3e5a7ca70fe4ff75f0.us-east-1.aws.found.io/app/kibana#/discover/Steve-Slow-Train-Analysis-(2080s-and-2083s)?_g=(refreshInterval:(display:Off,pause:!f,section:0,value:0),time:(from:'2017-10-12T13:37:18-0600',mode:absolute,to:'2017-10-12T16:20:02-0600'))&amp;_a=(columns:!('Message%20ID',Summary),filters:!(),index:'emp_*',interval:auto,query:(query_string:(analyze_wildcard:!t,query:'%22rtdc.l.rtdc.4026%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737</v>
      </c>
      <c r="B102" s="7">
        <v>4025</v>
      </c>
      <c r="C102" s="21" t="s">
        <v>194</v>
      </c>
      <c r="D102" s="21" t="s">
        <v>857</v>
      </c>
      <c r="E102" s="13">
        <v>43020.650648148148</v>
      </c>
      <c r="F102" s="13">
        <v>43020.654328703706</v>
      </c>
      <c r="G102" s="7">
        <v>58</v>
      </c>
      <c r="H102" s="21" t="s">
        <v>335</v>
      </c>
      <c r="I102" s="13">
        <v>43020.681134259263</v>
      </c>
      <c r="J102" s="7">
        <v>0</v>
      </c>
      <c r="K102" s="89" t="str">
        <f t="shared" si="28"/>
        <v>4025/4026</v>
      </c>
      <c r="L102" s="185" t="str">
        <f>VLOOKUP(A102,'Trips&amp;Operators'!$C$1:$G$99911,5,FALSE)</f>
        <v>BRUDER RICHARD</v>
      </c>
      <c r="M102" s="6">
        <f t="shared" si="29"/>
        <v>2.6805555557075422E-2</v>
      </c>
      <c r="N102" s="7">
        <f t="shared" si="30"/>
        <v>38.600000002188608</v>
      </c>
      <c r="O102" s="7"/>
      <c r="P102" s="7"/>
      <c r="Q102" s="22"/>
      <c r="R102" s="174"/>
      <c r="S102" s="199">
        <f t="shared" si="31"/>
        <v>1</v>
      </c>
      <c r="T102" s="174" t="str">
        <f t="shared" si="32"/>
        <v>Southbound</v>
      </c>
      <c r="U102" s="22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25" t="str">
        <f t="shared" si="33"/>
        <v>https://d0f6bd738d7f1b3e5a7ca70fe4ff75f0.us-east-1.aws.found.io/app/kibana#/discover/Steve-Slow-Train-Analysis-(2080s-and-2083s)?_g=(refreshInterval:(display:Off,pause:!f,section:0,value:0),time:(from:'2017-10-12T14:36:56-0600',mode:absolute,to:'2017-10-12T17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26" t="str">
        <f>IF(AA102&lt;VLOOKUP(AG102,Variables!$AC$3:$AD$8,2,FALSE),"Y","N")</f>
        <v>N</v>
      </c>
      <c r="X102" s="226">
        <f t="shared" si="34"/>
        <v>1</v>
      </c>
      <c r="Y102" s="226">
        <f t="shared" si="35"/>
        <v>23.2986</v>
      </c>
      <c r="Z102" s="226">
        <f t="shared" si="36"/>
        <v>1.4999999999999999E-2</v>
      </c>
      <c r="AA102" s="226">
        <f t="shared" si="37"/>
        <v>23.2836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8"/>
        <v>190</v>
      </c>
      <c r="AE102" s="77" t="str">
        <f t="shared" si="39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02" s="74" t="str">
        <f t="shared" si="40"/>
        <v>"C:\Program Files (x86)\AstroGrep\AstroGrep.exe" /e /r /s /spath="%USERPROFILE%\AppData\Local\Temp\OnboardLogs" /stypes="app*4025*20171012*" /stext=" 22:.+((SYSTEM_STATE.+slice.+state.+changed )|(ment ac)|(multiple cpu faults)|(system.+state.+changed )|(\[timeout)|(PRM\|1\|D)|(kpr)|(kdp)|(train st.+moving)|(\|lc)|(penalty))"</v>
      </c>
      <c r="AG102" s="182" t="str">
        <f t="shared" si="41"/>
        <v>EC</v>
      </c>
      <c r="AH102" s="78" t="str">
        <f t="shared" si="42"/>
        <v>"%USERPROFILE%\Documents\GitHub\eaglep3\Utilities\RefineRTDCRunTimes.py" --tripid 190-12 --locoid 4025 --swversion DE.1.0.9.0 --startMP 204:232986 --initTime 2017-10-12T15:36:56 --startdatetime 2017-10-12T15:42:14 --delay 58 --endMP 204:150 --enddatetime 2017-10-12T16:20:50 --enforcementcount 0 &gt;&gt;%USERPROFILE%\Documents\GitHub\eaglep3-reporting\EC\2017-10-12-refined-times.txt</v>
      </c>
      <c r="AI102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{"issue":{"subject":"","project_id":79,"tracker_id":40,"status_id":1,"priority_id":2,"assigned_to_id":338,"start_date":"2017-10-12","description":"","custom_fields":[{"id":1,"name":"Subdivision","value":"EC"},{"id":4,"name":"Milepost","value":"0.015"},{"id":17,"name":"Train ID","value":"190-12"},{"id":16,"name":"Locomotive ID","value":"4025"},{"id":130,"name":"Impact","value":""},{"id":150,"name":"Time of Event (Mountain Time)","value":"16:20:50"},{"id":151,"name":"Denver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4"/>
        <v>start /low /b %USERPROFILE%\Documents\GitHub\eaglep3\Utilities\DownloadLogsFromS3.py --loco 4025 --day 2017-10-12</v>
      </c>
      <c r="AN102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6"/>
        <v>https://d0f6bd738d7f1b3e5a7ca70fe4ff75f0.us-east-1.aws.found.io/app/kibana#/discover/Steve-Slow-Train-Analysis-(2080s-and-2083s)?_g=(refreshInterval:(display:Off,pause:!f,section:0,value:0),time:(from:'2017-10-12T14:36:56-0600',mode:absolute,to:'2017-10-12T17:20:50-0600'))&amp;_a=(columns:!('Message%20ID',Summary),filters:!(),index:'emp_*',interval:auto,query:(query_string:(analyze_wildcard:!t,query:'%22rtdc.l.rtdc.4025%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729</v>
      </c>
      <c r="B103" s="7">
        <v>4064</v>
      </c>
      <c r="C103" s="21" t="s">
        <v>194</v>
      </c>
      <c r="D103" s="21" t="s">
        <v>858</v>
      </c>
      <c r="E103" s="13">
        <v>43020.621898148151</v>
      </c>
      <c r="F103" s="13">
        <v>43020.629861111112</v>
      </c>
      <c r="G103" s="7">
        <v>73</v>
      </c>
      <c r="H103" s="21" t="s">
        <v>845</v>
      </c>
      <c r="I103" s="13">
        <v>43020.651944444442</v>
      </c>
      <c r="J103" s="7">
        <v>0</v>
      </c>
      <c r="K103" s="89" t="str">
        <f t="shared" si="28"/>
        <v>4063/4064</v>
      </c>
      <c r="L103" s="185" t="str">
        <f>VLOOKUP(A103,'Trips&amp;Operators'!$C$1:$G$99911,5,FALSE)</f>
        <v>STEWART MICHAEL</v>
      </c>
      <c r="M103" s="6">
        <f t="shared" si="29"/>
        <v>2.2083333329646848E-2</v>
      </c>
      <c r="N103" s="7">
        <f t="shared" si="30"/>
        <v>31.799999994691461</v>
      </c>
      <c r="O103" s="7"/>
      <c r="P103" s="7"/>
      <c r="Q103" s="22"/>
      <c r="R103" s="174"/>
      <c r="S103" s="199">
        <f t="shared" si="31"/>
        <v>1</v>
      </c>
      <c r="T103" s="174" t="str">
        <f t="shared" si="32"/>
        <v>NorthBound</v>
      </c>
      <c r="U103" s="22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25" t="str">
        <f t="shared" si="33"/>
        <v>https://d0f6bd738d7f1b3e5a7ca70fe4ff75f0.us-east-1.aws.found.io/app/kibana#/discover/Steve-Slow-Train-Analysis-(2080s-and-2083s)?_g=(refreshInterval:(display:Off,pause:!f,section:0,value:0),time:(from:'2017-10-12T13:55:32-0600',mode:absolute,to:'2017-10-12T16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3" s="226" t="str">
        <f>IF(AA103&lt;VLOOKUP(AG103,Variables!$AC$3:$AD$8,2,FALSE),"Y","N")</f>
        <v>Y</v>
      </c>
      <c r="X103" s="226">
        <f t="shared" si="34"/>
        <v>1</v>
      </c>
      <c r="Y103" s="226">
        <f t="shared" si="35"/>
        <v>1.9126000000000001</v>
      </c>
      <c r="Z103" s="226">
        <f t="shared" si="36"/>
        <v>23.328700000000001</v>
      </c>
      <c r="AA103" s="226">
        <f t="shared" si="37"/>
        <v>21.4161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8"/>
        <v>191</v>
      </c>
      <c r="AE103" s="77" t="str">
        <f t="shared" si="39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03" s="74" t="str">
        <f t="shared" si="40"/>
        <v>"C:\Program Files (x86)\AstroGrep\AstroGrep.exe" /e /r /s /spath="%USERPROFILE%\AppData\Local\Temp\OnboardLogs" /stypes="app*4064*20171012*" /stext=" 21:.+((SYSTEM_STATE.+slice.+state.+changed )|(ment ac)|(multiple cpu faults)|(system.+state.+changed )|(\[timeout)|(PRM\|1\|D)|(kpr)|(kdp)|(train st.+moving)|(\|lc)|(penalty))"</v>
      </c>
      <c r="AG103" s="182" t="str">
        <f t="shared" si="41"/>
        <v>EC</v>
      </c>
      <c r="AH103" s="78" t="str">
        <f t="shared" si="42"/>
        <v>"%USERPROFILE%\Documents\GitHub\eaglep3\Utilities\RefineRTDCRunTimes.py" --tripid 191-12 --locoid 4064 --swversion DE.1.0.9.0 --startMP 204:19126 --initTime 2017-10-12T14:55:32 --startdatetime 2017-10-12T15:07:00 --delay 73 --endMP 204:233287 --enddatetime 2017-10-12T15:38:48 --enforcementcount 0 &gt;&gt;%USERPROFILE%\Documents\GitHub\eaglep3-reporting\EC\2017-10-12-refined-times.txt</v>
      </c>
      <c r="AI103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{"issue":{"subject":"","project_id":79,"tracker_id":40,"status_id":1,"priority_id":2,"assigned_to_id":338,"start_date":"2017-10-12","description":"","custom_fields":[{"id":1,"name":"Subdivision","value":"EC"},{"id":4,"name":"Milepost","value":"23.3287"},{"id":17,"name":"Train ID","value":"191-12"},{"id":16,"name":"Locomotive ID","value":"4064"},{"id":130,"name":"Impact","value":""},{"id":150,"name":"Time of Event (Mountain Time)","value":"15:38:48"},{"id":151,"name":"Denver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4"/>
        <v>start /low /b %USERPROFILE%\Documents\GitHub\eaglep3\Utilities\DownloadLogsFromS3.py --loco 4064 --day 2017-10-12</v>
      </c>
      <c r="AN103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6"/>
        <v>https://d0f6bd738d7f1b3e5a7ca70fe4ff75f0.us-east-1.aws.found.io/app/kibana#/discover/Steve-Slow-Train-Analysis-(2080s-and-2083s)?_g=(refreshInterval:(display:Off,pause:!f,section:0,value:0),time:(from:'2017-10-12T13:55:32-0600',mode:absolute,to:'2017-10-12T16:38:48-0600'))&amp;_a=(columns:!('Message%20ID',Summary),filters:!(),index:'emp_*',interval:auto,query:(query_string:(analyze_wildcard:!t,query:'%22rtdc.l.rtdc.4064%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729</v>
      </c>
      <c r="B104" s="7">
        <v>4064</v>
      </c>
      <c r="C104" s="21" t="s">
        <v>194</v>
      </c>
      <c r="D104" s="21" t="s">
        <v>858</v>
      </c>
      <c r="E104" s="13">
        <v>43020.628217592595</v>
      </c>
      <c r="F104" s="13">
        <v>43020.629861111112</v>
      </c>
      <c r="G104" s="7">
        <v>86</v>
      </c>
      <c r="H104" s="21" t="s">
        <v>845</v>
      </c>
      <c r="I104" s="13">
        <v>43020.651944444442</v>
      </c>
      <c r="J104" s="7">
        <v>0</v>
      </c>
      <c r="K104" s="89" t="str">
        <f t="shared" si="28"/>
        <v>4063/4064</v>
      </c>
      <c r="L104" s="185" t="str">
        <f>VLOOKUP(A104,'Trips&amp;Operators'!$C$1:$G$99911,5,FALSE)</f>
        <v>STEWART MICHAEL</v>
      </c>
      <c r="M104" s="6">
        <f t="shared" si="29"/>
        <v>2.2083333329646848E-2</v>
      </c>
      <c r="N104" s="7">
        <f t="shared" si="30"/>
        <v>31.799999994691461</v>
      </c>
      <c r="O104" s="7"/>
      <c r="P104" s="7"/>
      <c r="Q104" s="22"/>
      <c r="R104" s="174"/>
      <c r="S104" s="199">
        <f t="shared" si="31"/>
        <v>1</v>
      </c>
      <c r="T104" s="174" t="str">
        <f t="shared" si="32"/>
        <v>NorthBound</v>
      </c>
      <c r="U104" s="22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25" t="str">
        <f t="shared" si="33"/>
        <v>https://d0f6bd738d7f1b3e5a7ca70fe4ff75f0.us-east-1.aws.found.io/app/kibana#/discover/Steve-Slow-Train-Analysis-(2080s-and-2083s)?_g=(refreshInterval:(display:Off,pause:!f,section:0,value:0),time:(from:'2017-10-12T14:04:38-0600',mode:absolute,to:'2017-10-12T16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4" s="226" t="str">
        <f>IF(AA104&lt;VLOOKUP(AG104,Variables!$AC$3:$AD$8,2,FALSE),"Y","N")</f>
        <v>Y</v>
      </c>
      <c r="X104" s="226">
        <f t="shared" si="34"/>
        <v>0</v>
      </c>
      <c r="Y104" s="226">
        <f t="shared" si="35"/>
        <v>1.9126000000000001</v>
      </c>
      <c r="Z104" s="226">
        <f t="shared" si="36"/>
        <v>23.328700000000001</v>
      </c>
      <c r="AA104" s="226">
        <f t="shared" si="37"/>
        <v>21.4161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8"/>
        <v>191</v>
      </c>
      <c r="AE104" s="77" t="str">
        <f t="shared" si="39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04" s="74" t="str">
        <f t="shared" si="40"/>
        <v>"C:\Program Files (x86)\AstroGrep\AstroGrep.exe" /e /r /s /spath="%USERPROFILE%\AppData\Local\Temp\OnboardLogs" /stypes="app*4064*20171012*" /stext=" 21:.+((SYSTEM_STATE.+slice.+state.+changed )|(ment ac)|(multiple cpu faults)|(system.+state.+changed )|(\[timeout)|(PRM\|1\|D)|(kpr)|(kdp)|(train st.+moving)|(\|lc)|(penalty))"</v>
      </c>
      <c r="AG104" s="182" t="str">
        <f t="shared" si="41"/>
        <v>EC</v>
      </c>
      <c r="AH104" s="78" t="str">
        <f t="shared" si="42"/>
        <v>"%USERPROFILE%\Documents\GitHub\eaglep3\Utilities\RefineRTDCRunTimes.py" --tripid 191-12 --locoid 4064 --swversion DE.1.0.9.0 --startMP 204:19126 --initTime 2017-10-12T15:04:38 --startdatetime 2017-10-12T15:07:00 --delay 86 --endMP 204:233287 --enddatetime 2017-10-12T15:38:48 --enforcementcount 0 &gt;&gt;%USERPROFILE%\Documents\GitHub\eaglep3-reporting\EC\2017-10-12-refined-times.txt</v>
      </c>
      <c r="AI104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{"issue":{"subject":"","project_id":79,"tracker_id":40,"status_id":1,"priority_id":2,"assigned_to_id":338,"start_date":"2017-10-12","description":"","custom_fields":[{"id":1,"name":"Subdivision","value":"EC"},{"id":4,"name":"Milepost","value":"23.3287"},{"id":17,"name":"Train ID","value":"191-12"},{"id":16,"name":"Locomotive ID","value":"4064"},{"id":130,"name":"Impact","value":""},{"id":150,"name":"Time of Event (Mountain Time)","value":"15:38:48"},{"id":151,"name":"Denver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4"/>
        <v>start /low /b %USERPROFILE%\Documents\GitHub\eaglep3\Utilities\DownloadLogsFromS3.py --loco 4064 --day 2017-10-12</v>
      </c>
      <c r="AN104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6"/>
        <v>https://d0f6bd738d7f1b3e5a7ca70fe4ff75f0.us-east-1.aws.found.io/app/kibana#/discover/Steve-Slow-Train-Analysis-(2080s-and-2083s)?_g=(refreshInterval:(display:Off,pause:!f,section:0,value:0),time:(from:'2017-10-12T14:04:38-0600',mode:absolute,to:'2017-10-12T16:38:48-0600'))&amp;_a=(columns:!('Message%20ID',Summary),filters:!(),index:'emp_*',interval:auto,query:(query_string:(analyze_wildcard:!t,query:'%22rtdc.l.rtdc.4064%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740</v>
      </c>
      <c r="B105" s="7">
        <v>4063</v>
      </c>
      <c r="C105" s="21" t="s">
        <v>194</v>
      </c>
      <c r="D105" s="21" t="s">
        <v>859</v>
      </c>
      <c r="E105" s="13">
        <v>43020.661979166667</v>
      </c>
      <c r="F105" s="13">
        <v>43020.664814814816</v>
      </c>
      <c r="G105" s="7">
        <v>72</v>
      </c>
      <c r="H105" s="21" t="s">
        <v>403</v>
      </c>
      <c r="I105" s="13">
        <v>43020.693414351852</v>
      </c>
      <c r="J105" s="7">
        <v>0</v>
      </c>
      <c r="K105" s="89" t="str">
        <f t="shared" si="28"/>
        <v>4063/4064</v>
      </c>
      <c r="L105" s="185" t="str">
        <f>VLOOKUP(A105,'Trips&amp;Operators'!$C$1:$G$99911,5,FALSE)</f>
        <v>STEWART MICHAEL</v>
      </c>
      <c r="M105" s="6">
        <f t="shared" si="29"/>
        <v>2.8599537035916001E-2</v>
      </c>
      <c r="N105" s="7">
        <f t="shared" si="30"/>
        <v>41.183333331719041</v>
      </c>
      <c r="O105" s="7"/>
      <c r="P105" s="7"/>
      <c r="Q105" s="22"/>
      <c r="R105" s="174"/>
      <c r="S105" s="199">
        <f t="shared" si="31"/>
        <v>1</v>
      </c>
      <c r="T105" s="174" t="str">
        <f t="shared" si="32"/>
        <v>Southbound</v>
      </c>
      <c r="U105" s="22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25" t="str">
        <f t="shared" si="33"/>
        <v>https://d0f6bd738d7f1b3e5a7ca70fe4ff75f0.us-east-1.aws.found.io/app/kibana#/discover/Steve-Slow-Train-Analysis-(2080s-and-2083s)?_g=(refreshInterval:(display:Off,pause:!f,section:0,value:0),time:(from:'2017-10-12T14:53:15-0600',mode:absolute,to:'2017-10-12T17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5" s="226" t="str">
        <f>IF(AA105&lt;VLOOKUP(AG105,Variables!$AC$3:$AD$8,2,FALSE),"Y","N")</f>
        <v>N</v>
      </c>
      <c r="X105" s="226">
        <f t="shared" si="34"/>
        <v>1</v>
      </c>
      <c r="Y105" s="226">
        <f t="shared" si="35"/>
        <v>23.297000000000001</v>
      </c>
      <c r="Z105" s="226">
        <f t="shared" si="36"/>
        <v>1.6E-2</v>
      </c>
      <c r="AA105" s="226">
        <f t="shared" si="37"/>
        <v>23.281000000000002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8"/>
        <v>192</v>
      </c>
      <c r="AE105" s="77" t="str">
        <f t="shared" si="39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105" s="74" t="str">
        <f t="shared" si="40"/>
        <v>"C:\Program Files (x86)\AstroGrep\AstroGrep.exe" /e /r /s /spath="%USERPROFILE%\AppData\Local\Temp\OnboardLogs" /stypes="app*4063*20171012*" /stext=" 22:.+((SYSTEM_STATE.+slice.+state.+changed )|(ment ac)|(multiple cpu faults)|(system.+state.+changed )|(\[timeout)|(PRM\|1\|D)|(kpr)|(kdp)|(train st.+moving)|(\|lc)|(penalty))"</v>
      </c>
      <c r="AG105" s="182" t="str">
        <f t="shared" si="41"/>
        <v>EC</v>
      </c>
      <c r="AH105" s="78" t="str">
        <f t="shared" si="42"/>
        <v>"%USERPROFILE%\Documents\GitHub\eaglep3\Utilities\RefineRTDCRunTimes.py" --tripid 192-12 --locoid 4063 --swversion DE.1.0.9.0 --startMP 204:232970 --initTime 2017-10-12T15:53:15 --startdatetime 2017-10-12T15:57:20 --delay 72 --endMP 204:160 --enddatetime 2017-10-12T16:38:31 --enforcementcount 0 &gt;&gt;%USERPROFILE%\Documents\GitHub\eaglep3-reporting\EC\2017-10-12-refined-times.txt</v>
      </c>
      <c r="AI105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{"issue":{"subject":"","project_id":79,"tracker_id":40,"status_id":1,"priority_id":2,"assigned_to_id":338,"start_date":"2017-10-12","description":"","custom_fields":[{"id":1,"name":"Subdivision","value":"EC"},{"id":4,"name":"Milepost","value":"0.016"},{"id":17,"name":"Train ID","value":"192-12"},{"id":16,"name":"Locomotive ID","value":"4063"},{"id":130,"name":"Impact","value":""},{"id":150,"name":"Time of Event (Mountain Time)","value":"16:38:31"},{"id":151,"name":"Denver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4"/>
        <v>start /low /b %USERPROFILE%\Documents\GitHub\eaglep3\Utilities\DownloadLogsFromS3.py --loco 4063 --day 2017-10-12</v>
      </c>
      <c r="AN105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6"/>
        <v>https://d0f6bd738d7f1b3e5a7ca70fe4ff75f0.us-east-1.aws.found.io/app/kibana#/discover/Steve-Slow-Train-Analysis-(2080s-and-2083s)?_g=(refreshInterval:(display:Off,pause:!f,section:0,value:0),time:(from:'2017-10-12T14:53:15-0600',mode:absolute,to:'2017-10-12T17:38:31-0600'))&amp;_a=(columns:!('Message%20ID',Summary),filters:!(),index:'emp_*',interval:auto,query:(query_string:(analyze_wildcard:!t,query:'%22rtdc.l.rtdc.4063%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591</v>
      </c>
      <c r="B106" s="7">
        <v>4066</v>
      </c>
      <c r="C106" s="21" t="s">
        <v>194</v>
      </c>
      <c r="D106" s="21" t="s">
        <v>380</v>
      </c>
      <c r="E106" s="13">
        <v>43020.631157407406</v>
      </c>
      <c r="F106" s="13">
        <v>43020.635567129626</v>
      </c>
      <c r="G106" s="7">
        <v>61</v>
      </c>
      <c r="H106" s="21" t="s">
        <v>860</v>
      </c>
      <c r="I106" s="13">
        <v>43020.661608796298</v>
      </c>
      <c r="J106" s="7">
        <v>0</v>
      </c>
      <c r="K106" s="89" t="str">
        <f t="shared" si="28"/>
        <v>4065/4066</v>
      </c>
      <c r="L106" s="185" t="str">
        <f>VLOOKUP(A106,'Trips&amp;Operators'!$C$1:$G$99911,5,FALSE)</f>
        <v>LEVIN SCOTT</v>
      </c>
      <c r="M106" s="6">
        <f t="shared" si="29"/>
        <v>2.6041666671517305E-2</v>
      </c>
      <c r="N106" s="7">
        <f t="shared" si="30"/>
        <v>37.500000006984919</v>
      </c>
      <c r="O106" s="7"/>
      <c r="P106" s="7"/>
      <c r="Q106" s="22"/>
      <c r="R106" s="174"/>
      <c r="S106" s="199">
        <f t="shared" si="31"/>
        <v>1</v>
      </c>
      <c r="T106" s="174" t="str">
        <f t="shared" si="32"/>
        <v>NorthBound</v>
      </c>
      <c r="U106" s="22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25" t="str">
        <f t="shared" si="33"/>
        <v>https://d0f6bd738d7f1b3e5a7ca70fe4ff75f0.us-east-1.aws.found.io/app/kibana#/discover/Steve-Slow-Train-Analysis-(2080s-and-2083s)?_g=(refreshInterval:(display:Off,pause:!f,section:0,value:0),time:(from:'2017-10-12T14:08:52-0600',mode:absolute,to:'2017-10-12T16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6" s="226" t="str">
        <f>IF(AA106&lt;VLOOKUP(AG106,Variables!$AC$3:$AD$8,2,FALSE),"Y","N")</f>
        <v>N</v>
      </c>
      <c r="X106" s="226">
        <f t="shared" si="34"/>
        <v>1</v>
      </c>
      <c r="Y106" s="226">
        <f t="shared" si="35"/>
        <v>4.5699999999999998E-2</v>
      </c>
      <c r="Z106" s="226">
        <f t="shared" si="36"/>
        <v>23.336200000000002</v>
      </c>
      <c r="AA106" s="226">
        <f t="shared" si="37"/>
        <v>23.290500000000002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8"/>
        <v>193</v>
      </c>
      <c r="AE106" s="77" t="str">
        <f t="shared" si="39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106" s="74" t="str">
        <f t="shared" si="40"/>
        <v>"C:\Program Files (x86)\AstroGrep\AstroGrep.exe" /e /r /s /spath="%USERPROFILE%\AppData\Local\Temp\OnboardLogs" /stypes="app*4066*20171012*" /stext=" 21:.+((SYSTEM_STATE.+slice.+state.+changed )|(ment ac)|(multiple cpu faults)|(system.+state.+changed )|(\[timeout)|(PRM\|1\|D)|(kpr)|(kdp)|(train st.+moving)|(\|lc)|(penalty))"</v>
      </c>
      <c r="AG106" s="182" t="str">
        <f t="shared" si="41"/>
        <v>EC</v>
      </c>
      <c r="AH106" s="78" t="str">
        <f t="shared" si="42"/>
        <v>"%USERPROFILE%\Documents\GitHub\eaglep3\Utilities\RefineRTDCRunTimes.py" --tripid 193-12 --locoid 4066 --swversion DE.1.0.9.0 --startMP 204:457 --initTime 2017-10-12T15:08:52 --startdatetime 2017-10-12T15:15:13 --delay 61 --endMP 204:233362 --enddatetime 2017-10-12T15:52:43 --enforcementcount 0 &gt;&gt;%USERPROFILE%\Documents\GitHub\eaglep3-reporting\EC\2017-10-12-refined-times.txt</v>
      </c>
      <c r="AI106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{"issue":{"subject":"","project_id":79,"tracker_id":40,"status_id":1,"priority_id":2,"assigned_to_id":338,"start_date":"2017-10-12","description":"","custom_fields":[{"id":1,"name":"Subdivision","value":"EC"},{"id":4,"name":"Milepost","value":"23.3362"},{"id":17,"name":"Train ID","value":"193-12"},{"id":16,"name":"Locomotive ID","value":"4066"},{"id":130,"name":"Impact","value":""},{"id":150,"name":"Time of Event (Mountain Time)","value":"15:52:43"},{"id":151,"name":"Denver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4"/>
        <v>start /low /b %USERPROFILE%\Documents\GitHub\eaglep3\Utilities\DownloadLogsFromS3.py --loco 4066 --day 2017-10-12</v>
      </c>
      <c r="AN106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6"/>
        <v>https://d0f6bd738d7f1b3e5a7ca70fe4ff75f0.us-east-1.aws.found.io/app/kibana#/discover/Steve-Slow-Train-Analysis-(2080s-and-2083s)?_g=(refreshInterval:(display:Off,pause:!f,section:0,value:0),time:(from:'2017-10-12T14:08:52-0600',mode:absolute,to:'2017-10-12T16:52:43-0600'))&amp;_a=(columns:!('Message%20ID',Summary),filters:!(),index:'emp_*',interval:auto,query:(query_string:(analyze_wildcard:!t,query:'%22rtdc.l.rtdc.4066%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743</v>
      </c>
      <c r="B107" s="7">
        <v>4065</v>
      </c>
      <c r="C107" s="21" t="s">
        <v>194</v>
      </c>
      <c r="D107" s="21" t="s">
        <v>861</v>
      </c>
      <c r="E107" s="13">
        <v>43020.669016203705</v>
      </c>
      <c r="F107" s="13">
        <v>43020.675173611111</v>
      </c>
      <c r="G107" s="7">
        <v>58</v>
      </c>
      <c r="H107" s="21" t="s">
        <v>356</v>
      </c>
      <c r="I107" s="13">
        <v>43020.701643518521</v>
      </c>
      <c r="J107" s="7">
        <v>0</v>
      </c>
      <c r="K107" s="89" t="str">
        <f t="shared" si="28"/>
        <v>4065/4066</v>
      </c>
      <c r="L107" s="185" t="str">
        <f>VLOOKUP(A107,'Trips&amp;Operators'!$C$1:$G$99911,5,FALSE)</f>
        <v>LEVIN SCOTT</v>
      </c>
      <c r="M107" s="6">
        <f t="shared" si="29"/>
        <v>2.6469907410501037E-2</v>
      </c>
      <c r="N107" s="7">
        <f t="shared" si="30"/>
        <v>38.116666671121493</v>
      </c>
      <c r="O107" s="7"/>
      <c r="P107" s="7"/>
      <c r="Q107" s="22"/>
      <c r="R107" s="174"/>
      <c r="S107" s="199">
        <f t="shared" si="31"/>
        <v>1</v>
      </c>
      <c r="T107" s="174" t="str">
        <f t="shared" si="32"/>
        <v>Southbound</v>
      </c>
      <c r="U107" s="22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25" t="str">
        <f t="shared" si="33"/>
        <v>https://d0f6bd738d7f1b3e5a7ca70fe4ff75f0.us-east-1.aws.found.io/app/kibana#/discover/Steve-Slow-Train-Analysis-(2080s-and-2083s)?_g=(refreshInterval:(display:Off,pause:!f,section:0,value:0),time:(from:'2017-10-12T15:03:23-0600',mode:absolute,to:'2017-10-12T17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7" s="226" t="str">
        <f>IF(AA107&lt;VLOOKUP(AG107,Variables!$AC$3:$AD$8,2,FALSE),"Y","N")</f>
        <v>N</v>
      </c>
      <c r="X107" s="226">
        <f t="shared" si="34"/>
        <v>1</v>
      </c>
      <c r="Y107" s="226">
        <f t="shared" si="35"/>
        <v>23.302600000000002</v>
      </c>
      <c r="Z107" s="226">
        <f t="shared" si="36"/>
        <v>1.4500000000000001E-2</v>
      </c>
      <c r="AA107" s="226">
        <f t="shared" si="37"/>
        <v>23.2881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8"/>
        <v>194</v>
      </c>
      <c r="AE107" s="77" t="str">
        <f t="shared" si="39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107" s="74" t="str">
        <f t="shared" si="40"/>
        <v>"C:\Program Files (x86)\AstroGrep\AstroGrep.exe" /e /r /s /spath="%USERPROFILE%\AppData\Local\Temp\OnboardLogs" /stypes="app*4065*20171012*" /stext=" 22:.+((SYSTEM_STATE.+slice.+state.+changed )|(ment ac)|(multiple cpu faults)|(system.+state.+changed )|(\[timeout)|(PRM\|1\|D)|(kpr)|(kdp)|(train st.+moving)|(\|lc)|(penalty))"</v>
      </c>
      <c r="AG107" s="182" t="str">
        <f t="shared" si="41"/>
        <v>EC</v>
      </c>
      <c r="AH107" s="78" t="str">
        <f t="shared" si="42"/>
        <v>"%USERPROFILE%\Documents\GitHub\eaglep3\Utilities\RefineRTDCRunTimes.py" --tripid 194-12 --locoid 4065 --swversion DE.1.0.9.0 --startMP 204:233026 --initTime 2017-10-12T16:03:23 --startdatetime 2017-10-12T16:12:15 --delay 58 --endMP 204:145 --enddatetime 2017-10-12T16:50:22 --enforcementcount 0 &gt;&gt;%USERPROFILE%\Documents\GitHub\eaglep3-reporting\EC\2017-10-12-refined-times.txt</v>
      </c>
      <c r="AI107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ID","value":"194-12"},{"id":16,"name":"Locomotive ID","value":"4065"},{"id":130,"name":"Impact","value":""},{"id":150,"name":"Time of Event (Mountain Time)","value":"16:50:22"},{"id":151,"name":"Denver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4"/>
        <v>start /low /b %USERPROFILE%\Documents\GitHub\eaglep3\Utilities\DownloadLogsFromS3.py --loco 4065 --day 2017-10-12</v>
      </c>
      <c r="AN107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6"/>
        <v>https://d0f6bd738d7f1b3e5a7ca70fe4ff75f0.us-east-1.aws.found.io/app/kibana#/discover/Steve-Slow-Train-Analysis-(2080s-and-2083s)?_g=(refreshInterval:(display:Off,pause:!f,section:0,value:0),time:(from:'2017-10-12T15:03:23-0600',mode:absolute,to:'2017-10-12T17:50:22-0600'))&amp;_a=(columns:!('Message%20ID',Summary),filters:!(),index:'emp_*',interval:auto,query:(query_string:(analyze_wildcard:!t,query:'%22rtdc.l.rtdc.4065%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733</v>
      </c>
      <c r="B108" s="7">
        <v>4002</v>
      </c>
      <c r="C108" s="21" t="s">
        <v>194</v>
      </c>
      <c r="D108" s="21" t="s">
        <v>334</v>
      </c>
      <c r="E108" s="13">
        <v>43020.641342592593</v>
      </c>
      <c r="F108" s="13">
        <v>43020.646018518521</v>
      </c>
      <c r="G108" s="7">
        <v>124</v>
      </c>
      <c r="H108" s="21" t="s">
        <v>856</v>
      </c>
      <c r="I108" s="13">
        <v>43020.671527777777</v>
      </c>
      <c r="J108" s="7">
        <v>0</v>
      </c>
      <c r="K108" s="89" t="str">
        <f t="shared" si="28"/>
        <v>4001/4002</v>
      </c>
      <c r="L108" s="185" t="str">
        <f>VLOOKUP(A108,'Trips&amp;Operators'!$C$1:$G$99911,5,FALSE)</f>
        <v>BERLING GARY</v>
      </c>
      <c r="M108" s="6">
        <f t="shared" si="29"/>
        <v>2.5509259256068617E-2</v>
      </c>
      <c r="N108" s="7">
        <f t="shared" si="30"/>
        <v>36.733333328738809</v>
      </c>
      <c r="O108" s="7"/>
      <c r="P108" s="7"/>
      <c r="Q108" s="22"/>
      <c r="R108" s="174"/>
      <c r="S108" s="199">
        <f t="shared" si="31"/>
        <v>1</v>
      </c>
      <c r="T108" s="174" t="str">
        <f t="shared" si="32"/>
        <v>NorthBound</v>
      </c>
      <c r="U108" s="22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25" t="str">
        <f t="shared" si="33"/>
        <v>https://d0f6bd738d7f1b3e5a7ca70fe4ff75f0.us-east-1.aws.found.io/app/kibana#/discover/Steve-Slow-Train-Analysis-(2080s-and-2083s)?_g=(refreshInterval:(display:Off,pause:!f,section:0,value:0),time:(from:'2017-10-12T14:23:32-0600',mode:absolute,to:'2017-10-12T17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226" t="str">
        <f>IF(AA108&lt;VLOOKUP(AG108,Variables!$AC$3:$AD$8,2,FALSE),"Y","N")</f>
        <v>N</v>
      </c>
      <c r="X108" s="226">
        <f t="shared" si="34"/>
        <v>1</v>
      </c>
      <c r="Y108" s="226">
        <f t="shared" si="35"/>
        <v>4.4600000000000001E-2</v>
      </c>
      <c r="Z108" s="226">
        <f t="shared" si="36"/>
        <v>23.33</v>
      </c>
      <c r="AA108" s="226">
        <f t="shared" si="37"/>
        <v>23.285399999999999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8"/>
        <v>195</v>
      </c>
      <c r="AE108" s="77" t="str">
        <f t="shared" si="39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108" s="74" t="str">
        <f t="shared" si="40"/>
        <v>"C:\Program Files (x86)\AstroGrep\AstroGrep.exe" /e /r /s /spath="%USERPROFILE%\AppData\Local\Temp\OnboardLogs" /stypes="app*4002*20171012*" /stext=" 22:.+((SYSTEM_STATE.+slice.+state.+changed )|(ment ac)|(multiple cpu faults)|(system.+state.+changed )|(\[timeout)|(PRM\|1\|D)|(kpr)|(kdp)|(train st.+moving)|(\|lc)|(penalty))"</v>
      </c>
      <c r="AG108" s="182" t="str">
        <f t="shared" si="41"/>
        <v>EC</v>
      </c>
      <c r="AH108" s="78" t="str">
        <f t="shared" si="42"/>
        <v>"%USERPROFILE%\Documents\GitHub\eaglep3\Utilities\RefineRTDCRunTimes.py" --tripid 195-12 --locoid 4002 --swversion DE.1.0.9.0 --startMP 204:446 --initTime 2017-10-12T15:23:32 --startdatetime 2017-10-12T15:30:16 --delay 124 --endMP 204:233300 --enddatetime 2017-10-12T16:07:00 --enforcementcount 0 &gt;&gt;%USERPROFILE%\Documents\GitHub\eaglep3-reporting\EC\2017-10-12-refined-times.txt</v>
      </c>
      <c r="AI108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{"issue":{"subject":"","project_id":79,"tracker_id":40,"status_id":1,"priority_id":2,"assigned_to_id":338,"start_date":"2017-10-12","description":"","custom_fields":[{"id":1,"name":"Subdivision","value":"EC"},{"id":4,"name":"Milepost","value":"23.33"},{"id":17,"name":"Train ID","value":"195-12"},{"id":16,"name":"Locomotive ID","value":"4002"},{"id":130,"name":"Impact","value":""},{"id":150,"name":"Time of Event (Mountain Time)","value":"16:07:00"},{"id":151,"name":"Denver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4"/>
        <v>start /low /b %USERPROFILE%\Documents\GitHub\eaglep3\Utilities\DownloadLogsFromS3.py --loco 4002 --day 2017-10-12</v>
      </c>
      <c r="AN108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6"/>
        <v>https://d0f6bd738d7f1b3e5a7ca70fe4ff75f0.us-east-1.aws.found.io/app/kibana#/discover/Steve-Slow-Train-Analysis-(2080s-and-2083s)?_g=(refreshInterval:(display:Off,pause:!f,section:0,value:0),time:(from:'2017-10-12T14:23:32-0600',mode:absolute,to:'2017-10-12T17:07:00-0600'))&amp;_a=(columns:!('Message%20ID',Summary),filters:!(),index:'emp_*',interval:auto,query:(query_string:(analyze_wildcard:!t,query:'%22rtdc.l.rtdc.4002%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746</v>
      </c>
      <c r="B109" s="7">
        <v>4001</v>
      </c>
      <c r="C109" s="21" t="s">
        <v>194</v>
      </c>
      <c r="D109" s="21" t="s">
        <v>443</v>
      </c>
      <c r="E109" s="13">
        <v>43020.678553240738</v>
      </c>
      <c r="F109" s="13">
        <v>43020.685567129629</v>
      </c>
      <c r="G109" s="7">
        <v>151</v>
      </c>
      <c r="H109" s="21" t="s">
        <v>821</v>
      </c>
      <c r="I109" s="13">
        <v>43020.712511574071</v>
      </c>
      <c r="J109" s="7">
        <v>0</v>
      </c>
      <c r="K109" s="89" t="str">
        <f t="shared" si="28"/>
        <v>4001/4002</v>
      </c>
      <c r="L109" s="185" t="str">
        <f>VLOOKUP(A109,'Trips&amp;Operators'!$C$1:$G$99911,5,FALSE)</f>
        <v>BERLING GARY</v>
      </c>
      <c r="M109" s="6">
        <f t="shared" si="29"/>
        <v>2.6944444442051463E-2</v>
      </c>
      <c r="N109" s="7">
        <f t="shared" ref="N109:N140" si="47">24*60*SUM($M109:$M109)</f>
        <v>38.799999996554106</v>
      </c>
      <c r="O109" s="7"/>
      <c r="P109" s="7"/>
      <c r="Q109" s="22"/>
      <c r="R109" s="174"/>
      <c r="S109" s="199">
        <f t="shared" ref="S109:S140" si="48">1/IF(AG109="EC",12,1)*SUM(U109:U109)</f>
        <v>1</v>
      </c>
      <c r="T109" s="174" t="str">
        <f t="shared" si="32"/>
        <v>Southbound</v>
      </c>
      <c r="U109" s="22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25" t="str">
        <f t="shared" si="33"/>
        <v>https://d0f6bd738d7f1b3e5a7ca70fe4ff75f0.us-east-1.aws.found.io/app/kibana#/discover/Steve-Slow-Train-Analysis-(2080s-and-2083s)?_g=(refreshInterval:(display:Off,pause:!f,section:0,value:0),time:(from:'2017-10-12T15:17:07-0600',mode:absolute,to:'2017-10-12T18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226" t="str">
        <f>IF(AA109&lt;VLOOKUP(AG109,Variables!$AC$3:$AD$8,2,FALSE),"Y","N")</f>
        <v>N</v>
      </c>
      <c r="X109" s="226">
        <f t="shared" si="34"/>
        <v>1</v>
      </c>
      <c r="Y109" s="226">
        <f t="shared" ref="Y109:Y133" si="49">RIGHT(D109,LEN(D109)-4)/10000</f>
        <v>23.298500000000001</v>
      </c>
      <c r="Z109" s="226">
        <f t="shared" ref="Z109:Z133" si="50">RIGHT(H109,LEN(H109)-4)/10000</f>
        <v>1.2999999999999999E-2</v>
      </c>
      <c r="AA109" s="226">
        <f t="shared" si="37"/>
        <v>23.285499999999999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8"/>
        <v>196</v>
      </c>
      <c r="AE109" s="77" t="str">
        <f t="shared" si="39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109" s="74" t="str">
        <f t="shared" si="40"/>
        <v>"C:\Program Files (x86)\AstroGrep\AstroGrep.exe" /e /r /s /spath="%USERPROFILE%\AppData\Local\Temp\OnboardLogs" /stypes="app*4001*20171012*" /stext=" 23:.+((SYSTEM_STATE.+slice.+state.+changed )|(ment ac)|(multiple cpu faults)|(system.+state.+changed )|(\[timeout)|(PRM\|1\|D)|(kpr)|(kdp)|(train st.+moving)|(\|lc)|(penalty))"</v>
      </c>
      <c r="AG109" s="182" t="str">
        <f t="shared" si="41"/>
        <v>EC</v>
      </c>
      <c r="AH109" s="78" t="str">
        <f t="shared" si="42"/>
        <v>"%USERPROFILE%\Documents\GitHub\eaglep3\Utilities\RefineRTDCRunTimes.py" --tripid 196-12 --locoid 4001 --swversion DE.1.0.9.0 --startMP 204:232985 --initTime 2017-10-12T16:17:07 --startdatetime 2017-10-12T16:27:13 --delay 151 --endMP 204:130 --enddatetime 2017-10-12T17:06:01 --enforcementcount 0 &gt;&gt;%USERPROFILE%\Documents\GitHub\eaglep3-reporting\EC\2017-10-12-refined-times.txt</v>
      </c>
      <c r="AI109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{"issue":{"subject":"","project_id":79,"tracker_id":40,"status_id":1,"priority_id":2,"assigned_to_id":338,"start_date":"2017-10-12","description":"","custom_fields":[{"id":1,"name":"Subdivision","value":"EC"},{"id":4,"name":"Milepost","value":"0.013"},{"id":17,"name":"Train ID","value":"196-12"},{"id":16,"name":"Locomotive ID","value":"4001"},{"id":130,"name":"Impact","value":""},{"id":150,"name":"Time of Event (Mountain Time)","value":"17:06:01"},{"id":151,"name":"Denver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4"/>
        <v>start /low /b %USERPROFILE%\Documents\GitHub\eaglep3\Utilities\DownloadLogsFromS3.py --loco 4001 --day 2017-10-12</v>
      </c>
      <c r="AN109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6"/>
        <v>https://d0f6bd738d7f1b3e5a7ca70fe4ff75f0.us-east-1.aws.found.io/app/kibana#/discover/Steve-Slow-Train-Analysis-(2080s-and-2083s)?_g=(refreshInterval:(display:Off,pause:!f,section:0,value:0),time:(from:'2017-10-12T15:17:07-0600',mode:absolute,to:'2017-10-12T18:06:01-0600'))&amp;_a=(columns:!('Message%20ID',Summary),filters:!(),index:'emp_*',interval:auto,query:(query_string:(analyze_wildcard:!t,query:'%22rtdc.l.rtdc.4001%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739</v>
      </c>
      <c r="B110" s="7">
        <v>4054</v>
      </c>
      <c r="C110" s="21" t="s">
        <v>194</v>
      </c>
      <c r="D110" s="21" t="s">
        <v>370</v>
      </c>
      <c r="E110" s="13">
        <v>43020.652453703704</v>
      </c>
      <c r="F110" s="13">
        <v>43020.656435185185</v>
      </c>
      <c r="G110" s="7">
        <v>63</v>
      </c>
      <c r="H110" s="21" t="s">
        <v>390</v>
      </c>
      <c r="I110" s="13">
        <v>43020.681192129632</v>
      </c>
      <c r="J110" s="7">
        <v>0</v>
      </c>
      <c r="K110" s="89" t="str">
        <f t="shared" si="28"/>
        <v>4053/4054</v>
      </c>
      <c r="L110" s="185" t="str">
        <f>VLOOKUP(A110,'Trips&amp;Operators'!$C$1:$G$99911,5,FALSE)</f>
        <v>LEVERE CRAIG</v>
      </c>
      <c r="M110" s="6">
        <f t="shared" si="29"/>
        <v>2.4756944447290152E-2</v>
      </c>
      <c r="N110" s="7">
        <f t="shared" si="47"/>
        <v>35.650000004097819</v>
      </c>
      <c r="O110" s="7"/>
      <c r="P110" s="7"/>
      <c r="Q110" s="22"/>
      <c r="R110" s="174"/>
      <c r="S110" s="199">
        <f t="shared" si="48"/>
        <v>1</v>
      </c>
      <c r="T110" s="174" t="str">
        <f t="shared" si="32"/>
        <v>NorthBound</v>
      </c>
      <c r="U110" s="22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25" t="str">
        <f t="shared" si="33"/>
        <v>https://d0f6bd738d7f1b3e5a7ca70fe4ff75f0.us-east-1.aws.found.io/app/kibana#/discover/Steve-Slow-Train-Analysis-(2080s-and-2083s)?_g=(refreshInterval:(display:Off,pause:!f,section:0,value:0),time:(from:'2017-10-12T14:39:32-0600',mode:absolute,to:'2017-10-12T17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0" s="226" t="str">
        <f>IF(AA110&lt;VLOOKUP(AG110,Variables!$AC$3:$AD$8,2,FALSE),"Y","N")</f>
        <v>N</v>
      </c>
      <c r="X110" s="226">
        <f t="shared" si="34"/>
        <v>1</v>
      </c>
      <c r="Y110" s="226">
        <f t="shared" si="49"/>
        <v>4.5100000000000001E-2</v>
      </c>
      <c r="Z110" s="226">
        <f t="shared" si="50"/>
        <v>23.3291</v>
      </c>
      <c r="AA110" s="226">
        <f t="shared" si="37"/>
        <v>23.283999999999999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8"/>
        <v>197</v>
      </c>
      <c r="AE110" s="77" t="str">
        <f t="shared" si="39"/>
        <v>aws s3 cp s3://rtdc.mdm.uploadarchive.raw/RTDC4054/ "%USERPROFILE%\AppData\Local\Temp\OnboardLogs"\RTDC4054\2017-10-12 --exclude "*" --recursive --include "*20171012*" &amp; "%USERPROFILE%\Documents\GitHub\mrs-test-scripts\Headless Mode &amp; Sideloading\WalkAndUnGZ.bat" "%USERPROFILE%\AppData\Local\Temp\OnboardLogs"\RTDC4054\2017-10-12 &amp; aws s3 cp s3://rtdc.mdm.uploadarchive.raw/RTDC4054/ "%USERPROFILE%\AppData\Local\Temp\OnboardLogs"\RTDC4054\2017-10-13 --exclude "*" --recursive --include "*20171013*" &amp; "%USERPROFILE%\Documents\GitHub\mrs-test-scripts\Headless Mode &amp; Sideloading\WalkAndUnGZ.bat" "%USERPROFILE%\AppData\Local\Temp\OnboardLogs"\RTDC4054\2017-10-13</v>
      </c>
      <c r="AF110" s="74" t="str">
        <f t="shared" si="40"/>
        <v>"C:\Program Files (x86)\AstroGrep\AstroGrep.exe" /e /r /s /spath="%USERPROFILE%\AppData\Local\Temp\OnboardLogs" /stypes="app*4054*20171012*" /stext=" 22:.+((SYSTEM_STATE.+slice.+state.+changed )|(ment ac)|(multiple cpu faults)|(system.+state.+changed )|(\[timeout)|(PRM\|1\|D)|(kpr)|(kdp)|(train st.+moving)|(\|lc)|(penalty))"</v>
      </c>
      <c r="AG110" s="182" t="str">
        <f t="shared" si="41"/>
        <v>EC</v>
      </c>
      <c r="AH110" s="78" t="str">
        <f t="shared" si="42"/>
        <v>"%USERPROFILE%\Documents\GitHub\eaglep3\Utilities\RefineRTDCRunTimes.py" --tripid 197-12 --locoid 4054 --swversion DE.1.0.9.0 --startMP 204:451 --initTime 2017-10-12T15:39:32 --startdatetime 2017-10-12T15:45:16 --delay 63 --endMP 204:233291 --enddatetime 2017-10-12T16:20:55 --enforcementcount 0 &gt;&gt;%USERPROFILE%\Documents\GitHub\eaglep3-reporting\EC\2017-10-12-refined-times.txt</v>
      </c>
      <c r="AI110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{"issue":{"subject":"","project_id":79,"tracker_id":40,"status_id":1,"priority_id":2,"assigned_to_id":338,"start_date":"2017-10-12","description":"","custom_fields":[{"id":1,"name":"Subdivision","value":"EC"},{"id":4,"name":"Milepost","value":"23.3291"},{"id":17,"name":"Train ID","value":"197-12"},{"id":16,"name":"Locomotive ID","value":"4054"},{"id":130,"name":"Impact","value":""},{"id":150,"name":"Time of Event (Mountain Time)","value":"16:20:55"},{"id":151,"name":"Denver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4"/>
        <v>start /low /b %USERPROFILE%\Documents\GitHub\eaglep3\Utilities\DownloadLogsFromS3.py --loco 4054 --day 2017-10-12</v>
      </c>
      <c r="AN110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6"/>
        <v>https://d0f6bd738d7f1b3e5a7ca70fe4ff75f0.us-east-1.aws.found.io/app/kibana#/discover/Steve-Slow-Train-Analysis-(2080s-and-2083s)?_g=(refreshInterval:(display:Off,pause:!f,section:0,value:0),time:(from:'2017-10-12T14:39:32-0600',mode:absolute,to:'2017-10-12T17:20:55-0600'))&amp;_a=(columns:!('Message%20ID',Summary),filters:!(),index:'emp_*',interval:auto,query:(query_string:(analyze_wildcard:!t,query:'%22rtdc.l.rtdc.4054%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750</v>
      </c>
      <c r="B111" s="7">
        <v>4053</v>
      </c>
      <c r="C111" s="21" t="s">
        <v>194</v>
      </c>
      <c r="D111" s="21" t="s">
        <v>844</v>
      </c>
      <c r="E111" s="13">
        <v>43020.68855324074</v>
      </c>
      <c r="F111" s="13">
        <v>43020.696018518516</v>
      </c>
      <c r="G111" s="7">
        <v>72</v>
      </c>
      <c r="H111" s="21" t="s">
        <v>862</v>
      </c>
      <c r="I111" s="13">
        <v>43020.754872685182</v>
      </c>
      <c r="J111" s="7">
        <v>0</v>
      </c>
      <c r="K111" s="89" t="str">
        <f t="shared" si="28"/>
        <v>4053/4054</v>
      </c>
      <c r="L111" s="185" t="str">
        <f>VLOOKUP(A111,'Trips&amp;Operators'!$C$1:$G$99911,5,FALSE)</f>
        <v>LEVERE CRAIG</v>
      </c>
      <c r="M111" s="6">
        <f t="shared" si="29"/>
        <v>5.8854166665696539E-2</v>
      </c>
      <c r="N111" s="7">
        <f t="shared" si="47"/>
        <v>84.749999998603016</v>
      </c>
      <c r="O111" s="7"/>
      <c r="P111" s="7"/>
      <c r="Q111" s="22"/>
      <c r="R111" s="174"/>
      <c r="S111" s="199">
        <f t="shared" si="48"/>
        <v>8.3333333333333329E-2</v>
      </c>
      <c r="T111" s="174" t="str">
        <f t="shared" si="32"/>
        <v>Southbound</v>
      </c>
      <c r="U111" s="22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</v>
      </c>
      <c r="V111" s="225" t="str">
        <f t="shared" si="33"/>
        <v>https://d0f6bd738d7f1b3e5a7ca70fe4ff75f0.us-east-1.aws.found.io/app/kibana#/discover/Steve-Slow-Train-Analysis-(2080s-and-2083s)?_g=(refreshInterval:(display:Off,pause:!f,section:0,value:0),time:(from:'2017-10-12T15:31:31-0600',mode:absolute,to:'2017-10-12T19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1" s="226" t="str">
        <f>IF(AA111&lt;VLOOKUP(AG111,Variables!$AC$3:$AD$8,2,FALSE),"Y","N")</f>
        <v>Y</v>
      </c>
      <c r="X111" s="226">
        <f t="shared" si="34"/>
        <v>1</v>
      </c>
      <c r="Y111" s="226">
        <f t="shared" si="49"/>
        <v>23.2973</v>
      </c>
      <c r="Z111" s="226">
        <f t="shared" si="50"/>
        <v>10.7324</v>
      </c>
      <c r="AA111" s="226">
        <f t="shared" si="37"/>
        <v>12.5649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8"/>
        <v>198</v>
      </c>
      <c r="AE111" s="77" t="str">
        <f t="shared" si="39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111" s="74" t="str">
        <f t="shared" si="40"/>
        <v>"C:\Program Files (x86)\AstroGrep\AstroGrep.exe" /e /r /s /spath="%USERPROFILE%\AppData\Local\Temp\OnboardLogs" /stypes="app*4053*20171013*" /stext=" 00:.+((SYSTEM_STATE.+slice.+state.+changed )|(ment ac)|(multiple cpu faults)|(system.+state.+changed )|(\[timeout)|(PRM\|1\|D)|(kpr)|(kdp)|(train st.+moving)|(\|lc)|(penalty))"</v>
      </c>
      <c r="AG111" s="182" t="str">
        <f t="shared" si="41"/>
        <v>EC</v>
      </c>
      <c r="AH111" s="78" t="str">
        <f t="shared" si="42"/>
        <v>"%USERPROFILE%\Documents\GitHub\eaglep3\Utilities\RefineRTDCRunTimes.py" --tripid 198-12 --locoid 4053 --swversion DE.1.0.9.0 --startMP 204:232973 --initTime 2017-10-12T16:31:31 --startdatetime 2017-10-12T16:42:16 --delay 72 --endMP 204:107324 --enddatetime 2017-10-12T18:07:01 --enforcementcount 0 &gt;&gt;%USERPROFILE%\Documents\GitHub\eaglep3-reporting\EC\2017-10-12-refined-times.txt</v>
      </c>
      <c r="AI111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{"issue":{"subject":"","project_id":79,"tracker_id":40,"status_id":1,"priority_id":2,"assigned_to_id":338,"start_date":"2017-10-12","description":"","custom_fields":[{"id":1,"name":"Subdivision","value":"EC"},{"id":4,"name":"Milepost","value":"10.7324"},{"id":17,"name":"Train ID","value":"198-12"},{"id":16,"name":"Locomotive ID","value":"4053"},{"id":130,"name":"Impact","value":""},{"id":150,"name":"Time of Event (Mountain Time)","value":"18:07:01"},{"id":151,"name":"Denver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4"/>
        <v>start /low /b %USERPROFILE%\Documents\GitHub\eaglep3\Utilities\DownloadLogsFromS3.py --loco 4053 --day 2017-10-12</v>
      </c>
      <c r="AN111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6"/>
        <v>https://d0f6bd738d7f1b3e5a7ca70fe4ff75f0.us-east-1.aws.found.io/app/kibana#/discover/Steve-Slow-Train-Analysis-(2080s-and-2083s)?_g=(refreshInterval:(display:Off,pause:!f,section:0,value:0),time:(from:'2017-10-12T15:31:31-0600',mode:absolute,to:'2017-10-12T19:07:01-0600'))&amp;_a=(columns:!('Message%20ID',Summary),filters:!(),index:'emp_*',interval:auto,query:(query_string:(analyze_wildcard:!t,query:'%22rtdc.l.rtdc.4053%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741</v>
      </c>
      <c r="B112" s="7">
        <v>4052</v>
      </c>
      <c r="C112" s="21" t="s">
        <v>194</v>
      </c>
      <c r="D112" s="21" t="s">
        <v>851</v>
      </c>
      <c r="E112" s="13">
        <v>43020.663032407407</v>
      </c>
      <c r="F112" s="13">
        <v>43020.666886574072</v>
      </c>
      <c r="G112" s="7">
        <v>56</v>
      </c>
      <c r="H112" s="21" t="s">
        <v>863</v>
      </c>
      <c r="I112" s="13">
        <v>43020.692152777781</v>
      </c>
      <c r="J112" s="7">
        <v>0</v>
      </c>
      <c r="K112" s="89" t="str">
        <f t="shared" si="28"/>
        <v>4051/4052</v>
      </c>
      <c r="L112" s="185" t="str">
        <f>VLOOKUP(A112,'Trips&amp;Operators'!$C$1:$G$99911,5,FALSE)</f>
        <v>BADERTSCHER DIANE</v>
      </c>
      <c r="M112" s="6">
        <f t="shared" si="29"/>
        <v>2.5266203709179536E-2</v>
      </c>
      <c r="N112" s="7">
        <f t="shared" si="47"/>
        <v>36.383333341218531</v>
      </c>
      <c r="O112" s="7"/>
      <c r="P112" s="7"/>
      <c r="Q112" s="22"/>
      <c r="R112" s="174"/>
      <c r="S112" s="199">
        <f t="shared" si="48"/>
        <v>1</v>
      </c>
      <c r="T112" s="174" t="str">
        <f t="shared" si="32"/>
        <v>NorthBound</v>
      </c>
      <c r="U112" s="22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25" t="str">
        <f t="shared" si="33"/>
        <v>https://d0f6bd738d7f1b3e5a7ca70fe4ff75f0.us-east-1.aws.found.io/app/kibana#/discover/Steve-Slow-Train-Analysis-(2080s-and-2083s)?_g=(refreshInterval:(display:Off,pause:!f,section:0,value:0),time:(from:'2017-10-12T14:54:46-0600',mode:absolute,to:'2017-10-12T17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2" s="226" t="str">
        <f>IF(AA112&lt;VLOOKUP(AG112,Variables!$AC$3:$AD$8,2,FALSE),"Y","N")</f>
        <v>N</v>
      </c>
      <c r="X112" s="226">
        <f t="shared" si="34"/>
        <v>1</v>
      </c>
      <c r="Y112" s="226">
        <f t="shared" si="49"/>
        <v>4.3499999999999997E-2</v>
      </c>
      <c r="Z112" s="226">
        <f t="shared" si="50"/>
        <v>23.332899999999999</v>
      </c>
      <c r="AA112" s="226">
        <f t="shared" si="37"/>
        <v>23.289399999999997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8"/>
        <v>199</v>
      </c>
      <c r="AE112" s="77" t="str">
        <f t="shared" si="39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112" s="74" t="str">
        <f t="shared" si="40"/>
        <v>"C:\Program Files (x86)\AstroGrep\AstroGrep.exe" /e /r /s /spath="%USERPROFILE%\AppData\Local\Temp\OnboardLogs" /stypes="app*4052*20171012*" /stext=" 22:.+((SYSTEM_STATE.+slice.+state.+changed )|(ment ac)|(multiple cpu faults)|(system.+state.+changed )|(\[timeout)|(PRM\|1\|D)|(kpr)|(kdp)|(train st.+moving)|(\|lc)|(penalty))"</v>
      </c>
      <c r="AG112" s="182" t="str">
        <f t="shared" si="41"/>
        <v>EC</v>
      </c>
      <c r="AH112" s="78" t="str">
        <f t="shared" si="42"/>
        <v>"%USERPROFILE%\Documents\GitHub\eaglep3\Utilities\RefineRTDCRunTimes.py" --tripid 199-12 --locoid 4052 --swversion DE.1.0.9.0 --startMP 204:435 --initTime 2017-10-12T15:54:46 --startdatetime 2017-10-12T16:00:19 --delay 56 --endMP 204:233329 --enddatetime 2017-10-12T16:36:42 --enforcementcount 0 &gt;&gt;%USERPROFILE%\Documents\GitHub\eaglep3-reporting\EC\2017-10-12-refined-times.txt</v>
      </c>
      <c r="AI112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{"issue":{"subject":"","project_id":79,"tracker_id":40,"status_id":1,"priority_id":2,"assigned_to_id":338,"start_date":"2017-10-12","description":"","custom_fields":[{"id":1,"name":"Subdivision","value":"EC"},{"id":4,"name":"Milepost","value":"23.3329"},{"id":17,"name":"Train ID","value":"199-12"},{"id":16,"name":"Locomotive ID","value":"4052"},{"id":130,"name":"Impact","value":""},{"id":150,"name":"Time of Event (Mountain Time)","value":"16:36:42"},{"id":151,"name":"Denver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4"/>
        <v>start /low /b %USERPROFILE%\Documents\GitHub\eaglep3\Utilities\DownloadLogsFromS3.py --loco 4052 --day 2017-10-12</v>
      </c>
      <c r="AN112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6"/>
        <v>https://d0f6bd738d7f1b3e5a7ca70fe4ff75f0.us-east-1.aws.found.io/app/kibana#/discover/Steve-Slow-Train-Analysis-(2080s-and-2083s)?_g=(refreshInterval:(display:Off,pause:!f,section:0,value:0),time:(from:'2017-10-12T14:54:46-0600',mode:absolute,to:'2017-10-12T17:36:42-0600'))&amp;_a=(columns:!('Message%20ID',Summary),filters:!(),index:'emp_*',interval:auto,query:(query_string:(analyze_wildcard:!t,query:'%22rtdc.l.rtdc.4052%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595</v>
      </c>
      <c r="B113" s="7">
        <v>4051</v>
      </c>
      <c r="C113" s="21" t="s">
        <v>194</v>
      </c>
      <c r="D113" s="21" t="s">
        <v>532</v>
      </c>
      <c r="E113" s="13">
        <v>43020.700949074075</v>
      </c>
      <c r="F113" s="13">
        <v>43020.706446759257</v>
      </c>
      <c r="G113" s="7">
        <v>54</v>
      </c>
      <c r="H113" s="21" t="s">
        <v>524</v>
      </c>
      <c r="I113" s="13">
        <v>43020.775312500002</v>
      </c>
      <c r="J113" s="7">
        <v>0</v>
      </c>
      <c r="K113" s="89" t="str">
        <f t="shared" si="28"/>
        <v>4051/4052</v>
      </c>
      <c r="L113" s="185" t="str">
        <f>VLOOKUP(A113,'Trips&amp;Operators'!$C$1:$G$99911,5,FALSE)</f>
        <v>BADERTSCHER DIANE</v>
      </c>
      <c r="M113" s="6">
        <f t="shared" si="29"/>
        <v>6.886574074451346E-2</v>
      </c>
      <c r="N113" s="7">
        <f t="shared" si="47"/>
        <v>99.166666672099382</v>
      </c>
      <c r="O113" s="7"/>
      <c r="P113" s="7"/>
      <c r="Q113" s="22"/>
      <c r="R113" s="174"/>
      <c r="S113" s="199">
        <f t="shared" si="48"/>
        <v>1</v>
      </c>
      <c r="T113" s="174" t="str">
        <f t="shared" si="32"/>
        <v>Southbound</v>
      </c>
      <c r="U113" s="22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25" t="str">
        <f t="shared" si="33"/>
        <v>https://d0f6bd738d7f1b3e5a7ca70fe4ff75f0.us-east-1.aws.found.io/app/kibana#/discover/Steve-Slow-Train-Analysis-(2080s-and-2083s)?_g=(refreshInterval:(display:Off,pause:!f,section:0,value:0),time:(from:'2017-10-12T15:49:22-0600',mode:absolute,to:'2017-10-12T19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3" s="226" t="str">
        <f>IF(AA113&lt;VLOOKUP(AG113,Variables!$AC$3:$AD$8,2,FALSE),"Y","N")</f>
        <v>N</v>
      </c>
      <c r="X113" s="226">
        <f t="shared" si="34"/>
        <v>1</v>
      </c>
      <c r="Y113" s="226">
        <f t="shared" si="49"/>
        <v>23.301100000000002</v>
      </c>
      <c r="Z113" s="226">
        <f t="shared" si="50"/>
        <v>1.7399999999999999E-2</v>
      </c>
      <c r="AA113" s="226">
        <f t="shared" si="37"/>
        <v>23.283700000000003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8"/>
        <v>200</v>
      </c>
      <c r="AE113" s="77" t="str">
        <f t="shared" si="39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113" s="74" t="str">
        <f t="shared" si="40"/>
        <v>"C:\Program Files (x86)\AstroGrep\AstroGrep.exe" /e /r /s /spath="%USERPROFILE%\AppData\Local\Temp\OnboardLogs" /stypes="app*4051*20171013*" /stext=" 00:.+((SYSTEM_STATE.+slice.+state.+changed )|(ment ac)|(multiple cpu faults)|(system.+state.+changed )|(\[timeout)|(PRM\|1\|D)|(kpr)|(kdp)|(train st.+moving)|(\|lc)|(penalty))"</v>
      </c>
      <c r="AG113" s="182" t="str">
        <f t="shared" si="41"/>
        <v>EC</v>
      </c>
      <c r="AH113" s="78" t="str">
        <f t="shared" si="42"/>
        <v>"%USERPROFILE%\Documents\GitHub\eaglep3\Utilities\RefineRTDCRunTimes.py" --tripid 200-12 --locoid 4051 --swversion DE.1.0.9.0 --startMP 204:233011 --initTime 2017-10-12T16:49:22 --startdatetime 2017-10-12T16:57:17 --delay 54 --endMP 204:174 --enddatetime 2017-10-12T18:36:27 --enforcementcount 0 &gt;&gt;%USERPROFILE%\Documents\GitHub\eaglep3-reporting\EC\2017-10-12-refined-times.txt</v>
      </c>
      <c r="AI113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{"issue":{"subject":"","project_id":79,"tracker_id":40,"status_id":1,"priority_id":2,"assigned_to_id":338,"start_date":"2017-10-12","description":"","custom_fields":[{"id":1,"name":"Subdivision","value":"EC"},{"id":4,"name":"Milepost","value":"0.0174"},{"id":17,"name":"Train ID","value":"200-12"},{"id":16,"name":"Locomotive ID","value":"4051"},{"id":130,"name":"Impact","value":""},{"id":150,"name":"Time of Event (Mountain Time)","value":"18:36:27"},{"id":151,"name":"Denver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4"/>
        <v>start /low /b %USERPROFILE%\Documents\GitHub\eaglep3\Utilities\DownloadLogsFromS3.py --loco 4051 --day 2017-10-12</v>
      </c>
      <c r="AN113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6"/>
        <v>https://d0f6bd738d7f1b3e5a7ca70fe4ff75f0.us-east-1.aws.found.io/app/kibana#/discover/Steve-Slow-Train-Analysis-(2080s-and-2083s)?_g=(refreshInterval:(display:Off,pause:!f,section:0,value:0),time:(from:'2017-10-12T15:49:22-0600',mode:absolute,to:'2017-10-12T19:36:27-0600'))&amp;_a=(columns:!('Message%20ID',Summary),filters:!(),index:'emp_*',interval:auto,query:(query_string:(analyze_wildcard:!t,query:'%22rtdc.l.rtdc.4051%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745</v>
      </c>
      <c r="B114" s="7">
        <v>4004</v>
      </c>
      <c r="C114" s="21" t="s">
        <v>194</v>
      </c>
      <c r="D114" s="21" t="s">
        <v>375</v>
      </c>
      <c r="E114" s="13">
        <v>43020.672800925924</v>
      </c>
      <c r="F114" s="13">
        <v>43020.677372685182</v>
      </c>
      <c r="G114" s="7">
        <v>113</v>
      </c>
      <c r="H114" s="21" t="s">
        <v>830</v>
      </c>
      <c r="I114" s="13">
        <v>43020.703472222223</v>
      </c>
      <c r="J114" s="7">
        <v>0</v>
      </c>
      <c r="K114" s="89" t="str">
        <f t="shared" si="28"/>
        <v>4003/4004</v>
      </c>
      <c r="L114" s="185" t="str">
        <f>VLOOKUP(A114,'Trips&amp;Operators'!$C$1:$G$99911,5,FALSE)</f>
        <v>KILLION DAVID</v>
      </c>
      <c r="M114" s="6">
        <f t="shared" si="29"/>
        <v>2.6099537040863652E-2</v>
      </c>
      <c r="N114" s="7">
        <f t="shared" si="47"/>
        <v>37.583333338843659</v>
      </c>
      <c r="O114" s="7"/>
      <c r="P114" s="7"/>
      <c r="Q114" s="22"/>
      <c r="R114" s="174"/>
      <c r="S114" s="199">
        <f t="shared" si="48"/>
        <v>1</v>
      </c>
      <c r="T114" s="174" t="str">
        <f t="shared" si="32"/>
        <v>NorthBound</v>
      </c>
      <c r="U114" s="22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25" t="str">
        <f t="shared" si="33"/>
        <v>https://d0f6bd738d7f1b3e5a7ca70fe4ff75f0.us-east-1.aws.found.io/app/kibana#/discover/Steve-Slow-Train-Analysis-(2080s-and-2083s)?_g=(refreshInterval:(display:Off,pause:!f,section:0,value:0),time:(from:'2017-10-12T15:08:50-0600',mode:absolute,to:'2017-10-12T17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4" s="226" t="str">
        <f>IF(AA114&lt;VLOOKUP(AG114,Variables!$AC$3:$AD$8,2,FALSE),"Y","N")</f>
        <v>N</v>
      </c>
      <c r="X114" s="226">
        <f t="shared" si="34"/>
        <v>1</v>
      </c>
      <c r="Y114" s="226">
        <f t="shared" si="49"/>
        <v>4.6600000000000003E-2</v>
      </c>
      <c r="Z114" s="226">
        <f t="shared" si="50"/>
        <v>23.329899999999999</v>
      </c>
      <c r="AA114" s="226">
        <f t="shared" si="37"/>
        <v>23.283299999999997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8"/>
        <v>201</v>
      </c>
      <c r="AE114" s="77" t="str">
        <f t="shared" si="39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114" s="74" t="str">
        <f t="shared" si="40"/>
        <v>"C:\Program Files (x86)\AstroGrep\AstroGrep.exe" /e /r /s /spath="%USERPROFILE%\AppData\Local\Temp\OnboardLogs" /stypes="app*4004*20171012*" /stext=" 22:.+((SYSTEM_STATE.+slice.+state.+changed )|(ment ac)|(multiple cpu faults)|(system.+state.+changed )|(\[timeout)|(PRM\|1\|D)|(kpr)|(kdp)|(train st.+moving)|(\|lc)|(penalty))"</v>
      </c>
      <c r="AG114" s="182" t="str">
        <f t="shared" si="41"/>
        <v>EC</v>
      </c>
      <c r="AH114" s="78" t="str">
        <f t="shared" si="42"/>
        <v>"%USERPROFILE%\Documents\GitHub\eaglep3\Utilities\RefineRTDCRunTimes.py" --tripid 201-12 --locoid 4004 --swversion DE.1.0.9.0 --startMP 204:466 --initTime 2017-10-12T16:08:50 --startdatetime 2017-10-12T16:15:25 --delay 113 --endMP 204:233299 --enddatetime 2017-10-12T16:53:00 --enforcementcount 0 &gt;&gt;%USERPROFILE%\Documents\GitHub\eaglep3-reporting\EC\2017-10-12-refined-times.txt</v>
      </c>
      <c r="AI114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{"issue":{"subject":"","project_id":79,"tracker_id":40,"status_id":1,"priority_id":2,"assigned_to_id":338,"start_date":"2017-10-12","description":"","custom_fields":[{"id":1,"name":"Subdivision","value":"EC"},{"id":4,"name":"Milepost","value":"23.3299"},{"id":17,"name":"Train ID","value":"201-12"},{"id":16,"name":"Locomotive ID","value":"4004"},{"id":130,"name":"Impact","value":""},{"id":150,"name":"Time of Event (Mountain Time)","value":"16:53:00"},{"id":151,"name":"Denver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4"/>
        <v>start /low /b %USERPROFILE%\Documents\GitHub\eaglep3\Utilities\DownloadLogsFromS3.py --loco 4004 --day 2017-10-12</v>
      </c>
      <c r="AN114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6"/>
        <v>https://d0f6bd738d7f1b3e5a7ca70fe4ff75f0.us-east-1.aws.found.io/app/kibana#/discover/Steve-Slow-Train-Analysis-(2080s-and-2083s)?_g=(refreshInterval:(display:Off,pause:!f,section:0,value:0),time:(from:'2017-10-12T15:08:50-0600',mode:absolute,to:'2017-10-12T17:53:00-0600'))&amp;_a=(columns:!('Message%20ID',Summary),filters:!(),index:'emp_*',interval:auto,query:(query_string:(analyze_wildcard:!t,query:'%22rtdc.l.rtdc.4004%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597</v>
      </c>
      <c r="B115" s="7">
        <v>4003</v>
      </c>
      <c r="C115" s="21" t="s">
        <v>194</v>
      </c>
      <c r="D115" s="21" t="s">
        <v>410</v>
      </c>
      <c r="E115" s="13">
        <v>43020.709861111114</v>
      </c>
      <c r="F115" s="13">
        <v>43020.716967592591</v>
      </c>
      <c r="G115" s="7">
        <v>72</v>
      </c>
      <c r="H115" s="21" t="s">
        <v>864</v>
      </c>
      <c r="I115" s="13">
        <v>43020.779594907406</v>
      </c>
      <c r="J115" s="7">
        <v>0</v>
      </c>
      <c r="K115" s="89" t="str">
        <f t="shared" si="28"/>
        <v>4003/4004</v>
      </c>
      <c r="L115" s="185" t="str">
        <f>VLOOKUP(A115,'Trips&amp;Operators'!$C$1:$G$99911,5,FALSE)</f>
        <v>KILLION DAVID</v>
      </c>
      <c r="M115" s="6">
        <f t="shared" si="29"/>
        <v>6.2627314815472346E-2</v>
      </c>
      <c r="N115" s="7">
        <f t="shared" si="47"/>
        <v>90.183333334280178</v>
      </c>
      <c r="O115" s="7"/>
      <c r="P115" s="7"/>
      <c r="Q115" s="22"/>
      <c r="R115" s="174"/>
      <c r="S115" s="199">
        <f t="shared" si="48"/>
        <v>1</v>
      </c>
      <c r="T115" s="174" t="str">
        <f t="shared" si="32"/>
        <v>Southbound</v>
      </c>
      <c r="U115" s="22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25" t="str">
        <f t="shared" si="33"/>
        <v>https://d0f6bd738d7f1b3e5a7ca70fe4ff75f0.us-east-1.aws.found.io/app/kibana#/discover/Steve-Slow-Train-Analysis-(2080s-and-2083s)?_g=(refreshInterval:(display:Off,pause:!f,section:0,value:0),time:(from:'2017-10-12T16:02:12-0600',mode:absolute,to:'2017-10-12T19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5" s="226" t="str">
        <f>IF(AA115&lt;VLOOKUP(AG115,Variables!$AC$3:$AD$8,2,FALSE),"Y","N")</f>
        <v>N</v>
      </c>
      <c r="X115" s="226">
        <f t="shared" si="34"/>
        <v>1</v>
      </c>
      <c r="Y115" s="226">
        <f t="shared" si="49"/>
        <v>23.297999999999998</v>
      </c>
      <c r="Z115" s="226">
        <f t="shared" si="50"/>
        <v>9.1399999999999995E-2</v>
      </c>
      <c r="AA115" s="226">
        <f t="shared" si="37"/>
        <v>23.206599999999998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8"/>
        <v>202</v>
      </c>
      <c r="AE115" s="77" t="str">
        <f t="shared" si="39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115" s="74" t="str">
        <f t="shared" si="40"/>
        <v>"C:\Program Files (x86)\AstroGrep\AstroGrep.exe" /e /r /s /spath="%USERPROFILE%\AppData\Local\Temp\OnboardLogs" /stypes="app*4003*20171013*" /stext=" 00:.+((SYSTEM_STATE.+slice.+state.+changed )|(ment ac)|(multiple cpu faults)|(system.+state.+changed )|(\[timeout)|(PRM\|1\|D)|(kpr)|(kdp)|(train st.+moving)|(\|lc)|(penalty))"</v>
      </c>
      <c r="AG115" s="182" t="str">
        <f t="shared" si="41"/>
        <v>EC</v>
      </c>
      <c r="AH115" s="78" t="str">
        <f t="shared" si="42"/>
        <v>"%USERPROFILE%\Documents\GitHub\eaglep3\Utilities\RefineRTDCRunTimes.py" --tripid 202-12 --locoid 4003 --swversion DE.1.0.9.0 --startMP 204:232980 --initTime 2017-10-12T17:02:12 --startdatetime 2017-10-12T17:12:26 --delay 72 --endMP 204:914 --enddatetime 2017-10-12T18:42:37 --enforcementcount 0 &gt;&gt;%USERPROFILE%\Documents\GitHub\eaglep3-reporting\EC\2017-10-12-refined-times.txt</v>
      </c>
      <c r="AI115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{"issue":{"subject":"","project_id":79,"tracker_id":40,"status_id":1,"priority_id":2,"assigned_to_id":338,"start_date":"2017-10-12","description":"","custom_fields":[{"id":1,"name":"Subdivision","value":"EC"},{"id":4,"name":"Milepost","value":"0.0914"},{"id":17,"name":"Train ID","value":"202-12"},{"id":16,"name":"Locomotive ID","value":"4003"},{"id":130,"name":"Impact","value":""},{"id":150,"name":"Time of Event (Mountain Time)","value":"18:42:37"},{"id":151,"name":"Denver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4"/>
        <v>start /low /b %USERPROFILE%\Documents\GitHub\eaglep3\Utilities\DownloadLogsFromS3.py --loco 4003 --day 2017-10-12</v>
      </c>
      <c r="AN115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00:42:37"},{"id":29,"name":"Sharepoint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6"/>
        <v>https://d0f6bd738d7f1b3e5a7ca70fe4ff75f0.us-east-1.aws.found.io/app/kibana#/discover/Steve-Slow-Train-Analysis-(2080s-and-2083s)?_g=(refreshInterval:(display:Off,pause:!f,section:0,value:0),time:(from:'2017-10-12T16:02:12-0600',mode:absolute,to:'2017-10-12T19:42:37-0600'))&amp;_a=(columns:!('Message%20ID',Summary),filters:!(),index:'emp_*',interval:auto,query:(query_string:(analyze_wildcard:!t,query:'%22rtdc.l.rtdc.4003%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747</v>
      </c>
      <c r="B116" s="7">
        <v>4026</v>
      </c>
      <c r="C116" s="21" t="s">
        <v>194</v>
      </c>
      <c r="D116" s="21" t="s">
        <v>380</v>
      </c>
      <c r="E116" s="13">
        <v>43020.683449074073</v>
      </c>
      <c r="F116" s="13">
        <v>43020.687696759262</v>
      </c>
      <c r="G116" s="7">
        <v>54</v>
      </c>
      <c r="H116" s="21" t="s">
        <v>424</v>
      </c>
      <c r="I116" s="13">
        <v>43020.718726851854</v>
      </c>
      <c r="J116" s="7">
        <v>0</v>
      </c>
      <c r="K116" s="89" t="str">
        <f t="shared" si="28"/>
        <v>4025/4026</v>
      </c>
      <c r="L116" s="185" t="str">
        <f>VLOOKUP(A116,'Trips&amp;Operators'!$C$1:$G$99911,5,FALSE)</f>
        <v>BRUDER RICHARD</v>
      </c>
      <c r="M116" s="6">
        <f t="shared" si="29"/>
        <v>3.1030092592118308E-2</v>
      </c>
      <c r="N116" s="7">
        <f t="shared" si="47"/>
        <v>44.683333332650363</v>
      </c>
      <c r="O116" s="7"/>
      <c r="P116" s="7"/>
      <c r="Q116" s="22"/>
      <c r="R116" s="174"/>
      <c r="S116" s="199">
        <f t="shared" si="48"/>
        <v>1</v>
      </c>
      <c r="T116" s="174" t="str">
        <f t="shared" si="32"/>
        <v>NorthBound</v>
      </c>
      <c r="U116" s="22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25" t="str">
        <f t="shared" si="33"/>
        <v>https://d0f6bd738d7f1b3e5a7ca70fe4ff75f0.us-east-1.aws.found.io/app/kibana#/discover/Steve-Slow-Train-Analysis-(2080s-and-2083s)?_g=(refreshInterval:(display:Off,pause:!f,section:0,value:0),time:(from:'2017-10-12T15:24:10-0600',mode:absolute,to:'2017-10-12T18:14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226" t="str">
        <f>IF(AA116&lt;VLOOKUP(AG116,Variables!$AC$3:$AD$8,2,FALSE),"Y","N")</f>
        <v>N</v>
      </c>
      <c r="X116" s="226">
        <f t="shared" si="34"/>
        <v>1</v>
      </c>
      <c r="Y116" s="226">
        <f t="shared" si="49"/>
        <v>4.5699999999999998E-2</v>
      </c>
      <c r="Z116" s="226">
        <f t="shared" si="50"/>
        <v>23.3306</v>
      </c>
      <c r="AA116" s="226">
        <f t="shared" si="37"/>
        <v>23.2849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8"/>
        <v>203</v>
      </c>
      <c r="AE116" s="77" t="str">
        <f t="shared" si="39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16" s="74" t="str">
        <f t="shared" si="40"/>
        <v>"C:\Program Files (x86)\AstroGrep\AstroGrep.exe" /e /r /s /spath="%USERPROFILE%\AppData\Local\Temp\OnboardLogs" /stypes="app*4026*20171012*" /stext=" 23:.+((SYSTEM_STATE.+slice.+state.+changed )|(ment ac)|(multiple cpu faults)|(system.+state.+changed )|(\[timeout)|(PRM\|1\|D)|(kpr)|(kdp)|(train st.+moving)|(\|lc)|(penalty))"</v>
      </c>
      <c r="AG116" s="182" t="str">
        <f t="shared" si="41"/>
        <v>EC</v>
      </c>
      <c r="AH116" s="78" t="str">
        <f t="shared" si="42"/>
        <v>"%USERPROFILE%\Documents\GitHub\eaglep3\Utilities\RefineRTDCRunTimes.py" --tripid 203-12 --locoid 4026 --swversion DE.1.0.9.0 --startMP 204:457 --initTime 2017-10-12T16:24:10 --startdatetime 2017-10-12T16:30:17 --delay 54 --endMP 204:233306 --enddatetime 2017-10-12T17:14:58 --enforcementcount 0 &gt;&gt;%USERPROFILE%\Documents\GitHub\eaglep3-reporting\EC\2017-10-12-refined-times.txt</v>
      </c>
      <c r="AI116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{"issue":{"subject":"","project_id":79,"tracker_id":40,"status_id":1,"priority_id":2,"assigned_to_id":338,"start_date":"2017-10-12","description":"","custom_fields":[{"id":1,"name":"Subdivision","value":"EC"},{"id":4,"name":"Milepost","value":"23.3306"},{"id":17,"name":"Train ID","value":"203-12"},{"id":16,"name":"Locomotive ID","value":"4026"},{"id":130,"name":"Impact","value":""},{"id":150,"name":"Time of Event (Mountain Time)","value":"17:14:58"},{"id":151,"name":"Denver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4"/>
        <v>start /low /b %USERPROFILE%\Documents\GitHub\eaglep3\Utilities\DownloadLogsFromS3.py --loco 4026 --day 2017-10-12</v>
      </c>
      <c r="AN116" s="151" t="str">
        <f t="shared" si="4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23:14:58"},{"id":29,"name":"Sharepoint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6"/>
        <v>https://d0f6bd738d7f1b3e5a7ca70fe4ff75f0.us-east-1.aws.found.io/app/kibana#/discover/Steve-Slow-Train-Analysis-(2080s-and-2083s)?_g=(refreshInterval:(display:Off,pause:!f,section:0,value:0),time:(from:'2017-10-12T15:24:10-0600',mode:absolute,to:'2017-10-12T18:14:58-0600'))&amp;_a=(columns:!('Message%20ID',Summary),filters:!(),index:'emp_*',interval:auto,query:(query_string:(analyze_wildcard:!t,query:'%22rtdc.l.rtdc.4026%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760</v>
      </c>
      <c r="B117" s="7">
        <v>4025</v>
      </c>
      <c r="C117" s="21" t="s">
        <v>194</v>
      </c>
      <c r="D117" s="21" t="s">
        <v>443</v>
      </c>
      <c r="E117" s="13">
        <v>43020.724942129629</v>
      </c>
      <c r="F117" s="13">
        <v>43020.746712962966</v>
      </c>
      <c r="G117" s="7">
        <v>78</v>
      </c>
      <c r="H117" s="21" t="s">
        <v>403</v>
      </c>
      <c r="I117" s="13">
        <v>43020.784062500003</v>
      </c>
      <c r="J117" s="7">
        <v>0</v>
      </c>
      <c r="K117" s="89" t="str">
        <f t="shared" si="28"/>
        <v>4025/4026</v>
      </c>
      <c r="L117" s="185" t="str">
        <f>VLOOKUP(A117,'Trips&amp;Operators'!$C$1:$G$99911,5,FALSE)</f>
        <v>BRUDER RICHARD</v>
      </c>
      <c r="M117" s="6">
        <f t="shared" si="29"/>
        <v>3.7349537036789116E-2</v>
      </c>
      <c r="N117" s="7">
        <f t="shared" si="47"/>
        <v>53.783333332976326</v>
      </c>
      <c r="O117" s="7"/>
      <c r="P117" s="7"/>
      <c r="Q117" s="22"/>
      <c r="R117" s="174"/>
      <c r="S117" s="199">
        <f t="shared" si="48"/>
        <v>1</v>
      </c>
      <c r="T117" s="174" t="str">
        <f t="shared" si="32"/>
        <v>Southbound</v>
      </c>
      <c r="U117" s="22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25" t="str">
        <f t="shared" si="33"/>
        <v>https://d0f6bd738d7f1b3e5a7ca70fe4ff75f0.us-east-1.aws.found.io/app/kibana#/discover/Steve-Slow-Train-Analysis-(2080s-and-2083s)?_g=(refreshInterval:(display:Off,pause:!f,section:0,value:0),time:(from:'2017-10-12T16:23:55-0600',mode:absolute,to:'2017-10-12T19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226" t="str">
        <f>IF(AA117&lt;VLOOKUP(AG117,Variables!$AC$3:$AD$8,2,FALSE),"Y","N")</f>
        <v>N</v>
      </c>
      <c r="X117" s="226">
        <f t="shared" si="34"/>
        <v>1</v>
      </c>
      <c r="Y117" s="226">
        <f t="shared" si="49"/>
        <v>23.298500000000001</v>
      </c>
      <c r="Z117" s="226">
        <f t="shared" si="50"/>
        <v>1.6E-2</v>
      </c>
      <c r="AA117" s="226">
        <f t="shared" si="37"/>
        <v>23.282500000000002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8"/>
        <v>204</v>
      </c>
      <c r="AE117" s="77" t="str">
        <f t="shared" si="39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17" s="74" t="str">
        <f t="shared" si="40"/>
        <v>"C:\Program Files (x86)\AstroGrep\AstroGrep.exe" /e /r /s /spath="%USERPROFILE%\AppData\Local\Temp\OnboardLogs" /stypes="app*4025*20171013*" /stext=" 00:.+((SYSTEM_STATE.+slice.+state.+changed )|(ment ac)|(multiple cpu faults)|(system.+state.+changed )|(\[timeout)|(PRM\|1\|D)|(kpr)|(kdp)|(train st.+moving)|(\|lc)|(penalty))"</v>
      </c>
      <c r="AG117" s="182" t="str">
        <f t="shared" si="41"/>
        <v>EC</v>
      </c>
      <c r="AH117" s="78" t="str">
        <f t="shared" si="42"/>
        <v>"%USERPROFILE%\Documents\GitHub\eaglep3\Utilities\RefineRTDCRunTimes.py" --tripid 204-12 --locoid 4025 --swversion DE.1.0.9.0 --startMP 204:232985 --initTime 2017-10-12T17:23:55 --startdatetime 2017-10-12T17:55:16 --delay 78 --endMP 204:160 --enddatetime 2017-10-12T18:49:03 --enforcementcount 0 &gt;&gt;%USERPROFILE%\Documents\GitHub\eaglep3-reporting\EC\2017-10-12-refined-times.txt</v>
      </c>
      <c r="AI117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{"issue":{"subject":"","project_id":79,"tracker_id":40,"status_id":1,"priority_id":2,"assigned_to_id":338,"start_date":"2017-10-12","description":"","custom_fields":[{"id":1,"name":"Subdivision","value":"EC"},{"id":4,"name":"Milepost","value":"0.016"},{"id":17,"name":"Train ID","value":"204-12"},{"id":16,"name":"Locomotive ID","value":"4025"},{"id":130,"name":"Impact","value":""},{"id":150,"name":"Time of Event (Mountain Time)","value":"18:49:03"},{"id":151,"name":"Denver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4"/>
        <v>start /low /b %USERPROFILE%\Documents\GitHub\eaglep3\Utilities\DownloadLogsFromS3.py --loco 4025 --day 2017-10-12</v>
      </c>
      <c r="AN117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6"/>
        <v>https://d0f6bd738d7f1b3e5a7ca70fe4ff75f0.us-east-1.aws.found.io/app/kibana#/discover/Steve-Slow-Train-Analysis-(2080s-and-2083s)?_g=(refreshInterval:(display:Off,pause:!f,section:0,value:0),time:(from:'2017-10-12T16:23:55-0600',mode:absolute,to:'2017-10-12T19:49:03-0600'))&amp;_a=(columns:!('Message%20ID',Summary),filters:!(),index:'emp_*',interval:auto,query:(query_string:(analyze_wildcard:!t,query:'%22rtdc.l.rtdc.4025%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752</v>
      </c>
      <c r="B118" s="7">
        <v>4064</v>
      </c>
      <c r="C118" s="21" t="s">
        <v>194</v>
      </c>
      <c r="D118" s="21" t="s">
        <v>380</v>
      </c>
      <c r="E118" s="13">
        <v>43020.694768518515</v>
      </c>
      <c r="F118" s="13">
        <v>43020.698136574072</v>
      </c>
      <c r="G118" s="7">
        <v>52</v>
      </c>
      <c r="H118" s="21" t="s">
        <v>483</v>
      </c>
      <c r="I118" s="13">
        <v>43020.752523148149</v>
      </c>
      <c r="J118" s="7">
        <v>0</v>
      </c>
      <c r="K118" s="89" t="str">
        <f t="shared" si="28"/>
        <v>4063/4064</v>
      </c>
      <c r="L118" s="185" t="str">
        <f>VLOOKUP(A118,'Trips&amp;Operators'!$C$1:$G$99911,5,FALSE)</f>
        <v>STEWART MICHAEL</v>
      </c>
      <c r="M118" s="6">
        <f t="shared" si="29"/>
        <v>5.4386574076488614E-2</v>
      </c>
      <c r="N118" s="7">
        <f t="shared" si="47"/>
        <v>78.316666670143604</v>
      </c>
      <c r="O118" s="7"/>
      <c r="P118" s="7"/>
      <c r="Q118" s="22"/>
      <c r="R118" s="174"/>
      <c r="S118" s="199">
        <f t="shared" si="48"/>
        <v>1</v>
      </c>
      <c r="T118" s="174" t="str">
        <f t="shared" si="32"/>
        <v>NorthBound</v>
      </c>
      <c r="U118" s="22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25" t="str">
        <f t="shared" si="33"/>
        <v>https://d0f6bd738d7f1b3e5a7ca70fe4ff75f0.us-east-1.aws.found.io/app/kibana#/discover/Steve-Slow-Train-Analysis-(2080s-and-2083s)?_g=(refreshInterval:(display:Off,pause:!f,section:0,value:0),time:(from:'2017-10-12T15:40:28-0600',mode:absolute,to:'2017-10-12T19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8" s="226" t="str">
        <f>IF(AA118&lt;VLOOKUP(AG118,Variables!$AC$3:$AD$8,2,FALSE),"Y","N")</f>
        <v>N</v>
      </c>
      <c r="X118" s="226">
        <f t="shared" si="34"/>
        <v>1</v>
      </c>
      <c r="Y118" s="226">
        <f t="shared" si="49"/>
        <v>4.5699999999999998E-2</v>
      </c>
      <c r="Z118" s="226">
        <f t="shared" si="50"/>
        <v>23.328900000000001</v>
      </c>
      <c r="AA118" s="226">
        <f t="shared" si="37"/>
        <v>23.283200000000001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8"/>
        <v>205</v>
      </c>
      <c r="AE118" s="77" t="str">
        <f t="shared" si="39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18" s="74" t="str">
        <f t="shared" si="40"/>
        <v>"C:\Program Files (x86)\AstroGrep\AstroGrep.exe" /e /r /s /spath="%USERPROFILE%\AppData\Local\Temp\OnboardLogs" /stypes="app*4064*20171013*" /stext=" 00:.+((SYSTEM_STATE.+slice.+state.+changed )|(ment ac)|(multiple cpu faults)|(system.+state.+changed )|(\[timeout)|(PRM\|1\|D)|(kpr)|(kdp)|(train st.+moving)|(\|lc)|(penalty))"</v>
      </c>
      <c r="AG118" s="182" t="str">
        <f t="shared" si="41"/>
        <v>EC</v>
      </c>
      <c r="AH118" s="78" t="str">
        <f t="shared" si="42"/>
        <v>"%USERPROFILE%\Documents\GitHub\eaglep3\Utilities\RefineRTDCRunTimes.py" --tripid 205-12 --locoid 4064 --swversion DE.1.0.9.0 --startMP 204:457 --initTime 2017-10-12T16:40:28 --startdatetime 2017-10-12T16:45:19 --delay 52 --endMP 204:233289 --enddatetime 2017-10-12T18:03:38 --enforcementcount 0 &gt;&gt;%USERPROFILE%\Documents\GitHub\eaglep3-reporting\EC\2017-10-12-refined-times.txt</v>
      </c>
      <c r="AI118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{"issue":{"subject":"","project_id":79,"tracker_id":40,"status_id":1,"priority_id":2,"assigned_to_id":338,"start_date":"2017-10-12","description":"","custom_fields":[{"id":1,"name":"Subdivision","value":"EC"},{"id":4,"name":"Milepost","value":"23.3289"},{"id":17,"name":"Train ID","value":"205-12"},{"id":16,"name":"Locomotive ID","value":"4064"},{"id":130,"name":"Impact","value":""},{"id":150,"name":"Time of Event (Mountain Time)","value":"18:03:38"},{"id":151,"name":"Denver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4"/>
        <v>start /low /b %USERPROFILE%\Documents\GitHub\eaglep3\Utilities\DownloadLogsFromS3.py --loco 4064 --day 2017-10-12</v>
      </c>
      <c r="AN118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6"/>
        <v>https://d0f6bd738d7f1b3e5a7ca70fe4ff75f0.us-east-1.aws.found.io/app/kibana#/discover/Steve-Slow-Train-Analysis-(2080s-and-2083s)?_g=(refreshInterval:(display:Off,pause:!f,section:0,value:0),time:(from:'2017-10-12T15:40:28-0600',mode:absolute,to:'2017-10-12T19:03:38-0600'))&amp;_a=(columns:!('Message%20ID',Summary),filters:!(),index:'emp_*',interval:auto,query:(query_string:(analyze_wildcard:!t,query:'%22rtdc.l.rtdc.4064%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768</v>
      </c>
      <c r="B119" s="7">
        <v>4063</v>
      </c>
      <c r="C119" s="21" t="s">
        <v>194</v>
      </c>
      <c r="D119" s="21" t="s">
        <v>855</v>
      </c>
      <c r="E119" s="13">
        <v>43020.756249999999</v>
      </c>
      <c r="F119" s="13">
        <v>43020.757719907408</v>
      </c>
      <c r="G119" s="7">
        <v>62</v>
      </c>
      <c r="H119" s="21" t="s">
        <v>403</v>
      </c>
      <c r="I119" s="13">
        <v>43020.792708333334</v>
      </c>
      <c r="J119" s="7">
        <v>0</v>
      </c>
      <c r="K119" s="89" t="str">
        <f t="shared" si="28"/>
        <v>4063/4064</v>
      </c>
      <c r="L119" s="185" t="str">
        <f>VLOOKUP(A119,'Trips&amp;Operators'!$C$1:$G$99911,5,FALSE)</f>
        <v>STEWART MICHAEL</v>
      </c>
      <c r="M119" s="6">
        <f t="shared" si="29"/>
        <v>3.4988425926712807E-2</v>
      </c>
      <c r="N119" s="7">
        <f t="shared" si="47"/>
        <v>50.383333334466442</v>
      </c>
      <c r="O119" s="7"/>
      <c r="P119" s="7"/>
      <c r="Q119" s="22"/>
      <c r="R119" s="174"/>
      <c r="S119" s="199">
        <f t="shared" si="48"/>
        <v>1</v>
      </c>
      <c r="T119" s="174" t="str">
        <f t="shared" si="32"/>
        <v>Southbound</v>
      </c>
      <c r="U119" s="22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25" t="str">
        <f t="shared" si="33"/>
        <v>https://d0f6bd738d7f1b3e5a7ca70fe4ff75f0.us-east-1.aws.found.io/app/kibana#/discover/Steve-Slow-Train-Analysis-(2080s-and-2083s)?_g=(refreshInterval:(display:Off,pause:!f,section:0,value:0),time:(from:'2017-10-12T17:09:00-0600',mode:absolute,to:'2017-10-12T20:01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9" s="226" t="str">
        <f>IF(AA119&lt;VLOOKUP(AG119,Variables!$AC$3:$AD$8,2,FALSE),"Y","N")</f>
        <v>N</v>
      </c>
      <c r="X119" s="226">
        <f t="shared" si="34"/>
        <v>1</v>
      </c>
      <c r="Y119" s="226">
        <f t="shared" si="49"/>
        <v>23.2959</v>
      </c>
      <c r="Z119" s="226">
        <f t="shared" si="50"/>
        <v>1.6E-2</v>
      </c>
      <c r="AA119" s="226">
        <f t="shared" si="37"/>
        <v>23.279900000000001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8"/>
        <v>206</v>
      </c>
      <c r="AE119" s="77" t="str">
        <f t="shared" si="39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119" s="74" t="str">
        <f t="shared" si="40"/>
        <v>"C:\Program Files (x86)\AstroGrep\AstroGrep.exe" /e /r /s /spath="%USERPROFILE%\AppData\Local\Temp\OnboardLogs" /stypes="app*4063*20171013*" /stext=" 01:.+((SYSTEM_STATE.+slice.+state.+changed )|(ment ac)|(multiple cpu faults)|(system.+state.+changed )|(\[timeout)|(PRM\|1\|D)|(kpr)|(kdp)|(train st.+moving)|(\|lc)|(penalty))"</v>
      </c>
      <c r="AG119" s="182" t="str">
        <f t="shared" si="41"/>
        <v>EC</v>
      </c>
      <c r="AH119" s="78" t="str">
        <f t="shared" si="42"/>
        <v>"%USERPROFILE%\Documents\GitHub\eaglep3\Utilities\RefineRTDCRunTimes.py" --tripid 206-12 --locoid 4063 --swversion DE.1.0.9.0 --startMP 204:232959 --initTime 2017-10-12T18:09:00 --startdatetime 2017-10-12T18:11:07 --delay 62 --endMP 204:160 --enddatetime 2017-10-12T19:01:30 --enforcementcount 0 &gt;&gt;%USERPROFILE%\Documents\GitHub\eaglep3-reporting\EC\2017-10-12-refined-times.txt</v>
      </c>
      <c r="AI119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{"issue":{"subject":"","project_id":79,"tracker_id":40,"status_id":1,"priority_id":2,"assigned_to_id":338,"start_date":"2017-10-12","description":"","custom_fields":[{"id":1,"name":"Subdivision","value":"EC"},{"id":4,"name":"Milepost","value":"0.016"},{"id":17,"name":"Train ID","value":"206-12"},{"id":16,"name":"Locomotive ID","value":"4063"},{"id":130,"name":"Impact","value":""},{"id":150,"name":"Time of Event (Mountain Time)","value":"19:01:30"},{"id":151,"name":"Denver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4"/>
        <v>start /low /b %USERPROFILE%\Documents\GitHub\eaglep3\Utilities\DownloadLogsFromS3.py --loco 4063 --day 2017-10-12</v>
      </c>
      <c r="AN119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01:01:30"},{"id":29,"name":"Sharepoint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6"/>
        <v>https://d0f6bd738d7f1b3e5a7ca70fe4ff75f0.us-east-1.aws.found.io/app/kibana#/discover/Steve-Slow-Train-Analysis-(2080s-and-2083s)?_g=(refreshInterval:(display:Off,pause:!f,section:0,value:0),time:(from:'2017-10-12T17:09:00-0600',mode:absolute,to:'2017-10-12T20:01:30-0600'))&amp;_a=(columns:!('Message%20ID',Summary),filters:!(),index:'emp_*',interval:auto,query:(query_string:(analyze_wildcard:!t,query:'%22rtdc.l.rtdc.4063%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753</v>
      </c>
      <c r="B120" s="7">
        <v>4066</v>
      </c>
      <c r="C120" s="21" t="s">
        <v>194</v>
      </c>
      <c r="D120" s="21" t="s">
        <v>865</v>
      </c>
      <c r="E120" s="13">
        <v>43020.709699074076</v>
      </c>
      <c r="F120" s="13">
        <v>43020.71056712963</v>
      </c>
      <c r="G120" s="7">
        <v>43</v>
      </c>
      <c r="H120" s="21" t="s">
        <v>856</v>
      </c>
      <c r="I120" s="13">
        <v>43020.756099537037</v>
      </c>
      <c r="J120" s="7">
        <v>0</v>
      </c>
      <c r="K120" s="89" t="str">
        <f t="shared" si="28"/>
        <v>4065/4066</v>
      </c>
      <c r="L120" s="185" t="str">
        <f>VLOOKUP(A120,'Trips&amp;Operators'!$C$1:$G$99911,5,FALSE)</f>
        <v>LEVIN SCOTT</v>
      </c>
      <c r="M120" s="6">
        <f t="shared" si="29"/>
        <v>4.5532407406426501E-2</v>
      </c>
      <c r="N120" s="7">
        <f t="shared" si="47"/>
        <v>65.566666665254161</v>
      </c>
      <c r="O120" s="7"/>
      <c r="P120" s="7"/>
      <c r="Q120" s="22"/>
      <c r="R120" s="174"/>
      <c r="S120" s="199">
        <f t="shared" si="48"/>
        <v>1</v>
      </c>
      <c r="T120" s="174" t="str">
        <f t="shared" si="32"/>
        <v>NorthBound</v>
      </c>
      <c r="U120" s="22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25" t="str">
        <f t="shared" si="33"/>
        <v>https://d0f6bd738d7f1b3e5a7ca70fe4ff75f0.us-east-1.aws.found.io/app/kibana#/discover/Steve-Slow-Train-Analysis-(2080s-and-2083s)?_g=(refreshInterval:(display:Off,pause:!f,section:0,value:0),time:(from:'2017-10-12T16:01:58-0600',mode:absolute,to:'2017-10-12T19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0" s="226" t="str">
        <f>IF(AA120&lt;VLOOKUP(AG120,Variables!$AC$3:$AD$8,2,FALSE),"Y","N")</f>
        <v>N</v>
      </c>
      <c r="X120" s="226">
        <f t="shared" si="34"/>
        <v>1</v>
      </c>
      <c r="Y120" s="226">
        <f t="shared" si="49"/>
        <v>0.11650000000000001</v>
      </c>
      <c r="Z120" s="226">
        <f t="shared" si="50"/>
        <v>23.33</v>
      </c>
      <c r="AA120" s="226">
        <f t="shared" si="37"/>
        <v>23.2135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38"/>
        <v>207</v>
      </c>
      <c r="AE120" s="77" t="str">
        <f t="shared" si="39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120" s="74" t="str">
        <f t="shared" si="40"/>
        <v>"C:\Program Files (x86)\AstroGrep\AstroGrep.exe" /e /r /s /spath="%USERPROFILE%\AppData\Local\Temp\OnboardLogs" /stypes="app*4066*20171013*" /stext=" 00:.+((SYSTEM_STATE.+slice.+state.+changed )|(ment ac)|(multiple cpu faults)|(system.+state.+changed )|(\[timeout)|(PRM\|1\|D)|(kpr)|(kdp)|(train st.+moving)|(\|lc)|(penalty))"</v>
      </c>
      <c r="AG120" s="182" t="str">
        <f t="shared" si="41"/>
        <v>EC</v>
      </c>
      <c r="AH120" s="78" t="str">
        <f t="shared" si="42"/>
        <v>"%USERPROFILE%\Documents\GitHub\eaglep3\Utilities\RefineRTDCRunTimes.py" --tripid 207-12 --locoid 4066 --swversion DE.1.0.9.0 --startMP 204:1165 --initTime 2017-10-12T17:01:58 --startdatetime 2017-10-12T17:03:13 --delay 43 --endMP 204:233300 --enddatetime 2017-10-12T18:08:47 --enforcementcount 0 &gt;&gt;%USERPROFILE%\Documents\GitHub\eaglep3-reporting\EC\2017-10-12-refined-times.txt</v>
      </c>
      <c r="AI120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{"issue":{"subject":"","project_id":79,"tracker_id":40,"status_id":1,"priority_id":2,"assigned_to_id":338,"start_date":"2017-10-12","description":"","custom_fields":[{"id":1,"name":"Subdivision","value":"EC"},{"id":4,"name":"Milepost","value":"23.33"},{"id":17,"name":"Train ID","value":"207-12"},{"id":16,"name":"Locomotive ID","value":"4066"},{"id":130,"name":"Impact","value":""},{"id":150,"name":"Time of Event (Mountain Time)","value":"18:08:47"},{"id":151,"name":"Denver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4"/>
        <v>start /low /b %USERPROFILE%\Documents\GitHub\eaglep3\Utilities\DownloadLogsFromS3.py --loco 4066 --day 2017-10-12</v>
      </c>
      <c r="AN120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6"/>
        <v>https://d0f6bd738d7f1b3e5a7ca70fe4ff75f0.us-east-1.aws.found.io/app/kibana#/discover/Steve-Slow-Train-Analysis-(2080s-and-2083s)?_g=(refreshInterval:(display:Off,pause:!f,section:0,value:0),time:(from:'2017-10-12T16:01:58-0600',mode:absolute,to:'2017-10-12T19:08:47-0600'))&amp;_a=(columns:!('Message%20ID',Summary),filters:!(),index:'emp_*',interval:auto,query:(query_string:(analyze_wildcard:!t,query:'%22rtdc.l.rtdc.4066%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769</v>
      </c>
      <c r="B121" s="7">
        <v>4065</v>
      </c>
      <c r="C121" s="21" t="s">
        <v>194</v>
      </c>
      <c r="D121" s="21" t="s">
        <v>484</v>
      </c>
      <c r="E121" s="13">
        <v>43020.760335648149</v>
      </c>
      <c r="F121" s="13">
        <v>43020.767511574071</v>
      </c>
      <c r="G121" s="7">
        <v>67</v>
      </c>
      <c r="H121" s="21" t="s">
        <v>866</v>
      </c>
      <c r="I121" s="13">
        <v>43020.797291666669</v>
      </c>
      <c r="J121" s="7">
        <v>0</v>
      </c>
      <c r="K121" s="89" t="str">
        <f t="shared" si="28"/>
        <v>4065/4066</v>
      </c>
      <c r="L121" s="185" t="str">
        <f>VLOOKUP(A121,'Trips&amp;Operators'!$C$1:$G$99911,5,FALSE)</f>
        <v>LEVIN SCOTT</v>
      </c>
      <c r="M121" s="6">
        <f t="shared" si="29"/>
        <v>2.9780092598230112E-2</v>
      </c>
      <c r="N121" s="7">
        <f t="shared" si="47"/>
        <v>42.883333341451362</v>
      </c>
      <c r="O121" s="7"/>
      <c r="P121" s="7"/>
      <c r="Q121" s="22"/>
      <c r="R121" s="174"/>
      <c r="S121" s="199">
        <f t="shared" si="48"/>
        <v>1</v>
      </c>
      <c r="T121" s="174" t="str">
        <f t="shared" si="32"/>
        <v>Southbound</v>
      </c>
      <c r="U121" s="22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25" t="str">
        <f t="shared" si="33"/>
        <v>https://d0f6bd738d7f1b3e5a7ca70fe4ff75f0.us-east-1.aws.found.io/app/kibana#/discover/Steve-Slow-Train-Analysis-(2080s-and-2083s)?_g=(refreshInterval:(display:Off,pause:!f,section:0,value:0),time:(from:'2017-10-12T17:14:53-0600',mode:absolute,to:'2017-10-12T20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1" s="226" t="str">
        <f>IF(AA121&lt;VLOOKUP(AG121,Variables!$AC$3:$AD$8,2,FALSE),"Y","N")</f>
        <v>N</v>
      </c>
      <c r="X121" s="226">
        <f t="shared" si="34"/>
        <v>1</v>
      </c>
      <c r="Y121" s="226">
        <f t="shared" si="49"/>
        <v>23.2987</v>
      </c>
      <c r="Z121" s="226">
        <f t="shared" si="50"/>
        <v>0.17469999999999999</v>
      </c>
      <c r="AA121" s="226">
        <f t="shared" si="37"/>
        <v>23.123999999999999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8"/>
        <v>208</v>
      </c>
      <c r="AE121" s="77" t="str">
        <f t="shared" si="39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121" s="74" t="str">
        <f t="shared" si="40"/>
        <v>"C:\Program Files (x86)\AstroGrep\AstroGrep.exe" /e /r /s /spath="%USERPROFILE%\AppData\Local\Temp\OnboardLogs" /stypes="app*4065*20171013*" /stext=" 01:.+((SYSTEM_STATE.+slice.+state.+changed )|(ment ac)|(multiple cpu faults)|(system.+state.+changed )|(\[timeout)|(PRM\|1\|D)|(kpr)|(kdp)|(train st.+moving)|(\|lc)|(penalty))"</v>
      </c>
      <c r="AG121" s="182" t="str">
        <f t="shared" si="41"/>
        <v>EC</v>
      </c>
      <c r="AH121" s="78" t="str">
        <f t="shared" si="42"/>
        <v>"%USERPROFILE%\Documents\GitHub\eaglep3\Utilities\RefineRTDCRunTimes.py" --tripid 208-12 --locoid 4065 --swversion DE.1.0.9.0 --startMP 204:232987 --initTime 2017-10-12T18:14:53 --startdatetime 2017-10-12T18:25:13 --delay 67 --endMP 204:1747 --enddatetime 2017-10-12T19:08:06 --enforcementcount 0 &gt;&gt;%USERPROFILE%\Documents\GitHub\eaglep3-reporting\EC\2017-10-12-refined-times.txt</v>
      </c>
      <c r="AI121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{"issue":{"subject":"","project_id":79,"tracker_id":40,"status_id":1,"priority_id":2,"assigned_to_id":338,"start_date":"2017-10-12","description":"","custom_fields":[{"id":1,"name":"Subdivision","value":"EC"},{"id":4,"name":"Milepost","value":"0.1747"},{"id":17,"name":"Train ID","value":"208-12"},{"id":16,"name":"Locomotive ID","value":"4065"},{"id":130,"name":"Impact","value":""},{"id":150,"name":"Time of Event (Mountain Time)","value":"19:08:06"},{"id":151,"name":"Denver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4"/>
        <v>start /low /b %USERPROFILE%\Documents\GitHub\eaglep3\Utilities\DownloadLogsFromS3.py --loco 4065 --day 2017-10-12</v>
      </c>
      <c r="AN121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6"/>
        <v>https://d0f6bd738d7f1b3e5a7ca70fe4ff75f0.us-east-1.aws.found.io/app/kibana#/discover/Steve-Slow-Train-Analysis-(2080s-and-2083s)?_g=(refreshInterval:(display:Off,pause:!f,section:0,value:0),time:(from:'2017-10-12T17:14:53-0600',mode:absolute,to:'2017-10-12T20:08:06-0600'))&amp;_a=(columns:!('Message%20ID',Summary),filters:!(),index:'emp_*',interval:auto,query:(query_string:(analyze_wildcard:!t,query:'%22rtdc.l.rtdc.4065%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757</v>
      </c>
      <c r="B122" s="7">
        <v>4002</v>
      </c>
      <c r="C122" s="21" t="s">
        <v>194</v>
      </c>
      <c r="D122" s="21" t="s">
        <v>435</v>
      </c>
      <c r="E122" s="13">
        <v>43020.71434027778</v>
      </c>
      <c r="F122" s="13">
        <v>43020.718969907408</v>
      </c>
      <c r="G122" s="7">
        <v>67</v>
      </c>
      <c r="H122" s="21" t="s">
        <v>470</v>
      </c>
      <c r="I122" s="13">
        <v>43020.770821759259</v>
      </c>
      <c r="J122" s="7">
        <v>0</v>
      </c>
      <c r="K122" s="89" t="str">
        <f t="shared" si="28"/>
        <v>4001/4002</v>
      </c>
      <c r="L122" s="185" t="str">
        <f>VLOOKUP(A122,'Trips&amp;Operators'!$C$1:$G$99911,5,FALSE)</f>
        <v>BERLING GARY</v>
      </c>
      <c r="M122" s="6">
        <f t="shared" si="29"/>
        <v>5.1851851851097308E-2</v>
      </c>
      <c r="N122" s="7">
        <f t="shared" si="47"/>
        <v>74.666666665580124</v>
      </c>
      <c r="O122" s="7"/>
      <c r="P122" s="7"/>
      <c r="Q122" s="22"/>
      <c r="R122" s="174"/>
      <c r="S122" s="199">
        <f t="shared" si="48"/>
        <v>1</v>
      </c>
      <c r="T122" s="174" t="str">
        <f t="shared" si="32"/>
        <v>NorthBound</v>
      </c>
      <c r="U122" s="22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25" t="str">
        <f t="shared" si="33"/>
        <v>https://d0f6bd738d7f1b3e5a7ca70fe4ff75f0.us-east-1.aws.found.io/app/kibana#/discover/Steve-Slow-Train-Analysis-(2080s-and-2083s)?_g=(refreshInterval:(display:Off,pause:!f,section:0,value:0),time:(from:'2017-10-12T16:08:39-0600',mode:absolute,to:'2017-10-12T19:29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226" t="str">
        <f>IF(AA122&lt;VLOOKUP(AG122,Variables!$AC$3:$AD$8,2,FALSE),"Y","N")</f>
        <v>N</v>
      </c>
      <c r="X122" s="226">
        <f t="shared" si="34"/>
        <v>1</v>
      </c>
      <c r="Y122" s="226">
        <f t="shared" si="49"/>
        <v>4.6399999999999997E-2</v>
      </c>
      <c r="Z122" s="226">
        <f t="shared" si="50"/>
        <v>23.328399999999998</v>
      </c>
      <c r="AA122" s="226">
        <f t="shared" si="37"/>
        <v>23.282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8"/>
        <v>209</v>
      </c>
      <c r="AE122" s="77" t="str">
        <f t="shared" si="39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122" s="74" t="str">
        <f t="shared" si="40"/>
        <v>"C:\Program Files (x86)\AstroGrep\AstroGrep.exe" /e /r /s /spath="%USERPROFILE%\AppData\Local\Temp\OnboardLogs" /stypes="app*4002*20171013*" /stext=" 00:.+((SYSTEM_STATE.+slice.+state.+changed )|(ment ac)|(multiple cpu faults)|(system.+state.+changed )|(\[timeout)|(PRM\|1\|D)|(kpr)|(kdp)|(train st.+moving)|(\|lc)|(penalty))"</v>
      </c>
      <c r="AG122" s="182" t="str">
        <f t="shared" si="41"/>
        <v>EC</v>
      </c>
      <c r="AH122" s="78" t="str">
        <f t="shared" si="42"/>
        <v>"%USERPROFILE%\Documents\GitHub\eaglep3\Utilities\RefineRTDCRunTimes.py" --tripid 209-12 --locoid 4002 --swversion DE.1.0.9.0 --startMP 204:464 --initTime 2017-10-12T17:08:39 --startdatetime 2017-10-12T17:15:19 --delay 67 --endMP 204:233284 --enddatetime 2017-10-12T18:29:59 --enforcementcount 0 &gt;&gt;%USERPROFILE%\Documents\GitHub\eaglep3-reporting\EC\2017-10-12-refined-times.txt</v>
      </c>
      <c r="AI122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{"issue":{"subject":"","project_id":79,"tracker_id":40,"status_id":1,"priority_id":2,"assigned_to_id":338,"start_date":"2017-10-12","description":"","custom_fields":[{"id":1,"name":"Subdivision","value":"EC"},{"id":4,"name":"Milepost","value":"23.3284"},{"id":17,"name":"Train ID","value":"209-12"},{"id":16,"name":"Locomotive ID","value":"4002"},{"id":130,"name":"Impact","value":""},{"id":150,"name":"Time of Event (Mountain Time)","value":"18:29:59"},{"id":151,"name":"Denver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4"/>
        <v>start /low /b %USERPROFILE%\Documents\GitHub\eaglep3\Utilities\DownloadLogsFromS3.py --loco 4002 --day 2017-10-12</v>
      </c>
      <c r="AN122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00:29:59"},{"id":29,"name":"Sharepoint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6"/>
        <v>https://d0f6bd738d7f1b3e5a7ca70fe4ff75f0.us-east-1.aws.found.io/app/kibana#/discover/Steve-Slow-Train-Analysis-(2080s-and-2083s)?_g=(refreshInterval:(display:Off,pause:!f,section:0,value:0),time:(from:'2017-10-12T16:08:39-0600',mode:absolute,to:'2017-10-12T19:29:59-0600'))&amp;_a=(columns:!('Message%20ID',Summary),filters:!(),index:'emp_*',interval:auto,query:(query_string:(analyze_wildcard:!t,query:'%22rtdc.l.rtdc.4002%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596</v>
      </c>
      <c r="B123" s="7">
        <v>4001</v>
      </c>
      <c r="C123" s="21" t="s">
        <v>194</v>
      </c>
      <c r="D123" s="21" t="s">
        <v>867</v>
      </c>
      <c r="E123" s="13">
        <v>43020.774571759262</v>
      </c>
      <c r="F123" s="13">
        <v>43020.775752314818</v>
      </c>
      <c r="G123" s="7">
        <v>53</v>
      </c>
      <c r="H123" s="21" t="s">
        <v>358</v>
      </c>
      <c r="I123" s="13">
        <v>43020.808055555557</v>
      </c>
      <c r="J123" s="7">
        <v>0</v>
      </c>
      <c r="K123" s="89" t="str">
        <f t="shared" si="28"/>
        <v>4001/4002</v>
      </c>
      <c r="L123" s="185" t="str">
        <f>VLOOKUP(A123,'Trips&amp;Operators'!$C$1:$G$99911,5,FALSE)</f>
        <v>BERLING GARY</v>
      </c>
      <c r="M123" s="6">
        <f t="shared" si="29"/>
        <v>3.2303240739565808E-2</v>
      </c>
      <c r="N123" s="7">
        <f t="shared" si="47"/>
        <v>46.516666664974764</v>
      </c>
      <c r="O123" s="7"/>
      <c r="P123" s="7"/>
      <c r="Q123" s="22"/>
      <c r="R123" s="174"/>
      <c r="S123" s="199">
        <f t="shared" si="48"/>
        <v>1</v>
      </c>
      <c r="T123" s="174" t="str">
        <f t="shared" si="32"/>
        <v>Southbound</v>
      </c>
      <c r="U123" s="22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25" t="str">
        <f t="shared" si="33"/>
        <v>https://d0f6bd738d7f1b3e5a7ca70fe4ff75f0.us-east-1.aws.found.io/app/kibana#/discover/Steve-Slow-Train-Analysis-(2080s-and-2083s)?_g=(refreshInterval:(display:Off,pause:!f,section:0,value:0),time:(from:'2017-10-12T17:35:23-0600',mode:absolute,to:'2017-10-12T20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226" t="str">
        <f>IF(AA123&lt;VLOOKUP(AG123,Variables!$AC$3:$AD$8,2,FALSE),"Y","N")</f>
        <v>N</v>
      </c>
      <c r="X123" s="226">
        <f t="shared" si="34"/>
        <v>1</v>
      </c>
      <c r="Y123" s="226">
        <f t="shared" si="49"/>
        <v>23.295500000000001</v>
      </c>
      <c r="Z123" s="226">
        <f t="shared" si="50"/>
        <v>1.5599999999999999E-2</v>
      </c>
      <c r="AA123" s="226">
        <f t="shared" si="37"/>
        <v>23.279900000000001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8"/>
        <v>210</v>
      </c>
      <c r="AE123" s="77" t="str">
        <f t="shared" si="39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123" s="74" t="str">
        <f t="shared" si="40"/>
        <v>"C:\Program Files (x86)\AstroGrep\AstroGrep.exe" /e /r /s /spath="%USERPROFILE%\AppData\Local\Temp\OnboardLogs" /stypes="app*4001*20171013*" /stext=" 01:.+((SYSTEM_STATE.+slice.+state.+changed )|(ment ac)|(multiple cpu faults)|(system.+state.+changed )|(\[timeout)|(PRM\|1\|D)|(kpr)|(kdp)|(train st.+moving)|(\|lc)|(penalty))"</v>
      </c>
      <c r="AG123" s="182" t="str">
        <f t="shared" si="41"/>
        <v>EC</v>
      </c>
      <c r="AH123" s="78" t="str">
        <f t="shared" si="42"/>
        <v>"%USERPROFILE%\Documents\GitHub\eaglep3\Utilities\RefineRTDCRunTimes.py" --tripid 210-12 --locoid 4001 --swversion DE.1.0.9.0 --startMP 204:232955 --initTime 2017-10-12T18:35:23 --startdatetime 2017-10-12T18:37:05 --delay 53 --endMP 204:156 --enddatetime 2017-10-12T19:23:36 --enforcementcount 0 &gt;&gt;%USERPROFILE%\Documents\GitHub\eaglep3-reporting\EC\2017-10-12-refined-times.txt</v>
      </c>
      <c r="AI123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{"issue":{"subject":"","project_id":79,"tracker_id":40,"status_id":1,"priority_id":2,"assigned_to_id":338,"start_date":"2017-10-12","description":"","custom_fields":[{"id":1,"name":"Subdivision","value":"EC"},{"id":4,"name":"Milepost","value":"0.0156"},{"id":17,"name":"Train ID","value":"210-12"},{"id":16,"name":"Locomotive ID","value":"4001"},{"id":130,"name":"Impact","value":""},{"id":150,"name":"Time of Event (Mountain Time)","value":"19:23:36"},{"id":151,"name":"Denver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4"/>
        <v>start /low /b %USERPROFILE%\Documents\GitHub\eaglep3\Utilities\DownloadLogsFromS3.py --loco 4001 --day 2017-10-12</v>
      </c>
      <c r="AN123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6"/>
        <v>https://d0f6bd738d7f1b3e5a7ca70fe4ff75f0.us-east-1.aws.found.io/app/kibana#/discover/Steve-Slow-Train-Analysis-(2080s-and-2083s)?_g=(refreshInterval:(display:Off,pause:!f,section:0,value:0),time:(from:'2017-10-12T17:35:23-0600',mode:absolute,to:'2017-10-12T20:23:36-0600'))&amp;_a=(columns:!('Message%20ID',Summary),filters:!(),index:'emp_*',interval:auto,query:(query_string:(analyze_wildcard:!t,query:'%22rtdc.l.rtdc.4001%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594</v>
      </c>
      <c r="B124" s="7">
        <v>4062</v>
      </c>
      <c r="C124" s="21" t="s">
        <v>194</v>
      </c>
      <c r="D124" s="21" t="s">
        <v>868</v>
      </c>
      <c r="E124" s="13">
        <v>43020.741435185184</v>
      </c>
      <c r="F124" s="13">
        <v>43020.742974537039</v>
      </c>
      <c r="G124" s="7">
        <v>56</v>
      </c>
      <c r="H124" s="21" t="s">
        <v>852</v>
      </c>
      <c r="I124" s="13">
        <v>43020.779131944444</v>
      </c>
      <c r="J124" s="7">
        <v>0</v>
      </c>
      <c r="K124" s="89" t="str">
        <f t="shared" si="28"/>
        <v>4061/4062</v>
      </c>
      <c r="L124" s="185" t="str">
        <f>VLOOKUP(A124,'Trips&amp;Operators'!$C$1:$G$99911,5,FALSE)</f>
        <v>DELGADO DIANAH</v>
      </c>
      <c r="M124" s="6">
        <f t="shared" si="29"/>
        <v>3.6157407404971309E-2</v>
      </c>
      <c r="N124" s="7">
        <f t="shared" si="47"/>
        <v>52.066666663158685</v>
      </c>
      <c r="O124" s="7"/>
      <c r="P124" s="7"/>
      <c r="Q124" s="22"/>
      <c r="R124" s="174"/>
      <c r="S124" s="199">
        <f t="shared" si="48"/>
        <v>0.25</v>
      </c>
      <c r="T124" s="174" t="str">
        <f t="shared" si="32"/>
        <v>NorthBound</v>
      </c>
      <c r="U124" s="22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3</v>
      </c>
      <c r="V124" s="225" t="str">
        <f t="shared" si="33"/>
        <v>https://d0f6bd738d7f1b3e5a7ca70fe4ff75f0.us-east-1.aws.found.io/app/kibana#/discover/Steve-Slow-Train-Analysis-(2080s-and-2083s)?_g=(refreshInterval:(display:Off,pause:!f,section:0,value:0),time:(from:'2017-10-12T16:47:40-0600',mode:absolute,to:'2017-10-12T19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4" s="226" t="str">
        <f>IF(AA124&lt;VLOOKUP(AG124,Variables!$AC$3:$AD$8,2,FALSE),"Y","N")</f>
        <v>Y</v>
      </c>
      <c r="X124" s="226">
        <f t="shared" si="34"/>
        <v>1</v>
      </c>
      <c r="Y124" s="226">
        <f t="shared" si="49"/>
        <v>6.4698000000000002</v>
      </c>
      <c r="Z124" s="226">
        <f t="shared" si="50"/>
        <v>23.328099999999999</v>
      </c>
      <c r="AA124" s="226">
        <f t="shared" si="37"/>
        <v>16.8583</v>
      </c>
      <c r="AB124" s="54" t="str">
        <f>VLOOKUP(A124,Enforcements!$C$7:$K$11,8,0)</f>
        <v>Bulletin (2)</v>
      </c>
      <c r="AC124" s="51" t="str">
        <f>VLOOKUP(A124,Enforcements!$C$7:$E$11,3,0)</f>
        <v>GRADE CROSSING</v>
      </c>
      <c r="AD124" s="179">
        <f t="shared" si="38"/>
        <v>211</v>
      </c>
      <c r="AE124" s="77" t="str">
        <f t="shared" si="39"/>
        <v>aws s3 cp s3://rtdc.mdm.uploadarchive.raw/RTDC4062/ "%USERPROFILE%\AppData\Local\Temp\OnboardLogs"\RTDC4062\2017-10-12 --exclude "*" --recursive --include "*20171012*" &amp; "%USERPROFILE%\Documents\GitHub\mrs-test-scripts\Headless Mode &amp; Sideloading\WalkAndUnGZ.bat" "%USERPROFILE%\AppData\Local\Temp\OnboardLogs"\RTDC4062\2017-10-12 &amp; aws s3 cp s3://rtdc.mdm.uploadarchive.raw/RTDC4062/ "%USERPROFILE%\AppData\Local\Temp\OnboardLogs"\RTDC4062\2017-10-13 --exclude "*" --recursive --include "*20171013*" &amp; "%USERPROFILE%\Documents\GitHub\mrs-test-scripts\Headless Mode &amp; Sideloading\WalkAndUnGZ.bat" "%USERPROFILE%\AppData\Local\Temp\OnboardLogs"\RTDC4062\2017-10-13</v>
      </c>
      <c r="AF124" s="74" t="str">
        <f t="shared" si="40"/>
        <v>"C:\Program Files (x86)\AstroGrep\AstroGrep.exe" /e /r /s /spath="%USERPROFILE%\AppData\Local\Temp\OnboardLogs" /stypes="app*4062*20171013*" /stext=" 00:.+((SYSTEM_STATE.+slice.+state.+changed )|(ment ac)|(multiple cpu faults)|(system.+state.+changed )|(\[timeout)|(PRM\|1\|D)|(kpr)|(kdp)|(train st.+moving)|(\|lc)|(penalty))"</v>
      </c>
      <c r="AG124" s="182" t="str">
        <f t="shared" si="41"/>
        <v>EC</v>
      </c>
      <c r="AH124" s="78" t="str">
        <f t="shared" si="42"/>
        <v>"%USERPROFILE%\Documents\GitHub\eaglep3\Utilities\RefineRTDCRunTimes.py" --tripid 211-12 --locoid 4062 --swversion DE.1.0.9.0 --startMP 204:64698 --initTime 2017-10-12T17:47:40 --startdatetime 2017-10-12T17:49:53 --delay 56 --endMP 204:233281 --enddatetime 2017-10-12T18:41:57 --enforcementcount 0 &gt;&gt;%USERPROFILE%\Documents\GitHub\eaglep3-reporting\EC\2017-10-12-refined-times.txt</v>
      </c>
      <c r="AI124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{"issue":{"subject":"","project_id":79,"tracker_id":40,"status_id":1,"priority_id":2,"assigned_to_id":338,"start_date":"2017-10-12","description":"","custom_fields":[{"id":1,"name":"Subdivision","value":"EC"},{"id":4,"name":"Milepost","value":"23.3281"},{"id":17,"name":"Train ID","value":"211-12"},{"id":16,"name":"Locomotive ID","value":"4062"},{"id":130,"name":"Impact","value":""},{"id":150,"name":"Time of Event (Mountain Time)","value":"18:41:57"},{"id":151,"name":"Denver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4"/>
        <v>start /low /b %USERPROFILE%\Documents\GitHub\eaglep3\Utilities\DownloadLogsFromS3.py --loco 4062 --day 2017-10-12</v>
      </c>
      <c r="AN124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00:41:57"},{"id":29,"name":"Sharepoint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6"/>
        <v>https://d0f6bd738d7f1b3e5a7ca70fe4ff75f0.us-east-1.aws.found.io/app/kibana#/discover/Steve-Slow-Train-Analysis-(2080s-and-2083s)?_g=(refreshInterval:(display:Off,pause:!f,section:0,value:0),time:(from:'2017-10-12T16:47:40-0600',mode:absolute,to:'2017-10-12T19:41:57-0600'))&amp;_a=(columns:!('Message%20ID',Summary),filters:!(),index:'emp_*',interval:auto,query:(query_string:(analyze_wildcard:!t,query:'%22rtdc.l.rtdc.4062%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764</v>
      </c>
      <c r="B125" s="7">
        <v>4014</v>
      </c>
      <c r="C125" s="21" t="s">
        <v>194</v>
      </c>
      <c r="D125" s="21" t="s">
        <v>395</v>
      </c>
      <c r="E125" s="13">
        <v>43020.741249999999</v>
      </c>
      <c r="F125" s="13">
        <v>43020.750208333331</v>
      </c>
      <c r="G125" s="7">
        <v>84</v>
      </c>
      <c r="H125" s="21" t="s">
        <v>375</v>
      </c>
      <c r="I125" s="13">
        <v>43020.785717592589</v>
      </c>
      <c r="J125" s="7">
        <v>0</v>
      </c>
      <c r="K125" s="89" t="str">
        <f t="shared" si="28"/>
        <v>4013/4014</v>
      </c>
      <c r="L125" s="185" t="str">
        <f>VLOOKUP(A125,'Trips&amp;Operators'!$C$1:$G$99911,5,FALSE)</f>
        <v>LOZA FIDEL</v>
      </c>
      <c r="M125" s="6">
        <f t="shared" si="29"/>
        <v>3.5509259258105885E-2</v>
      </c>
      <c r="N125" s="7">
        <f t="shared" si="47"/>
        <v>51.133333331672475</v>
      </c>
      <c r="O125" s="7"/>
      <c r="P125" s="7"/>
      <c r="Q125" s="22"/>
      <c r="R125" s="174"/>
      <c r="S125" s="199">
        <f t="shared" si="48"/>
        <v>0</v>
      </c>
      <c r="T125" s="174" t="str">
        <f t="shared" si="32"/>
        <v>NorthBound</v>
      </c>
      <c r="U125" s="22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0</v>
      </c>
      <c r="V125" s="225" t="str">
        <f t="shared" si="33"/>
        <v>https://d0f6bd738d7f1b3e5a7ca70fe4ff75f0.us-east-1.aws.found.io/app/kibana#/discover/Steve-Slow-Train-Analysis-(2080s-and-2083s)?_g=(refreshInterval:(display:Off,pause:!f,section:0,value:0),time:(from:'2017-10-12T16:47:24-0600',mode:absolute,to:'2017-10-12T19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226" t="str">
        <f>IF(AA125&lt;VLOOKUP(AG125,Variables!$AC$3:$AD$8,2,FALSE),"Y","N")</f>
        <v>Y</v>
      </c>
      <c r="X125" s="226">
        <f t="shared" si="34"/>
        <v>2</v>
      </c>
      <c r="Y125" s="226">
        <f t="shared" si="49"/>
        <v>4.6899999999999997E-2</v>
      </c>
      <c r="Z125" s="226">
        <f t="shared" si="50"/>
        <v>4.6600000000000003E-2</v>
      </c>
      <c r="AA125" s="226">
        <f t="shared" si="37"/>
        <v>2.9999999999999472E-4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8"/>
        <v>213</v>
      </c>
      <c r="AE125" s="77" t="str">
        <f t="shared" si="39"/>
        <v>aws s3 cp s3://rtdc.mdm.uploadarchive.raw/RTDC4014/ "%USERPROFILE%\AppData\Local\Temp\OnboardLogs"\RTDC4014\2017-10-12 --exclude "*" --recursive --include "*20171012*" &amp; "%USERPROFILE%\Documents\GitHub\mrs-test-scripts\Headless Mode &amp; Sideloading\WalkAndUnGZ.bat" "%USERPROFILE%\AppData\Local\Temp\OnboardLogs"\RTDC4014\2017-10-12 &amp; aws s3 cp s3://rtdc.mdm.uploadarchive.raw/RTDC4014/ "%USERPROFILE%\AppData\Local\Temp\OnboardLogs"\RTDC4014\2017-10-13 --exclude "*" --recursive --include "*20171013*" &amp; "%USERPROFILE%\Documents\GitHub\mrs-test-scripts\Headless Mode &amp; Sideloading\WalkAndUnGZ.bat" "%USERPROFILE%\AppData\Local\Temp\OnboardLogs"\RTDC4014\2017-10-13</v>
      </c>
      <c r="AF125" s="74" t="str">
        <f t="shared" si="40"/>
        <v>"C:\Program Files (x86)\AstroGrep\AstroGrep.exe" /e /r /s /spath="%USERPROFILE%\AppData\Local\Temp\OnboardLogs" /stypes="app*4014*20171013*" /stext=" 00:.+((SYSTEM_STATE.+slice.+state.+changed )|(ment ac)|(multiple cpu faults)|(system.+state.+changed )|(\[timeout)|(PRM\|1\|D)|(kpr)|(kdp)|(train st.+moving)|(\|lc)|(penalty))"</v>
      </c>
      <c r="AG125" s="182" t="str">
        <f t="shared" si="41"/>
        <v>EC</v>
      </c>
      <c r="AH125" s="78" t="str">
        <f t="shared" si="42"/>
        <v>"%USERPROFILE%\Documents\GitHub\eaglep3\Utilities\RefineRTDCRunTimes.py" --tripid 213-12 --locoid 4014 --swversion DE.1.0.9.0 --startMP 204:469 --initTime 2017-10-12T17:47:24 --startdatetime 2017-10-12T18:00:18 --delay 84 --endMP 204:466 --enddatetime 2017-10-12T18:51:26 --enforcementcount 0 &gt;&gt;%USERPROFILE%\Documents\GitHub\eaglep3-reporting\EC\2017-10-12-refined-times.txt</v>
      </c>
      <c r="AI125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{"issue":{"subject":"","project_id":79,"tracker_id":40,"status_id":1,"priority_id":2,"assigned_to_id":338,"start_date":"2017-10-12","description":"","custom_fields":[{"id":1,"name":"Subdivision","value":"EC"},{"id":4,"name":"Milepost","value":"0.0466"},{"id":17,"name":"Train ID","value":"213-12"},{"id":16,"name":"Locomotive ID","value":"4014"},{"id":130,"name":"Impact","value":""},{"id":150,"name":"Time of Event (Mountain Time)","value":"18:51:26"},{"id":151,"name":"Denver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4"/>
        <v>start /low /b %USERPROFILE%\Documents\GitHub\eaglep3\Utilities\DownloadLogsFromS3.py --loco 4014 --day 2017-10-12</v>
      </c>
      <c r="AN125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6"/>
        <v>https://d0f6bd738d7f1b3e5a7ca70fe4ff75f0.us-east-1.aws.found.io/app/kibana#/discover/Steve-Slow-Train-Analysis-(2080s-and-2083s)?_g=(refreshInterval:(display:Off,pause:!f,section:0,value:0),time:(from:'2017-10-12T16:47:24-0600',mode:absolute,to:'2017-10-12T19:51:26-0600'))&amp;_a=(columns:!('Message%20ID',Summary),filters:!(),index:'emp_*',interval:auto,query:(query_string:(analyze_wildcard:!t,query:'%22rtdc.l.rtdc.4014%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772</v>
      </c>
      <c r="B126" s="7">
        <v>4052</v>
      </c>
      <c r="C126" s="21" t="s">
        <v>194</v>
      </c>
      <c r="D126" s="21" t="s">
        <v>543</v>
      </c>
      <c r="E126" s="13">
        <v>43020.77753472222</v>
      </c>
      <c r="F126" s="13">
        <v>43020.779490740744</v>
      </c>
      <c r="G126" s="7">
        <v>106</v>
      </c>
      <c r="H126" s="21" t="s">
        <v>869</v>
      </c>
      <c r="I126" s="13">
        <v>43020.804652777777</v>
      </c>
      <c r="J126" s="7">
        <v>0</v>
      </c>
      <c r="K126" s="89" t="str">
        <f t="shared" si="28"/>
        <v>4051/4052</v>
      </c>
      <c r="L126" s="185" t="str">
        <f>VLOOKUP(A126,'Trips&amp;Operators'!$C$1:$G$99911,5,FALSE)</f>
        <v>MCREYNOLDS KYLE</v>
      </c>
      <c r="M126" s="6">
        <f t="shared" si="29"/>
        <v>2.5162037032714579E-2</v>
      </c>
      <c r="N126" s="7">
        <f t="shared" si="47"/>
        <v>36.233333327108994</v>
      </c>
      <c r="O126" s="7"/>
      <c r="P126" s="7"/>
      <c r="Q126" s="22"/>
      <c r="R126" s="174"/>
      <c r="S126" s="199">
        <f t="shared" si="48"/>
        <v>1</v>
      </c>
      <c r="T126" s="174" t="str">
        <f t="shared" si="32"/>
        <v>NorthBound</v>
      </c>
      <c r="U126" s="22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25" t="str">
        <f t="shared" si="33"/>
        <v>https://d0f6bd738d7f1b3e5a7ca70fe4ff75f0.us-east-1.aws.found.io/app/kibana#/discover/Steve-Slow-Train-Analysis-(2080s-and-2083s)?_g=(refreshInterval:(display:Off,pause:!f,section:0,value:0),time:(from:'2017-10-12T17:39:39-0600',mode:absolute,to:'2017-10-12T20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6" s="226" t="str">
        <f>IF(AA126&lt;VLOOKUP(AG126,Variables!$AC$3:$AD$8,2,FALSE),"Y","N")</f>
        <v>N</v>
      </c>
      <c r="X126" s="226">
        <f t="shared" si="34"/>
        <v>6</v>
      </c>
      <c r="Y126" s="226">
        <f t="shared" si="49"/>
        <v>4.3299999999999998E-2</v>
      </c>
      <c r="Z126" s="226">
        <f t="shared" si="50"/>
        <v>23.331099999999999</v>
      </c>
      <c r="AA126" s="226">
        <f t="shared" si="37"/>
        <v>23.287800000000001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8"/>
        <v>219</v>
      </c>
      <c r="AE126" s="77" t="str">
        <f t="shared" si="39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126" s="74" t="str">
        <f t="shared" si="40"/>
        <v>"C:\Program Files (x86)\AstroGrep\AstroGrep.exe" /e /r /s /spath="%USERPROFILE%\AppData\Local\Temp\OnboardLogs" /stypes="app*4052*20171013*" /stext=" 01:.+((SYSTEM_STATE.+slice.+state.+changed )|(ment ac)|(multiple cpu faults)|(system.+state.+changed )|(\[timeout)|(PRM\|1\|D)|(kpr)|(kdp)|(train st.+moving)|(\|lc)|(penalty))"</v>
      </c>
      <c r="AG126" s="182" t="str">
        <f t="shared" si="41"/>
        <v>EC</v>
      </c>
      <c r="AH126" s="78" t="str">
        <f t="shared" si="42"/>
        <v>"%USERPROFILE%\Documents\GitHub\eaglep3\Utilities\RefineRTDCRunTimes.py" --tripid 219-12 --locoid 4052 --swversion DE.1.0.9.0 --startMP 204:433 --initTime 2017-10-12T18:39:39 --startdatetime 2017-10-12T18:42:28 --delay 106 --endMP 204:233311 --enddatetime 2017-10-12T19:18:42 --enforcementcount 0 &gt;&gt;%USERPROFILE%\Documents\GitHub\eaglep3-reporting\EC\2017-10-12-refined-times.txt</v>
      </c>
      <c r="AI126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{"issue":{"subject":"","project_id":79,"tracker_id":40,"status_id":1,"priority_id":2,"assigned_to_id":338,"start_date":"2017-10-12","description":"","custom_fields":[{"id":1,"name":"Subdivision","value":"EC"},{"id":4,"name":"Milepost","value":"23.3311"},{"id":17,"name":"Train ID","value":"219-12"},{"id":16,"name":"Locomotive ID","value":"4052"},{"id":130,"name":"Impact","value":""},{"id":150,"name":"Time of Event (Mountain Time)","value":"19:18:42"},{"id":151,"name":"Denver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4"/>
        <v>start /low /b %USERPROFILE%\Documents\GitHub\eaglep3\Utilities\DownloadLogsFromS3.py --loco 4052 --day 2017-10-12</v>
      </c>
      <c r="AN126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6"/>
        <v>https://d0f6bd738d7f1b3e5a7ca70fe4ff75f0.us-east-1.aws.found.io/app/kibana#/discover/Steve-Slow-Train-Analysis-(2080s-and-2083s)?_g=(refreshInterval:(display:Off,pause:!f,section:0,value:0),time:(from:'2017-10-12T17:39:39-0600',mode:absolute,to:'2017-10-12T20:18:42-0600'))&amp;_a=(columns:!('Message%20ID',Summary),filters:!(),index:'emp_*',interval:auto,query:(query_string:(analyze_wildcard:!t,query:'%22rtdc.l.rtdc.4052%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782</v>
      </c>
      <c r="B127" s="7">
        <v>4051</v>
      </c>
      <c r="C127" s="21" t="s">
        <v>194</v>
      </c>
      <c r="D127" s="21" t="s">
        <v>396</v>
      </c>
      <c r="E127" s="13">
        <v>43020.807870370372</v>
      </c>
      <c r="F127" s="13">
        <v>43020.810763888891</v>
      </c>
      <c r="G127" s="7">
        <v>77</v>
      </c>
      <c r="H127" s="21" t="s">
        <v>374</v>
      </c>
      <c r="I127" s="13">
        <v>43020.841226851851</v>
      </c>
      <c r="J127" s="7">
        <v>0</v>
      </c>
      <c r="K127" s="89" t="str">
        <f t="shared" si="28"/>
        <v>4051/4052</v>
      </c>
      <c r="L127" s="185" t="str">
        <f>VLOOKUP(A127,'Trips&amp;Operators'!$C$1:$G$99911,5,FALSE)</f>
        <v>MCREYNOLDS KYLE</v>
      </c>
      <c r="M127" s="6">
        <f t="shared" si="29"/>
        <v>3.0462962960882578E-2</v>
      </c>
      <c r="N127" s="7">
        <f t="shared" si="47"/>
        <v>43.866666663670912</v>
      </c>
      <c r="O127" s="7"/>
      <c r="P127" s="7"/>
      <c r="Q127" s="22"/>
      <c r="R127" s="174"/>
      <c r="S127" s="199">
        <f t="shared" si="48"/>
        <v>1</v>
      </c>
      <c r="T127" s="174" t="str">
        <f t="shared" si="32"/>
        <v>Southbound</v>
      </c>
      <c r="U127" s="22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25" t="str">
        <f t="shared" si="33"/>
        <v>https://d0f6bd738d7f1b3e5a7ca70fe4ff75f0.us-east-1.aws.found.io/app/kibana#/discover/Steve-Slow-Train-Analysis-(2080s-and-2083s)?_g=(refreshInterval:(display:Off,pause:!f,section:0,value:0),time:(from:'2017-10-12T18:23:20-0600',mode:absolute,to:'2017-10-12T21:11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7" s="226" t="str">
        <f>IF(AA127&lt;VLOOKUP(AG127,Variables!$AC$3:$AD$8,2,FALSE),"Y","N")</f>
        <v>N</v>
      </c>
      <c r="X127" s="226">
        <f t="shared" si="34"/>
        <v>1</v>
      </c>
      <c r="Y127" s="226">
        <f t="shared" si="49"/>
        <v>23.299199999999999</v>
      </c>
      <c r="Z127" s="226">
        <f t="shared" si="50"/>
        <v>1.54E-2</v>
      </c>
      <c r="AA127" s="226">
        <f t="shared" si="37"/>
        <v>23.283799999999999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8"/>
        <v>220</v>
      </c>
      <c r="AE127" s="77" t="str">
        <f t="shared" si="39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127" s="74" t="str">
        <f t="shared" si="40"/>
        <v>"C:\Program Files (x86)\AstroGrep\AstroGrep.exe" /e /r /s /spath="%USERPROFILE%\AppData\Local\Temp\OnboardLogs" /stypes="app*4051*20171013*" /stext=" 02:.+((SYSTEM_STATE.+slice.+state.+changed )|(ment ac)|(multiple cpu faults)|(system.+state.+changed )|(\[timeout)|(PRM\|1\|D)|(kpr)|(kdp)|(train st.+moving)|(\|lc)|(penalty))"</v>
      </c>
      <c r="AG127" s="182" t="str">
        <f t="shared" si="41"/>
        <v>EC</v>
      </c>
      <c r="AH127" s="78" t="str">
        <f t="shared" si="42"/>
        <v>"%USERPROFILE%\Documents\GitHub\eaglep3\Utilities\RefineRTDCRunTimes.py" --tripid 220-12 --locoid 4051 --swversion DE.1.0.9.0 --startMP 204:232992 --initTime 2017-10-12T19:23:20 --startdatetime 2017-10-12T19:27:30 --delay 77 --endMP 204:154 --enddatetime 2017-10-12T20:11:22 --enforcementcount 0 &gt;&gt;%USERPROFILE%\Documents\GitHub\eaglep3-reporting\EC\2017-10-12-refined-times.txt</v>
      </c>
      <c r="AI127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ID","value":"220-12"},{"id":16,"name":"Locomotive ID","value":"4051"},{"id":130,"name":"Impact","value":""},{"id":150,"name":"Time of Event (Mountain Time)","value":"20:11:22"},{"id":151,"name":"Denver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4"/>
        <v>start /low /b %USERPROFILE%\Documents\GitHub\eaglep3\Utilities\DownloadLogsFromS3.py --loco 4051 --day 2017-10-12</v>
      </c>
      <c r="AN127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02:11:22"},{"id":29,"name":"Sharepoint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6"/>
        <v>https://d0f6bd738d7f1b3e5a7ca70fe4ff75f0.us-east-1.aws.found.io/app/kibana#/discover/Steve-Slow-Train-Analysis-(2080s-and-2083s)?_g=(refreshInterval:(display:Off,pause:!f,section:0,value:0),time:(from:'2017-10-12T18:23:20-0600',mode:absolute,to:'2017-10-12T21:11:22-0600'))&amp;_a=(columns:!('Message%20ID',Summary),filters:!(),index:'emp_*',interval:auto,query:(query_string:(analyze_wildcard:!t,query:'%22rtdc.l.rtdc.4051%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776</v>
      </c>
      <c r="B128" s="7">
        <v>4026</v>
      </c>
      <c r="C128" s="21" t="s">
        <v>194</v>
      </c>
      <c r="D128" s="21" t="s">
        <v>372</v>
      </c>
      <c r="E128" s="13">
        <v>43020.787407407406</v>
      </c>
      <c r="F128" s="13">
        <v>43020.793078703704</v>
      </c>
      <c r="G128" s="7">
        <v>80</v>
      </c>
      <c r="H128" s="21" t="s">
        <v>427</v>
      </c>
      <c r="I128" s="13">
        <v>43020.821226851855</v>
      </c>
      <c r="J128" s="7">
        <v>0</v>
      </c>
      <c r="K128" s="89" t="str">
        <f t="shared" si="28"/>
        <v>4025/4026</v>
      </c>
      <c r="L128" s="185" t="str">
        <f>VLOOKUP(A128,'Trips&amp;Operators'!$C$1:$G$99911,5,FALSE)</f>
        <v>WEST BRYAN</v>
      </c>
      <c r="M128" s="6">
        <f t="shared" si="29"/>
        <v>2.8148148150648922E-2</v>
      </c>
      <c r="N128" s="7">
        <f t="shared" si="47"/>
        <v>40.533333336934447</v>
      </c>
      <c r="O128" s="7"/>
      <c r="P128" s="7"/>
      <c r="Q128" s="22"/>
      <c r="R128" s="174"/>
      <c r="S128" s="199">
        <f t="shared" si="48"/>
        <v>1</v>
      </c>
      <c r="T128" s="174" t="str">
        <f t="shared" si="32"/>
        <v>NorthBound</v>
      </c>
      <c r="U128" s="22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25" t="str">
        <f t="shared" si="33"/>
        <v>https://d0f6bd738d7f1b3e5a7ca70fe4ff75f0.us-east-1.aws.found.io/app/kibana#/discover/Steve-Slow-Train-Analysis-(2080s-and-2083s)?_g=(refreshInterval:(display:Off,pause:!f,section:0,value:0),time:(from:'2017-10-12T17:53:52-0600',mode:absolute,to:'2017-10-12T20:42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226" t="str">
        <f>IF(AA128&lt;VLOOKUP(AG128,Variables!$AC$3:$AD$8,2,FALSE),"Y","N")</f>
        <v>N</v>
      </c>
      <c r="X128" s="226">
        <f t="shared" si="34"/>
        <v>1</v>
      </c>
      <c r="Y128" s="226">
        <f t="shared" si="49"/>
        <v>4.7100000000000003E-2</v>
      </c>
      <c r="Z128" s="226">
        <f t="shared" si="50"/>
        <v>23.331399999999999</v>
      </c>
      <c r="AA128" s="226">
        <f t="shared" si="37"/>
        <v>23.284299999999998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8"/>
        <v>221</v>
      </c>
      <c r="AE128" s="77" t="str">
        <f t="shared" si="39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28" s="74" t="str">
        <f t="shared" si="40"/>
        <v>"C:\Program Files (x86)\AstroGrep\AstroGrep.exe" /e /r /s /spath="%USERPROFILE%\AppData\Local\Temp\OnboardLogs" /stypes="app*4026*20171013*" /stext=" 01:.+((SYSTEM_STATE.+slice.+state.+changed )|(ment ac)|(multiple cpu faults)|(system.+state.+changed )|(\[timeout)|(PRM\|1\|D)|(kpr)|(kdp)|(train st.+moving)|(\|lc)|(penalty))"</v>
      </c>
      <c r="AG128" s="182" t="str">
        <f t="shared" si="41"/>
        <v>EC</v>
      </c>
      <c r="AH128" s="78" t="str">
        <f t="shared" si="42"/>
        <v>"%USERPROFILE%\Documents\GitHub\eaglep3\Utilities\RefineRTDCRunTimes.py" --tripid 221-12 --locoid 4026 --swversion DE.1.0.9.0 --startMP 204:471 --initTime 2017-10-12T18:53:52 --startdatetime 2017-10-12T19:02:02 --delay 80 --endMP 204:233314 --enddatetime 2017-10-12T19:42:34 --enforcementcount 0 &gt;&gt;%USERPROFILE%\Documents\GitHub\eaglep3-reporting\EC\2017-10-12-refined-times.txt</v>
      </c>
      <c r="AI128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{"issue":{"subject":"","project_id":79,"tracker_id":40,"status_id":1,"priority_id":2,"assigned_to_id":338,"start_date":"2017-10-12","description":"","custom_fields":[{"id":1,"name":"Subdivision","value":"EC"},{"id":4,"name":"Milepost","value":"23.3314"},{"id":17,"name":"Train ID","value":"221-12"},{"id":16,"name":"Locomotive ID","value":"4026"},{"id":130,"name":"Impact","value":""},{"id":150,"name":"Time of Event (Mountain Time)","value":"19:42:34"},{"id":151,"name":"Denver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4"/>
        <v>start /low /b %USERPROFILE%\Documents\GitHub\eaglep3\Utilities\DownloadLogsFromS3.py --loco 4026 --day 2017-10-12</v>
      </c>
      <c r="AN128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01:42:34"},{"id":29,"name":"Sharepoint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6"/>
        <v>https://d0f6bd738d7f1b3e5a7ca70fe4ff75f0.us-east-1.aws.found.io/app/kibana#/discover/Steve-Slow-Train-Analysis-(2080s-and-2083s)?_g=(refreshInterval:(display:Off,pause:!f,section:0,value:0),time:(from:'2017-10-12T17:53:52-0600',mode:absolute,to:'2017-10-12T20:42:34-0600'))&amp;_a=(columns:!('Message%20ID',Summary),filters:!(),index:'emp_*',interval:auto,query:(query_string:(analyze_wildcard:!t,query:'%22rtdc.l.rtdc.4026%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787</v>
      </c>
      <c r="B129" s="7">
        <v>4025</v>
      </c>
      <c r="C129" s="21" t="s">
        <v>194</v>
      </c>
      <c r="D129" s="21" t="s">
        <v>530</v>
      </c>
      <c r="E129" s="13">
        <v>43020.822696759256</v>
      </c>
      <c r="F129" s="13">
        <v>43020.831458333334</v>
      </c>
      <c r="G129" s="7">
        <v>74</v>
      </c>
      <c r="H129" s="21" t="s">
        <v>870</v>
      </c>
      <c r="I129" s="13">
        <v>43020.860011574077</v>
      </c>
      <c r="J129" s="7">
        <v>0</v>
      </c>
      <c r="K129" s="89" t="str">
        <f t="shared" si="28"/>
        <v>4025/4026</v>
      </c>
      <c r="L129" s="185" t="str">
        <f>VLOOKUP(A129,'Trips&amp;Operators'!$C$1:$G$99911,5,FALSE)</f>
        <v>WEST BRYAN</v>
      </c>
      <c r="M129" s="6">
        <f t="shared" si="29"/>
        <v>2.8553240743349306E-2</v>
      </c>
      <c r="N129" s="7">
        <f t="shared" si="47"/>
        <v>41.116666670423001</v>
      </c>
      <c r="O129" s="7"/>
      <c r="P129" s="7"/>
      <c r="Q129" s="22"/>
      <c r="R129" s="174"/>
      <c r="S129" s="199">
        <f t="shared" si="48"/>
        <v>1</v>
      </c>
      <c r="T129" s="174" t="str">
        <f t="shared" si="32"/>
        <v>Southbound</v>
      </c>
      <c r="U129" s="22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25" t="str">
        <f t="shared" si="33"/>
        <v>https://d0f6bd738d7f1b3e5a7ca70fe4ff75f0.us-east-1.aws.found.io/app/kibana#/discover/Steve-Slow-Train-Analysis-(2080s-and-2083s)?_g=(refreshInterval:(display:Off,pause:!f,section:0,value:0),time:(from:'2017-10-12T18:44:41-0600',mode:absolute,to:'2017-10-12T21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9" s="226" t="str">
        <f>IF(AA129&lt;VLOOKUP(AG129,Variables!$AC$3:$AD$8,2,FALSE),"Y","N")</f>
        <v>N</v>
      </c>
      <c r="X129" s="226">
        <f t="shared" si="34"/>
        <v>1</v>
      </c>
      <c r="Y129" s="226">
        <f t="shared" si="49"/>
        <v>23.297799999999999</v>
      </c>
      <c r="Z129" s="226">
        <f t="shared" si="50"/>
        <v>1.83E-2</v>
      </c>
      <c r="AA129" s="226">
        <f t="shared" si="37"/>
        <v>23.279499999999999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8"/>
        <v>222</v>
      </c>
      <c r="AE129" s="77" t="str">
        <f t="shared" si="39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29" s="74" t="str">
        <f t="shared" si="40"/>
        <v>"C:\Program Files (x86)\AstroGrep\AstroGrep.exe" /e /r /s /spath="%USERPROFILE%\AppData\Local\Temp\OnboardLogs" /stypes="app*4025*20171013*" /stext=" 02:.+((SYSTEM_STATE.+slice.+state.+changed )|(ment ac)|(multiple cpu faults)|(system.+state.+changed )|(\[timeout)|(PRM\|1\|D)|(kpr)|(kdp)|(train st.+moving)|(\|lc)|(penalty))"</v>
      </c>
      <c r="AG129" s="182" t="str">
        <f t="shared" si="41"/>
        <v>EC</v>
      </c>
      <c r="AH129" s="78" t="str">
        <f t="shared" si="42"/>
        <v>"%USERPROFILE%\Documents\GitHub\eaglep3\Utilities\RefineRTDCRunTimes.py" --tripid 222-12 --locoid 4025 --swversion DE.1.0.9.0 --startMP 204:232978 --initTime 2017-10-12T19:44:41 --startdatetime 2017-10-12T19:57:18 --delay 74 --endMP 204:183 --enddatetime 2017-10-12T20:38:25 --enforcementcount 0 &gt;&gt;%USERPROFILE%\Documents\GitHub\eaglep3-reporting\EC\2017-10-12-refined-times.txt</v>
      </c>
      <c r="AI129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{"issue":{"subject":"","project_id":79,"tracker_id":40,"status_id":1,"priority_id":2,"assigned_to_id":338,"start_date":"2017-10-12","description":"","custom_fields":[{"id":1,"name":"Subdivision","value":"EC"},{"id":4,"name":"Milepost","value":"0.0183"},{"id":17,"name":"Train ID","value":"222-12"},{"id":16,"name":"Locomotive ID","value":"4025"},{"id":130,"name":"Impact","value":""},{"id":150,"name":"Time of Event (Mountain Time)","value":"20:38:25"},{"id":151,"name":"Denver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4"/>
        <v>start /low /b %USERPROFILE%\Documents\GitHub\eaglep3\Utilities\DownloadLogsFromS3.py --loco 4025 --day 2017-10-12</v>
      </c>
      <c r="AN129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6"/>
        <v>https://d0f6bd738d7f1b3e5a7ca70fe4ff75f0.us-east-1.aws.found.io/app/kibana#/discover/Steve-Slow-Train-Analysis-(2080s-and-2083s)?_g=(refreshInterval:(display:Off,pause:!f,section:0,value:0),time:(from:'2017-10-12T18:44:41-0600',mode:absolute,to:'2017-10-12T21:38:25-0600'))&amp;_a=(columns:!('Message%20ID',Summary),filters:!(),index:'emp_*',interval:auto,query:(query_string:(analyze_wildcard:!t,query:'%22rtdc.l.rtdc.4025%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780</v>
      </c>
      <c r="B130" s="7">
        <v>4064</v>
      </c>
      <c r="C130" s="21" t="s">
        <v>194</v>
      </c>
      <c r="D130" s="21" t="s">
        <v>391</v>
      </c>
      <c r="E130" s="13">
        <v>43020.795381944445</v>
      </c>
      <c r="F130" s="13">
        <v>43020.812754629631</v>
      </c>
      <c r="G130" s="7">
        <v>183</v>
      </c>
      <c r="H130" s="21" t="s">
        <v>871</v>
      </c>
      <c r="I130" s="13">
        <v>43020.839594907404</v>
      </c>
      <c r="J130" s="7">
        <v>0</v>
      </c>
      <c r="K130" s="89" t="str">
        <f t="shared" si="28"/>
        <v>4063/4064</v>
      </c>
      <c r="L130" s="185" t="str">
        <f>VLOOKUP(A130,'Trips&amp;Operators'!$C$1:$G$99911,5,FALSE)</f>
        <v>NICHOLSON WESLEY</v>
      </c>
      <c r="M130" s="6">
        <f t="shared" si="29"/>
        <v>2.6840277772862464E-2</v>
      </c>
      <c r="N130" s="7">
        <f t="shared" si="47"/>
        <v>38.649999992921948</v>
      </c>
      <c r="O130" s="7"/>
      <c r="P130" s="7"/>
      <c r="Q130" s="22"/>
      <c r="R130" s="174"/>
      <c r="S130" s="199">
        <f t="shared" si="48"/>
        <v>1</v>
      </c>
      <c r="T130" s="174" t="str">
        <f t="shared" si="32"/>
        <v>NorthBound</v>
      </c>
      <c r="U130" s="22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25" t="str">
        <f t="shared" si="33"/>
        <v>https://d0f6bd738d7f1b3e5a7ca70fe4ff75f0.us-east-1.aws.found.io/app/kibana#/discover/Steve-Slow-Train-Analysis-(2080s-and-2083s)?_g=(refreshInterval:(display:Off,pause:!f,section:0,value:0),time:(from:'2017-10-12T18:05:21-0600',mode:absolute,to:'2017-10-12T21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0" s="226" t="str">
        <f>IF(AA130&lt;VLOOKUP(AG130,Variables!$AC$3:$AD$8,2,FALSE),"Y","N")</f>
        <v>N</v>
      </c>
      <c r="X130" s="226">
        <f t="shared" si="34"/>
        <v>1</v>
      </c>
      <c r="Y130" s="226">
        <f t="shared" si="49"/>
        <v>4.6699999999999998E-2</v>
      </c>
      <c r="Z130" s="226">
        <f t="shared" si="50"/>
        <v>23.3276</v>
      </c>
      <c r="AA130" s="226">
        <f t="shared" si="37"/>
        <v>23.280899999999999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8"/>
        <v>223</v>
      </c>
      <c r="AE130" s="77" t="str">
        <f t="shared" si="39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30" s="74" t="str">
        <f t="shared" si="40"/>
        <v>"C:\Program Files (x86)\AstroGrep\AstroGrep.exe" /e /r /s /spath="%USERPROFILE%\AppData\Local\Temp\OnboardLogs" /stypes="app*4064*20171013*" /stext=" 02:.+((SYSTEM_STATE.+slice.+state.+changed )|(ment ac)|(multiple cpu faults)|(system.+state.+changed )|(\[timeout)|(PRM\|1\|D)|(kpr)|(kdp)|(train st.+moving)|(\|lc)|(penalty))"</v>
      </c>
      <c r="AG130" s="182" t="str">
        <f t="shared" si="41"/>
        <v>EC</v>
      </c>
      <c r="AH130" s="78" t="str">
        <f t="shared" si="42"/>
        <v>"%USERPROFILE%\Documents\GitHub\eaglep3\Utilities\RefineRTDCRunTimes.py" --tripid 223-12 --locoid 4064 --swversion DE.1.0.9.0 --startMP 204:467 --initTime 2017-10-12T19:05:21 --startdatetime 2017-10-12T19:30:22 --delay 183 --endMP 204:233276 --enddatetime 2017-10-12T20:09:01 --enforcementcount 0 &gt;&gt;%USERPROFILE%\Documents\GitHub\eaglep3-reporting\EC\2017-10-12-refined-times.txt</v>
      </c>
      <c r="AI130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{"issue":{"subject":"","project_id":79,"tracker_id":40,"status_id":1,"priority_id":2,"assigned_to_id":338,"start_date":"2017-10-12","description":"","custom_fields":[{"id":1,"name":"Subdivision","value":"EC"},{"id":4,"name":"Milepost","value":"23.3276"},{"id":17,"name":"Train ID","value":"223-12"},{"id":16,"name":"Locomotive ID","value":"4064"},{"id":130,"name":"Impact","value":""},{"id":150,"name":"Time of Event (Mountain Time)","value":"20:09:01"},{"id":151,"name":"Denver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4"/>
        <v>start /low /b %USERPROFILE%\Documents\GitHub\eaglep3\Utilities\DownloadLogsFromS3.py --loco 4064 --day 2017-10-12</v>
      </c>
      <c r="AN130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6"/>
        <v>https://d0f6bd738d7f1b3e5a7ca70fe4ff75f0.us-east-1.aws.found.io/app/kibana#/discover/Steve-Slow-Train-Analysis-(2080s-and-2083s)?_g=(refreshInterval:(display:Off,pause:!f,section:0,value:0),time:(from:'2017-10-12T18:05:21-0600',mode:absolute,to:'2017-10-12T21:09:01-0600'))&amp;_a=(columns:!('Message%20ID',Summary),filters:!(),index:'emp_*',interval:auto,query:(query_string:(analyze_wildcard:!t,query:'%22rtdc.l.rtdc.4064%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788</v>
      </c>
      <c r="B131" s="7">
        <v>4063</v>
      </c>
      <c r="C131" s="21" t="s">
        <v>194</v>
      </c>
      <c r="D131" s="21" t="s">
        <v>410</v>
      </c>
      <c r="E131" s="13">
        <v>43020.844594907408</v>
      </c>
      <c r="F131" s="13">
        <v>43020.852407407408</v>
      </c>
      <c r="G131" s="7">
        <v>151</v>
      </c>
      <c r="H131" s="21" t="s">
        <v>356</v>
      </c>
      <c r="I131" s="13">
        <v>43020.881585648145</v>
      </c>
      <c r="J131" s="7">
        <v>0</v>
      </c>
      <c r="K131" s="89" t="str">
        <f t="shared" si="28"/>
        <v>4063/4064</v>
      </c>
      <c r="L131" s="185" t="str">
        <f>VLOOKUP(A131,'Trips&amp;Operators'!$C$1:$G$99911,5,FALSE)</f>
        <v>NICHOLSON WESLEY</v>
      </c>
      <c r="M131" s="6">
        <f t="shared" si="29"/>
        <v>2.9178240736655425E-2</v>
      </c>
      <c r="N131" s="7">
        <f t="shared" si="47"/>
        <v>42.016666660783812</v>
      </c>
      <c r="O131" s="7"/>
      <c r="P131" s="7"/>
      <c r="Q131" s="22"/>
      <c r="R131" s="174"/>
      <c r="S131" s="199">
        <f t="shared" si="48"/>
        <v>1</v>
      </c>
      <c r="T131" s="174" t="str">
        <f t="shared" si="32"/>
        <v>Southbound</v>
      </c>
      <c r="U131" s="22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25" t="str">
        <f t="shared" si="33"/>
        <v>https://d0f6bd738d7f1b3e5a7ca70fe4ff75f0.us-east-1.aws.found.io/app/kibana#/discover/Steve-Slow-Train-Analysis-(2080s-and-2083s)?_g=(refreshInterval:(display:Off,pause:!f,section:0,value:0),time:(from:'2017-10-12T19:16:13-0600',mode:absolute,to:'2017-10-12T22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1" s="226" t="str">
        <f>IF(AA131&lt;VLOOKUP(AG131,Variables!$AC$3:$AD$8,2,FALSE),"Y","N")</f>
        <v>N</v>
      </c>
      <c r="X131" s="226">
        <f t="shared" si="34"/>
        <v>1</v>
      </c>
      <c r="Y131" s="226">
        <f t="shared" si="49"/>
        <v>23.297999999999998</v>
      </c>
      <c r="Z131" s="226">
        <f t="shared" si="50"/>
        <v>1.4500000000000001E-2</v>
      </c>
      <c r="AA131" s="226">
        <f t="shared" si="37"/>
        <v>23.283499999999997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8"/>
        <v>224</v>
      </c>
      <c r="AE131" s="77" t="str">
        <f t="shared" si="39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131" s="74" t="str">
        <f t="shared" si="40"/>
        <v>"C:\Program Files (x86)\AstroGrep\AstroGrep.exe" /e /r /s /spath="%USERPROFILE%\AppData\Local\Temp\OnboardLogs" /stypes="app*4063*20171013*" /stext=" 03:.+((SYSTEM_STATE.+slice.+state.+changed )|(ment ac)|(multiple cpu faults)|(system.+state.+changed )|(\[timeout)|(PRM\|1\|D)|(kpr)|(kdp)|(train st.+moving)|(\|lc)|(penalty))"</v>
      </c>
      <c r="AG131" s="182" t="str">
        <f t="shared" si="41"/>
        <v>EC</v>
      </c>
      <c r="AH131" s="78" t="str">
        <f t="shared" si="42"/>
        <v>"%USERPROFILE%\Documents\GitHub\eaglep3\Utilities\RefineRTDCRunTimes.py" --tripid 224-12 --locoid 4063 --swversion DE.1.0.9.0 --startMP 204:232980 --initTime 2017-10-12T20:16:13 --startdatetime 2017-10-12T20:27:28 --delay 151 --endMP 204:145 --enddatetime 2017-10-12T21:09:29 --enforcementcount 0 &gt;&gt;%USERPROFILE%\Documents\GitHub\eaglep3-reporting\EC\2017-10-12-refined-times.txt</v>
      </c>
      <c r="AI131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{"issue":{"subject":"","project_id":79,"tracker_id":40,"status_id":1,"priority_id":2,"assigned_to_id":338,"start_date":"2017-10-12","description":"","custom_fields":[{"id":1,"name":"Subdivision","value":"EC"},{"id":4,"name":"Milepost","value":"0.0145"},{"id":17,"name":"Train ID","value":"224-12"},{"id":16,"name":"Locomotive ID","value":"4063"},{"id":130,"name":"Impact","value":""},{"id":150,"name":"Time of Event (Mountain Time)","value":"21:09:29"},{"id":151,"name":"Denver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4"/>
        <v>start /low /b %USERPROFILE%\Documents\GitHub\eaglep3\Utilities\DownloadLogsFromS3.py --loco 4063 --day 2017-10-12</v>
      </c>
      <c r="AN131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6"/>
        <v>https://d0f6bd738d7f1b3e5a7ca70fe4ff75f0.us-east-1.aws.found.io/app/kibana#/discover/Steve-Slow-Train-Analysis-(2080s-and-2083s)?_g=(refreshInterval:(display:Off,pause:!f,section:0,value:0),time:(from:'2017-10-12T19:16:13-0600',mode:absolute,to:'2017-10-12T22:09:29-0600'))&amp;_a=(columns:!('Message%20ID',Summary),filters:!(),index:'emp_*',interval:auto,query:(query_string:(analyze_wildcard:!t,query:'%22rtdc.l.rtdc.4063%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784</v>
      </c>
      <c r="B132" s="7">
        <v>4002</v>
      </c>
      <c r="C132" s="21" t="s">
        <v>194</v>
      </c>
      <c r="D132" s="21" t="s">
        <v>476</v>
      </c>
      <c r="E132" s="13">
        <v>43020.811793981484</v>
      </c>
      <c r="F132" s="13">
        <v>43020.83357638889</v>
      </c>
      <c r="G132" s="7">
        <v>137</v>
      </c>
      <c r="H132" s="21" t="s">
        <v>872</v>
      </c>
      <c r="I132" s="13">
        <v>43020.858553240738</v>
      </c>
      <c r="J132" s="7">
        <v>0</v>
      </c>
      <c r="K132" s="89" t="str">
        <f t="shared" si="28"/>
        <v>4001/4002</v>
      </c>
      <c r="L132" s="185" t="str">
        <f>VLOOKUP(A132,'Trips&amp;Operators'!$C$1:$G$99911,5,FALSE)</f>
        <v>ELBAUM MIKE</v>
      </c>
      <c r="M132" s="6">
        <f t="shared" si="29"/>
        <v>2.4976851847895887E-2</v>
      </c>
      <c r="N132" s="7">
        <f t="shared" si="47"/>
        <v>35.966666660970077</v>
      </c>
      <c r="O132" s="7"/>
      <c r="P132" s="7"/>
      <c r="Q132" s="22"/>
      <c r="R132" s="174"/>
      <c r="S132" s="199">
        <f t="shared" si="48"/>
        <v>1</v>
      </c>
      <c r="T132" s="174" t="str">
        <f t="shared" si="32"/>
        <v>NorthBound</v>
      </c>
      <c r="U132" s="22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25" t="str">
        <f t="shared" si="33"/>
        <v>https://d0f6bd738d7f1b3e5a7ca70fe4ff75f0.us-east-1.aws.found.io/app/kibana#/discover/Steve-Slow-Train-Analysis-(2080s-and-2083s)?_g=(refreshInterval:(display:Off,pause:!f,section:0,value:0),time:(from:'2017-10-12T18:28:59-0600',mode:absolute,to:'2017-10-12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2" s="226" t="str">
        <f>IF(AA132&lt;VLOOKUP(AG132,Variables!$AC$3:$AD$8,2,FALSE),"Y","N")</f>
        <v>N</v>
      </c>
      <c r="X132" s="226">
        <f t="shared" si="34"/>
        <v>1</v>
      </c>
      <c r="Y132" s="226">
        <f t="shared" si="49"/>
        <v>4.6199999999999998E-2</v>
      </c>
      <c r="Z132" s="226">
        <f t="shared" si="50"/>
        <v>23.332799999999999</v>
      </c>
      <c r="AA132" s="226">
        <f t="shared" si="37"/>
        <v>23.2866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8"/>
        <v>225</v>
      </c>
      <c r="AE132" s="77" t="str">
        <f t="shared" si="39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132" s="74" t="str">
        <f t="shared" si="40"/>
        <v>"C:\Program Files (x86)\AstroGrep\AstroGrep.exe" /e /r /s /spath="%USERPROFILE%\AppData\Local\Temp\OnboardLogs" /stypes="app*4002*20171013*" /stext=" 02:.+((SYSTEM_STATE.+slice.+state.+changed )|(ment ac)|(multiple cpu faults)|(system.+state.+changed )|(\[timeout)|(PRM\|1\|D)|(kpr)|(kdp)|(train st.+moving)|(\|lc)|(penalty))"</v>
      </c>
      <c r="AG132" s="182" t="str">
        <f t="shared" si="41"/>
        <v>EC</v>
      </c>
      <c r="AH132" s="78" t="str">
        <f t="shared" si="42"/>
        <v>"%USERPROFILE%\Documents\GitHub\eaglep3\Utilities\RefineRTDCRunTimes.py" --tripid 225-12 --locoid 4002 --swversion DE.1.0.9.0 --startMP 204:462 --initTime 2017-10-12T19:28:59 --startdatetime 2017-10-12T20:00:21 --delay 137 --endMP 204:233328 --enddatetime 2017-10-12T20:36:19 --enforcementcount 0 &gt;&gt;%USERPROFILE%\Documents\GitHub\eaglep3-reporting\EC\2017-10-12-refined-times.txt</v>
      </c>
      <c r="AI132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{"issue":{"subject":"","project_id":79,"tracker_id":40,"status_id":1,"priority_id":2,"assigned_to_id":338,"start_date":"2017-10-12","description":"","custom_fields":[{"id":1,"name":"Subdivision","value":"EC"},{"id":4,"name":"Milepost","value":"23.3328"},{"id":17,"name":"Train ID","value":"225-12"},{"id":16,"name":"Locomotive ID","value":"4002"},{"id":130,"name":"Impact","value":""},{"id":150,"name":"Time of Event (Mountain Time)","value":"20:36:19"},{"id":151,"name":"Denver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4"/>
        <v>start /low /b %USERPROFILE%\Documents\GitHub\eaglep3\Utilities\DownloadLogsFromS3.py --loco 4002 --day 2017-10-12</v>
      </c>
      <c r="AN132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6"/>
        <v>https://d0f6bd738d7f1b3e5a7ca70fe4ff75f0.us-east-1.aws.found.io/app/kibana#/discover/Steve-Slow-Train-Analysis-(2080s-and-2083s)?_g=(refreshInterval:(display:Off,pause:!f,section:0,value:0),time:(from:'2017-10-12T18:28:59-0600',mode:absolute,to:'2017-10-12T21:36:19-0600'))&amp;_a=(columns:!('Message%20ID',Summary),filters:!(),index:'emp_*',interval:auto,query:(query_string:(analyze_wildcard:!t,query:'%22rtdc.l.rtdc.4002%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601</v>
      </c>
      <c r="B133" s="7">
        <v>4001</v>
      </c>
      <c r="C133" s="21" t="s">
        <v>194</v>
      </c>
      <c r="D133" s="21" t="s">
        <v>536</v>
      </c>
      <c r="E133" s="13">
        <v>43020.859606481485</v>
      </c>
      <c r="F133" s="13">
        <v>43020.873090277775</v>
      </c>
      <c r="G133" s="7">
        <v>71</v>
      </c>
      <c r="H133" s="21" t="s">
        <v>837</v>
      </c>
      <c r="I133" s="13">
        <v>43020.899675925924</v>
      </c>
      <c r="J133" s="7">
        <v>0</v>
      </c>
      <c r="K133" s="89" t="str">
        <f t="shared" si="28"/>
        <v>4001/4002</v>
      </c>
      <c r="L133" s="185" t="str">
        <f>VLOOKUP(A133,'Trips&amp;Operators'!$C$1:$G$99911,5,FALSE)</f>
        <v>ELBAUM MIKE</v>
      </c>
      <c r="M133" s="6">
        <f t="shared" si="29"/>
        <v>2.658564814919373E-2</v>
      </c>
      <c r="N133" s="7">
        <f t="shared" si="47"/>
        <v>38.283333334838971</v>
      </c>
      <c r="O133" s="7"/>
      <c r="P133" s="7"/>
      <c r="Q133" s="22"/>
      <c r="R133" s="174"/>
      <c r="S133" s="199">
        <f t="shared" si="48"/>
        <v>1</v>
      </c>
      <c r="T133" s="174" t="str">
        <f t="shared" si="32"/>
        <v>Southbound</v>
      </c>
      <c r="U133" s="22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25" t="str">
        <f t="shared" si="33"/>
        <v>https://d0f6bd738d7f1b3e5a7ca70fe4ff75f0.us-east-1.aws.found.io/app/kibana#/discover/Steve-Slow-Train-Analysis-(2080s-and-2083s)?_g=(refreshInterval:(display:Off,pause:!f,section:0,value:0),time:(from:'2017-10-12T19:37:50-0600',mode:absolute,to:'2017-10-12T22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3" s="226" t="str">
        <f>IF(AA133&lt;VLOOKUP(AG133,Variables!$AC$3:$AD$8,2,FALSE),"Y","N")</f>
        <v>N</v>
      </c>
      <c r="X133" s="226">
        <f t="shared" si="34"/>
        <v>1</v>
      </c>
      <c r="Y133" s="226">
        <f t="shared" si="49"/>
        <v>23.3019</v>
      </c>
      <c r="Z133" s="226">
        <f t="shared" si="50"/>
        <v>1.34E-2</v>
      </c>
      <c r="AA133" s="226">
        <f t="shared" si="37"/>
        <v>23.288499999999999</v>
      </c>
      <c r="AB133" s="54" t="str">
        <f>VLOOKUP(A133,Enforcements!$C$7:$K$11,8,0)</f>
        <v>Bulletin (2)</v>
      </c>
      <c r="AC133" s="51" t="str">
        <f>VLOOKUP(A133,Enforcements!$C$7:$E$11,3,0)</f>
        <v>GRADE CROSSING</v>
      </c>
      <c r="AD133" s="179">
        <f t="shared" si="38"/>
        <v>226</v>
      </c>
      <c r="AE133" s="77" t="str">
        <f t="shared" si="39"/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133" s="74" t="str">
        <f t="shared" si="40"/>
        <v>"C:\Program Files (x86)\AstroGrep\AstroGrep.exe" /e /r /s /spath="%USERPROFILE%\AppData\Local\Temp\OnboardLogs" /stypes="app*4001*20171013*" /stext=" 03:.+((SYSTEM_STATE.+slice.+state.+changed )|(ment ac)|(multiple cpu faults)|(system.+state.+changed )|(\[timeout)|(PRM\|1\|D)|(kpr)|(kdp)|(train st.+moving)|(\|lc)|(penalty))"</v>
      </c>
      <c r="AG133" s="182" t="str">
        <f t="shared" si="41"/>
        <v>EC</v>
      </c>
      <c r="AH133" s="78" t="str">
        <f t="shared" si="42"/>
        <v>"%USERPROFILE%\Documents\GitHub\eaglep3\Utilities\RefineRTDCRunTimes.py" --tripid 226-12 --locoid 4001 --swversion DE.1.0.9.0 --startMP 204:233019 --initTime 2017-10-12T20:37:50 --startdatetime 2017-10-12T20:57:15 --delay 71 --endMP 204:134 --enddatetime 2017-10-12T21:35:32 --enforcementcount 0 &gt;&gt;%USERPROFILE%\Documents\GitHub\eaglep3-reporting\EC\2017-10-12-refined-times.txt</v>
      </c>
      <c r="AI133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{"issue":{"subject":"","project_id":79,"tracker_id":40,"status_id":1,"priority_id":2,"assigned_to_id":338,"start_date":"2017-10-12","description":"","custom_fields":[{"id":1,"name":"Subdivision","value":"EC"},{"id":4,"name":"Milepost","value":"0.0134"},{"id":17,"name":"Train ID","value":"226-12"},{"id":16,"name":"Locomotive ID","value":"4001"},{"id":130,"name":"Impact","value":""},{"id":150,"name":"Time of Event (Mountain Time)","value":"21:35:32"},{"id":151,"name":"Denver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4"/>
        <v>start /low /b %USERPROFILE%\Documents\GitHub\eaglep3\Utilities\DownloadLogsFromS3.py --loco 4001 --day 2017-10-12</v>
      </c>
      <c r="AN133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6"/>
        <v>https://d0f6bd738d7f1b3e5a7ca70fe4ff75f0.us-east-1.aws.found.io/app/kibana#/discover/Steve-Slow-Train-Analysis-(2080s-and-2083s)?_g=(refreshInterval:(display:Off,pause:!f,section:0,value:0),time:(from:'2017-10-12T19:37:50-0600',mode:absolute,to:'2017-10-12T22:35:32-0600'))&amp;_a=(columns:!('Message%20ID',Summary),filters:!(),index:'emp_*',interval:auto,query:(query_string:(analyze_wildcard:!t,query:'%22rtdc.l.rtdc.4001%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789</v>
      </c>
      <c r="B134" s="7">
        <v>4052</v>
      </c>
      <c r="C134" s="21" t="s">
        <v>194</v>
      </c>
      <c r="D134" s="21" t="s">
        <v>536</v>
      </c>
      <c r="E134" s="13">
        <v>43020.859606481485</v>
      </c>
      <c r="F134" s="13">
        <v>43020.854317129626</v>
      </c>
      <c r="G134" s="7">
        <v>71</v>
      </c>
      <c r="H134" s="21" t="s">
        <v>837</v>
      </c>
      <c r="I134" s="13">
        <v>43020.879259259258</v>
      </c>
      <c r="J134" s="7">
        <v>0</v>
      </c>
      <c r="K134" s="89" t="str">
        <f t="shared" si="28"/>
        <v>4051/4052</v>
      </c>
      <c r="L134" s="185" t="str">
        <f>VLOOKUP(A134,'Trips&amp;Operators'!$C$1:$G$99911,5,FALSE)</f>
        <v>MCREYNOLDS KYLE</v>
      </c>
      <c r="M134" s="6">
        <f t="shared" si="29"/>
        <v>2.4942129632108845E-2</v>
      </c>
      <c r="N134" s="7">
        <f t="shared" si="47"/>
        <v>35.916666670236737</v>
      </c>
      <c r="O134" s="7"/>
      <c r="P134" s="7"/>
      <c r="Q134" s="22"/>
      <c r="R134" s="174"/>
      <c r="S134" s="199">
        <f t="shared" si="48"/>
        <v>1</v>
      </c>
      <c r="T134" s="174" t="str">
        <f t="shared" si="32"/>
        <v>NorthBound</v>
      </c>
      <c r="U134" s="22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25" t="str">
        <f t="shared" si="33"/>
        <v>https://d0f6bd738d7f1b3e5a7ca70fe4ff75f0.us-east-1.aws.found.io/app/kibana#/discover/Steve-Slow-Train-Analysis-(2080s-and-2083s)?_g=(refreshInterval:(display:Off,pause:!f,section:0,value:0),time:(from:'2017-10-12T19:37:50-0600',mode:absolute,to:'2017-10-12T22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4" s="226" t="str">
        <f>IF(AA134&lt;VLOOKUP(AG134,Variables!$AC$3:$AD$8,2,FALSE),"Y","N")</f>
        <v>N</v>
      </c>
      <c r="X134" s="226">
        <f t="shared" si="34"/>
        <v>1</v>
      </c>
      <c r="Y134" s="226">
        <v>4.6199999999999998E-2</v>
      </c>
      <c r="Z134" s="226">
        <v>23.332799999999999</v>
      </c>
      <c r="AA134" s="226">
        <f t="shared" si="37"/>
        <v>23.2866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8"/>
        <v>227</v>
      </c>
      <c r="AE134" s="77" t="str">
        <f t="shared" si="39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134" s="74" t="str">
        <f t="shared" si="40"/>
        <v>"C:\Program Files (x86)\AstroGrep\AstroGrep.exe" /e /r /s /spath="%USERPROFILE%\AppData\Local\Temp\OnboardLogs" /stypes="app*4052*20171013*" /stext=" 03:.+((SYSTEM_STATE.+slice.+state.+changed )|(ment ac)|(multiple cpu faults)|(system.+state.+changed )|(\[timeout)|(PRM\|1\|D)|(kpr)|(kdp)|(train st.+moving)|(\|lc)|(penalty))"</v>
      </c>
      <c r="AG134" s="182" t="str">
        <f t="shared" si="41"/>
        <v>EC</v>
      </c>
      <c r="AH134" s="78" t="str">
        <f t="shared" ref="AH134" si="51">refinertdcruntimes&amp;" --tripid "&amp;A134&amp;" --locoid "&amp;B134&amp;" --swversion "&amp;C134&amp;" --startMP "&amp;D134&amp;" --initTime "&amp;TEXT(E134,"yyyy-mm-ddTHH:MM:SS")&amp;" --startdatetime "&amp;TEXT(F134,"yyyy-mm-ddTHH:MM:SS")&amp;" --delay "&amp;G134&amp;" --endMP "&amp;H134&amp;" --enddatetime "&amp;TEXT(I134,"yyyy-mm-ddTHH:MM:SS")&amp;" --enforcementcount "&amp;J134&amp;IF(outputrefinedruntimes," &gt;&gt;"&amp;RefinedRTDCRunTimesOutputFile,"")</f>
        <v>"%USERPROFILE%\Documents\GitHub\eaglep3\Utilities\RefineRTDCRunTimes.py" --tripid 227-12 --locoid 4052 --swversion DE.1.0.9.0 --startMP 204:233019 --initTime 2017-10-12T20:37:50 --startdatetime 2017-10-12T20:30:13 --delay 71 --endMP 204:134 --enddatetime 2017-10-12T21:06:08 --enforcementcount 0 &gt;&gt;%USERPROFILE%\Documents\GitHub\eaglep3-reporting\EC\2017-10-12-refined-times.txt</v>
      </c>
      <c r="AI134" s="96" t="str">
        <f t="shared" ref="AI134" si="52">"echo {""issue"":{""subject"":"""&amp;R134&amp;""",""project_id"":79,""tracker_id"":40,""status_id"":"&amp;redmine_status&amp;",""priority_id"":"&amp;redmine_priority&amp;",""assigned_to_id"":"&amp;redmine_assignee&amp;",""start_date"":"""&amp;TEXT(I134,"YYYY-mm-dd")&amp;""",""description"":"""&amp;AJ134&amp;""",""custom_fields"":[{""id"":1,""name"":""Subdivision"",""value"":"""&amp;AG134&amp;"""},{""id"":4,""name"":""Milepost"",""value"":"""&amp;Z134&amp;"""},{""id"":17,""name"":""Train ID"",""value"":"""&amp;A134&amp;"""},{""id"":16,""name"":""Locomotive ID"",""value"":"""&amp;B134&amp;"""},{""id"":130,""name"":""Impact"",""value"":"""&amp;AK134&amp;"""},{""id"":150,""name"":""Time of Event (Mountain Time)"",""value"":"""&amp;TEXT(I134,"hh:mm:ss")&amp;"""},{""id"":151,""name"":""Denver Issue ID"",""value"":"""&amp;"""},{""id"":178,""name"":""Operational Impact"",""value"":"""&amp;redmine_op_impact&amp;"""},{""id"":179,""name"":""Denver Segment Assigned"",""value"":"""&amp;AL134&amp;"""}]}}"&amp;"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{"issue":{"subject":"","project_id":79,"tracker_id":40,"status_id":1,"priority_id":2,"assigned_to_id":338,"start_date":"2017-10-12","description":"","custom_fields":[{"id":1,"name":"Subdivision","value":"EC"},{"id":4,"name":"Milepost","value":"23.3328"},{"id":17,"name":"Train ID","value":"227-12"},{"id":16,"name":"Locomotive ID","value":"4052"},{"id":130,"name":"Impact","value":""},{"id":150,"name":"Time of Event (Mountain Time)","value":"21:06:08"},{"id":151,"name":"Denver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ref="AM134" si="53">"start /low /b "&amp;dls3logs&amp;" --loco "&amp;B134&amp;" --day "&amp;TEXT(F134,"YYYY-MM-DD")</f>
        <v>start /low /b %USERPROFILE%\Documents\GitHub\eaglep3\Utilities\DownloadLogsFromS3.py --loco 4052 --day 2017-10-12</v>
      </c>
      <c r="AN134" s="151" t="str">
        <f t="shared" ref="AN134" si="54">"echo {""issue"":{""subject"":"""&amp;R134&amp;""",""project_id"":30,""tracker_id"":4,""status_id"":"&amp;redmine_status_wcr&amp;",""priority_id"":"&amp;redmine_priority_wcr&amp;",""assigned_to_id"":"&amp;redmine_assignee_wcr&amp;",""start_date"":"""&amp;TEXT(I134-utc_offset/24,"YYYY-mm-dd")&amp;""",""description"":"""&amp;AJ134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ref="AO134" si="55"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Message%20ID',Summary),filters:!(),index:'emp_*',interval:auto,query:"&amp;"(query_string:(analyze_wildcard:!t,query:'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-12T19:37:50-0600',mode:absolute,to:'2017-10-12T22:06:08-0600'))&amp;_a=(columns:!('Message%20ID',Summary),filters:!(),index:'emp_*',interval:auto,query:(query_string:(analyze_wildcard:!t,query:'%22rtdc.l.rtdc.4052%22')),sort:!(Time.ISO8601,asc))</v>
      </c>
    </row>
    <row r="135" spans="1:91" s="20" customFormat="1" x14ac:dyDescent="0.25">
      <c r="A135" s="32" t="s">
        <v>794</v>
      </c>
      <c r="B135" s="7">
        <v>4051</v>
      </c>
      <c r="C135" s="21" t="s">
        <v>194</v>
      </c>
      <c r="D135" s="21" t="s">
        <v>838</v>
      </c>
      <c r="E135" s="13">
        <v>43020.888310185182</v>
      </c>
      <c r="F135" s="13">
        <v>43020.893958333334</v>
      </c>
      <c r="G135" s="7">
        <v>54</v>
      </c>
      <c r="H135" s="21" t="s">
        <v>873</v>
      </c>
      <c r="I135" s="13">
        <v>43020.920613425929</v>
      </c>
      <c r="J135" s="7">
        <v>0</v>
      </c>
      <c r="K135" s="89" t="str">
        <f t="shared" si="28"/>
        <v>4051/4052</v>
      </c>
      <c r="L135" s="185" t="str">
        <f>VLOOKUP(A135,'Trips&amp;Operators'!$C$1:$G$99911,5,FALSE)</f>
        <v>MCREYNOLDS KYLE</v>
      </c>
      <c r="M135" s="6">
        <f t="shared" si="29"/>
        <v>2.6655092595319729E-2</v>
      </c>
      <c r="N135" s="7">
        <f t="shared" si="47"/>
        <v>38.38333333726041</v>
      </c>
      <c r="O135" s="7"/>
      <c r="P135" s="7"/>
      <c r="Q135" s="22"/>
      <c r="R135" s="174"/>
      <c r="S135" s="199">
        <f t="shared" si="48"/>
        <v>1</v>
      </c>
      <c r="T135" s="174" t="str">
        <f t="shared" si="32"/>
        <v>Southbound</v>
      </c>
      <c r="U135" s="22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25" t="str">
        <f t="shared" si="33"/>
        <v>https://d0f6bd738d7f1b3e5a7ca70fe4ff75f0.us-east-1.aws.found.io/app/kibana#/discover/Steve-Slow-Train-Analysis-(2080s-and-2083s)?_g=(refreshInterval:(display:Off,pause:!f,section:0,value:0),time:(from:'2017-10-12T20:19:10-0600',mode:absolute,to:'2017-10-12T23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5" s="226" t="str">
        <f>IF(AA135&lt;VLOOKUP(AG135,Variables!$AC$3:$AD$8,2,FALSE),"Y","N")</f>
        <v>N</v>
      </c>
      <c r="X135" s="226">
        <f t="shared" si="34"/>
        <v>1</v>
      </c>
      <c r="Y135" s="226">
        <f t="shared" ref="Y135:Y149" si="56">RIGHT(D135,LEN(D135)-4)/10000</f>
        <v>23.2988</v>
      </c>
      <c r="Z135" s="226">
        <f t="shared" ref="Z135:Z149" si="57">RIGHT(H135,LEN(H135)-4)/10000</f>
        <v>1.41E-2</v>
      </c>
      <c r="AA135" s="226">
        <f t="shared" si="37"/>
        <v>23.284700000000001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8"/>
        <v>228</v>
      </c>
      <c r="AE135" s="77" t="str">
        <f t="shared" si="39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135" s="74" t="str">
        <f t="shared" si="40"/>
        <v>"C:\Program Files (x86)\AstroGrep\AstroGrep.exe" /e /r /s /spath="%USERPROFILE%\AppData\Local\Temp\OnboardLogs" /stypes="app*4051*20171013*" /stext=" 04:.+((SYSTEM_STATE.+slice.+state.+changed )|(ment ac)|(multiple cpu faults)|(system.+state.+changed )|(\[timeout)|(PRM\|1\|D)|(kpr)|(kdp)|(train st.+moving)|(\|lc)|(penalty))"</v>
      </c>
      <c r="AG135" s="182" t="str">
        <f t="shared" si="41"/>
        <v>EC</v>
      </c>
      <c r="AH135" s="78" t="str">
        <f t="shared" si="42"/>
        <v>"%USERPROFILE%\Documents\GitHub\eaglep3\Utilities\RefineRTDCRunTimes.py" --tripid 228-12 --locoid 4051 --swversion DE.1.0.9.0 --startMP 204:232988 --initTime 2017-10-12T21:19:10 --startdatetime 2017-10-12T21:27:18 --delay 54 --endMP 204:141 --enddatetime 2017-10-12T22:05:41 --enforcementcount 0 &gt;&gt;%USERPROFILE%\Documents\GitHub\eaglep3-reporting\EC\2017-10-12-refined-times.txt</v>
      </c>
      <c r="AI135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{"issue":{"subject":"","project_id":79,"tracker_id":40,"status_id":1,"priority_id":2,"assigned_to_id":338,"start_date":"2017-10-12","description":"","custom_fields":[{"id":1,"name":"Subdivision","value":"EC"},{"id":4,"name":"Milepost","value":"0.0141"},{"id":17,"name":"Train ID","value":"228-12"},{"id":16,"name":"Locomotive ID","value":"4051"},{"id":130,"name":"Impact","value":""},{"id":150,"name":"Time of Event (Mountain Time)","value":"22:05:41"},{"id":151,"name":"Denver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4"/>
        <v>start /low /b %USERPROFILE%\Documents\GitHub\eaglep3\Utilities\DownloadLogsFromS3.py --loco 4051 --day 2017-10-12</v>
      </c>
      <c r="AN135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6"/>
        <v>https://d0f6bd738d7f1b3e5a7ca70fe4ff75f0.us-east-1.aws.found.io/app/kibana#/discover/Steve-Slow-Train-Analysis-(2080s-and-2083s)?_g=(refreshInterval:(display:Off,pause:!f,section:0,value:0),time:(from:'2017-10-12T20:19:10-0600',mode:absolute,to:'2017-10-12T23:05:41-0600'))&amp;_a=(columns:!('Message%20ID',Summary),filters:!(),index:'emp_*',interval:auto,query:(query_string:(analyze_wildcard:!t,query:'%22rtdc.l.rtdc.4051%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791</v>
      </c>
      <c r="B136" s="7">
        <v>4026</v>
      </c>
      <c r="C136" s="21" t="s">
        <v>194</v>
      </c>
      <c r="D136" s="21" t="s">
        <v>874</v>
      </c>
      <c r="E136" s="13">
        <v>43020.862615740742</v>
      </c>
      <c r="F136" s="13">
        <v>43020.875358796293</v>
      </c>
      <c r="G136" s="7">
        <v>54</v>
      </c>
      <c r="H136" s="21" t="s">
        <v>482</v>
      </c>
      <c r="I136" s="13">
        <v>43020.900995370372</v>
      </c>
      <c r="J136" s="7">
        <v>0</v>
      </c>
      <c r="K136" s="89" t="str">
        <f t="shared" si="28"/>
        <v>4025/4026</v>
      </c>
      <c r="L136" s="185" t="str">
        <f>VLOOKUP(A136,'Trips&amp;Operators'!$C$1:$G$99911,5,FALSE)</f>
        <v>WEST BRYAN</v>
      </c>
      <c r="M136" s="6">
        <f t="shared" si="29"/>
        <v>2.5636574078816921E-2</v>
      </c>
      <c r="N136" s="7">
        <f t="shared" si="47"/>
        <v>36.916666673496366</v>
      </c>
      <c r="O136" s="7"/>
      <c r="P136" s="7"/>
      <c r="Q136" s="22"/>
      <c r="R136" s="174"/>
      <c r="S136" s="199">
        <f t="shared" si="48"/>
        <v>1</v>
      </c>
      <c r="T136" s="174" t="str">
        <f t="shared" si="32"/>
        <v>NorthBound</v>
      </c>
      <c r="U136" s="22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25" t="str">
        <f t="shared" si="33"/>
        <v>https://d0f6bd738d7f1b3e5a7ca70fe4ff75f0.us-east-1.aws.found.io/app/kibana#/discover/Steve-Slow-Train-Analysis-(2080s-and-2083s)?_g=(refreshInterval:(display:Off,pause:!f,section:0,value:0),time:(from:'2017-10-12T19:42:10-0600',mode:absolute,to:'2017-10-12T22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6" s="226" t="str">
        <f>IF(AA136&lt;VLOOKUP(AG136,Variables!$AC$3:$AD$8,2,FALSE),"Y","N")</f>
        <v>N</v>
      </c>
      <c r="X136" s="226">
        <f t="shared" si="34"/>
        <v>1</v>
      </c>
      <c r="Y136" s="226">
        <f t="shared" si="56"/>
        <v>4.9700000000000001E-2</v>
      </c>
      <c r="Z136" s="226">
        <f t="shared" si="57"/>
        <v>23.3309</v>
      </c>
      <c r="AA136" s="226">
        <f t="shared" si="37"/>
        <v>23.281199999999998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38"/>
        <v>229</v>
      </c>
      <c r="AE136" s="77" t="str">
        <f t="shared" si="39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36" s="74" t="str">
        <f t="shared" si="40"/>
        <v>"C:\Program Files (x86)\AstroGrep\AstroGrep.exe" /e /r /s /spath="%USERPROFILE%\AppData\Local\Temp\OnboardLogs" /stypes="app*4026*20171013*" /stext=" 03:.+((SYSTEM_STATE.+slice.+state.+changed )|(ment ac)|(multiple cpu faults)|(system.+state.+changed )|(\[timeout)|(PRM\|1\|D)|(kpr)|(kdp)|(train st.+moving)|(\|lc)|(penalty))"</v>
      </c>
      <c r="AG136" s="182" t="str">
        <f t="shared" si="41"/>
        <v>EC</v>
      </c>
      <c r="AH136" s="78" t="str">
        <f t="shared" si="42"/>
        <v>"%USERPROFILE%\Documents\GitHub\eaglep3\Utilities\RefineRTDCRunTimes.py" --tripid 229-12 --locoid 4026 --swversion DE.1.0.9.0 --startMP 204:497 --initTime 2017-10-12T20:42:10 --startdatetime 2017-10-12T21:00:31 --delay 54 --endMP 204:233309 --enddatetime 2017-10-12T21:37:26 --enforcementcount 0 &gt;&gt;%USERPROFILE%\Documents\GitHub\eaglep3-reporting\EC\2017-10-12-refined-times.txt</v>
      </c>
      <c r="AI136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{"issue":{"subject":"","project_id":79,"tracker_id":40,"status_id":1,"priority_id":2,"assigned_to_id":338,"start_date":"2017-10-12","description":"","custom_fields":[{"id":1,"name":"Subdivision","value":"EC"},{"id":4,"name":"Milepost","value":"23.3309"},{"id":17,"name":"Train ID","value":"229-12"},{"id":16,"name":"Locomotive ID","value":"4026"},{"id":130,"name":"Impact","value":""},{"id":150,"name":"Time of Event (Mountain Time)","value":"21:37:26"},{"id":151,"name":"Denver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4"/>
        <v>start /low /b %USERPROFILE%\Documents\GitHub\eaglep3\Utilities\DownloadLogsFromS3.py --loco 4026 --day 2017-10-12</v>
      </c>
      <c r="AN136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6"/>
        <v>https://d0f6bd738d7f1b3e5a7ca70fe4ff75f0.us-east-1.aws.found.io/app/kibana#/discover/Steve-Slow-Train-Analysis-(2080s-and-2083s)?_g=(refreshInterval:(display:Off,pause:!f,section:0,value:0),time:(from:'2017-10-12T19:42:10-0600',mode:absolute,to:'2017-10-12T22:37:26-0600'))&amp;_a=(columns:!('Message%20ID',Summary),filters:!(),index:'emp_*',interval:auto,query:(query_string:(analyze_wildcard:!t,query:'%22rtdc.l.rtdc.4026%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797</v>
      </c>
      <c r="B137" s="7">
        <v>4025</v>
      </c>
      <c r="C137" s="21" t="s">
        <v>194</v>
      </c>
      <c r="D137" s="21" t="s">
        <v>447</v>
      </c>
      <c r="E137" s="13">
        <v>43020.903425925928</v>
      </c>
      <c r="F137" s="13">
        <v>43020.914895833332</v>
      </c>
      <c r="G137" s="7">
        <v>60</v>
      </c>
      <c r="H137" s="21" t="s">
        <v>335</v>
      </c>
      <c r="I137" s="13">
        <v>43020.941724537035</v>
      </c>
      <c r="J137" s="7">
        <v>0</v>
      </c>
      <c r="K137" s="89" t="str">
        <f t="shared" si="28"/>
        <v>4025/4026</v>
      </c>
      <c r="L137" s="185" t="str">
        <f>VLOOKUP(A137,'Trips&amp;Operators'!$C$1:$G$99911,5,FALSE)</f>
        <v>WEST BRYAN</v>
      </c>
      <c r="M137" s="6">
        <f t="shared" si="29"/>
        <v>2.6828703703358769E-2</v>
      </c>
      <c r="N137" s="7">
        <f t="shared" si="47"/>
        <v>38.633333332836628</v>
      </c>
      <c r="O137" s="7"/>
      <c r="P137" s="7"/>
      <c r="Q137" s="22"/>
      <c r="R137" s="174"/>
      <c r="S137" s="199">
        <f t="shared" si="48"/>
        <v>1</v>
      </c>
      <c r="T137" s="174" t="str">
        <f t="shared" si="32"/>
        <v>Southbound</v>
      </c>
      <c r="U137" s="22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25" t="str">
        <f t="shared" si="33"/>
        <v>https://d0f6bd738d7f1b3e5a7ca70fe4ff75f0.us-east-1.aws.found.io/app/kibana#/discover/Steve-Slow-Train-Analysis-(2080s-and-2083s)?_g=(refreshInterval:(display:Off,pause:!f,section:0,value:0),time:(from:'2017-10-12T20:40:56-0600',mode:absolute,to:'2017-10-12T23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7" s="226" t="str">
        <f>IF(AA137&lt;VLOOKUP(AG137,Variables!$AC$3:$AD$8,2,FALSE),"Y","N")</f>
        <v>N</v>
      </c>
      <c r="X137" s="226">
        <f t="shared" si="34"/>
        <v>1</v>
      </c>
      <c r="Y137" s="226">
        <f t="shared" si="56"/>
        <v>23.298400000000001</v>
      </c>
      <c r="Z137" s="226">
        <f t="shared" si="57"/>
        <v>1.4999999999999999E-2</v>
      </c>
      <c r="AA137" s="226">
        <f t="shared" si="37"/>
        <v>23.2834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8"/>
        <v>230</v>
      </c>
      <c r="AE137" s="77" t="str">
        <f t="shared" si="39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37" s="74" t="str">
        <f t="shared" si="40"/>
        <v>"C:\Program Files (x86)\AstroGrep\AstroGrep.exe" /e /r /s /spath="%USERPROFILE%\AppData\Local\Temp\OnboardLogs" /stypes="app*4025*20171013*" /stext=" 04:.+((SYSTEM_STATE.+slice.+state.+changed )|(ment ac)|(multiple cpu faults)|(system.+state.+changed )|(\[timeout)|(PRM\|1\|D)|(kpr)|(kdp)|(train st.+moving)|(\|lc)|(penalty))"</v>
      </c>
      <c r="AG137" s="182" t="str">
        <f t="shared" si="41"/>
        <v>EC</v>
      </c>
      <c r="AH137" s="78" t="str">
        <f t="shared" si="42"/>
        <v>"%USERPROFILE%\Documents\GitHub\eaglep3\Utilities\RefineRTDCRunTimes.py" --tripid 230-12 --locoid 4025 --swversion DE.1.0.9.0 --startMP 204:232984 --initTime 2017-10-12T21:40:56 --startdatetime 2017-10-12T21:57:27 --delay 60 --endMP 204:150 --enddatetime 2017-10-12T22:36:05 --enforcementcount 0 &gt;&gt;%USERPROFILE%\Documents\GitHub\eaglep3-reporting\EC\2017-10-12-refined-times.txt</v>
      </c>
      <c r="AI137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{"issue":{"subject":"","project_id":79,"tracker_id":40,"status_id":1,"priority_id":2,"assigned_to_id":338,"start_date":"2017-10-12","description":"","custom_fields":[{"id":1,"name":"Subdivision","value":"EC"},{"id":4,"name":"Milepost","value":"0.015"},{"id":17,"name":"Train ID","value":"230-12"},{"id":16,"name":"Locomotive ID","value":"4025"},{"id":130,"name":"Impact","value":""},{"id":150,"name":"Time of Event (Mountain Time)","value":"22:36:05"},{"id":151,"name":"Denver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4"/>
        <v>start /low /b %USERPROFILE%\Documents\GitHub\eaglep3\Utilities\DownloadLogsFromS3.py --loco 4025 --day 2017-10-12</v>
      </c>
      <c r="AN137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6"/>
        <v>https://d0f6bd738d7f1b3e5a7ca70fe4ff75f0.us-east-1.aws.found.io/app/kibana#/discover/Steve-Slow-Train-Analysis-(2080s-and-2083s)?_g=(refreshInterval:(display:Off,pause:!f,section:0,value:0),time:(from:'2017-10-12T20:40:56-0600',mode:absolute,to:'2017-10-12T23:36:05-0600'))&amp;_a=(columns:!('Message%20ID',Summary),filters:!(),index:'emp_*',interval:auto,query:(query_string:(analyze_wildcard:!t,query:'%22rtdc.l.rtdc.4025%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793</v>
      </c>
      <c r="B138" s="7">
        <v>4064</v>
      </c>
      <c r="C138" s="21" t="s">
        <v>194</v>
      </c>
      <c r="D138" s="21" t="s">
        <v>363</v>
      </c>
      <c r="E138" s="13">
        <v>43020.88685185185</v>
      </c>
      <c r="F138" s="13">
        <v>43020.89603009259</v>
      </c>
      <c r="G138" s="7">
        <v>150</v>
      </c>
      <c r="H138" s="21" t="s">
        <v>843</v>
      </c>
      <c r="I138" s="13">
        <v>43020.92</v>
      </c>
      <c r="J138" s="7">
        <v>0</v>
      </c>
      <c r="K138" s="89" t="str">
        <f t="shared" si="28"/>
        <v>4063/4064</v>
      </c>
      <c r="L138" s="185" t="str">
        <f>VLOOKUP(A138,'Trips&amp;Operators'!$C$1:$G$99911,5,FALSE)</f>
        <v>LOZA FIDEL</v>
      </c>
      <c r="M138" s="6">
        <f t="shared" si="29"/>
        <v>2.396990740817273E-2</v>
      </c>
      <c r="N138" s="7">
        <f t="shared" si="47"/>
        <v>34.516666667768732</v>
      </c>
      <c r="O138" s="7"/>
      <c r="P138" s="7"/>
      <c r="Q138" s="22"/>
      <c r="R138" s="174"/>
      <c r="S138" s="199">
        <f t="shared" si="48"/>
        <v>1</v>
      </c>
      <c r="T138" s="174" t="str">
        <f t="shared" si="32"/>
        <v>NorthBound</v>
      </c>
      <c r="U138" s="22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25" t="str">
        <f t="shared" si="33"/>
        <v>https://d0f6bd738d7f1b3e5a7ca70fe4ff75f0.us-east-1.aws.found.io/app/kibana#/discover/Steve-Slow-Train-Analysis-(2080s-and-2083s)?_g=(refreshInterval:(display:Off,pause:!f,section:0,value:0),time:(from:'2017-10-12T20:17:04-0600',mode:absolute,to:'2017-10-12T23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8" s="226" t="str">
        <f>IF(AA138&lt;VLOOKUP(AG138,Variables!$AC$3:$AD$8,2,FALSE),"Y","N")</f>
        <v>N</v>
      </c>
      <c r="X138" s="226">
        <f t="shared" si="34"/>
        <v>1</v>
      </c>
      <c r="Y138" s="226">
        <f t="shared" si="56"/>
        <v>4.5999999999999999E-2</v>
      </c>
      <c r="Z138" s="226">
        <f t="shared" si="57"/>
        <v>23.333200000000001</v>
      </c>
      <c r="AA138" s="226">
        <f t="shared" si="37"/>
        <v>23.287200000000002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8"/>
        <v>231</v>
      </c>
      <c r="AE138" s="77" t="str">
        <f t="shared" si="39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38" s="74" t="str">
        <f t="shared" si="40"/>
        <v>"C:\Program Files (x86)\AstroGrep\AstroGrep.exe" /e /r /s /spath="%USERPROFILE%\AppData\Local\Temp\OnboardLogs" /stypes="app*4064*20171013*" /stext=" 04:.+((SYSTEM_STATE.+slice.+state.+changed )|(ment ac)|(multiple cpu faults)|(system.+state.+changed )|(\[timeout)|(PRM\|1\|D)|(kpr)|(kdp)|(train st.+moving)|(\|lc)|(penalty))"</v>
      </c>
      <c r="AG138" s="182" t="str">
        <f t="shared" si="41"/>
        <v>EC</v>
      </c>
      <c r="AH138" s="78" t="str">
        <f t="shared" si="42"/>
        <v>"%USERPROFILE%\Documents\GitHub\eaglep3\Utilities\RefineRTDCRunTimes.py" --tripid 231-12 --locoid 4064 --swversion DE.1.0.9.0 --startMP 204:460 --initTime 2017-10-12T21:17:04 --startdatetime 2017-10-12T21:30:17 --delay 150 --endMP 204:233332 --enddatetime 2017-10-12T22:04:48 --enforcementcount 0 &gt;&gt;%USERPROFILE%\Documents\GitHub\eaglep3-reporting\EC\2017-10-12-refined-times.txt</v>
      </c>
      <c r="AI138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{"issue":{"subject":"","project_id":79,"tracker_id":40,"status_id":1,"priority_id":2,"assigned_to_id":338,"start_date":"2017-10-12","description":"","custom_fields":[{"id":1,"name":"Subdivision","value":"EC"},{"id":4,"name":"Milepost","value":"23.3332"},{"id":17,"name":"Train ID","value":"231-12"},{"id":16,"name":"Locomotive ID","value":"4064"},{"id":130,"name":"Impact","value":""},{"id":150,"name":"Time of Event (Mountain Time)","value":"22:04:48"},{"id":151,"name":"Denver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4"/>
        <v>start /low /b %USERPROFILE%\Documents\GitHub\eaglep3\Utilities\DownloadLogsFromS3.py --loco 4064 --day 2017-10-12</v>
      </c>
      <c r="AN138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6"/>
        <v>https://d0f6bd738d7f1b3e5a7ca70fe4ff75f0.us-east-1.aws.found.io/app/kibana#/discover/Steve-Slow-Train-Analysis-(2080s-and-2083s)?_g=(refreshInterval:(display:Off,pause:!f,section:0,value:0),time:(from:'2017-10-12T20:17:04-0600',mode:absolute,to:'2017-10-12T23:04:48-0600'))&amp;_a=(columns:!('Message%20ID',Summary),filters:!(),index:'emp_*',interval:auto,query:(query_string:(analyze_wildcard:!t,query:'%22rtdc.l.rtdc.4064%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800</v>
      </c>
      <c r="B139" s="7">
        <v>4063</v>
      </c>
      <c r="C139" s="21" t="s">
        <v>194</v>
      </c>
      <c r="D139" s="21" t="s">
        <v>475</v>
      </c>
      <c r="E139" s="13">
        <v>43020.934016203704</v>
      </c>
      <c r="F139" s="13">
        <v>43020.936249999999</v>
      </c>
      <c r="G139" s="7">
        <v>101</v>
      </c>
      <c r="H139" s="21" t="s">
        <v>374</v>
      </c>
      <c r="I139" s="13">
        <v>43020.96292824074</v>
      </c>
      <c r="J139" s="7">
        <v>0</v>
      </c>
      <c r="K139" s="89" t="str">
        <f t="shared" si="28"/>
        <v>4063/4064</v>
      </c>
      <c r="L139" s="185" t="str">
        <f>VLOOKUP(A139,'Trips&amp;Operators'!$C$1:$G$99911,5,FALSE)</f>
        <v>LOZA FIDEL</v>
      </c>
      <c r="M139" s="6">
        <f t="shared" si="29"/>
        <v>2.6678240741603076E-2</v>
      </c>
      <c r="N139" s="7">
        <f t="shared" si="47"/>
        <v>38.41666666790843</v>
      </c>
      <c r="O139" s="7"/>
      <c r="P139" s="7"/>
      <c r="Q139" s="22"/>
      <c r="R139" s="174"/>
      <c r="S139" s="199">
        <f t="shared" si="48"/>
        <v>1</v>
      </c>
      <c r="T139" s="174" t="str">
        <f t="shared" si="32"/>
        <v>Southbound</v>
      </c>
      <c r="U139" s="22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25" t="str">
        <f t="shared" si="33"/>
        <v>https://d0f6bd738d7f1b3e5a7ca70fe4ff75f0.us-east-1.aws.found.io/app/kibana#/discover/Steve-Slow-Train-Analysis-(2080s-and-2083s)?_g=(refreshInterval:(display:Off,pause:!f,section:0,value:0),time:(from:'2017-10-12T21:24:59-0600',mode:absolute,to:'2017-10-13T00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9" s="226" t="str">
        <f>IF(AA139&lt;VLOOKUP(AG139,Variables!$AC$3:$AD$8,2,FALSE),"Y","N")</f>
        <v>N</v>
      </c>
      <c r="X139" s="226">
        <f t="shared" si="34"/>
        <v>1</v>
      </c>
      <c r="Y139" s="226">
        <f t="shared" si="56"/>
        <v>23.3003</v>
      </c>
      <c r="Z139" s="226">
        <f t="shared" si="57"/>
        <v>1.54E-2</v>
      </c>
      <c r="AA139" s="226">
        <f t="shared" si="37"/>
        <v>23.2849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8"/>
        <v>232</v>
      </c>
      <c r="AE139" s="77" t="str">
        <f t="shared" si="39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139" s="74" t="str">
        <f t="shared" si="40"/>
        <v>"C:\Program Files (x86)\AstroGrep\AstroGrep.exe" /e /r /s /spath="%USERPROFILE%\AppData\Local\Temp\OnboardLogs" /stypes="app*4063*20171013*" /stext=" 05:.+((SYSTEM_STATE.+slice.+state.+changed )|(ment ac)|(multiple cpu faults)|(system.+state.+changed )|(\[timeout)|(PRM\|1\|D)|(kpr)|(kdp)|(train st.+moving)|(\|lc)|(penalty))"</v>
      </c>
      <c r="AG139" s="182" t="str">
        <f t="shared" si="41"/>
        <v>EC</v>
      </c>
      <c r="AH139" s="78" t="str">
        <f t="shared" si="42"/>
        <v>"%USERPROFILE%\Documents\GitHub\eaglep3\Utilities\RefineRTDCRunTimes.py" --tripid 232-12 --locoid 4063 --swversion DE.1.0.9.0 --startMP 204:233003 --initTime 2017-10-12T22:24:59 --startdatetime 2017-10-12T22:28:12 --delay 101 --endMP 204:154 --enddatetime 2017-10-12T23:06:37 --enforcementcount 0 &gt;&gt;%USERPROFILE%\Documents\GitHub\eaglep3-reporting\EC\2017-10-12-refined-times.txt</v>
      </c>
      <c r="AI139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{"issue":{"subject":"","project_id":79,"tracker_id":40,"status_id":1,"priority_id":2,"assigned_to_id":338,"start_date":"2017-10-12","description":"","custom_fields":[{"id":1,"name":"Subdivision","value":"EC"},{"id":4,"name":"Milepost","value":"0.0154"},{"id":17,"name":"Train ID","value":"232-12"},{"id":16,"name":"Locomotive ID","value":"4063"},{"id":130,"name":"Impact","value":""},{"id":150,"name":"Time of Event (Mountain Time)","value":"23:06:37"},{"id":151,"name":"Denver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4"/>
        <v>start /low /b %USERPROFILE%\Documents\GitHub\eaglep3\Utilities\DownloadLogsFromS3.py --loco 4063 --day 2017-10-12</v>
      </c>
      <c r="AN139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05:06:37"},{"id":29,"name":"Sharepoint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6"/>
        <v>https://d0f6bd738d7f1b3e5a7ca70fe4ff75f0.us-east-1.aws.found.io/app/kibana#/discover/Steve-Slow-Train-Analysis-(2080s-and-2083s)?_g=(refreshInterval:(display:Off,pause:!f,section:0,value:0),time:(from:'2017-10-12T21:24:59-0600',mode:absolute,to:'2017-10-13T00:06:37-0600'))&amp;_a=(columns:!('Message%20ID',Summary),filters:!(),index:'emp_*',interval:auto,query:(query_string:(analyze_wildcard:!t,query:'%22rtdc.l.rtdc.4063%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796</v>
      </c>
      <c r="B140" s="7">
        <v>4002</v>
      </c>
      <c r="C140" s="21" t="s">
        <v>194</v>
      </c>
      <c r="D140" s="21" t="s">
        <v>376</v>
      </c>
      <c r="E140" s="13">
        <v>43020.900891203702</v>
      </c>
      <c r="F140" s="13">
        <v>43020.916828703703</v>
      </c>
      <c r="G140" s="7">
        <v>71</v>
      </c>
      <c r="H140" s="21" t="s">
        <v>448</v>
      </c>
      <c r="I140" s="13">
        <v>43020.941712962966</v>
      </c>
      <c r="J140" s="7">
        <v>0</v>
      </c>
      <c r="K140" s="89" t="str">
        <f t="shared" si="28"/>
        <v>4001/4002</v>
      </c>
      <c r="L140" s="185" t="str">
        <f>VLOOKUP(A140,'Trips&amp;Operators'!$C$1:$G$99911,5,FALSE)</f>
        <v>ELBAUM MIKE</v>
      </c>
      <c r="M140" s="6">
        <f t="shared" si="29"/>
        <v>2.4884259262762498E-2</v>
      </c>
      <c r="N140" s="7">
        <f t="shared" si="47"/>
        <v>35.833333338377997</v>
      </c>
      <c r="O140" s="7"/>
      <c r="P140" s="7"/>
      <c r="Q140" s="22"/>
      <c r="R140" s="174"/>
      <c r="S140" s="199">
        <f t="shared" si="48"/>
        <v>1</v>
      </c>
      <c r="T140" s="174" t="str">
        <f t="shared" si="32"/>
        <v>NorthBound</v>
      </c>
      <c r="U140" s="22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25" t="str">
        <f t="shared" si="33"/>
        <v>https://d0f6bd738d7f1b3e5a7ca70fe4ff75f0.us-east-1.aws.found.io/app/kibana#/discover/Steve-Slow-Train-Analysis-(2080s-and-2083s)?_g=(refreshInterval:(display:Off,pause:!f,section:0,value:0),time:(from:'2017-10-12T20:37:17-0600',mode:absolute,to:'2017-10-12T23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0" s="226" t="str">
        <f>IF(AA140&lt;VLOOKUP(AG140,Variables!$AC$3:$AD$8,2,FALSE),"Y","N")</f>
        <v>N</v>
      </c>
      <c r="X140" s="226">
        <f t="shared" si="34"/>
        <v>1</v>
      </c>
      <c r="Y140" s="226">
        <f t="shared" si="56"/>
        <v>4.4699999999999997E-2</v>
      </c>
      <c r="Z140" s="226">
        <f t="shared" si="57"/>
        <v>23.332699999999999</v>
      </c>
      <c r="AA140" s="226">
        <f t="shared" si="37"/>
        <v>23.288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8"/>
        <v>233</v>
      </c>
      <c r="AE140" s="77" t="str">
        <f t="shared" si="39"/>
        <v>aws s3 cp s3://rtdc.mdm.uploadarchive.raw/RTDC4002/ "%USERPROFILE%\AppData\Local\Temp\OnboardLogs"\RTDC4002\2017-10-12 --exclude "*" --recursive --include "*20171012*" &amp; "%USERPROFILE%\Documents\GitHub\mrs-test-scripts\Headless Mode &amp; Sideloading\WalkAndUnGZ.bat" "%USERPROFILE%\AppData\Local\Temp\OnboardLogs"\RTDC4002\2017-10-12 &amp; 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</v>
      </c>
      <c r="AF140" s="74" t="str">
        <f t="shared" si="40"/>
        <v>"C:\Program Files (x86)\AstroGrep\AstroGrep.exe" /e /r /s /spath="%USERPROFILE%\AppData\Local\Temp\OnboardLogs" /stypes="app*4002*20171013*" /stext=" 04:.+((SYSTEM_STATE.+slice.+state.+changed )|(ment ac)|(multiple cpu faults)|(system.+state.+changed )|(\[timeout)|(PRM\|1\|D)|(kpr)|(kdp)|(train st.+moving)|(\|lc)|(penalty))"</v>
      </c>
      <c r="AG140" s="182" t="str">
        <f t="shared" si="41"/>
        <v>EC</v>
      </c>
      <c r="AH140" s="78" t="str">
        <f t="shared" si="42"/>
        <v>"%USERPROFILE%\Documents\GitHub\eaglep3\Utilities\RefineRTDCRunTimes.py" --tripid 233-12 --locoid 4002 --swversion DE.1.0.9.0 --startMP 204:447 --initTime 2017-10-12T21:37:17 --startdatetime 2017-10-12T22:00:14 --delay 71 --endMP 204:233327 --enddatetime 2017-10-12T22:36:04 --enforcementcount 0 &gt;&gt;%USERPROFILE%\Documents\GitHub\eaglep3-reporting\EC\2017-10-12-refined-times.txt</v>
      </c>
      <c r="AI140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{"issue":{"subject":"","project_id":79,"tracker_id":40,"status_id":1,"priority_id":2,"assigned_to_id":338,"start_date":"2017-10-12","description":"","custom_fields":[{"id":1,"name":"Subdivision","value":"EC"},{"id":4,"name":"Milepost","value":"23.3327"},{"id":17,"name":"Train ID","value":"233-12"},{"id":16,"name":"Locomotive ID","value":"4002"},{"id":130,"name":"Impact","value":""},{"id":150,"name":"Time of Event (Mountain Time)","value":"22:36:04"},{"id":151,"name":"Denver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4"/>
        <v>start /low /b %USERPROFILE%\Documents\GitHub\eaglep3\Utilities\DownloadLogsFromS3.py --loco 4002 --day 2017-10-12</v>
      </c>
      <c r="AN140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6"/>
        <v>https://d0f6bd738d7f1b3e5a7ca70fe4ff75f0.us-east-1.aws.found.io/app/kibana#/discover/Steve-Slow-Train-Analysis-(2080s-and-2083s)?_g=(refreshInterval:(display:Off,pause:!f,section:0,value:0),time:(from:'2017-10-12T20:37:17-0600',mode:absolute,to:'2017-10-12T23:36:04-0600'))&amp;_a=(columns:!('Message%20ID',Summary),filters:!(),index:'emp_*',interval:auto,query:(query_string:(analyze_wildcard:!t,query:'%22rtdc.l.rtdc.4002%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802</v>
      </c>
      <c r="B141" s="7">
        <v>4001</v>
      </c>
      <c r="C141" s="21" t="s">
        <v>194</v>
      </c>
      <c r="D141" s="21" t="s">
        <v>402</v>
      </c>
      <c r="E141" s="13">
        <v>43020.942928240744</v>
      </c>
      <c r="F141" s="13">
        <v>43020.956400462965</v>
      </c>
      <c r="G141" s="7">
        <v>66</v>
      </c>
      <c r="H141" s="21" t="s">
        <v>842</v>
      </c>
      <c r="I141" s="13">
        <v>43020.983819444446</v>
      </c>
      <c r="J141" s="7">
        <v>0</v>
      </c>
      <c r="K141" s="89" t="str">
        <f t="shared" ref="K141:K204" si="58">IF(ISEVEN(B141),(B141-1)&amp;"/"&amp;B141,B141&amp;"/"&amp;(B141+1))</f>
        <v>4001/4002</v>
      </c>
      <c r="L141" s="185" t="str">
        <f>VLOOKUP(A141,'Trips&amp;Operators'!$C$1:$G$99911,5,FALSE)</f>
        <v>ELBAUM MIKE</v>
      </c>
      <c r="M141" s="6">
        <f t="shared" ref="M141:M204" si="59">I141-F141</f>
        <v>2.7418981480877846E-2</v>
      </c>
      <c r="N141" s="7">
        <f t="shared" ref="N141:N158" si="60">24*60*SUM($M141:$M141)</f>
        <v>39.483333332464099</v>
      </c>
      <c r="O141" s="7"/>
      <c r="P141" s="7"/>
      <c r="Q141" s="22"/>
      <c r="R141" s="174"/>
      <c r="S141" s="199">
        <f t="shared" ref="S141:S158" si="61">1/IF(AG141="EC",12,1)*SUM(U141:U141)</f>
        <v>1</v>
      </c>
      <c r="T141" s="174" t="str">
        <f t="shared" ref="T141:T204" si="62">IF(ISEVEN(LEFT(AD141,4)),"Southbound","NorthBound")</f>
        <v>Southbound</v>
      </c>
      <c r="U141" s="22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25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-12T21:37:49-0600',mode:absolute,to:'2017-10-13T00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1" s="226" t="str">
        <f>IF(AA141&lt;VLOOKUP(AG141,Variables!$AC$3:$AD$8,2,FALSE),"Y","N")</f>
        <v>N</v>
      </c>
      <c r="X141" s="226">
        <f t="shared" ref="X141:X204" si="64">VALUE(LEFT(AD141,4))-VALUE(LEFT(AD140,4))</f>
        <v>1</v>
      </c>
      <c r="Y141" s="226">
        <f t="shared" si="56"/>
        <v>23.300999999999998</v>
      </c>
      <c r="Z141" s="226">
        <f t="shared" si="57"/>
        <v>1.3599999999999999E-2</v>
      </c>
      <c r="AA141" s="226">
        <f t="shared" ref="AA141:AA204" si="65">ABS(Z141-Y141)</f>
        <v>23.287399999999998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66">VALUE(LEFT(A141,LEN(A141)-3))</f>
        <v>234</v>
      </c>
      <c r="AE141" s="7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AF141" s="7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/stypes="app*4001*20171013*" /stext=" 05:.+((SYSTEM_STATE.+slice.+state.+changed )|(ment ac)|(multiple cpu faults)|(system.+state.+changed )|(\[timeout)|(PRM\|1\|D)|(kpr)|(kdp)|(train st.+moving)|(\|lc)|(penalty))"</v>
      </c>
      <c r="AG141" s="182" t="str">
        <f t="shared" ref="AG141:AG204" si="69">DetSubdiv(A141)</f>
        <v>EC</v>
      </c>
      <c r="AH141" s="78" t="str">
        <f t="shared" si="42"/>
        <v>"%USERPROFILE%\Documents\GitHub\eaglep3\Utilities\RefineRTDCRunTimes.py" --tripid 234-12 --locoid 4001 --swversion DE.1.0.9.0 --startMP 204:233010 --initTime 2017-10-12T22:37:49 --startdatetime 2017-10-12T22:57:13 --delay 66 --endMP 204:136 --enddatetime 2017-10-12T23:36:42 --enforcementcount 0 &gt;&gt;%USERPROFILE%\Documents\GitHub\eaglep3-reporting\EC\2017-10-12-refined-times.txt</v>
      </c>
      <c r="AI141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{"issue":{"subject":"","project_id":79,"tracker_id":40,"status_id":1,"priority_id":2,"assigned_to_id":338,"start_date":"2017-10-12","description":"","custom_fields":[{"id":1,"name":"Subdivision","value":"EC"},{"id":4,"name":"Milepost","value":"0.0136"},{"id":17,"name":"Train ID","value":"234-12"},{"id":16,"name":"Locomotive ID","value":"4001"},{"id":130,"name":"Impact","value":""},{"id":150,"name":"Time of Event (Mountain Time)","value":"23:36:42"},{"id":151,"name":"Denver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4"/>
        <v>start /low /b %USERPROFILE%\Documents\GitHub\eaglep3\Utilities\DownloadLogsFromS3.py --loco 4001 --day 2017-10-12</v>
      </c>
      <c r="AN141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05:36:42"},{"id":29,"name":"Sharepoint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6"/>
        <v>https://d0f6bd738d7f1b3e5a7ca70fe4ff75f0.us-east-1.aws.found.io/app/kibana#/discover/Steve-Slow-Train-Analysis-(2080s-and-2083s)?_g=(refreshInterval:(display:Off,pause:!f,section:0,value:0),time:(from:'2017-10-12T21:37:49-0600',mode:absolute,to:'2017-10-13T00:36:42-0600'))&amp;_a=(columns:!('Message%20ID',Summary),filters:!(),index:'emp_*',interval:auto,query:(query_string:(analyze_wildcard:!t,query:'%22rtdc.l.rtdc.4001%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799</v>
      </c>
      <c r="B142" s="7">
        <v>4052</v>
      </c>
      <c r="C142" s="21" t="s">
        <v>194</v>
      </c>
      <c r="D142" s="21" t="s">
        <v>338</v>
      </c>
      <c r="E142" s="13">
        <v>43020.932488425926</v>
      </c>
      <c r="F142" s="13">
        <v>43020.937650462962</v>
      </c>
      <c r="G142" s="7">
        <v>49</v>
      </c>
      <c r="H142" s="21" t="s">
        <v>820</v>
      </c>
      <c r="I142" s="13">
        <v>43020.961759259262</v>
      </c>
      <c r="J142" s="7">
        <v>0</v>
      </c>
      <c r="K142" s="89" t="str">
        <f t="shared" si="58"/>
        <v>4051/4052</v>
      </c>
      <c r="L142" s="185" t="str">
        <f>VLOOKUP(A142,'Trips&amp;Operators'!$C$1:$G$99911,5,FALSE)</f>
        <v>MCREYNOLDS KYLE</v>
      </c>
      <c r="M142" s="6">
        <f t="shared" si="59"/>
        <v>2.4108796300424729E-2</v>
      </c>
      <c r="N142" s="7">
        <f t="shared" si="60"/>
        <v>34.716666672611609</v>
      </c>
      <c r="O142" s="7"/>
      <c r="P142" s="7"/>
      <c r="Q142" s="22"/>
      <c r="R142" s="174"/>
      <c r="S142" s="199">
        <f t="shared" si="61"/>
        <v>1</v>
      </c>
      <c r="T142" s="174" t="str">
        <f t="shared" si="62"/>
        <v>NorthBound</v>
      </c>
      <c r="U142" s="22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25" t="str">
        <f t="shared" si="63"/>
        <v>https://d0f6bd738d7f1b3e5a7ca70fe4ff75f0.us-east-1.aws.found.io/app/kibana#/discover/Steve-Slow-Train-Analysis-(2080s-and-2083s)?_g=(refreshInterval:(display:Off,pause:!f,section:0,value:0),time:(from:'2017-10-12T21:22:47-0600',mode:absolute,to:'2017-10-13T00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2" s="226" t="str">
        <f>IF(AA142&lt;VLOOKUP(AG142,Variables!$AC$3:$AD$8,2,FALSE),"Y","N")</f>
        <v>N</v>
      </c>
      <c r="X142" s="226">
        <f t="shared" si="64"/>
        <v>1</v>
      </c>
      <c r="Y142" s="226">
        <f t="shared" si="56"/>
        <v>4.53E-2</v>
      </c>
      <c r="Z142" s="226">
        <f t="shared" si="57"/>
        <v>23.334900000000001</v>
      </c>
      <c r="AA142" s="226">
        <f t="shared" si="65"/>
        <v>23.2896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6"/>
        <v>235</v>
      </c>
      <c r="AE142" s="77" t="str">
        <f t="shared" si="67"/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AF142" s="74" t="str">
        <f t="shared" si="68"/>
        <v>"C:\Program Files (x86)\AstroGrep\AstroGrep.exe" /e /r /s /spath="%USERPROFILE%\AppData\Local\Temp\OnboardLogs" /stypes="app*4052*20171013*" /stext=" 05:.+((SYSTEM_STATE.+slice.+state.+changed )|(ment ac)|(multiple cpu faults)|(system.+state.+changed )|(\[timeout)|(PRM\|1\|D)|(kpr)|(kdp)|(train st.+moving)|(\|lc)|(penalty))"</v>
      </c>
      <c r="AG142" s="182" t="str">
        <f t="shared" si="69"/>
        <v>EC</v>
      </c>
      <c r="AH142" s="78" t="str">
        <f t="shared" si="42"/>
        <v>"%USERPROFILE%\Documents\GitHub\eaglep3\Utilities\RefineRTDCRunTimes.py" --tripid 235-12 --locoid 4052 --swversion DE.1.0.9.0 --startMP 204:453 --initTime 2017-10-12T22:22:47 --startdatetime 2017-10-12T22:30:13 --delay 49 --endMP 204:233349 --enddatetime 2017-10-12T23:04:56 --enforcementcount 0 &gt;&gt;%USERPROFILE%\Documents\GitHub\eaglep3-reporting\EC\2017-10-12-refined-times.txt</v>
      </c>
      <c r="AI142" s="96" t="str">
        <f t="shared" si="43"/>
        <v>echo {"issue":{"subject":"","project_id":79,"tracker_id":40,"status_id":1,"priority_id":2,"assigned_to_id":338,"start_date":"2017-10-12","description":"","custom_fields":[{"id":1,"name":"Subdivision","value":"EC"},{"id":4,"name":"Milepost","value":"23.3349"},{"id":17,"name":"Train ID","value":"235-12"},{"id":16,"name":"Locomotive ID","value":"4052"},{"id":130,"name":"Impact","value":""},{"id":150,"name":"Time of Event (Mountain Time)","value":"23:04:56"},{"id":151,"name":"Denver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44"/>
        <v>start /low /b %USERPROFILE%\Documents\GitHub\eaglep3\Utilities\DownloadLogsFromS3.py --loco 4052 --day 2017-10-12</v>
      </c>
      <c r="AN142" s="151" t="str">
        <f t="shared" si="4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05:04:56"},{"id":29,"name":"Sharepoint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6"/>
        <v>https://d0f6bd738d7f1b3e5a7ca70fe4ff75f0.us-east-1.aws.found.io/app/kibana#/discover/Steve-Slow-Train-Analysis-(2080s-and-2083s)?_g=(refreshInterval:(display:Off,pause:!f,section:0,value:0),time:(from:'2017-10-12T21:22:47-0600',mode:absolute,to:'2017-10-13T00:04:56-0600'))&amp;_a=(columns:!('Message%20ID',Summary),filters:!(),index:'emp_*',interval:auto,query:(query_string:(analyze_wildcard:!t,query:'%22rtdc.l.rtdc.4052%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806</v>
      </c>
      <c r="B143" s="7">
        <v>4051</v>
      </c>
      <c r="C143" s="21" t="s">
        <v>194</v>
      </c>
      <c r="D143" s="21" t="s">
        <v>875</v>
      </c>
      <c r="E143" s="13">
        <v>43020.971516203703</v>
      </c>
      <c r="F143" s="13">
        <v>43020.97724537037</v>
      </c>
      <c r="G143" s="7">
        <v>65</v>
      </c>
      <c r="H143" s="21" t="s">
        <v>374</v>
      </c>
      <c r="I143" s="13">
        <v>43021.003668981481</v>
      </c>
      <c r="J143" s="7">
        <v>0</v>
      </c>
      <c r="K143" s="89" t="str">
        <f t="shared" si="58"/>
        <v>4051/4052</v>
      </c>
      <c r="L143" s="185" t="str">
        <f>VLOOKUP(A143,'Trips&amp;Operators'!$C$1:$G$99911,5,FALSE)</f>
        <v>MCREYNOLDS KYLE</v>
      </c>
      <c r="M143" s="6">
        <f t="shared" si="59"/>
        <v>2.6423611110658385E-2</v>
      </c>
      <c r="N143" s="7">
        <f t="shared" si="60"/>
        <v>38.049999999348074</v>
      </c>
      <c r="O143" s="7"/>
      <c r="P143" s="7"/>
      <c r="Q143" s="22"/>
      <c r="R143" s="174"/>
      <c r="S143" s="199">
        <f t="shared" si="61"/>
        <v>1</v>
      </c>
      <c r="T143" s="174" t="str">
        <f t="shared" si="62"/>
        <v>Southbound</v>
      </c>
      <c r="U143" s="22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25" t="str">
        <f t="shared" si="63"/>
        <v>https://d0f6bd738d7f1b3e5a7ca70fe4ff75f0.us-east-1.aws.found.io/app/kibana#/discover/Steve-Slow-Train-Analysis-(2080s-and-2083s)?_g=(refreshInterval:(display:Off,pause:!f,section:0,value:0),time:(from:'2017-10-12T22:18:59-0600',mode:absolute,to:'2017-10-13T01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3" s="226" t="str">
        <f>IF(AA143&lt;VLOOKUP(AG143,Variables!$AC$3:$AD$8,2,FALSE),"Y","N")</f>
        <v>N</v>
      </c>
      <c r="X143" s="226">
        <f t="shared" si="64"/>
        <v>1</v>
      </c>
      <c r="Y143" s="226">
        <f t="shared" si="56"/>
        <v>23.305099999999999</v>
      </c>
      <c r="Z143" s="226">
        <f t="shared" si="57"/>
        <v>1.54E-2</v>
      </c>
      <c r="AA143" s="226">
        <f t="shared" si="65"/>
        <v>23.2897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66"/>
        <v>236</v>
      </c>
      <c r="AE143" s="77" t="str">
        <f t="shared" si="67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143" s="74" t="str">
        <f t="shared" si="68"/>
        <v>"C:\Program Files (x86)\AstroGrep\AstroGrep.exe" /e /r /s /spath="%USERPROFILE%\AppData\Local\Temp\OnboardLogs" /stypes="app*4051*20171013*" /stext=" 06:.+((SYSTEM_STATE.+slice.+state.+changed )|(ment ac)|(multiple cpu faults)|(system.+state.+changed )|(\[timeout)|(PRM\|1\|D)|(kpr)|(kdp)|(train st.+moving)|(\|lc)|(penalty))"</v>
      </c>
      <c r="AG143" s="182" t="str">
        <f t="shared" si="69"/>
        <v>EC</v>
      </c>
      <c r="AH143" s="78" t="str">
        <f t="shared" ref="AH143:AH209" si="7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236-12 --locoid 4051 --swversion DE.1.0.9.0 --startMP 204:233051 --initTime 2017-10-12T23:18:59 --startdatetime 2017-10-12T23:27:14 --delay 65 --endMP 204:154 --enddatetime 2017-10-13T00:05:17 --enforcementcount 0 &gt;&gt;%USERPROFILE%\Documents\GitHub\eaglep3-reporting\EC\2017-10-12-refined-times.txt</v>
      </c>
      <c r="AI143" s="96" t="str">
        <f t="shared" ref="AI143:AI209" si="7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{"issue":{"subject":"","project_id":79,"tracker_id":40,"status_id":1,"priority_id":2,"assigned_to_id":338,"start_date":"2017-10-13","description":"","custom_fields":[{"id":1,"name":"Subdivision","value":"EC"},{"id":4,"name":"Milepost","value":"0.0154"},{"id":17,"name":"Train ID","value":"236-12"},{"id":16,"name":"Locomotive ID","value":"4051"},{"id":130,"name":"Impact","value":""},{"id":150,"name":"Time of Event (Mountain Time)","value":"00:05:17"},{"id":151,"name":"Denver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09" si="72">"start /low /b "&amp;dls3logs&amp;" --loco "&amp;B143&amp;" --day "&amp;TEXT(F143,"YYYY-MM-DD")</f>
        <v>start /low /b %USERPROFILE%\Documents\GitHub\eaglep3\Utilities\DownloadLogsFromS3.py --loco 4051 --day 2017-10-12</v>
      </c>
      <c r="AN143" s="151" t="str">
        <f t="shared" ref="AN143:AN209" si="7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06:05:17"},{"id":29,"name":"Sharepoint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09" si="7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-12T22:18:59-0600',mode:absolute,to:'2017-10-13T01:05:17-0600'))&amp;_a=(columns:!('Message%20ID',Summary),filters:!(),index:'emp_*',interval:auto,query:(query_string:(analyze_wildcard:!t,query:'%22rtdc.l.rtdc.4051%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803</v>
      </c>
      <c r="B144" s="7">
        <v>4026</v>
      </c>
      <c r="C144" s="21" t="s">
        <v>194</v>
      </c>
      <c r="D144" s="21" t="s">
        <v>345</v>
      </c>
      <c r="E144" s="13">
        <v>43020.947152777779</v>
      </c>
      <c r="F144" s="13">
        <v>43020.958657407406</v>
      </c>
      <c r="G144" s="7">
        <v>50</v>
      </c>
      <c r="H144" s="21" t="s">
        <v>843</v>
      </c>
      <c r="I144" s="13">
        <v>43020.983773148146</v>
      </c>
      <c r="J144" s="7">
        <v>0</v>
      </c>
      <c r="K144" s="89" t="str">
        <f t="shared" si="58"/>
        <v>4025/4026</v>
      </c>
      <c r="L144" s="185" t="str">
        <f>VLOOKUP(A144,'Trips&amp;Operators'!$C$1:$G$99911,5,FALSE)</f>
        <v>WEST BRYAN</v>
      </c>
      <c r="M144" s="6">
        <f t="shared" si="59"/>
        <v>2.5115740740147885E-2</v>
      </c>
      <c r="N144" s="7">
        <f t="shared" si="60"/>
        <v>36.166666665812954</v>
      </c>
      <c r="O144" s="7"/>
      <c r="P144" s="7"/>
      <c r="Q144" s="22"/>
      <c r="R144" s="174"/>
      <c r="S144" s="199">
        <f t="shared" si="61"/>
        <v>1</v>
      </c>
      <c r="T144" s="174" t="str">
        <f t="shared" si="62"/>
        <v>NorthBound</v>
      </c>
      <c r="U144" s="22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25" t="str">
        <f t="shared" si="63"/>
        <v>https://d0f6bd738d7f1b3e5a7ca70fe4ff75f0.us-east-1.aws.found.io/app/kibana#/discover/Steve-Slow-Train-Analysis-(2080s-and-2083s)?_g=(refreshInterval:(display:Off,pause:!f,section:0,value:0),time:(from:'2017-10-12T21:43:54-0600',mode:absolute,to:'2017-10-13T00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4" s="226" t="str">
        <f>IF(AA144&lt;VLOOKUP(AG144,Variables!$AC$3:$AD$8,2,FALSE),"Y","N")</f>
        <v>N</v>
      </c>
      <c r="X144" s="226">
        <f t="shared" si="64"/>
        <v>1</v>
      </c>
      <c r="Y144" s="226">
        <f t="shared" si="56"/>
        <v>4.5499999999999999E-2</v>
      </c>
      <c r="Z144" s="226">
        <f t="shared" si="57"/>
        <v>23.333200000000001</v>
      </c>
      <c r="AA144" s="226">
        <f t="shared" si="65"/>
        <v>23.287700000000001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6"/>
        <v>237</v>
      </c>
      <c r="AE144" s="77" t="str">
        <f t="shared" si="67"/>
        <v>aws s3 cp s3://rtdc.mdm.uploadarchive.raw/RTDC4026/ "%USERPROFILE%\AppData\Local\Temp\OnboardLogs"\RTDC4026\2017-10-12 --exclude "*" --recursive --include "*20171012*" &amp; "%USERPROFILE%\Documents\GitHub\mrs-test-scripts\Headless Mode &amp; Sideloading\WalkAndUnGZ.bat" "%USERPROFILE%\AppData\Local\Temp\OnboardLogs"\RTDC4026\2017-10-12 &amp; 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</v>
      </c>
      <c r="AF144" s="74" t="str">
        <f t="shared" si="68"/>
        <v>"C:\Program Files (x86)\AstroGrep\AstroGrep.exe" /e /r /s /spath="%USERPROFILE%\AppData\Local\Temp\OnboardLogs" /stypes="app*4026*20171013*" /stext=" 05:.+((SYSTEM_STATE.+slice.+state.+changed )|(ment ac)|(multiple cpu faults)|(system.+state.+changed )|(\[timeout)|(PRM\|1\|D)|(kpr)|(kdp)|(train st.+moving)|(\|lc)|(penalty))"</v>
      </c>
      <c r="AG144" s="182" t="str">
        <f t="shared" si="69"/>
        <v>EC</v>
      </c>
      <c r="AH144" s="78" t="str">
        <f t="shared" si="70"/>
        <v>"%USERPROFILE%\Documents\GitHub\eaglep3\Utilities\RefineRTDCRunTimes.py" --tripid 237-12 --locoid 4026 --swversion DE.1.0.9.0 --startMP 204:455 --initTime 2017-10-12T22:43:54 --startdatetime 2017-10-12T23:00:28 --delay 50 --endMP 204:233332 --enddatetime 2017-10-12T23:36:38 --enforcementcount 0 &gt;&gt;%USERPROFILE%\Documents\GitHub\eaglep3-reporting\EC\2017-10-12-refined-times.txt</v>
      </c>
      <c r="AI144" s="96" t="str">
        <f t="shared" si="71"/>
        <v>echo {"issue":{"subject":"","project_id":79,"tracker_id":40,"status_id":1,"priority_id":2,"assigned_to_id":338,"start_date":"2017-10-12","description":"","custom_fields":[{"id":1,"name":"Subdivision","value":"EC"},{"id":4,"name":"Milepost","value":"23.3332"},{"id":17,"name":"Train ID","value":"237-12"},{"id":16,"name":"Locomotive ID","value":"4026"},{"id":130,"name":"Impact","value":""},{"id":150,"name":"Time of Event (Mountain Time)","value":"23:36:38"},{"id":151,"name":"Denver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72"/>
        <v>start /low /b %USERPROFILE%\Documents\GitHub\eaglep3\Utilities\DownloadLogsFromS3.py --loco 4026 --day 2017-10-12</v>
      </c>
      <c r="AN144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4"/>
        <v>https://d0f6bd738d7f1b3e5a7ca70fe4ff75f0.us-east-1.aws.found.io/app/kibana#/discover/Steve-Slow-Train-Analysis-(2080s-and-2083s)?_g=(refreshInterval:(display:Off,pause:!f,section:0,value:0),time:(from:'2017-10-12T21:43:54-0600',mode:absolute,to:'2017-10-13T00:36:38-0600'))&amp;_a=(columns:!('Message%20ID',Summary),filters:!(),index:'emp_*',interval:auto,query:(query_string:(analyze_wildcard:!t,query:'%22rtdc.l.rtdc.4026%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809</v>
      </c>
      <c r="B145" s="7">
        <v>4025</v>
      </c>
      <c r="C145" s="21" t="s">
        <v>194</v>
      </c>
      <c r="D145" s="21" t="s">
        <v>876</v>
      </c>
      <c r="E145" s="13">
        <v>43020.994826388887</v>
      </c>
      <c r="F145" s="13">
        <v>43020.998298611114</v>
      </c>
      <c r="G145" s="7">
        <v>55</v>
      </c>
      <c r="H145" s="21" t="s">
        <v>444</v>
      </c>
      <c r="I145" s="13">
        <v>43021.024722222224</v>
      </c>
      <c r="J145" s="7">
        <v>0</v>
      </c>
      <c r="K145" s="89" t="str">
        <f t="shared" si="58"/>
        <v>4025/4026</v>
      </c>
      <c r="L145" s="185" t="str">
        <f>VLOOKUP(A145,'Trips&amp;Operators'!$C$1:$G$99911,5,FALSE)</f>
        <v>WEST BRYAN</v>
      </c>
      <c r="M145" s="6">
        <f t="shared" si="59"/>
        <v>2.6423611110658385E-2</v>
      </c>
      <c r="N145" s="7">
        <f t="shared" si="60"/>
        <v>38.049999999348074</v>
      </c>
      <c r="O145" s="7"/>
      <c r="P145" s="7"/>
      <c r="Q145" s="22"/>
      <c r="R145" s="174"/>
      <c r="S145" s="199">
        <f t="shared" si="61"/>
        <v>1</v>
      </c>
      <c r="T145" s="174" t="str">
        <f t="shared" si="62"/>
        <v>Southbound</v>
      </c>
      <c r="U145" s="22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25" t="str">
        <f t="shared" si="63"/>
        <v>https://d0f6bd738d7f1b3e5a7ca70fe4ff75f0.us-east-1.aws.found.io/app/kibana#/discover/Steve-Slow-Train-Analysis-(2080s-and-2083s)?_g=(refreshInterval:(display:Off,pause:!f,section:0,value:0),time:(from:'2017-10-12T22:52:33-0600',mode:absolute,to:'2017-10-13T01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5" s="226" t="str">
        <f>IF(AA145&lt;VLOOKUP(AG145,Variables!$AC$3:$AD$8,2,FALSE),"Y","N")</f>
        <v>N</v>
      </c>
      <c r="X145" s="226">
        <f t="shared" si="64"/>
        <v>1</v>
      </c>
      <c r="Y145" s="226">
        <f t="shared" si="56"/>
        <v>23.300799999999999</v>
      </c>
      <c r="Z145" s="226">
        <f t="shared" si="57"/>
        <v>1.6500000000000001E-2</v>
      </c>
      <c r="AA145" s="226">
        <f t="shared" si="65"/>
        <v>23.284299999999998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6"/>
        <v>238</v>
      </c>
      <c r="AE145" s="77" t="str">
        <f t="shared" si="67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145" s="74" t="str">
        <f t="shared" si="68"/>
        <v>"C:\Program Files (x86)\AstroGrep\AstroGrep.exe" /e /r /s /spath="%USERPROFILE%\AppData\Local\Temp\OnboardLogs" /stypes="app*4025*20171013*" /stext=" 06:.+((SYSTEM_STATE.+slice.+state.+changed )|(ment ac)|(multiple cpu faults)|(system.+state.+changed )|(\[timeout)|(PRM\|1\|D)|(kpr)|(kdp)|(train st.+moving)|(\|lc)|(penalty))"</v>
      </c>
      <c r="AG145" s="182" t="str">
        <f t="shared" si="69"/>
        <v>EC</v>
      </c>
      <c r="AH145" s="78" t="str">
        <f t="shared" si="70"/>
        <v>"%USERPROFILE%\Documents\GitHub\eaglep3\Utilities\RefineRTDCRunTimes.py" --tripid 238-12 --locoid 4025 --swversion DE.1.0.9.0 --startMP 204:233008 --initTime 2017-10-12T23:52:33 --startdatetime 2017-10-12T23:57:33 --delay 55 --endMP 204:165 --enddatetime 2017-10-13T00:35:36 --enforcementcount 0 &gt;&gt;%USERPROFILE%\Documents\GitHub\eaglep3-reporting\EC\2017-10-12-refined-times.txt</v>
      </c>
      <c r="AI145" s="96" t="str">
        <f t="shared" si="71"/>
        <v>echo {"issue":{"subject":"","project_id":79,"tracker_id":40,"status_id":1,"priority_id":2,"assigned_to_id":338,"start_date":"2017-10-13","description":"","custom_fields":[{"id":1,"name":"Subdivision","value":"EC"},{"id":4,"name":"Milepost","value":"0.0165"},{"id":17,"name":"Train ID","value":"238-12"},{"id":16,"name":"Locomotive ID","value":"4025"},{"id":130,"name":"Impact","value":""},{"id":150,"name":"Time of Event (Mountain Time)","value":"00:35:36"},{"id":151,"name":"Denver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72"/>
        <v>start /low /b %USERPROFILE%\Documents\GitHub\eaglep3\Utilities\DownloadLogsFromS3.py --loco 4025 --day 2017-10-12</v>
      </c>
      <c r="AN145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06:35:36"},{"id":29,"name":"Sharepoint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4"/>
        <v>https://d0f6bd738d7f1b3e5a7ca70fe4ff75f0.us-east-1.aws.found.io/app/kibana#/discover/Steve-Slow-Train-Analysis-(2080s-and-2083s)?_g=(refreshInterval:(display:Off,pause:!f,section:0,value:0),time:(from:'2017-10-12T22:52:33-0600',mode:absolute,to:'2017-10-13T01:35:36-0600'))&amp;_a=(columns:!('Message%20ID',Summary),filters:!(),index:'emp_*',interval:auto,query:(query_string:(analyze_wildcard:!t,query:'%22rtdc.l.rtdc.4025%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805</v>
      </c>
      <c r="B146" s="7">
        <v>4064</v>
      </c>
      <c r="C146" s="21" t="s">
        <v>194</v>
      </c>
      <c r="D146" s="21" t="s">
        <v>874</v>
      </c>
      <c r="E146" s="13">
        <v>43020.969317129631</v>
      </c>
      <c r="F146" s="13">
        <v>43020.97934027778</v>
      </c>
      <c r="G146" s="7">
        <v>64</v>
      </c>
      <c r="H146" s="21" t="s">
        <v>539</v>
      </c>
      <c r="I146" s="13">
        <v>43021.003379629627</v>
      </c>
      <c r="J146" s="7">
        <v>0</v>
      </c>
      <c r="K146" s="89" t="str">
        <f t="shared" si="58"/>
        <v>4063/4064</v>
      </c>
      <c r="L146" s="185" t="str">
        <f>VLOOKUP(A146,'Trips&amp;Operators'!$C$1:$G$99911,5,FALSE)</f>
        <v>LOZA FIDEL</v>
      </c>
      <c r="M146" s="6">
        <f t="shared" si="59"/>
        <v>2.4039351847022772E-2</v>
      </c>
      <c r="N146" s="7">
        <f t="shared" si="60"/>
        <v>34.616666659712791</v>
      </c>
      <c r="O146" s="7"/>
      <c r="P146" s="7"/>
      <c r="Q146" s="22"/>
      <c r="R146" s="174"/>
      <c r="S146" s="199">
        <f t="shared" si="61"/>
        <v>1</v>
      </c>
      <c r="T146" s="174" t="str">
        <f t="shared" si="62"/>
        <v>NorthBound</v>
      </c>
      <c r="U146" s="22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25" t="str">
        <f t="shared" si="63"/>
        <v>https://d0f6bd738d7f1b3e5a7ca70fe4ff75f0.us-east-1.aws.found.io/app/kibana#/discover/Steve-Slow-Train-Analysis-(2080s-and-2083s)?_g=(refreshInterval:(display:Off,pause:!f,section:0,value:0),time:(from:'2017-10-12T22:15:49-0600',mode:absolute,to:'2017-10-13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6" s="226" t="str">
        <f>IF(AA146&lt;VLOOKUP(AG146,Variables!$AC$3:$AD$8,2,FALSE),"Y","N")</f>
        <v>N</v>
      </c>
      <c r="X146" s="226">
        <f t="shared" si="64"/>
        <v>1</v>
      </c>
      <c r="Y146" s="226">
        <f t="shared" si="56"/>
        <v>4.9700000000000001E-2</v>
      </c>
      <c r="Z146" s="226">
        <f t="shared" si="57"/>
        <v>23.3355</v>
      </c>
      <c r="AA146" s="226">
        <f t="shared" si="65"/>
        <v>23.285799999999998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6"/>
        <v>239</v>
      </c>
      <c r="AE146" s="77" t="str">
        <f t="shared" si="67"/>
        <v>aws s3 cp s3://rtdc.mdm.uploadarchive.raw/RTDC4064/ "%USERPROFILE%\AppData\Local\Temp\OnboardLogs"\RTDC4064\2017-10-12 --exclude "*" --recursive --include "*20171012*" &amp; "%USERPROFILE%\Documents\GitHub\mrs-test-scripts\Headless Mode &amp; Sideloading\WalkAndUnGZ.bat" "%USERPROFILE%\AppData\Local\Temp\OnboardLogs"\RTDC4064\2017-10-12 &amp; 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</v>
      </c>
      <c r="AF146" s="74" t="str">
        <f t="shared" si="68"/>
        <v>"C:\Program Files (x86)\AstroGrep\AstroGrep.exe" /e /r /s /spath="%USERPROFILE%\AppData\Local\Temp\OnboardLogs" /stypes="app*4064*20171013*" /stext=" 06:.+((SYSTEM_STATE.+slice.+state.+changed )|(ment ac)|(multiple cpu faults)|(system.+state.+changed )|(\[timeout)|(PRM\|1\|D)|(kpr)|(kdp)|(train st.+moving)|(\|lc)|(penalty))"</v>
      </c>
      <c r="AG146" s="182" t="str">
        <f t="shared" si="69"/>
        <v>EC</v>
      </c>
      <c r="AH146" s="78" t="str">
        <f t="shared" si="70"/>
        <v>"%USERPROFILE%\Documents\GitHub\eaglep3\Utilities\RefineRTDCRunTimes.py" --tripid 239-12 --locoid 4064 --swversion DE.1.0.9.0 --startMP 204:497 --initTime 2017-10-12T23:15:49 --startdatetime 2017-10-12T23:30:15 --delay 64 --endMP 204:233355 --enddatetime 2017-10-13T00:04:52 --enforcementcount 0 &gt;&gt;%USERPROFILE%\Documents\GitHub\eaglep3-reporting\EC\2017-10-12-refined-times.txt</v>
      </c>
      <c r="AI146" s="96" t="str">
        <f t="shared" si="71"/>
        <v>echo {"issue":{"subject":"","project_id":79,"tracker_id":40,"status_id":1,"priority_id":2,"assigned_to_id":338,"start_date":"2017-10-13","description":"","custom_fields":[{"id":1,"name":"Subdivision","value":"EC"},{"id":4,"name":"Milepost","value":"23.3355"},{"id":17,"name":"Train ID","value":"239-12"},{"id":16,"name":"Locomotive ID","value":"4064"},{"id":130,"name":"Impact","value":""},{"id":150,"name":"Time of Event (Mountain Time)","value":"00:04:52"},{"id":151,"name":"Denver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72"/>
        <v>start /low /b %USERPROFILE%\Documents\GitHub\eaglep3\Utilities\DownloadLogsFromS3.py --loco 4064 --day 2017-10-12</v>
      </c>
      <c r="AN146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4"/>
        <v>https://d0f6bd738d7f1b3e5a7ca70fe4ff75f0.us-east-1.aws.found.io/app/kibana#/discover/Steve-Slow-Train-Analysis-(2080s-and-2083s)?_g=(refreshInterval:(display:Off,pause:!f,section:0,value:0),time:(from:'2017-10-12T22:15:49-0600',mode:absolute,to:'2017-10-13T01:04:52-0600'))&amp;_a=(columns:!('Message%20ID',Summary),filters:!(),index:'emp_*',interval:auto,query:(query_string:(analyze_wildcard:!t,query:'%22rtdc.l.rtdc.4064%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811</v>
      </c>
      <c r="B147" s="7">
        <v>4063</v>
      </c>
      <c r="C147" s="21" t="s">
        <v>194</v>
      </c>
      <c r="D147" s="21" t="s">
        <v>877</v>
      </c>
      <c r="E147" s="13">
        <v>43021.017233796294</v>
      </c>
      <c r="F147" s="13">
        <v>43021.019155092596</v>
      </c>
      <c r="G147" s="7">
        <v>87</v>
      </c>
      <c r="H147" s="21" t="s">
        <v>878</v>
      </c>
      <c r="I147" s="13">
        <v>43021.044930555552</v>
      </c>
      <c r="J147" s="7">
        <v>0</v>
      </c>
      <c r="K147" s="89" t="str">
        <f t="shared" si="58"/>
        <v>4063/4064</v>
      </c>
      <c r="L147" s="185" t="str">
        <f>VLOOKUP(A147,'Trips&amp;Operators'!$C$1:$G$99911,5,FALSE)</f>
        <v>LOZA FIDEL</v>
      </c>
      <c r="M147" s="6">
        <f t="shared" si="59"/>
        <v>2.5775462956517003E-2</v>
      </c>
      <c r="N147" s="7">
        <f t="shared" si="60"/>
        <v>37.116666657384485</v>
      </c>
      <c r="O147" s="7"/>
      <c r="P147" s="7"/>
      <c r="Q147" s="22"/>
      <c r="R147" s="174"/>
      <c r="S147" s="199">
        <f t="shared" si="61"/>
        <v>1</v>
      </c>
      <c r="T147" s="174" t="str">
        <f t="shared" si="62"/>
        <v>Southbound</v>
      </c>
      <c r="U147" s="22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25" t="str">
        <f t="shared" si="63"/>
        <v>https://d0f6bd738d7f1b3e5a7ca70fe4ff75f0.us-east-1.aws.found.io/app/kibana#/discover/Steve-Slow-Train-Analysis-(2080s-and-2083s)?_g=(refreshInterval:(display:Off,pause:!f,section:0,value:0),time:(from:'2017-10-12T23:24:49-0600',mode:absolute,to:'2017-10-13T02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7" s="226" t="str">
        <f>IF(AA147&lt;VLOOKUP(AG147,Variables!$AC$3:$AD$8,2,FALSE),"Y","N")</f>
        <v>N</v>
      </c>
      <c r="X147" s="226">
        <f t="shared" si="64"/>
        <v>1</v>
      </c>
      <c r="Y147" s="226">
        <f t="shared" si="56"/>
        <v>23.307400000000001</v>
      </c>
      <c r="Z147" s="226">
        <f t="shared" si="57"/>
        <v>1.1599999999999999E-2</v>
      </c>
      <c r="AA147" s="226">
        <f t="shared" si="65"/>
        <v>23.2958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6"/>
        <v>240</v>
      </c>
      <c r="AE147" s="77" t="str">
        <f t="shared" si="67"/>
        <v>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 &amp; 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</v>
      </c>
      <c r="AF147" s="74" t="str">
        <f t="shared" si="68"/>
        <v>"C:\Program Files (x86)\AstroGrep\AstroGrep.exe" /e /r /s /spath="%USERPROFILE%\AppData\Local\Temp\OnboardLogs" /stypes="app*4063*20171013*" /stext=" 07:.+((SYSTEM_STATE.+slice.+state.+changed )|(ment ac)|(multiple cpu faults)|(system.+state.+changed )|(\[timeout)|(PRM\|1\|D)|(kpr)|(kdp)|(train st.+moving)|(\|lc)|(penalty))"</v>
      </c>
      <c r="AG147" s="182" t="str">
        <f t="shared" si="69"/>
        <v>EC</v>
      </c>
      <c r="AH147" s="78" t="str">
        <f t="shared" si="70"/>
        <v>"%USERPROFILE%\Documents\GitHub\eaglep3\Utilities\RefineRTDCRunTimes.py" --tripid 240-12 --locoid 4063 --swversion DE.1.0.9.0 --startMP 204:233074 --initTime 2017-10-13T00:24:49 --startdatetime 2017-10-13T00:27:35 --delay 87 --endMP 204:116 --enddatetime 2017-10-13T01:04:42 --enforcementcount 0 &gt;&gt;%USERPROFILE%\Documents\GitHub\eaglep3-reporting\EC\2017-10-12-refined-times.txt</v>
      </c>
      <c r="AI147" s="96" t="str">
        <f t="shared" si="71"/>
        <v>echo {"issue":{"subject":"","project_id":79,"tracker_id":40,"status_id":1,"priority_id":2,"assigned_to_id":338,"start_date":"2017-10-13","description":"","custom_fields":[{"id":1,"name":"Subdivision","value":"EC"},{"id":4,"name":"Milepost","value":"0.0116"},{"id":17,"name":"Train ID","value":"240-12"},{"id":16,"name":"Locomotive ID","value":"4063"},{"id":130,"name":"Impact","value":""},{"id":150,"name":"Time of Event (Mountain Time)","value":"01:04:42"},{"id":151,"name":"Denver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72"/>
        <v>start /low /b %USERPROFILE%\Documents\GitHub\eaglep3\Utilities\DownloadLogsFromS3.py --loco 4063 --day 2017-10-13</v>
      </c>
      <c r="AN147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4"/>
        <v>https://d0f6bd738d7f1b3e5a7ca70fe4ff75f0.us-east-1.aws.found.io/app/kibana#/discover/Steve-Slow-Train-Analysis-(2080s-and-2083s)?_g=(refreshInterval:(display:Off,pause:!f,section:0,value:0),time:(from:'2017-10-12T23:24:49-0600',mode:absolute,to:'2017-10-13T02:04:42-0600'))&amp;_a=(columns:!('Message%20ID',Summary),filters:!(),index:'emp_*',interval:auto,query:(query_string:(analyze_wildcard:!t,query:'%22rtdc.l.rtdc.4063%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808</v>
      </c>
      <c r="B148" s="7">
        <v>4002</v>
      </c>
      <c r="C148" s="21" t="s">
        <v>194</v>
      </c>
      <c r="D148" s="21" t="s">
        <v>435</v>
      </c>
      <c r="E148" s="13">
        <v>43020.991284722222</v>
      </c>
      <c r="F148" s="13">
        <v>43021.000138888892</v>
      </c>
      <c r="G148" s="7">
        <v>53</v>
      </c>
      <c r="H148" s="21" t="s">
        <v>843</v>
      </c>
      <c r="I148" s="13">
        <v>43021.024571759262</v>
      </c>
      <c r="J148" s="7">
        <v>0</v>
      </c>
      <c r="K148" s="89" t="str">
        <f t="shared" si="58"/>
        <v>4001/4002</v>
      </c>
      <c r="L148" s="185" t="str">
        <f>VLOOKUP(A148,'Trips&amp;Operators'!$C$1:$G$99911,5,FALSE)</f>
        <v>ELBAUM MIKE</v>
      </c>
      <c r="M148" s="6">
        <f t="shared" si="59"/>
        <v>2.4432870370219462E-2</v>
      </c>
      <c r="N148" s="7">
        <f t="shared" si="60"/>
        <v>35.183333333116025</v>
      </c>
      <c r="O148" s="7"/>
      <c r="P148" s="7"/>
      <c r="Q148" s="22"/>
      <c r="R148" s="174"/>
      <c r="S148" s="199">
        <f t="shared" si="61"/>
        <v>1</v>
      </c>
      <c r="T148" s="174" t="str">
        <f t="shared" si="62"/>
        <v>NorthBound</v>
      </c>
      <c r="U148" s="22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25" t="str">
        <f t="shared" si="63"/>
        <v>https://d0f6bd738d7f1b3e5a7ca70fe4ff75f0.us-east-1.aws.found.io/app/kibana#/discover/Steve-Slow-Train-Analysis-(2080s-and-2083s)?_g=(refreshInterval:(display:Off,pause:!f,section:0,value:0),time:(from:'2017-10-12T22:47:27-0600',mode:absolute,to:'2017-10-13T01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8" s="226" t="str">
        <f>IF(AA148&lt;VLOOKUP(AG148,Variables!$AC$3:$AD$8,2,FALSE),"Y","N")</f>
        <v>N</v>
      </c>
      <c r="X148" s="226">
        <f t="shared" si="64"/>
        <v>1</v>
      </c>
      <c r="Y148" s="226">
        <f t="shared" si="56"/>
        <v>4.6399999999999997E-2</v>
      </c>
      <c r="Z148" s="226">
        <f t="shared" si="57"/>
        <v>23.333200000000001</v>
      </c>
      <c r="AA148" s="226">
        <f t="shared" si="65"/>
        <v>23.286800000000003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6"/>
        <v>241</v>
      </c>
      <c r="AE148" s="77" t="str">
        <f t="shared" si="67"/>
        <v>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 &amp; aws s3 cp s3://rtdc.mdm.uploadarchive.raw/RTDC4002/ "%USERPROFILE%\AppData\Local\Temp\OnboardLogs"\RTDC4002\2017-10-14 --exclude "*" --recursive --include "*20171014*" &amp; "%USERPROFILE%\Documents\GitHub\mrs-test-scripts\Headless Mode &amp; Sideloading\WalkAndUnGZ.bat" "%USERPROFILE%\AppData\Local\Temp\OnboardLogs"\RTDC4002\2017-10-14</v>
      </c>
      <c r="AF148" s="74" t="str">
        <f t="shared" si="68"/>
        <v>"C:\Program Files (x86)\AstroGrep\AstroGrep.exe" /e /r /s /spath="%USERPROFILE%\AppData\Local\Temp\OnboardLogs" /stypes="app*4002*20171013*" /stext=" 06:.+((SYSTEM_STATE.+slice.+state.+changed )|(ment ac)|(multiple cpu faults)|(system.+state.+changed )|(\[timeout)|(PRM\|1\|D)|(kpr)|(kdp)|(train st.+moving)|(\|lc)|(penalty))"</v>
      </c>
      <c r="AG148" s="182" t="str">
        <f t="shared" si="69"/>
        <v>EC</v>
      </c>
      <c r="AH148" s="78" t="str">
        <f t="shared" si="70"/>
        <v>"%USERPROFILE%\Documents\GitHub\eaglep3\Utilities\RefineRTDCRunTimes.py" --tripid 241-12 --locoid 4002 --swversion DE.1.0.9.0 --startMP 204:464 --initTime 2017-10-12T23:47:27 --startdatetime 2017-10-13T00:00:12 --delay 53 --endMP 204:233332 --enddatetime 2017-10-13T00:35:23 --enforcementcount 0 &gt;&gt;%USERPROFILE%\Documents\GitHub\eaglep3-reporting\EC\2017-10-12-refined-times.txt</v>
      </c>
      <c r="AI148" s="96" t="str">
        <f t="shared" si="71"/>
        <v>echo {"issue":{"subject":"","project_id":79,"tracker_id":40,"status_id":1,"priority_id":2,"assigned_to_id":338,"start_date":"2017-10-13","description":"","custom_fields":[{"id":1,"name":"Subdivision","value":"EC"},{"id":4,"name":"Milepost","value":"23.3332"},{"id":17,"name":"Train ID","value":"241-12"},{"id":16,"name":"Locomotive ID","value":"4002"},{"id":130,"name":"Impact","value":""},{"id":150,"name":"Time of Event (Mountain Time)","value":"00:35:23"},{"id":151,"name":"Denver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72"/>
        <v>start /low /b %USERPROFILE%\Documents\GitHub\eaglep3\Utilities\DownloadLogsFromS3.py --loco 4002 --day 2017-10-13</v>
      </c>
      <c r="AN148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06:35:23"},{"id":29,"name":"Sharepoint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4"/>
        <v>https://d0f6bd738d7f1b3e5a7ca70fe4ff75f0.us-east-1.aws.found.io/app/kibana#/discover/Steve-Slow-Train-Analysis-(2080s-and-2083s)?_g=(refreshInterval:(display:Off,pause:!f,section:0,value:0),time:(from:'2017-10-12T22:47:27-0600',mode:absolute,to:'2017-10-13T01:35:23-0600'))&amp;_a=(columns:!('Message%20ID',Summary),filters:!(),index:'emp_*',interval:auto,query:(query_string:(analyze_wildcard:!t,query:'%22rtdc.l.rtdc.4002%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812</v>
      </c>
      <c r="B149" s="7">
        <v>4001</v>
      </c>
      <c r="C149" s="21" t="s">
        <v>194</v>
      </c>
      <c r="D149" s="21" t="s">
        <v>879</v>
      </c>
      <c r="E149" s="13">
        <v>43021.025567129633</v>
      </c>
      <c r="F149" s="13">
        <v>43021.039722222224</v>
      </c>
      <c r="G149" s="7">
        <v>68</v>
      </c>
      <c r="H149" s="21" t="s">
        <v>339</v>
      </c>
      <c r="I149" s="13">
        <v>43021.065370370372</v>
      </c>
      <c r="J149" s="7">
        <v>0</v>
      </c>
      <c r="K149" s="89" t="str">
        <f t="shared" si="58"/>
        <v>4001/4002</v>
      </c>
      <c r="L149" s="185" t="str">
        <f>VLOOKUP(A149,'Trips&amp;Operators'!$C$1:$G$99911,5,FALSE)</f>
        <v>ELBAUM MIKE</v>
      </c>
      <c r="M149" s="6">
        <f t="shared" si="59"/>
        <v>2.5648148148320615E-2</v>
      </c>
      <c r="N149" s="7">
        <f t="shared" si="60"/>
        <v>36.933333333581686</v>
      </c>
      <c r="O149" s="7"/>
      <c r="P149" s="7"/>
      <c r="Q149" s="22"/>
      <c r="R149" s="174"/>
      <c r="S149" s="199">
        <f t="shared" si="61"/>
        <v>1</v>
      </c>
      <c r="T149" s="174" t="str">
        <f t="shared" si="62"/>
        <v>Southbound</v>
      </c>
      <c r="U149" s="22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25" t="str">
        <f t="shared" si="63"/>
        <v>https://d0f6bd738d7f1b3e5a7ca70fe4ff75f0.us-east-1.aws.found.io/app/kibana#/discover/Steve-Slow-Train-Analysis-(2080s-and-2083s)?_g=(refreshInterval:(display:Off,pause:!f,section:0,value:0),time:(from:'2017-10-12T23:36:49-0600',mode:absolute,to:'2017-10-13T02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9" s="226" t="str">
        <f>IF(AA149&lt;VLOOKUP(AG149,Variables!$AC$3:$AD$8,2,FALSE),"Y","N")</f>
        <v>N</v>
      </c>
      <c r="X149" s="226">
        <f t="shared" si="64"/>
        <v>1</v>
      </c>
      <c r="Y149" s="226">
        <f t="shared" si="56"/>
        <v>23.301500000000001</v>
      </c>
      <c r="Z149" s="226">
        <f t="shared" si="57"/>
        <v>1.47E-2</v>
      </c>
      <c r="AA149" s="226">
        <f t="shared" si="65"/>
        <v>23.286799999999999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66"/>
        <v>242</v>
      </c>
      <c r="AE149" s="77" t="str">
        <f t="shared" si="67"/>
        <v>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 &amp; aws s3 cp s3://rtdc.mdm.uploadarchive.raw/RTDC4001/ "%USERPROFILE%\AppData\Local\Temp\OnboardLogs"\RTDC4001\2017-10-14 --exclude "*" --recursive --include "*20171014*" &amp; "%USERPROFILE%\Documents\GitHub\mrs-test-scripts\Headless Mode &amp; Sideloading\WalkAndUnGZ.bat" "%USERPROFILE%\AppData\Local\Temp\OnboardLogs"\RTDC4001\2017-10-14</v>
      </c>
      <c r="AF149" s="74" t="str">
        <f t="shared" si="68"/>
        <v>"C:\Program Files (x86)\AstroGrep\AstroGrep.exe" /e /r /s /spath="%USERPROFILE%\AppData\Local\Temp\OnboardLogs" /stypes="app*4001*20171013*" /stext=" 07:.+((SYSTEM_STATE.+slice.+state.+changed )|(ment ac)|(multiple cpu faults)|(system.+state.+changed )|(\[timeout)|(PRM\|1\|D)|(kpr)|(kdp)|(train st.+moving)|(\|lc)|(penalty))"</v>
      </c>
      <c r="AG149" s="182" t="str">
        <f t="shared" si="69"/>
        <v>EC</v>
      </c>
      <c r="AH149" s="78" t="str">
        <f t="shared" si="70"/>
        <v>"%USERPROFILE%\Documents\GitHub\eaglep3\Utilities\RefineRTDCRunTimes.py" --tripid 242-12 --locoid 4001 --swversion DE.1.0.9.0 --startMP 204:233015 --initTime 2017-10-13T00:36:49 --startdatetime 2017-10-13T00:57:12 --delay 68 --endMP 204:147 --enddatetime 2017-10-13T01:34:08 --enforcementcount 0 &gt;&gt;%USERPROFILE%\Documents\GitHub\eaglep3-reporting\EC\2017-10-12-refined-times.txt</v>
      </c>
      <c r="AI149" s="96" t="str">
        <f t="shared" si="71"/>
        <v>echo {"issue":{"subject":"","project_id":79,"tracker_id":40,"status_id":1,"priority_id":2,"assigned_to_id":338,"start_date":"2017-10-13","description":"","custom_fields":[{"id":1,"name":"Subdivision","value":"EC"},{"id":4,"name":"Milepost","value":"0.0147"},{"id":17,"name":"Train ID","value":"242-12"},{"id":16,"name":"Locomotive ID","value":"4001"},{"id":130,"name":"Impact","value":""},{"id":150,"name":"Time of Event (Mountain Time)","value":"01:34:08"},{"id":151,"name":"Denver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72"/>
        <v>start /low /b %USERPROFILE%\Documents\GitHub\eaglep3\Utilities\DownloadLogsFromS3.py --loco 4001 --day 2017-10-13</v>
      </c>
      <c r="AN149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4"/>
        <v>https://d0f6bd738d7f1b3e5a7ca70fe4ff75f0.us-east-1.aws.found.io/app/kibana#/discover/Steve-Slow-Train-Analysis-(2080s-and-2083s)?_g=(refreshInterval:(display:Off,pause:!f,section:0,value:0),time:(from:'2017-10-12T23:36:49-0600',mode:absolute,to:'2017-10-13T02:34:08-0600'))&amp;_a=(columns:!('Message%20ID',Summary),filters:!(),index:'emp_*',interval:auto,query:(query_string:(analyze_wildcard:!t,query:'%22rtdc.l.rtdc.4001%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810</v>
      </c>
      <c r="B150" s="7">
        <v>4052</v>
      </c>
      <c r="C150" s="21" t="s">
        <v>194</v>
      </c>
      <c r="D150" s="21" t="s">
        <v>879</v>
      </c>
      <c r="E150" s="13">
        <v>43021.025567129633</v>
      </c>
      <c r="F150" s="13">
        <v>43021.020995370367</v>
      </c>
      <c r="G150" s="7">
        <v>68</v>
      </c>
      <c r="H150" s="21" t="s">
        <v>339</v>
      </c>
      <c r="I150" s="13">
        <v>43021.045289351852</v>
      </c>
      <c r="J150" s="7">
        <v>0</v>
      </c>
      <c r="K150" s="89" t="str">
        <f t="shared" si="58"/>
        <v>4051/4052</v>
      </c>
      <c r="L150" s="185" t="str">
        <f>VLOOKUP(A150,'Trips&amp;Operators'!$C$1:$G$99911,5,FALSE)</f>
        <v>MCREYNOLDS KYLE</v>
      </c>
      <c r="M150" s="6">
        <f t="shared" si="59"/>
        <v>2.4293981485243421E-2</v>
      </c>
      <c r="N150" s="7">
        <f t="shared" si="60"/>
        <v>34.983333338750526</v>
      </c>
      <c r="O150" s="7"/>
      <c r="P150" s="7"/>
      <c r="Q150" s="22"/>
      <c r="R150" s="174"/>
      <c r="S150" s="199">
        <f t="shared" si="61"/>
        <v>1</v>
      </c>
      <c r="T150" s="174" t="str">
        <f t="shared" si="62"/>
        <v>NorthBound</v>
      </c>
      <c r="U150" s="22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25" t="str">
        <f t="shared" si="63"/>
        <v>https://d0f6bd738d7f1b3e5a7ca70fe4ff75f0.us-east-1.aws.found.io/app/kibana#/discover/Steve-Slow-Train-Analysis-(2080s-and-2083s)?_g=(refreshInterval:(display:Off,pause:!f,section:0,value:0),time:(from:'2017-10-12T23:36:49-0600',mode:absolute,to:'2017-10-13T02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0" s="226" t="str">
        <f>IF(AA150&lt;VLOOKUP(AG150,Variables!$AC$3:$AD$8,2,FALSE),"Y","N")</f>
        <v>N</v>
      </c>
      <c r="X150" s="226">
        <f t="shared" si="64"/>
        <v>1</v>
      </c>
      <c r="Y150" s="226">
        <v>4.6399999999999997E-2</v>
      </c>
      <c r="Z150" s="226">
        <v>23.333200000000001</v>
      </c>
      <c r="AA150" s="226">
        <f t="shared" si="65"/>
        <v>23.286800000000003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66"/>
        <v>243</v>
      </c>
      <c r="AE150" s="77" t="str">
        <f t="shared" si="67"/>
        <v>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 &amp; aws s3 cp s3://rtdc.mdm.uploadarchive.raw/RTDC4052/ "%USERPROFILE%\AppData\Local\Temp\OnboardLogs"\RTDC4052\2017-10-14 --exclude "*" --recursive --include "*20171014*" &amp; "%USERPROFILE%\Documents\GitHub\mrs-test-scripts\Headless Mode &amp; Sideloading\WalkAndUnGZ.bat" "%USERPROFILE%\AppData\Local\Temp\OnboardLogs"\RTDC4052\2017-10-14</v>
      </c>
      <c r="AF150" s="74" t="str">
        <f t="shared" si="68"/>
        <v>"C:\Program Files (x86)\AstroGrep\AstroGrep.exe" /e /r /s /spath="%USERPROFILE%\AppData\Local\Temp\OnboardLogs" /stypes="app*4052*20171013*" /stext=" 07:.+((SYSTEM_STATE.+slice.+state.+changed )|(ment ac)|(multiple cpu faults)|(system.+state.+changed )|(\[timeout)|(PRM\|1\|D)|(kpr)|(kdp)|(train st.+moving)|(\|lc)|(penalty))"</v>
      </c>
      <c r="AG150" s="182" t="str">
        <f t="shared" si="69"/>
        <v>EC</v>
      </c>
      <c r="AH150" s="78" t="str">
        <f t="shared" ref="AH150" si="75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243-12 --locoid 4052 --swversion DE.1.0.9.0 --startMP 204:233015 --initTime 2017-10-13T00:36:49 --startdatetime 2017-10-13T00:30:14 --delay 68 --endMP 204:147 --enddatetime 2017-10-13T01:05:13 --enforcementcount 0 &gt;&gt;%USERPROFILE%\Documents\GitHub\eaglep3-reporting\EC\2017-10-12-refined-times.txt</v>
      </c>
      <c r="AI150" s="96" t="str">
        <f t="shared" ref="AI150" si="76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{"issue":{"subject":"","project_id":79,"tracker_id":40,"status_id":1,"priority_id":2,"assigned_to_id":338,"start_date":"2017-10-13","description":"","custom_fields":[{"id":1,"name":"Subdivision","value":"EC"},{"id":4,"name":"Milepost","value":"23.3332"},{"id":17,"name":"Train ID","value":"243-12"},{"id":16,"name":"Locomotive ID","value":"4052"},{"id":130,"name":"Impact","value":""},{"id":150,"name":"Time of Event (Mountain Time)","value":"01:05:13"},{"id":151,"name":"Denver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ref="AM150" si="77">"start /low /b "&amp;dls3logs&amp;" --loco "&amp;B150&amp;" --day "&amp;TEXT(F150,"YYYY-MM-DD")</f>
        <v>start /low /b %USERPROFILE%\Documents\GitHub\eaglep3\Utilities\DownloadLogsFromS3.py --loco 4052 --day 2017-10-13</v>
      </c>
      <c r="AN150" s="151" t="str">
        <f t="shared" ref="AN150" si="78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ref="AO150" si="79"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-12T23:36:49-0600',mode:absolute,to:'2017-10-13T02:05:13-0600'))&amp;_a=(columns:!('Message%20ID',Summary),filters:!(),index:'emp_*',interval:auto,query:(query_string:(analyze_wildcard:!t,query:'%22rtdc.l.rtdc.4052%22')),sort:!(Time.ISO8601,asc))</v>
      </c>
    </row>
    <row r="151" spans="1:91" s="20" customFormat="1" x14ac:dyDescent="0.25">
      <c r="A151" s="32" t="s">
        <v>815</v>
      </c>
      <c r="B151" s="7">
        <v>4051</v>
      </c>
      <c r="C151" s="21" t="s">
        <v>194</v>
      </c>
      <c r="D151" s="21" t="s">
        <v>880</v>
      </c>
      <c r="E151" s="13">
        <v>43021.055104166669</v>
      </c>
      <c r="F151" s="13">
        <v>43021.060578703706</v>
      </c>
      <c r="G151" s="7">
        <v>111</v>
      </c>
      <c r="H151" s="21" t="s">
        <v>364</v>
      </c>
      <c r="I151" s="13">
        <v>43021.086516203701</v>
      </c>
      <c r="J151" s="7">
        <v>0</v>
      </c>
      <c r="K151" s="89" t="str">
        <f t="shared" si="58"/>
        <v>4051/4052</v>
      </c>
      <c r="L151" s="185" t="str">
        <f>VLOOKUP(A151,'Trips&amp;Operators'!$C$1:$G$99911,5,FALSE)</f>
        <v>MCREYNOLDS KYLE</v>
      </c>
      <c r="M151" s="6">
        <f t="shared" si="59"/>
        <v>2.5937499995052349E-2</v>
      </c>
      <c r="N151" s="7">
        <f t="shared" si="60"/>
        <v>37.349999992875382</v>
      </c>
      <c r="O151" s="7"/>
      <c r="P151" s="7"/>
      <c r="Q151" s="22"/>
      <c r="R151" s="174"/>
      <c r="S151" s="199">
        <f t="shared" si="61"/>
        <v>1</v>
      </c>
      <c r="T151" s="174" t="str">
        <f t="shared" si="62"/>
        <v>Southbound</v>
      </c>
      <c r="U151" s="22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25" t="str">
        <f t="shared" si="63"/>
        <v>https://d0f6bd738d7f1b3e5a7ca70fe4ff75f0.us-east-1.aws.found.io/app/kibana#/discover/Steve-Slow-Train-Analysis-(2080s-and-2083s)?_g=(refreshInterval:(display:Off,pause:!f,section:0,value:0),time:(from:'2017-10-13T00:19:21-0600',mode:absolute,to:'2017-10-13T03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1" s="226" t="str">
        <f>IF(AA151&lt;VLOOKUP(AG151,Variables!$AC$3:$AD$8,2,FALSE),"Y","N")</f>
        <v>N</v>
      </c>
      <c r="X151" s="226">
        <f t="shared" si="64"/>
        <v>1</v>
      </c>
      <c r="Y151" s="226">
        <f t="shared" ref="Y151:Y180" si="80">RIGHT(D151,LEN(D151)-4)/10000</f>
        <v>23.307200000000002</v>
      </c>
      <c r="Z151" s="226">
        <f t="shared" ref="Z151:Z180" si="81">RIGHT(H151,LEN(H151)-4)/10000</f>
        <v>1.5800000000000002E-2</v>
      </c>
      <c r="AA151" s="226">
        <f t="shared" si="65"/>
        <v>23.291400000000003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6"/>
        <v>244</v>
      </c>
      <c r="AE151" s="77" t="str">
        <f t="shared" si="67"/>
        <v>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 &amp; aws s3 cp s3://rtdc.mdm.uploadarchive.raw/RTDC4051/ "%USERPROFILE%\AppData\Local\Temp\OnboardLogs"\RTDC4051\2017-10-14 --exclude "*" --recursive --include "*20171014*" &amp; "%USERPROFILE%\Documents\GitHub\mrs-test-scripts\Headless Mode &amp; Sideloading\WalkAndUnGZ.bat" "%USERPROFILE%\AppData\Local\Temp\OnboardLogs"\RTDC4051\2017-10-14</v>
      </c>
      <c r="AF151" s="74" t="str">
        <f t="shared" si="68"/>
        <v>"C:\Program Files (x86)\AstroGrep\AstroGrep.exe" /e /r /s /spath="%USERPROFILE%\AppData\Local\Temp\OnboardLogs" /stypes="app*4051*20171013*" /stext=" 08:.+((SYSTEM_STATE.+slice.+state.+changed )|(ment ac)|(multiple cpu faults)|(system.+state.+changed )|(\[timeout)|(PRM\|1\|D)|(kpr)|(kdp)|(train st.+moving)|(\|lc)|(penalty))"</v>
      </c>
      <c r="AG151" s="182" t="str">
        <f t="shared" si="69"/>
        <v>EC</v>
      </c>
      <c r="AH151" s="78" t="str">
        <f t="shared" si="70"/>
        <v>"%USERPROFILE%\Documents\GitHub\eaglep3\Utilities\RefineRTDCRunTimes.py" --tripid 244-12 --locoid 4051 --swversion DE.1.0.9.0 --startMP 204:233072 --initTime 2017-10-13T01:19:21 --startdatetime 2017-10-13T01:27:14 --delay 111 --endMP 204:158 --enddatetime 2017-10-13T02:04:35 --enforcementcount 0 &gt;&gt;%USERPROFILE%\Documents\GitHub\eaglep3-reporting\EC\2017-10-12-refined-times.txt</v>
      </c>
      <c r="AI151" s="96" t="str">
        <f t="shared" si="71"/>
        <v>echo {"issue":{"subject":"","project_id":79,"tracker_id":40,"status_id":1,"priority_id":2,"assigned_to_id":338,"start_date":"2017-10-13","description":"","custom_fields":[{"id":1,"name":"Subdivision","value":"EC"},{"id":4,"name":"Milepost","value":"0.0158"},{"id":17,"name":"Train ID","value":"244-12"},{"id":16,"name":"Locomotive ID","value":"4051"},{"id":130,"name":"Impact","value":""},{"id":150,"name":"Time of Event (Mountain Time)","value":"02:04:35"},{"id":151,"name":"Denver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72"/>
        <v>start /low /b %USERPROFILE%\Documents\GitHub\eaglep3\Utilities\DownloadLogsFromS3.py --loco 4051 --day 2017-10-13</v>
      </c>
      <c r="AN151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08:04:35"},{"id":29,"name":"Sharepoint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4"/>
        <v>https://d0f6bd738d7f1b3e5a7ca70fe4ff75f0.us-east-1.aws.found.io/app/kibana#/discover/Steve-Slow-Train-Analysis-(2080s-and-2083s)?_g=(refreshInterval:(display:Off,pause:!f,section:0,value:0),time:(from:'2017-10-13T00:19:21-0600',mode:absolute,to:'2017-10-13T03:04:35-0600'))&amp;_a=(columns:!('Message%20ID',Summary),filters:!(),index:'emp_*',interval:auto,query:(query_string:(analyze_wildcard:!t,query:'%22rtdc.l.rtdc.4051%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626</v>
      </c>
      <c r="B152" s="7">
        <v>4029</v>
      </c>
      <c r="C152" s="21" t="s">
        <v>194</v>
      </c>
      <c r="D152" s="21" t="s">
        <v>907</v>
      </c>
      <c r="E152" s="13">
        <v>43020.213969907411</v>
      </c>
      <c r="F152" s="13">
        <v>43020.216284722221</v>
      </c>
      <c r="G152" s="7">
        <v>75</v>
      </c>
      <c r="H152" s="21" t="s">
        <v>908</v>
      </c>
      <c r="I152" s="13">
        <v>43020.228206018517</v>
      </c>
      <c r="J152" s="7">
        <v>0</v>
      </c>
      <c r="K152" s="89" t="str">
        <f t="shared" si="58"/>
        <v>4029/4030</v>
      </c>
      <c r="L152" s="185" t="str">
        <f>VLOOKUP(A152,'Trips&amp;Operators'!$C$1:$G$99911,5,FALSE)</f>
        <v>DAVIS WENDY</v>
      </c>
      <c r="M152" s="6">
        <f t="shared" si="59"/>
        <v>1.1921296296350192E-2</v>
      </c>
      <c r="N152" s="7">
        <f t="shared" si="60"/>
        <v>17.166666666744277</v>
      </c>
      <c r="O152" s="7"/>
      <c r="P152" s="7"/>
      <c r="Q152" s="22"/>
      <c r="R152" s="174"/>
      <c r="S152" s="199">
        <f t="shared" si="61"/>
        <v>1</v>
      </c>
      <c r="T152" s="174" t="str">
        <f t="shared" si="62"/>
        <v>Southbound</v>
      </c>
      <c r="U152" s="22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225" t="str">
        <f t="shared" si="63"/>
        <v>https://d0f6bd738d7f1b3e5a7ca70fe4ff75f0.us-east-1.aws.found.io/app/kibana#/discover/Steve-Slow-Train-Analysis-(2080s-and-2083s)?_g=(refreshInterval:(display:Off,pause:!f,section:0,value:0),time:(from:'2017-10-12T04:08:07-0600',mode:absolute,to:'2017-10-12T06:28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226" t="str">
        <f>IF(AA152&lt;VLOOKUP(AG152,Variables!$AC$3:$AD$8,2,FALSE),"Y","N")</f>
        <v>N</v>
      </c>
      <c r="X152" s="226">
        <f t="shared" si="64"/>
        <v>556</v>
      </c>
      <c r="Y152" s="226">
        <f t="shared" si="80"/>
        <v>5.87</v>
      </c>
      <c r="Z152" s="226">
        <f t="shared" si="81"/>
        <v>7.17E-2</v>
      </c>
      <c r="AA152" s="226">
        <f t="shared" si="65"/>
        <v>5.7983000000000002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6"/>
        <v>800</v>
      </c>
      <c r="AE152" s="77" t="str">
        <f t="shared" si="67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52" s="74" t="str">
        <f t="shared" si="68"/>
        <v>"C:\Program Files (x86)\AstroGrep\AstroGrep.exe" /e /r /s /spath="%USERPROFILE%\AppData\Local\Temp\OnboardLogs" /stypes="app*4029*20171012*" /stext=" 11:.+((SYSTEM_STATE.+slice.+state.+changed )|(ment ac)|(multiple cpu faults)|(system.+state.+changed )|(\[timeout)|(PRM\|1\|D)|(kpr)|(kdp)|(train st.+moving)|(\|lc)|(penalty))"</v>
      </c>
      <c r="AG152" s="182" t="str">
        <f t="shared" si="69"/>
        <v>NW</v>
      </c>
      <c r="AH152" s="78" t="str">
        <f t="shared" si="70"/>
        <v>"%USERPROFILE%\Documents\GitHub\eaglep3\Utilities\RefineRTDCRunTimes.py" --tripid 800-12 --locoid 4029 --swversion DE.1.0.9.0 --startMP 300:58700 --initTime 2017-10-12T05:08:07 --startdatetime 2017-10-12T05:11:27 --delay 75 --endMP 204:717 --enddatetime 2017-10-12T05:28:37 --enforcementcount 0 &gt;&gt;%USERPROFILE%\Documents\GitHub\eaglep3-reporting\EC\2017-10-12-refined-times.txt</v>
      </c>
      <c r="AI152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{"issue":{"subject":"","project_id":79,"tracker_id":40,"status_id":1,"priority_id":2,"assigned_to_id":338,"start_date":"2017-10-12","description":"","custom_fields":[{"id":1,"name":"Subdivision","value":"NW"},{"id":4,"name":"Milepost","value":"0.0717"},{"id":17,"name":"Train ID","value":"800-12"},{"id":16,"name":"Locomotive ID","value":"4029"},{"id":130,"name":"Impact","value":""},{"id":150,"name":"Time of Event (Mountain Time)","value":"05:28:37"},{"id":151,"name":"Denver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72"/>
        <v>start /low /b %USERPROFILE%\Documents\GitHub\eaglep3\Utilities\DownloadLogsFromS3.py --loco 4029 --day 2017-10-12</v>
      </c>
      <c r="AN152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11:28:37"},{"id":29,"name":"Sharepoint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4"/>
        <v>https://d0f6bd738d7f1b3e5a7ca70fe4ff75f0.us-east-1.aws.found.io/app/kibana#/discover/Steve-Slow-Train-Analysis-(2080s-and-2083s)?_g=(refreshInterval:(display:Off,pause:!f,section:0,value:0),time:(from:'2017-10-12T04:08:07-0600',mode:absolute,to:'2017-10-12T06:28:37-0600'))&amp;_a=(columns:!('Message%20ID',Summary),filters:!(),index:'emp_*',interval:auto,query:(query_string:(analyze_wildcard:!t,query:'%22rtdc.l.rtdc.4029%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563</v>
      </c>
      <c r="B153" s="7">
        <v>4030</v>
      </c>
      <c r="C153" s="21" t="s">
        <v>194</v>
      </c>
      <c r="D153" s="21" t="s">
        <v>909</v>
      </c>
      <c r="E153" s="13">
        <v>43020.230509259258</v>
      </c>
      <c r="F153" s="13">
        <v>43020.235636574071</v>
      </c>
      <c r="G153" s="7">
        <v>53</v>
      </c>
      <c r="H153" s="21" t="s">
        <v>910</v>
      </c>
      <c r="I153" s="13">
        <v>43020.246736111112</v>
      </c>
      <c r="J153" s="7">
        <v>0</v>
      </c>
      <c r="K153" s="89" t="str">
        <f t="shared" si="58"/>
        <v>4029/4030</v>
      </c>
      <c r="L153" s="185" t="str">
        <f>VLOOKUP(A153,'Trips&amp;Operators'!$C$1:$G$99911,5,FALSE)</f>
        <v>DAVIS WENDY</v>
      </c>
      <c r="M153" s="6">
        <f t="shared" si="59"/>
        <v>1.1099537041445728E-2</v>
      </c>
      <c r="N153" s="7">
        <f t="shared" si="60"/>
        <v>15.983333339681849</v>
      </c>
      <c r="O153" s="7"/>
      <c r="P153" s="7"/>
      <c r="Q153" s="22"/>
      <c r="R153" s="174"/>
      <c r="S153" s="199">
        <f t="shared" si="61"/>
        <v>1</v>
      </c>
      <c r="T153" s="174" t="str">
        <f t="shared" si="62"/>
        <v>NorthBound</v>
      </c>
      <c r="U153" s="22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225" t="str">
        <f t="shared" si="63"/>
        <v>https://d0f6bd738d7f1b3e5a7ca70fe4ff75f0.us-east-1.aws.found.io/app/kibana#/discover/Steve-Slow-Train-Analysis-(2080s-and-2083s)?_g=(refreshInterval:(display:Off,pause:!f,section:0,value:0),time:(from:'2017-10-12T04:31:56-0600',mode:absolute,to:'2017-10-12T06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226" t="str">
        <f>IF(AA153&lt;VLOOKUP(AG153,Variables!$AC$3:$AD$8,2,FALSE),"Y","N")</f>
        <v>N</v>
      </c>
      <c r="X153" s="226">
        <f t="shared" si="64"/>
        <v>1</v>
      </c>
      <c r="Y153" s="226">
        <f t="shared" si="80"/>
        <v>0.1018</v>
      </c>
      <c r="Z153" s="226">
        <f t="shared" si="81"/>
        <v>5.9013999999999998</v>
      </c>
      <c r="AA153" s="226">
        <f t="shared" si="65"/>
        <v>5.7995999999999999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6"/>
        <v>801</v>
      </c>
      <c r="AE153" s="77" t="str">
        <f t="shared" si="67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53" s="74" t="str">
        <f t="shared" si="68"/>
        <v>"C:\Program Files (x86)\AstroGrep\AstroGrep.exe" /e /r /s /spath="%USERPROFILE%\AppData\Local\Temp\OnboardLogs" /stypes="app*4030*20171012*" /stext=" 11:.+((SYSTEM_STATE.+slice.+state.+changed )|(ment ac)|(multiple cpu faults)|(system.+state.+changed )|(\[timeout)|(PRM\|1\|D)|(kpr)|(kdp)|(train st.+moving)|(\|lc)|(penalty))"</v>
      </c>
      <c r="AG153" s="182" t="str">
        <f t="shared" si="69"/>
        <v>NW</v>
      </c>
      <c r="AH153" s="78" t="str">
        <f t="shared" si="70"/>
        <v>"%USERPROFILE%\Documents\GitHub\eaglep3\Utilities\RefineRTDCRunTimes.py" --tripid 801-12 --locoid 4030 --swversion DE.1.0.9.0 --startMP 204:1018 --initTime 2017-10-12T05:31:56 --startdatetime 2017-10-12T05:39:19 --delay 53 --endMP 300:59014 --enddatetime 2017-10-12T05:55:18 --enforcementcount 0 &gt;&gt;%USERPROFILE%\Documents\GitHub\eaglep3-reporting\EC\2017-10-12-refined-times.txt</v>
      </c>
      <c r="AI153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{"issue":{"subject":"","project_id":79,"tracker_id":40,"status_id":1,"priority_id":2,"assigned_to_id":338,"start_date":"2017-10-12","description":"","custom_fields":[{"id":1,"name":"Subdivision","value":"NW"},{"id":4,"name":"Milepost","value":"5.9014"},{"id":17,"name":"Train ID","value":"801-12"},{"id":16,"name":"Locomotive ID","value":"4030"},{"id":130,"name":"Impact","value":""},{"id":150,"name":"Time of Event (Mountain Time)","value":"05:55:18"},{"id":151,"name":"Denver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72"/>
        <v>start /low /b %USERPROFILE%\Documents\GitHub\eaglep3\Utilities\DownloadLogsFromS3.py --loco 4030 --day 2017-10-12</v>
      </c>
      <c r="AN153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4"/>
        <v>https://d0f6bd738d7f1b3e5a7ca70fe4ff75f0.us-east-1.aws.found.io/app/kibana#/discover/Steve-Slow-Train-Analysis-(2080s-and-2083s)?_g=(refreshInterval:(display:Off,pause:!f,section:0,value:0),time:(from:'2017-10-12T04:31:56-0600',mode:absolute,to:'2017-10-12T06:55:18-0600'))&amp;_a=(columns:!('Message%20ID',Summary),filters:!(),index:'emp_*',interval:auto,query:(query_string:(analyze_wildcard:!t,query:'%22rtdc.l.rtdc.4030%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636</v>
      </c>
      <c r="B154" s="7">
        <v>4029</v>
      </c>
      <c r="C154" s="21" t="s">
        <v>194</v>
      </c>
      <c r="D154" s="21" t="s">
        <v>911</v>
      </c>
      <c r="E154" s="13">
        <v>43020.248217592591</v>
      </c>
      <c r="F154" s="13">
        <v>43020.259085648147</v>
      </c>
      <c r="G154" s="7">
        <v>56</v>
      </c>
      <c r="H154" s="21" t="s">
        <v>912</v>
      </c>
      <c r="I154" s="13">
        <v>43020.268263888887</v>
      </c>
      <c r="J154" s="7">
        <v>0</v>
      </c>
      <c r="K154" s="89" t="str">
        <f t="shared" si="58"/>
        <v>4029/4030</v>
      </c>
      <c r="L154" s="185" t="str">
        <f>VLOOKUP(A154,'Trips&amp;Operators'!$C$1:$G$99911,5,FALSE)</f>
        <v>DAVIS WENDY</v>
      </c>
      <c r="M154" s="6">
        <f t="shared" si="59"/>
        <v>9.1782407398568466E-3</v>
      </c>
      <c r="N154" s="7">
        <f t="shared" si="60"/>
        <v>13.216666665393859</v>
      </c>
      <c r="O154" s="7"/>
      <c r="P154" s="7"/>
      <c r="Q154" s="22"/>
      <c r="R154" s="174"/>
      <c r="S154" s="199">
        <f t="shared" si="61"/>
        <v>1</v>
      </c>
      <c r="T154" s="174" t="str">
        <f t="shared" si="62"/>
        <v>Southbound</v>
      </c>
      <c r="U154" s="22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225" t="str">
        <f t="shared" si="63"/>
        <v>https://d0f6bd738d7f1b3e5a7ca70fe4ff75f0.us-east-1.aws.found.io/app/kibana#/discover/Steve-Slow-Train-Analysis-(2080s-and-2083s)?_g=(refreshInterval:(display:Off,pause:!f,section:0,value:0),time:(from:'2017-10-12T04:57:26-0600',mode:absolute,to:'2017-10-12T07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226" t="str">
        <f>IF(AA154&lt;VLOOKUP(AG154,Variables!$AC$3:$AD$8,2,FALSE),"Y","N")</f>
        <v>N</v>
      </c>
      <c r="X154" s="226">
        <f t="shared" si="64"/>
        <v>1</v>
      </c>
      <c r="Y154" s="226">
        <f t="shared" si="80"/>
        <v>5.8689999999999998</v>
      </c>
      <c r="Z154" s="226">
        <f t="shared" si="81"/>
        <v>6.6299999999999998E-2</v>
      </c>
      <c r="AA154" s="226">
        <f t="shared" si="65"/>
        <v>5.8026999999999997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6"/>
        <v>802</v>
      </c>
      <c r="AE154" s="77" t="str">
        <f t="shared" si="67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54" s="74" t="str">
        <f t="shared" si="68"/>
        <v>"C:\Program Files (x86)\AstroGrep\AstroGrep.exe" /e /r /s /spath="%USERPROFILE%\AppData\Local\Temp\OnboardLogs" /stypes="app*4029*20171012*" /stext=" 12:.+((SYSTEM_STATE.+slice.+state.+changed )|(ment ac)|(multiple cpu faults)|(system.+state.+changed )|(\[timeout)|(PRM\|1\|D)|(kpr)|(kdp)|(train st.+moving)|(\|lc)|(penalty))"</v>
      </c>
      <c r="AG154" s="182" t="str">
        <f t="shared" si="69"/>
        <v>NW</v>
      </c>
      <c r="AH154" s="78" t="str">
        <f t="shared" si="70"/>
        <v>"%USERPROFILE%\Documents\GitHub\eaglep3\Utilities\RefineRTDCRunTimes.py" --tripid 802-12 --locoid 4029 --swversion DE.1.0.9.0 --startMP 300:58690 --initTime 2017-10-12T05:57:26 --startdatetime 2017-10-12T06:13:05 --delay 56 --endMP 204:663 --enddatetime 2017-10-12T06:26:18 --enforcementcount 0 &gt;&gt;%USERPROFILE%\Documents\GitHub\eaglep3-reporting\EC\2017-10-12-refined-times.txt</v>
      </c>
      <c r="AI154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{"issue":{"subject":"","project_id":79,"tracker_id":40,"status_id":1,"priority_id":2,"assigned_to_id":338,"start_date":"2017-10-12","description":"","custom_fields":[{"id":1,"name":"Subdivision","value":"NW"},{"id":4,"name":"Milepost","value":"0.0663"},{"id":17,"name":"Train ID","value":"802-12"},{"id":16,"name":"Locomotive ID","value":"4029"},{"id":130,"name":"Impact","value":""},{"id":150,"name":"Time of Event (Mountain Time)","value":"06:26:18"},{"id":151,"name":"Denver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72"/>
        <v>start /low /b %USERPROFILE%\Documents\GitHub\eaglep3\Utilities\DownloadLogsFromS3.py --loco 4029 --day 2017-10-12</v>
      </c>
      <c r="AN154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4"/>
        <v>https://d0f6bd738d7f1b3e5a7ca70fe4ff75f0.us-east-1.aws.found.io/app/kibana#/discover/Steve-Slow-Train-Analysis-(2080s-and-2083s)?_g=(refreshInterval:(display:Off,pause:!f,section:0,value:0),time:(from:'2017-10-12T04:57:26-0600',mode:absolute,to:'2017-10-12T07:26:18-0600'))&amp;_a=(columns:!('Message%20ID',Summary),filters:!(),index:'emp_*',interval:auto,query:(query_string:(analyze_wildcard:!t,query:'%22rtdc.l.rtdc.4029%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637</v>
      </c>
      <c r="B155" s="7">
        <v>4042</v>
      </c>
      <c r="C155" s="21" t="s">
        <v>194</v>
      </c>
      <c r="D155" s="21" t="s">
        <v>913</v>
      </c>
      <c r="E155" s="13">
        <v>43020.249374999999</v>
      </c>
      <c r="F155" s="13">
        <v>43020.256655092591</v>
      </c>
      <c r="G155" s="7">
        <v>60</v>
      </c>
      <c r="H155" s="21" t="s">
        <v>914</v>
      </c>
      <c r="I155" s="13">
        <v>43020.267118055555</v>
      </c>
      <c r="J155" s="7">
        <v>0</v>
      </c>
      <c r="K155" s="89" t="str">
        <f t="shared" si="58"/>
        <v>4041/4042</v>
      </c>
      <c r="L155" s="185" t="str">
        <f>VLOOKUP(A155,'Trips&amp;Operators'!$C$1:$G$99911,5,FALSE)</f>
        <v>FORTUNATO FRANK</v>
      </c>
      <c r="M155" s="6">
        <f t="shared" si="59"/>
        <v>1.0462962964083999E-2</v>
      </c>
      <c r="N155" s="7">
        <f t="shared" si="60"/>
        <v>15.066666668280959</v>
      </c>
      <c r="O155" s="7"/>
      <c r="P155" s="7"/>
      <c r="Q155" s="22"/>
      <c r="R155" s="174"/>
      <c r="S155" s="199">
        <f t="shared" si="61"/>
        <v>1</v>
      </c>
      <c r="T155" s="174" t="str">
        <f t="shared" si="62"/>
        <v>NorthBound</v>
      </c>
      <c r="U155" s="22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225" t="str">
        <f t="shared" si="63"/>
        <v>https://d0f6bd738d7f1b3e5a7ca70fe4ff75f0.us-east-1.aws.found.io/app/kibana#/discover/Steve-Slow-Train-Analysis-(2080s-and-2083s)?_g=(refreshInterval:(display:Off,pause:!f,section:0,value:0),time:(from:'2017-10-12T04:59:06-0600',mode:absolute,to:'2017-10-12T07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5" s="226" t="str">
        <f>IF(AA155&lt;VLOOKUP(AG155,Variables!$AC$3:$AD$8,2,FALSE),"Y","N")</f>
        <v>N</v>
      </c>
      <c r="X155" s="226">
        <f t="shared" si="64"/>
        <v>1</v>
      </c>
      <c r="Y155" s="226">
        <f t="shared" si="80"/>
        <v>9.8299999999999998E-2</v>
      </c>
      <c r="Z155" s="226">
        <f t="shared" si="81"/>
        <v>5.8982000000000001</v>
      </c>
      <c r="AA155" s="226">
        <f t="shared" si="65"/>
        <v>5.7999000000000001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6"/>
        <v>803</v>
      </c>
      <c r="AE155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55" s="74" t="str">
        <f t="shared" si="68"/>
        <v>"C:\Program Files (x86)\AstroGrep\AstroGrep.exe" /e /r /s /spath="%USERPROFILE%\AppData\Local\Temp\OnboardLogs" /stypes="app*4042*20171012*" /stext=" 12:.+((SYSTEM_STATE.+slice.+state.+changed )|(ment ac)|(multiple cpu faults)|(system.+state.+changed )|(\[timeout)|(PRM\|1\|D)|(kpr)|(kdp)|(train st.+moving)|(\|lc)|(penalty))"</v>
      </c>
      <c r="AG155" s="182" t="str">
        <f t="shared" si="69"/>
        <v>NW</v>
      </c>
      <c r="AH155" s="78" t="str">
        <f t="shared" si="70"/>
        <v>"%USERPROFILE%\Documents\GitHub\eaglep3\Utilities\RefineRTDCRunTimes.py" --tripid 803-12 --locoid 4042 --swversion DE.1.0.9.0 --startMP 204:983 --initTime 2017-10-12T05:59:06 --startdatetime 2017-10-12T06:09:35 --delay 60 --endMP 300:58982 --enddatetime 2017-10-12T06:24:39 --enforcementcount 0 &gt;&gt;%USERPROFILE%\Documents\GitHub\eaglep3-reporting\EC\2017-10-12-refined-times.txt</v>
      </c>
      <c r="AI155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{"issue":{"subject":"","project_id":79,"tracker_id":40,"status_id":1,"priority_id":2,"assigned_to_id":338,"start_date":"2017-10-12","description":"","custom_fields":[{"id":1,"name":"Subdivision","value":"NW"},{"id":4,"name":"Milepost","value":"5.8982"},{"id":17,"name":"Train ID","value":"803-12"},{"id":16,"name":"Locomotive ID","value":"4042"},{"id":130,"name":"Impact","value":""},{"id":150,"name":"Time of Event (Mountain Time)","value":"06:24:39"},{"id":151,"name":"Denver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72"/>
        <v>start /low /b %USERPROFILE%\Documents\GitHub\eaglep3\Utilities\DownloadLogsFromS3.py --loco 4042 --day 2017-10-12</v>
      </c>
      <c r="AN155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4"/>
        <v>https://d0f6bd738d7f1b3e5a7ca70fe4ff75f0.us-east-1.aws.found.io/app/kibana#/discover/Steve-Slow-Train-Analysis-(2080s-and-2083s)?_g=(refreshInterval:(display:Off,pause:!f,section:0,value:0),time:(from:'2017-10-12T04:59:06-0600',mode:absolute,to:'2017-10-12T07:24:39-0600'))&amp;_a=(columns:!('Message%20ID',Summary),filters:!(),index:'emp_*',interval:auto,query:(query_string:(analyze_wildcard:!t,query:'%22rtdc.l.rtdc.4042%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566</v>
      </c>
      <c r="B156" s="7">
        <v>4041</v>
      </c>
      <c r="C156" s="21" t="s">
        <v>194</v>
      </c>
      <c r="D156" s="21" t="s">
        <v>915</v>
      </c>
      <c r="E156" s="13">
        <v>43020.268761574072</v>
      </c>
      <c r="F156" s="13">
        <v>43020.279895833337</v>
      </c>
      <c r="G156" s="7">
        <v>100</v>
      </c>
      <c r="H156" s="21" t="s">
        <v>908</v>
      </c>
      <c r="I156" s="13">
        <v>43020.288622685184</v>
      </c>
      <c r="J156" s="7">
        <v>0</v>
      </c>
      <c r="K156" s="89" t="str">
        <f t="shared" si="58"/>
        <v>4041/4042</v>
      </c>
      <c r="L156" s="185" t="str">
        <f>VLOOKUP(A156,'Trips&amp;Operators'!$C$1:$G$99911,5,FALSE)</f>
        <v>FORTUNATO FRANK</v>
      </c>
      <c r="M156" s="6">
        <f t="shared" si="59"/>
        <v>8.7268518473138101E-3</v>
      </c>
      <c r="N156" s="7">
        <f t="shared" si="60"/>
        <v>12.566666660131887</v>
      </c>
      <c r="O156" s="7"/>
      <c r="P156" s="7"/>
      <c r="Q156" s="22"/>
      <c r="R156" s="174"/>
      <c r="S156" s="199">
        <f t="shared" si="61"/>
        <v>1</v>
      </c>
      <c r="T156" s="174" t="str">
        <f t="shared" si="62"/>
        <v>Southbound</v>
      </c>
      <c r="U156" s="22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225" t="str">
        <f t="shared" si="63"/>
        <v>https://d0f6bd738d7f1b3e5a7ca70fe4ff75f0.us-east-1.aws.found.io/app/kibana#/discover/Steve-Slow-Train-Analysis-(2080s-and-2083s)?_g=(refreshInterval:(display:Off,pause:!f,section:0,value:0),time:(from:'2017-10-12T05:27:01-0600',mode:absolute,to:'2017-10-12T07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6" s="226" t="str">
        <f>IF(AA156&lt;VLOOKUP(AG156,Variables!$AC$3:$AD$8,2,FALSE),"Y","N")</f>
        <v>N</v>
      </c>
      <c r="X156" s="226">
        <f t="shared" si="64"/>
        <v>1</v>
      </c>
      <c r="Y156" s="226">
        <f t="shared" si="80"/>
        <v>5.8666</v>
      </c>
      <c r="Z156" s="226">
        <f t="shared" si="81"/>
        <v>7.17E-2</v>
      </c>
      <c r="AA156" s="226">
        <f t="shared" si="65"/>
        <v>5.7949000000000002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6"/>
        <v>804</v>
      </c>
      <c r="AE156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56" s="74" t="str">
        <f t="shared" si="68"/>
        <v>"C:\Program Files (x86)\AstroGrep\AstroGrep.exe" /e /r /s /spath="%USERPROFILE%\AppData\Local\Temp\OnboardLogs" /stypes="app*4041*20171012*" /stext=" 12:.+((SYSTEM_STATE.+slice.+state.+changed )|(ment ac)|(multiple cpu faults)|(system.+state.+changed )|(\[timeout)|(PRM\|1\|D)|(kpr)|(kdp)|(train st.+moving)|(\|lc)|(penalty))"</v>
      </c>
      <c r="AG156" s="182" t="str">
        <f t="shared" si="69"/>
        <v>NW</v>
      </c>
      <c r="AH156" s="78" t="str">
        <f t="shared" si="70"/>
        <v>"%USERPROFILE%\Documents\GitHub\eaglep3\Utilities\RefineRTDCRunTimes.py" --tripid 804-12 --locoid 4041 --swversion DE.1.0.9.0 --startMP 300:58666 --initTime 2017-10-12T06:27:01 --startdatetime 2017-10-12T06:43:03 --delay 100 --endMP 204:717 --enddatetime 2017-10-12T06:55:37 --enforcementcount 0 &gt;&gt;%USERPROFILE%\Documents\GitHub\eaglep3-reporting\EC\2017-10-12-refined-times.txt</v>
      </c>
      <c r="AI156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{"issue":{"subject":"","project_id":79,"tracker_id":40,"status_id":1,"priority_id":2,"assigned_to_id":338,"start_date":"2017-10-12","description":"","custom_fields":[{"id":1,"name":"Subdivision","value":"NW"},{"id":4,"name":"Milepost","value":"0.0717"},{"id":17,"name":"Train ID","value":"804-12"},{"id":16,"name":"Locomotive ID","value":"4041"},{"id":130,"name":"Impact","value":""},{"id":150,"name":"Time of Event (Mountain Time)","value":"06:55:37"},{"id":151,"name":"Denver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72"/>
        <v>start /low /b %USERPROFILE%\Documents\GitHub\eaglep3\Utilities\DownloadLogsFromS3.py --loco 4041 --day 2017-10-12</v>
      </c>
      <c r="AN156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4"/>
        <v>https://d0f6bd738d7f1b3e5a7ca70fe4ff75f0.us-east-1.aws.found.io/app/kibana#/discover/Steve-Slow-Train-Analysis-(2080s-and-2083s)?_g=(refreshInterval:(display:Off,pause:!f,section:0,value:0),time:(from:'2017-10-12T05:27:01-0600',mode:absolute,to:'2017-10-12T07:55:37-0600'))&amp;_a=(columns:!('Message%20ID',Summary),filters:!(),index:'emp_*',interval:auto,query:(query_string:(analyze_wildcard:!t,query:'%22rtdc.l.rtdc.4041%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567</v>
      </c>
      <c r="B157" s="7">
        <v>4030</v>
      </c>
      <c r="C157" s="21" t="s">
        <v>194</v>
      </c>
      <c r="D157" s="21" t="s">
        <v>450</v>
      </c>
      <c r="E157" s="13">
        <v>43020.27070601852</v>
      </c>
      <c r="F157" s="13">
        <v>43020.277256944442</v>
      </c>
      <c r="G157" s="7">
        <v>49</v>
      </c>
      <c r="H157" s="21" t="s">
        <v>916</v>
      </c>
      <c r="I157" s="13">
        <v>43020.288217592592</v>
      </c>
      <c r="J157" s="7">
        <v>0</v>
      </c>
      <c r="K157" s="89" t="str">
        <f t="shared" si="58"/>
        <v>4029/4030</v>
      </c>
      <c r="L157" s="185" t="str">
        <f>VLOOKUP(A157,'Trips&amp;Operators'!$C$1:$G$99911,5,FALSE)</f>
        <v>DAVIS WENDY</v>
      </c>
      <c r="M157" s="6">
        <f t="shared" si="59"/>
        <v>1.096064814919373E-2</v>
      </c>
      <c r="N157" s="7">
        <f t="shared" si="60"/>
        <v>15.783333334838971</v>
      </c>
      <c r="O157" s="7"/>
      <c r="P157" s="7"/>
      <c r="Q157" s="22"/>
      <c r="R157" s="174"/>
      <c r="S157" s="199">
        <f t="shared" si="61"/>
        <v>1</v>
      </c>
      <c r="T157" s="174" t="str">
        <f t="shared" si="62"/>
        <v>NorthBound</v>
      </c>
      <c r="U157" s="22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25" t="str">
        <f t="shared" si="63"/>
        <v>https://d0f6bd738d7f1b3e5a7ca70fe4ff75f0.us-east-1.aws.found.io/app/kibana#/discover/Steve-Slow-Train-Analysis-(2080s-and-2083s)?_g=(refreshInterval:(display:Off,pause:!f,section:0,value:0),time:(from:'2017-10-12T05:29:49-0600',mode:absolute,to:'2017-10-12T07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7" s="226" t="str">
        <f>IF(AA157&lt;VLOOKUP(AG157,Variables!$AC$3:$AD$8,2,FALSE),"Y","N")</f>
        <v>N</v>
      </c>
      <c r="X157" s="226">
        <f t="shared" si="64"/>
        <v>1</v>
      </c>
      <c r="Y157" s="226">
        <f t="shared" si="80"/>
        <v>9.6500000000000002E-2</v>
      </c>
      <c r="Z157" s="226">
        <f t="shared" si="81"/>
        <v>5.9016000000000002</v>
      </c>
      <c r="AA157" s="226">
        <f t="shared" si="65"/>
        <v>5.8051000000000004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66"/>
        <v>805</v>
      </c>
      <c r="AE157" s="77" t="str">
        <f t="shared" si="67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57" s="74" t="str">
        <f t="shared" si="68"/>
        <v>"C:\Program Files (x86)\AstroGrep\AstroGrep.exe" /e /r /s /spath="%USERPROFILE%\AppData\Local\Temp\OnboardLogs" /stypes="app*4030*20171012*" /stext=" 12:.+((SYSTEM_STATE.+slice.+state.+changed )|(ment ac)|(multiple cpu faults)|(system.+state.+changed )|(\[timeout)|(PRM\|1\|D)|(kpr)|(kdp)|(train st.+moving)|(\|lc)|(penalty))"</v>
      </c>
      <c r="AG157" s="182" t="str">
        <f t="shared" si="69"/>
        <v>NW</v>
      </c>
      <c r="AH157" s="78" t="str">
        <f t="shared" si="70"/>
        <v>"%USERPROFILE%\Documents\GitHub\eaglep3\Utilities\RefineRTDCRunTimes.py" --tripid 805-12 --locoid 4030 --swversion DE.1.0.9.0 --startMP 204:965 --initTime 2017-10-12T06:29:49 --startdatetime 2017-10-12T06:39:15 --delay 49 --endMP 300:59016 --enddatetime 2017-10-12T06:55:02 --enforcementcount 0 &gt;&gt;%USERPROFILE%\Documents\GitHub\eaglep3-reporting\EC\2017-10-12-refined-times.txt</v>
      </c>
      <c r="AI157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{"issue":{"subject":"","project_id":79,"tracker_id":40,"status_id":1,"priority_id":2,"assigned_to_id":338,"start_date":"2017-10-12","description":"","custom_fields":[{"id":1,"name":"Subdivision","value":"NW"},{"id":4,"name":"Milepost","value":"5.9016"},{"id":17,"name":"Train ID","value":"805-12"},{"id":16,"name":"Locomotive ID","value":"4030"},{"id":130,"name":"Impact","value":""},{"id":150,"name":"Time of Event (Mountain Time)","value":"06:55:02"},{"id":151,"name":"Denver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72"/>
        <v>start /low /b %USERPROFILE%\Documents\GitHub\eaglep3\Utilities\DownloadLogsFromS3.py --loco 4030 --day 2017-10-12</v>
      </c>
      <c r="AN157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12:55:02"},{"id":29,"name":"Sharepoint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4"/>
        <v>https://d0f6bd738d7f1b3e5a7ca70fe4ff75f0.us-east-1.aws.found.io/app/kibana#/discover/Steve-Slow-Train-Analysis-(2080s-and-2083s)?_g=(refreshInterval:(display:Off,pause:!f,section:0,value:0),time:(from:'2017-10-12T05:29:49-0600',mode:absolute,to:'2017-10-12T07:55:02-0600'))&amp;_a=(columns:!('Message%20ID',Summary),filters:!(),index:'emp_*',interval:auto,query:(query_string:(analyze_wildcard:!t,query:'%22rtdc.l.rtdc.4030%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647</v>
      </c>
      <c r="B158" s="7">
        <v>4029</v>
      </c>
      <c r="C158" s="21" t="s">
        <v>194</v>
      </c>
      <c r="D158" s="21" t="s">
        <v>917</v>
      </c>
      <c r="E158" s="13">
        <v>43020.292361111111</v>
      </c>
      <c r="F158" s="13">
        <v>43020.300740740742</v>
      </c>
      <c r="G158" s="7">
        <v>71</v>
      </c>
      <c r="H158" s="21" t="s">
        <v>918</v>
      </c>
      <c r="I158" s="13">
        <v>43020.309351851851</v>
      </c>
      <c r="J158" s="7">
        <v>0</v>
      </c>
      <c r="K158" s="89" t="str">
        <f t="shared" si="58"/>
        <v>4029/4030</v>
      </c>
      <c r="L158" s="185" t="str">
        <f>VLOOKUP(A158,'Trips&amp;Operators'!$C$1:$G$99911,5,FALSE)</f>
        <v>DAVIS WENDY</v>
      </c>
      <c r="M158" s="6">
        <f t="shared" si="59"/>
        <v>8.6111111086211167E-3</v>
      </c>
      <c r="N158" s="7">
        <f t="shared" si="60"/>
        <v>12.399999996414408</v>
      </c>
      <c r="O158" s="7"/>
      <c r="P158" s="7"/>
      <c r="Q158" s="22"/>
      <c r="R158" s="174"/>
      <c r="S158" s="199">
        <f t="shared" si="61"/>
        <v>1</v>
      </c>
      <c r="T158" s="174" t="str">
        <f t="shared" si="62"/>
        <v>Southbound</v>
      </c>
      <c r="U158" s="22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25" t="str">
        <f t="shared" si="63"/>
        <v>https://d0f6bd738d7f1b3e5a7ca70fe4ff75f0.us-east-1.aws.found.io/app/kibana#/discover/Steve-Slow-Train-Analysis-(2080s-and-2083s)?_g=(refreshInterval:(display:Off,pause:!f,section:0,value:0),time:(from:'2017-10-12T06:01:00-0600',mode:absolute,to:'2017-10-12T08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226" t="str">
        <f>IF(AA158&lt;VLOOKUP(AG158,Variables!$AC$3:$AD$8,2,FALSE),"Y","N")</f>
        <v>N</v>
      </c>
      <c r="X158" s="226">
        <f t="shared" si="64"/>
        <v>1</v>
      </c>
      <c r="Y158" s="226">
        <f t="shared" si="80"/>
        <v>5.8692000000000002</v>
      </c>
      <c r="Z158" s="226">
        <f t="shared" si="81"/>
        <v>6.4299999999999996E-2</v>
      </c>
      <c r="AA158" s="226">
        <f t="shared" si="65"/>
        <v>5.8048999999999999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6"/>
        <v>806</v>
      </c>
      <c r="AE158" s="77" t="str">
        <f t="shared" si="67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58" s="74" t="str">
        <f t="shared" si="68"/>
        <v>"C:\Program Files (x86)\AstroGrep\AstroGrep.exe" /e /r /s /spath="%USERPROFILE%\AppData\Local\Temp\OnboardLogs" /stypes="app*4029*20171012*" /stext=" 13:.+((SYSTEM_STATE.+slice.+state.+changed )|(ment ac)|(multiple cpu faults)|(system.+state.+changed )|(\[timeout)|(PRM\|1\|D)|(kpr)|(kdp)|(train st.+moving)|(\|lc)|(penalty))"</v>
      </c>
      <c r="AG158" s="182" t="str">
        <f t="shared" si="69"/>
        <v>NW</v>
      </c>
      <c r="AH158" s="78" t="str">
        <f t="shared" si="70"/>
        <v>"%USERPROFILE%\Documents\GitHub\eaglep3\Utilities\RefineRTDCRunTimes.py" --tripid 806-12 --locoid 4029 --swversion DE.1.0.9.0 --startMP 300:58692 --initTime 2017-10-12T07:01:00 --startdatetime 2017-10-12T07:13:04 --delay 71 --endMP 204:643 --enddatetime 2017-10-12T07:25:28 --enforcementcount 0 &gt;&gt;%USERPROFILE%\Documents\GitHub\eaglep3-reporting\EC\2017-10-12-refined-times.txt</v>
      </c>
      <c r="AI158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{"issue":{"subject":"","project_id":79,"tracker_id":40,"status_id":1,"priority_id":2,"assigned_to_id":338,"start_date":"2017-10-12","description":"","custom_fields":[{"id":1,"name":"Subdivision","value":"NW"},{"id":4,"name":"Milepost","value":"0.0643"},{"id":17,"name":"Train ID","value":"806-12"},{"id":16,"name":"Locomotive ID","value":"4029"},{"id":130,"name":"Impact","value":""},{"id":150,"name":"Time of Event (Mountain Time)","value":"07:25:28"},{"id":151,"name":"Denver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72"/>
        <v>start /low /b %USERPROFILE%\Documents\GitHub\eaglep3\Utilities\DownloadLogsFromS3.py --loco 4029 --day 2017-10-12</v>
      </c>
      <c r="AN158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4"/>
        <v>https://d0f6bd738d7f1b3e5a7ca70fe4ff75f0.us-east-1.aws.found.io/app/kibana#/discover/Steve-Slow-Train-Analysis-(2080s-and-2083s)?_g=(refreshInterval:(display:Off,pause:!f,section:0,value:0),time:(from:'2017-10-12T06:01:00-0600',mode:absolute,to:'2017-10-12T08:25:28-0600'))&amp;_a=(columns:!('Message%20ID',Summary),filters:!(),index:'emp_*',interval:auto,query:(query_string:(analyze_wildcard:!t,query:'%22rtdc.l.rtdc.4029%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4029</v>
      </c>
      <c r="C159" s="21" t="s">
        <v>194</v>
      </c>
      <c r="D159" s="21" t="s">
        <v>919</v>
      </c>
      <c r="E159" s="13">
        <v>43020.290069444447</v>
      </c>
      <c r="F159" s="13">
        <v>43020.293935185182</v>
      </c>
      <c r="G159" s="7">
        <v>104</v>
      </c>
      <c r="H159" s="21" t="s">
        <v>919</v>
      </c>
      <c r="I159" s="13">
        <v>43020.309351851851</v>
      </c>
      <c r="J159" s="7">
        <v>0</v>
      </c>
      <c r="K159" s="89" t="str">
        <f t="shared" si="58"/>
        <v>4029/4030</v>
      </c>
      <c r="L159" s="185" t="str">
        <f>VLOOKUP(A159,'Trips&amp;Operators'!$C$1:$G$99911,5,FALSE)</f>
        <v>DAVIS WENDY</v>
      </c>
      <c r="M159" s="6">
        <f t="shared" si="59"/>
        <v>1.541666666889796E-2</v>
      </c>
      <c r="N159" s="7"/>
      <c r="O159" s="7"/>
      <c r="P159" s="7"/>
      <c r="Q159" s="22"/>
      <c r="R159" s="174"/>
      <c r="S159" s="199"/>
      <c r="T159" s="174" t="str">
        <f t="shared" si="62"/>
        <v>Southbound</v>
      </c>
      <c r="U159" s="22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225" t="str">
        <f t="shared" si="63"/>
        <v>https://d0f6bd738d7f1b3e5a7ca70fe4ff75f0.us-east-1.aws.found.io/app/kibana#/discover/Steve-Slow-Train-Analysis-(2080s-and-2083s)?_g=(refreshInterval:(display:Off,pause:!f,section:0,value:0),time:(from:'2017-10-12T05:57:42-0600',mode:absolute,to:'2017-10-12T08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226" t="str">
        <f>IF(AA159&lt;VLOOKUP(AG159,Variables!$AC$3:$AD$8,2,FALSE),"Y","N")</f>
        <v>Y</v>
      </c>
      <c r="X159" s="226">
        <f t="shared" si="64"/>
        <v>0</v>
      </c>
      <c r="Y159" s="226">
        <f t="shared" si="80"/>
        <v>5.8696000000000002</v>
      </c>
      <c r="Z159" s="226">
        <f t="shared" si="81"/>
        <v>5.8696000000000002</v>
      </c>
      <c r="AA159" s="226">
        <f t="shared" si="65"/>
        <v>0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66"/>
        <v>806</v>
      </c>
      <c r="AE159" s="77" t="str">
        <f t="shared" si="67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59" s="74" t="str">
        <f t="shared" si="68"/>
        <v>"C:\Program Files (x86)\AstroGrep\AstroGrep.exe" /e /r /s /spath="%USERPROFILE%\AppData\Local\Temp\OnboardLogs" /stypes="app*4029*20171012*" /stext=" 13:.+((SYSTEM_STATE.+slice.+state.+changed )|(ment ac)|(multiple cpu faults)|(system.+state.+changed )|(\[timeout)|(PRM\|1\|D)|(kpr)|(kdp)|(train st.+moving)|(\|lc)|(penalty))"</v>
      </c>
      <c r="AG159" s="182" t="str">
        <f t="shared" si="69"/>
        <v>NW</v>
      </c>
      <c r="AH159" s="78" t="str">
        <f t="shared" si="70"/>
        <v>"%USERPROFILE%\Documents\GitHub\eaglep3\Utilities\RefineRTDCRunTimes.py" --tripid 806-12 --locoid 4029 --swversion DE.1.0.9.0 --startMP 300:58696 --initTime 2017-10-12T06:57:42 --startdatetime 2017-10-12T07:03:16 --delay 104 --endMP 300:58696 --enddatetime 2017-10-12T07:25:28 --enforcementcount 0 &gt;&gt;%USERPROFILE%\Documents\GitHub\eaglep3-reporting\EC\2017-10-12-refined-times.txt</v>
      </c>
      <c r="AI159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{"issue":{"subject":"","project_id":79,"tracker_id":40,"status_id":1,"priority_id":2,"assigned_to_id":338,"start_date":"2017-10-12","description":"","custom_fields":[{"id":1,"name":"Subdivision","value":"NW"},{"id":4,"name":"Milepost","value":"5.8696"},{"id":17,"name":"Train ID","value":"806-12"},{"id":16,"name":"Locomotive ID","value":"4029"},{"id":130,"name":"Impact","value":""},{"id":150,"name":"Time of Event (Mountain Time)","value":"07:25:28"},{"id":151,"name":"Denver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72"/>
        <v>start /low /b %USERPROFILE%\Documents\GitHub\eaglep3\Utilities\DownloadLogsFromS3.py --loco 4029 --day 2017-10-12</v>
      </c>
      <c r="AN159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4"/>
        <v>https://d0f6bd738d7f1b3e5a7ca70fe4ff75f0.us-east-1.aws.found.io/app/kibana#/discover/Steve-Slow-Train-Analysis-(2080s-and-2083s)?_g=(refreshInterval:(display:Off,pause:!f,section:0,value:0),time:(from:'2017-10-12T05:57:42-0600',mode:absolute,to:'2017-10-12T08:25:28-0600'))&amp;_a=(columns:!('Message%20ID',Summary),filters:!(),index:'emp_*',interval:auto,query:(query_string:(analyze_wildcard:!t,query:'%22rtdc.l.rtdc.4029%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648</v>
      </c>
      <c r="B160" s="7">
        <v>4042</v>
      </c>
      <c r="C160" s="21" t="s">
        <v>194</v>
      </c>
      <c r="D160" s="21" t="s">
        <v>913</v>
      </c>
      <c r="E160" s="13">
        <v>43020.290694444448</v>
      </c>
      <c r="F160" s="13">
        <v>43020.298090277778</v>
      </c>
      <c r="G160" s="7">
        <v>55</v>
      </c>
      <c r="H160" s="21" t="s">
        <v>452</v>
      </c>
      <c r="I160" s="13">
        <v>43020.310231481482</v>
      </c>
      <c r="J160" s="7">
        <v>0</v>
      </c>
      <c r="K160" s="89" t="str">
        <f t="shared" si="58"/>
        <v>4041/4042</v>
      </c>
      <c r="L160" s="185" t="str">
        <f>VLOOKUP(A160,'Trips&amp;Operators'!$C$1:$G$99911,5,FALSE)</f>
        <v>FORTUNATO FRANK</v>
      </c>
      <c r="M160" s="6">
        <f t="shared" si="59"/>
        <v>1.2141203704231884E-2</v>
      </c>
      <c r="N160" s="7">
        <f>24*60*SUM($M160:$M160)</f>
        <v>17.483333334093913</v>
      </c>
      <c r="O160" s="7"/>
      <c r="P160" s="7"/>
      <c r="Q160" s="22"/>
      <c r="R160" s="174"/>
      <c r="S160" s="199">
        <f>1/IF(AG160="EC",12,1)*SUM(U160:U160)</f>
        <v>1</v>
      </c>
      <c r="T160" s="174" t="str">
        <f t="shared" si="62"/>
        <v>NorthBound</v>
      </c>
      <c r="U160" s="22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25" t="str">
        <f t="shared" si="63"/>
        <v>https://d0f6bd738d7f1b3e5a7ca70fe4ff75f0.us-east-1.aws.found.io/app/kibana#/discover/Steve-Slow-Train-Analysis-(2080s-and-2083s)?_g=(refreshInterval:(display:Off,pause:!f,section:0,value:0),time:(from:'2017-10-12T05:58:36-0600',mode:absolute,to:'2017-10-12T08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0" s="226" t="str">
        <f>IF(AA160&lt;VLOOKUP(AG160,Variables!$AC$3:$AD$8,2,FALSE),"Y","N")</f>
        <v>N</v>
      </c>
      <c r="X160" s="226">
        <f t="shared" si="64"/>
        <v>1</v>
      </c>
      <c r="Y160" s="226">
        <f t="shared" si="80"/>
        <v>9.8299999999999998E-2</v>
      </c>
      <c r="Z160" s="226">
        <f t="shared" si="81"/>
        <v>5.8959999999999999</v>
      </c>
      <c r="AA160" s="226">
        <f t="shared" si="65"/>
        <v>5.7976999999999999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6"/>
        <v>807</v>
      </c>
      <c r="AE160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60" s="74" t="str">
        <f t="shared" si="68"/>
        <v>"C:\Program Files (x86)\AstroGrep\AstroGrep.exe" /e /r /s /spath="%USERPROFILE%\AppData\Local\Temp\OnboardLogs" /stypes="app*4042*20171012*" /stext=" 13:.+((SYSTEM_STATE.+slice.+state.+changed )|(ment ac)|(multiple cpu faults)|(system.+state.+changed )|(\[timeout)|(PRM\|1\|D)|(kpr)|(kdp)|(train st.+moving)|(\|lc)|(penalty))"</v>
      </c>
      <c r="AG160" s="182" t="str">
        <f t="shared" si="69"/>
        <v>NW</v>
      </c>
      <c r="AH160" s="78" t="str">
        <f t="shared" si="70"/>
        <v>"%USERPROFILE%\Documents\GitHub\eaglep3\Utilities\RefineRTDCRunTimes.py" --tripid 807-12 --locoid 4042 --swversion DE.1.0.9.0 --startMP 204:983 --initTime 2017-10-12T06:58:36 --startdatetime 2017-10-12T07:09:15 --delay 55 --endMP 300:58960 --enddatetime 2017-10-12T07:26:44 --enforcementcount 0 &gt;&gt;%USERPROFILE%\Documents\GitHub\eaglep3-reporting\EC\2017-10-12-refined-times.txt</v>
      </c>
      <c r="AI160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{"issue":{"subject":"","project_id":79,"tracker_id":40,"status_id":1,"priority_id":2,"assigned_to_id":338,"start_date":"2017-10-12","description":"","custom_fields":[{"id":1,"name":"Subdivision","value":"NW"},{"id":4,"name":"Milepost","value":"5.896"},{"id":17,"name":"Train ID","value":"807-12"},{"id":16,"name":"Locomotive ID","value":"4042"},{"id":130,"name":"Impact","value":""},{"id":150,"name":"Time of Event (Mountain Time)","value":"07:26:44"},{"id":151,"name":"Denver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72"/>
        <v>start /low /b %USERPROFILE%\Documents\GitHub\eaglep3\Utilities\DownloadLogsFromS3.py --loco 4042 --day 2017-10-12</v>
      </c>
      <c r="AN160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4"/>
        <v>https://d0f6bd738d7f1b3e5a7ca70fe4ff75f0.us-east-1.aws.found.io/app/kibana#/discover/Steve-Slow-Train-Analysis-(2080s-and-2083s)?_g=(refreshInterval:(display:Off,pause:!f,section:0,value:0),time:(from:'2017-10-12T05:58:36-0600',mode:absolute,to:'2017-10-12T08:26:44-0600'))&amp;_a=(columns:!('Message%20ID',Summary),filters:!(),index:'emp_*',interval:auto,query:(query_string:(analyze_wildcard:!t,query:'%22rtdc.l.rtdc.4042%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653</v>
      </c>
      <c r="B161" s="7">
        <v>4041</v>
      </c>
      <c r="C161" s="21" t="s">
        <v>194</v>
      </c>
      <c r="D161" s="21" t="s">
        <v>553</v>
      </c>
      <c r="E161" s="13">
        <v>43020.312199074076</v>
      </c>
      <c r="F161" s="13">
        <v>43020.313900462963</v>
      </c>
      <c r="G161" s="7">
        <v>80</v>
      </c>
      <c r="H161" s="21" t="s">
        <v>548</v>
      </c>
      <c r="I161" s="13">
        <v>43020.329872685186</v>
      </c>
      <c r="J161" s="7">
        <v>0</v>
      </c>
      <c r="K161" s="89" t="str">
        <f t="shared" si="58"/>
        <v>4041/4042</v>
      </c>
      <c r="L161" s="185" t="str">
        <f>VLOOKUP(A161,'Trips&amp;Operators'!$C$1:$G$99911,5,FALSE)</f>
        <v>FORTUNATO FRANK</v>
      </c>
      <c r="M161" s="6">
        <f t="shared" si="59"/>
        <v>1.5972222223354038E-2</v>
      </c>
      <c r="N161" s="7">
        <f>24*60*SUM($M161:$M161)</f>
        <v>23.000000001629815</v>
      </c>
      <c r="O161" s="7"/>
      <c r="P161" s="7"/>
      <c r="Q161" s="22"/>
      <c r="R161" s="174"/>
      <c r="S161" s="199">
        <f>1/IF(AG161="EC",12,1)*SUM(U161:U161)</f>
        <v>1</v>
      </c>
      <c r="T161" s="174" t="str">
        <f t="shared" si="62"/>
        <v>Southbound</v>
      </c>
      <c r="U161" s="22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25" t="str">
        <f t="shared" si="63"/>
        <v>https://d0f6bd738d7f1b3e5a7ca70fe4ff75f0.us-east-1.aws.found.io/app/kibana#/discover/Steve-Slow-Train-Analysis-(2080s-and-2083s)?_g=(refreshInterval:(display:Off,pause:!f,section:0,value:0),time:(from:'2017-10-12T06:29:34-0600',mode:absolute,to:'2017-10-12T08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1" s="226" t="str">
        <f>IF(AA161&lt;VLOOKUP(AG161,Variables!$AC$3:$AD$8,2,FALSE),"Y","N")</f>
        <v>N</v>
      </c>
      <c r="X161" s="226">
        <f t="shared" si="64"/>
        <v>1</v>
      </c>
      <c r="Y161" s="226">
        <f t="shared" si="80"/>
        <v>5.8639999999999999</v>
      </c>
      <c r="Z161" s="226">
        <f t="shared" si="81"/>
        <v>7.0300000000000001E-2</v>
      </c>
      <c r="AA161" s="226">
        <f t="shared" si="65"/>
        <v>5.7937000000000003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6"/>
        <v>808</v>
      </c>
      <c r="AE161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61" s="74" t="str">
        <f t="shared" si="68"/>
        <v>"C:\Program Files (x86)\AstroGrep\AstroGrep.exe" /e /r /s /spath="%USERPROFILE%\AppData\Local\Temp\OnboardLogs" /stypes="app*4041*20171012*" /stext=" 13:.+((SYSTEM_STATE.+slice.+state.+changed )|(ment ac)|(multiple cpu faults)|(system.+state.+changed )|(\[timeout)|(PRM\|1\|D)|(kpr)|(kdp)|(train st.+moving)|(\|lc)|(penalty))"</v>
      </c>
      <c r="AG161" s="182" t="str">
        <f t="shared" si="69"/>
        <v>NW</v>
      </c>
      <c r="AH161" s="78" t="str">
        <f t="shared" si="70"/>
        <v>"%USERPROFILE%\Documents\GitHub\eaglep3\Utilities\RefineRTDCRunTimes.py" --tripid 808-12 --locoid 4041 --swversion DE.1.0.9.0 --startMP 300:58640 --initTime 2017-10-12T07:29:34 --startdatetime 2017-10-12T07:32:01 --delay 80 --endMP 204:703 --enddatetime 2017-10-12T07:55:01 --enforcementcount 0 &gt;&gt;%USERPROFILE%\Documents\GitHub\eaglep3-reporting\EC\2017-10-12-refined-times.txt</v>
      </c>
      <c r="AI161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{"issue":{"subject":"","project_id":79,"tracker_id":40,"status_id":1,"priority_id":2,"assigned_to_id":338,"start_date":"2017-10-12","description":"","custom_fields":[{"id":1,"name":"Subdivision","value":"NW"},{"id":4,"name":"Milepost","value":"0.0703"},{"id":17,"name":"Train ID","value":"808-12"},{"id":16,"name":"Locomotive ID","value":"4041"},{"id":130,"name":"Impact","value":""},{"id":150,"name":"Time of Event (Mountain Time)","value":"07:55:01"},{"id":151,"name":"Denver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72"/>
        <v>start /low /b %USERPROFILE%\Documents\GitHub\eaglep3\Utilities\DownloadLogsFromS3.py --loco 4041 --day 2017-10-12</v>
      </c>
      <c r="AN161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4"/>
        <v>https://d0f6bd738d7f1b3e5a7ca70fe4ff75f0.us-east-1.aws.found.io/app/kibana#/discover/Steve-Slow-Train-Analysis-(2080s-and-2083s)?_g=(refreshInterval:(display:Off,pause:!f,section:0,value:0),time:(from:'2017-10-12T06:29:34-0600',mode:absolute,to:'2017-10-12T08:55:01-0600'))&amp;_a=(columns:!('Message%20ID',Summary),filters:!(),index:'emp_*',interval:auto,query:(query_string:(analyze_wildcard:!t,query:'%22rtdc.l.rtdc.4041%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568</v>
      </c>
      <c r="B162" s="7">
        <v>4030</v>
      </c>
      <c r="C162" s="21" t="s">
        <v>194</v>
      </c>
      <c r="D162" s="21" t="s">
        <v>920</v>
      </c>
      <c r="E162" s="13">
        <v>43020.310891203706</v>
      </c>
      <c r="F162" s="13">
        <v>43020.318923611114</v>
      </c>
      <c r="G162" s="7">
        <v>48</v>
      </c>
      <c r="H162" s="21" t="s">
        <v>916</v>
      </c>
      <c r="I162" s="13">
        <v>43020.32980324074</v>
      </c>
      <c r="J162" s="7">
        <v>0</v>
      </c>
      <c r="K162" s="89" t="str">
        <f t="shared" si="58"/>
        <v>4029/4030</v>
      </c>
      <c r="L162" s="185" t="str">
        <f>VLOOKUP(A162,'Trips&amp;Operators'!$C$1:$G$99911,5,FALSE)</f>
        <v>DAVIS WENDY</v>
      </c>
      <c r="M162" s="6">
        <f t="shared" si="59"/>
        <v>1.0879629626288079E-2</v>
      </c>
      <c r="N162" s="7">
        <f>24*60*SUM($M162:$M162)</f>
        <v>15.666666661854833</v>
      </c>
      <c r="O162" s="7"/>
      <c r="P162" s="7"/>
      <c r="Q162" s="22"/>
      <c r="R162" s="174"/>
      <c r="S162" s="199">
        <f>1/IF(AG162="EC",12,1)*SUM(U162:U162)</f>
        <v>1</v>
      </c>
      <c r="T162" s="174" t="str">
        <f t="shared" si="62"/>
        <v>NorthBound</v>
      </c>
      <c r="U162" s="22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25" t="str">
        <f t="shared" si="63"/>
        <v>https://d0f6bd738d7f1b3e5a7ca70fe4ff75f0.us-east-1.aws.found.io/app/kibana#/discover/Steve-Slow-Train-Analysis-(2080s-and-2083s)?_g=(refreshInterval:(display:Off,pause:!f,section:0,value:0),time:(from:'2017-10-12T06:27:41-0600',mode:absolute,to:'2017-10-12T08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2" s="226" t="str">
        <f>IF(AA162&lt;VLOOKUP(AG162,Variables!$AC$3:$AD$8,2,FALSE),"Y","N")</f>
        <v>N</v>
      </c>
      <c r="X162" s="226">
        <f t="shared" si="64"/>
        <v>1</v>
      </c>
      <c r="Y162" s="226">
        <f t="shared" si="80"/>
        <v>9.1499999999999998E-2</v>
      </c>
      <c r="Z162" s="226">
        <f t="shared" si="81"/>
        <v>5.9016000000000002</v>
      </c>
      <c r="AA162" s="226">
        <f t="shared" si="65"/>
        <v>5.8101000000000003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6"/>
        <v>809</v>
      </c>
      <c r="AE162" s="77" t="str">
        <f t="shared" si="67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62" s="74" t="str">
        <f t="shared" si="68"/>
        <v>"C:\Program Files (x86)\AstroGrep\AstroGrep.exe" /e /r /s /spath="%USERPROFILE%\AppData\Local\Temp\OnboardLogs" /stypes="app*4030*20171012*" /stext=" 13:.+((SYSTEM_STATE.+slice.+state.+changed )|(ment ac)|(multiple cpu faults)|(system.+state.+changed )|(\[timeout)|(PRM\|1\|D)|(kpr)|(kdp)|(train st.+moving)|(\|lc)|(penalty))"</v>
      </c>
      <c r="AG162" s="182" t="str">
        <f t="shared" si="69"/>
        <v>NW</v>
      </c>
      <c r="AH162" s="78" t="str">
        <f t="shared" si="70"/>
        <v>"%USERPROFILE%\Documents\GitHub\eaglep3\Utilities\RefineRTDCRunTimes.py" --tripid 809-12 --locoid 4030 --swversion DE.1.0.9.0 --startMP 204:915 --initTime 2017-10-12T07:27:41 --startdatetime 2017-10-12T07:39:15 --delay 48 --endMP 300:59016 --enddatetime 2017-10-12T07:54:55 --enforcementcount 0 &gt;&gt;%USERPROFILE%\Documents\GitHub\eaglep3-reporting\EC\2017-10-12-refined-times.txt</v>
      </c>
      <c r="AI162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{"issue":{"subject":"","project_id":79,"tracker_id":40,"status_id":1,"priority_id":2,"assigned_to_id":338,"start_date":"2017-10-12","description":"","custom_fields":[{"id":1,"name":"Subdivision","value":"NW"},{"id":4,"name":"Milepost","value":"5.9016"},{"id":17,"name":"Train ID","value":"809-12"},{"id":16,"name":"Locomotive ID","value":"4030"},{"id":130,"name":"Impact","value":""},{"id":150,"name":"Time of Event (Mountain Time)","value":"07:54:55"},{"id":151,"name":"Denver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72"/>
        <v>start /low /b %USERPROFILE%\Documents\GitHub\eaglep3\Utilities\DownloadLogsFromS3.py --loco 4030 --day 2017-10-12</v>
      </c>
      <c r="AN162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13:54:55"},{"id":29,"name":"Sharepoint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4"/>
        <v>https://d0f6bd738d7f1b3e5a7ca70fe4ff75f0.us-east-1.aws.found.io/app/kibana#/discover/Steve-Slow-Train-Analysis-(2080s-and-2083s)?_g=(refreshInterval:(display:Off,pause:!f,section:0,value:0),time:(from:'2017-10-12T06:27:41-0600',mode:absolute,to:'2017-10-12T08:54:55-0600'))&amp;_a=(columns:!('Message%20ID',Summary),filters:!(),index:'emp_*',interval:auto,query:(query_string:(analyze_wildcard:!t,query:'%22rtdc.l.rtdc.4030%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572</v>
      </c>
      <c r="B163" s="7">
        <v>4029</v>
      </c>
      <c r="C163" s="21" t="s">
        <v>194</v>
      </c>
      <c r="D163" s="21" t="s">
        <v>919</v>
      </c>
      <c r="E163" s="13">
        <v>43020.331701388888</v>
      </c>
      <c r="F163" s="13">
        <v>43020.342395833337</v>
      </c>
      <c r="G163" s="7">
        <v>61</v>
      </c>
      <c r="H163" s="21" t="s">
        <v>921</v>
      </c>
      <c r="I163" s="13">
        <v>43020.351712962962</v>
      </c>
      <c r="J163" s="7">
        <v>0</v>
      </c>
      <c r="K163" s="89" t="str">
        <f t="shared" si="58"/>
        <v>4029/4030</v>
      </c>
      <c r="L163" s="185" t="str">
        <f>VLOOKUP(A163,'Trips&amp;Operators'!$C$1:$G$99911,5,FALSE)</f>
        <v>DAVIS WENDY</v>
      </c>
      <c r="M163" s="6">
        <f t="shared" si="59"/>
        <v>9.3171296248328872E-3</v>
      </c>
      <c r="N163" s="7">
        <f>24*60*SUM($M163:$M163)</f>
        <v>13.416666659759358</v>
      </c>
      <c r="O163" s="7"/>
      <c r="P163" s="7"/>
      <c r="Q163" s="22"/>
      <c r="R163" s="174"/>
      <c r="S163" s="199">
        <f>1/IF(AG163="EC",12,1)*SUM(U163:U163)</f>
        <v>1</v>
      </c>
      <c r="T163" s="174" t="str">
        <f t="shared" si="62"/>
        <v>Southbound</v>
      </c>
      <c r="U163" s="22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25" t="str">
        <f t="shared" si="63"/>
        <v>https://d0f6bd738d7f1b3e5a7ca70fe4ff75f0.us-east-1.aws.found.io/app/kibana#/discover/Steve-Slow-Train-Analysis-(2080s-and-2083s)?_g=(refreshInterval:(display:Off,pause:!f,section:0,value:0),time:(from:'2017-10-12T06:57:39-0600',mode:absolute,to:'2017-10-12T09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3" s="226" t="str">
        <f>IF(AA163&lt;VLOOKUP(AG163,Variables!$AC$3:$AD$8,2,FALSE),"Y","N")</f>
        <v>N</v>
      </c>
      <c r="X163" s="226">
        <f t="shared" si="64"/>
        <v>1</v>
      </c>
      <c r="Y163" s="226">
        <f t="shared" si="80"/>
        <v>5.8696000000000002</v>
      </c>
      <c r="Z163" s="226">
        <f t="shared" si="81"/>
        <v>1.6400000000000001E-2</v>
      </c>
      <c r="AA163" s="226">
        <f t="shared" si="65"/>
        <v>5.8532000000000002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6"/>
        <v>810</v>
      </c>
      <c r="AE163" s="77" t="str">
        <f t="shared" si="67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63" s="74" t="str">
        <f t="shared" si="68"/>
        <v>"C:\Program Files (x86)\AstroGrep\AstroGrep.exe" /e /r /s /spath="%USERPROFILE%\AppData\Local\Temp\OnboardLogs" /stypes="app*4029*20171012*" /stext=" 14:.+((SYSTEM_STATE.+slice.+state.+changed )|(ment ac)|(multiple cpu faults)|(system.+state.+changed )|(\[timeout)|(PRM\|1\|D)|(kpr)|(kdp)|(train st.+moving)|(\|lc)|(penalty))"</v>
      </c>
      <c r="AG163" s="182" t="str">
        <f t="shared" si="69"/>
        <v>NW</v>
      </c>
      <c r="AH163" s="78" t="str">
        <f t="shared" si="70"/>
        <v>"%USERPROFILE%\Documents\GitHub\eaglep3\Utilities\RefineRTDCRunTimes.py" --tripid 810-12 --locoid 4029 --swversion DE.1.0.9.0 --startMP 300:58696 --initTime 2017-10-12T07:57:39 --startdatetime 2017-10-12T08:13:03 --delay 61 --endMP 204:164 --enddatetime 2017-10-12T08:26:28 --enforcementcount 0 &gt;&gt;%USERPROFILE%\Documents\GitHub\eaglep3-reporting\EC\2017-10-12-refined-times.txt</v>
      </c>
      <c r="AI163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{"issue":{"subject":"","project_id":79,"tracker_id":40,"status_id":1,"priority_id":2,"assigned_to_id":338,"start_date":"2017-10-12","description":"","custom_fields":[{"id":1,"name":"Subdivision","value":"NW"},{"id":4,"name":"Milepost","value":"0.0164"},{"id":17,"name":"Train ID","value":"810-12"},{"id":16,"name":"Locomotive ID","value":"4029"},{"id":130,"name":"Impact","value":""},{"id":150,"name":"Time of Event (Mountain Time)","value":"08:26:28"},{"id":151,"name":"Denver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72"/>
        <v>start /low /b %USERPROFILE%\Documents\GitHub\eaglep3\Utilities\DownloadLogsFromS3.py --loco 4029 --day 2017-10-12</v>
      </c>
      <c r="AN163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4"/>
        <v>https://d0f6bd738d7f1b3e5a7ca70fe4ff75f0.us-east-1.aws.found.io/app/kibana#/discover/Steve-Slow-Train-Analysis-(2080s-and-2083s)?_g=(refreshInterval:(display:Off,pause:!f,section:0,value:0),time:(from:'2017-10-12T06:57:39-0600',mode:absolute,to:'2017-10-12T09:26:28-0600'))&amp;_a=(columns:!('Message%20ID',Summary),filters:!(),index:'emp_*',interval:auto,query:(query_string:(analyze_wildcard:!t,query:'%22rtdc.l.rtdc.4029%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570</v>
      </c>
      <c r="B164" s="7">
        <v>4042</v>
      </c>
      <c r="C164" s="21" t="s">
        <v>194</v>
      </c>
      <c r="D164" s="21" t="s">
        <v>451</v>
      </c>
      <c r="E164" s="13">
        <v>43020.330972222226</v>
      </c>
      <c r="F164" s="13">
        <v>43020.340104166666</v>
      </c>
      <c r="G164" s="7">
        <v>52</v>
      </c>
      <c r="H164" s="21" t="s">
        <v>913</v>
      </c>
      <c r="I164" s="13">
        <v>43020.350555555553</v>
      </c>
      <c r="J164" s="7">
        <v>0</v>
      </c>
      <c r="K164" s="89" t="str">
        <f t="shared" si="58"/>
        <v>4041/4042</v>
      </c>
      <c r="L164" s="185" t="str">
        <f>VLOOKUP(A164,'Trips&amp;Operators'!$C$1:$G$99911,5,FALSE)</f>
        <v>FORTUNATO FRANK</v>
      </c>
      <c r="M164" s="6">
        <f t="shared" si="59"/>
        <v>1.0451388887304347E-2</v>
      </c>
      <c r="N164" s="7"/>
      <c r="O164" s="7"/>
      <c r="P164" s="7"/>
      <c r="Q164" s="22"/>
      <c r="R164" s="174"/>
      <c r="S164" s="199"/>
      <c r="T164" s="174" t="str">
        <f t="shared" si="62"/>
        <v>NorthBound</v>
      </c>
      <c r="U164" s="22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225" t="str">
        <f t="shared" si="63"/>
        <v>https://d0f6bd738d7f1b3e5a7ca70fe4ff75f0.us-east-1.aws.found.io/app/kibana#/discover/Steve-Slow-Train-Analysis-(2080s-and-2083s)?_g=(refreshInterval:(display:Off,pause:!f,section:0,value:0),time:(from:'2017-10-12T06:56:36-0600',mode:absolute,to:'2017-10-12T09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4" s="226" t="str">
        <f>IF(AA164&lt;VLOOKUP(AG164,Variables!$AC$3:$AD$8,2,FALSE),"Y","N")</f>
        <v>Y</v>
      </c>
      <c r="X164" s="226">
        <f t="shared" si="64"/>
        <v>1</v>
      </c>
      <c r="Y164" s="226">
        <f t="shared" si="80"/>
        <v>9.8100000000000007E-2</v>
      </c>
      <c r="Z164" s="226">
        <f t="shared" si="81"/>
        <v>9.8299999999999998E-2</v>
      </c>
      <c r="AA164" s="226">
        <f t="shared" si="65"/>
        <v>1.9999999999999185E-4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6"/>
        <v>811</v>
      </c>
      <c r="AE164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64" s="74" t="str">
        <f t="shared" si="68"/>
        <v>"C:\Program Files (x86)\AstroGrep\AstroGrep.exe" /e /r /s /spath="%USERPROFILE%\AppData\Local\Temp\OnboardLogs" /stypes="app*4042*20171012*" /stext=" 14:.+((SYSTEM_STATE.+slice.+state.+changed )|(ment ac)|(multiple cpu faults)|(system.+state.+changed )|(\[timeout)|(PRM\|1\|D)|(kpr)|(kdp)|(train st.+moving)|(\|lc)|(penalty))"</v>
      </c>
      <c r="AG164" s="182" t="str">
        <f t="shared" si="69"/>
        <v>NW</v>
      </c>
      <c r="AH164" s="78" t="str">
        <f t="shared" si="70"/>
        <v>"%USERPROFILE%\Documents\GitHub\eaglep3\Utilities\RefineRTDCRunTimes.py" --tripid 811-12 --locoid 4042 --swversion DE.1.0.9.0 --startMP 204:981 --initTime 2017-10-12T07:56:36 --startdatetime 2017-10-12T08:09:45 --delay 52 --endMP 204:983 --enddatetime 2017-10-12T08:24:48 --enforcementcount 0 &gt;&gt;%USERPROFILE%\Documents\GitHub\eaglep3-reporting\EC\2017-10-12-refined-times.txt</v>
      </c>
      <c r="AI164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{"issue":{"subject":"","project_id":79,"tracker_id":40,"status_id":1,"priority_id":2,"assigned_to_id":338,"start_date":"2017-10-12","description":"","custom_fields":[{"id":1,"name":"Subdivision","value":"NW"},{"id":4,"name":"Milepost","value":"0.0983"},{"id":17,"name":"Train ID","value":"811-12"},{"id":16,"name":"Locomotive ID","value":"4042"},{"id":130,"name":"Impact","value":""},{"id":150,"name":"Time of Event (Mountain Time)","value":"08:24:48"},{"id":151,"name":"Denver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72"/>
        <v>start /low /b %USERPROFILE%\Documents\GitHub\eaglep3\Utilities\DownloadLogsFromS3.py --loco 4042 --day 2017-10-12</v>
      </c>
      <c r="AN164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4"/>
        <v>https://d0f6bd738d7f1b3e5a7ca70fe4ff75f0.us-east-1.aws.found.io/app/kibana#/discover/Steve-Slow-Train-Analysis-(2080s-and-2083s)?_g=(refreshInterval:(display:Off,pause:!f,section:0,value:0),time:(from:'2017-10-12T06:56:36-0600',mode:absolute,to:'2017-10-12T09:24:48-0600'))&amp;_a=(columns:!('Message%20ID',Summary),filters:!(),index:'emp_*',interval:auto,query:(query_string:(analyze_wildcard:!t,query:'%22rtdc.l.rtdc.4042%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570</v>
      </c>
      <c r="B165" s="7">
        <v>4042</v>
      </c>
      <c r="C165" s="21" t="s">
        <v>194</v>
      </c>
      <c r="D165" s="21" t="s">
        <v>922</v>
      </c>
      <c r="E165" s="13">
        <v>43020.338263888887</v>
      </c>
      <c r="F165" s="13">
        <v>43020.340104166666</v>
      </c>
      <c r="G165" s="7">
        <v>50</v>
      </c>
      <c r="H165" s="21" t="s">
        <v>923</v>
      </c>
      <c r="I165" s="13">
        <v>43020.350555555553</v>
      </c>
      <c r="J165" s="7">
        <v>0</v>
      </c>
      <c r="K165" s="89" t="str">
        <f t="shared" si="58"/>
        <v>4041/4042</v>
      </c>
      <c r="L165" s="185" t="str">
        <f>VLOOKUP(A165,'Trips&amp;Operators'!$C$1:$G$99911,5,FALSE)</f>
        <v>FORTUNATO FRANK</v>
      </c>
      <c r="M165" s="6">
        <f t="shared" si="59"/>
        <v>1.0451388887304347E-2</v>
      </c>
      <c r="N165" s="7">
        <f t="shared" ref="N165:N177" si="82">24*60*SUM($M165:$M165)</f>
        <v>15.04999999771826</v>
      </c>
      <c r="O165" s="7"/>
      <c r="P165" s="7"/>
      <c r="Q165" s="22"/>
      <c r="R165" s="174"/>
      <c r="S165" s="199">
        <f t="shared" ref="S165:S177" si="83">1/IF(AG165="EC",12,1)*SUM(U165:U165)</f>
        <v>1</v>
      </c>
      <c r="T165" s="174" t="str">
        <f t="shared" si="62"/>
        <v>NorthBound</v>
      </c>
      <c r="U165" s="22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25" t="str">
        <f t="shared" si="63"/>
        <v>https://d0f6bd738d7f1b3e5a7ca70fe4ff75f0.us-east-1.aws.found.io/app/kibana#/discover/Steve-Slow-Train-Analysis-(2080s-and-2083s)?_g=(refreshInterval:(display:Off,pause:!f,section:0,value:0),time:(from:'2017-10-12T07:07:06-0600',mode:absolute,to:'2017-10-12T09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5" s="226" t="str">
        <f>IF(AA165&lt;VLOOKUP(AG165,Variables!$AC$3:$AD$8,2,FALSE),"Y","N")</f>
        <v>N</v>
      </c>
      <c r="X165" s="226">
        <f t="shared" si="64"/>
        <v>0</v>
      </c>
      <c r="Y165" s="226">
        <f t="shared" si="80"/>
        <v>0.16930000000000001</v>
      </c>
      <c r="Z165" s="226">
        <f t="shared" si="81"/>
        <v>5.8979999999999997</v>
      </c>
      <c r="AA165" s="226">
        <f t="shared" si="65"/>
        <v>5.7286999999999999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6"/>
        <v>811</v>
      </c>
      <c r="AE165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65" s="74" t="str">
        <f t="shared" si="68"/>
        <v>"C:\Program Files (x86)\AstroGrep\AstroGrep.exe" /e /r /s /spath="%USERPROFILE%\AppData\Local\Temp\OnboardLogs" /stypes="app*4042*20171012*" /stext=" 14:.+((SYSTEM_STATE.+slice.+state.+changed )|(ment ac)|(multiple cpu faults)|(system.+state.+changed )|(\[timeout)|(PRM\|1\|D)|(kpr)|(kdp)|(train st.+moving)|(\|lc)|(penalty))"</v>
      </c>
      <c r="AG165" s="182" t="str">
        <f t="shared" si="69"/>
        <v>NW</v>
      </c>
      <c r="AH165" s="78" t="str">
        <f t="shared" si="70"/>
        <v>"%USERPROFILE%\Documents\GitHub\eaglep3\Utilities\RefineRTDCRunTimes.py" --tripid 811-12 --locoid 4042 --swversion DE.1.0.9.0 --startMP 204:1693 --initTime 2017-10-12T08:07:06 --startdatetime 2017-10-12T08:09:45 --delay 50 --endMP 300:58980 --enddatetime 2017-10-12T08:24:48 --enforcementcount 0 &gt;&gt;%USERPROFILE%\Documents\GitHub\eaglep3-reporting\EC\2017-10-12-refined-times.txt</v>
      </c>
      <c r="AI165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{"issue":{"subject":"","project_id":79,"tracker_id":40,"status_id":1,"priority_id":2,"assigned_to_id":338,"start_date":"2017-10-12","description":"","custom_fields":[{"id":1,"name":"Subdivision","value":"NW"},{"id":4,"name":"Milepost","value":"5.898"},{"id":17,"name":"Train ID","value":"811-12"},{"id":16,"name":"Locomotive ID","value":"4042"},{"id":130,"name":"Impact","value":""},{"id":150,"name":"Time of Event (Mountain Time)","value":"08:24:48"},{"id":151,"name":"Denver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72"/>
        <v>start /low /b %USERPROFILE%\Documents\GitHub\eaglep3\Utilities\DownloadLogsFromS3.py --loco 4042 --day 2017-10-12</v>
      </c>
      <c r="AN165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4"/>
        <v>https://d0f6bd738d7f1b3e5a7ca70fe4ff75f0.us-east-1.aws.found.io/app/kibana#/discover/Steve-Slow-Train-Analysis-(2080s-and-2083s)?_g=(refreshInterval:(display:Off,pause:!f,section:0,value:0),time:(from:'2017-10-12T07:07:06-0600',mode:absolute,to:'2017-10-12T09:24:48-0600'))&amp;_a=(columns:!('Message%20ID',Summary),filters:!(),index:'emp_*',interval:auto,query:(query_string:(analyze_wildcard:!t,query:'%22rtdc.l.rtdc.4042%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663</v>
      </c>
      <c r="B166" s="7">
        <v>4041</v>
      </c>
      <c r="C166" s="21" t="s">
        <v>194</v>
      </c>
      <c r="D166" s="21" t="s">
        <v>555</v>
      </c>
      <c r="E166" s="13">
        <v>43020.351793981485</v>
      </c>
      <c r="F166" s="13">
        <v>43020.363194444442</v>
      </c>
      <c r="G166" s="7">
        <v>47</v>
      </c>
      <c r="H166" s="21" t="s">
        <v>924</v>
      </c>
      <c r="I166" s="13">
        <v>43020.371550925927</v>
      </c>
      <c r="J166" s="7">
        <v>0</v>
      </c>
      <c r="K166" s="89" t="str">
        <f t="shared" si="58"/>
        <v>4041/4042</v>
      </c>
      <c r="L166" s="185" t="str">
        <f>VLOOKUP(A166,'Trips&amp;Operators'!$C$1:$G$99911,5,FALSE)</f>
        <v>FORTUNATO FRANK</v>
      </c>
      <c r="M166" s="6">
        <f t="shared" si="59"/>
        <v>8.3564814849523827E-3</v>
      </c>
      <c r="N166" s="7">
        <f t="shared" si="82"/>
        <v>12.033333338331431</v>
      </c>
      <c r="O166" s="7"/>
      <c r="P166" s="7"/>
      <c r="Q166" s="22"/>
      <c r="R166" s="174"/>
      <c r="S166" s="199">
        <f t="shared" si="83"/>
        <v>1</v>
      </c>
      <c r="T166" s="174" t="str">
        <f t="shared" si="62"/>
        <v>Southbound</v>
      </c>
      <c r="U166" s="22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25" t="str">
        <f t="shared" si="63"/>
        <v>https://d0f6bd738d7f1b3e5a7ca70fe4ff75f0.us-east-1.aws.found.io/app/kibana#/discover/Steve-Slow-Train-Analysis-(2080s-and-2083s)?_g=(refreshInterval:(display:Off,pause:!f,section:0,value:0),time:(from:'2017-10-12T07:26:35-0600',mode:absolute,to:'2017-10-12T09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6" s="226" t="str">
        <f>IF(AA166&lt;VLOOKUP(AG166,Variables!$AC$3:$AD$8,2,FALSE),"Y","N")</f>
        <v>N</v>
      </c>
      <c r="X166" s="226">
        <f t="shared" si="64"/>
        <v>1</v>
      </c>
      <c r="Y166" s="226">
        <f t="shared" si="80"/>
        <v>5.8644999999999996</v>
      </c>
      <c r="Z166" s="226">
        <f t="shared" si="81"/>
        <v>7.0999999999999994E-2</v>
      </c>
      <c r="AA166" s="226">
        <f t="shared" si="65"/>
        <v>5.7934999999999999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6"/>
        <v>812</v>
      </c>
      <c r="AE166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66" s="74" t="str">
        <f t="shared" si="68"/>
        <v>"C:\Program Files (x86)\AstroGrep\AstroGrep.exe" /e /r /s /spath="%USERPROFILE%\AppData\Local\Temp\OnboardLogs" /stypes="app*4041*20171012*" /stext=" 14:.+((SYSTEM_STATE.+slice.+state.+changed )|(ment ac)|(multiple cpu faults)|(system.+state.+changed )|(\[timeout)|(PRM\|1\|D)|(kpr)|(kdp)|(train st.+moving)|(\|lc)|(penalty))"</v>
      </c>
      <c r="AG166" s="182" t="str">
        <f t="shared" si="69"/>
        <v>NW</v>
      </c>
      <c r="AH166" s="78" t="str">
        <f t="shared" si="70"/>
        <v>"%USERPROFILE%\Documents\GitHub\eaglep3\Utilities\RefineRTDCRunTimes.py" --tripid 812-12 --locoid 4041 --swversion DE.1.0.9.0 --startMP 300:58645 --initTime 2017-10-12T08:26:35 --startdatetime 2017-10-12T08:43:00 --delay 47 --endMP 204:710 --enddatetime 2017-10-12T08:55:02 --enforcementcount 0 &gt;&gt;%USERPROFILE%\Documents\GitHub\eaglep3-reporting\EC\2017-10-12-refined-times.txt</v>
      </c>
      <c r="AI166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{"issue":{"subject":"","project_id":79,"tracker_id":40,"status_id":1,"priority_id":2,"assigned_to_id":338,"start_date":"2017-10-12","description":"","custom_fields":[{"id":1,"name":"Subdivision","value":"NW"},{"id":4,"name":"Milepost","value":"0.071"},{"id":17,"name":"Train ID","value":"812-12"},{"id":16,"name":"Locomotive ID","value":"4041"},{"id":130,"name":"Impact","value":""},{"id":150,"name":"Time of Event (Mountain Time)","value":"08:55:02"},{"id":151,"name":"Denver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72"/>
        <v>start /low /b %USERPROFILE%\Documents\GitHub\eaglep3\Utilities\DownloadLogsFromS3.py --loco 4041 --day 2017-10-12</v>
      </c>
      <c r="AN166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14:55:02"},{"id":29,"name":"Sharepoint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4"/>
        <v>https://d0f6bd738d7f1b3e5a7ca70fe4ff75f0.us-east-1.aws.found.io/app/kibana#/discover/Steve-Slow-Train-Analysis-(2080s-and-2083s)?_g=(refreshInterval:(display:Off,pause:!f,section:0,value:0),time:(from:'2017-10-12T07:26:35-0600',mode:absolute,to:'2017-10-12T09:55:02-0600'))&amp;_a=(columns:!('Message%20ID',Summary),filters:!(),index:'emp_*',interval:auto,query:(query_string:(analyze_wildcard:!t,query:'%22rtdc.l.rtdc.4041%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669</v>
      </c>
      <c r="B167" s="7">
        <v>4042</v>
      </c>
      <c r="C167" s="21" t="s">
        <v>194</v>
      </c>
      <c r="D167" s="21" t="s">
        <v>430</v>
      </c>
      <c r="E167" s="13">
        <v>43020.373368055552</v>
      </c>
      <c r="F167" s="13">
        <v>43020.381388888891</v>
      </c>
      <c r="G167" s="7">
        <v>50</v>
      </c>
      <c r="H167" s="21" t="s">
        <v>549</v>
      </c>
      <c r="I167" s="13">
        <v>43020.391134259262</v>
      </c>
      <c r="J167" s="7">
        <v>0</v>
      </c>
      <c r="K167" s="89" t="str">
        <f t="shared" si="58"/>
        <v>4041/4042</v>
      </c>
      <c r="L167" s="185" t="str">
        <f>VLOOKUP(A167,'Trips&amp;Operators'!$C$1:$G$99911,5,FALSE)</f>
        <v>FORTUNATO FRANK</v>
      </c>
      <c r="M167" s="6">
        <f t="shared" si="59"/>
        <v>9.7453703710925765E-3</v>
      </c>
      <c r="N167" s="7">
        <f t="shared" si="82"/>
        <v>14.03333333437331</v>
      </c>
      <c r="O167" s="7"/>
      <c r="P167" s="7"/>
      <c r="Q167" s="22"/>
      <c r="R167" s="174"/>
      <c r="S167" s="199">
        <f t="shared" si="83"/>
        <v>1</v>
      </c>
      <c r="T167" s="174" t="str">
        <f t="shared" si="62"/>
        <v>NorthBound</v>
      </c>
      <c r="U167" s="22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25" t="str">
        <f t="shared" si="63"/>
        <v>https://d0f6bd738d7f1b3e5a7ca70fe4ff75f0.us-east-1.aws.found.io/app/kibana#/discover/Steve-Slow-Train-Analysis-(2080s-and-2083s)?_g=(refreshInterval:(display:Off,pause:!f,section:0,value:0),time:(from:'2017-10-12T07:57:39-0600',mode:absolute,to:'2017-10-12T10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7" s="226" t="str">
        <f>IF(AA167&lt;VLOOKUP(AG167,Variables!$AC$3:$AD$8,2,FALSE),"Y","N")</f>
        <v>N</v>
      </c>
      <c r="X167" s="226">
        <f t="shared" si="64"/>
        <v>1</v>
      </c>
      <c r="Y167" s="226">
        <f t="shared" si="80"/>
        <v>9.9199999999999997E-2</v>
      </c>
      <c r="Z167" s="226">
        <f t="shared" si="81"/>
        <v>5.8964999999999996</v>
      </c>
      <c r="AA167" s="226">
        <f t="shared" si="65"/>
        <v>5.7972999999999999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6"/>
        <v>813</v>
      </c>
      <c r="AE167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67" s="74" t="str">
        <f t="shared" si="68"/>
        <v>"C:\Program Files (x86)\AstroGrep\AstroGrep.exe" /e /r /s /spath="%USERPROFILE%\AppData\Local\Temp\OnboardLogs" /stypes="app*4042*20171012*" /stext=" 15:.+((SYSTEM_STATE.+slice.+state.+changed )|(ment ac)|(multiple cpu faults)|(system.+state.+changed )|(\[timeout)|(PRM\|1\|D)|(kpr)|(kdp)|(train st.+moving)|(\|lc)|(penalty))"</v>
      </c>
      <c r="AG167" s="182" t="str">
        <f t="shared" si="69"/>
        <v>NW</v>
      </c>
      <c r="AH167" s="78" t="str">
        <f t="shared" si="70"/>
        <v>"%USERPROFILE%\Documents\GitHub\eaglep3\Utilities\RefineRTDCRunTimes.py" --tripid 813-12 --locoid 4042 --swversion DE.1.0.9.0 --startMP 204:992 --initTime 2017-10-12T08:57:39 --startdatetime 2017-10-12T09:09:12 --delay 50 --endMP 300:58965 --enddatetime 2017-10-12T09:23:14 --enforcementcount 0 &gt;&gt;%USERPROFILE%\Documents\GitHub\eaglep3-reporting\EC\2017-10-12-refined-times.txt</v>
      </c>
      <c r="AI167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{"issue":{"subject":"","project_id":79,"tracker_id":40,"status_id":1,"priority_id":2,"assigned_to_id":338,"start_date":"2017-10-12","description":"","custom_fields":[{"id":1,"name":"Subdivision","value":"NW"},{"id":4,"name":"Milepost","value":"5.8965"},{"id":17,"name":"Train ID","value":"813-12"},{"id":16,"name":"Locomotive ID","value":"4042"},{"id":130,"name":"Impact","value":""},{"id":150,"name":"Time of Event (Mountain Time)","value":"09:23:14"},{"id":151,"name":"Denver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72"/>
        <v>start /low /b %USERPROFILE%\Documents\GitHub\eaglep3\Utilities\DownloadLogsFromS3.py --loco 4042 --day 2017-10-12</v>
      </c>
      <c r="AN167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4"/>
        <v>https://d0f6bd738d7f1b3e5a7ca70fe4ff75f0.us-east-1.aws.found.io/app/kibana#/discover/Steve-Slow-Train-Analysis-(2080s-and-2083s)?_g=(refreshInterval:(display:Off,pause:!f,section:0,value:0),time:(from:'2017-10-12T07:57:39-0600',mode:absolute,to:'2017-10-12T10:23:14-0600'))&amp;_a=(columns:!('Message%20ID',Summary),filters:!(),index:'emp_*',interval:auto,query:(query_string:(analyze_wildcard:!t,query:'%22rtdc.l.rtdc.4042%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675</v>
      </c>
      <c r="B168" s="7">
        <v>4041</v>
      </c>
      <c r="C168" s="21" t="s">
        <v>194</v>
      </c>
      <c r="D168" s="21" t="s">
        <v>925</v>
      </c>
      <c r="E168" s="13">
        <v>43020.392476851855</v>
      </c>
      <c r="F168" s="13">
        <v>43020.404861111114</v>
      </c>
      <c r="G168" s="7">
        <v>78</v>
      </c>
      <c r="H168" s="21" t="s">
        <v>908</v>
      </c>
      <c r="I168" s="13">
        <v>43020.412905092591</v>
      </c>
      <c r="J168" s="7">
        <v>0</v>
      </c>
      <c r="K168" s="89" t="str">
        <f t="shared" si="58"/>
        <v>4041/4042</v>
      </c>
      <c r="L168" s="185" t="str">
        <f>VLOOKUP(A168,'Trips&amp;Operators'!$C$1:$G$99911,5,FALSE)</f>
        <v>FORTUNATO FRANK</v>
      </c>
      <c r="M168" s="6">
        <f t="shared" si="59"/>
        <v>8.0439814773853868E-3</v>
      </c>
      <c r="N168" s="7">
        <f t="shared" si="82"/>
        <v>11.583333327434957</v>
      </c>
      <c r="O168" s="7"/>
      <c r="P168" s="7"/>
      <c r="Q168" s="22"/>
      <c r="R168" s="174"/>
      <c r="S168" s="199">
        <f t="shared" si="83"/>
        <v>1</v>
      </c>
      <c r="T168" s="174" t="str">
        <f t="shared" si="62"/>
        <v>Southbound</v>
      </c>
      <c r="U168" s="22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25" t="str">
        <f t="shared" si="63"/>
        <v>https://d0f6bd738d7f1b3e5a7ca70fe4ff75f0.us-east-1.aws.found.io/app/kibana#/discover/Steve-Slow-Train-Analysis-(2080s-and-2083s)?_g=(refreshInterval:(display:Off,pause:!f,section:0,value:0),time:(from:'2017-10-12T08:25:10-0600',mode:absolute,to:'2017-10-12T10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8" s="226" t="str">
        <f>IF(AA168&lt;VLOOKUP(AG168,Variables!$AC$3:$AD$8,2,FALSE),"Y","N")</f>
        <v>N</v>
      </c>
      <c r="X168" s="226">
        <f t="shared" si="64"/>
        <v>1</v>
      </c>
      <c r="Y168" s="226">
        <f t="shared" si="80"/>
        <v>5.8638000000000003</v>
      </c>
      <c r="Z168" s="226">
        <f t="shared" si="81"/>
        <v>7.17E-2</v>
      </c>
      <c r="AA168" s="226">
        <f t="shared" si="65"/>
        <v>5.7921000000000005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6"/>
        <v>814</v>
      </c>
      <c r="AE168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68" s="74" t="str">
        <f t="shared" si="68"/>
        <v>"C:\Program Files (x86)\AstroGrep\AstroGrep.exe" /e /r /s /spath="%USERPROFILE%\AppData\Local\Temp\OnboardLogs" /stypes="app*4041*20171012*" /stext=" 15:.+((SYSTEM_STATE.+slice.+state.+changed )|(ment ac)|(multiple cpu faults)|(system.+state.+changed )|(\[timeout)|(PRM\|1\|D)|(kpr)|(kdp)|(train st.+moving)|(\|lc)|(penalty))"</v>
      </c>
      <c r="AG168" s="182" t="str">
        <f t="shared" si="69"/>
        <v>NW</v>
      </c>
      <c r="AH168" s="78" t="str">
        <f t="shared" si="70"/>
        <v>"%USERPROFILE%\Documents\GitHub\eaglep3\Utilities\RefineRTDCRunTimes.py" --tripid 814-12 --locoid 4041 --swversion DE.1.0.9.0 --startMP 300:58638 --initTime 2017-10-12T09:25:10 --startdatetime 2017-10-12T09:43:00 --delay 78 --endMP 204:717 --enddatetime 2017-10-12T09:54:35 --enforcementcount 0 &gt;&gt;%USERPROFILE%\Documents\GitHub\eaglep3-reporting\EC\2017-10-12-refined-times.txt</v>
      </c>
      <c r="AI168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{"issue":{"subject":"","project_id":79,"tracker_id":40,"status_id":1,"priority_id":2,"assigned_to_id":338,"start_date":"2017-10-12","description":"","custom_fields":[{"id":1,"name":"Subdivision","value":"NW"},{"id":4,"name":"Milepost","value":"0.0717"},{"id":17,"name":"Train ID","value":"814-12"},{"id":16,"name":"Locomotive ID","value":"4041"},{"id":130,"name":"Impact","value":""},{"id":150,"name":"Time of Event (Mountain Time)","value":"09:54:35"},{"id":151,"name":"Denver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72"/>
        <v>start /low /b %USERPROFILE%\Documents\GitHub\eaglep3\Utilities\DownloadLogsFromS3.py --loco 4041 --day 2017-10-12</v>
      </c>
      <c r="AN168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15:54:35"},{"id":29,"name":"Sharepoint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4"/>
        <v>https://d0f6bd738d7f1b3e5a7ca70fe4ff75f0.us-east-1.aws.found.io/app/kibana#/discover/Steve-Slow-Train-Analysis-(2080s-and-2083s)?_g=(refreshInterval:(display:Off,pause:!f,section:0,value:0),time:(from:'2017-10-12T08:25:10-0600',mode:absolute,to:'2017-10-12T10:54:35-0600'))&amp;_a=(columns:!('Message%20ID',Summary),filters:!(),index:'emp_*',interval:auto,query:(query_string:(analyze_wildcard:!t,query:'%22rtdc.l.rtdc.4041%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679</v>
      </c>
      <c r="B169" s="7">
        <v>4042</v>
      </c>
      <c r="C169" s="21" t="s">
        <v>194</v>
      </c>
      <c r="D169" s="21" t="s">
        <v>546</v>
      </c>
      <c r="E169" s="13">
        <v>43020.414317129631</v>
      </c>
      <c r="F169" s="13">
        <v>43020.423437500001</v>
      </c>
      <c r="G169" s="7">
        <v>53</v>
      </c>
      <c r="H169" s="21" t="s">
        <v>923</v>
      </c>
      <c r="I169" s="13">
        <v>43020.433206018519</v>
      </c>
      <c r="J169" s="7">
        <v>0</v>
      </c>
      <c r="K169" s="89" t="str">
        <f t="shared" si="58"/>
        <v>4041/4042</v>
      </c>
      <c r="L169" s="185" t="str">
        <f>VLOOKUP(A169,'Trips&amp;Operators'!$C$1:$G$99911,5,FALSE)</f>
        <v>FORTUNATO FRANK</v>
      </c>
      <c r="M169" s="6">
        <f t="shared" si="59"/>
        <v>9.7685185173759237E-3</v>
      </c>
      <c r="N169" s="7">
        <f t="shared" si="82"/>
        <v>14.06666666502133</v>
      </c>
      <c r="O169" s="7"/>
      <c r="P169" s="7"/>
      <c r="Q169" s="22"/>
      <c r="R169" s="174"/>
      <c r="S169" s="199">
        <f t="shared" si="83"/>
        <v>1</v>
      </c>
      <c r="T169" s="174" t="str">
        <f t="shared" si="62"/>
        <v>NorthBound</v>
      </c>
      <c r="U169" s="22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25" t="str">
        <f t="shared" si="63"/>
        <v>https://d0f6bd738d7f1b3e5a7ca70fe4ff75f0.us-east-1.aws.found.io/app/kibana#/discover/Steve-Slow-Train-Analysis-(2080s-and-2083s)?_g=(refreshInterval:(display:Off,pause:!f,section:0,value:0),time:(from:'2017-10-12T08:56:37-0600',mode:absolute,to:'2017-10-12T11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9" s="226" t="str">
        <f>IF(AA169&lt;VLOOKUP(AG169,Variables!$AC$3:$AD$8,2,FALSE),"Y","N")</f>
        <v>N</v>
      </c>
      <c r="X169" s="226">
        <f t="shared" si="64"/>
        <v>1</v>
      </c>
      <c r="Y169" s="226">
        <f t="shared" si="80"/>
        <v>0.1004</v>
      </c>
      <c r="Z169" s="226">
        <f t="shared" si="81"/>
        <v>5.8979999999999997</v>
      </c>
      <c r="AA169" s="226">
        <f t="shared" si="65"/>
        <v>5.7976000000000001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6"/>
        <v>815</v>
      </c>
      <c r="AE169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69" s="74" t="str">
        <f t="shared" si="68"/>
        <v>"C:\Program Files (x86)\AstroGrep\AstroGrep.exe" /e /r /s /spath="%USERPROFILE%\AppData\Local\Temp\OnboardLogs" /stypes="app*4042*20171012*" /stext=" 16:.+((SYSTEM_STATE.+slice.+state.+changed )|(ment ac)|(multiple cpu faults)|(system.+state.+changed )|(\[timeout)|(PRM\|1\|D)|(kpr)|(kdp)|(train st.+moving)|(\|lc)|(penalty))"</v>
      </c>
      <c r="AG169" s="182" t="str">
        <f t="shared" si="69"/>
        <v>NW</v>
      </c>
      <c r="AH169" s="78" t="str">
        <f t="shared" si="70"/>
        <v>"%USERPROFILE%\Documents\GitHub\eaglep3\Utilities\RefineRTDCRunTimes.py" --tripid 815-12 --locoid 4042 --swversion DE.1.0.9.0 --startMP 204:1004 --initTime 2017-10-12T09:56:37 --startdatetime 2017-10-12T10:09:45 --delay 53 --endMP 300:58980 --enddatetime 2017-10-12T10:23:49 --enforcementcount 0 &gt;&gt;%USERPROFILE%\Documents\GitHub\eaglep3-reporting\EC\2017-10-12-refined-times.txt</v>
      </c>
      <c r="AI169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{"issue":{"subject":"","project_id":79,"tracker_id":40,"status_id":1,"priority_id":2,"assigned_to_id":338,"start_date":"2017-10-12","description":"","custom_fields":[{"id":1,"name":"Subdivision","value":"NW"},{"id":4,"name":"Milepost","value":"5.898"},{"id":17,"name":"Train ID","value":"815-12"},{"id":16,"name":"Locomotive ID","value":"4042"},{"id":130,"name":"Impact","value":""},{"id":150,"name":"Time of Event (Mountain Time)","value":"10:23:49"},{"id":151,"name":"Denver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72"/>
        <v>start /low /b %USERPROFILE%\Documents\GitHub\eaglep3\Utilities\DownloadLogsFromS3.py --loco 4042 --day 2017-10-12</v>
      </c>
      <c r="AN169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4"/>
        <v>https://d0f6bd738d7f1b3e5a7ca70fe4ff75f0.us-east-1.aws.found.io/app/kibana#/discover/Steve-Slow-Train-Analysis-(2080s-and-2083s)?_g=(refreshInterval:(display:Off,pause:!f,section:0,value:0),time:(from:'2017-10-12T08:56:37-0600',mode:absolute,to:'2017-10-12T11:23:49-0600'))&amp;_a=(columns:!('Message%20ID',Summary),filters:!(),index:'emp_*',interval:auto,query:(query_string:(analyze_wildcard:!t,query:'%22rtdc.l.rtdc.4042%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685</v>
      </c>
      <c r="B170" s="7">
        <v>4041</v>
      </c>
      <c r="C170" s="21" t="s">
        <v>194</v>
      </c>
      <c r="D170" s="21" t="s">
        <v>547</v>
      </c>
      <c r="E170" s="13">
        <v>43020.434363425928</v>
      </c>
      <c r="F170" s="13">
        <v>43020.446527777778</v>
      </c>
      <c r="G170" s="7">
        <v>66</v>
      </c>
      <c r="H170" s="21" t="s">
        <v>926</v>
      </c>
      <c r="I170" s="13">
        <v>43020.45480324074</v>
      </c>
      <c r="J170" s="7">
        <v>0</v>
      </c>
      <c r="K170" s="89" t="str">
        <f t="shared" si="58"/>
        <v>4041/4042</v>
      </c>
      <c r="L170" s="185" t="str">
        <f>VLOOKUP(A170,'Trips&amp;Operators'!$C$1:$G$99911,5,FALSE)</f>
        <v>FORTUNATO FRANK</v>
      </c>
      <c r="M170" s="6">
        <f t="shared" si="59"/>
        <v>8.2754629620467313E-3</v>
      </c>
      <c r="N170" s="7">
        <f t="shared" si="82"/>
        <v>11.916666665347293</v>
      </c>
      <c r="O170" s="7"/>
      <c r="P170" s="7"/>
      <c r="Q170" s="22"/>
      <c r="R170" s="174"/>
      <c r="S170" s="199">
        <f t="shared" si="83"/>
        <v>1</v>
      </c>
      <c r="T170" s="174" t="str">
        <f t="shared" si="62"/>
        <v>Southbound</v>
      </c>
      <c r="U170" s="22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25" t="str">
        <f t="shared" si="63"/>
        <v>https://d0f6bd738d7f1b3e5a7ca70fe4ff75f0.us-east-1.aws.found.io/app/kibana#/discover/Steve-Slow-Train-Analysis-(2080s-and-2083s)?_g=(refreshInterval:(display:Off,pause:!f,section:0,value:0),time:(from:'2017-10-12T09:25:29-0600',mode:absolute,to:'2017-10-12T11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0" s="226" t="str">
        <f>IF(AA170&lt;VLOOKUP(AG170,Variables!$AC$3:$AD$8,2,FALSE),"Y","N")</f>
        <v>N</v>
      </c>
      <c r="X170" s="226">
        <f t="shared" si="64"/>
        <v>1</v>
      </c>
      <c r="Y170" s="226">
        <f t="shared" si="80"/>
        <v>5.8653000000000004</v>
      </c>
      <c r="Z170" s="226">
        <f t="shared" si="81"/>
        <v>7.1999999999999995E-2</v>
      </c>
      <c r="AA170" s="226">
        <f t="shared" si="65"/>
        <v>5.7933000000000003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6"/>
        <v>816</v>
      </c>
      <c r="AE170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70" s="74" t="str">
        <f t="shared" si="68"/>
        <v>"C:\Program Files (x86)\AstroGrep\AstroGrep.exe" /e /r /s /spath="%USERPROFILE%\AppData\Local\Temp\OnboardLogs" /stypes="app*4041*20171012*" /stext=" 16:.+((SYSTEM_STATE.+slice.+state.+changed )|(ment ac)|(multiple cpu faults)|(system.+state.+changed )|(\[timeout)|(PRM\|1\|D)|(kpr)|(kdp)|(train st.+moving)|(\|lc)|(penalty))"</v>
      </c>
      <c r="AG170" s="182" t="str">
        <f t="shared" si="69"/>
        <v>NW</v>
      </c>
      <c r="AH170" s="78" t="str">
        <f t="shared" si="70"/>
        <v>"%USERPROFILE%\Documents\GitHub\eaglep3\Utilities\RefineRTDCRunTimes.py" --tripid 816-12 --locoid 4041 --swversion DE.1.0.9.0 --startMP 300:58653 --initTime 2017-10-12T10:25:29 --startdatetime 2017-10-12T10:43:00 --delay 66 --endMP 204:720 --enddatetime 2017-10-12T10:54:55 --enforcementcount 0 &gt;&gt;%USERPROFILE%\Documents\GitHub\eaglep3-reporting\EC\2017-10-12-refined-times.txt</v>
      </c>
      <c r="AI170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{"issue":{"subject":"","project_id":79,"tracker_id":40,"status_id":1,"priority_id":2,"assigned_to_id":338,"start_date":"2017-10-12","description":"","custom_fields":[{"id":1,"name":"Subdivision","value":"NW"},{"id":4,"name":"Milepost","value":"0.072"},{"id":17,"name":"Train ID","value":"816-12"},{"id":16,"name":"Locomotive ID","value":"4041"},{"id":130,"name":"Impact","value":""},{"id":150,"name":"Time of Event (Mountain Time)","value":"10:54:55"},{"id":151,"name":"Denver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72"/>
        <v>start /low /b %USERPROFILE%\Documents\GitHub\eaglep3\Utilities\DownloadLogsFromS3.py --loco 4041 --day 2017-10-12</v>
      </c>
      <c r="AN170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4"/>
        <v>https://d0f6bd738d7f1b3e5a7ca70fe4ff75f0.us-east-1.aws.found.io/app/kibana#/discover/Steve-Slow-Train-Analysis-(2080s-and-2083s)?_g=(refreshInterval:(display:Off,pause:!f,section:0,value:0),time:(from:'2017-10-12T09:25:29-0600',mode:absolute,to:'2017-10-12T11:54:55-0600'))&amp;_a=(columns:!('Message%20ID',Summary),filters:!(),index:'emp_*',interval:auto,query:(query_string:(analyze_wildcard:!t,query:'%22rtdc.l.rtdc.4041%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578</v>
      </c>
      <c r="B171" s="7">
        <v>4042</v>
      </c>
      <c r="C171" s="21" t="s">
        <v>194</v>
      </c>
      <c r="D171" s="21" t="s">
        <v>927</v>
      </c>
      <c r="E171" s="13">
        <v>43020.456134259257</v>
      </c>
      <c r="F171" s="13">
        <v>43020.465636574074</v>
      </c>
      <c r="G171" s="7">
        <v>91</v>
      </c>
      <c r="H171" s="21" t="s">
        <v>928</v>
      </c>
      <c r="I171" s="13">
        <v>43020.47552083333</v>
      </c>
      <c r="J171" s="7">
        <v>0</v>
      </c>
      <c r="K171" s="89" t="str">
        <f t="shared" si="58"/>
        <v>4041/4042</v>
      </c>
      <c r="L171" s="185" t="str">
        <f>VLOOKUP(A171,'Trips&amp;Operators'!$C$1:$G$99911,5,FALSE)</f>
        <v>FORTUNATO FRANK</v>
      </c>
      <c r="M171" s="6">
        <f t="shared" si="59"/>
        <v>9.8842592560686171E-3</v>
      </c>
      <c r="N171" s="7">
        <f t="shared" si="82"/>
        <v>14.233333328738809</v>
      </c>
      <c r="O171" s="7"/>
      <c r="P171" s="7"/>
      <c r="Q171" s="22"/>
      <c r="R171" s="174"/>
      <c r="S171" s="199">
        <f t="shared" si="83"/>
        <v>1</v>
      </c>
      <c r="T171" s="174" t="str">
        <f t="shared" si="62"/>
        <v>NorthBound</v>
      </c>
      <c r="U171" s="22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25" t="str">
        <f t="shared" si="63"/>
        <v>https://d0f6bd738d7f1b3e5a7ca70fe4ff75f0.us-east-1.aws.found.io/app/kibana#/discover/Steve-Slow-Train-Analysis-(2080s-and-2083s)?_g=(refreshInterval:(display:Off,pause:!f,section:0,value:0),time:(from:'2017-10-12T09:56:50-0600',mode:absolute,to:'2017-10-12T12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1" s="226" t="str">
        <f>IF(AA171&lt;VLOOKUP(AG171,Variables!$AC$3:$AD$8,2,FALSE),"Y","N")</f>
        <v>N</v>
      </c>
      <c r="X171" s="226">
        <f t="shared" si="64"/>
        <v>1</v>
      </c>
      <c r="Y171" s="226">
        <f t="shared" si="80"/>
        <v>0.1027</v>
      </c>
      <c r="Z171" s="226">
        <f t="shared" si="81"/>
        <v>5.8975999999999997</v>
      </c>
      <c r="AA171" s="226">
        <f t="shared" si="65"/>
        <v>5.7949000000000002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6"/>
        <v>817</v>
      </c>
      <c r="AE171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71" s="74" t="str">
        <f t="shared" si="68"/>
        <v>"C:\Program Files (x86)\AstroGrep\AstroGrep.exe" /e /r /s /spath="%USERPROFILE%\AppData\Local\Temp\OnboardLogs" /stypes="app*4042*20171012*" /stext=" 17:.+((SYSTEM_STATE.+slice.+state.+changed )|(ment ac)|(multiple cpu faults)|(system.+state.+changed )|(\[timeout)|(PRM\|1\|D)|(kpr)|(kdp)|(train st.+moving)|(\|lc)|(penalty))"</v>
      </c>
      <c r="AG171" s="182" t="str">
        <f t="shared" si="69"/>
        <v>NW</v>
      </c>
      <c r="AH171" s="78" t="str">
        <f t="shared" si="70"/>
        <v>"%USERPROFILE%\Documents\GitHub\eaglep3\Utilities\RefineRTDCRunTimes.py" --tripid 817-12 --locoid 4042 --swversion DE.1.0.9.0 --startMP 204:1027 --initTime 2017-10-12T10:56:50 --startdatetime 2017-10-12T11:10:31 --delay 91 --endMP 300:58976 --enddatetime 2017-10-12T11:24:45 --enforcementcount 0 &gt;&gt;%USERPROFILE%\Documents\GitHub\eaglep3-reporting\EC\2017-10-12-refined-times.txt</v>
      </c>
      <c r="AI171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{"issue":{"subject":"","project_id":79,"tracker_id":40,"status_id":1,"priority_id":2,"assigned_to_id":338,"start_date":"2017-10-12","description":"","custom_fields":[{"id":1,"name":"Subdivision","value":"NW"},{"id":4,"name":"Milepost","value":"5.8976"},{"id":17,"name":"Train ID","value":"817-12"},{"id":16,"name":"Locomotive ID","value":"4042"},{"id":130,"name":"Impact","value":""},{"id":150,"name":"Time of Event (Mountain Time)","value":"11:24:45"},{"id":151,"name":"Denver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72"/>
        <v>start /low /b %USERPROFILE%\Documents\GitHub\eaglep3\Utilities\DownloadLogsFromS3.py --loco 4042 --day 2017-10-12</v>
      </c>
      <c r="AN171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4"/>
        <v>https://d0f6bd738d7f1b3e5a7ca70fe4ff75f0.us-east-1.aws.found.io/app/kibana#/discover/Steve-Slow-Train-Analysis-(2080s-and-2083s)?_g=(refreshInterval:(display:Off,pause:!f,section:0,value:0),time:(from:'2017-10-12T09:56:50-0600',mode:absolute,to:'2017-10-12T12:24:45-0600'))&amp;_a=(columns:!('Message%20ID',Summary),filters:!(),index:'emp_*',interval:auto,query:(query_string:(analyze_wildcard:!t,query:'%22rtdc.l.rtdc.4042%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695</v>
      </c>
      <c r="B172" s="7">
        <v>4041</v>
      </c>
      <c r="C172" s="21" t="s">
        <v>194</v>
      </c>
      <c r="D172" s="21" t="s">
        <v>487</v>
      </c>
      <c r="E172" s="13">
        <v>43020.476921296293</v>
      </c>
      <c r="F172" s="13">
        <v>43020.488194444442</v>
      </c>
      <c r="G172" s="7">
        <v>59</v>
      </c>
      <c r="H172" s="21" t="s">
        <v>929</v>
      </c>
      <c r="I172" s="13">
        <v>43020.49732638889</v>
      </c>
      <c r="J172" s="7">
        <v>0</v>
      </c>
      <c r="K172" s="89" t="str">
        <f t="shared" si="58"/>
        <v>4041/4042</v>
      </c>
      <c r="L172" s="185" t="str">
        <f>VLOOKUP(A172,'Trips&amp;Operators'!$C$1:$G$99911,5,FALSE)</f>
        <v>FORTUNATO FRANK</v>
      </c>
      <c r="M172" s="6">
        <f t="shared" si="59"/>
        <v>9.1319444472901523E-3</v>
      </c>
      <c r="N172" s="7">
        <f t="shared" si="82"/>
        <v>13.150000004097819</v>
      </c>
      <c r="O172" s="7"/>
      <c r="P172" s="7"/>
      <c r="Q172" s="22"/>
      <c r="R172" s="174"/>
      <c r="S172" s="199">
        <f t="shared" si="83"/>
        <v>1</v>
      </c>
      <c r="T172" s="174" t="str">
        <f t="shared" si="62"/>
        <v>Southbound</v>
      </c>
      <c r="U172" s="22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25" t="str">
        <f t="shared" si="63"/>
        <v>https://d0f6bd738d7f1b3e5a7ca70fe4ff75f0.us-east-1.aws.found.io/app/kibana#/discover/Steve-Slow-Train-Analysis-(2080s-and-2083s)?_g=(refreshInterval:(display:Off,pause:!f,section:0,value:0),time:(from:'2017-10-12T10:26:46-0600',mode:absolute,to:'2017-10-12T12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2" s="226" t="str">
        <f>IF(AA172&lt;VLOOKUP(AG172,Variables!$AC$3:$AD$8,2,FALSE),"Y","N")</f>
        <v>N</v>
      </c>
      <c r="X172" s="226">
        <f t="shared" si="64"/>
        <v>1</v>
      </c>
      <c r="Y172" s="226">
        <f t="shared" si="80"/>
        <v>5.8654999999999999</v>
      </c>
      <c r="Z172" s="226">
        <f t="shared" si="81"/>
        <v>7.2700000000000001E-2</v>
      </c>
      <c r="AA172" s="226">
        <f t="shared" si="65"/>
        <v>5.7927999999999997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6"/>
        <v>818</v>
      </c>
      <c r="AE172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72" s="74" t="str">
        <f t="shared" si="68"/>
        <v>"C:\Program Files (x86)\AstroGrep\AstroGrep.exe" /e /r /s /spath="%USERPROFILE%\AppData\Local\Temp\OnboardLogs" /stypes="app*4041*20171012*" /stext=" 17:.+((SYSTEM_STATE.+slice.+state.+changed )|(ment ac)|(multiple cpu faults)|(system.+state.+changed )|(\[timeout)|(PRM\|1\|D)|(kpr)|(kdp)|(train st.+moving)|(\|lc)|(penalty))"</v>
      </c>
      <c r="AG172" s="182" t="str">
        <f t="shared" si="69"/>
        <v>NW</v>
      </c>
      <c r="AH172" s="78" t="str">
        <f t="shared" si="70"/>
        <v>"%USERPROFILE%\Documents\GitHub\eaglep3\Utilities\RefineRTDCRunTimes.py" --tripid 818-12 --locoid 4041 --swversion DE.1.0.9.0 --startMP 300:58655 --initTime 2017-10-12T11:26:46 --startdatetime 2017-10-12T11:43:00 --delay 59 --endMP 204:727 --enddatetime 2017-10-12T11:56:09 --enforcementcount 0 &gt;&gt;%USERPROFILE%\Documents\GitHub\eaglep3-reporting\EC\2017-10-12-refined-times.txt</v>
      </c>
      <c r="AI172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{"issue":{"subject":"","project_id":79,"tracker_id":40,"status_id":1,"priority_id":2,"assigned_to_id":338,"start_date":"2017-10-12","description":"","custom_fields":[{"id":1,"name":"Subdivision","value":"NW"},{"id":4,"name":"Milepost","value":"0.0727"},{"id":17,"name":"Train ID","value":"818-12"},{"id":16,"name":"Locomotive ID","value":"4041"},{"id":130,"name":"Impact","value":""},{"id":150,"name":"Time of Event (Mountain Time)","value":"11:56:09"},{"id":151,"name":"Denver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72"/>
        <v>start /low /b %USERPROFILE%\Documents\GitHub\eaglep3\Utilities\DownloadLogsFromS3.py --loco 4041 --day 2017-10-12</v>
      </c>
      <c r="AN172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4"/>
        <v>https://d0f6bd738d7f1b3e5a7ca70fe4ff75f0.us-east-1.aws.found.io/app/kibana#/discover/Steve-Slow-Train-Analysis-(2080s-and-2083s)?_g=(refreshInterval:(display:Off,pause:!f,section:0,value:0),time:(from:'2017-10-12T10:26:46-0600',mode:absolute,to:'2017-10-12T12:56:09-0600'))&amp;_a=(columns:!('Message%20ID',Summary),filters:!(),index:'emp_*',interval:auto,query:(query_string:(analyze_wildcard:!t,query:'%22rtdc.l.rtdc.4041%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701</v>
      </c>
      <c r="B173" s="7">
        <v>4042</v>
      </c>
      <c r="C173" s="21" t="s">
        <v>194</v>
      </c>
      <c r="D173" s="21" t="s">
        <v>930</v>
      </c>
      <c r="E173" s="13">
        <v>43020.498530092591</v>
      </c>
      <c r="F173" s="13">
        <v>43020.506412037037</v>
      </c>
      <c r="G173" s="7">
        <v>59</v>
      </c>
      <c r="H173" s="21" t="s">
        <v>931</v>
      </c>
      <c r="I173" s="13">
        <v>43020.516412037039</v>
      </c>
      <c r="J173" s="7">
        <v>0</v>
      </c>
      <c r="K173" s="89" t="str">
        <f t="shared" si="58"/>
        <v>4041/4042</v>
      </c>
      <c r="L173" s="185" t="str">
        <f>VLOOKUP(A173,'Trips&amp;Operators'!$C$1:$G$99911,5,FALSE)</f>
        <v>FORTUNATO FRANK</v>
      </c>
      <c r="M173" s="6">
        <f t="shared" si="59"/>
        <v>1.0000000002037268E-2</v>
      </c>
      <c r="N173" s="7">
        <f t="shared" si="82"/>
        <v>14.400000002933666</v>
      </c>
      <c r="O173" s="7"/>
      <c r="P173" s="7"/>
      <c r="Q173" s="22"/>
      <c r="R173" s="174"/>
      <c r="S173" s="199">
        <f t="shared" si="83"/>
        <v>1</v>
      </c>
      <c r="T173" s="174" t="str">
        <f t="shared" si="62"/>
        <v>NorthBound</v>
      </c>
      <c r="U173" s="22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25" t="str">
        <f t="shared" si="63"/>
        <v>https://d0f6bd738d7f1b3e5a7ca70fe4ff75f0.us-east-1.aws.found.io/app/kibana#/discover/Steve-Slow-Train-Analysis-(2080s-and-2083s)?_g=(refreshInterval:(display:Off,pause:!f,section:0,value:0),time:(from:'2017-10-12T10:57:53-0600',mode:absolute,to:'2017-10-12T13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3" s="226" t="str">
        <f>IF(AA173&lt;VLOOKUP(AG173,Variables!$AC$3:$AD$8,2,FALSE),"Y","N")</f>
        <v>N</v>
      </c>
      <c r="X173" s="226">
        <f t="shared" si="64"/>
        <v>1</v>
      </c>
      <c r="Y173" s="226">
        <f t="shared" si="80"/>
        <v>9.9299999999999999E-2</v>
      </c>
      <c r="Z173" s="226">
        <f t="shared" si="81"/>
        <v>5.899</v>
      </c>
      <c r="AA173" s="226">
        <f t="shared" si="65"/>
        <v>5.7996999999999996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6"/>
        <v>819</v>
      </c>
      <c r="AE173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73" s="74" t="str">
        <f t="shared" si="68"/>
        <v>"C:\Program Files (x86)\AstroGrep\AstroGrep.exe" /e /r /s /spath="%USERPROFILE%\AppData\Local\Temp\OnboardLogs" /stypes="app*4042*20171012*" /stext=" 18:.+((SYSTEM_STATE.+slice.+state.+changed )|(ment ac)|(multiple cpu faults)|(system.+state.+changed )|(\[timeout)|(PRM\|1\|D)|(kpr)|(kdp)|(train st.+moving)|(\|lc)|(penalty))"</v>
      </c>
      <c r="AG173" s="182" t="str">
        <f t="shared" si="69"/>
        <v>NW</v>
      </c>
      <c r="AH173" s="78" t="str">
        <f t="shared" si="70"/>
        <v>"%USERPROFILE%\Documents\GitHub\eaglep3\Utilities\RefineRTDCRunTimes.py" --tripid 819-12 --locoid 4042 --swversion DE.1.0.9.0 --startMP 204:993 --initTime 2017-10-12T11:57:53 --startdatetime 2017-10-12T12:09:14 --delay 59 --endMP 300:58990 --enddatetime 2017-10-12T12:23:38 --enforcementcount 0 &gt;&gt;%USERPROFILE%\Documents\GitHub\eaglep3-reporting\EC\2017-10-12-refined-times.txt</v>
      </c>
      <c r="AI173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{"issue":{"subject":"","project_id":79,"tracker_id":40,"status_id":1,"priority_id":2,"assigned_to_id":338,"start_date":"2017-10-12","description":"","custom_fields":[{"id":1,"name":"Subdivision","value":"NW"},{"id":4,"name":"Milepost","value":"5.899"},{"id":17,"name":"Train ID","value":"819-12"},{"id":16,"name":"Locomotive ID","value":"4042"},{"id":130,"name":"Impact","value":""},{"id":150,"name":"Time of Event (Mountain Time)","value":"12:23:38"},{"id":151,"name":"Denver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72"/>
        <v>start /low /b %USERPROFILE%\Documents\GitHub\eaglep3\Utilities\DownloadLogsFromS3.py --loco 4042 --day 2017-10-12</v>
      </c>
      <c r="AN173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4"/>
        <v>https://d0f6bd738d7f1b3e5a7ca70fe4ff75f0.us-east-1.aws.found.io/app/kibana#/discover/Steve-Slow-Train-Analysis-(2080s-and-2083s)?_g=(refreshInterval:(display:Off,pause:!f,section:0,value:0),time:(from:'2017-10-12T10:57:53-0600',mode:absolute,to:'2017-10-12T13:23:38-0600'))&amp;_a=(columns:!('Message%20ID',Summary),filters:!(),index:'emp_*',interval:auto,query:(query_string:(analyze_wildcard:!t,query:'%22rtdc.l.rtdc.4042%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707</v>
      </c>
      <c r="B174" s="7">
        <v>4041</v>
      </c>
      <c r="C174" s="21" t="s">
        <v>194</v>
      </c>
      <c r="D174" s="21" t="s">
        <v>932</v>
      </c>
      <c r="E174" s="13">
        <v>43020.517604166664</v>
      </c>
      <c r="F174" s="13">
        <v>43020.529861111114</v>
      </c>
      <c r="G174" s="7">
        <v>58</v>
      </c>
      <c r="H174" s="21" t="s">
        <v>933</v>
      </c>
      <c r="I174" s="13">
        <v>43020.53800925926</v>
      </c>
      <c r="J174" s="7">
        <v>0</v>
      </c>
      <c r="K174" s="89" t="str">
        <f t="shared" si="58"/>
        <v>4041/4042</v>
      </c>
      <c r="L174" s="185" t="str">
        <f>VLOOKUP(A174,'Trips&amp;Operators'!$C$1:$G$99911,5,FALSE)</f>
        <v>FORTUNATO FRANK</v>
      </c>
      <c r="M174" s="6">
        <f t="shared" si="59"/>
        <v>8.1481481465743855E-3</v>
      </c>
      <c r="N174" s="7">
        <f t="shared" si="82"/>
        <v>11.733333331067115</v>
      </c>
      <c r="O174" s="7"/>
      <c r="P174" s="7"/>
      <c r="Q174" s="22"/>
      <c r="R174" s="174"/>
      <c r="S174" s="199">
        <f t="shared" si="83"/>
        <v>1</v>
      </c>
      <c r="T174" s="174" t="str">
        <f t="shared" si="62"/>
        <v>Southbound</v>
      </c>
      <c r="U174" s="22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25" t="str">
        <f t="shared" si="63"/>
        <v>https://d0f6bd738d7f1b3e5a7ca70fe4ff75f0.us-east-1.aws.found.io/app/kibana#/discover/Steve-Slow-Train-Analysis-(2080s-and-2083s)?_g=(refreshInterval:(display:Off,pause:!f,section:0,value:0),time:(from:'2017-10-12T11:25:21-0600',mode:absolute,to:'2017-10-12T13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4" s="226" t="str">
        <f>IF(AA174&lt;VLOOKUP(AG174,Variables!$AC$3:$AD$8,2,FALSE),"Y","N")</f>
        <v>N</v>
      </c>
      <c r="X174" s="226">
        <f t="shared" si="64"/>
        <v>1</v>
      </c>
      <c r="Y174" s="226">
        <f t="shared" si="80"/>
        <v>5.8682999999999996</v>
      </c>
      <c r="Z174" s="226">
        <f t="shared" si="81"/>
        <v>7.2400000000000006E-2</v>
      </c>
      <c r="AA174" s="226">
        <f t="shared" si="65"/>
        <v>5.7958999999999996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6"/>
        <v>820</v>
      </c>
      <c r="AE174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74" s="74" t="str">
        <f t="shared" si="68"/>
        <v>"C:\Program Files (x86)\AstroGrep\AstroGrep.exe" /e /r /s /spath="%USERPROFILE%\AppData\Local\Temp\OnboardLogs" /stypes="app*4041*20171012*" /stext=" 18:.+((SYSTEM_STATE.+slice.+state.+changed )|(ment ac)|(multiple cpu faults)|(system.+state.+changed )|(\[timeout)|(PRM\|1\|D)|(kpr)|(kdp)|(train st.+moving)|(\|lc)|(penalty))"</v>
      </c>
      <c r="AG174" s="182" t="str">
        <f t="shared" si="69"/>
        <v>NW</v>
      </c>
      <c r="AH174" s="78" t="str">
        <f t="shared" si="70"/>
        <v>"%USERPROFILE%\Documents\GitHub\eaglep3\Utilities\RefineRTDCRunTimes.py" --tripid 820-12 --locoid 4041 --swversion DE.1.0.9.0 --startMP 300:58683 --initTime 2017-10-12T12:25:21 --startdatetime 2017-10-12T12:43:00 --delay 58 --endMP 204:724 --enddatetime 2017-10-12T12:54:44 --enforcementcount 0 &gt;&gt;%USERPROFILE%\Documents\GitHub\eaglep3-reporting\EC\2017-10-12-refined-times.txt</v>
      </c>
      <c r="AI174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{"issue":{"subject":"","project_id":79,"tracker_id":40,"status_id":1,"priority_id":2,"assigned_to_id":338,"start_date":"2017-10-12","description":"","custom_fields":[{"id":1,"name":"Subdivision","value":"NW"},{"id":4,"name":"Milepost","value":"0.0724"},{"id":17,"name":"Train ID","value":"820-12"},{"id":16,"name":"Locomotive ID","value":"4041"},{"id":130,"name":"Impact","value":""},{"id":150,"name":"Time of Event (Mountain Time)","value":"12:54:44"},{"id":151,"name":"Denver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72"/>
        <v>start /low /b %USERPROFILE%\Documents\GitHub\eaglep3\Utilities\DownloadLogsFromS3.py --loco 4041 --day 2017-10-12</v>
      </c>
      <c r="AN174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4"/>
        <v>https://d0f6bd738d7f1b3e5a7ca70fe4ff75f0.us-east-1.aws.found.io/app/kibana#/discover/Steve-Slow-Train-Analysis-(2080s-and-2083s)?_g=(refreshInterval:(display:Off,pause:!f,section:0,value:0),time:(from:'2017-10-12T11:25:21-0600',mode:absolute,to:'2017-10-12T13:54:44-0600'))&amp;_a=(columns:!('Message%20ID',Summary),filters:!(),index:'emp_*',interval:auto,query:(query_string:(analyze_wildcard:!t,query:'%22rtdc.l.rtdc.4041%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712</v>
      </c>
      <c r="B175" s="7">
        <v>4042</v>
      </c>
      <c r="C175" s="21" t="s">
        <v>194</v>
      </c>
      <c r="D175" s="21" t="s">
        <v>934</v>
      </c>
      <c r="E175" s="13">
        <v>43020.541481481479</v>
      </c>
      <c r="F175" s="13">
        <v>43020.548703703702</v>
      </c>
      <c r="G175" s="7">
        <v>102</v>
      </c>
      <c r="H175" s="21" t="s">
        <v>489</v>
      </c>
      <c r="I175" s="13">
        <v>43020.55972222222</v>
      </c>
      <c r="J175" s="7">
        <v>0</v>
      </c>
      <c r="K175" s="89" t="str">
        <f t="shared" si="58"/>
        <v>4041/4042</v>
      </c>
      <c r="L175" s="185" t="str">
        <f>VLOOKUP(A175,'Trips&amp;Operators'!$C$1:$G$99911,5,FALSE)</f>
        <v>NELSON ARIANE</v>
      </c>
      <c r="M175" s="6">
        <f t="shared" si="59"/>
        <v>1.1018518518540077E-2</v>
      </c>
      <c r="N175" s="7">
        <f t="shared" si="82"/>
        <v>15.866666666697711</v>
      </c>
      <c r="O175" s="7"/>
      <c r="P175" s="7"/>
      <c r="Q175" s="22"/>
      <c r="R175" s="174"/>
      <c r="S175" s="199">
        <f t="shared" si="83"/>
        <v>1</v>
      </c>
      <c r="T175" s="174" t="str">
        <f t="shared" si="62"/>
        <v>NorthBound</v>
      </c>
      <c r="U175" s="22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25" t="str">
        <f t="shared" si="63"/>
        <v>https://d0f6bd738d7f1b3e5a7ca70fe4ff75f0.us-east-1.aws.found.io/app/kibana#/discover/Steve-Slow-Train-Analysis-(2080s-and-2083s)?_g=(refreshInterval:(display:Off,pause:!f,section:0,value:0),time:(from:'2017-10-12T11:59:44-0600',mode:absolute,to:'2017-10-12T14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5" s="226" t="str">
        <f>IF(AA175&lt;VLOOKUP(AG175,Variables!$AC$3:$AD$8,2,FALSE),"Y","N")</f>
        <v>N</v>
      </c>
      <c r="X175" s="226">
        <f t="shared" si="64"/>
        <v>1</v>
      </c>
      <c r="Y175" s="226">
        <f t="shared" si="80"/>
        <v>0.1014</v>
      </c>
      <c r="Z175" s="226">
        <f t="shared" si="81"/>
        <v>5.8952</v>
      </c>
      <c r="AA175" s="226">
        <f t="shared" si="65"/>
        <v>5.7938000000000001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6"/>
        <v>821</v>
      </c>
      <c r="AE175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75" s="74" t="str">
        <f t="shared" si="68"/>
        <v>"C:\Program Files (x86)\AstroGrep\AstroGrep.exe" /e /r /s /spath="%USERPROFILE%\AppData\Local\Temp\OnboardLogs" /stypes="app*4042*20171012*" /stext=" 19:.+((SYSTEM_STATE.+slice.+state.+changed )|(ment ac)|(multiple cpu faults)|(system.+state.+changed )|(\[timeout)|(PRM\|1\|D)|(kpr)|(kdp)|(train st.+moving)|(\|lc)|(penalty))"</v>
      </c>
      <c r="AG175" s="182" t="str">
        <f t="shared" si="69"/>
        <v>NW</v>
      </c>
      <c r="AH175" s="78" t="str">
        <f t="shared" si="70"/>
        <v>"%USERPROFILE%\Documents\GitHub\eaglep3\Utilities\RefineRTDCRunTimes.py" --tripid 821-12 --locoid 4042 --swversion DE.1.0.9.0 --startMP 204:1014 --initTime 2017-10-12T12:59:44 --startdatetime 2017-10-12T13:10:08 --delay 102 --endMP 300:58952 --enddatetime 2017-10-12T13:26:00 --enforcementcount 0 &gt;&gt;%USERPROFILE%\Documents\GitHub\eaglep3-reporting\EC\2017-10-12-refined-times.txt</v>
      </c>
      <c r="AI175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{"issue":{"subject":"","project_id":79,"tracker_id":40,"status_id":1,"priority_id":2,"assigned_to_id":338,"start_date":"2017-10-12","description":"","custom_fields":[{"id":1,"name":"Subdivision","value":"NW"},{"id":4,"name":"Milepost","value":"5.8952"},{"id":17,"name":"Train ID","value":"821-12"},{"id":16,"name":"Locomotive ID","value":"4042"},{"id":130,"name":"Impact","value":""},{"id":150,"name":"Time of Event (Mountain Time)","value":"13:26:00"},{"id":151,"name":"Denver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72"/>
        <v>start /low /b %USERPROFILE%\Documents\GitHub\eaglep3\Utilities\DownloadLogsFromS3.py --loco 4042 --day 2017-10-12</v>
      </c>
      <c r="AN175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4"/>
        <v>https://d0f6bd738d7f1b3e5a7ca70fe4ff75f0.us-east-1.aws.found.io/app/kibana#/discover/Steve-Slow-Train-Analysis-(2080s-and-2083s)?_g=(refreshInterval:(display:Off,pause:!f,section:0,value:0),time:(from:'2017-10-12T11:59:44-0600',mode:absolute,to:'2017-10-12T14:26:00-0600'))&amp;_a=(columns:!('Message%20ID',Summary),filters:!(),index:'emp_*',interval:auto,query:(query_string:(analyze_wildcard:!t,query:'%22rtdc.l.rtdc.4042%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718</v>
      </c>
      <c r="B176" s="7">
        <v>4041</v>
      </c>
      <c r="C176" s="21" t="s">
        <v>194</v>
      </c>
      <c r="D176" s="21" t="s">
        <v>547</v>
      </c>
      <c r="E176" s="13">
        <v>43020.561666666668</v>
      </c>
      <c r="F176" s="13">
        <v>43020.571527777778</v>
      </c>
      <c r="G176" s="7">
        <v>72</v>
      </c>
      <c r="H176" s="21" t="s">
        <v>935</v>
      </c>
      <c r="I176" s="13">
        <v>43020.580729166664</v>
      </c>
      <c r="J176" s="7">
        <v>0</v>
      </c>
      <c r="K176" s="89" t="str">
        <f t="shared" si="58"/>
        <v>4041/4042</v>
      </c>
      <c r="L176" s="185" t="str">
        <f>VLOOKUP(A176,'Trips&amp;Operators'!$C$1:$G$99911,5,FALSE)</f>
        <v>NELSON ARIANE</v>
      </c>
      <c r="M176" s="6">
        <f t="shared" si="59"/>
        <v>9.2013888861401938E-3</v>
      </c>
      <c r="N176" s="7">
        <f t="shared" si="82"/>
        <v>13.249999996041879</v>
      </c>
      <c r="O176" s="7"/>
      <c r="P176" s="7"/>
      <c r="Q176" s="22"/>
      <c r="R176" s="174"/>
      <c r="S176" s="199">
        <f t="shared" si="83"/>
        <v>1</v>
      </c>
      <c r="T176" s="174" t="str">
        <f t="shared" si="62"/>
        <v>Southbound</v>
      </c>
      <c r="U176" s="22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25" t="str">
        <f t="shared" si="63"/>
        <v>https://d0f6bd738d7f1b3e5a7ca70fe4ff75f0.us-east-1.aws.found.io/app/kibana#/discover/Steve-Slow-Train-Analysis-(2080s-and-2083s)?_g=(refreshInterval:(display:Off,pause:!f,section:0,value:0),time:(from:'2017-10-12T12:28:48-0600',mode:absolute,to:'2017-10-12T14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6" s="226" t="str">
        <f>IF(AA176&lt;VLOOKUP(AG176,Variables!$AC$3:$AD$8,2,FALSE),"Y","N")</f>
        <v>N</v>
      </c>
      <c r="X176" s="226">
        <f t="shared" si="64"/>
        <v>1</v>
      </c>
      <c r="Y176" s="226">
        <f t="shared" si="80"/>
        <v>5.8653000000000004</v>
      </c>
      <c r="Z176" s="226">
        <f t="shared" si="81"/>
        <v>7.1199999999999999E-2</v>
      </c>
      <c r="AA176" s="226">
        <f t="shared" si="65"/>
        <v>5.7941000000000003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6"/>
        <v>822</v>
      </c>
      <c r="AE176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76" s="74" t="str">
        <f t="shared" si="68"/>
        <v>"C:\Program Files (x86)\AstroGrep\AstroGrep.exe" /e /r /s /spath="%USERPROFILE%\AppData\Local\Temp\OnboardLogs" /stypes="app*4041*20171012*" /stext=" 19:.+((SYSTEM_STATE.+slice.+state.+changed )|(ment ac)|(multiple cpu faults)|(system.+state.+changed )|(\[timeout)|(PRM\|1\|D)|(kpr)|(kdp)|(train st.+moving)|(\|lc)|(penalty))"</v>
      </c>
      <c r="AG176" s="182" t="str">
        <f t="shared" si="69"/>
        <v>NW</v>
      </c>
      <c r="AH176" s="78" t="str">
        <f t="shared" si="70"/>
        <v>"%USERPROFILE%\Documents\GitHub\eaglep3\Utilities\RefineRTDCRunTimes.py" --tripid 822-12 --locoid 4041 --swversion DE.1.0.9.0 --startMP 300:58653 --initTime 2017-10-12T13:28:48 --startdatetime 2017-10-12T13:43:00 --delay 72 --endMP 204:712 --enddatetime 2017-10-12T13:56:15 --enforcementcount 0 &gt;&gt;%USERPROFILE%\Documents\GitHub\eaglep3-reporting\EC\2017-10-12-refined-times.txt</v>
      </c>
      <c r="AI176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{"issue":{"subject":"","project_id":79,"tracker_id":40,"status_id":1,"priority_id":2,"assigned_to_id":338,"start_date":"2017-10-12","description":"","custom_fields":[{"id":1,"name":"Subdivision","value":"NW"},{"id":4,"name":"Milepost","value":"0.0712"},{"id":17,"name":"Train ID","value":"822-12"},{"id":16,"name":"Locomotive ID","value":"4041"},{"id":130,"name":"Impact","value":""},{"id":150,"name":"Time of Event (Mountain Time)","value":"13:56:15"},{"id":151,"name":"Denver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72"/>
        <v>start /low /b %USERPROFILE%\Documents\GitHub\eaglep3\Utilities\DownloadLogsFromS3.py --loco 4041 --day 2017-10-12</v>
      </c>
      <c r="AN176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19:56:15"},{"id":29,"name":"Sharepoint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4"/>
        <v>https://d0f6bd738d7f1b3e5a7ca70fe4ff75f0.us-east-1.aws.found.io/app/kibana#/discover/Steve-Slow-Train-Analysis-(2080s-and-2083s)?_g=(refreshInterval:(display:Off,pause:!f,section:0,value:0),time:(from:'2017-10-12T12:28:48-0600',mode:absolute,to:'2017-10-12T14:56:15-0600'))&amp;_a=(columns:!('Message%20ID',Summary),filters:!(),index:'emp_*',interval:auto,query:(query_string:(analyze_wildcard:!t,query:'%22rtdc.l.rtdc.4041%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589</v>
      </c>
      <c r="B177" s="7">
        <v>4042</v>
      </c>
      <c r="C177" s="21" t="s">
        <v>194</v>
      </c>
      <c r="D177" s="21" t="s">
        <v>486</v>
      </c>
      <c r="E177" s="13">
        <v>43020.588645833333</v>
      </c>
      <c r="F177" s="13">
        <v>43020.590219907404</v>
      </c>
      <c r="G177" s="7">
        <v>97</v>
      </c>
      <c r="H177" s="21" t="s">
        <v>556</v>
      </c>
      <c r="I177" s="13">
        <v>43020.600486111114</v>
      </c>
      <c r="J177" s="7">
        <v>0</v>
      </c>
      <c r="K177" s="89" t="str">
        <f t="shared" si="58"/>
        <v>4041/4042</v>
      </c>
      <c r="L177" s="185" t="str">
        <f>VLOOKUP(A177,'Trips&amp;Operators'!$C$1:$G$99911,5,FALSE)</f>
        <v>STAMBAUGH JAMES</v>
      </c>
      <c r="M177" s="6">
        <f t="shared" si="59"/>
        <v>1.0266203709761612E-2</v>
      </c>
      <c r="N177" s="7">
        <f t="shared" si="82"/>
        <v>14.783333342056721</v>
      </c>
      <c r="O177" s="7"/>
      <c r="P177" s="7"/>
      <c r="Q177" s="22"/>
      <c r="R177" s="174"/>
      <c r="S177" s="199">
        <f t="shared" si="83"/>
        <v>1</v>
      </c>
      <c r="T177" s="174" t="str">
        <f t="shared" si="62"/>
        <v>NorthBound</v>
      </c>
      <c r="U177" s="22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25" t="str">
        <f t="shared" si="63"/>
        <v>https://d0f6bd738d7f1b3e5a7ca70fe4ff75f0.us-east-1.aws.found.io/app/kibana#/discover/Steve-Slow-Train-Analysis-(2080s-and-2083s)?_g=(refreshInterval:(display:Off,pause:!f,section:0,value:0),time:(from:'2017-10-12T13:07:39-0600',mode:absolute,to:'2017-10-12T15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7" s="226" t="str">
        <f>IF(AA177&lt;VLOOKUP(AG177,Variables!$AC$3:$AD$8,2,FALSE),"Y","N")</f>
        <v>N</v>
      </c>
      <c r="X177" s="226">
        <f t="shared" si="64"/>
        <v>1</v>
      </c>
      <c r="Y177" s="226">
        <f t="shared" si="80"/>
        <v>9.7600000000000006E-2</v>
      </c>
      <c r="Z177" s="226">
        <f t="shared" si="81"/>
        <v>5.8954000000000004</v>
      </c>
      <c r="AA177" s="226">
        <f t="shared" si="65"/>
        <v>5.7978000000000005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6"/>
        <v>823</v>
      </c>
      <c r="AE177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77" s="74" t="str">
        <f t="shared" si="68"/>
        <v>"C:\Program Files (x86)\AstroGrep\AstroGrep.exe" /e /r /s /spath="%USERPROFILE%\AppData\Local\Temp\OnboardLogs" /stypes="app*4042*20171012*" /stext=" 20:.+((SYSTEM_STATE.+slice.+state.+changed )|(ment ac)|(multiple cpu faults)|(system.+state.+changed )|(\[timeout)|(PRM\|1\|D)|(kpr)|(kdp)|(train st.+moving)|(\|lc)|(penalty))"</v>
      </c>
      <c r="AG177" s="182" t="str">
        <f t="shared" si="69"/>
        <v>NW</v>
      </c>
      <c r="AH177" s="78" t="str">
        <f t="shared" si="70"/>
        <v>"%USERPROFILE%\Documents\GitHub\eaglep3\Utilities\RefineRTDCRunTimes.py" --tripid 823-12 --locoid 4042 --swversion DE.1.0.9.0 --startMP 204:976 --initTime 2017-10-12T14:07:39 --startdatetime 2017-10-12T14:09:55 --delay 97 --endMP 300:58954 --enddatetime 2017-10-12T14:24:42 --enforcementcount 0 &gt;&gt;%USERPROFILE%\Documents\GitHub\eaglep3-reporting\EC\2017-10-12-refined-times.txt</v>
      </c>
      <c r="AI177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{"issue":{"subject":"","project_id":79,"tracker_id":40,"status_id":1,"priority_id":2,"assigned_to_id":338,"start_date":"2017-10-12","description":"","custom_fields":[{"id":1,"name":"Subdivision","value":"NW"},{"id":4,"name":"Milepost","value":"5.8954"},{"id":17,"name":"Train ID","value":"823-12"},{"id":16,"name":"Locomotive ID","value":"4042"},{"id":130,"name":"Impact","value":""},{"id":150,"name":"Time of Event (Mountain Time)","value":"14:24:42"},{"id":151,"name":"Denver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72"/>
        <v>start /low /b %USERPROFILE%\Documents\GitHub\eaglep3\Utilities\DownloadLogsFromS3.py --loco 4042 --day 2017-10-12</v>
      </c>
      <c r="AN177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4"/>
        <v>https://d0f6bd738d7f1b3e5a7ca70fe4ff75f0.us-east-1.aws.found.io/app/kibana#/discover/Steve-Slow-Train-Analysis-(2080s-and-2083s)?_g=(refreshInterval:(display:Off,pause:!f,section:0,value:0),time:(from:'2017-10-12T13:07:39-0600',mode:absolute,to:'2017-10-12T15:24:42-0600'))&amp;_a=(columns:!('Message%20ID',Summary),filters:!(),index:'emp_*',interval:auto,query:(query_string:(analyze_wildcard:!t,query:'%22rtdc.l.rtdc.4042%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589</v>
      </c>
      <c r="B178" s="7">
        <v>4042</v>
      </c>
      <c r="C178" s="21" t="s">
        <v>194</v>
      </c>
      <c r="D178" s="21" t="s">
        <v>936</v>
      </c>
      <c r="E178" s="13">
        <v>43020.586967592593</v>
      </c>
      <c r="F178" s="13">
        <v>43020.590219907404</v>
      </c>
      <c r="G178" s="7">
        <v>58</v>
      </c>
      <c r="H178" s="21" t="s">
        <v>550</v>
      </c>
      <c r="I178" s="13">
        <v>43020.600486111114</v>
      </c>
      <c r="J178" s="7">
        <v>0</v>
      </c>
      <c r="K178" s="89" t="str">
        <f t="shared" si="58"/>
        <v>4041/4042</v>
      </c>
      <c r="L178" s="185" t="str">
        <f>VLOOKUP(A178,'Trips&amp;Operators'!$C$1:$G$99911,5,FALSE)</f>
        <v>STAMBAUGH JAMES</v>
      </c>
      <c r="M178" s="6">
        <f t="shared" si="59"/>
        <v>1.0266203709761612E-2</v>
      </c>
      <c r="N178" s="7"/>
      <c r="O178" s="7"/>
      <c r="P178" s="7"/>
      <c r="Q178" s="22"/>
      <c r="R178" s="174"/>
      <c r="S178" s="199"/>
      <c r="T178" s="174" t="str">
        <f t="shared" si="62"/>
        <v>NorthBound</v>
      </c>
      <c r="U178" s="22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225" t="str">
        <f t="shared" si="63"/>
        <v>https://d0f6bd738d7f1b3e5a7ca70fe4ff75f0.us-east-1.aws.found.io/app/kibana#/discover/Steve-Slow-Train-Analysis-(2080s-and-2083s)?_g=(refreshInterval:(display:Off,pause:!f,section:0,value:0),time:(from:'2017-10-12T13:05:14-0600',mode:absolute,to:'2017-10-12T15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8" s="226" t="str">
        <f>IF(AA178&lt;VLOOKUP(AG178,Variables!$AC$3:$AD$8,2,FALSE),"Y","N")</f>
        <v>Y</v>
      </c>
      <c r="X178" s="226">
        <f t="shared" si="64"/>
        <v>0</v>
      </c>
      <c r="Y178" s="226">
        <f t="shared" si="80"/>
        <v>9.6699999999999994E-2</v>
      </c>
      <c r="Z178" s="226">
        <f t="shared" si="81"/>
        <v>9.6199999999999994E-2</v>
      </c>
      <c r="AA178" s="226">
        <f t="shared" si="65"/>
        <v>5.0000000000000044E-4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6"/>
        <v>823</v>
      </c>
      <c r="AE178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78" s="74" t="str">
        <f t="shared" si="68"/>
        <v>"C:\Program Files (x86)\AstroGrep\AstroGrep.exe" /e /r /s /spath="%USERPROFILE%\AppData\Local\Temp\OnboardLogs" /stypes="app*4042*20171012*" /stext=" 20:.+((SYSTEM_STATE.+slice.+state.+changed )|(ment ac)|(multiple cpu faults)|(system.+state.+changed )|(\[timeout)|(PRM\|1\|D)|(kpr)|(kdp)|(train st.+moving)|(\|lc)|(penalty))"</v>
      </c>
      <c r="AG178" s="182" t="str">
        <f t="shared" si="69"/>
        <v>NW</v>
      </c>
      <c r="AH178" s="78" t="str">
        <f t="shared" si="70"/>
        <v>"%USERPROFILE%\Documents\GitHub\eaglep3\Utilities\RefineRTDCRunTimes.py" --tripid 823-12 --locoid 4042 --swversion DE.1.0.9.0 --startMP 204:967 --initTime 2017-10-12T14:05:14 --startdatetime 2017-10-12T14:09:55 --delay 58 --endMP 204:962 --enddatetime 2017-10-12T14:24:42 --enforcementcount 0 &gt;&gt;%USERPROFILE%\Documents\GitHub\eaglep3-reporting\EC\2017-10-12-refined-times.txt</v>
      </c>
      <c r="AI178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{"issue":{"subject":"","project_id":79,"tracker_id":40,"status_id":1,"priority_id":2,"assigned_to_id":338,"start_date":"2017-10-12","description":"","custom_fields":[{"id":1,"name":"Subdivision","value":"NW"},{"id":4,"name":"Milepost","value":"0.0962"},{"id":17,"name":"Train ID","value":"823-12"},{"id":16,"name":"Locomotive ID","value":"4042"},{"id":130,"name":"Impact","value":""},{"id":150,"name":"Time of Event (Mountain Time)","value":"14:24:42"},{"id":151,"name":"Denver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72"/>
        <v>start /low /b %USERPROFILE%\Documents\GitHub\eaglep3\Utilities\DownloadLogsFromS3.py --loco 4042 --day 2017-10-12</v>
      </c>
      <c r="AN178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4"/>
        <v>https://d0f6bd738d7f1b3e5a7ca70fe4ff75f0.us-east-1.aws.found.io/app/kibana#/discover/Steve-Slow-Train-Analysis-(2080s-and-2083s)?_g=(refreshInterval:(display:Off,pause:!f,section:0,value:0),time:(from:'2017-10-12T13:05:14-0600',mode:absolute,to:'2017-10-12T15:24:42-0600'))&amp;_a=(columns:!('Message%20ID',Summary),filters:!(),index:'emp_*',interval:auto,query:(query_string:(analyze_wildcard:!t,query:'%22rtdc.l.rtdc.4042%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726</v>
      </c>
      <c r="B179" s="7">
        <v>4041</v>
      </c>
      <c r="C179" s="21" t="s">
        <v>194</v>
      </c>
      <c r="D179" s="21" t="s">
        <v>937</v>
      </c>
      <c r="E179" s="13">
        <v>43020.601840277777</v>
      </c>
      <c r="F179" s="13">
        <v>43020.613194444442</v>
      </c>
      <c r="G179" s="7">
        <v>102</v>
      </c>
      <c r="H179" s="21" t="s">
        <v>918</v>
      </c>
      <c r="I179" s="13">
        <v>43020.620717592596</v>
      </c>
      <c r="J179" s="7">
        <v>0</v>
      </c>
      <c r="K179" s="89" t="str">
        <f t="shared" si="58"/>
        <v>4041/4042</v>
      </c>
      <c r="L179" s="185" t="str">
        <f>VLOOKUP(A179,'Trips&amp;Operators'!$C$1:$G$99911,5,FALSE)</f>
        <v>STAMBAUGH JAMES</v>
      </c>
      <c r="M179" s="6">
        <f t="shared" si="59"/>
        <v>7.5231481532682665E-3</v>
      </c>
      <c r="N179" s="7">
        <f>24*60*SUM($M179:$M179)</f>
        <v>10.833333340706304</v>
      </c>
      <c r="O179" s="7"/>
      <c r="P179" s="7"/>
      <c r="Q179" s="22"/>
      <c r="R179" s="174"/>
      <c r="S179" s="199">
        <f>1/IF(AG179="EC",12,1)*SUM(U179:U179)</f>
        <v>1</v>
      </c>
      <c r="T179" s="174" t="str">
        <f t="shared" si="62"/>
        <v>Southbound</v>
      </c>
      <c r="U179" s="22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25" t="str">
        <f t="shared" si="63"/>
        <v>https://d0f6bd738d7f1b3e5a7ca70fe4ff75f0.us-east-1.aws.found.io/app/kibana#/discover/Steve-Slow-Train-Analysis-(2080s-and-2083s)?_g=(refreshInterval:(display:Off,pause:!f,section:0,value:0),time:(from:'2017-10-12T13:26:39-0600',mode:absolute,to:'2017-10-12T15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9" s="226" t="str">
        <f>IF(AA179&lt;VLOOKUP(AG179,Variables!$AC$3:$AD$8,2,FALSE),"Y","N")</f>
        <v>N</v>
      </c>
      <c r="X179" s="226">
        <f t="shared" si="64"/>
        <v>1</v>
      </c>
      <c r="Y179" s="226">
        <f t="shared" si="80"/>
        <v>5.8635999999999999</v>
      </c>
      <c r="Z179" s="226">
        <f t="shared" si="81"/>
        <v>6.4299999999999996E-2</v>
      </c>
      <c r="AA179" s="226">
        <f t="shared" si="65"/>
        <v>5.7992999999999997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6"/>
        <v>824</v>
      </c>
      <c r="AE179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79" s="74" t="str">
        <f t="shared" si="68"/>
        <v>"C:\Program Files (x86)\AstroGrep\AstroGrep.exe" /e /r /s /spath="%USERPROFILE%\AppData\Local\Temp\OnboardLogs" /stypes="app*4041*20171012*" /stext=" 20:.+((SYSTEM_STATE.+slice.+state.+changed )|(ment ac)|(multiple cpu faults)|(system.+state.+changed )|(\[timeout)|(PRM\|1\|D)|(kpr)|(kdp)|(train st.+moving)|(\|lc)|(penalty))"</v>
      </c>
      <c r="AG179" s="182" t="str">
        <f t="shared" si="69"/>
        <v>NW</v>
      </c>
      <c r="AH179" s="78" t="str">
        <f t="shared" si="70"/>
        <v>"%USERPROFILE%\Documents\GitHub\eaglep3\Utilities\RefineRTDCRunTimes.py" --tripid 824-12 --locoid 4041 --swversion DE.1.0.9.0 --startMP 300:58636 --initTime 2017-10-12T14:26:39 --startdatetime 2017-10-12T14:43:00 --delay 102 --endMP 204:643 --enddatetime 2017-10-12T14:53:50 --enforcementcount 0 &gt;&gt;%USERPROFILE%\Documents\GitHub\eaglep3-reporting\EC\2017-10-12-refined-times.txt</v>
      </c>
      <c r="AI179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{"issue":{"subject":"","project_id":79,"tracker_id":40,"status_id":1,"priority_id":2,"assigned_to_id":338,"start_date":"2017-10-12","description":"","custom_fields":[{"id":1,"name":"Subdivision","value":"NW"},{"id":4,"name":"Milepost","value":"0.0643"},{"id":17,"name":"Train ID","value":"824-12"},{"id":16,"name":"Locomotive ID","value":"4041"},{"id":130,"name":"Impact","value":""},{"id":150,"name":"Time of Event (Mountain Time)","value":"14:53:50"},{"id":151,"name":"Denver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72"/>
        <v>start /low /b %USERPROFILE%\Documents\GitHub\eaglep3\Utilities\DownloadLogsFromS3.py --loco 4041 --day 2017-10-12</v>
      </c>
      <c r="AN179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20:53:50"},{"id":29,"name":"Sharepoint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4"/>
        <v>https://d0f6bd738d7f1b3e5a7ca70fe4ff75f0.us-east-1.aws.found.io/app/kibana#/discover/Steve-Slow-Train-Analysis-(2080s-and-2083s)?_g=(refreshInterval:(display:Off,pause:!f,section:0,value:0),time:(from:'2017-10-12T13:26:39-0600',mode:absolute,to:'2017-10-12T15:53:50-0600'))&amp;_a=(columns:!('Message%20ID',Summary),filters:!(),index:'emp_*',interval:auto,query:(query_string:(analyze_wildcard:!t,query:'%22rtdc.l.rtdc.4041%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731</v>
      </c>
      <c r="B180" s="7">
        <v>4042</v>
      </c>
      <c r="C180" s="21" t="s">
        <v>194</v>
      </c>
      <c r="D180" s="21" t="s">
        <v>938</v>
      </c>
      <c r="E180" s="13">
        <v>43020.628692129627</v>
      </c>
      <c r="F180" s="13">
        <v>43020.631493055553</v>
      </c>
      <c r="G180" s="7">
        <v>51</v>
      </c>
      <c r="H180" s="21" t="s">
        <v>923</v>
      </c>
      <c r="I180" s="13">
        <v>43020.640879629631</v>
      </c>
      <c r="J180" s="7">
        <v>0</v>
      </c>
      <c r="K180" s="89" t="str">
        <f t="shared" si="58"/>
        <v>4041/4042</v>
      </c>
      <c r="L180" s="185" t="str">
        <f>VLOOKUP(A180,'Trips&amp;Operators'!$C$1:$G$99911,5,FALSE)</f>
        <v>STAMBAUGH JAMES</v>
      </c>
      <c r="M180" s="6">
        <f t="shared" si="59"/>
        <v>9.3865740782348439E-3</v>
      </c>
      <c r="N180" s="7">
        <f>24*60*SUM($M180:$M180)</f>
        <v>13.516666672658175</v>
      </c>
      <c r="O180" s="7"/>
      <c r="P180" s="7"/>
      <c r="Q180" s="22"/>
      <c r="R180" s="174"/>
      <c r="S180" s="199">
        <f>1/IF(AG180="EC",12,1)*SUM(U180:U180)</f>
        <v>1</v>
      </c>
      <c r="T180" s="174" t="str">
        <f t="shared" si="62"/>
        <v>NorthBound</v>
      </c>
      <c r="U180" s="22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25" t="str">
        <f t="shared" si="63"/>
        <v>https://d0f6bd738d7f1b3e5a7ca70fe4ff75f0.us-east-1.aws.found.io/app/kibana#/discover/Steve-Slow-Train-Analysis-(2080s-and-2083s)?_g=(refreshInterval:(display:Off,pause:!f,section:0,value:0),time:(from:'2017-10-12T14:05:19-0600',mode:absolute,to:'2017-10-12T16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0" s="226" t="str">
        <f>IF(AA180&lt;VLOOKUP(AG180,Variables!$AC$3:$AD$8,2,FALSE),"Y","N")</f>
        <v>N</v>
      </c>
      <c r="X180" s="226">
        <f t="shared" si="64"/>
        <v>1</v>
      </c>
      <c r="Y180" s="226">
        <f t="shared" si="80"/>
        <v>9.5299999999999996E-2</v>
      </c>
      <c r="Z180" s="226">
        <f t="shared" si="81"/>
        <v>5.8979999999999997</v>
      </c>
      <c r="AA180" s="226">
        <f t="shared" si="65"/>
        <v>5.8026999999999997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6"/>
        <v>825</v>
      </c>
      <c r="AE180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80" s="74" t="str">
        <f t="shared" si="68"/>
        <v>"C:\Program Files (x86)\AstroGrep\AstroGrep.exe" /e /r /s /spath="%USERPROFILE%\AppData\Local\Temp\OnboardLogs" /stypes="app*4042*20171012*" /stext=" 21:.+((SYSTEM_STATE.+slice.+state.+changed )|(ment ac)|(multiple cpu faults)|(system.+state.+changed )|(\[timeout)|(PRM\|1\|D)|(kpr)|(kdp)|(train st.+moving)|(\|lc)|(penalty))"</v>
      </c>
      <c r="AG180" s="182" t="str">
        <f t="shared" si="69"/>
        <v>NW</v>
      </c>
      <c r="AH180" s="78" t="str">
        <f t="shared" si="70"/>
        <v>"%USERPROFILE%\Documents\GitHub\eaglep3\Utilities\RefineRTDCRunTimes.py" --tripid 825-12 --locoid 4042 --swversion DE.1.0.9.0 --startMP 204:953 --initTime 2017-10-12T15:05:19 --startdatetime 2017-10-12T15:09:21 --delay 51 --endMP 300:58980 --enddatetime 2017-10-12T15:22:52 --enforcementcount 0 &gt;&gt;%USERPROFILE%\Documents\GitHub\eaglep3-reporting\EC\2017-10-12-refined-times.txt</v>
      </c>
      <c r="AI180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{"issue":{"subject":"","project_id":79,"tracker_id":40,"status_id":1,"priority_id":2,"assigned_to_id":338,"start_date":"2017-10-12","description":"","custom_fields":[{"id":1,"name":"Subdivision","value":"NW"},{"id":4,"name":"Milepost","value":"5.898"},{"id":17,"name":"Train ID","value":"825-12"},{"id":16,"name":"Locomotive ID","value":"4042"},{"id":130,"name":"Impact","value":""},{"id":150,"name":"Time of Event (Mountain Time)","value":"15:22:52"},{"id":151,"name":"Denver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72"/>
        <v>start /low /b %USERPROFILE%\Documents\GitHub\eaglep3\Utilities\DownloadLogsFromS3.py --loco 4042 --day 2017-10-12</v>
      </c>
      <c r="AN180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4"/>
        <v>https://d0f6bd738d7f1b3e5a7ca70fe4ff75f0.us-east-1.aws.found.io/app/kibana#/discover/Steve-Slow-Train-Analysis-(2080s-and-2083s)?_g=(refreshInterval:(display:Off,pause:!f,section:0,value:0),time:(from:'2017-10-12T14:05:19-0600',mode:absolute,to:'2017-10-12T16:22:52-0600'))&amp;_a=(columns:!('Message%20ID',Summary),filters:!(),index:'emp_*',interval:auto,query:(query_string:(analyze_wildcard:!t,query:'%22rtdc.l.rtdc.4042%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592</v>
      </c>
      <c r="B181" s="7">
        <v>4041</v>
      </c>
      <c r="C181" s="21" t="s">
        <v>194</v>
      </c>
      <c r="D181" s="21" t="s">
        <v>938</v>
      </c>
      <c r="E181" s="13">
        <v>43020.628692129627</v>
      </c>
      <c r="F181" s="13">
        <v>43020.654953703706</v>
      </c>
      <c r="G181" s="7">
        <v>51</v>
      </c>
      <c r="H181" s="21" t="s">
        <v>923</v>
      </c>
      <c r="I181" s="13">
        <v>43020.662442129629</v>
      </c>
      <c r="J181" s="7">
        <v>0</v>
      </c>
      <c r="K181" s="89" t="str">
        <f t="shared" si="58"/>
        <v>4041/4042</v>
      </c>
      <c r="L181" s="185" t="str">
        <f>VLOOKUP(A181,'Trips&amp;Operators'!$C$1:$G$99911,5,FALSE)</f>
        <v>STAMBAUGH JAMES</v>
      </c>
      <c r="M181" s="6">
        <f t="shared" si="59"/>
        <v>7.4884259229293093E-3</v>
      </c>
      <c r="N181" s="7">
        <f>24*60*SUM($M181:$M181)</f>
        <v>10.783333329018205</v>
      </c>
      <c r="O181" s="7"/>
      <c r="P181" s="7"/>
      <c r="Q181" s="22"/>
      <c r="R181" s="174"/>
      <c r="S181" s="199">
        <f>1/IF(AG181="EC",12,1)*SUM(U181:U181)</f>
        <v>1</v>
      </c>
      <c r="T181" s="174" t="str">
        <f t="shared" si="62"/>
        <v>Southbound</v>
      </c>
      <c r="U181" s="22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25" t="str">
        <f t="shared" si="63"/>
        <v>https://d0f6bd738d7f1b3e5a7ca70fe4ff75f0.us-east-1.aws.found.io/app/kibana#/discover/Steve-Slow-Train-Analysis-(2080s-and-2083s)?_g=(refreshInterval:(display:Off,pause:!f,section:0,value:0),time:(from:'2017-10-12T14:05:19-0600',mode:absolute,to:'2017-10-12T16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1" s="226" t="str">
        <f>IF(AA181&lt;VLOOKUP(AG181,Variables!$AC$3:$AD$8,2,FALSE),"Y","N")</f>
        <v>N</v>
      </c>
      <c r="X181" s="226">
        <f t="shared" si="64"/>
        <v>1</v>
      </c>
      <c r="Y181" s="226">
        <v>5.8635999999999999</v>
      </c>
      <c r="Z181" s="226">
        <v>6.4299999999999996E-2</v>
      </c>
      <c r="AA181" s="226">
        <f t="shared" si="65"/>
        <v>5.7992999999999997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6"/>
        <v>826</v>
      </c>
      <c r="AE181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81" s="74" t="str">
        <f t="shared" si="68"/>
        <v>"C:\Program Files (x86)\AstroGrep\AstroGrep.exe" /e /r /s /spath="%USERPROFILE%\AppData\Local\Temp\OnboardLogs" /stypes="app*4041*20171012*" /stext=" 21:.+((SYSTEM_STATE.+slice.+state.+changed )|(ment ac)|(multiple cpu faults)|(system.+state.+changed )|(\[timeout)|(PRM\|1\|D)|(kpr)|(kdp)|(train st.+moving)|(\|lc)|(penalty))"</v>
      </c>
      <c r="AG181" s="182" t="str">
        <f t="shared" si="69"/>
        <v>NW</v>
      </c>
      <c r="AH181" s="78" t="str">
        <f t="shared" ref="AH181" si="84"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"&amp;J181&amp;IF(outputrefinedruntimes," &gt;&gt;"&amp;RefinedRTDCRunTimesOutputFile,"")</f>
        <v>"%USERPROFILE%\Documents\GitHub\eaglep3\Utilities\RefineRTDCRunTimes.py" --tripid 826-12 --locoid 4041 --swversion DE.1.0.9.0 --startMP 204:953 --initTime 2017-10-12T15:05:19 --startdatetime 2017-10-12T15:43:08 --delay 51 --endMP 300:58980 --enddatetime 2017-10-12T15:53:55 --enforcementcount 0 &gt;&gt;%USERPROFILE%\Documents\GitHub\eaglep3-reporting\EC\2017-10-12-refined-times.txt</v>
      </c>
      <c r="AI181" s="96" t="str">
        <f t="shared" ref="AI181" si="85"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{"issue":{"subject":"","project_id":79,"tracker_id":40,"status_id":1,"priority_id":2,"assigned_to_id":338,"start_date":"2017-10-12","description":"","custom_fields":[{"id":1,"name":"Subdivision","value":"NW"},{"id":4,"name":"Milepost","value":"0.0643"},{"id":17,"name":"Train ID","value":"826-12"},{"id":16,"name":"Locomotive ID","value":"4041"},{"id":130,"name":"Impact","value":""},{"id":150,"name":"Time of Event (Mountain Time)","value":"15:53:55"},{"id":151,"name":"Denver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ref="AM181" si="86">"start /low /b "&amp;dls3logs&amp;" --loco "&amp;B181&amp;" --day "&amp;TEXT(F181,"YYYY-MM-DD")</f>
        <v>start /low /b %USERPROFILE%\Documents\GitHub\eaglep3\Utilities\DownloadLogsFromS3.py --loco 4041 --day 2017-10-12</v>
      </c>
      <c r="AN181" s="151" t="str">
        <f t="shared" ref="AN181" si="87">"echo {""issue"":{""subject"":"""&amp;R181&amp;""",""project_id"":30,""tracker_id"":4,""status_id"":"&amp;redmine_status_wcr&amp;",""priority_id"":"&amp;redmine_priority_wcr&amp;",""assigned_to_id"":"&amp;redmine_assignee_wcr&amp;",""start_date"":"""&amp;TEXT(I181-utc_offset/24,"YYYY-mm-dd")&amp;""",""description"":"""&amp;AJ181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ref="AO181" si="88"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Message%20ID',Summary),filters:!(),index:'emp_*',interval:auto,query:"&amp;"(query_string:(analyze_wildcard:!t,query:'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-12T14:05:19-0600',mode:absolute,to:'2017-10-12T16:53:55-0600'))&amp;_a=(columns:!('Message%20ID',Summary),filters:!(),index:'emp_*',interval:auto,query:(query_string:(analyze_wildcard:!t,query:'%22rtdc.l.rtdc.4041%22')),sort:!(Time.ISO8601,asc))</v>
      </c>
    </row>
    <row r="182" spans="1:91" s="20" customFormat="1" x14ac:dyDescent="0.25">
      <c r="A182" s="32" t="s">
        <v>738</v>
      </c>
      <c r="B182" s="7">
        <v>4030</v>
      </c>
      <c r="C182" s="21" t="s">
        <v>194</v>
      </c>
      <c r="D182" s="21" t="s">
        <v>550</v>
      </c>
      <c r="E182" s="13">
        <v>43020.651956018519</v>
      </c>
      <c r="F182" s="13">
        <v>43020.65347222222</v>
      </c>
      <c r="G182" s="7">
        <v>69</v>
      </c>
      <c r="H182" s="21" t="s">
        <v>939</v>
      </c>
      <c r="I182" s="13">
        <v>43020.66443287037</v>
      </c>
      <c r="J182" s="7">
        <v>0</v>
      </c>
      <c r="K182" s="89" t="str">
        <f t="shared" si="58"/>
        <v>4029/4030</v>
      </c>
      <c r="L182" s="185" t="str">
        <f>VLOOKUP(A182,'Trips&amp;Operators'!$C$1:$G$99911,5,FALSE)</f>
        <v>DUNCAN SHEILA</v>
      </c>
      <c r="M182" s="6">
        <f t="shared" si="59"/>
        <v>1.096064814919373E-2</v>
      </c>
      <c r="N182" s="7">
        <f>24*60*SUM($M182:$M182)</f>
        <v>15.783333334838971</v>
      </c>
      <c r="O182" s="7"/>
      <c r="P182" s="7"/>
      <c r="Q182" s="22"/>
      <c r="R182" s="174"/>
      <c r="S182" s="199">
        <f>1/IF(AG182="EC",12,1)*SUM(U182:U182)</f>
        <v>1</v>
      </c>
      <c r="T182" s="174" t="str">
        <f t="shared" si="62"/>
        <v>NorthBound</v>
      </c>
      <c r="U182" s="22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25" t="str">
        <f t="shared" si="63"/>
        <v>https://d0f6bd738d7f1b3e5a7ca70fe4ff75f0.us-east-1.aws.found.io/app/kibana#/discover/Steve-Slow-Train-Analysis-(2080s-and-2083s)?_g=(refreshInterval:(display:Off,pause:!f,section:0,value:0),time:(from:'2017-10-12T14:38:49-0600',mode:absolute,to:'2017-10-12T16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2" s="226" t="str">
        <f>IF(AA182&lt;VLOOKUP(AG182,Variables!$AC$3:$AD$8,2,FALSE),"Y","N")</f>
        <v>N</v>
      </c>
      <c r="X182" s="226">
        <f t="shared" si="64"/>
        <v>1</v>
      </c>
      <c r="Y182" s="226">
        <f t="shared" ref="Y182:Y187" si="89">RIGHT(D182,LEN(D182)-4)/10000</f>
        <v>9.6199999999999994E-2</v>
      </c>
      <c r="Z182" s="226">
        <f t="shared" ref="Z182:Z187" si="90">RIGHT(H182,LEN(H182)-4)/10000</f>
        <v>5.8929</v>
      </c>
      <c r="AA182" s="226">
        <f t="shared" si="65"/>
        <v>5.7967000000000004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6"/>
        <v>827</v>
      </c>
      <c r="AE182" s="77" t="str">
        <f t="shared" si="67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82" s="74" t="str">
        <f t="shared" si="68"/>
        <v>"C:\Program Files (x86)\AstroGrep\AstroGrep.exe" /e /r /s /spath="%USERPROFILE%\AppData\Local\Temp\OnboardLogs" /stypes="app*4030*20171012*" /stext=" 21:.+((SYSTEM_STATE.+slice.+state.+changed )|(ment ac)|(multiple cpu faults)|(system.+state.+changed )|(\[timeout)|(PRM\|1\|D)|(kpr)|(kdp)|(train st.+moving)|(\|lc)|(penalty))"</v>
      </c>
      <c r="AG182" s="182" t="str">
        <f t="shared" si="69"/>
        <v>NW</v>
      </c>
      <c r="AH182" s="78" t="str">
        <f t="shared" si="70"/>
        <v>"%USERPROFILE%\Documents\GitHub\eaglep3\Utilities\RefineRTDCRunTimes.py" --tripid 827-12 --locoid 4030 --swversion DE.1.0.9.0 --startMP 204:962 --initTime 2017-10-12T15:38:49 --startdatetime 2017-10-12T15:41:00 --delay 69 --endMP 300:58929 --enddatetime 2017-10-12T15:56:47 --enforcementcount 0 &gt;&gt;%USERPROFILE%\Documents\GitHub\eaglep3-reporting\EC\2017-10-12-refined-times.txt</v>
      </c>
      <c r="AI182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{"issue":{"subject":"","project_id":79,"tracker_id":40,"status_id":1,"priority_id":2,"assigned_to_id":338,"start_date":"2017-10-12","description":"","custom_fields":[{"id":1,"name":"Subdivision","value":"NW"},{"id":4,"name":"Milepost","value":"5.8929"},{"id":17,"name":"Train ID","value":"827-12"},{"id":16,"name":"Locomotive ID","value":"4030"},{"id":130,"name":"Impact","value":""},{"id":150,"name":"Time of Event (Mountain Time)","value":"15:56:47"},{"id":151,"name":"Denver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72"/>
        <v>start /low /b %USERPROFILE%\Documents\GitHub\eaglep3\Utilities\DownloadLogsFromS3.py --loco 4030 --day 2017-10-12</v>
      </c>
      <c r="AN182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4"/>
        <v>https://d0f6bd738d7f1b3e5a7ca70fe4ff75f0.us-east-1.aws.found.io/app/kibana#/discover/Steve-Slow-Train-Analysis-(2080s-and-2083s)?_g=(refreshInterval:(display:Off,pause:!f,section:0,value:0),time:(from:'2017-10-12T14:38:49-0600',mode:absolute,to:'2017-10-12T16:56:47-0600'))&amp;_a=(columns:!('Message%20ID',Summary),filters:!(),index:'emp_*',interval:auto,query:(query_string:(analyze_wildcard:!t,query:'%22rtdc.l.rtdc.4030%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742</v>
      </c>
      <c r="B183" s="7">
        <v>4029</v>
      </c>
      <c r="C183" s="21" t="s">
        <v>194</v>
      </c>
      <c r="D183" s="21" t="s">
        <v>940</v>
      </c>
      <c r="E183" s="13">
        <v>43020.669293981482</v>
      </c>
      <c r="F183" s="13">
        <v>43020.675868055558</v>
      </c>
      <c r="G183" s="7">
        <v>53</v>
      </c>
      <c r="H183" s="21" t="s">
        <v>552</v>
      </c>
      <c r="I183" s="13">
        <v>43020.685289351852</v>
      </c>
      <c r="J183" s="7">
        <v>0</v>
      </c>
      <c r="K183" s="89" t="str">
        <f t="shared" si="58"/>
        <v>4029/4030</v>
      </c>
      <c r="L183" s="185" t="str">
        <f>VLOOKUP(A183,'Trips&amp;Operators'!$C$1:$G$99911,5,FALSE)</f>
        <v>DUNCAN SHEILA</v>
      </c>
      <c r="M183" s="6">
        <f t="shared" si="59"/>
        <v>9.4212962940218858E-3</v>
      </c>
      <c r="N183" s="7">
        <f>24*60*SUM($M183:$M183)</f>
        <v>13.566666663391516</v>
      </c>
      <c r="O183" s="7"/>
      <c r="P183" s="7"/>
      <c r="Q183" s="22"/>
      <c r="R183" s="174" t="s">
        <v>987</v>
      </c>
      <c r="S183" s="199">
        <f>1/IF(AG183="EC",12,1)*SUM(U183:U183)</f>
        <v>1</v>
      </c>
      <c r="T183" s="174" t="str">
        <f t="shared" si="62"/>
        <v>Southbound</v>
      </c>
      <c r="U183" s="22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25" t="str">
        <f t="shared" si="63"/>
        <v>https://d0f6bd738d7f1b3e5a7ca70fe4ff75f0.us-east-1.aws.found.io/app/kibana#/discover/Steve-Slow-Train-Analysis-(2080s-and-2083s)?_g=(refreshInterval:(display:Off,pause:!f,section:0,value:0),time:(from:'2017-10-12T15:03:47-0600',mode:absolute,to:'2017-10-12T17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3" s="226" t="str">
        <f>IF(AA183&lt;VLOOKUP(AG183,Variables!$AC$3:$AD$8,2,FALSE),"Y","N")</f>
        <v>N</v>
      </c>
      <c r="X183" s="226">
        <f t="shared" si="64"/>
        <v>1</v>
      </c>
      <c r="Y183" s="226">
        <f t="shared" si="89"/>
        <v>5.7301000000000002</v>
      </c>
      <c r="Z183" s="226">
        <f t="shared" si="90"/>
        <v>6.9199999999999998E-2</v>
      </c>
      <c r="AA183" s="226">
        <f t="shared" si="65"/>
        <v>5.6608999999999998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6"/>
        <v>828</v>
      </c>
      <c r="AE183" s="77" t="str">
        <f t="shared" si="67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83" s="74" t="str">
        <f t="shared" si="68"/>
        <v>"C:\Program Files (x86)\AstroGrep\AstroGrep.exe" /e /r /s /spath="%USERPROFILE%\AppData\Local\Temp\OnboardLogs" /stypes="app*4029*20171012*" /stext=" 22:.+((SYSTEM_STATE.+slice.+state.+changed )|(ment ac)|(multiple cpu faults)|(system.+state.+changed )|(\[timeout)|(PRM\|1\|D)|(kpr)|(kdp)|(train st.+moving)|(\|lc)|(penalty))"</v>
      </c>
      <c r="AG183" s="182" t="str">
        <f t="shared" si="69"/>
        <v>NW</v>
      </c>
      <c r="AH183" s="78" t="str">
        <f t="shared" si="70"/>
        <v>"%USERPROFILE%\Documents\GitHub\eaglep3\Utilities\RefineRTDCRunTimes.py" --tripid 828-12 --locoid 4029 --swversion DE.1.0.9.0 --startMP 300:57301 --initTime 2017-10-12T16:03:47 --startdatetime 2017-10-12T16:13:15 --delay 53 --endMP 204:692 --enddatetime 2017-10-12T16:26:49 --enforcementcount 0 &gt;&gt;%USERPROFILE%\Documents\GitHub\eaglep3-reporting\EC\2017-10-12-refined-times.txt</v>
      </c>
      <c r="AI183" s="96" t="str">
        <f t="shared" si="71"/>
        <v>echo {"issue":{"subject":"Went active past Westminster 2S","project_id":79,"tracker_id":40,"status_id":1,"priority_id":2,"assigned_to_id":338,"start_date":"2017-10-12","description":"","custom_fields":[{"id":1,"name":"Subdivision","value":"NW"},{"id":4,"name":"Milepost","value":"0.0692"},{"id":17,"name":"Train ID","value":"828-12"},{"id":16,"name":"Locomotive ID","value":"4029"},{"id":130,"name":"Impact","value":""},{"id":150,"name":"Time of Event (Mountain Time)","value":"16:26:49"},{"id":151,"name":"Denver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72"/>
        <v>start /low /b %USERPROFILE%\Documents\GitHub\eaglep3\Utilities\DownloadLogsFromS3.py --loco 4029 --day 2017-10-12</v>
      </c>
      <c r="AN183" s="151" t="str">
        <f t="shared" si="73"/>
        <v>echo {"issue":{"subject":"Went active past Westminster 2S","project_id":30,"tracker_id":4,"status_id":1,"priority_id":1,"assigned_to_id":10,"start_date":"2017-10-12","description":"","custom_fields":[{"id":30,"name":"Category","value":"Issue"},{"id":3,"name":"Functional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4"/>
        <v>https://d0f6bd738d7f1b3e5a7ca70fe4ff75f0.us-east-1.aws.found.io/app/kibana#/discover/Steve-Slow-Train-Analysis-(2080s-and-2083s)?_g=(refreshInterval:(display:Off,pause:!f,section:0,value:0),time:(from:'2017-10-12T15:03:47-0600',mode:absolute,to:'2017-10-12T17:26:49-0600'))&amp;_a=(columns:!('Message%20ID',Summary),filters:!(),index:'emp_*',interval:auto,query:(query_string:(analyze_wildcard:!t,query:'%22rtdc.l.rtdc.4029%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742</v>
      </c>
      <c r="B184" s="7">
        <v>4029</v>
      </c>
      <c r="C184" s="21" t="s">
        <v>194</v>
      </c>
      <c r="D184" s="21" t="s">
        <v>941</v>
      </c>
      <c r="E184" s="13">
        <v>43020.665185185186</v>
      </c>
      <c r="F184" s="13">
        <v>43020.675868055558</v>
      </c>
      <c r="G184" s="7">
        <v>52</v>
      </c>
      <c r="H184" s="21" t="s">
        <v>942</v>
      </c>
      <c r="I184" s="13">
        <v>43020.685289351852</v>
      </c>
      <c r="J184" s="7">
        <v>0</v>
      </c>
      <c r="K184" s="89" t="str">
        <f t="shared" si="58"/>
        <v>4029/4030</v>
      </c>
      <c r="L184" s="185" t="str">
        <f>VLOOKUP(A184,'Trips&amp;Operators'!$C$1:$G$99911,5,FALSE)</f>
        <v>DUNCAN SHEILA</v>
      </c>
      <c r="M184" s="6">
        <f t="shared" si="59"/>
        <v>9.4212962940218858E-3</v>
      </c>
      <c r="N184" s="7"/>
      <c r="O184" s="7"/>
      <c r="P184" s="7"/>
      <c r="Q184" s="22"/>
      <c r="R184" s="174"/>
      <c r="S184" s="199"/>
      <c r="T184" s="174" t="str">
        <f t="shared" si="62"/>
        <v>Southbound</v>
      </c>
      <c r="U184" s="22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225" t="str">
        <f t="shared" si="63"/>
        <v>https://d0f6bd738d7f1b3e5a7ca70fe4ff75f0.us-east-1.aws.found.io/app/kibana#/discover/Steve-Slow-Train-Analysis-(2080s-and-2083s)?_g=(refreshInterval:(display:Off,pause:!f,section:0,value:0),time:(from:'2017-10-12T14:57:52-0600',mode:absolute,to:'2017-10-12T17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4" s="226" t="str">
        <f>IF(AA184&lt;VLOOKUP(AG184,Variables!$AC$3:$AD$8,2,FALSE),"Y","N")</f>
        <v>Y</v>
      </c>
      <c r="X184" s="226">
        <f t="shared" si="64"/>
        <v>0</v>
      </c>
      <c r="Y184" s="226">
        <f t="shared" si="89"/>
        <v>5.8613</v>
      </c>
      <c r="Z184" s="226">
        <f t="shared" si="90"/>
        <v>5.7290999999999999</v>
      </c>
      <c r="AA184" s="226">
        <f t="shared" si="65"/>
        <v>0.1322000000000001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6"/>
        <v>828</v>
      </c>
      <c r="AE184" s="77" t="str">
        <f t="shared" si="67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84" s="74" t="str">
        <f t="shared" si="68"/>
        <v>"C:\Program Files (x86)\AstroGrep\AstroGrep.exe" /e /r /s /spath="%USERPROFILE%\AppData\Local\Temp\OnboardLogs" /stypes="app*4029*20171012*" /stext=" 22:.+((SYSTEM_STATE.+slice.+state.+changed )|(ment ac)|(multiple cpu faults)|(system.+state.+changed )|(\[timeout)|(PRM\|1\|D)|(kpr)|(kdp)|(train st.+moving)|(\|lc)|(penalty))"</v>
      </c>
      <c r="AG184" s="182" t="str">
        <f t="shared" si="69"/>
        <v>NW</v>
      </c>
      <c r="AH184" s="78" t="str">
        <f t="shared" si="70"/>
        <v>"%USERPROFILE%\Documents\GitHub\eaglep3\Utilities\RefineRTDCRunTimes.py" --tripid 828-12 --locoid 4029 --swversion DE.1.0.9.0 --startMP 300:58613 --initTime 2017-10-12T15:57:52 --startdatetime 2017-10-12T16:13:15 --delay 52 --endMP 300:57291 --enddatetime 2017-10-12T16:26:49 --enforcementcount 0 &gt;&gt;%USERPROFILE%\Documents\GitHub\eaglep3-reporting\EC\2017-10-12-refined-times.txt</v>
      </c>
      <c r="AI184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{"issue":{"subject":"","project_id":79,"tracker_id":40,"status_id":1,"priority_id":2,"assigned_to_id":338,"start_date":"2017-10-12","description":"","custom_fields":[{"id":1,"name":"Subdivision","value":"NW"},{"id":4,"name":"Milepost","value":"5.7291"},{"id":17,"name":"Train ID","value":"828-12"},{"id":16,"name":"Locomotive ID","value":"4029"},{"id":130,"name":"Impact","value":""},{"id":150,"name":"Time of Event (Mountain Time)","value":"16:26:49"},{"id":151,"name":"Denver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72"/>
        <v>start /low /b %USERPROFILE%\Documents\GitHub\eaglep3\Utilities\DownloadLogsFromS3.py --loco 4029 --day 2017-10-12</v>
      </c>
      <c r="AN184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4"/>
        <v>https://d0f6bd738d7f1b3e5a7ca70fe4ff75f0.us-east-1.aws.found.io/app/kibana#/discover/Steve-Slow-Train-Analysis-(2080s-and-2083s)?_g=(refreshInterval:(display:Off,pause:!f,section:0,value:0),time:(from:'2017-10-12T14:57:52-0600',mode:absolute,to:'2017-10-12T17:26:49-0600'))&amp;_a=(columns:!('Message%20ID',Summary),filters:!(),index:'emp_*',interval:auto,query:(query_string:(analyze_wildcard:!t,query:'%22rtdc.l.rtdc.4029%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744</v>
      </c>
      <c r="B185" s="7">
        <v>4042</v>
      </c>
      <c r="C185" s="21" t="s">
        <v>194</v>
      </c>
      <c r="D185" s="21" t="s">
        <v>943</v>
      </c>
      <c r="E185" s="13">
        <v>43020.671909722223</v>
      </c>
      <c r="F185" s="13">
        <v>43020.673275462963</v>
      </c>
      <c r="G185" s="7">
        <v>47</v>
      </c>
      <c r="H185" s="21" t="s">
        <v>453</v>
      </c>
      <c r="I185" s="13">
        <v>43020.683912037035</v>
      </c>
      <c r="J185" s="7">
        <v>0</v>
      </c>
      <c r="K185" s="89" t="str">
        <f t="shared" si="58"/>
        <v>4041/4042</v>
      </c>
      <c r="L185" s="185" t="str">
        <f>VLOOKUP(A185,'Trips&amp;Operators'!$C$1:$G$99911,5,FALSE)</f>
        <v>STAMBAUGH JAMES</v>
      </c>
      <c r="M185" s="6">
        <f t="shared" si="59"/>
        <v>1.063657407212304E-2</v>
      </c>
      <c r="N185" s="7">
        <f t="shared" ref="N185:N198" si="91">24*60*SUM($M185:$M185)</f>
        <v>15.316666663857177</v>
      </c>
      <c r="O185" s="7"/>
      <c r="P185" s="7"/>
      <c r="Q185" s="22"/>
      <c r="R185" s="174"/>
      <c r="S185" s="199">
        <f t="shared" ref="S185:S198" si="92">1/IF(AG185="EC",12,1)*SUM(U185:U185)</f>
        <v>1</v>
      </c>
      <c r="T185" s="174" t="str">
        <f t="shared" si="62"/>
        <v>NorthBound</v>
      </c>
      <c r="U185" s="22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25" t="str">
        <f t="shared" si="63"/>
        <v>https://d0f6bd738d7f1b3e5a7ca70fe4ff75f0.us-east-1.aws.found.io/app/kibana#/discover/Steve-Slow-Train-Analysis-(2080s-and-2083s)?_g=(refreshInterval:(display:Off,pause:!f,section:0,value:0),time:(from:'2017-10-12T15:07:33-0600',mode:absolute,to:'2017-10-12T17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5" s="226" t="str">
        <f>IF(AA185&lt;VLOOKUP(AG185,Variables!$AC$3:$AD$8,2,FALSE),"Y","N")</f>
        <v>N</v>
      </c>
      <c r="X185" s="226">
        <f t="shared" si="64"/>
        <v>1</v>
      </c>
      <c r="Y185" s="226">
        <f t="shared" si="89"/>
        <v>9.4299999999999995E-2</v>
      </c>
      <c r="Z185" s="226">
        <f t="shared" si="90"/>
        <v>5.8943000000000003</v>
      </c>
      <c r="AA185" s="226">
        <f t="shared" si="65"/>
        <v>5.8000000000000007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6"/>
        <v>829</v>
      </c>
      <c r="AE185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85" s="74" t="str">
        <f t="shared" si="68"/>
        <v>"C:\Program Files (x86)\AstroGrep\AstroGrep.exe" /e /r /s /spath="%USERPROFILE%\AppData\Local\Temp\OnboardLogs" /stypes="app*4042*20171012*" /stext=" 22:.+((SYSTEM_STATE.+slice.+state.+changed )|(ment ac)|(multiple cpu faults)|(system.+state.+changed )|(\[timeout)|(PRM\|1\|D)|(kpr)|(kdp)|(train st.+moving)|(\|lc)|(penalty))"</v>
      </c>
      <c r="AG185" s="182" t="str">
        <f t="shared" si="69"/>
        <v>NW</v>
      </c>
      <c r="AH185" s="78" t="str">
        <f t="shared" si="70"/>
        <v>"%USERPROFILE%\Documents\GitHub\eaglep3\Utilities\RefineRTDCRunTimes.py" --tripid 829-12 --locoid 4042 --swversion DE.1.0.9.0 --startMP 204:943 --initTime 2017-10-12T16:07:33 --startdatetime 2017-10-12T16:09:31 --delay 47 --endMP 300:58943 --enddatetime 2017-10-12T16:24:50 --enforcementcount 0 &gt;&gt;%USERPROFILE%\Documents\GitHub\eaglep3-reporting\EC\2017-10-12-refined-times.txt</v>
      </c>
      <c r="AI185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{"issue":{"subject":"","project_id":79,"tracker_id":40,"status_id":1,"priority_id":2,"assigned_to_id":338,"start_date":"2017-10-12","description":"","custom_fields":[{"id":1,"name":"Subdivision","value":"NW"},{"id":4,"name":"Milepost","value":"5.8943"},{"id":17,"name":"Train ID","value":"829-12"},{"id":16,"name":"Locomotive ID","value":"4042"},{"id":130,"name":"Impact","value":""},{"id":150,"name":"Time of Event (Mountain Time)","value":"16:24:50"},{"id":151,"name":"Denver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72"/>
        <v>start /low /b %USERPROFILE%\Documents\GitHub\eaglep3\Utilities\DownloadLogsFromS3.py --loco 4042 --day 2017-10-12</v>
      </c>
      <c r="AN185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4"/>
        <v>https://d0f6bd738d7f1b3e5a7ca70fe4ff75f0.us-east-1.aws.found.io/app/kibana#/discover/Steve-Slow-Train-Analysis-(2080s-and-2083s)?_g=(refreshInterval:(display:Off,pause:!f,section:0,value:0),time:(from:'2017-10-12T15:07:33-0600',mode:absolute,to:'2017-10-12T17:24:50-0600'))&amp;_a=(columns:!('Message%20ID',Summary),filters:!(),index:'emp_*',interval:auto,query:(query_string:(analyze_wildcard:!t,query:'%22rtdc.l.rtdc.4042%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748</v>
      </c>
      <c r="B186" s="7">
        <v>4041</v>
      </c>
      <c r="C186" s="21" t="s">
        <v>194</v>
      </c>
      <c r="D186" s="21" t="s">
        <v>944</v>
      </c>
      <c r="E186" s="13">
        <v>43020.685937499999</v>
      </c>
      <c r="F186" s="13">
        <v>43020.696527777778</v>
      </c>
      <c r="G186" s="7">
        <v>50</v>
      </c>
      <c r="H186" s="21" t="s">
        <v>945</v>
      </c>
      <c r="I186" s="13">
        <v>43020.704791666663</v>
      </c>
      <c r="J186" s="7">
        <v>0</v>
      </c>
      <c r="K186" s="89" t="str">
        <f t="shared" si="58"/>
        <v>4041/4042</v>
      </c>
      <c r="L186" s="185" t="str">
        <f>VLOOKUP(A186,'Trips&amp;Operators'!$C$1:$G$99911,5,FALSE)</f>
        <v>STAMBAUGH JAMES</v>
      </c>
      <c r="M186" s="6">
        <f t="shared" si="59"/>
        <v>8.2638888852670789E-3</v>
      </c>
      <c r="N186" s="7">
        <f t="shared" si="91"/>
        <v>11.899999994784594</v>
      </c>
      <c r="O186" s="7"/>
      <c r="P186" s="7"/>
      <c r="Q186" s="22"/>
      <c r="R186" s="174"/>
      <c r="S186" s="199">
        <f t="shared" si="92"/>
        <v>1</v>
      </c>
      <c r="T186" s="174" t="str">
        <f t="shared" si="62"/>
        <v>Southbound</v>
      </c>
      <c r="U186" s="22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25" t="str">
        <f t="shared" si="63"/>
        <v>https://d0f6bd738d7f1b3e5a7ca70fe4ff75f0.us-east-1.aws.found.io/app/kibana#/discover/Steve-Slow-Train-Analysis-(2080s-and-2083s)?_g=(refreshInterval:(display:Off,pause:!f,section:0,value:0),time:(from:'2017-10-12T15:27:45-0600',mode:absolute,to:'2017-10-12T17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6" s="226" t="str">
        <f>IF(AA186&lt;VLOOKUP(AG186,Variables!$AC$3:$AD$8,2,FALSE),"Y","N")</f>
        <v>N</v>
      </c>
      <c r="X186" s="226">
        <f t="shared" si="64"/>
        <v>1</v>
      </c>
      <c r="Y186" s="226">
        <f t="shared" si="89"/>
        <v>5.8620999999999999</v>
      </c>
      <c r="Z186" s="226">
        <f t="shared" si="90"/>
        <v>6.6100000000000006E-2</v>
      </c>
      <c r="AA186" s="226">
        <f t="shared" si="65"/>
        <v>5.7960000000000003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6"/>
        <v>830</v>
      </c>
      <c r="AE186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86" s="74" t="str">
        <f t="shared" si="68"/>
        <v>"C:\Program Files (x86)\AstroGrep\AstroGrep.exe" /e /r /s /spath="%USERPROFILE%\AppData\Local\Temp\OnboardLogs" /stypes="app*4041*20171012*" /stext=" 22:.+((SYSTEM_STATE.+slice.+state.+changed )|(ment ac)|(multiple cpu faults)|(system.+state.+changed )|(\[timeout)|(PRM\|1\|D)|(kpr)|(kdp)|(train st.+moving)|(\|lc)|(penalty))"</v>
      </c>
      <c r="AG186" s="182" t="str">
        <f t="shared" si="69"/>
        <v>NW</v>
      </c>
      <c r="AH186" s="78" t="str">
        <f t="shared" si="70"/>
        <v>"%USERPROFILE%\Documents\GitHub\eaglep3\Utilities\RefineRTDCRunTimes.py" --tripid 830-12 --locoid 4041 --swversion DE.1.0.9.0 --startMP 300:58621 --initTime 2017-10-12T16:27:45 --startdatetime 2017-10-12T16:43:00 --delay 50 --endMP 204:661 --enddatetime 2017-10-12T16:54:54 --enforcementcount 0 &gt;&gt;%USERPROFILE%\Documents\GitHub\eaglep3-reporting\EC\2017-10-12-refined-times.txt</v>
      </c>
      <c r="AI186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{"issue":{"subject":"","project_id":79,"tracker_id":40,"status_id":1,"priority_id":2,"assigned_to_id":338,"start_date":"2017-10-12","description":"","custom_fields":[{"id":1,"name":"Subdivision","value":"NW"},{"id":4,"name":"Milepost","value":"0.0661"},{"id":17,"name":"Train ID","value":"830-12"},{"id":16,"name":"Locomotive ID","value":"4041"},{"id":130,"name":"Impact","value":""},{"id":150,"name":"Time of Event (Mountain Time)","value":"16:54:54"},{"id":151,"name":"Denver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72"/>
        <v>start /low /b %USERPROFILE%\Documents\GitHub\eaglep3\Utilities\DownloadLogsFromS3.py --loco 4041 --day 2017-10-12</v>
      </c>
      <c r="AN186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4"/>
        <v>https://d0f6bd738d7f1b3e5a7ca70fe4ff75f0.us-east-1.aws.found.io/app/kibana#/discover/Steve-Slow-Train-Analysis-(2080s-and-2083s)?_g=(refreshInterval:(display:Off,pause:!f,section:0,value:0),time:(from:'2017-10-12T15:27:45-0600',mode:absolute,to:'2017-10-12T17:54:54-0600'))&amp;_a=(columns:!('Message%20ID',Summary),filters:!(),index:'emp_*',interval:auto,query:(query_string:(analyze_wildcard:!t,query:'%22rtdc.l.rtdc.4041%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749</v>
      </c>
      <c r="B187" s="7">
        <v>4030</v>
      </c>
      <c r="C187" s="21" t="s">
        <v>194</v>
      </c>
      <c r="D187" s="21" t="s">
        <v>946</v>
      </c>
      <c r="E187" s="13">
        <v>43020.686215277776</v>
      </c>
      <c r="F187" s="13">
        <v>43020.693923611114</v>
      </c>
      <c r="G187" s="7">
        <v>74</v>
      </c>
      <c r="H187" s="21" t="s">
        <v>947</v>
      </c>
      <c r="I187" s="13">
        <v>43020.704699074071</v>
      </c>
      <c r="J187" s="7">
        <v>0</v>
      </c>
      <c r="K187" s="89" t="str">
        <f t="shared" si="58"/>
        <v>4029/4030</v>
      </c>
      <c r="L187" s="185" t="str">
        <f>VLOOKUP(A187,'Trips&amp;Operators'!$C$1:$G$99911,5,FALSE)</f>
        <v>DUNCAN SHEILA</v>
      </c>
      <c r="M187" s="6">
        <f t="shared" si="59"/>
        <v>1.077546295709908E-2</v>
      </c>
      <c r="N187" s="7">
        <f t="shared" si="91"/>
        <v>15.516666658222675</v>
      </c>
      <c r="O187" s="7"/>
      <c r="P187" s="7"/>
      <c r="Q187" s="22"/>
      <c r="R187" s="174"/>
      <c r="S187" s="199">
        <f t="shared" si="92"/>
        <v>1</v>
      </c>
      <c r="T187" s="174" t="str">
        <f t="shared" si="62"/>
        <v>NorthBound</v>
      </c>
      <c r="U187" s="22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25" t="str">
        <f t="shared" si="63"/>
        <v>https://d0f6bd738d7f1b3e5a7ca70fe4ff75f0.us-east-1.aws.found.io/app/kibana#/discover/Steve-Slow-Train-Analysis-(2080s-and-2083s)?_g=(refreshInterval:(display:Off,pause:!f,section:0,value:0),time:(from:'2017-10-12T15:28:09-0600',mode:absolute,to:'2017-10-12T17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7" s="226" t="str">
        <f>IF(AA187&lt;VLOOKUP(AG187,Variables!$AC$3:$AD$8,2,FALSE),"Y","N")</f>
        <v>N</v>
      </c>
      <c r="X187" s="226">
        <f t="shared" si="64"/>
        <v>1</v>
      </c>
      <c r="Y187" s="226">
        <f t="shared" si="89"/>
        <v>9.74E-2</v>
      </c>
      <c r="Z187" s="226">
        <f t="shared" si="90"/>
        <v>5.8930999999999996</v>
      </c>
      <c r="AA187" s="226">
        <f t="shared" si="65"/>
        <v>5.7956999999999992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6"/>
        <v>831</v>
      </c>
      <c r="AE187" s="77" t="str">
        <f t="shared" si="67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87" s="74" t="str">
        <f t="shared" si="68"/>
        <v>"C:\Program Files (x86)\AstroGrep\AstroGrep.exe" /e /r /s /spath="%USERPROFILE%\AppData\Local\Temp\OnboardLogs" /stypes="app*4030*20171012*" /stext=" 22:.+((SYSTEM_STATE.+slice.+state.+changed )|(ment ac)|(multiple cpu faults)|(system.+state.+changed )|(\[timeout)|(PRM\|1\|D)|(kpr)|(kdp)|(train st.+moving)|(\|lc)|(penalty))"</v>
      </c>
      <c r="AG187" s="182" t="str">
        <f t="shared" si="69"/>
        <v>NW</v>
      </c>
      <c r="AH187" s="78" t="str">
        <f t="shared" si="70"/>
        <v>"%USERPROFILE%\Documents\GitHub\eaglep3\Utilities\RefineRTDCRunTimes.py" --tripid 831-12 --locoid 4030 --swversion DE.1.0.9.0 --startMP 204:974 --initTime 2017-10-12T16:28:09 --startdatetime 2017-10-12T16:39:15 --delay 74 --endMP 300:58931 --enddatetime 2017-10-12T16:54:46 --enforcementcount 0 &gt;&gt;%USERPROFILE%\Documents\GitHub\eaglep3-reporting\EC\2017-10-12-refined-times.txt</v>
      </c>
      <c r="AI187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{"issue":{"subject":"","project_id":79,"tracker_id":40,"status_id":1,"priority_id":2,"assigned_to_id":338,"start_date":"2017-10-12","description":"","custom_fields":[{"id":1,"name":"Subdivision","value":"NW"},{"id":4,"name":"Milepost","value":"5.8931"},{"id":17,"name":"Train ID","value":"831-12"},{"id":16,"name":"Locomotive ID","value":"4030"},{"id":130,"name":"Impact","value":""},{"id":150,"name":"Time of Event (Mountain Time)","value":"16:54:46"},{"id":151,"name":"Denver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72"/>
        <v>start /low /b %USERPROFILE%\Documents\GitHub\eaglep3\Utilities\DownloadLogsFromS3.py --loco 4030 --day 2017-10-12</v>
      </c>
      <c r="AN187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4"/>
        <v>https://d0f6bd738d7f1b3e5a7ca70fe4ff75f0.us-east-1.aws.found.io/app/kibana#/discover/Steve-Slow-Train-Analysis-(2080s-and-2083s)?_g=(refreshInterval:(display:Off,pause:!f,section:0,value:0),time:(from:'2017-10-12T15:28:09-0600',mode:absolute,to:'2017-10-12T17:54:46-0600'))&amp;_a=(columns:!('Message%20ID',Summary),filters:!(),index:'emp_*',interval:auto,query:(query_string:(analyze_wildcard:!t,query:'%22rtdc.l.rtdc.4030%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754</v>
      </c>
      <c r="B188" s="7">
        <v>4029</v>
      </c>
      <c r="C188" s="21" t="s">
        <v>194</v>
      </c>
      <c r="D188" s="21" t="s">
        <v>946</v>
      </c>
      <c r="E188" s="13">
        <v>43020.686215277776</v>
      </c>
      <c r="F188" s="13">
        <v>43020.717569444445</v>
      </c>
      <c r="G188" s="7">
        <v>74</v>
      </c>
      <c r="H188" s="21" t="s">
        <v>947</v>
      </c>
      <c r="I188" s="13">
        <v>43020.725937499999</v>
      </c>
      <c r="J188" s="7">
        <v>0</v>
      </c>
      <c r="K188" s="89" t="str">
        <f t="shared" si="58"/>
        <v>4029/4030</v>
      </c>
      <c r="L188" s="185" t="str">
        <f>VLOOKUP(A188,'Trips&amp;Operators'!$C$1:$G$99911,5,FALSE)</f>
        <v>DUNCAN SHEILA</v>
      </c>
      <c r="M188" s="6">
        <f t="shared" si="59"/>
        <v>8.3680555544560775E-3</v>
      </c>
      <c r="N188" s="7">
        <f t="shared" si="91"/>
        <v>12.049999998416752</v>
      </c>
      <c r="O188" s="7"/>
      <c r="P188" s="7"/>
      <c r="Q188" s="22"/>
      <c r="R188" s="174"/>
      <c r="S188" s="199">
        <f t="shared" si="92"/>
        <v>1</v>
      </c>
      <c r="T188" s="174" t="str">
        <f t="shared" si="62"/>
        <v>Southbound</v>
      </c>
      <c r="U188" s="22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25" t="str">
        <f t="shared" si="63"/>
        <v>https://d0f6bd738d7f1b3e5a7ca70fe4ff75f0.us-east-1.aws.found.io/app/kibana#/discover/Steve-Slow-Train-Analysis-(2080s-and-2083s)?_g=(refreshInterval:(display:Off,pause:!f,section:0,value:0),time:(from:'2017-10-12T15:28:09-0600',mode:absolute,to:'2017-10-12T18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8" s="226" t="str">
        <f>IF(AA188&lt;VLOOKUP(AG188,Variables!$AC$3:$AD$8,2,FALSE),"Y","N")</f>
        <v>N</v>
      </c>
      <c r="X188" s="226">
        <f t="shared" si="64"/>
        <v>1</v>
      </c>
      <c r="Y188" s="226">
        <v>5.8620999999999999</v>
      </c>
      <c r="Z188" s="226">
        <v>6.6100000000000006E-2</v>
      </c>
      <c r="AA188" s="226">
        <f t="shared" si="65"/>
        <v>5.7960000000000003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6"/>
        <v>832</v>
      </c>
      <c r="AE188" s="77" t="str">
        <f t="shared" si="67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88" s="74" t="str">
        <f t="shared" si="68"/>
        <v>"C:\Program Files (x86)\AstroGrep\AstroGrep.exe" /e /r /s /spath="%USERPROFILE%\AppData\Local\Temp\OnboardLogs" /stypes="app*4029*20171012*" /stext=" 23:.+((SYSTEM_STATE.+slice.+state.+changed )|(ment ac)|(multiple cpu faults)|(system.+state.+changed )|(\[timeout)|(PRM\|1\|D)|(kpr)|(kdp)|(train st.+moving)|(\|lc)|(penalty))"</v>
      </c>
      <c r="AG188" s="182" t="str">
        <f t="shared" si="69"/>
        <v>NW</v>
      </c>
      <c r="AH188" s="78" t="str">
        <f t="shared" ref="AH188" si="93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832-12 --locoid 4029 --swversion DE.1.0.9.0 --startMP 204:974 --initTime 2017-10-12T16:28:09 --startdatetime 2017-10-12T17:13:18 --delay 74 --endMP 300:58931 --enddatetime 2017-10-12T17:25:21 --enforcementcount 0 &gt;&gt;%USERPROFILE%\Documents\GitHub\eaglep3-reporting\EC\2017-10-12-refined-times.txt</v>
      </c>
      <c r="AI188" s="96" t="str">
        <f t="shared" ref="AI188" si="94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{"issue":{"subject":"","project_id":79,"tracker_id":40,"status_id":1,"priority_id":2,"assigned_to_id":338,"start_date":"2017-10-12","description":"","custom_fields":[{"id":1,"name":"Subdivision","value":"NW"},{"id":4,"name":"Milepost","value":"0.0661"},{"id":17,"name":"Train ID","value":"832-12"},{"id":16,"name":"Locomotive ID","value":"4029"},{"id":130,"name":"Impact","value":""},{"id":150,"name":"Time of Event (Mountain Time)","value":"17:25:21"},{"id":151,"name":"Denver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ref="AM188" si="95">"start /low /b "&amp;dls3logs&amp;" --loco "&amp;B188&amp;" --day "&amp;TEXT(F188,"YYYY-MM-DD")</f>
        <v>start /low /b %USERPROFILE%\Documents\GitHub\eaglep3\Utilities\DownloadLogsFromS3.py --loco 4029 --day 2017-10-12</v>
      </c>
      <c r="AN188" s="151" t="str">
        <f t="shared" ref="AN188" si="96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ref="AO188" si="97"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-12T15:28:09-0600',mode:absolute,to:'2017-10-12T18:25:21-0600'))&amp;_a=(columns:!('Message%20ID',Summary),filters:!(),index:'emp_*',interval:auto,query:(query_string:(analyze_wildcard:!t,query:'%22rtdc.l.rtdc.4029%22')),sort:!(Time.ISO8601,asc))</v>
      </c>
    </row>
    <row r="189" spans="1:91" s="20" customFormat="1" x14ac:dyDescent="0.25">
      <c r="A189" s="32" t="s">
        <v>755</v>
      </c>
      <c r="B189" s="7">
        <v>4042</v>
      </c>
      <c r="C189" s="21" t="s">
        <v>194</v>
      </c>
      <c r="D189" s="21" t="s">
        <v>948</v>
      </c>
      <c r="E189" s="13">
        <v>43020.712175925924</v>
      </c>
      <c r="F189" s="13">
        <v>43020.715092592596</v>
      </c>
      <c r="G189" s="7">
        <v>70</v>
      </c>
      <c r="H189" s="21" t="s">
        <v>453</v>
      </c>
      <c r="I189" s="13">
        <v>43020.724953703706</v>
      </c>
      <c r="J189" s="7">
        <v>0</v>
      </c>
      <c r="K189" s="89" t="str">
        <f t="shared" si="58"/>
        <v>4041/4042</v>
      </c>
      <c r="L189" s="185" t="str">
        <f>VLOOKUP(A189,'Trips&amp;Operators'!$C$1:$G$99911,5,FALSE)</f>
        <v>STAMBAUGH JAMES</v>
      </c>
      <c r="M189" s="6">
        <f t="shared" si="59"/>
        <v>9.8611111097852699E-3</v>
      </c>
      <c r="N189" s="7">
        <f t="shared" si="91"/>
        <v>14.199999998090789</v>
      </c>
      <c r="O189" s="7"/>
      <c r="P189" s="7"/>
      <c r="Q189" s="22"/>
      <c r="R189" s="174"/>
      <c r="S189" s="199">
        <f t="shared" si="92"/>
        <v>1</v>
      </c>
      <c r="T189" s="174" t="str">
        <f t="shared" si="62"/>
        <v>NorthBound</v>
      </c>
      <c r="U189" s="22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25" t="str">
        <f t="shared" si="63"/>
        <v>https://d0f6bd738d7f1b3e5a7ca70fe4ff75f0.us-east-1.aws.found.io/app/kibana#/discover/Steve-Slow-Train-Analysis-(2080s-and-2083s)?_g=(refreshInterval:(display:Off,pause:!f,section:0,value:0),time:(from:'2017-10-12T16:05:32-0600',mode:absolute,to:'2017-10-12T18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9" s="226" t="str">
        <f>IF(AA189&lt;VLOOKUP(AG189,Variables!$AC$3:$AD$8,2,FALSE),"Y","N")</f>
        <v>N</v>
      </c>
      <c r="X189" s="226">
        <f t="shared" si="64"/>
        <v>1</v>
      </c>
      <c r="Y189" s="226">
        <f t="shared" ref="Y189:Y232" si="98">RIGHT(D189,LEN(D189)-4)/10000</f>
        <v>9.4799999999999995E-2</v>
      </c>
      <c r="Z189" s="226">
        <f t="shared" ref="Z189:Z232" si="99">RIGHT(H189,LEN(H189)-4)/10000</f>
        <v>5.8943000000000003</v>
      </c>
      <c r="AA189" s="226">
        <f t="shared" si="65"/>
        <v>5.7995000000000001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6"/>
        <v>833</v>
      </c>
      <c r="AE189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89" s="74" t="str">
        <f t="shared" si="68"/>
        <v>"C:\Program Files (x86)\AstroGrep\AstroGrep.exe" /e /r /s /spath="%USERPROFILE%\AppData\Local\Temp\OnboardLogs" /stypes="app*4042*20171012*" /stext=" 23:.+((SYSTEM_STATE.+slice.+state.+changed )|(ment ac)|(multiple cpu faults)|(system.+state.+changed )|(\[timeout)|(PRM\|1\|D)|(kpr)|(kdp)|(train st.+moving)|(\|lc)|(penalty))"</v>
      </c>
      <c r="AG189" s="182" t="str">
        <f t="shared" si="69"/>
        <v>NW</v>
      </c>
      <c r="AH189" s="78" t="str">
        <f t="shared" si="70"/>
        <v>"%USERPROFILE%\Documents\GitHub\eaglep3\Utilities\RefineRTDCRunTimes.py" --tripid 833-12 --locoid 4042 --swversion DE.1.0.9.0 --startMP 204:948 --initTime 2017-10-12T17:05:32 --startdatetime 2017-10-12T17:09:44 --delay 70 --endMP 300:58943 --enddatetime 2017-10-12T17:23:56 --enforcementcount 0 &gt;&gt;%USERPROFILE%\Documents\GitHub\eaglep3-reporting\EC\2017-10-12-refined-times.txt</v>
      </c>
      <c r="AI189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{"issue":{"subject":"","project_id":79,"tracker_id":40,"status_id":1,"priority_id":2,"assigned_to_id":338,"start_date":"2017-10-12","description":"","custom_fields":[{"id":1,"name":"Subdivision","value":"NW"},{"id":4,"name":"Milepost","value":"5.8943"},{"id":17,"name":"Train ID","value":"833-12"},{"id":16,"name":"Locomotive ID","value":"4042"},{"id":130,"name":"Impact","value":""},{"id":150,"name":"Time of Event (Mountain Time)","value":"17:23:56"},{"id":151,"name":"Denver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72"/>
        <v>start /low /b %USERPROFILE%\Documents\GitHub\eaglep3\Utilities\DownloadLogsFromS3.py --loco 4042 --day 2017-10-12</v>
      </c>
      <c r="AN189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4"/>
        <v>https://d0f6bd738d7f1b3e5a7ca70fe4ff75f0.us-east-1.aws.found.io/app/kibana#/discover/Steve-Slow-Train-Analysis-(2080s-and-2083s)?_g=(refreshInterval:(display:Off,pause:!f,section:0,value:0),time:(from:'2017-10-12T16:05:32-0600',mode:absolute,to:'2017-10-12T18:23:56-0600'))&amp;_a=(columns:!('Message%20ID',Summary),filters:!(),index:'emp_*',interval:auto,query:(query_string:(analyze_wildcard:!t,query:'%22rtdc.l.rtdc.4042%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761</v>
      </c>
      <c r="B190" s="7">
        <v>4041</v>
      </c>
      <c r="C190" s="21" t="s">
        <v>194</v>
      </c>
      <c r="D190" s="21" t="s">
        <v>949</v>
      </c>
      <c r="E190" s="13">
        <v>43020.725937499999</v>
      </c>
      <c r="F190" s="13">
        <v>43020.738194444442</v>
      </c>
      <c r="G190" s="7">
        <v>62</v>
      </c>
      <c r="H190" s="21" t="s">
        <v>950</v>
      </c>
      <c r="I190" s="13">
        <v>43020.746678240743</v>
      </c>
      <c r="J190" s="7">
        <v>0</v>
      </c>
      <c r="K190" s="89" t="str">
        <f t="shared" si="58"/>
        <v>4041/4042</v>
      </c>
      <c r="L190" s="185" t="str">
        <f>VLOOKUP(A190,'Trips&amp;Operators'!$C$1:$G$99911,5,FALSE)</f>
        <v>STAMBAUGH JAMES</v>
      </c>
      <c r="M190" s="6">
        <f t="shared" si="59"/>
        <v>8.4837963004247285E-3</v>
      </c>
      <c r="N190" s="7">
        <f t="shared" si="91"/>
        <v>12.216666672611609</v>
      </c>
      <c r="O190" s="7"/>
      <c r="P190" s="7"/>
      <c r="Q190" s="22"/>
      <c r="R190" s="174"/>
      <c r="S190" s="199">
        <f t="shared" si="92"/>
        <v>1</v>
      </c>
      <c r="T190" s="174" t="str">
        <f t="shared" si="62"/>
        <v>Southbound</v>
      </c>
      <c r="U190" s="22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25" t="str">
        <f t="shared" si="63"/>
        <v>https://d0f6bd738d7f1b3e5a7ca70fe4ff75f0.us-east-1.aws.found.io/app/kibana#/discover/Steve-Slow-Train-Analysis-(2080s-and-2083s)?_g=(refreshInterval:(display:Off,pause:!f,section:0,value:0),time:(from:'2017-10-12T16:25:21-0600',mode:absolute,to:'2017-10-12T18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0" s="226" t="str">
        <f>IF(AA190&lt;VLOOKUP(AG190,Variables!$AC$3:$AD$8,2,FALSE),"Y","N")</f>
        <v>N</v>
      </c>
      <c r="X190" s="226">
        <f t="shared" si="64"/>
        <v>1</v>
      </c>
      <c r="Y190" s="226">
        <f t="shared" si="98"/>
        <v>5.8625999999999996</v>
      </c>
      <c r="Z190" s="226">
        <f t="shared" si="99"/>
        <v>6.7799999999999999E-2</v>
      </c>
      <c r="AA190" s="226">
        <f t="shared" si="65"/>
        <v>5.7947999999999995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6"/>
        <v>834</v>
      </c>
      <c r="AE190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90" s="74" t="str">
        <f t="shared" si="68"/>
        <v>"C:\Program Files (x86)\AstroGrep\AstroGrep.exe" /e /r /s /spath="%USERPROFILE%\AppData\Local\Temp\OnboardLogs" /stypes="app*4041*20171012*" /stext=" 23:.+((SYSTEM_STATE.+slice.+state.+changed )|(ment ac)|(multiple cpu faults)|(system.+state.+changed )|(\[timeout)|(PRM\|1\|D)|(kpr)|(kdp)|(train st.+moving)|(\|lc)|(penalty))"</v>
      </c>
      <c r="AG190" s="182" t="str">
        <f t="shared" si="69"/>
        <v>NW</v>
      </c>
      <c r="AH190" s="78" t="str">
        <f t="shared" si="70"/>
        <v>"%USERPROFILE%\Documents\GitHub\eaglep3\Utilities\RefineRTDCRunTimes.py" --tripid 834-12 --locoid 4041 --swversion DE.1.0.9.0 --startMP 300:58626 --initTime 2017-10-12T17:25:21 --startdatetime 2017-10-12T17:43:00 --delay 62 --endMP 204:678 --enddatetime 2017-10-12T17:55:13 --enforcementcount 0 &gt;&gt;%USERPROFILE%\Documents\GitHub\eaglep3-reporting\EC\2017-10-12-refined-times.txt</v>
      </c>
      <c r="AI190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{"issue":{"subject":"","project_id":79,"tracker_id":40,"status_id":1,"priority_id":2,"assigned_to_id":338,"start_date":"2017-10-12","description":"","custom_fields":[{"id":1,"name":"Subdivision","value":"NW"},{"id":4,"name":"Milepost","value":"0.0678"},{"id":17,"name":"Train ID","value":"834-12"},{"id":16,"name":"Locomotive ID","value":"4041"},{"id":130,"name":"Impact","value":""},{"id":150,"name":"Time of Event (Mountain Time)","value":"17:55:13"},{"id":151,"name":"Denver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72"/>
        <v>start /low /b %USERPROFILE%\Documents\GitHub\eaglep3\Utilities\DownloadLogsFromS3.py --loco 4041 --day 2017-10-12</v>
      </c>
      <c r="AN190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4"/>
        <v>https://d0f6bd738d7f1b3e5a7ca70fe4ff75f0.us-east-1.aws.found.io/app/kibana#/discover/Steve-Slow-Train-Analysis-(2080s-and-2083s)?_g=(refreshInterval:(display:Off,pause:!f,section:0,value:0),time:(from:'2017-10-12T16:25:21-0600',mode:absolute,to:'2017-10-12T18:55:13-0600'))&amp;_a=(columns:!('Message%20ID',Summary),filters:!(),index:'emp_*',interval:auto,query:(query_string:(analyze_wildcard:!t,query:'%22rtdc.l.rtdc.4041%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762</v>
      </c>
      <c r="B191" s="7">
        <v>4030</v>
      </c>
      <c r="C191" s="21" t="s">
        <v>194</v>
      </c>
      <c r="D191" s="21" t="s">
        <v>951</v>
      </c>
      <c r="E191" s="13">
        <v>43020.727060185185</v>
      </c>
      <c r="F191" s="13">
        <v>43020.735648148147</v>
      </c>
      <c r="G191" s="7">
        <v>70</v>
      </c>
      <c r="H191" s="21" t="s">
        <v>952</v>
      </c>
      <c r="I191" s="13">
        <v>43020.747245370374</v>
      </c>
      <c r="J191" s="7">
        <v>0</v>
      </c>
      <c r="K191" s="89" t="str">
        <f t="shared" si="58"/>
        <v>4029/4030</v>
      </c>
      <c r="L191" s="185" t="str">
        <f>VLOOKUP(A191,'Trips&amp;Operators'!$C$1:$G$99911,5,FALSE)</f>
        <v>DUNCAN SHEILA</v>
      </c>
      <c r="M191" s="6">
        <f t="shared" si="59"/>
        <v>1.1597222226555459E-2</v>
      </c>
      <c r="N191" s="7">
        <f t="shared" si="91"/>
        <v>16.700000006239861</v>
      </c>
      <c r="O191" s="7"/>
      <c r="P191" s="7"/>
      <c r="Q191" s="22"/>
      <c r="R191" s="174"/>
      <c r="S191" s="199">
        <f t="shared" si="92"/>
        <v>1</v>
      </c>
      <c r="T191" s="174" t="str">
        <f t="shared" si="62"/>
        <v>NorthBound</v>
      </c>
      <c r="U191" s="22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25" t="str">
        <f t="shared" si="63"/>
        <v>https://d0f6bd738d7f1b3e5a7ca70fe4ff75f0.us-east-1.aws.found.io/app/kibana#/discover/Steve-Slow-Train-Analysis-(2080s-and-2083s)?_g=(refreshInterval:(display:Off,pause:!f,section:0,value:0),time:(from:'2017-10-12T16:26:58-0600',mode:absolute,to:'2017-10-12T18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1" s="226" t="str">
        <f>IF(AA191&lt;VLOOKUP(AG191,Variables!$AC$3:$AD$8,2,FALSE),"Y","N")</f>
        <v>N</v>
      </c>
      <c r="X191" s="226">
        <f t="shared" si="64"/>
        <v>1</v>
      </c>
      <c r="Y191" s="226">
        <f t="shared" si="98"/>
        <v>9.64E-2</v>
      </c>
      <c r="Z191" s="226">
        <f t="shared" si="99"/>
        <v>5.8925999999999998</v>
      </c>
      <c r="AA191" s="226">
        <f t="shared" si="65"/>
        <v>5.7961999999999998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6"/>
        <v>835</v>
      </c>
      <c r="AE191" s="77" t="str">
        <f t="shared" si="67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91" s="74" t="str">
        <f t="shared" si="68"/>
        <v>"C:\Program Files (x86)\AstroGrep\AstroGrep.exe" /e /r /s /spath="%USERPROFILE%\AppData\Local\Temp\OnboardLogs" /stypes="app*4030*20171012*" /stext=" 23:.+((SYSTEM_STATE.+slice.+state.+changed )|(ment ac)|(multiple cpu faults)|(system.+state.+changed )|(\[timeout)|(PRM\|1\|D)|(kpr)|(kdp)|(train st.+moving)|(\|lc)|(penalty))"</v>
      </c>
      <c r="AG191" s="182" t="str">
        <f t="shared" si="69"/>
        <v>NW</v>
      </c>
      <c r="AH191" s="78" t="str">
        <f t="shared" si="70"/>
        <v>"%USERPROFILE%\Documents\GitHub\eaglep3\Utilities\RefineRTDCRunTimes.py" --tripid 835-12 --locoid 4030 --swversion DE.1.0.9.0 --startMP 204:964 --initTime 2017-10-12T17:26:58 --startdatetime 2017-10-12T17:39:20 --delay 70 --endMP 300:58926 --enddatetime 2017-10-12T17:56:02 --enforcementcount 0 &gt;&gt;%USERPROFILE%\Documents\GitHub\eaglep3-reporting\EC\2017-10-12-refined-times.txt</v>
      </c>
      <c r="AI191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{"issue":{"subject":"","project_id":79,"tracker_id":40,"status_id":1,"priority_id":2,"assigned_to_id":338,"start_date":"2017-10-12","description":"","custom_fields":[{"id":1,"name":"Subdivision","value":"NW"},{"id":4,"name":"Milepost","value":"5.8926"},{"id":17,"name":"Train ID","value":"835-12"},{"id":16,"name":"Locomotive ID","value":"4030"},{"id":130,"name":"Impact","value":""},{"id":150,"name":"Time of Event (Mountain Time)","value":"17:56:02"},{"id":151,"name":"Denver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72"/>
        <v>start /low /b %USERPROFILE%\Documents\GitHub\eaglep3\Utilities\DownloadLogsFromS3.py --loco 4030 --day 2017-10-12</v>
      </c>
      <c r="AN191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4"/>
        <v>https://d0f6bd738d7f1b3e5a7ca70fe4ff75f0.us-east-1.aws.found.io/app/kibana#/discover/Steve-Slow-Train-Analysis-(2080s-and-2083s)?_g=(refreshInterval:(display:Off,pause:!f,section:0,value:0),time:(from:'2017-10-12T16:26:58-0600',mode:absolute,to:'2017-10-12T18:56:02-0600'))&amp;_a=(columns:!('Message%20ID',Summary),filters:!(),index:'emp_*',interval:auto,query:(query_string:(analyze_wildcard:!t,query:'%22rtdc.l.rtdc.4030%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766</v>
      </c>
      <c r="B192" s="7">
        <v>4029</v>
      </c>
      <c r="C192" s="21" t="s">
        <v>194</v>
      </c>
      <c r="D192" s="21" t="s">
        <v>953</v>
      </c>
      <c r="E192" s="13">
        <v>43020.748113425929</v>
      </c>
      <c r="F192" s="13">
        <v>43020.759027777778</v>
      </c>
      <c r="G192" s="7">
        <v>55</v>
      </c>
      <c r="H192" s="21" t="s">
        <v>954</v>
      </c>
      <c r="I192" s="13">
        <v>43020.767384259256</v>
      </c>
      <c r="J192" s="7">
        <v>0</v>
      </c>
      <c r="K192" s="89" t="str">
        <f t="shared" si="58"/>
        <v>4029/4030</v>
      </c>
      <c r="L192" s="185" t="str">
        <f>VLOOKUP(A192,'Trips&amp;Operators'!$C$1:$G$99911,5,FALSE)</f>
        <v>DUNCAN SHEILA</v>
      </c>
      <c r="M192" s="6">
        <f t="shared" si="59"/>
        <v>8.3564814776764251E-3</v>
      </c>
      <c r="N192" s="7">
        <f t="shared" si="91"/>
        <v>12.033333327854052</v>
      </c>
      <c r="O192" s="7"/>
      <c r="P192" s="7"/>
      <c r="Q192" s="22"/>
      <c r="R192" s="174"/>
      <c r="S192" s="199">
        <f t="shared" si="92"/>
        <v>1</v>
      </c>
      <c r="T192" s="174" t="str">
        <f t="shared" si="62"/>
        <v>Southbound</v>
      </c>
      <c r="U192" s="22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25" t="str">
        <f t="shared" si="63"/>
        <v>https://d0f6bd738d7f1b3e5a7ca70fe4ff75f0.us-east-1.aws.found.io/app/kibana#/discover/Steve-Slow-Train-Analysis-(2080s-and-2083s)?_g=(refreshInterval:(display:Off,pause:!f,section:0,value:0),time:(from:'2017-10-12T16:57:17-0600',mode:absolute,to:'2017-10-12T19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226" t="str">
        <f>IF(AA192&lt;VLOOKUP(AG192,Variables!$AC$3:$AD$8,2,FALSE),"Y","N")</f>
        <v>N</v>
      </c>
      <c r="X192" s="226">
        <f t="shared" si="64"/>
        <v>1</v>
      </c>
      <c r="Y192" s="226">
        <f t="shared" si="98"/>
        <v>5.8609</v>
      </c>
      <c r="Z192" s="226">
        <f t="shared" si="99"/>
        <v>6.8000000000000005E-2</v>
      </c>
      <c r="AA192" s="226">
        <f t="shared" si="65"/>
        <v>5.7929000000000004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6"/>
        <v>836</v>
      </c>
      <c r="AE192" s="77" t="str">
        <f t="shared" si="67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192" s="74" t="str">
        <f t="shared" si="68"/>
        <v>"C:\Program Files (x86)\AstroGrep\AstroGrep.exe" /e /r /s /spath="%USERPROFILE%\AppData\Local\Temp\OnboardLogs" /stypes="app*4029*20171013*" /stext=" 00:.+((SYSTEM_STATE.+slice.+state.+changed )|(ment ac)|(multiple cpu faults)|(system.+state.+changed )|(\[timeout)|(PRM\|1\|D)|(kpr)|(kdp)|(train st.+moving)|(\|lc)|(penalty))"</v>
      </c>
      <c r="AG192" s="182" t="str">
        <f t="shared" si="69"/>
        <v>NW</v>
      </c>
      <c r="AH192" s="78" t="str">
        <f t="shared" si="70"/>
        <v>"%USERPROFILE%\Documents\GitHub\eaglep3\Utilities\RefineRTDCRunTimes.py" --tripid 836-12 --locoid 4029 --swversion DE.1.0.9.0 --startMP 300:58609 --initTime 2017-10-12T17:57:17 --startdatetime 2017-10-12T18:13:00 --delay 55 --endMP 204:680 --enddatetime 2017-10-12T18:25:02 --enforcementcount 0 &gt;&gt;%USERPROFILE%\Documents\GitHub\eaglep3-reporting\EC\2017-10-12-refined-times.txt</v>
      </c>
      <c r="AI192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{"issue":{"subject":"","project_id":79,"tracker_id":40,"status_id":1,"priority_id":2,"assigned_to_id":338,"start_date":"2017-10-12","description":"","custom_fields":[{"id":1,"name":"Subdivision","value":"NW"},{"id":4,"name":"Milepost","value":"0.068"},{"id":17,"name":"Train ID","value":"836-12"},{"id":16,"name":"Locomotive ID","value":"4029"},{"id":130,"name":"Impact","value":""},{"id":150,"name":"Time of Event (Mountain Time)","value":"18:25:02"},{"id":151,"name":"Denver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72"/>
        <v>start /low /b %USERPROFILE%\Documents\GitHub\eaglep3\Utilities\DownloadLogsFromS3.py --loco 4029 --day 2017-10-12</v>
      </c>
      <c r="AN192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4"/>
        <v>https://d0f6bd738d7f1b3e5a7ca70fe4ff75f0.us-east-1.aws.found.io/app/kibana#/discover/Steve-Slow-Train-Analysis-(2080s-and-2083s)?_g=(refreshInterval:(display:Off,pause:!f,section:0,value:0),time:(from:'2017-10-12T16:57:17-0600',mode:absolute,to:'2017-10-12T19:25:02-0600'))&amp;_a=(columns:!('Message%20ID',Summary),filters:!(),index:'emp_*',interval:auto,query:(query_string:(analyze_wildcard:!t,query:'%22rtdc.l.rtdc.4029%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767</v>
      </c>
      <c r="B193" s="7">
        <v>4042</v>
      </c>
      <c r="C193" s="21" t="s">
        <v>194</v>
      </c>
      <c r="D193" s="21" t="s">
        <v>936</v>
      </c>
      <c r="E193" s="13">
        <v>43020.754166666666</v>
      </c>
      <c r="F193" s="13">
        <v>43020.757013888891</v>
      </c>
      <c r="G193" s="7">
        <v>56</v>
      </c>
      <c r="H193" s="21" t="s">
        <v>452</v>
      </c>
      <c r="I193" s="13">
        <v>43020.766539351855</v>
      </c>
      <c r="J193" s="7">
        <v>0</v>
      </c>
      <c r="K193" s="89" t="str">
        <f t="shared" si="58"/>
        <v>4041/4042</v>
      </c>
      <c r="L193" s="185" t="str">
        <f>VLOOKUP(A193,'Trips&amp;Operators'!$C$1:$G$99911,5,FALSE)</f>
        <v>STAMBAUGH JAMES</v>
      </c>
      <c r="M193" s="6">
        <f t="shared" si="59"/>
        <v>9.5254629632108845E-3</v>
      </c>
      <c r="N193" s="7">
        <f t="shared" si="91"/>
        <v>13.716666667023674</v>
      </c>
      <c r="O193" s="7"/>
      <c r="P193" s="7"/>
      <c r="Q193" s="22"/>
      <c r="R193" s="174"/>
      <c r="S193" s="199">
        <f t="shared" si="92"/>
        <v>1</v>
      </c>
      <c r="T193" s="174" t="str">
        <f t="shared" si="62"/>
        <v>NorthBound</v>
      </c>
      <c r="U193" s="22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25" t="str">
        <f t="shared" si="63"/>
        <v>https://d0f6bd738d7f1b3e5a7ca70fe4ff75f0.us-east-1.aws.found.io/app/kibana#/discover/Steve-Slow-Train-Analysis-(2080s-and-2083s)?_g=(refreshInterval:(display:Off,pause:!f,section:0,value:0),time:(from:'2017-10-12T17:06:00-0600',mode:absolute,to:'2017-10-12T19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3" s="226" t="str">
        <f>IF(AA193&lt;VLOOKUP(AG193,Variables!$AC$3:$AD$8,2,FALSE),"Y","N")</f>
        <v>N</v>
      </c>
      <c r="X193" s="226">
        <f t="shared" si="64"/>
        <v>1</v>
      </c>
      <c r="Y193" s="226">
        <f t="shared" si="98"/>
        <v>9.6699999999999994E-2</v>
      </c>
      <c r="Z193" s="226">
        <f t="shared" si="99"/>
        <v>5.8959999999999999</v>
      </c>
      <c r="AA193" s="226">
        <f t="shared" si="65"/>
        <v>5.7992999999999997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6"/>
        <v>837</v>
      </c>
      <c r="AE193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93" s="74" t="str">
        <f t="shared" si="68"/>
        <v>"C:\Program Files (x86)\AstroGrep\AstroGrep.exe" /e /r /s /spath="%USERPROFILE%\AppData\Local\Temp\OnboardLogs" /stypes="app*4042*20171013*" /stext=" 00:.+((SYSTEM_STATE.+slice.+state.+changed )|(ment ac)|(multiple cpu faults)|(system.+state.+changed )|(\[timeout)|(PRM\|1\|D)|(kpr)|(kdp)|(train st.+moving)|(\|lc)|(penalty))"</v>
      </c>
      <c r="AG193" s="182" t="str">
        <f t="shared" si="69"/>
        <v>NW</v>
      </c>
      <c r="AH193" s="78" t="str">
        <f t="shared" si="70"/>
        <v>"%USERPROFILE%\Documents\GitHub\eaglep3\Utilities\RefineRTDCRunTimes.py" --tripid 837-12 --locoid 4042 --swversion DE.1.0.9.0 --startMP 204:967 --initTime 2017-10-12T18:06:00 --startdatetime 2017-10-12T18:10:06 --delay 56 --endMP 300:58960 --enddatetime 2017-10-12T18:23:49 --enforcementcount 0 &gt;&gt;%USERPROFILE%\Documents\GitHub\eaglep3-reporting\EC\2017-10-12-refined-times.txt</v>
      </c>
      <c r="AI193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{"issue":{"subject":"","project_id":79,"tracker_id":40,"status_id":1,"priority_id":2,"assigned_to_id":338,"start_date":"2017-10-12","description":"","custom_fields":[{"id":1,"name":"Subdivision","value":"NW"},{"id":4,"name":"Milepost","value":"5.896"},{"id":17,"name":"Train ID","value":"837-12"},{"id":16,"name":"Locomotive ID","value":"4042"},{"id":130,"name":"Impact","value":""},{"id":150,"name":"Time of Event (Mountain Time)","value":"18:23:49"},{"id":151,"name":"Denver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72"/>
        <v>start /low /b %USERPROFILE%\Documents\GitHub\eaglep3\Utilities\DownloadLogsFromS3.py --loco 4042 --day 2017-10-12</v>
      </c>
      <c r="AN193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4"/>
        <v>https://d0f6bd738d7f1b3e5a7ca70fe4ff75f0.us-east-1.aws.found.io/app/kibana#/discover/Steve-Slow-Train-Analysis-(2080s-and-2083s)?_g=(refreshInterval:(display:Off,pause:!f,section:0,value:0),time:(from:'2017-10-12T17:06:00-0600',mode:absolute,to:'2017-10-12T19:23:49-0600'))&amp;_a=(columns:!('Message%20ID',Summary),filters:!(),index:'emp_*',interval:auto,query:(query_string:(analyze_wildcard:!t,query:'%22rtdc.l.rtdc.4042%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770</v>
      </c>
      <c r="B194" s="7">
        <v>4041</v>
      </c>
      <c r="C194" s="21" t="s">
        <v>194</v>
      </c>
      <c r="D194" s="21" t="s">
        <v>937</v>
      </c>
      <c r="E194" s="13">
        <v>43020.767939814818</v>
      </c>
      <c r="F194" s="13">
        <v>43020.779861111114</v>
      </c>
      <c r="G194" s="7">
        <v>55</v>
      </c>
      <c r="H194" s="21" t="s">
        <v>955</v>
      </c>
      <c r="I194" s="13">
        <v>43020.787407407406</v>
      </c>
      <c r="J194" s="7">
        <v>0</v>
      </c>
      <c r="K194" s="89" t="str">
        <f t="shared" si="58"/>
        <v>4041/4042</v>
      </c>
      <c r="L194" s="185" t="str">
        <f>VLOOKUP(A194,'Trips&amp;Operators'!$C$1:$G$99911,5,FALSE)</f>
        <v>STAMBAUGH JAMES</v>
      </c>
      <c r="M194" s="6">
        <f t="shared" si="59"/>
        <v>7.546296292275656E-3</v>
      </c>
      <c r="N194" s="7">
        <f t="shared" si="91"/>
        <v>10.866666660876945</v>
      </c>
      <c r="O194" s="7"/>
      <c r="P194" s="7"/>
      <c r="Q194" s="22"/>
      <c r="R194" s="174"/>
      <c r="S194" s="199">
        <f t="shared" si="92"/>
        <v>1</v>
      </c>
      <c r="T194" s="174" t="str">
        <f t="shared" si="62"/>
        <v>Southbound</v>
      </c>
      <c r="U194" s="22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25" t="str">
        <f t="shared" si="63"/>
        <v>https://d0f6bd738d7f1b3e5a7ca70fe4ff75f0.us-east-1.aws.found.io/app/kibana#/discover/Steve-Slow-Train-Analysis-(2080s-and-2083s)?_g=(refreshInterval:(display:Off,pause:!f,section:0,value:0),time:(from:'2017-10-12T17:25:50-0600',mode:absolute,to:'2017-10-12T19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4" s="226" t="str">
        <f>IF(AA194&lt;VLOOKUP(AG194,Variables!$AC$3:$AD$8,2,FALSE),"Y","N")</f>
        <v>N</v>
      </c>
      <c r="X194" s="226">
        <f t="shared" si="64"/>
        <v>1</v>
      </c>
      <c r="Y194" s="226">
        <f t="shared" si="98"/>
        <v>5.8635999999999999</v>
      </c>
      <c r="Z194" s="226">
        <f t="shared" si="99"/>
        <v>7.0599999999999996E-2</v>
      </c>
      <c r="AA194" s="226">
        <f t="shared" si="65"/>
        <v>5.7930000000000001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6"/>
        <v>838</v>
      </c>
      <c r="AE194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94" s="74" t="str">
        <f t="shared" si="68"/>
        <v>"C:\Program Files (x86)\AstroGrep\AstroGrep.exe" /e /r /s /spath="%USERPROFILE%\AppData\Local\Temp\OnboardLogs" /stypes="app*4041*20171013*" /stext=" 00:.+((SYSTEM_STATE.+slice.+state.+changed )|(ment ac)|(multiple cpu faults)|(system.+state.+changed )|(\[timeout)|(PRM\|1\|D)|(kpr)|(kdp)|(train st.+moving)|(\|lc)|(penalty))"</v>
      </c>
      <c r="AG194" s="182" t="str">
        <f t="shared" si="69"/>
        <v>NW</v>
      </c>
      <c r="AH194" s="78" t="str">
        <f t="shared" si="70"/>
        <v>"%USERPROFILE%\Documents\GitHub\eaglep3\Utilities\RefineRTDCRunTimes.py" --tripid 838-12 --locoid 4041 --swversion DE.1.0.9.0 --startMP 300:58636 --initTime 2017-10-12T18:25:50 --startdatetime 2017-10-12T18:43:00 --delay 55 --endMP 204:706 --enddatetime 2017-10-12T18:53:52 --enforcementcount 0 &gt;&gt;%USERPROFILE%\Documents\GitHub\eaglep3-reporting\EC\2017-10-12-refined-times.txt</v>
      </c>
      <c r="AI194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{"issue":{"subject":"","project_id":79,"tracker_id":40,"status_id":1,"priority_id":2,"assigned_to_id":338,"start_date":"2017-10-12","description":"","custom_fields":[{"id":1,"name":"Subdivision","value":"NW"},{"id":4,"name":"Milepost","value":"0.0706"},{"id":17,"name":"Train ID","value":"838-12"},{"id":16,"name":"Locomotive ID","value":"4041"},{"id":130,"name":"Impact","value":""},{"id":150,"name":"Time of Event (Mountain Time)","value":"18:53:52"},{"id":151,"name":"Denver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72"/>
        <v>start /low /b %USERPROFILE%\Documents\GitHub\eaglep3\Utilities\DownloadLogsFromS3.py --loco 4041 --day 2017-10-12</v>
      </c>
      <c r="AN194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4"/>
        <v>https://d0f6bd738d7f1b3e5a7ca70fe4ff75f0.us-east-1.aws.found.io/app/kibana#/discover/Steve-Slow-Train-Analysis-(2080s-and-2083s)?_g=(refreshInterval:(display:Off,pause:!f,section:0,value:0),time:(from:'2017-10-12T17:25:50-0600',mode:absolute,to:'2017-10-12T19:53:52-0600'))&amp;_a=(columns:!('Message%20ID',Summary),filters:!(),index:'emp_*',interval:auto,query:(query_string:(analyze_wildcard:!t,query:'%22rtdc.l.rtdc.4041%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771</v>
      </c>
      <c r="B195" s="7">
        <v>4030</v>
      </c>
      <c r="C195" s="21" t="s">
        <v>194</v>
      </c>
      <c r="D195" s="21" t="s">
        <v>486</v>
      </c>
      <c r="E195" s="13">
        <v>43020.772766203707</v>
      </c>
      <c r="F195" s="13">
        <v>43020.777407407404</v>
      </c>
      <c r="G195" s="7">
        <v>50</v>
      </c>
      <c r="H195" s="21" t="s">
        <v>956</v>
      </c>
      <c r="I195" s="13">
        <v>43020.787870370368</v>
      </c>
      <c r="J195" s="7">
        <v>0</v>
      </c>
      <c r="K195" s="89" t="str">
        <f t="shared" si="58"/>
        <v>4029/4030</v>
      </c>
      <c r="L195" s="185" t="str">
        <f>VLOOKUP(A195,'Trips&amp;Operators'!$C$1:$G$99911,5,FALSE)</f>
        <v>DUNCAN SHEILA</v>
      </c>
      <c r="M195" s="6">
        <f t="shared" si="59"/>
        <v>1.0462962964083999E-2</v>
      </c>
      <c r="N195" s="7">
        <f t="shared" si="91"/>
        <v>15.066666668280959</v>
      </c>
      <c r="O195" s="7"/>
      <c r="P195" s="7"/>
      <c r="Q195" s="22"/>
      <c r="R195" s="174"/>
      <c r="S195" s="199">
        <f t="shared" si="92"/>
        <v>1</v>
      </c>
      <c r="T195" s="174" t="str">
        <f t="shared" si="62"/>
        <v>NorthBound</v>
      </c>
      <c r="U195" s="22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25" t="str">
        <f t="shared" si="63"/>
        <v>https://d0f6bd738d7f1b3e5a7ca70fe4ff75f0.us-east-1.aws.found.io/app/kibana#/discover/Steve-Slow-Train-Analysis-(2080s-and-2083s)?_g=(refreshInterval:(display:Off,pause:!f,section:0,value:0),time:(from:'2017-10-12T17:32:47-0600',mode:absolute,to:'2017-10-12T19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5" s="226" t="str">
        <f>IF(AA195&lt;VLOOKUP(AG195,Variables!$AC$3:$AD$8,2,FALSE),"Y","N")</f>
        <v>N</v>
      </c>
      <c r="X195" s="226">
        <f t="shared" si="64"/>
        <v>1</v>
      </c>
      <c r="Y195" s="226">
        <f t="shared" si="98"/>
        <v>9.7600000000000006E-2</v>
      </c>
      <c r="Z195" s="226">
        <f t="shared" si="99"/>
        <v>5.8921999999999999</v>
      </c>
      <c r="AA195" s="226">
        <f t="shared" si="65"/>
        <v>5.7946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66"/>
        <v>839</v>
      </c>
      <c r="AE195" s="77" t="str">
        <f t="shared" si="67"/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AF195" s="74" t="str">
        <f t="shared" si="68"/>
        <v>"C:\Program Files (x86)\AstroGrep\AstroGrep.exe" /e /r /s /spath="%USERPROFILE%\AppData\Local\Temp\OnboardLogs" /stypes="app*4030*20171013*" /stext=" 00:.+((SYSTEM_STATE.+slice.+state.+changed )|(ment ac)|(multiple cpu faults)|(system.+state.+changed )|(\[timeout)|(PRM\|1\|D)|(kpr)|(kdp)|(train st.+moving)|(\|lc)|(penalty))"</v>
      </c>
      <c r="AG195" s="182" t="str">
        <f t="shared" si="69"/>
        <v>NW</v>
      </c>
      <c r="AH195" s="78" t="str">
        <f t="shared" si="70"/>
        <v>"%USERPROFILE%\Documents\GitHub\eaglep3\Utilities\RefineRTDCRunTimes.py" --tripid 839-12 --locoid 4030 --swversion DE.1.0.9.0 --startMP 204:976 --initTime 2017-10-12T18:32:47 --startdatetime 2017-10-12T18:39:28 --delay 50 --endMP 300:58922 --enddatetime 2017-10-12T18:54:32 --enforcementcount 0 &gt;&gt;%USERPROFILE%\Documents\GitHub\eaglep3-reporting\EC\2017-10-12-refined-times.txt</v>
      </c>
      <c r="AI195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{"issue":{"subject":"","project_id":79,"tracker_id":40,"status_id":1,"priority_id":2,"assigned_to_id":338,"start_date":"2017-10-12","description":"","custom_fields":[{"id":1,"name":"Subdivision","value":"NW"},{"id":4,"name":"Milepost","value":"5.8922"},{"id":17,"name":"Train ID","value":"839-12"},{"id":16,"name":"Locomotive ID","value":"4030"},{"id":130,"name":"Impact","value":""},{"id":150,"name":"Time of Event (Mountain Time)","value":"18:54:32"},{"id":151,"name":"Denver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72"/>
        <v>start /low /b %USERPROFILE%\Documents\GitHub\eaglep3\Utilities\DownloadLogsFromS3.py --loco 4030 --day 2017-10-12</v>
      </c>
      <c r="AN195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00:54:32"},{"id":29,"name":"Sharepoint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4"/>
        <v>https://d0f6bd738d7f1b3e5a7ca70fe4ff75f0.us-east-1.aws.found.io/app/kibana#/discover/Steve-Slow-Train-Analysis-(2080s-and-2083s)?_g=(refreshInterval:(display:Off,pause:!f,section:0,value:0),time:(from:'2017-10-12T17:32:47-0600',mode:absolute,to:'2017-10-12T19:54:32-0600'))&amp;_a=(columns:!('Message%20ID',Summary),filters:!(),index:'emp_*',interval:auto,query:(query_string:(analyze_wildcard:!t,query:'%22rtdc.l.rtdc.4030%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783</v>
      </c>
      <c r="B196" s="7">
        <v>4041</v>
      </c>
      <c r="C196" s="21" t="s">
        <v>194</v>
      </c>
      <c r="D196" s="21" t="s">
        <v>490</v>
      </c>
      <c r="E196" s="13">
        <v>43020.809479166666</v>
      </c>
      <c r="F196" s="13">
        <v>43020.821527777778</v>
      </c>
      <c r="G196" s="7">
        <v>54</v>
      </c>
      <c r="H196" s="21" t="s">
        <v>957</v>
      </c>
      <c r="I196" s="13">
        <v>43020.829780092594</v>
      </c>
      <c r="J196" s="7">
        <v>0</v>
      </c>
      <c r="K196" s="89" t="str">
        <f t="shared" si="58"/>
        <v>4041/4042</v>
      </c>
      <c r="L196" s="185" t="str">
        <f>VLOOKUP(A196,'Trips&amp;Operators'!$C$1:$G$99911,5,FALSE)</f>
        <v>STAMBAUGH JAMES</v>
      </c>
      <c r="M196" s="6">
        <f t="shared" si="59"/>
        <v>8.2523148157633841E-3</v>
      </c>
      <c r="N196" s="7">
        <f t="shared" si="91"/>
        <v>11.883333334699273</v>
      </c>
      <c r="O196" s="7"/>
      <c r="P196" s="7"/>
      <c r="Q196" s="22"/>
      <c r="R196" s="174"/>
      <c r="S196" s="199">
        <f t="shared" si="92"/>
        <v>1</v>
      </c>
      <c r="T196" s="174" t="str">
        <f t="shared" si="62"/>
        <v>Southbound</v>
      </c>
      <c r="U196" s="22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25" t="str">
        <f t="shared" si="63"/>
        <v>https://d0f6bd738d7f1b3e5a7ca70fe4ff75f0.us-east-1.aws.found.io/app/kibana#/discover/Steve-Slow-Train-Analysis-(2080s-and-2083s)?_g=(refreshInterval:(display:Off,pause:!f,section:0,value:0),time:(from:'2017-10-12T18:25:39-0600',mode:absolute,to:'2017-10-12T20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6" s="226" t="str">
        <f>IF(AA196&lt;VLOOKUP(AG196,Variables!$AC$3:$AD$8,2,FALSE),"Y","N")</f>
        <v>N</v>
      </c>
      <c r="X196" s="226">
        <f t="shared" si="64"/>
        <v>1</v>
      </c>
      <c r="Y196" s="226">
        <f t="shared" si="98"/>
        <v>5.8628</v>
      </c>
      <c r="Z196" s="226">
        <f t="shared" si="99"/>
        <v>6.8199999999999997E-2</v>
      </c>
      <c r="AA196" s="226">
        <f t="shared" si="65"/>
        <v>5.7946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66"/>
        <v>840</v>
      </c>
      <c r="AE196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96" s="74" t="str">
        <f t="shared" si="68"/>
        <v>"C:\Program Files (x86)\AstroGrep\AstroGrep.exe" /e /r /s /spath="%USERPROFILE%\AppData\Local\Temp\OnboardLogs" /stypes="app*4041*20171013*" /stext=" 01:.+((SYSTEM_STATE.+slice.+state.+changed )|(ment ac)|(multiple cpu faults)|(system.+state.+changed )|(\[timeout)|(PRM\|1\|D)|(kpr)|(kdp)|(train st.+moving)|(\|lc)|(penalty))"</v>
      </c>
      <c r="AG196" s="182" t="str">
        <f t="shared" si="69"/>
        <v>NW</v>
      </c>
      <c r="AH196" s="78" t="str">
        <f t="shared" si="70"/>
        <v>"%USERPROFILE%\Documents\GitHub\eaglep3\Utilities\RefineRTDCRunTimes.py" --tripid 840-12 --locoid 4041 --swversion DE.1.0.9.0 --startMP 300:58628 --initTime 2017-10-12T19:25:39 --startdatetime 2017-10-12T19:43:00 --delay 54 --endMP 204:682 --enddatetime 2017-10-12T19:54:53 --enforcementcount 0 &gt;&gt;%USERPROFILE%\Documents\GitHub\eaglep3-reporting\EC\2017-10-12-refined-times.txt</v>
      </c>
      <c r="AI196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{"issue":{"subject":"","project_id":79,"tracker_id":40,"status_id":1,"priority_id":2,"assigned_to_id":338,"start_date":"2017-10-12","description":"","custom_fields":[{"id":1,"name":"Subdivision","value":"NW"},{"id":4,"name":"Milepost","value":"0.0682"},{"id":17,"name":"Train ID","value":"840-12"},{"id":16,"name":"Locomotive ID","value":"4041"},{"id":130,"name":"Impact","value":""},{"id":150,"name":"Time of Event (Mountain Time)","value":"19:54:53"},{"id":151,"name":"Denver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72"/>
        <v>start /low /b %USERPROFILE%\Documents\GitHub\eaglep3\Utilities\DownloadLogsFromS3.py --loco 4041 --day 2017-10-12</v>
      </c>
      <c r="AN196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4"/>
        <v>https://d0f6bd738d7f1b3e5a7ca70fe4ff75f0.us-east-1.aws.found.io/app/kibana#/discover/Steve-Slow-Train-Analysis-(2080s-and-2083s)?_g=(refreshInterval:(display:Off,pause:!f,section:0,value:0),time:(from:'2017-10-12T18:25:39-0600',mode:absolute,to:'2017-10-12T20:54:53-0600'))&amp;_a=(columns:!('Message%20ID',Summary),filters:!(),index:'emp_*',interval:auto,query:(query_string:(analyze_wildcard:!t,query:'%22rtdc.l.rtdc.4041%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598</v>
      </c>
      <c r="B197" s="7">
        <v>4042</v>
      </c>
      <c r="C197" s="21" t="s">
        <v>194</v>
      </c>
      <c r="D197" s="21" t="s">
        <v>958</v>
      </c>
      <c r="E197" s="13">
        <v>43020.796261574076</v>
      </c>
      <c r="F197" s="13">
        <v>43020.798252314817</v>
      </c>
      <c r="G197" s="7">
        <v>65</v>
      </c>
      <c r="H197" s="21" t="s">
        <v>545</v>
      </c>
      <c r="I197" s="13">
        <v>43020.807858796295</v>
      </c>
      <c r="J197" s="7">
        <v>0</v>
      </c>
      <c r="K197" s="89" t="str">
        <f t="shared" si="58"/>
        <v>4041/4042</v>
      </c>
      <c r="L197" s="185" t="str">
        <f>VLOOKUP(A197,'Trips&amp;Operators'!$C$1:$G$99911,5,FALSE)</f>
        <v>STAMBAUGH JAMES</v>
      </c>
      <c r="M197" s="6">
        <f t="shared" si="59"/>
        <v>9.6064814788405783E-3</v>
      </c>
      <c r="N197" s="7">
        <f t="shared" si="91"/>
        <v>13.833333329530433</v>
      </c>
      <c r="O197" s="7"/>
      <c r="P197" s="7"/>
      <c r="Q197" s="22"/>
      <c r="R197" s="174"/>
      <c r="S197" s="199">
        <f t="shared" si="92"/>
        <v>1</v>
      </c>
      <c r="T197" s="174" t="str">
        <f t="shared" si="62"/>
        <v>NorthBound</v>
      </c>
      <c r="U197" s="22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25" t="str">
        <f t="shared" si="63"/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7" s="226" t="str">
        <f>IF(AA197&lt;VLOOKUP(AG197,Variables!$AC$3:$AD$8,2,FALSE),"Y","N")</f>
        <v>N</v>
      </c>
      <c r="X197" s="226">
        <f t="shared" si="64"/>
        <v>1</v>
      </c>
      <c r="Y197" s="226">
        <f t="shared" si="98"/>
        <v>9.9000000000000005E-2</v>
      </c>
      <c r="Z197" s="226">
        <f t="shared" si="99"/>
        <v>5.8960999999999997</v>
      </c>
      <c r="AA197" s="226">
        <f t="shared" si="65"/>
        <v>5.7970999999999995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6"/>
        <v>841</v>
      </c>
      <c r="AE197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197" s="74" t="str">
        <f t="shared" si="68"/>
        <v>"C:\Program Files (x86)\AstroGrep\AstroGrep.exe" /e /r /s /spath="%USERPROFILE%\AppData\Local\Temp\OnboardLogs" /stypes="app*4042*20171013*" /stext=" 01:.+((SYSTEM_STATE.+slice.+state.+changed )|(ment ac)|(multiple cpu faults)|(system.+state.+changed )|(\[timeout)|(PRM\|1\|D)|(kpr)|(kdp)|(train st.+moving)|(\|lc)|(penalty))"</v>
      </c>
      <c r="AG197" s="182" t="str">
        <f t="shared" si="69"/>
        <v>NW</v>
      </c>
      <c r="AH197" s="78" t="str">
        <f t="shared" si="70"/>
        <v>"%USERPROFILE%\Documents\GitHub\eaglep3\Utilities\RefineRTDCRunTimes.py" --tripid 841-12 --locoid 4042 --swversion DE.1.0.9.0 --startMP 204:990 --initTime 2017-10-12T19:06:37 --startdatetime 2017-10-12T19:09:29 --delay 65 --endMP 300:58961 --enddatetime 2017-10-12T19:23:19 --enforcementcount 0 &gt;&gt;%USERPROFILE%\Documents\GitHub\eaglep3-reporting\EC\2017-10-12-refined-times.txt</v>
      </c>
      <c r="AI197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{"issue":{"subject":"","project_id":79,"tracker_id":40,"status_id":1,"priority_id":2,"assigned_to_id":338,"start_date":"2017-10-12","description":"","custom_fields":[{"id":1,"name":"Subdivision","value":"NW"},{"id":4,"name":"Milepost","value":"5.8961"},{"id":17,"name":"Train ID","value":"841-12"},{"id":16,"name":"Locomotive ID","value":"4042"},{"id":130,"name":"Impact","value":""},{"id":150,"name":"Time of Event (Mountain Time)","value":"19:23:19"},{"id":151,"name":"Denver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72"/>
        <v>start /low /b %USERPROFILE%\Documents\GitHub\eaglep3\Utilities\DownloadLogsFromS3.py --loco 4042 --day 2017-10-12</v>
      </c>
      <c r="AN197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4"/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Message%20ID',Summary),filters:!(),index:'emp_*',interval:auto,query:(query_string:(analyze_wildcard:!t,query:'%22rtdc.l.rtdc.4042%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790</v>
      </c>
      <c r="B198" s="7">
        <v>4041</v>
      </c>
      <c r="C198" s="21" t="s">
        <v>194</v>
      </c>
      <c r="D198" s="21" t="s">
        <v>959</v>
      </c>
      <c r="E198" s="13">
        <v>43020.860671296294</v>
      </c>
      <c r="F198" s="13">
        <v>43020.863402777781</v>
      </c>
      <c r="G198" s="7">
        <v>54</v>
      </c>
      <c r="H198" s="21" t="s">
        <v>488</v>
      </c>
      <c r="I198" s="13">
        <v>43020.871759259258</v>
      </c>
      <c r="J198" s="7">
        <v>0</v>
      </c>
      <c r="K198" s="89" t="str">
        <f t="shared" si="58"/>
        <v>4041/4042</v>
      </c>
      <c r="L198" s="185" t="str">
        <f>VLOOKUP(A198,'Trips&amp;Operators'!$C$1:$G$99911,5,FALSE)</f>
        <v>STAMBAUGH JAMES</v>
      </c>
      <c r="M198" s="6">
        <f t="shared" si="59"/>
        <v>8.3564814776764251E-3</v>
      </c>
      <c r="N198" s="7">
        <f t="shared" si="91"/>
        <v>12.033333327854052</v>
      </c>
      <c r="O198" s="7"/>
      <c r="P198" s="7"/>
      <c r="Q198" s="22"/>
      <c r="R198" s="174"/>
      <c r="S198" s="199">
        <f t="shared" si="92"/>
        <v>1</v>
      </c>
      <c r="T198" s="174" t="str">
        <f t="shared" si="62"/>
        <v>Southbound</v>
      </c>
      <c r="U198" s="22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25" t="str">
        <f t="shared" si="63"/>
        <v>https://d0f6bd738d7f1b3e5a7ca70fe4ff75f0.us-east-1.aws.found.io/app/kibana#/discover/Steve-Slow-Train-Analysis-(2080s-and-2083s)?_g=(refreshInterval:(display:Off,pause:!f,section:0,value:0),time:(from:'2017-10-12T19:39:22-0600',mode:absolute,to:'2017-10-12T21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8" s="226" t="str">
        <f>IF(AA198&lt;VLOOKUP(AG198,Variables!$AC$3:$AD$8,2,FALSE),"Y","N")</f>
        <v>N</v>
      </c>
      <c r="X198" s="226">
        <f t="shared" si="64"/>
        <v>1</v>
      </c>
      <c r="Y198" s="226">
        <f t="shared" si="98"/>
        <v>5.7245999999999997</v>
      </c>
      <c r="Z198" s="226">
        <f t="shared" si="99"/>
        <v>6.7500000000000004E-2</v>
      </c>
      <c r="AA198" s="226">
        <f t="shared" si="65"/>
        <v>5.6570999999999998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6"/>
        <v>842</v>
      </c>
      <c r="AE198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98" s="74" t="str">
        <f t="shared" si="68"/>
        <v>"C:\Program Files (x86)\AstroGrep\AstroGrep.exe" /e /r /s /spath="%USERPROFILE%\AppData\Local\Temp\OnboardLogs" /stypes="app*4041*20171013*" /stext=" 02:.+((SYSTEM_STATE.+slice.+state.+changed )|(ment ac)|(multiple cpu faults)|(system.+state.+changed )|(\[timeout)|(PRM\|1\|D)|(kpr)|(kdp)|(train st.+moving)|(\|lc)|(penalty))"</v>
      </c>
      <c r="AG198" s="182" t="str">
        <f t="shared" si="69"/>
        <v>NW</v>
      </c>
      <c r="AH198" s="78" t="str">
        <f t="shared" si="70"/>
        <v>"%USERPROFILE%\Documents\GitHub\eaglep3\Utilities\RefineRTDCRunTimes.py" --tripid 842-12 --locoid 4041 --swversion DE.1.0.9.0 --startMP 300:57246 --initTime 2017-10-12T20:39:22 --startdatetime 2017-10-12T20:43:18 --delay 54 --endMP 204:675 --enddatetime 2017-10-12T20:55:20 --enforcementcount 0 &gt;&gt;%USERPROFILE%\Documents\GitHub\eaglep3-reporting\EC\2017-10-12-refined-times.txt</v>
      </c>
      <c r="AI198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{"issue":{"subject":"","project_id":79,"tracker_id":40,"status_id":1,"priority_id":2,"assigned_to_id":338,"start_date":"2017-10-12","description":"","custom_fields":[{"id":1,"name":"Subdivision","value":"NW"},{"id":4,"name":"Milepost","value":"0.0675"},{"id":17,"name":"Train ID","value":"842-12"},{"id":16,"name":"Locomotive ID","value":"4041"},{"id":130,"name":"Impact","value":""},{"id":150,"name":"Time of Event (Mountain Time)","value":"20:55:20"},{"id":151,"name":"Denver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72"/>
        <v>start /low /b %USERPROFILE%\Documents\GitHub\eaglep3\Utilities\DownloadLogsFromS3.py --loco 4041 --day 2017-10-12</v>
      </c>
      <c r="AN198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4"/>
        <v>https://d0f6bd738d7f1b3e5a7ca70fe4ff75f0.us-east-1.aws.found.io/app/kibana#/discover/Steve-Slow-Train-Analysis-(2080s-and-2083s)?_g=(refreshInterval:(display:Off,pause:!f,section:0,value:0),time:(from:'2017-10-12T19:39:22-0600',mode:absolute,to:'2017-10-12T21:55:20-0600'))&amp;_a=(columns:!('Message%20ID',Summary),filters:!(),index:'emp_*',interval:auto,query:(query_string:(analyze_wildcard:!t,query:'%22rtdc.l.rtdc.4041%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790</v>
      </c>
      <c r="B199" s="7">
        <v>4041</v>
      </c>
      <c r="C199" s="21" t="s">
        <v>194</v>
      </c>
      <c r="D199" s="21" t="s">
        <v>960</v>
      </c>
      <c r="E199" s="13">
        <v>43020.849849537037</v>
      </c>
      <c r="F199" s="13">
        <v>43020.863402777781</v>
      </c>
      <c r="G199" s="7">
        <v>52</v>
      </c>
      <c r="H199" s="21" t="s">
        <v>961</v>
      </c>
      <c r="I199" s="13">
        <v>43020.871759259258</v>
      </c>
      <c r="J199" s="7">
        <v>0</v>
      </c>
      <c r="K199" s="89" t="str">
        <f t="shared" si="58"/>
        <v>4041/4042</v>
      </c>
      <c r="L199" s="185" t="str">
        <f>VLOOKUP(A199,'Trips&amp;Operators'!$C$1:$G$99911,5,FALSE)</f>
        <v>STAMBAUGH JAMES</v>
      </c>
      <c r="M199" s="6">
        <f t="shared" si="59"/>
        <v>8.3564814776764251E-3</v>
      </c>
      <c r="N199" s="7"/>
      <c r="O199" s="7"/>
      <c r="P199" s="7"/>
      <c r="Q199" s="22"/>
      <c r="R199" s="174"/>
      <c r="S199" s="199"/>
      <c r="T199" s="174" t="str">
        <f t="shared" si="62"/>
        <v>Southbound</v>
      </c>
      <c r="U199" s="22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225" t="str">
        <f t="shared" si="63"/>
        <v>https://d0f6bd738d7f1b3e5a7ca70fe4ff75f0.us-east-1.aws.found.io/app/kibana#/discover/Steve-Slow-Train-Analysis-(2080s-and-2083s)?_g=(refreshInterval:(display:Off,pause:!f,section:0,value:0),time:(from:'2017-10-12T19:23:47-0600',mode:absolute,to:'2017-10-12T21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9" s="226" t="str">
        <f>IF(AA199&lt;VLOOKUP(AG199,Variables!$AC$3:$AD$8,2,FALSE),"Y","N")</f>
        <v>Y</v>
      </c>
      <c r="X199" s="226">
        <f t="shared" si="64"/>
        <v>0</v>
      </c>
      <c r="Y199" s="226">
        <f t="shared" si="98"/>
        <v>5.8616999999999999</v>
      </c>
      <c r="Z199" s="226">
        <f t="shared" si="99"/>
        <v>5.7237999999999998</v>
      </c>
      <c r="AA199" s="226">
        <f t="shared" si="65"/>
        <v>0.13790000000000013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6"/>
        <v>842</v>
      </c>
      <c r="AE199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199" s="74" t="str">
        <f t="shared" si="68"/>
        <v>"C:\Program Files (x86)\AstroGrep\AstroGrep.exe" /e /r /s /spath="%USERPROFILE%\AppData\Local\Temp\OnboardLogs" /stypes="app*4041*20171013*" /stext=" 02:.+((SYSTEM_STATE.+slice.+state.+changed )|(ment ac)|(multiple cpu faults)|(system.+state.+changed )|(\[timeout)|(PRM\|1\|D)|(kpr)|(kdp)|(train st.+moving)|(\|lc)|(penalty))"</v>
      </c>
      <c r="AG199" s="182" t="str">
        <f t="shared" si="69"/>
        <v>NW</v>
      </c>
      <c r="AH199" s="78" t="str">
        <f t="shared" si="70"/>
        <v>"%USERPROFILE%\Documents\GitHub\eaglep3\Utilities\RefineRTDCRunTimes.py" --tripid 842-12 --locoid 4041 --swversion DE.1.0.9.0 --startMP 300:58617 --initTime 2017-10-12T20:23:47 --startdatetime 2017-10-12T20:43:18 --delay 52 --endMP 300:57238 --enddatetime 2017-10-12T20:55:20 --enforcementcount 0 &gt;&gt;%USERPROFILE%\Documents\GitHub\eaglep3-reporting\EC\2017-10-12-refined-times.txt</v>
      </c>
      <c r="AI199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{"issue":{"subject":"","project_id":79,"tracker_id":40,"status_id":1,"priority_id":2,"assigned_to_id":338,"start_date":"2017-10-12","description":"","custom_fields":[{"id":1,"name":"Subdivision","value":"NW"},{"id":4,"name":"Milepost","value":"5.7238"},{"id":17,"name":"Train ID","value":"842-12"},{"id":16,"name":"Locomotive ID","value":"4041"},{"id":130,"name":"Impact","value":""},{"id":150,"name":"Time of Event (Mountain Time)","value":"20:55:20"},{"id":151,"name":"Denver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72"/>
        <v>start /low /b %USERPROFILE%\Documents\GitHub\eaglep3\Utilities\DownloadLogsFromS3.py --loco 4041 --day 2017-10-12</v>
      </c>
      <c r="AN199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4"/>
        <v>https://d0f6bd738d7f1b3e5a7ca70fe4ff75f0.us-east-1.aws.found.io/app/kibana#/discover/Steve-Slow-Train-Analysis-(2080s-and-2083s)?_g=(refreshInterval:(display:Off,pause:!f,section:0,value:0),time:(from:'2017-10-12T19:23:47-0600',mode:absolute,to:'2017-10-12T21:55:20-0600'))&amp;_a=(columns:!('Message%20ID',Summary),filters:!(),index:'emp_*',interval:auto,query:(query_string:(analyze_wildcard:!t,query:'%22rtdc.l.rtdc.4041%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600</v>
      </c>
      <c r="B200" s="7">
        <v>4042</v>
      </c>
      <c r="C200" s="21" t="s">
        <v>194</v>
      </c>
      <c r="D200" s="21" t="s">
        <v>948</v>
      </c>
      <c r="E200" s="13">
        <v>43020.837592592594</v>
      </c>
      <c r="F200" s="13">
        <v>43020.839953703704</v>
      </c>
      <c r="G200" s="7">
        <v>63</v>
      </c>
      <c r="H200" s="21" t="s">
        <v>962</v>
      </c>
      <c r="I200" s="13">
        <v>43020.849050925928</v>
      </c>
      <c r="J200" s="7">
        <v>0</v>
      </c>
      <c r="K200" s="89" t="str">
        <f t="shared" si="58"/>
        <v>4041/4042</v>
      </c>
      <c r="L200" s="185" t="str">
        <f>VLOOKUP(A200,'Trips&amp;Operators'!$C$1:$G$99911,5,FALSE)</f>
        <v>STAMBAUGH JAMES</v>
      </c>
      <c r="M200" s="6">
        <f t="shared" si="59"/>
        <v>9.0972222242271528E-3</v>
      </c>
      <c r="N200" s="7">
        <f t="shared" ref="N200:N232" si="100">24*60*SUM($M200:$M200)</f>
        <v>13.1000000028871</v>
      </c>
      <c r="O200" s="7"/>
      <c r="P200" s="7"/>
      <c r="Q200" s="22"/>
      <c r="R200" s="174"/>
      <c r="S200" s="199">
        <f t="shared" ref="S200:S232" si="101">1/IF(AG200="EC",12,1)*SUM(U200:U200)</f>
        <v>1</v>
      </c>
      <c r="T200" s="174" t="str">
        <f t="shared" si="62"/>
        <v>NorthBound</v>
      </c>
      <c r="U200" s="22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25" t="str">
        <f t="shared" si="63"/>
        <v>https://d0f6bd738d7f1b3e5a7ca70fe4ff75f0.us-east-1.aws.found.io/app/kibana#/discover/Steve-Slow-Train-Analysis-(2080s-and-2083s)?_g=(refreshInterval:(display:Off,pause:!f,section:0,value:0),time:(from:'2017-10-12T19:06:08-0600',mode:absolute,to:'2017-10-12T21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0" s="226" t="str">
        <f>IF(AA200&lt;VLOOKUP(AG200,Variables!$AC$3:$AD$8,2,FALSE),"Y","N")</f>
        <v>N</v>
      </c>
      <c r="X200" s="226">
        <f t="shared" si="64"/>
        <v>1</v>
      </c>
      <c r="Y200" s="226">
        <f t="shared" si="98"/>
        <v>9.4799999999999995E-2</v>
      </c>
      <c r="Z200" s="226">
        <f t="shared" si="99"/>
        <v>5.8949999999999996</v>
      </c>
      <c r="AA200" s="226">
        <f t="shared" si="65"/>
        <v>5.8001999999999994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6"/>
        <v>843</v>
      </c>
      <c r="AE200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200" s="74" t="str">
        <f t="shared" si="68"/>
        <v>"C:\Program Files (x86)\AstroGrep\AstroGrep.exe" /e /r /s /spath="%USERPROFILE%\AppData\Local\Temp\OnboardLogs" /stypes="app*4042*20171013*" /stext=" 02:.+((SYSTEM_STATE.+slice.+state.+changed )|(ment ac)|(multiple cpu faults)|(system.+state.+changed )|(\[timeout)|(PRM\|1\|D)|(kpr)|(kdp)|(train st.+moving)|(\|lc)|(penalty))"</v>
      </c>
      <c r="AG200" s="182" t="str">
        <f t="shared" si="69"/>
        <v>NW</v>
      </c>
      <c r="AH200" s="78" t="str">
        <f t="shared" si="70"/>
        <v>"%USERPROFILE%\Documents\GitHub\eaglep3\Utilities\RefineRTDCRunTimes.py" --tripid 843-12 --locoid 4042 --swversion DE.1.0.9.0 --startMP 204:948 --initTime 2017-10-12T20:06:08 --startdatetime 2017-10-12T20:09:32 --delay 63 --endMP 300:58950 --enddatetime 2017-10-12T20:22:38 --enforcementcount 0 &gt;&gt;%USERPROFILE%\Documents\GitHub\eaglep3-reporting\EC\2017-10-12-refined-times.txt</v>
      </c>
      <c r="AI200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{"issue":{"subject":"","project_id":79,"tracker_id":40,"status_id":1,"priority_id":2,"assigned_to_id":338,"start_date":"2017-10-12","description":"","custom_fields":[{"id":1,"name":"Subdivision","value":"NW"},{"id":4,"name":"Milepost","value":"5.895"},{"id":17,"name":"Train ID","value":"843-12"},{"id":16,"name":"Locomotive ID","value":"4042"},{"id":130,"name":"Impact","value":""},{"id":150,"name":"Time of Event (Mountain Time)","value":"20:22:38"},{"id":151,"name":"Denver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72"/>
        <v>start /low /b %USERPROFILE%\Documents\GitHub\eaglep3\Utilities\DownloadLogsFromS3.py --loco 4042 --day 2017-10-12</v>
      </c>
      <c r="AN200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02:22:38"},{"id":29,"name":"Sharepoint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4"/>
        <v>https://d0f6bd738d7f1b3e5a7ca70fe4ff75f0.us-east-1.aws.found.io/app/kibana#/discover/Steve-Slow-Train-Analysis-(2080s-and-2083s)?_g=(refreshInterval:(display:Off,pause:!f,section:0,value:0),time:(from:'2017-10-12T19:06:08-0600',mode:absolute,to:'2017-10-12T21:22:38-0600'))&amp;_a=(columns:!('Message%20ID',Summary),filters:!(),index:'emp_*',interval:auto,query:(query_string:(analyze_wildcard:!t,query:'%22rtdc.l.rtdc.4042%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795</v>
      </c>
      <c r="B201" s="7">
        <v>4041</v>
      </c>
      <c r="C201" s="21" t="s">
        <v>194</v>
      </c>
      <c r="D201" s="21" t="s">
        <v>949</v>
      </c>
      <c r="E201" s="13">
        <v>43020.893206018518</v>
      </c>
      <c r="F201" s="13">
        <v>43020.904861111114</v>
      </c>
      <c r="G201" s="7">
        <v>69</v>
      </c>
      <c r="H201" s="21" t="s">
        <v>552</v>
      </c>
      <c r="I201" s="13">
        <v>43020.913564814815</v>
      </c>
      <c r="J201" s="7">
        <v>0</v>
      </c>
      <c r="K201" s="89" t="str">
        <f t="shared" si="58"/>
        <v>4041/4042</v>
      </c>
      <c r="L201" s="185" t="str">
        <f>VLOOKUP(A201,'Trips&amp;Operators'!$C$1:$G$99911,5,FALSE)</f>
        <v>DUNCAN SHEILA</v>
      </c>
      <c r="M201" s="6">
        <f t="shared" si="59"/>
        <v>8.703703701030463E-3</v>
      </c>
      <c r="N201" s="7">
        <f t="shared" si="100"/>
        <v>12.533333329483867</v>
      </c>
      <c r="O201" s="7"/>
      <c r="P201" s="7"/>
      <c r="Q201" s="22"/>
      <c r="R201" s="174"/>
      <c r="S201" s="199">
        <f t="shared" si="101"/>
        <v>1</v>
      </c>
      <c r="T201" s="174" t="str">
        <f t="shared" si="62"/>
        <v>Southbound</v>
      </c>
      <c r="U201" s="22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25" t="str">
        <f t="shared" si="63"/>
        <v>https://d0f6bd738d7f1b3e5a7ca70fe4ff75f0.us-east-1.aws.found.io/app/kibana#/discover/Steve-Slow-Train-Analysis-(2080s-and-2083s)?_g=(refreshInterval:(display:Off,pause:!f,section:0,value:0),time:(from:'2017-10-12T20:26:13-0600',mode:absolute,to:'2017-10-12T22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226" t="str">
        <f>IF(AA201&lt;VLOOKUP(AG201,Variables!$AC$3:$AD$8,2,FALSE),"Y","N")</f>
        <v>N</v>
      </c>
      <c r="X201" s="226">
        <f t="shared" si="64"/>
        <v>1</v>
      </c>
      <c r="Y201" s="226">
        <f t="shared" si="98"/>
        <v>5.8625999999999996</v>
      </c>
      <c r="Z201" s="226">
        <f t="shared" si="99"/>
        <v>6.9199999999999998E-2</v>
      </c>
      <c r="AA201" s="226">
        <f t="shared" si="65"/>
        <v>5.7933999999999992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6"/>
        <v>844</v>
      </c>
      <c r="AE201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201" s="74" t="str">
        <f t="shared" si="68"/>
        <v>"C:\Program Files (x86)\AstroGrep\AstroGrep.exe" /e /r /s /spath="%USERPROFILE%\AppData\Local\Temp\OnboardLogs" /stypes="app*4041*20171013*" /stext=" 03:.+((SYSTEM_STATE.+slice.+state.+changed )|(ment ac)|(multiple cpu faults)|(system.+state.+changed )|(\[timeout)|(PRM\|1\|D)|(kpr)|(kdp)|(train st.+moving)|(\|lc)|(penalty))"</v>
      </c>
      <c r="AG201" s="182" t="str">
        <f t="shared" si="69"/>
        <v>NW</v>
      </c>
      <c r="AH201" s="78" t="str">
        <f t="shared" si="70"/>
        <v>"%USERPROFILE%\Documents\GitHub\eaglep3\Utilities\RefineRTDCRunTimes.py" --tripid 844-12 --locoid 4041 --swversion DE.1.0.9.0 --startMP 300:58626 --initTime 2017-10-12T21:26:13 --startdatetime 2017-10-12T21:43:00 --delay 69 --endMP 204:692 --enddatetime 2017-10-12T21:55:32 --enforcementcount 0 &gt;&gt;%USERPROFILE%\Documents\GitHub\eaglep3-reporting\EC\2017-10-12-refined-times.txt</v>
      </c>
      <c r="AI201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{"issue":{"subject":"","project_id":79,"tracker_id":40,"status_id":1,"priority_id":2,"assigned_to_id":338,"start_date":"2017-10-12","description":"","custom_fields":[{"id":1,"name":"Subdivision","value":"NW"},{"id":4,"name":"Milepost","value":"0.0692"},{"id":17,"name":"Train ID","value":"844-12"},{"id":16,"name":"Locomotive ID","value":"4041"},{"id":130,"name":"Impact","value":""},{"id":150,"name":"Time of Event (Mountain Time)","value":"21:55:32"},{"id":151,"name":"Denver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72"/>
        <v>start /low /b %USERPROFILE%\Documents\GitHub\eaglep3\Utilities\DownloadLogsFromS3.py --loco 4041 --day 2017-10-12</v>
      </c>
      <c r="AN201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4"/>
        <v>https://d0f6bd738d7f1b3e5a7ca70fe4ff75f0.us-east-1.aws.found.io/app/kibana#/discover/Steve-Slow-Train-Analysis-(2080s-and-2083s)?_g=(refreshInterval:(display:Off,pause:!f,section:0,value:0),time:(from:'2017-10-12T20:26:13-0600',mode:absolute,to:'2017-10-12T22:55:32-0600'))&amp;_a=(columns:!('Message%20ID',Summary),filters:!(),index:'emp_*',interval:auto,query:(query_string:(analyze_wildcard:!t,query:'%22rtdc.l.rtdc.4041%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792</v>
      </c>
      <c r="B202" s="7">
        <v>4042</v>
      </c>
      <c r="C202" s="21" t="s">
        <v>194</v>
      </c>
      <c r="D202" s="21" t="s">
        <v>451</v>
      </c>
      <c r="E202" s="13">
        <v>43020.876087962963</v>
      </c>
      <c r="F202" s="13">
        <v>43020.881921296299</v>
      </c>
      <c r="G202" s="7">
        <v>111</v>
      </c>
      <c r="H202" s="21" t="s">
        <v>947</v>
      </c>
      <c r="I202" s="13">
        <v>43020.892210648148</v>
      </c>
      <c r="J202" s="7">
        <v>0</v>
      </c>
      <c r="K202" s="89" t="str">
        <f t="shared" si="58"/>
        <v>4041/4042</v>
      </c>
      <c r="L202" s="185" t="str">
        <f>VLOOKUP(A202,'Trips&amp;Operators'!$C$1:$G$99911,5,FALSE)</f>
        <v>DUNCAN SHEILA</v>
      </c>
      <c r="M202" s="6">
        <f t="shared" si="59"/>
        <v>1.0289351848769002E-2</v>
      </c>
      <c r="N202" s="7">
        <f t="shared" si="100"/>
        <v>14.816666662227362</v>
      </c>
      <c r="O202" s="7"/>
      <c r="P202" s="7"/>
      <c r="Q202" s="22"/>
      <c r="R202" s="174"/>
      <c r="S202" s="199">
        <f t="shared" si="101"/>
        <v>1</v>
      </c>
      <c r="T202" s="174" t="str">
        <f t="shared" si="62"/>
        <v>NorthBound</v>
      </c>
      <c r="U202" s="22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25" t="str">
        <f t="shared" si="63"/>
        <v>https://d0f6bd738d7f1b3e5a7ca70fe4ff75f0.us-east-1.aws.found.io/app/kibana#/discover/Steve-Slow-Train-Analysis-(2080s-and-2083s)?_g=(refreshInterval:(display:Off,pause:!f,section:0,value:0),time:(from:'2017-10-12T20:01:34-0600',mode:absolute,to:'2017-10-12T22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2" s="226" t="str">
        <f>IF(AA202&lt;VLOOKUP(AG202,Variables!$AC$3:$AD$8,2,FALSE),"Y","N")</f>
        <v>N</v>
      </c>
      <c r="X202" s="226">
        <f t="shared" si="64"/>
        <v>1</v>
      </c>
      <c r="Y202" s="226">
        <f t="shared" si="98"/>
        <v>9.8100000000000007E-2</v>
      </c>
      <c r="Z202" s="226">
        <f t="shared" si="99"/>
        <v>5.8930999999999996</v>
      </c>
      <c r="AA202" s="226">
        <f t="shared" si="65"/>
        <v>5.7949999999999999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6"/>
        <v>845</v>
      </c>
      <c r="AE202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202" s="74" t="str">
        <f t="shared" si="68"/>
        <v>"C:\Program Files (x86)\AstroGrep\AstroGrep.exe" /e /r /s /spath="%USERPROFILE%\AppData\Local\Temp\OnboardLogs" /stypes="app*4042*20171013*" /stext=" 03:.+((SYSTEM_STATE.+slice.+state.+changed )|(ment ac)|(multiple cpu faults)|(system.+state.+changed )|(\[timeout)|(PRM\|1\|D)|(kpr)|(kdp)|(train st.+moving)|(\|lc)|(penalty))"</v>
      </c>
      <c r="AG202" s="182" t="str">
        <f t="shared" si="69"/>
        <v>NW</v>
      </c>
      <c r="AH202" s="78" t="str">
        <f t="shared" si="70"/>
        <v>"%USERPROFILE%\Documents\GitHub\eaglep3\Utilities\RefineRTDCRunTimes.py" --tripid 845-12 --locoid 4042 --swversion DE.1.0.9.0 --startMP 204:981 --initTime 2017-10-12T21:01:34 --startdatetime 2017-10-12T21:09:58 --delay 111 --endMP 300:58931 --enddatetime 2017-10-12T21:24:47 --enforcementcount 0 &gt;&gt;%USERPROFILE%\Documents\GitHub\eaglep3-reporting\EC\2017-10-12-refined-times.txt</v>
      </c>
      <c r="AI202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{"issue":{"subject":"","project_id":79,"tracker_id":40,"status_id":1,"priority_id":2,"assigned_to_id":338,"start_date":"2017-10-12","description":"","custom_fields":[{"id":1,"name":"Subdivision","value":"NW"},{"id":4,"name":"Milepost","value":"5.8931"},{"id":17,"name":"Train ID","value":"845-12"},{"id":16,"name":"Locomotive ID","value":"4042"},{"id":130,"name":"Impact","value":""},{"id":150,"name":"Time of Event (Mountain Time)","value":"21:24:47"},{"id":151,"name":"Denver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72"/>
        <v>start /low /b %USERPROFILE%\Documents\GitHub\eaglep3\Utilities\DownloadLogsFromS3.py --loco 4042 --day 2017-10-12</v>
      </c>
      <c r="AN202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03:24:47"},{"id":29,"name":"Sharepoint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4"/>
        <v>https://d0f6bd738d7f1b3e5a7ca70fe4ff75f0.us-east-1.aws.found.io/app/kibana#/discover/Steve-Slow-Train-Analysis-(2080s-and-2083s)?_g=(refreshInterval:(display:Off,pause:!f,section:0,value:0),time:(from:'2017-10-12T20:01:34-0600',mode:absolute,to:'2017-10-12T22:24:47-0600'))&amp;_a=(columns:!('Message%20ID',Summary),filters:!(),index:'emp_*',interval:auto,query:(query_string:(analyze_wildcard:!t,query:'%22rtdc.l.rtdc.4042%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801</v>
      </c>
      <c r="B203" s="7">
        <v>4041</v>
      </c>
      <c r="C203" s="21" t="s">
        <v>194</v>
      </c>
      <c r="D203" s="21" t="s">
        <v>963</v>
      </c>
      <c r="E203" s="13">
        <v>43020.936354166668</v>
      </c>
      <c r="F203" s="13">
        <v>43020.938090277778</v>
      </c>
      <c r="G203" s="7">
        <v>60</v>
      </c>
      <c r="H203" s="21" t="s">
        <v>964</v>
      </c>
      <c r="I203" s="13">
        <v>43020.955046296294</v>
      </c>
      <c r="J203" s="7">
        <v>0</v>
      </c>
      <c r="K203" s="89" t="str">
        <f t="shared" si="58"/>
        <v>4041/4042</v>
      </c>
      <c r="L203" s="185" t="str">
        <f>VLOOKUP(A203,'Trips&amp;Operators'!$C$1:$G$99911,5,FALSE)</f>
        <v>DUNCAN SHEILA</v>
      </c>
      <c r="M203" s="6">
        <f t="shared" si="59"/>
        <v>1.6956018516793847E-2</v>
      </c>
      <c r="N203" s="7">
        <f t="shared" si="100"/>
        <v>24.41666666418314</v>
      </c>
      <c r="O203" s="7"/>
      <c r="P203" s="7"/>
      <c r="Q203" s="22"/>
      <c r="R203" s="174"/>
      <c r="S203" s="199">
        <f t="shared" si="101"/>
        <v>1</v>
      </c>
      <c r="T203" s="174" t="str">
        <f t="shared" si="62"/>
        <v>Southbound</v>
      </c>
      <c r="U203" s="22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25" t="str">
        <f t="shared" si="63"/>
        <v>https://d0f6bd738d7f1b3e5a7ca70fe4ff75f0.us-east-1.aws.found.io/app/kibana#/discover/Steve-Slow-Train-Analysis-(2080s-and-2083s)?_g=(refreshInterval:(display:Off,pause:!f,section:0,value:0),time:(from:'2017-10-12T21:28:21-0600',mode:absolute,to:'2017-10-12T23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3" s="226" t="str">
        <f>IF(AA203&lt;VLOOKUP(AG203,Variables!$AC$3:$AD$8,2,FALSE),"Y","N")</f>
        <v>N</v>
      </c>
      <c r="X203" s="226">
        <f t="shared" si="64"/>
        <v>1</v>
      </c>
      <c r="Y203" s="226">
        <f t="shared" si="98"/>
        <v>5.8619000000000003</v>
      </c>
      <c r="Z203" s="226">
        <f t="shared" si="99"/>
        <v>6.7699999999999996E-2</v>
      </c>
      <c r="AA203" s="226">
        <f t="shared" si="65"/>
        <v>5.7942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6"/>
        <v>846</v>
      </c>
      <c r="AE203" s="77" t="str">
        <f t="shared" si="67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203" s="74" t="str">
        <f t="shared" si="68"/>
        <v>"C:\Program Files (x86)\AstroGrep\AstroGrep.exe" /e /r /s /spath="%USERPROFILE%\AppData\Local\Temp\OnboardLogs" /stypes="app*4041*20171013*" /stext=" 04:.+((SYSTEM_STATE.+slice.+state.+changed )|(ment ac)|(multiple cpu faults)|(system.+state.+changed )|(\[timeout)|(PRM\|1\|D)|(kpr)|(kdp)|(train st.+moving)|(\|lc)|(penalty))"</v>
      </c>
      <c r="AG203" s="182" t="str">
        <f t="shared" si="69"/>
        <v>NW</v>
      </c>
      <c r="AH203" s="78" t="str">
        <f t="shared" si="70"/>
        <v>"%USERPROFILE%\Documents\GitHub\eaglep3\Utilities\RefineRTDCRunTimes.py" --tripid 846-12 --locoid 4041 --swversion DE.1.0.9.0 --startMP 300:58619 --initTime 2017-10-12T22:28:21 --startdatetime 2017-10-12T22:30:51 --delay 60 --endMP 204:677 --enddatetime 2017-10-12T22:55:16 --enforcementcount 0 &gt;&gt;%USERPROFILE%\Documents\GitHub\eaglep3-reporting\EC\2017-10-12-refined-times.txt</v>
      </c>
      <c r="AI203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{"issue":{"subject":"","project_id":79,"tracker_id":40,"status_id":1,"priority_id":2,"assigned_to_id":338,"start_date":"2017-10-12","description":"","custom_fields":[{"id":1,"name":"Subdivision","value":"NW"},{"id":4,"name":"Milepost","value":"0.0677"},{"id":17,"name":"Train ID","value":"846-12"},{"id":16,"name":"Locomotive ID","value":"4041"},{"id":130,"name":"Impact","value":""},{"id":150,"name":"Time of Event (Mountain Time)","value":"22:55:16"},{"id":151,"name":"Denver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72"/>
        <v>start /low /b %USERPROFILE%\Documents\GitHub\eaglep3\Utilities\DownloadLogsFromS3.py --loco 4041 --day 2017-10-12</v>
      </c>
      <c r="AN203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4"/>
        <v>https://d0f6bd738d7f1b3e5a7ca70fe4ff75f0.us-east-1.aws.found.io/app/kibana#/discover/Steve-Slow-Train-Analysis-(2080s-and-2083s)?_g=(refreshInterval:(display:Off,pause:!f,section:0,value:0),time:(from:'2017-10-12T21:28:21-0600',mode:absolute,to:'2017-10-12T23:55:16-0600'))&amp;_a=(columns:!('Message%20ID',Summary),filters:!(),index:'emp_*',interval:auto,query:(query_string:(analyze_wildcard:!t,query:'%22rtdc.l.rtdc.4041%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798</v>
      </c>
      <c r="B204" s="7">
        <v>4042</v>
      </c>
      <c r="C204" s="21" t="s">
        <v>194</v>
      </c>
      <c r="D204" s="21" t="s">
        <v>551</v>
      </c>
      <c r="E204" s="13">
        <v>43020.914768518516</v>
      </c>
      <c r="F204" s="13">
        <v>43020.92396990741</v>
      </c>
      <c r="G204" s="7">
        <v>69</v>
      </c>
      <c r="H204" s="21" t="s">
        <v>554</v>
      </c>
      <c r="I204" s="13">
        <v>43020.933946759258</v>
      </c>
      <c r="J204" s="7">
        <v>0</v>
      </c>
      <c r="K204" s="89" t="str">
        <f t="shared" si="58"/>
        <v>4041/4042</v>
      </c>
      <c r="L204" s="185" t="str">
        <f>VLOOKUP(A204,'Trips&amp;Operators'!$C$1:$G$99911,5,FALSE)</f>
        <v>DUNCAN SHEILA</v>
      </c>
      <c r="M204" s="6">
        <f t="shared" si="59"/>
        <v>9.9768518484779634E-3</v>
      </c>
      <c r="N204" s="7">
        <f t="shared" si="100"/>
        <v>14.366666661808267</v>
      </c>
      <c r="O204" s="7"/>
      <c r="P204" s="7"/>
      <c r="Q204" s="22"/>
      <c r="R204" s="174"/>
      <c r="S204" s="199">
        <f t="shared" si="101"/>
        <v>1</v>
      </c>
      <c r="T204" s="174" t="str">
        <f t="shared" si="62"/>
        <v>NorthBound</v>
      </c>
      <c r="U204" s="22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25" t="str">
        <f t="shared" si="63"/>
        <v>https://d0f6bd738d7f1b3e5a7ca70fe4ff75f0.us-east-1.aws.found.io/app/kibana#/discover/Steve-Slow-Train-Analysis-(2080s-and-2083s)?_g=(refreshInterval:(display:Off,pause:!f,section:0,value:0),time:(from:'2017-10-12T20:57:16-0600',mode:absolute,to:'2017-10-12T23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4" s="226" t="str">
        <f>IF(AA204&lt;VLOOKUP(AG204,Variables!$AC$3:$AD$8,2,FALSE),"Y","N")</f>
        <v>N</v>
      </c>
      <c r="X204" s="226">
        <f t="shared" si="64"/>
        <v>1</v>
      </c>
      <c r="Y204" s="226">
        <f t="shared" si="98"/>
        <v>9.8599999999999993E-2</v>
      </c>
      <c r="Z204" s="226">
        <f t="shared" si="99"/>
        <v>5.8935000000000004</v>
      </c>
      <c r="AA204" s="226">
        <f t="shared" si="65"/>
        <v>5.7949000000000002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6"/>
        <v>847</v>
      </c>
      <c r="AE204" s="77" t="str">
        <f t="shared" si="67"/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204" s="74" t="str">
        <f t="shared" si="68"/>
        <v>"C:\Program Files (x86)\AstroGrep\AstroGrep.exe" /e /r /s /spath="%USERPROFILE%\AppData\Local\Temp\OnboardLogs" /stypes="app*4042*20171013*" /stext=" 04:.+((SYSTEM_STATE.+slice.+state.+changed )|(ment ac)|(multiple cpu faults)|(system.+state.+changed )|(\[timeout)|(PRM\|1\|D)|(kpr)|(kdp)|(train st.+moving)|(\|lc)|(penalty))"</v>
      </c>
      <c r="AG204" s="182" t="str">
        <f t="shared" si="69"/>
        <v>NW</v>
      </c>
      <c r="AH204" s="78" t="str">
        <f t="shared" si="70"/>
        <v>"%USERPROFILE%\Documents\GitHub\eaglep3\Utilities\RefineRTDCRunTimes.py" --tripid 847-12 --locoid 4042 --swversion DE.1.0.9.0 --startMP 204:986 --initTime 2017-10-12T21:57:16 --startdatetime 2017-10-12T22:10:31 --delay 69 --endMP 300:58935 --enddatetime 2017-10-12T22:24:53 --enforcementcount 0 &gt;&gt;%USERPROFILE%\Documents\GitHub\eaglep3-reporting\EC\2017-10-12-refined-times.txt</v>
      </c>
      <c r="AI204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{"issue":{"subject":"","project_id":79,"tracker_id":40,"status_id":1,"priority_id":2,"assigned_to_id":338,"start_date":"2017-10-12","description":"","custom_fields":[{"id":1,"name":"Subdivision","value":"NW"},{"id":4,"name":"Milepost","value":"5.8935"},{"id":17,"name":"Train ID","value":"847-12"},{"id":16,"name":"Locomotive ID","value":"4042"},{"id":130,"name":"Impact","value":""},{"id":150,"name":"Time of Event (Mountain Time)","value":"22:24:53"},{"id":151,"name":"Denver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72"/>
        <v>start /low /b %USERPROFILE%\Documents\GitHub\eaglep3\Utilities\DownloadLogsFromS3.py --loco 4042 --day 2017-10-12</v>
      </c>
      <c r="AN204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04:24:53"},{"id":29,"name":"Sharepoint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4"/>
        <v>https://d0f6bd738d7f1b3e5a7ca70fe4ff75f0.us-east-1.aws.found.io/app/kibana#/discover/Steve-Slow-Train-Analysis-(2080s-and-2083s)?_g=(refreshInterval:(display:Off,pause:!f,section:0,value:0),time:(from:'2017-10-12T20:57:16-0600',mode:absolute,to:'2017-10-12T23:24:53-0600'))&amp;_a=(columns:!('Message%20ID',Summary),filters:!(),index:'emp_*',interval:auto,query:(query_string:(analyze_wildcard:!t,query:'%22rtdc.l.rtdc.4042%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804</v>
      </c>
      <c r="B205" s="7">
        <v>4042</v>
      </c>
      <c r="C205" s="21" t="s">
        <v>194</v>
      </c>
      <c r="D205" s="21" t="s">
        <v>946</v>
      </c>
      <c r="E205" s="13">
        <v>43020.956099537034</v>
      </c>
      <c r="F205" s="13">
        <v>43020.964768518519</v>
      </c>
      <c r="G205" s="7">
        <v>78</v>
      </c>
      <c r="H205" s="21" t="s">
        <v>939</v>
      </c>
      <c r="I205" s="13">
        <v>43020.975370370368</v>
      </c>
      <c r="J205" s="7">
        <v>0</v>
      </c>
      <c r="K205" s="89" t="str">
        <f t="shared" ref="K205:K232" si="102">IF(ISEVEN(B205),(B205-1)&amp;"/"&amp;B205,B205&amp;"/"&amp;(B205+1))</f>
        <v>4041/4042</v>
      </c>
      <c r="L205" s="185" t="str">
        <f>VLOOKUP(A205,'Trips&amp;Operators'!$C$1:$G$99911,5,FALSE)</f>
        <v>DUNCAN SHEILA</v>
      </c>
      <c r="M205" s="6">
        <f t="shared" ref="M205:M232" si="103">I205-F205</f>
        <v>1.060185184906004E-2</v>
      </c>
      <c r="N205" s="7">
        <f t="shared" si="100"/>
        <v>15.266666662646458</v>
      </c>
      <c r="O205" s="7"/>
      <c r="P205" s="7"/>
      <c r="Q205" s="22"/>
      <c r="R205" s="174"/>
      <c r="S205" s="199">
        <f t="shared" si="101"/>
        <v>1</v>
      </c>
      <c r="T205" s="174" t="str">
        <f t="shared" ref="T205:T232" si="104">IF(ISEVEN(LEFT(AD205,4)),"Southbound","NorthBound")</f>
        <v>NorthBound</v>
      </c>
      <c r="U205" s="22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25" t="str">
        <f t="shared" ref="V205:V232" si="10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-12T21:56:47-0600',mode:absolute,to:'2017-10-13T00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5" s="226" t="str">
        <f>IF(AA205&lt;VLOOKUP(AG205,Variables!$AC$3:$AD$8,2,FALSE),"Y","N")</f>
        <v>N</v>
      </c>
      <c r="X205" s="226">
        <f t="shared" ref="X205:X232" si="106">VALUE(LEFT(AD205,4))-VALUE(LEFT(AD204,4))</f>
        <v>2</v>
      </c>
      <c r="Y205" s="226">
        <f t="shared" si="98"/>
        <v>9.74E-2</v>
      </c>
      <c r="Z205" s="226">
        <f t="shared" si="99"/>
        <v>5.8929</v>
      </c>
      <c r="AA205" s="226">
        <f t="shared" ref="AA205:AA268" si="107">ABS(Z205-Y205)</f>
        <v>5.7954999999999997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32" si="108">VALUE(LEFT(A205,LEN(A205)-3))</f>
        <v>849</v>
      </c>
      <c r="AE205" s="77" t="str">
        <f t="shared" ref="AE205:AE232" si="10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AF205" s="74" t="str">
        <f t="shared" ref="AF205:AF232" si="11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/stypes="app*4042*20171013*" /stext=" 05:.+((SYSTEM_STATE.+slice.+state.+changed )|(ment ac)|(multiple cpu faults)|(system.+state.+changed )|(\[timeout)|(PRM\|1\|D)|(kpr)|(kdp)|(train st.+moving)|(\|lc)|(penalty))"</v>
      </c>
      <c r="AG205" s="182" t="str">
        <f t="shared" ref="AG205:AG232" si="111">DetSubdiv(A205)</f>
        <v>NW</v>
      </c>
      <c r="AH205" s="78" t="str">
        <f t="shared" si="70"/>
        <v>"%USERPROFILE%\Documents\GitHub\eaglep3\Utilities\RefineRTDCRunTimes.py" --tripid 849-12 --locoid 4042 --swversion DE.1.0.9.0 --startMP 204:974 --initTime 2017-10-12T22:56:47 --startdatetime 2017-10-12T23:09:16 --delay 78 --endMP 300:58929 --enddatetime 2017-10-12T23:24:32 --enforcementcount 0 &gt;&gt;%USERPROFILE%\Documents\GitHub\eaglep3-reporting\EC\2017-10-12-refined-times.txt</v>
      </c>
      <c r="AI205" s="96" t="str">
        <f t="shared" si="71"/>
        <v>echo {"issue":{"subject":"","project_id":79,"tracker_id":40,"status_id":1,"priority_id":2,"assigned_to_id":338,"start_date":"2017-10-12","description":"","custom_fields":[{"id":1,"name":"Subdivision","value":"NW"},{"id":4,"name":"Milepost","value":"5.8929"},{"id":17,"name":"Train ID","value":"849-12"},{"id":16,"name":"Locomotive ID","value":"4042"},{"id":130,"name":"Impact","value":""},{"id":150,"name":"Time of Event (Mountain Time)","value":"23:24:32"},{"id":151,"name":"Denver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72"/>
        <v>start /low /b %USERPROFILE%\Documents\GitHub\eaglep3\Utilities\DownloadLogsFromS3.py --loco 4042 --day 2017-10-12</v>
      </c>
      <c r="AN205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05:24:32"},{"id":29,"name":"Sharepoint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4"/>
        <v>https://d0f6bd738d7f1b3e5a7ca70fe4ff75f0.us-east-1.aws.found.io/app/kibana#/discover/Steve-Slow-Train-Analysis-(2080s-and-2083s)?_g=(refreshInterval:(display:Off,pause:!f,section:0,value:0),time:(from:'2017-10-12T21:56:47-0600',mode:absolute,to:'2017-10-13T00:24:32-0600'))&amp;_a=(columns:!('Message%20ID',Summary),filters:!(),index:'emp_*',interval:auto,query:(query_string:(analyze_wildcard:!t,query:'%22rtdc.l.rtdc.4042%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775</v>
      </c>
      <c r="B206" s="7">
        <v>4004</v>
      </c>
      <c r="C206" s="21" t="s">
        <v>194</v>
      </c>
      <c r="D206" s="21" t="s">
        <v>881</v>
      </c>
      <c r="E206" s="13">
        <v>43020.783576388887</v>
      </c>
      <c r="F206" s="13">
        <v>43020.787905092591</v>
      </c>
      <c r="G206" s="7">
        <v>53</v>
      </c>
      <c r="H206" s="21" t="s">
        <v>485</v>
      </c>
      <c r="I206" s="13">
        <v>43020.794490740744</v>
      </c>
      <c r="J206" s="7">
        <v>0</v>
      </c>
      <c r="K206" s="89" t="str">
        <f t="shared" si="102"/>
        <v>4003/4004</v>
      </c>
      <c r="L206" s="185" t="str">
        <f>VLOOKUP(A206,'Trips&amp;Operators'!$C$1:$G$99911,5,FALSE)</f>
        <v>KILLION DAVID</v>
      </c>
      <c r="M206" s="6">
        <f t="shared" si="103"/>
        <v>6.5856481523951516E-3</v>
      </c>
      <c r="N206" s="7">
        <f t="shared" si="100"/>
        <v>9.4833333394490182</v>
      </c>
      <c r="O206" s="7"/>
      <c r="P206" s="7"/>
      <c r="Q206" s="22"/>
      <c r="R206" s="174"/>
      <c r="S206" s="199">
        <f t="shared" si="101"/>
        <v>1</v>
      </c>
      <c r="T206" s="174" t="str">
        <f t="shared" si="104"/>
        <v>NorthBound</v>
      </c>
      <c r="U206" s="22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25" t="str">
        <f t="shared" si="105"/>
        <v>https://d0f6bd738d7f1b3e5a7ca70fe4ff75f0.us-east-1.aws.found.io/app/kibana#/discover/Steve-Slow-Train-Analysis-(2080s-and-2083s)?_g=(refreshInterval:(display:Off,pause:!f,section:0,value:0),time:(from:'2017-10-12T17:48:21-0600',mode:absolute,to:'2017-10-12T20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6" s="226" t="str">
        <f>IF(AA206&lt;VLOOKUP(AG206,Variables!$AC$3:$AD$8,2,FALSE),"Y","N")</f>
        <v>Y</v>
      </c>
      <c r="X206" s="226">
        <f t="shared" si="106"/>
        <v>-548</v>
      </c>
      <c r="Y206" s="226">
        <f t="shared" si="98"/>
        <v>0.1235</v>
      </c>
      <c r="Z206" s="226">
        <f t="shared" si="99"/>
        <v>2.3346</v>
      </c>
      <c r="AA206" s="226">
        <f t="shared" si="107"/>
        <v>2.2111000000000001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08"/>
        <v>301</v>
      </c>
      <c r="AE206" s="77" t="str">
        <f t="shared" si="109"/>
        <v>aws s3 cp s3://rtdc.mdm.uploadarchive.raw/RTDC4004/ "%USERPROFILE%\AppData\Local\Temp\OnboardLogs"\RTDC4004\2017-10-12 --exclude "*" --recursive --include "*20171012*" &amp; "%USERPROFILE%\Documents\GitHub\mrs-test-scripts\Headless Mode &amp; Sideloading\WalkAndUnGZ.bat" "%USERPROFILE%\AppData\Local\Temp\OnboardLogs"\RTDC4004\2017-10-12 &amp; aws s3 cp s3://rtdc.mdm.uploadarchive.raw/RTDC4004/ "%USERPROFILE%\AppData\Local\Temp\OnboardLogs"\RTDC4004\2017-10-13 --exclude "*" --recursive --include "*20171013*" &amp; "%USERPROFILE%\Documents\GitHub\mrs-test-scripts\Headless Mode &amp; Sideloading\WalkAndUnGZ.bat" "%USERPROFILE%\AppData\Local\Temp\OnboardLogs"\RTDC4004\2017-10-13</v>
      </c>
      <c r="AF206" s="74" t="str">
        <f t="shared" si="110"/>
        <v>"C:\Program Files (x86)\AstroGrep\AstroGrep.exe" /e /r /s /spath="%USERPROFILE%\AppData\Local\Temp\OnboardLogs" /stypes="app*4004*20171013*" /stext=" 01:.+((SYSTEM_STATE.+slice.+state.+changed )|(ment ac)|(multiple cpu faults)|(system.+state.+changed )|(\[timeout)|(PRM\|1\|D)|(kpr)|(kdp)|(train st.+moving)|(\|lc)|(penalty))"</v>
      </c>
      <c r="AG206" s="182" t="str">
        <f t="shared" si="111"/>
        <v>Other</v>
      </c>
      <c r="AH206" s="78" t="str">
        <f t="shared" si="70"/>
        <v>"%USERPROFILE%\Documents\GitHub\eaglep3\Utilities\RefineRTDCRunTimes.py" --tripid 301-12 --locoid 4004 --swversion DE.1.0.9.0 --startMP 204:1235 --initTime 2017-10-12T18:48:21 --startdatetime 2017-10-12T18:54:35 --delay 53 --endMP 300:23346 --enddatetime 2017-10-12T19:04:04 --enforcementcount 0 &gt;&gt;%USERPROFILE%\Documents\GitHub\eaglep3-reporting\EC\2017-10-12-refined-times.txt</v>
      </c>
      <c r="AI206" s="96" t="str">
        <f t="shared" si="71"/>
        <v>echo {"issue":{"subject":"","project_id":79,"tracker_id":40,"status_id":1,"priority_id":2,"assigned_to_id":338,"start_date":"2017-10-12","description":"","custom_fields":[{"id":1,"name":"Subdivision","value":"Other"},{"id":4,"name":"Milepost","value":"2.3346"},{"id":17,"name":"Train ID","value":"301-12"},{"id":16,"name":"Locomotive ID","value":"4004"},{"id":130,"name":"Impact","value":""},{"id":150,"name":"Time of Event (Mountain Time)","value":"19:04:04"},{"id":151,"name":"Denver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72"/>
        <v>start /low /b %USERPROFILE%\Documents\GitHub\eaglep3\Utilities\DownloadLogsFromS3.py --loco 4004 --day 2017-10-12</v>
      </c>
      <c r="AN206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74"/>
        <v>https://d0f6bd738d7f1b3e5a7ca70fe4ff75f0.us-east-1.aws.found.io/app/kibana#/discover/Steve-Slow-Train-Analysis-(2080s-and-2083s)?_g=(refreshInterval:(display:Off,pause:!f,section:0,value:0),time:(from:'2017-10-12T17:48:21-0600',mode:absolute,to:'2017-10-12T20:04:04-0600'))&amp;_a=(columns:!('Message%20ID',Summary),filters:!(),index:'emp_*',interval:auto,query:(query_string:(analyze_wildcard:!t,query:'%22rtdc.l.rtdc.4004%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603</v>
      </c>
      <c r="B207" s="7">
        <v>4051</v>
      </c>
      <c r="C207" s="21" t="s">
        <v>194</v>
      </c>
      <c r="D207" s="21" t="s">
        <v>882</v>
      </c>
      <c r="E207" s="13">
        <v>43020.139918981484</v>
      </c>
      <c r="F207" s="13">
        <v>43020.14570601852</v>
      </c>
      <c r="G207" s="7">
        <v>54</v>
      </c>
      <c r="H207" s="21" t="s">
        <v>367</v>
      </c>
      <c r="I207" s="13">
        <v>43020.150590277779</v>
      </c>
      <c r="J207" s="7">
        <v>0</v>
      </c>
      <c r="K207" s="89" t="str">
        <f t="shared" si="102"/>
        <v>4051/4052</v>
      </c>
      <c r="L207" s="185" t="str">
        <f>VLOOKUP(A207,'Trips&amp;Operators'!$C$1:$G$99911,5,FALSE)</f>
        <v>MAELZER KURT</v>
      </c>
      <c r="M207" s="6">
        <f t="shared" si="103"/>
        <v>4.8842592586879618E-3</v>
      </c>
      <c r="N207" s="7">
        <f t="shared" si="100"/>
        <v>7.0333333325106651</v>
      </c>
      <c r="O207" s="7"/>
      <c r="P207" s="7"/>
      <c r="Q207" s="22"/>
      <c r="R207" s="174"/>
      <c r="S207" s="199">
        <f t="shared" si="101"/>
        <v>1</v>
      </c>
      <c r="T207" s="174" t="str">
        <f t="shared" si="104"/>
        <v>Southbound</v>
      </c>
      <c r="U207" s="22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25" t="str">
        <f t="shared" si="105"/>
        <v>https://d0f6bd738d7f1b3e5a7ca70fe4ff75f0.us-east-1.aws.found.io/app/kibana#/discover/Steve-Slow-Train-Analysis-(2080s-and-2083s)?_g=(refreshInterval:(display:Off,pause:!f,section:0,value:0),time:(from:'2017-10-12T02:21:29-0600',mode:absolute,to:'2017-10-12T04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226" t="str">
        <f>IF(AA207&lt;VLOOKUP(AG207,Variables!$AC$3:$AD$8,2,FALSE),"Y","N")</f>
        <v>Y</v>
      </c>
      <c r="X207" s="226">
        <f t="shared" si="106"/>
        <v>1</v>
      </c>
      <c r="Y207" s="226">
        <f t="shared" si="98"/>
        <v>1.9661999999999999</v>
      </c>
      <c r="Z207" s="226">
        <f t="shared" si="99"/>
        <v>1.3899999999999999E-2</v>
      </c>
      <c r="AA207" s="226">
        <f t="shared" si="107"/>
        <v>1.9522999999999999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08"/>
        <v>302</v>
      </c>
      <c r="AE207" s="77" t="str">
        <f t="shared" si="109"/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AF207" s="74" t="str">
        <f t="shared" si="110"/>
        <v>"C:\Program Files (x86)\AstroGrep\AstroGrep.exe" /e /r /s /spath="%USERPROFILE%\AppData\Local\Temp\OnboardLogs" /stypes="app*4051*20171012*" /stext=" 09:.+((SYSTEM_STATE.+slice.+state.+changed )|(ment ac)|(multiple cpu faults)|(system.+state.+changed )|(\[timeout)|(PRM\|1\|D)|(kpr)|(kdp)|(train st.+moving)|(\|lc)|(penalty))"</v>
      </c>
      <c r="AG207" s="182" t="str">
        <f t="shared" si="111"/>
        <v>Other</v>
      </c>
      <c r="AH207" s="78" t="str">
        <f t="shared" si="70"/>
        <v>"%USERPROFILE%\Documents\GitHub\eaglep3\Utilities\RefineRTDCRunTimes.py" --tripid 302-12 --locoid 4051 --swversion DE.1.0.9.0 --startMP 300:19662 --initTime 2017-10-12T03:21:29 --startdatetime 2017-10-12T03:29:49 --delay 54 --endMP 204:139 --enddatetime 2017-10-12T03:36:51 --enforcementcount 0 &gt;&gt;%USERPROFILE%\Documents\GitHub\eaglep3-reporting\EC\2017-10-12-refined-times.txt</v>
      </c>
      <c r="AI207" s="96" t="str">
        <f t="shared" si="71"/>
        <v>echo {"issue":{"subject":"","project_id":79,"tracker_id":40,"status_id":1,"priority_id":2,"assigned_to_id":338,"start_date":"2017-10-12","description":"","custom_fields":[{"id":1,"name":"Subdivision","value":"Other"},{"id":4,"name":"Milepost","value":"0.0139"},{"id":17,"name":"Train ID","value":"302-12"},{"id":16,"name":"Locomotive ID","value":"4051"},{"id":130,"name":"Impact","value":""},{"id":150,"name":"Time of Event (Mountain Time)","value":"03:36:51"},{"id":151,"name":"Denver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72"/>
        <v>start /low /b %USERPROFILE%\Documents\GitHub\eaglep3\Utilities\DownloadLogsFromS3.py --loco 4051 --day 2017-10-12</v>
      </c>
      <c r="AN207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09:36:51"},{"id":29,"name":"Sharepoint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74"/>
        <v>https://d0f6bd738d7f1b3e5a7ca70fe4ff75f0.us-east-1.aws.found.io/app/kibana#/discover/Steve-Slow-Train-Analysis-(2080s-and-2083s)?_g=(refreshInterval:(display:Off,pause:!f,section:0,value:0),time:(from:'2017-10-12T02:21:29-0600',mode:absolute,to:'2017-10-12T04:36:51-0600'))&amp;_a=(columns:!('Message%20ID',Summary),filters:!(),index:'emp_*',interval:auto,query:(query_string:(analyze_wildcard:!t,query:'%22rtdc.l.rtdc.4051%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781</v>
      </c>
      <c r="B208" s="7">
        <v>4066</v>
      </c>
      <c r="C208" s="21" t="s">
        <v>194</v>
      </c>
      <c r="D208" s="21" t="s">
        <v>883</v>
      </c>
      <c r="E208" s="13">
        <v>43020.79923611111</v>
      </c>
      <c r="F208" s="13">
        <v>43020.800509259258</v>
      </c>
      <c r="G208" s="7">
        <v>52</v>
      </c>
      <c r="H208" s="21" t="s">
        <v>485</v>
      </c>
      <c r="I208" s="13">
        <v>43020.806087962963</v>
      </c>
      <c r="J208" s="7">
        <v>0</v>
      </c>
      <c r="K208" s="89" t="str">
        <f t="shared" si="102"/>
        <v>4065/4066</v>
      </c>
      <c r="L208" s="185" t="str">
        <f>VLOOKUP(A208,'Trips&amp;Operators'!$C$1:$G$99911,5,FALSE)</f>
        <v>LEVIN SCOTT</v>
      </c>
      <c r="M208" s="6">
        <f t="shared" si="103"/>
        <v>5.5787037053960375E-3</v>
      </c>
      <c r="N208" s="7">
        <f t="shared" si="100"/>
        <v>8.0333333357702941</v>
      </c>
      <c r="O208" s="7"/>
      <c r="P208" s="7"/>
      <c r="Q208" s="22"/>
      <c r="R208" s="174"/>
      <c r="S208" s="199">
        <f t="shared" si="101"/>
        <v>1</v>
      </c>
      <c r="T208" s="174" t="str">
        <f t="shared" si="104"/>
        <v>NorthBound</v>
      </c>
      <c r="U208" s="22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25" t="str">
        <f t="shared" si="105"/>
        <v>https://d0f6bd738d7f1b3e5a7ca70fe4ff75f0.us-east-1.aws.found.io/app/kibana#/discover/Steve-Slow-Train-Analysis-(2080s-and-2083s)?_g=(refreshInterval:(display:Off,pause:!f,section:0,value:0),time:(from:'2017-10-12T18:10:54-0600',mode:absolute,to:'2017-10-12T20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8" s="226" t="str">
        <f>IF(AA208&lt;VLOOKUP(AG208,Variables!$AC$3:$AD$8,2,FALSE),"Y","N")</f>
        <v>Y</v>
      </c>
      <c r="X208" s="226">
        <f t="shared" si="106"/>
        <v>1</v>
      </c>
      <c r="Y208" s="226">
        <f t="shared" si="98"/>
        <v>0.1177</v>
      </c>
      <c r="Z208" s="226">
        <f t="shared" si="99"/>
        <v>2.3346</v>
      </c>
      <c r="AA208" s="226">
        <f t="shared" si="107"/>
        <v>2.2168999999999999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08"/>
        <v>303</v>
      </c>
      <c r="AE208" s="77" t="str">
        <f t="shared" si="109"/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AF208" s="74" t="str">
        <f t="shared" si="110"/>
        <v>"C:\Program Files (x86)\AstroGrep\AstroGrep.exe" /e /r /s /spath="%USERPROFILE%\AppData\Local\Temp\OnboardLogs" /stypes="app*4066*20171013*" /stext=" 01:.+((SYSTEM_STATE.+slice.+state.+changed )|(ment ac)|(multiple cpu faults)|(system.+state.+changed )|(\[timeout)|(PRM\|1\|D)|(kpr)|(kdp)|(train st.+moving)|(\|lc)|(penalty))"</v>
      </c>
      <c r="AG208" s="182" t="str">
        <f t="shared" si="111"/>
        <v>Other</v>
      </c>
      <c r="AH208" s="78" t="str">
        <f t="shared" si="70"/>
        <v>"%USERPROFILE%\Documents\GitHub\eaglep3\Utilities\RefineRTDCRunTimes.py" --tripid 303-12 --locoid 4066 --swversion DE.1.0.9.0 --startMP 204:1177 --initTime 2017-10-12T19:10:54 --startdatetime 2017-10-12T19:12:44 --delay 52 --endMP 300:23346 --enddatetime 2017-10-12T19:20:46 --enforcementcount 0 &gt;&gt;%USERPROFILE%\Documents\GitHub\eaglep3-reporting\EC\2017-10-12-refined-times.txt</v>
      </c>
      <c r="AI208" s="96" t="str">
        <f t="shared" si="71"/>
        <v>echo {"issue":{"subject":"","project_id":79,"tracker_id":40,"status_id":1,"priority_id":2,"assigned_to_id":338,"start_date":"2017-10-12","description":"","custom_fields":[{"id":1,"name":"Subdivision","value":"Other"},{"id":4,"name":"Milepost","value":"2.3346"},{"id":17,"name":"Train ID","value":"303-12"},{"id":16,"name":"Locomotive ID","value":"4066"},{"id":130,"name":"Impact","value":""},{"id":150,"name":"Time of Event (Mountain Time)","value":"19:20:46"},{"id":151,"name":"Denver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72"/>
        <v>start /low /b %USERPROFILE%\Documents\GitHub\eaglep3\Utilities\DownloadLogsFromS3.py --loco 4066 --day 2017-10-12</v>
      </c>
      <c r="AN208" s="151" t="str">
        <f t="shared" si="73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01:20:46"},{"id":29,"name":"Sharepoint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74"/>
        <v>https://d0f6bd738d7f1b3e5a7ca70fe4ff75f0.us-east-1.aws.found.io/app/kibana#/discover/Steve-Slow-Train-Analysis-(2080s-and-2083s)?_g=(refreshInterval:(display:Off,pause:!f,section:0,value:0),time:(from:'2017-10-12T18:10:54-0600',mode:absolute,to:'2017-10-12T20:20:46-0600'))&amp;_a=(columns:!('Message%20ID',Summary),filters:!(),index:'emp_*',interval:auto,query:(query_string:(analyze_wildcard:!t,query:'%22rtdc.l.rtdc.4066%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607</v>
      </c>
      <c r="B209" s="7">
        <v>4025</v>
      </c>
      <c r="C209" s="21" t="s">
        <v>194</v>
      </c>
      <c r="D209" s="21" t="s">
        <v>541</v>
      </c>
      <c r="E209" s="13">
        <v>43020.159560185188</v>
      </c>
      <c r="F209" s="13">
        <v>43020.163854166669</v>
      </c>
      <c r="G209" s="7">
        <v>107</v>
      </c>
      <c r="H209" s="21" t="s">
        <v>335</v>
      </c>
      <c r="I209" s="13">
        <v>43020.16978009259</v>
      </c>
      <c r="J209" s="7">
        <v>0</v>
      </c>
      <c r="K209" s="89" t="str">
        <f t="shared" si="102"/>
        <v>4025/4026</v>
      </c>
      <c r="L209" s="185" t="str">
        <f>VLOOKUP(A209,'Trips&amp;Operators'!$C$1:$G$99911,5,FALSE)</f>
        <v>PAGE MARCUS</v>
      </c>
      <c r="M209" s="6">
        <f t="shared" si="103"/>
        <v>5.9259259214741178E-3</v>
      </c>
      <c r="N209" s="7">
        <f t="shared" si="100"/>
        <v>8.5333333269227296</v>
      </c>
      <c r="O209" s="7"/>
      <c r="P209" s="7"/>
      <c r="Q209" s="22"/>
      <c r="R209" s="174"/>
      <c r="S209" s="199">
        <f t="shared" si="101"/>
        <v>1</v>
      </c>
      <c r="T209" s="174" t="str">
        <f t="shared" si="104"/>
        <v>Southbound</v>
      </c>
      <c r="U209" s="22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25" t="str">
        <f t="shared" si="105"/>
        <v>https://d0f6bd738d7f1b3e5a7ca70fe4ff75f0.us-east-1.aws.found.io/app/kibana#/discover/Steve-Slow-Train-Analysis-(2080s-and-2083s)?_g=(refreshInterval:(display:Off,pause:!f,section:0,value:0),time:(from:'2017-10-12T02:49:46-0600',mode:absolute,to:'2017-10-12T05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226" t="str">
        <f>IF(AA209&lt;VLOOKUP(AG209,Variables!$AC$3:$AD$8,2,FALSE),"Y","N")</f>
        <v>Y</v>
      </c>
      <c r="X209" s="226">
        <f t="shared" si="106"/>
        <v>1</v>
      </c>
      <c r="Y209" s="226">
        <f t="shared" si="98"/>
        <v>2.3496999999999999</v>
      </c>
      <c r="Z209" s="226">
        <f t="shared" si="99"/>
        <v>1.4999999999999999E-2</v>
      </c>
      <c r="AA209" s="226">
        <f t="shared" si="107"/>
        <v>2.3346999999999998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08"/>
        <v>304</v>
      </c>
      <c r="AE209" s="77" t="str">
        <f t="shared" si="109"/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AF209" s="74" t="str">
        <f t="shared" si="110"/>
        <v>"C:\Program Files (x86)\AstroGrep\AstroGrep.exe" /e /r /s /spath="%USERPROFILE%\AppData\Local\Temp\OnboardLogs" /stypes="app*4025*20171012*" /stext=" 10:.+((SYSTEM_STATE.+slice.+state.+changed )|(ment ac)|(multiple cpu faults)|(system.+state.+changed )|(\[timeout)|(PRM\|1\|D)|(kpr)|(kdp)|(train st.+moving)|(\|lc)|(penalty))"</v>
      </c>
      <c r="AG209" s="182" t="str">
        <f t="shared" si="111"/>
        <v>Other</v>
      </c>
      <c r="AH209" s="78" t="str">
        <f t="shared" si="70"/>
        <v>"%USERPROFILE%\Documents\GitHub\eaglep3\Utilities\RefineRTDCRunTimes.py" --tripid 304-12 --locoid 4025 --swversion DE.1.0.9.0 --startMP 300:23497 --initTime 2017-10-12T03:49:46 --startdatetime 2017-10-12T03:55:57 --delay 107 --endMP 204:150 --enddatetime 2017-10-12T04:04:29 --enforcementcount 0 &gt;&gt;%USERPROFILE%\Documents\GitHub\eaglep3-reporting\EC\2017-10-12-refined-times.txt</v>
      </c>
      <c r="AI209" s="96" t="str">
        <f t="shared" si="71"/>
        <v>echo {"issue":{"subject":"","project_id":79,"tracker_id":40,"status_id":1,"priority_id":2,"assigned_to_id":338,"start_date":"2017-10-12","description":"","custom_fields":[{"id":1,"name":"Subdivision","value":"Other"},{"id":4,"name":"Milepost","value":"0.015"},{"id":17,"name":"Train ID","value":"304-12"},{"id":16,"name":"Locomotive ID","value":"4025"},{"id":130,"name":"Impact","value":""},{"id":150,"name":"Time of Event (Mountain Time)","value":"04:04:29"},{"id":151,"name":"Denver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72"/>
        <v>start /low /b %USERPROFILE%\Documents\GitHub\eaglep3\Utilities\DownloadLogsFromS3.py --loco 4025 --day 2017-10-12</v>
      </c>
      <c r="AN209" s="151" t="str">
        <f t="shared" si="73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74"/>
        <v>https://d0f6bd738d7f1b3e5a7ca70fe4ff75f0.us-east-1.aws.found.io/app/kibana#/discover/Steve-Slow-Train-Analysis-(2080s-and-2083s)?_g=(refreshInterval:(display:Off,pause:!f,section:0,value:0),time:(from:'2017-10-12T02:49:46-0600',mode:absolute,to:'2017-10-12T05:04:29-0600'))&amp;_a=(columns:!('Message%20ID',Summary),filters:!(),index:'emp_*',interval:auto,query:(query_string:(analyze_wildcard:!t,query:'%22rtdc.l.rtdc.4025%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611</v>
      </c>
      <c r="B210" s="7">
        <v>4063</v>
      </c>
      <c r="C210" s="21" t="s">
        <v>194</v>
      </c>
      <c r="D210" s="21" t="s">
        <v>884</v>
      </c>
      <c r="E210" s="13">
        <v>43020.170127314814</v>
      </c>
      <c r="F210" s="13">
        <v>43020.175682870373</v>
      </c>
      <c r="G210" s="7">
        <v>71</v>
      </c>
      <c r="H210" s="21" t="s">
        <v>364</v>
      </c>
      <c r="I210" s="13">
        <v>43020.180995370371</v>
      </c>
      <c r="J210" s="7">
        <v>0</v>
      </c>
      <c r="K210" s="89" t="str">
        <f t="shared" si="102"/>
        <v>4063/4064</v>
      </c>
      <c r="L210" s="185" t="str">
        <f>VLOOKUP(A210,'Trips&amp;Operators'!$C$1:$G$99911,5,FALSE)</f>
        <v>GEBRETEKLE DAGNEW</v>
      </c>
      <c r="M210" s="6">
        <f t="shared" si="103"/>
        <v>5.3124999976716936E-3</v>
      </c>
      <c r="N210" s="7">
        <f t="shared" si="100"/>
        <v>7.6499999966472387</v>
      </c>
      <c r="O210" s="7"/>
      <c r="P210" s="7"/>
      <c r="Q210" s="22"/>
      <c r="R210" s="174"/>
      <c r="S210" s="199">
        <f t="shared" si="101"/>
        <v>1</v>
      </c>
      <c r="T210" s="174" t="str">
        <f t="shared" si="104"/>
        <v>Southbound</v>
      </c>
      <c r="U210" s="22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25" t="str">
        <f t="shared" si="105"/>
        <v>https://d0f6bd738d7f1b3e5a7ca70fe4ff75f0.us-east-1.aws.found.io/app/kibana#/discover/Steve-Slow-Train-Analysis-(2080s-and-2083s)?_g=(refreshInterval:(display:Off,pause:!f,section:0,value:0),time:(from:'2017-10-12T03:04:59-0600',mode:absolute,to:'2017-10-12T05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0" s="226" t="str">
        <f>IF(AA210&lt;VLOOKUP(AG210,Variables!$AC$3:$AD$8,2,FALSE),"Y","N")</f>
        <v>Y</v>
      </c>
      <c r="X210" s="226">
        <f t="shared" si="106"/>
        <v>2</v>
      </c>
      <c r="Y210" s="226">
        <f t="shared" si="98"/>
        <v>2.3456999999999999</v>
      </c>
      <c r="Z210" s="226">
        <f t="shared" si="99"/>
        <v>1.5800000000000002E-2</v>
      </c>
      <c r="AA210" s="226">
        <f t="shared" si="107"/>
        <v>2.3298999999999999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08"/>
        <v>306</v>
      </c>
      <c r="AE210" s="77" t="str">
        <f t="shared" si="109"/>
        <v>aws s3 cp s3://rtdc.mdm.uploadarchive.raw/RTDC4063/ "%USERPROFILE%\AppData\Local\Temp\OnboardLogs"\RTDC4063\2017-10-12 --exclude "*" --recursive --include "*20171012*" &amp; "%USERPROFILE%\Documents\GitHub\mrs-test-scripts\Headless Mode &amp; Sideloading\WalkAndUnGZ.bat" "%USERPROFILE%\AppData\Local\Temp\OnboardLogs"\RTDC4063\2017-10-12 &amp; aws s3 cp s3://rtdc.mdm.uploadarchive.raw/RTDC4063/ "%USERPROFILE%\AppData\Local\Temp\OnboardLogs"\RTDC4063\2017-10-13 --exclude "*" --recursive --include "*20171013*" &amp; "%USERPROFILE%\Documents\GitHub\mrs-test-scripts\Headless Mode &amp; Sideloading\WalkAndUnGZ.bat" "%USERPROFILE%\AppData\Local\Temp\OnboardLogs"\RTDC4063\2017-10-13</v>
      </c>
      <c r="AF210" s="74" t="str">
        <f t="shared" si="110"/>
        <v>"C:\Program Files (x86)\AstroGrep\AstroGrep.exe" /e /r /s /spath="%USERPROFILE%\AppData\Local\Temp\OnboardLogs" /stypes="app*4063*20171012*" /stext=" 10:.+((SYSTEM_STATE.+slice.+state.+changed )|(ment ac)|(multiple cpu faults)|(system.+state.+changed )|(\[timeout)|(PRM\|1\|D)|(kpr)|(kdp)|(train st.+moving)|(\|lc)|(penalty))"</v>
      </c>
      <c r="AG210" s="182" t="str">
        <f t="shared" si="111"/>
        <v>Other</v>
      </c>
      <c r="AH210" s="78" t="str">
        <f t="shared" ref="AH210:AH232" si="112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306-12 --locoid 4063 --swversion DE.1.0.9.0 --startMP 300:23457 --initTime 2017-10-12T04:04:59 --startdatetime 2017-10-12T04:12:59 --delay 71 --endMP 204:158 --enddatetime 2017-10-12T04:20:38 --enforcementcount 0 &gt;&gt;%USERPROFILE%\Documents\GitHub\eaglep3-reporting\EC\2017-10-12-refined-times.txt</v>
      </c>
      <c r="AI210" s="96" t="str">
        <f t="shared" ref="AI210:AI232" si="113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{"issue":{"subject":"","project_id":79,"tracker_id":40,"status_id":1,"priority_id":2,"assigned_to_id":338,"start_date":"2017-10-12","description":"","custom_fields":[{"id":1,"name":"Subdivision","value":"Other"},{"id":4,"name":"Milepost","value":"0.0158"},{"id":17,"name":"Train ID","value":"306-12"},{"id":16,"name":"Locomotive ID","value":"4063"},{"id":130,"name":"Impact","value":""},{"id":150,"name":"Time of Event (Mountain Time)","value":"04:20:38"},{"id":151,"name":"Denver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ref="AM210:AM232" si="114">"start /low /b "&amp;dls3logs&amp;" --loco "&amp;B210&amp;" --day "&amp;TEXT(F210,"YYYY-MM-DD")</f>
        <v>start /low /b %USERPROFILE%\Documents\GitHub\eaglep3\Utilities\DownloadLogsFromS3.py --loco 4063 --day 2017-10-12</v>
      </c>
      <c r="AN210" s="151" t="str">
        <f t="shared" ref="AN210:AN232" si="115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ref="AO210:AO232" si="116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-12T03:04:59-0600',mode:absolute,to:'2017-10-12T05:20:38-0600'))&amp;_a=(columns:!('Message%20ID',Summary),filters:!(),index:'emp_*',interval:auto,query:(query_string:(analyze_wildcard:!t,query:'%22rtdc.l.rtdc.4063%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814</v>
      </c>
      <c r="B211" s="7">
        <v>4064</v>
      </c>
      <c r="C211" s="21" t="s">
        <v>194</v>
      </c>
      <c r="D211" s="21" t="s">
        <v>885</v>
      </c>
      <c r="E211" s="13">
        <v>43021.0469212963</v>
      </c>
      <c r="F211" s="13">
        <v>43021.04954861111</v>
      </c>
      <c r="G211" s="7">
        <v>139</v>
      </c>
      <c r="H211" s="21" t="s">
        <v>886</v>
      </c>
      <c r="I211" s="13">
        <v>43021.057060185187</v>
      </c>
      <c r="J211" s="7">
        <v>0</v>
      </c>
      <c r="K211" s="89" t="str">
        <f t="shared" si="102"/>
        <v>4063/4064</v>
      </c>
      <c r="L211" s="185" t="str">
        <f>VLOOKUP(A211,'Trips&amp;Operators'!$C$1:$G$99911,5,FALSE)</f>
        <v>LOZA FIDEL</v>
      </c>
      <c r="M211" s="6">
        <f t="shared" si="103"/>
        <v>7.5115740764886141E-3</v>
      </c>
      <c r="N211" s="7">
        <f t="shared" si="100"/>
        <v>10.816666670143604</v>
      </c>
      <c r="O211" s="7"/>
      <c r="P211" s="7"/>
      <c r="Q211" s="22"/>
      <c r="R211" s="174"/>
      <c r="S211" s="199">
        <f t="shared" si="101"/>
        <v>1</v>
      </c>
      <c r="T211" s="174" t="str">
        <f t="shared" si="104"/>
        <v>NorthBound</v>
      </c>
      <c r="U211" s="22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25" t="str">
        <f t="shared" si="105"/>
        <v>https://d0f6bd738d7f1b3e5a7ca70fe4ff75f0.us-east-1.aws.found.io/app/kibana#/discover/Steve-Slow-Train-Analysis-(2080s-and-2083s)?_g=(refreshInterval:(display:Off,pause:!f,section:0,value:0),time:(from:'2017-10-13T00:07:34-0600',mode:absolute,to:'2017-10-13T02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1" s="226" t="str">
        <f>IF(AA211&lt;VLOOKUP(AG211,Variables!$AC$3:$AD$8,2,FALSE),"Y","N")</f>
        <v>Y</v>
      </c>
      <c r="X211" s="226">
        <f t="shared" si="106"/>
        <v>1</v>
      </c>
      <c r="Y211" s="226">
        <f t="shared" si="98"/>
        <v>4.3099999999999999E-2</v>
      </c>
      <c r="Z211" s="226">
        <f t="shared" si="99"/>
        <v>2.3304</v>
      </c>
      <c r="AA211" s="226">
        <f t="shared" si="107"/>
        <v>2.2873000000000001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08"/>
        <v>307</v>
      </c>
      <c r="AE211" s="77" t="str">
        <f t="shared" si="109"/>
        <v>aws s3 cp s3://rtdc.mdm.uploadarchive.raw/RTDC4064/ "%USERPROFILE%\AppData\Local\Temp\OnboardLogs"\RTDC4064\2017-10-13 --exclude "*" --recursive --include "*20171013*" &amp; "%USERPROFILE%\Documents\GitHub\mrs-test-scripts\Headless Mode &amp; Sideloading\WalkAndUnGZ.bat" "%USERPROFILE%\AppData\Local\Temp\OnboardLogs"\RTDC4064\2017-10-13 &amp; 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</v>
      </c>
      <c r="AF211" s="74" t="str">
        <f t="shared" si="110"/>
        <v>"C:\Program Files (x86)\AstroGrep\AstroGrep.exe" /e /r /s /spath="%USERPROFILE%\AppData\Local\Temp\OnboardLogs" /stypes="app*4064*20171013*" /stext=" 07:.+((SYSTEM_STATE.+slice.+state.+changed )|(ment ac)|(multiple cpu faults)|(system.+state.+changed )|(\[timeout)|(PRM\|1\|D)|(kpr)|(kdp)|(train st.+moving)|(\|lc)|(penalty))"</v>
      </c>
      <c r="AG211" s="182" t="str">
        <f t="shared" si="111"/>
        <v>Other</v>
      </c>
      <c r="AH211" s="78" t="str">
        <f t="shared" si="112"/>
        <v>"%USERPROFILE%\Documents\GitHub\eaglep3\Utilities\RefineRTDCRunTimes.py" --tripid 307-12 --locoid 4064 --swversion DE.1.0.9.0 --startMP 204:431 --initTime 2017-10-13T01:07:34 --startdatetime 2017-10-13T01:11:21 --delay 139 --endMP 300:23304 --enddatetime 2017-10-13T01:22:10 --enforcementcount 0 &gt;&gt;%USERPROFILE%\Documents\GitHub\eaglep3-reporting\EC\2017-10-12-refined-times.txt</v>
      </c>
      <c r="AI211" s="96" t="str">
        <f t="shared" si="113"/>
        <v>echo {"issue":{"subject":"","project_id":79,"tracker_id":40,"status_id":1,"priority_id":2,"assigned_to_id":338,"start_date":"2017-10-13","description":"","custom_fields":[{"id":1,"name":"Subdivision","value":"Other"},{"id":4,"name":"Milepost","value":"2.3304"},{"id":17,"name":"Train ID","value":"307-12"},{"id":16,"name":"Locomotive ID","value":"4064"},{"id":130,"name":"Impact","value":""},{"id":150,"name":"Time of Event (Mountain Time)","value":"01:22:10"},{"id":151,"name":"Denver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14"/>
        <v>start /low /b %USERPROFILE%\Documents\GitHub\eaglep3\Utilities\DownloadLogsFromS3.py --loco 4064 --day 2017-10-13</v>
      </c>
      <c r="AN211" s="151" t="str">
        <f t="shared" si="11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6"/>
        <v>https://d0f6bd738d7f1b3e5a7ca70fe4ff75f0.us-east-1.aws.found.io/app/kibana#/discover/Steve-Slow-Train-Analysis-(2080s-and-2083s)?_g=(refreshInterval:(display:Off,pause:!f,section:0,value:0),time:(from:'2017-10-13T00:07:34-0600',mode:absolute,to:'2017-10-13T02:22:10-0600'))&amp;_a=(columns:!('Message%20ID',Summary),filters:!(),index:'emp_*',interval:auto,query:(query_string:(analyze_wildcard:!t,query:'%22rtdc.l.rtdc.4064%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560</v>
      </c>
      <c r="B212" s="7">
        <v>4065</v>
      </c>
      <c r="C212" s="21" t="s">
        <v>194</v>
      </c>
      <c r="D212" s="21" t="s">
        <v>887</v>
      </c>
      <c r="E212" s="13">
        <v>43020.176481481481</v>
      </c>
      <c r="F212" s="13">
        <v>43020.181006944447</v>
      </c>
      <c r="G212" s="7">
        <v>120</v>
      </c>
      <c r="H212" s="21" t="s">
        <v>335</v>
      </c>
      <c r="I212" s="13">
        <v>43020.190983796296</v>
      </c>
      <c r="J212" s="7">
        <v>0</v>
      </c>
      <c r="K212" s="89" t="str">
        <f t="shared" si="102"/>
        <v>4065/4066</v>
      </c>
      <c r="L212" s="185" t="str">
        <f>VLOOKUP(A212,'Trips&amp;Operators'!$C$1:$G$99911,5,FALSE)</f>
        <v>WILLIAMS DONTE</v>
      </c>
      <c r="M212" s="6">
        <f t="shared" si="103"/>
        <v>9.9768518484779634E-3</v>
      </c>
      <c r="N212" s="7">
        <f t="shared" si="100"/>
        <v>14.366666661808267</v>
      </c>
      <c r="O212" s="7"/>
      <c r="P212" s="7"/>
      <c r="Q212" s="22"/>
      <c r="R212" s="174"/>
      <c r="S212" s="199">
        <f t="shared" si="101"/>
        <v>1</v>
      </c>
      <c r="T212" s="174" t="str">
        <f t="shared" si="104"/>
        <v>Southbound</v>
      </c>
      <c r="U212" s="22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25" t="str">
        <f t="shared" si="105"/>
        <v>https://d0f6bd738d7f1b3e5a7ca70fe4ff75f0.us-east-1.aws.found.io/app/kibana#/discover/Steve-Slow-Train-Analysis-(2080s-and-2083s)?_g=(refreshInterval:(display:Off,pause:!f,section:0,value:0),time:(from:'2017-10-12T03:14:08-0600',mode:absolute,to:'2017-10-12T05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2" s="226" t="str">
        <f>IF(AA212&lt;VLOOKUP(AG212,Variables!$AC$3:$AD$8,2,FALSE),"Y","N")</f>
        <v>Y</v>
      </c>
      <c r="X212" s="226">
        <f t="shared" si="106"/>
        <v>1</v>
      </c>
      <c r="Y212" s="226">
        <f t="shared" si="98"/>
        <v>2.3561000000000001</v>
      </c>
      <c r="Z212" s="226">
        <f t="shared" si="99"/>
        <v>1.4999999999999999E-2</v>
      </c>
      <c r="AA212" s="226">
        <f t="shared" si="107"/>
        <v>2.3411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08"/>
        <v>308</v>
      </c>
      <c r="AE212" s="77" t="str">
        <f t="shared" si="109"/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AF212" s="74" t="str">
        <f t="shared" si="110"/>
        <v>"C:\Program Files (x86)\AstroGrep\AstroGrep.exe" /e /r /s /spath="%USERPROFILE%\AppData\Local\Temp\OnboardLogs" /stypes="app*4065*20171012*" /stext=" 10:.+((SYSTEM_STATE.+slice.+state.+changed )|(ment ac)|(multiple cpu faults)|(system.+state.+changed )|(\[timeout)|(PRM\|1\|D)|(kpr)|(kdp)|(train st.+moving)|(\|lc)|(penalty))"</v>
      </c>
      <c r="AG212" s="182" t="str">
        <f t="shared" si="111"/>
        <v>Other</v>
      </c>
      <c r="AH212" s="78" t="str">
        <f t="shared" si="112"/>
        <v>"%USERPROFILE%\Documents\GitHub\eaglep3\Utilities\RefineRTDCRunTimes.py" --tripid 308-12 --locoid 4065 --swversion DE.1.0.9.0 --startMP 300:23561 --initTime 2017-10-12T04:14:08 --startdatetime 2017-10-12T04:20:39 --delay 120 --endMP 204:150 --enddatetime 2017-10-12T04:35:01 --enforcementcount 0 &gt;&gt;%USERPROFILE%\Documents\GitHub\eaglep3-reporting\EC\2017-10-12-refined-times.txt</v>
      </c>
      <c r="AI212" s="96" t="str">
        <f t="shared" si="113"/>
        <v>echo {"issue":{"subject":"","project_id":79,"tracker_id":40,"status_id":1,"priority_id":2,"assigned_to_id":338,"start_date":"2017-10-12","description":"","custom_fields":[{"id":1,"name":"Subdivision","value":"Other"},{"id":4,"name":"Milepost","value":"0.015"},{"id":17,"name":"Train ID","value":"308-12"},{"id":16,"name":"Locomotive ID","value":"4065"},{"id":130,"name":"Impact","value":""},{"id":150,"name":"Time of Event (Mountain Time)","value":"04:35:01"},{"id":151,"name":"Denver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14"/>
        <v>start /low /b %USERPROFILE%\Documents\GitHub\eaglep3\Utilities\DownloadLogsFromS3.py --loco 4065 --day 2017-10-12</v>
      </c>
      <c r="AN212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10:35:01"},{"id":29,"name":"Sharepoint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6"/>
        <v>https://d0f6bd738d7f1b3e5a7ca70fe4ff75f0.us-east-1.aws.found.io/app/kibana#/discover/Steve-Slow-Train-Analysis-(2080s-and-2083s)?_g=(refreshInterval:(display:Off,pause:!f,section:0,value:0),time:(from:'2017-10-12T03:14:08-0600',mode:absolute,to:'2017-10-12T05:35:01-0600'))&amp;_a=(columns:!('Message%20ID',Summary),filters:!(),index:'emp_*',interval:auto,query:(query_string:(analyze_wildcard:!t,query:'%22rtdc.l.rtdc.4065%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816</v>
      </c>
      <c r="B213" s="7">
        <v>4002</v>
      </c>
      <c r="C213" s="21" t="s">
        <v>194</v>
      </c>
      <c r="D213" s="21" t="s">
        <v>370</v>
      </c>
      <c r="E213" s="13">
        <v>43021.066377314812</v>
      </c>
      <c r="F213" s="13">
        <v>43021.067824074074</v>
      </c>
      <c r="G213" s="7">
        <v>58</v>
      </c>
      <c r="H213" s="21" t="s">
        <v>544</v>
      </c>
      <c r="I213" s="13">
        <v>43021.076516203706</v>
      </c>
      <c r="J213" s="7">
        <v>0</v>
      </c>
      <c r="K213" s="89" t="str">
        <f t="shared" si="102"/>
        <v>4001/4002</v>
      </c>
      <c r="L213" s="185" t="str">
        <f>VLOOKUP(A213,'Trips&amp;Operators'!$C$1:$G$99911,5,FALSE)</f>
        <v>ELBAUM MIKE</v>
      </c>
      <c r="M213" s="6">
        <f t="shared" si="103"/>
        <v>8.6921296315267682E-3</v>
      </c>
      <c r="N213" s="7">
        <f t="shared" si="100"/>
        <v>12.516666669398546</v>
      </c>
      <c r="O213" s="7"/>
      <c r="P213" s="7"/>
      <c r="Q213" s="22"/>
      <c r="R213" s="174"/>
      <c r="S213" s="199">
        <f t="shared" si="101"/>
        <v>1</v>
      </c>
      <c r="T213" s="174" t="str">
        <f t="shared" si="104"/>
        <v>NorthBound</v>
      </c>
      <c r="U213" s="22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25" t="str">
        <f t="shared" si="105"/>
        <v>https://d0f6bd738d7f1b3e5a7ca70fe4ff75f0.us-east-1.aws.found.io/app/kibana#/discover/Steve-Slow-Train-Analysis-(2080s-and-2083s)?_g=(refreshInterval:(display:Off,pause:!f,section:0,value:0),time:(from:'2017-10-13T00:35:35-0600',mode:absolute,to:'2017-10-13T02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3" s="226" t="str">
        <f>IF(AA213&lt;VLOOKUP(AG213,Variables!$AC$3:$AD$8,2,FALSE),"Y","N")</f>
        <v>Y</v>
      </c>
      <c r="X213" s="226">
        <f t="shared" si="106"/>
        <v>1</v>
      </c>
      <c r="Y213" s="226">
        <f t="shared" si="98"/>
        <v>4.5100000000000001E-2</v>
      </c>
      <c r="Z213" s="226">
        <f t="shared" si="99"/>
        <v>2.3308</v>
      </c>
      <c r="AA213" s="226">
        <f t="shared" si="107"/>
        <v>2.2856999999999998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08"/>
        <v>309</v>
      </c>
      <c r="AE213" s="77" t="str">
        <f t="shared" si="109"/>
        <v>aws s3 cp s3://rtdc.mdm.uploadarchive.raw/RTDC4002/ "%USERPROFILE%\AppData\Local\Temp\OnboardLogs"\RTDC4002\2017-10-13 --exclude "*" --recursive --include "*20171013*" &amp; "%USERPROFILE%\Documents\GitHub\mrs-test-scripts\Headless Mode &amp; Sideloading\WalkAndUnGZ.bat" "%USERPROFILE%\AppData\Local\Temp\OnboardLogs"\RTDC4002\2017-10-13 &amp; aws s3 cp s3://rtdc.mdm.uploadarchive.raw/RTDC4002/ "%USERPROFILE%\AppData\Local\Temp\OnboardLogs"\RTDC4002\2017-10-14 --exclude "*" --recursive --include "*20171014*" &amp; "%USERPROFILE%\Documents\GitHub\mrs-test-scripts\Headless Mode &amp; Sideloading\WalkAndUnGZ.bat" "%USERPROFILE%\AppData\Local\Temp\OnboardLogs"\RTDC4002\2017-10-14</v>
      </c>
      <c r="AF213" s="74" t="str">
        <f t="shared" si="110"/>
        <v>"C:\Program Files (x86)\AstroGrep\AstroGrep.exe" /e /r /s /spath="%USERPROFILE%\AppData\Local\Temp\OnboardLogs" /stypes="app*4002*20171013*" /stext=" 07:.+((SYSTEM_STATE.+slice.+state.+changed )|(ment ac)|(multiple cpu faults)|(system.+state.+changed )|(\[timeout)|(PRM\|1\|D)|(kpr)|(kdp)|(train st.+moving)|(\|lc)|(penalty))"</v>
      </c>
      <c r="AG213" s="182" t="str">
        <f t="shared" si="111"/>
        <v>Other</v>
      </c>
      <c r="AH213" s="78" t="str">
        <f t="shared" si="112"/>
        <v>"%USERPROFILE%\Documents\GitHub\eaglep3\Utilities\RefineRTDCRunTimes.py" --tripid 309-12 --locoid 4002 --swversion DE.1.0.9.0 --startMP 204:451 --initTime 2017-10-13T01:35:35 --startdatetime 2017-10-13T01:37:40 --delay 58 --endMP 300:23308 --enddatetime 2017-10-13T01:50:11 --enforcementcount 0 &gt;&gt;%USERPROFILE%\Documents\GitHub\eaglep3-reporting\EC\2017-10-12-refined-times.txt</v>
      </c>
      <c r="AI213" s="96" t="str">
        <f t="shared" si="113"/>
        <v>echo {"issue":{"subject":"","project_id":79,"tracker_id":40,"status_id":1,"priority_id":2,"assigned_to_id":338,"start_date":"2017-10-13","description":"","custom_fields":[{"id":1,"name":"Subdivision","value":"Other"},{"id":4,"name":"Milepost","value":"2.3308"},{"id":17,"name":"Train ID","value":"309-12"},{"id":16,"name":"Locomotive ID","value":"4002"},{"id":130,"name":"Impact","value":""},{"id":150,"name":"Time of Event (Mountain Time)","value":"01:50:11"},{"id":151,"name":"Denver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14"/>
        <v>start /low /b %USERPROFILE%\Documents\GitHub\eaglep3\Utilities\DownloadLogsFromS3.py --loco 4002 --day 2017-10-13</v>
      </c>
      <c r="AN213" s="151" t="str">
        <f t="shared" si="11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6"/>
        <v>https://d0f6bd738d7f1b3e5a7ca70fe4ff75f0.us-east-1.aws.found.io/app/kibana#/discover/Steve-Slow-Train-Analysis-(2080s-and-2083s)?_g=(refreshInterval:(display:Off,pause:!f,section:0,value:0),time:(from:'2017-10-13T00:35:35-0600',mode:absolute,to:'2017-10-13T02:50:11-0600'))&amp;_a=(columns:!('Message%20ID',Summary),filters:!(),index:'emp_*',interval:auto,query:(query_string:(analyze_wildcard:!t,query:'%22rtdc.l.rtdc.4002%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620</v>
      </c>
      <c r="B214" s="7">
        <v>4053</v>
      </c>
      <c r="C214" s="21" t="s">
        <v>194</v>
      </c>
      <c r="D214" s="21" t="s">
        <v>557</v>
      </c>
      <c r="E214" s="13">
        <v>43020.200439814813</v>
      </c>
      <c r="F214" s="13">
        <v>43020.203530092593</v>
      </c>
      <c r="G214" s="7">
        <v>71</v>
      </c>
      <c r="H214" s="21" t="s">
        <v>337</v>
      </c>
      <c r="I214" s="13">
        <v>43020.21166666667</v>
      </c>
      <c r="J214" s="7">
        <v>0</v>
      </c>
      <c r="K214" s="89" t="str">
        <f t="shared" si="102"/>
        <v>4053/4054</v>
      </c>
      <c r="L214" s="185" t="str">
        <f>VLOOKUP(A214,'Trips&amp;Operators'!$C$1:$G$99911,5,FALSE)</f>
        <v>CASSIDY BRANDON</v>
      </c>
      <c r="M214" s="6">
        <f t="shared" si="103"/>
        <v>8.1365740770706907E-3</v>
      </c>
      <c r="N214" s="7">
        <f t="shared" si="100"/>
        <v>11.716666670981795</v>
      </c>
      <c r="O214" s="7"/>
      <c r="P214" s="7"/>
      <c r="Q214" s="22"/>
      <c r="R214" s="174"/>
      <c r="S214" s="199">
        <f t="shared" si="101"/>
        <v>1</v>
      </c>
      <c r="T214" s="174" t="str">
        <f t="shared" si="104"/>
        <v>Southbound</v>
      </c>
      <c r="U214" s="22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25" t="str">
        <f t="shared" si="105"/>
        <v>https://d0f6bd738d7f1b3e5a7ca70fe4ff75f0.us-east-1.aws.found.io/app/kibana#/discover/Steve-Slow-Train-Analysis-(2080s-and-2083s)?_g=(refreshInterval:(display:Off,pause:!f,section:0,value:0),time:(from:'2017-10-12T03:48:38-0600',mode:absolute,to:'2017-10-12T06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4" s="226" t="str">
        <f>IF(AA214&lt;VLOOKUP(AG214,Variables!$AC$3:$AD$8,2,FALSE),"Y","N")</f>
        <v>Y</v>
      </c>
      <c r="X214" s="226">
        <f t="shared" si="106"/>
        <v>1</v>
      </c>
      <c r="Y214" s="226">
        <f t="shared" si="98"/>
        <v>2.3563000000000001</v>
      </c>
      <c r="Z214" s="226">
        <f t="shared" si="99"/>
        <v>1.43E-2</v>
      </c>
      <c r="AA214" s="226">
        <f t="shared" si="107"/>
        <v>2.3420000000000001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08"/>
        <v>310</v>
      </c>
      <c r="AE214" s="77" t="str">
        <f t="shared" si="109"/>
        <v>aws s3 cp s3://rtdc.mdm.uploadarchive.raw/RTDC4053/ "%USERPROFILE%\AppData\Local\Temp\OnboardLogs"\RTDC4053\2017-10-12 --exclude "*" --recursive --include "*20171012*" &amp; "%USERPROFILE%\Documents\GitHub\mrs-test-scripts\Headless Mode &amp; Sideloading\WalkAndUnGZ.bat" "%USERPROFILE%\AppData\Local\Temp\OnboardLogs"\RTDC4053\2017-10-12 &amp; aws s3 cp s3://rtdc.mdm.uploadarchive.raw/RTDC4053/ "%USERPROFILE%\AppData\Local\Temp\OnboardLogs"\RTDC4053\2017-10-13 --exclude "*" --recursive --include "*20171013*" &amp; "%USERPROFILE%\Documents\GitHub\mrs-test-scripts\Headless Mode &amp; Sideloading\WalkAndUnGZ.bat" "%USERPROFILE%\AppData\Local\Temp\OnboardLogs"\RTDC4053\2017-10-13</v>
      </c>
      <c r="AF214" s="74" t="str">
        <f t="shared" si="110"/>
        <v>"C:\Program Files (x86)\AstroGrep\AstroGrep.exe" /e /r /s /spath="%USERPROFILE%\AppData\Local\Temp\OnboardLogs" /stypes="app*4053*20171012*" /stext=" 11:.+((SYSTEM_STATE.+slice.+state.+changed )|(ment ac)|(multiple cpu faults)|(system.+state.+changed )|(\[timeout)|(PRM\|1\|D)|(kpr)|(kdp)|(train st.+moving)|(\|lc)|(penalty))"</v>
      </c>
      <c r="AG214" s="182" t="str">
        <f t="shared" si="111"/>
        <v>Other</v>
      </c>
      <c r="AH214" s="78" t="str">
        <f t="shared" si="112"/>
        <v>"%USERPROFILE%\Documents\GitHub\eaglep3\Utilities\RefineRTDCRunTimes.py" --tripid 310-12 --locoid 4053 --swversion DE.1.0.9.0 --startMP 300:23563 --initTime 2017-10-12T04:48:38 --startdatetime 2017-10-12T04:53:05 --delay 71 --endMP 204:143 --enddatetime 2017-10-12T05:04:48 --enforcementcount 0 &gt;&gt;%USERPROFILE%\Documents\GitHub\eaglep3-reporting\EC\2017-10-12-refined-times.txt</v>
      </c>
      <c r="AI214" s="96" t="str">
        <f t="shared" si="113"/>
        <v>echo {"issue":{"subject":"","project_id":79,"tracker_id":40,"status_id":1,"priority_id":2,"assigned_to_id":338,"start_date":"2017-10-12","description":"","custom_fields":[{"id":1,"name":"Subdivision","value":"Other"},{"id":4,"name":"Milepost","value":"0.0143"},{"id":17,"name":"Train ID","value":"310-12"},{"id":16,"name":"Locomotive ID","value":"4053"},{"id":130,"name":"Impact","value":""},{"id":150,"name":"Time of Event (Mountain Time)","value":"05:04:48"},{"id":151,"name":"Denver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14"/>
        <v>start /low /b %USERPROFILE%\Documents\GitHub\eaglep3\Utilities\DownloadLogsFromS3.py --loco 4053 --day 2017-10-12</v>
      </c>
      <c r="AN214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6"/>
        <v>https://d0f6bd738d7f1b3e5a7ca70fe4ff75f0.us-east-1.aws.found.io/app/kibana#/discover/Steve-Slow-Train-Analysis-(2080s-and-2083s)?_g=(refreshInterval:(display:Off,pause:!f,section:0,value:0),time:(from:'2017-10-12T03:48:38-0600',mode:absolute,to:'2017-10-12T06:04:48-0600'))&amp;_a=(columns:!('Message%20ID',Summary),filters:!(),index:'emp_*',interval:auto,query:(query_string:(analyze_wildcard:!t,query:'%22rtdc.l.rtdc.4053%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817</v>
      </c>
      <c r="B215" s="7">
        <v>4052</v>
      </c>
      <c r="C215" s="21" t="s">
        <v>194</v>
      </c>
      <c r="D215" s="21" t="s">
        <v>345</v>
      </c>
      <c r="E215" s="13">
        <v>43021.088854166665</v>
      </c>
      <c r="F215" s="13">
        <v>43021.09033564815</v>
      </c>
      <c r="G215" s="7">
        <v>61</v>
      </c>
      <c r="H215" s="21" t="s">
        <v>485</v>
      </c>
      <c r="I215" s="13">
        <v>43021.098414351851</v>
      </c>
      <c r="J215" s="7">
        <v>0</v>
      </c>
      <c r="K215" s="89" t="str">
        <f t="shared" si="102"/>
        <v>4051/4052</v>
      </c>
      <c r="L215" s="185" t="str">
        <f>VLOOKUP(A215,'Trips&amp;Operators'!$C$1:$G$99911,5,FALSE)</f>
        <v>MCREYNOLDS KYLE</v>
      </c>
      <c r="M215" s="6">
        <f t="shared" si="103"/>
        <v>8.0787037004483864E-3</v>
      </c>
      <c r="N215" s="7">
        <f t="shared" si="100"/>
        <v>11.633333328645676</v>
      </c>
      <c r="O215" s="7"/>
      <c r="P215" s="7"/>
      <c r="Q215" s="22"/>
      <c r="R215" s="174"/>
      <c r="S215" s="199">
        <f t="shared" si="101"/>
        <v>1</v>
      </c>
      <c r="T215" s="174" t="str">
        <f t="shared" si="104"/>
        <v>NorthBound</v>
      </c>
      <c r="U215" s="22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25" t="str">
        <f t="shared" si="105"/>
        <v>https://d0f6bd738d7f1b3e5a7ca70fe4ff75f0.us-east-1.aws.found.io/app/kibana#/discover/Steve-Slow-Train-Analysis-(2080s-and-2083s)?_g=(refreshInterval:(display:Off,pause:!f,section:0,value:0),time:(from:'2017-10-13T01:07:57-0600',mode:absolute,to:'2017-10-13T03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5" s="226" t="str">
        <f>IF(AA215&lt;VLOOKUP(AG215,Variables!$AC$3:$AD$8,2,FALSE),"Y","N")</f>
        <v>Y</v>
      </c>
      <c r="X215" s="226">
        <f t="shared" si="106"/>
        <v>1</v>
      </c>
      <c r="Y215" s="226">
        <f t="shared" si="98"/>
        <v>4.5499999999999999E-2</v>
      </c>
      <c r="Z215" s="226">
        <f t="shared" si="99"/>
        <v>2.3346</v>
      </c>
      <c r="AA215" s="226">
        <f t="shared" si="107"/>
        <v>2.2890999999999999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08"/>
        <v>311</v>
      </c>
      <c r="AE215" s="77" t="str">
        <f t="shared" si="109"/>
        <v>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 &amp; aws s3 cp s3://rtdc.mdm.uploadarchive.raw/RTDC4052/ "%USERPROFILE%\AppData\Local\Temp\OnboardLogs"\RTDC4052\2017-10-14 --exclude "*" --recursive --include "*20171014*" &amp; "%USERPROFILE%\Documents\GitHub\mrs-test-scripts\Headless Mode &amp; Sideloading\WalkAndUnGZ.bat" "%USERPROFILE%\AppData\Local\Temp\OnboardLogs"\RTDC4052\2017-10-14</v>
      </c>
      <c r="AF215" s="74" t="str">
        <f t="shared" si="110"/>
        <v>"C:\Program Files (x86)\AstroGrep\AstroGrep.exe" /e /r /s /spath="%USERPROFILE%\AppData\Local\Temp\OnboardLogs" /stypes="app*4052*20171013*" /stext=" 08:.+((SYSTEM_STATE.+slice.+state.+changed )|(ment ac)|(multiple cpu faults)|(system.+state.+changed )|(\[timeout)|(PRM\|1\|D)|(kpr)|(kdp)|(train st.+moving)|(\|lc)|(penalty))"</v>
      </c>
      <c r="AG215" s="182" t="str">
        <f t="shared" si="111"/>
        <v>Other</v>
      </c>
      <c r="AH215" s="78" t="str">
        <f t="shared" si="112"/>
        <v>"%USERPROFILE%\Documents\GitHub\eaglep3\Utilities\RefineRTDCRunTimes.py" --tripid 311-12 --locoid 4052 --swversion DE.1.0.9.0 --startMP 204:455 --initTime 2017-10-13T02:07:57 --startdatetime 2017-10-13T02:10:05 --delay 61 --endMP 300:23346 --enddatetime 2017-10-13T02:21:43 --enforcementcount 0 &gt;&gt;%USERPROFILE%\Documents\GitHub\eaglep3-reporting\EC\2017-10-12-refined-times.txt</v>
      </c>
      <c r="AI215" s="96" t="str">
        <f t="shared" si="113"/>
        <v>echo {"issue":{"subject":"","project_id":79,"tracker_id":40,"status_id":1,"priority_id":2,"assigned_to_id":338,"start_date":"2017-10-13","description":"","custom_fields":[{"id":1,"name":"Subdivision","value":"Other"},{"id":4,"name":"Milepost","value":"2.3346"},{"id":17,"name":"Train ID","value":"311-12"},{"id":16,"name":"Locomotive ID","value":"4052"},{"id":130,"name":"Impact","value":""},{"id":150,"name":"Time of Event (Mountain Time)","value":"02:21:43"},{"id":151,"name":"Denver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14"/>
        <v>start /low /b %USERPROFILE%\Documents\GitHub\eaglep3\Utilities\DownloadLogsFromS3.py --loco 4052 --day 2017-10-13</v>
      </c>
      <c r="AN215" s="151" t="str">
        <f t="shared" si="11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08:21:43"},{"id":29,"name":"Sharepoint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6"/>
        <v>https://d0f6bd738d7f1b3e5a7ca70fe4ff75f0.us-east-1.aws.found.io/app/kibana#/discover/Steve-Slow-Train-Analysis-(2080s-and-2083s)?_g=(refreshInterval:(display:Off,pause:!f,section:0,value:0),time:(from:'2017-10-13T01:07:57-0600',mode:absolute,to:'2017-10-13T03:21:43-0600'))&amp;_a=(columns:!('Message%20ID',Summary),filters:!(),index:'emp_*',interval:auto,query:(query_string:(analyze_wildcard:!t,query:'%22rtdc.l.rtdc.4052%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629</v>
      </c>
      <c r="B216" s="7">
        <v>4003</v>
      </c>
      <c r="C216" s="21" t="s">
        <v>194</v>
      </c>
      <c r="D216" s="21" t="s">
        <v>888</v>
      </c>
      <c r="E216" s="13">
        <v>43020.220486111109</v>
      </c>
      <c r="F216" s="13">
        <v>43020.224027777775</v>
      </c>
      <c r="G216" s="7">
        <v>72</v>
      </c>
      <c r="H216" s="21" t="s">
        <v>873</v>
      </c>
      <c r="I216" s="13">
        <v>43020.229548611111</v>
      </c>
      <c r="J216" s="7">
        <v>0</v>
      </c>
      <c r="K216" s="89" t="str">
        <f t="shared" si="102"/>
        <v>4003/4004</v>
      </c>
      <c r="L216" s="185" t="str">
        <f>VLOOKUP(A216,'Trips&amp;Operators'!$C$1:$G$99911,5,FALSE)</f>
        <v>YANG JAN</v>
      </c>
      <c r="M216" s="6">
        <f t="shared" si="103"/>
        <v>5.5208333360496908E-3</v>
      </c>
      <c r="N216" s="7">
        <f t="shared" si="100"/>
        <v>7.9500000039115548</v>
      </c>
      <c r="O216" s="7"/>
      <c r="P216" s="7"/>
      <c r="Q216" s="22"/>
      <c r="R216" s="174"/>
      <c r="S216" s="199">
        <f t="shared" si="101"/>
        <v>1</v>
      </c>
      <c r="T216" s="174" t="str">
        <f t="shared" si="104"/>
        <v>Southbound</v>
      </c>
      <c r="U216" s="22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25" t="str">
        <f t="shared" si="105"/>
        <v>https://d0f6bd738d7f1b3e5a7ca70fe4ff75f0.us-east-1.aws.found.io/app/kibana#/discover/Steve-Slow-Train-Analysis-(2080s-and-2083s)?_g=(refreshInterval:(display:Off,pause:!f,section:0,value:0),time:(from:'2017-10-12T04:17:30-0600',mode:absolute,to:'2017-10-12T06:30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226" t="str">
        <f>IF(AA216&lt;VLOOKUP(AG216,Variables!$AC$3:$AD$8,2,FALSE),"Y","N")</f>
        <v>Y</v>
      </c>
      <c r="X216" s="226">
        <f t="shared" si="106"/>
        <v>1</v>
      </c>
      <c r="Y216" s="226">
        <f t="shared" si="98"/>
        <v>2.3576000000000001</v>
      </c>
      <c r="Z216" s="226">
        <f t="shared" si="99"/>
        <v>1.41E-2</v>
      </c>
      <c r="AA216" s="226">
        <f t="shared" si="107"/>
        <v>2.3435000000000001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08"/>
        <v>312</v>
      </c>
      <c r="AE216" s="77" t="str">
        <f t="shared" si="109"/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AF216" s="74" t="str">
        <f t="shared" si="110"/>
        <v>"C:\Program Files (x86)\AstroGrep\AstroGrep.exe" /e /r /s /spath="%USERPROFILE%\AppData\Local\Temp\OnboardLogs" /stypes="app*4003*20171012*" /stext=" 11:.+((SYSTEM_STATE.+slice.+state.+changed )|(ment ac)|(multiple cpu faults)|(system.+state.+changed )|(\[timeout)|(PRM\|1\|D)|(kpr)|(kdp)|(train st.+moving)|(\|lc)|(penalty))"</v>
      </c>
      <c r="AG216" s="182" t="str">
        <f t="shared" si="111"/>
        <v>Other</v>
      </c>
      <c r="AH216" s="78" t="str">
        <f t="shared" si="112"/>
        <v>"%USERPROFILE%\Documents\GitHub\eaglep3\Utilities\RefineRTDCRunTimes.py" --tripid 312-12 --locoid 4003 --swversion DE.1.0.9.0 --startMP 300:23576 --initTime 2017-10-12T05:17:30 --startdatetime 2017-10-12T05:22:36 --delay 72 --endMP 204:141 --enddatetime 2017-10-12T05:30:33 --enforcementcount 0 &gt;&gt;%USERPROFILE%\Documents\GitHub\eaglep3-reporting\EC\2017-10-12-refined-times.txt</v>
      </c>
      <c r="AI216" s="96" t="str">
        <f t="shared" si="113"/>
        <v>echo {"issue":{"subject":"","project_id":79,"tracker_id":40,"status_id":1,"priority_id":2,"assigned_to_id":338,"start_date":"2017-10-12","description":"","custom_fields":[{"id":1,"name":"Subdivision","value":"Other"},{"id":4,"name":"Milepost","value":"0.0141"},{"id":17,"name":"Train ID","value":"312-12"},{"id":16,"name":"Locomotive ID","value":"4003"},{"id":130,"name":"Impact","value":""},{"id":150,"name":"Time of Event (Mountain Time)","value":"05:30:33"},{"id":151,"name":"Denver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14"/>
        <v>start /low /b %USERPROFILE%\Documents\GitHub\eaglep3\Utilities\DownloadLogsFromS3.py --loco 4003 --day 2017-10-12</v>
      </c>
      <c r="AN216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11:30:33"},{"id":29,"name":"Sharepoint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16"/>
        <v>https://d0f6bd738d7f1b3e5a7ca70fe4ff75f0.us-east-1.aws.found.io/app/kibana#/discover/Steve-Slow-Train-Analysis-(2080s-and-2083s)?_g=(refreshInterval:(display:Off,pause:!f,section:0,value:0),time:(from:'2017-10-12T04:17:30-0600',mode:absolute,to:'2017-10-12T06:30:33-0600'))&amp;_a=(columns:!('Message%20ID',Summary),filters:!(),index:'emp_*',interval:auto,query:(query_string:(analyze_wildcard:!t,query:'%22rtdc.l.rtdc.4003%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813</v>
      </c>
      <c r="B217" s="7">
        <v>4026</v>
      </c>
      <c r="C217" s="21" t="s">
        <v>194</v>
      </c>
      <c r="D217" s="21" t="s">
        <v>399</v>
      </c>
      <c r="E217" s="13">
        <v>43021.027939814812</v>
      </c>
      <c r="F217" s="13">
        <v>43021.037349537037</v>
      </c>
      <c r="G217" s="7">
        <v>59</v>
      </c>
      <c r="H217" s="21" t="s">
        <v>886</v>
      </c>
      <c r="I217" s="13">
        <v>43021.046550925923</v>
      </c>
      <c r="J217" s="7">
        <v>0</v>
      </c>
      <c r="K217" s="89" t="str">
        <f t="shared" si="102"/>
        <v>4025/4026</v>
      </c>
      <c r="L217" s="185" t="str">
        <f>VLOOKUP(A217,'Trips&amp;Operators'!$C$1:$G$99911,5,FALSE)</f>
        <v>WEST BRYAN</v>
      </c>
      <c r="M217" s="6">
        <f t="shared" si="103"/>
        <v>9.2013888861401938E-3</v>
      </c>
      <c r="N217" s="7">
        <f t="shared" si="100"/>
        <v>13.249999996041879</v>
      </c>
      <c r="O217" s="7"/>
      <c r="P217" s="7"/>
      <c r="Q217" s="22"/>
      <c r="R217" s="174"/>
      <c r="S217" s="199">
        <f t="shared" si="101"/>
        <v>1</v>
      </c>
      <c r="T217" s="174" t="str">
        <f t="shared" si="104"/>
        <v>NorthBound</v>
      </c>
      <c r="U217" s="22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25" t="str">
        <f t="shared" si="105"/>
        <v>https://d0f6bd738d7f1b3e5a7ca70fe4ff75f0.us-east-1.aws.found.io/app/kibana#/discover/Steve-Slow-Train-Analysis-(2080s-and-2083s)?_g=(refreshInterval:(display:Off,pause:!f,section:0,value:0),time:(from:'2017-10-12T23:40:14-0600',mode:absolute,to:'2017-10-13T02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7" s="226" t="str">
        <f>IF(AA217&lt;VLOOKUP(AG217,Variables!$AC$3:$AD$8,2,FALSE),"Y","N")</f>
        <v>Y</v>
      </c>
      <c r="X217" s="226">
        <f t="shared" si="106"/>
        <v>1</v>
      </c>
      <c r="Y217" s="226">
        <f t="shared" si="98"/>
        <v>4.7500000000000001E-2</v>
      </c>
      <c r="Z217" s="226">
        <f t="shared" si="99"/>
        <v>2.3304</v>
      </c>
      <c r="AA217" s="226">
        <f t="shared" si="107"/>
        <v>2.2829000000000002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08"/>
        <v>313</v>
      </c>
      <c r="AE217" s="77" t="str">
        <f t="shared" si="109"/>
        <v>aws s3 cp s3://rtdc.mdm.uploadarchive.raw/RTDC4026/ "%USERPROFILE%\AppData\Local\Temp\OnboardLogs"\RTDC4026\2017-10-13 --exclude "*" --recursive --include "*20171013*" &amp; "%USERPROFILE%\Documents\GitHub\mrs-test-scripts\Headless Mode &amp; Sideloading\WalkAndUnGZ.bat" "%USERPROFILE%\AppData\Local\Temp\OnboardLogs"\RTDC4026\2017-10-13 &amp; 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</v>
      </c>
      <c r="AF217" s="74" t="str">
        <f t="shared" si="110"/>
        <v>"C:\Program Files (x86)\AstroGrep\AstroGrep.exe" /e /r /s /spath="%USERPROFILE%\AppData\Local\Temp\OnboardLogs" /stypes="app*4026*20171013*" /stext=" 07:.+((SYSTEM_STATE.+slice.+state.+changed )|(ment ac)|(multiple cpu faults)|(system.+state.+changed )|(\[timeout)|(PRM\|1\|D)|(kpr)|(kdp)|(train st.+moving)|(\|lc)|(penalty))"</v>
      </c>
      <c r="AG217" s="182" t="str">
        <f t="shared" si="111"/>
        <v>Other</v>
      </c>
      <c r="AH217" s="78" t="str">
        <f t="shared" si="112"/>
        <v>"%USERPROFILE%\Documents\GitHub\eaglep3\Utilities\RefineRTDCRunTimes.py" --tripid 313-12 --locoid 4026 --swversion DE.1.0.9.0 --startMP 204:475 --initTime 2017-10-13T00:40:14 --startdatetime 2017-10-13T00:53:47 --delay 59 --endMP 300:23304 --enddatetime 2017-10-13T01:07:02 --enforcementcount 0 &gt;&gt;%USERPROFILE%\Documents\GitHub\eaglep3-reporting\EC\2017-10-12-refined-times.txt</v>
      </c>
      <c r="AI217" s="96" t="str">
        <f t="shared" si="113"/>
        <v>echo {"issue":{"subject":"","project_id":79,"tracker_id":40,"status_id":1,"priority_id":2,"assigned_to_id":338,"start_date":"2017-10-13","description":"","custom_fields":[{"id":1,"name":"Subdivision","value":"Other"},{"id":4,"name":"Milepost","value":"2.3304"},{"id":17,"name":"Train ID","value":"313-12"},{"id":16,"name":"Locomotive ID","value":"4026"},{"id":130,"name":"Impact","value":""},{"id":150,"name":"Time of Event (Mountain Time)","value":"01:07:02"},{"id":151,"name":"Denver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14"/>
        <v>start /low /b %USERPROFILE%\Documents\GitHub\eaglep3\Utilities\DownloadLogsFromS3.py --loco 4026 --day 2017-10-13</v>
      </c>
      <c r="AN217" s="151" t="str">
        <f t="shared" si="115"/>
        <v>echo {"issue":{"subject":"","project_id":30,"tracker_id":4,"status_id":1,"priority_id":1,"assigned_to_id":10,"start_date":"2017-10-13","description":"","custom_fields":[{"id":30,"name":"Category","value":"Issue"},{"id":3,"name":"Functional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UTC","value":"2017-10-13 07:07:02"},{"id":29,"name":"Sharepoint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16"/>
        <v>https://d0f6bd738d7f1b3e5a7ca70fe4ff75f0.us-east-1.aws.found.io/app/kibana#/discover/Steve-Slow-Train-Analysis-(2080s-and-2083s)?_g=(refreshInterval:(display:Off,pause:!f,section:0,value:0),time:(from:'2017-10-12T23:40:14-0600',mode:absolute,to:'2017-10-13T02:07:02-0600'))&amp;_a=(columns:!('Message%20ID',Summary),filters:!(),index:'emp_*',interval:auto,query:(query_string:(analyze_wildcard:!t,query:'%22rtdc.l.rtdc.4026%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633</v>
      </c>
      <c r="B218" s="7">
        <v>4041</v>
      </c>
      <c r="C218" s="21" t="s">
        <v>194</v>
      </c>
      <c r="D218" s="21" t="s">
        <v>965</v>
      </c>
      <c r="E218" s="13">
        <v>43020.238668981481</v>
      </c>
      <c r="F218" s="13">
        <v>43020.241030092591</v>
      </c>
      <c r="G218" s="7">
        <v>73</v>
      </c>
      <c r="H218" s="21" t="s">
        <v>908</v>
      </c>
      <c r="I218" s="13">
        <v>43020.247175925928</v>
      </c>
      <c r="J218" s="7">
        <v>0</v>
      </c>
      <c r="K218" s="89" t="str">
        <f t="shared" si="102"/>
        <v>4041/4042</v>
      </c>
      <c r="L218" s="185" t="str">
        <f>VLOOKUP(A218,'Trips&amp;Operators'!$C$1:$G$99911,5,FALSE)</f>
        <v>FORTUNATO FRANK</v>
      </c>
      <c r="M218" s="6">
        <f t="shared" si="103"/>
        <v>6.1458333366317675E-3</v>
      </c>
      <c r="N218" s="7">
        <f t="shared" si="100"/>
        <v>8.8500000047497451</v>
      </c>
      <c r="O218" s="7"/>
      <c r="P218" s="7"/>
      <c r="Q218" s="22"/>
      <c r="R218" s="174"/>
      <c r="S218" s="199">
        <f t="shared" si="101"/>
        <v>1</v>
      </c>
      <c r="T218" s="174" t="str">
        <f t="shared" si="104"/>
        <v>Southbound</v>
      </c>
      <c r="U218" s="22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25" t="str">
        <f t="shared" si="105"/>
        <v>https://d0f6bd738d7f1b3e5a7ca70fe4ff75f0.us-east-1.aws.found.io/app/kibana#/discover/Steve-Slow-Train-Analysis-(2080s-and-2083s)?_g=(refreshInterval:(display:Off,pause:!f,section:0,value:0),time:(from:'2017-10-12T04:43:41-0600',mode:absolute,to:'2017-10-12T06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8" s="226" t="str">
        <f>IF(AA218&lt;VLOOKUP(AG218,Variables!$AC$3:$AD$8,2,FALSE),"Y","N")</f>
        <v>Y</v>
      </c>
      <c r="X218" s="226">
        <f t="shared" si="106"/>
        <v>589</v>
      </c>
      <c r="Y218" s="226">
        <f t="shared" si="98"/>
        <v>2.3591000000000002</v>
      </c>
      <c r="Z218" s="226">
        <f t="shared" si="99"/>
        <v>7.17E-2</v>
      </c>
      <c r="AA218" s="226">
        <f t="shared" si="107"/>
        <v>2.2874000000000003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08"/>
        <v>902</v>
      </c>
      <c r="AE218" s="77" t="str">
        <f t="shared" si="109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218" s="74" t="str">
        <f t="shared" si="110"/>
        <v>"C:\Program Files (x86)\AstroGrep\AstroGrep.exe" /e /r /s /spath="%USERPROFILE%\AppData\Local\Temp\OnboardLogs" /stypes="app*4041*20171012*" /stext=" 11:.+((SYSTEM_STATE.+slice.+state.+changed )|(ment ac)|(multiple cpu faults)|(system.+state.+changed )|(\[timeout)|(PRM\|1\|D)|(kpr)|(kdp)|(train st.+moving)|(\|lc)|(penalty))"</v>
      </c>
      <c r="AG218" s="182" t="str">
        <f t="shared" si="111"/>
        <v>Other</v>
      </c>
      <c r="AH218" s="78" t="str">
        <f t="shared" si="112"/>
        <v>"%USERPROFILE%\Documents\GitHub\eaglep3\Utilities\RefineRTDCRunTimes.py" --tripid 902-12 --locoid 4041 --swversion DE.1.0.9.0 --startMP 300:23591 --initTime 2017-10-12T05:43:41 --startdatetime 2017-10-12T05:47:05 --delay 73 --endMP 204:717 --enddatetime 2017-10-12T05:55:56 --enforcementcount 0 &gt;&gt;%USERPROFILE%\Documents\GitHub\eaglep3-reporting\EC\2017-10-12-refined-times.txt</v>
      </c>
      <c r="AI218" s="96" t="str">
        <f t="shared" si="113"/>
        <v>echo {"issue":{"subject":"","project_id":79,"tracker_id":40,"status_id":1,"priority_id":2,"assigned_to_id":338,"start_date":"2017-10-12","description":"","custom_fields":[{"id":1,"name":"Subdivision","value":"Other"},{"id":4,"name":"Milepost","value":"0.0717"},{"id":17,"name":"Train ID","value":"902-12"},{"id":16,"name":"Locomotive ID","value":"4041"},{"id":130,"name":"Impact","value":""},{"id":150,"name":"Time of Event (Mountain Time)","value":"05:55:56"},{"id":151,"name":"Denver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14"/>
        <v>start /low /b %USERPROFILE%\Documents\GitHub\eaglep3\Utilities\DownloadLogsFromS3.py --loco 4041 --day 2017-10-12</v>
      </c>
      <c r="AN218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11:55:56"},{"id":29,"name":"Sharepoint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16"/>
        <v>https://d0f6bd738d7f1b3e5a7ca70fe4ff75f0.us-east-1.aws.found.io/app/kibana#/discover/Steve-Slow-Train-Analysis-(2080s-and-2083s)?_g=(refreshInterval:(display:Off,pause:!f,section:0,value:0),time:(from:'2017-10-12T04:43:41-0600',mode:absolute,to:'2017-10-12T06:55:56-0600'))&amp;_a=(columns:!('Message%20ID',Summary),filters:!(),index:'emp_*',interval:auto,query:(query_string:(analyze_wildcard:!t,query:'%22rtdc.l.rtdc.4041%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664</v>
      </c>
      <c r="B219" s="7">
        <v>4030</v>
      </c>
      <c r="C219" s="21" t="s">
        <v>194</v>
      </c>
      <c r="D219" s="21" t="s">
        <v>476</v>
      </c>
      <c r="E219" s="13">
        <v>43020.353182870371</v>
      </c>
      <c r="F219" s="13">
        <v>25568.708333333332</v>
      </c>
      <c r="G219" s="7">
        <v>62</v>
      </c>
      <c r="H219" s="21" t="s">
        <v>966</v>
      </c>
      <c r="I219" s="13">
        <v>25568.708333333332</v>
      </c>
      <c r="J219" s="7">
        <v>0</v>
      </c>
      <c r="K219" s="89" t="str">
        <f t="shared" si="102"/>
        <v>4029/4030</v>
      </c>
      <c r="L219" s="185" t="str">
        <f>VLOOKUP(A219,'Trips&amp;Operators'!$C$1:$G$99911,5,FALSE)</f>
        <v>DAVIS WENDY</v>
      </c>
      <c r="M219" s="6">
        <f t="shared" si="103"/>
        <v>0</v>
      </c>
      <c r="N219" s="7">
        <f t="shared" si="100"/>
        <v>0</v>
      </c>
      <c r="O219" s="7"/>
      <c r="P219" s="7"/>
      <c r="Q219" s="22"/>
      <c r="R219" s="174"/>
      <c r="S219" s="199">
        <f t="shared" si="101"/>
        <v>0</v>
      </c>
      <c r="T219" s="174" t="str">
        <f t="shared" si="104"/>
        <v>NorthBound</v>
      </c>
      <c r="U219" s="22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25" t="str">
        <f t="shared" si="105"/>
        <v>https://d0f6bd738d7f1b3e5a7ca70fe4ff75f0.us-east-1.aws.found.io/app/kibana#/discover/Steve-Slow-Train-Analysis-(2080s-and-2083s)?_g=(refreshInterval:(display:Off,pause:!f,section:0,value:0),time:(from:'2017-10-12T07:28:35-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226" t="str">
        <f>IF(AA219&lt;VLOOKUP(AG219,Variables!$AC$3:$AD$8,2,FALSE),"Y","N")</f>
        <v>Y</v>
      </c>
      <c r="X219" s="226">
        <f t="shared" si="106"/>
        <v>1</v>
      </c>
      <c r="Y219" s="226">
        <f t="shared" si="98"/>
        <v>4.6199999999999998E-2</v>
      </c>
      <c r="Z219" s="226">
        <f t="shared" si="99"/>
        <v>6.2100000000000002E-2</v>
      </c>
      <c r="AA219" s="226">
        <f t="shared" si="107"/>
        <v>1.5900000000000004E-2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08"/>
        <v>903</v>
      </c>
      <c r="AE219" s="77" t="str">
        <f t="shared" si="109"/>
        <v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v>
      </c>
      <c r="AF219" s="74" t="str">
        <f t="shared" si="110"/>
        <v>"C:\Program Files (x86)\AstroGrep\AstroGrep.exe" /e /r /s /spath="%USERPROFILE%\AppData\Local\Temp\OnboardLogs" /stypes="app*4030*19691231*" /stext=" 23:.+((SYSTEM_STATE.+slice.+state.+changed )|(ment ac)|(multiple cpu faults)|(system.+state.+changed )|(\[timeout)|(PRM\|1\|D)|(kpr)|(kdp)|(train st.+moving)|(\|lc)|(penalty))"</v>
      </c>
      <c r="AG219" s="182" t="str">
        <f t="shared" si="111"/>
        <v>Other</v>
      </c>
      <c r="AH219" s="78" t="str">
        <f t="shared" si="112"/>
        <v>"%USERPROFILE%\Documents\GitHub\eaglep3\Utilities\RefineRTDCRunTimes.py" --tripid 903-12 --locoid 4030 --swversion DE.1.0.9.0 --startMP 204:462 --initTime 2017-10-12T08:28:35 --startdatetime 1969-12-31T17:00:00 --delay 62 --endMP 204:621 --enddatetime 1969-12-31T17:00:00 --enforcementcount 0 &gt;&gt;%USERPROFILE%\Documents\GitHub\eaglep3-reporting\EC\2017-10-12-refined-times.txt</v>
      </c>
      <c r="AI219" s="96" t="str">
        <f t="shared" si="113"/>
        <v>echo {"issue":{"subject":"","project_id":79,"tracker_id":40,"status_id":1,"priority_id":2,"assigned_to_id":338,"start_date":"1969-12-31","description":"","custom_fields":[{"id":1,"name":"Subdivision","value":"Other"},{"id":4,"name":"Milepost","value":"0.0621"},{"id":17,"name":"Train ID","value":"903-12"},{"id":16,"name":"Locomotive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14"/>
        <v>start /low /b %USERPROFILE%\Documents\GitHub\eaglep3\Utilities\DownloadLogsFromS3.py --loco 4030 --day 1969-12-31</v>
      </c>
      <c r="AN219" s="151" t="str">
        <f t="shared" si="11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16"/>
        <v>https://d0f6bd738d7f1b3e5a7ca70fe4ff75f0.us-east-1.aws.found.io/app/kibana#/discover/Steve-Slow-Train-Analysis-(2080s-and-2083s)?_g=(refreshInterval:(display:Off,pause:!f,section:0,value:0),time:(from:'2017-10-12T07:28:35-0600',mode:absolute,to:'1969-12-31T18:00:00-0600'))&amp;_a=(columns:!('Message%20ID',Summary),filters:!(),index:'emp_*',interval:auto,query:(query_string:(analyze_wildcard:!t,query:'%22rtdc.l.rtdc.4030%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736</v>
      </c>
      <c r="B220" s="7">
        <v>4029</v>
      </c>
      <c r="C220" s="21" t="s">
        <v>194</v>
      </c>
      <c r="D220" s="21" t="s">
        <v>967</v>
      </c>
      <c r="E220" s="13">
        <v>43020.643645833334</v>
      </c>
      <c r="F220" s="13">
        <v>43020.645856481482</v>
      </c>
      <c r="G220" s="7">
        <v>67</v>
      </c>
      <c r="H220" s="21" t="s">
        <v>954</v>
      </c>
      <c r="I220" s="13">
        <v>43020.650960648149</v>
      </c>
      <c r="J220" s="7">
        <v>0</v>
      </c>
      <c r="K220" s="89" t="str">
        <f t="shared" si="102"/>
        <v>4029/4030</v>
      </c>
      <c r="L220" s="185" t="str">
        <f>VLOOKUP(A220,'Trips&amp;Operators'!$C$1:$G$99911,5,FALSE)</f>
        <v>DUNCAN SHEILA</v>
      </c>
      <c r="M220" s="6">
        <f t="shared" si="103"/>
        <v>5.1041666665696539E-3</v>
      </c>
      <c r="N220" s="7">
        <f t="shared" si="100"/>
        <v>7.3499999998603016</v>
      </c>
      <c r="O220" s="7"/>
      <c r="P220" s="7"/>
      <c r="Q220" s="22"/>
      <c r="R220" s="174"/>
      <c r="S220" s="199">
        <f t="shared" si="101"/>
        <v>1</v>
      </c>
      <c r="T220" s="174" t="str">
        <f t="shared" si="104"/>
        <v>Southbound</v>
      </c>
      <c r="U220" s="22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25" t="str">
        <f t="shared" si="105"/>
        <v>https://d0f6bd738d7f1b3e5a7ca70fe4ff75f0.us-east-1.aws.found.io/app/kibana#/discover/Steve-Slow-Train-Analysis-(2080s-and-2083s)?_g=(refreshInterval:(display:Off,pause:!f,section:0,value:0),time:(from:'2017-10-12T14:26:51-0600',mode:absolute,to:'2017-10-12T16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0" s="226" t="str">
        <f>IF(AA220&lt;VLOOKUP(AG220,Variables!$AC$3:$AD$8,2,FALSE),"Y","N")</f>
        <v>Y</v>
      </c>
      <c r="X220" s="226">
        <f t="shared" si="106"/>
        <v>1</v>
      </c>
      <c r="Y220" s="226">
        <f t="shared" si="98"/>
        <v>2.3614000000000002</v>
      </c>
      <c r="Z220" s="226">
        <f t="shared" si="99"/>
        <v>6.8000000000000005E-2</v>
      </c>
      <c r="AA220" s="226">
        <f t="shared" si="107"/>
        <v>2.2934000000000001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08"/>
        <v>904</v>
      </c>
      <c r="AE220" s="77" t="str">
        <f t="shared" si="109"/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AF220" s="74" t="str">
        <f t="shared" si="110"/>
        <v>"C:\Program Files (x86)\AstroGrep\AstroGrep.exe" /e /r /s /spath="%USERPROFILE%\AppData\Local\Temp\OnboardLogs" /stypes="app*4029*20171012*" /stext=" 21:.+((SYSTEM_STATE.+slice.+state.+changed )|(ment ac)|(multiple cpu faults)|(system.+state.+changed )|(\[timeout)|(PRM\|1\|D)|(kpr)|(kdp)|(train st.+moving)|(\|lc)|(penalty))"</v>
      </c>
      <c r="AG220" s="182" t="str">
        <f t="shared" si="111"/>
        <v>Other</v>
      </c>
      <c r="AH220" s="78" t="str">
        <f t="shared" si="112"/>
        <v>"%USERPROFILE%\Documents\GitHub\eaglep3\Utilities\RefineRTDCRunTimes.py" --tripid 904-12 --locoid 4029 --swversion DE.1.0.9.0 --startMP 300:23614 --initTime 2017-10-12T15:26:51 --startdatetime 2017-10-12T15:30:02 --delay 67 --endMP 204:680 --enddatetime 2017-10-12T15:37:23 --enforcementcount 0 &gt;&gt;%USERPROFILE%\Documents\GitHub\eaglep3-reporting\EC\2017-10-12-refined-times.txt</v>
      </c>
      <c r="AI220" s="96" t="str">
        <f t="shared" si="113"/>
        <v>echo {"issue":{"subject":"","project_id":79,"tracker_id":40,"status_id":1,"priority_id":2,"assigned_to_id":338,"start_date":"2017-10-12","description":"","custom_fields":[{"id":1,"name":"Subdivision","value":"Other"},{"id":4,"name":"Milepost","value":"0.068"},{"id":17,"name":"Train ID","value":"904-12"},{"id":16,"name":"Locomotive ID","value":"4029"},{"id":130,"name":"Impact","value":""},{"id":150,"name":"Time of Event (Mountain Time)","value":"15:37:23"},{"id":151,"name":"Denver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14"/>
        <v>start /low /b %USERPROFILE%\Documents\GitHub\eaglep3\Utilities\DownloadLogsFromS3.py --loco 4029 --day 2017-10-12</v>
      </c>
      <c r="AN220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21:37:23"},{"id":29,"name":"Sharepoint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16"/>
        <v>https://d0f6bd738d7f1b3e5a7ca70fe4ff75f0.us-east-1.aws.found.io/app/kibana#/discover/Steve-Slow-Train-Analysis-(2080s-and-2083s)?_g=(refreshInterval:(display:Off,pause:!f,section:0,value:0),time:(from:'2017-10-12T14:26:51-0600',mode:absolute,to:'2017-10-12T16:37:23-0600'))&amp;_a=(columns:!('Message%20ID',Summary),filters:!(),index:'emp_*',interval:auto,query:(query_string:(analyze_wildcard:!t,query:'%22rtdc.l.rtdc.4029%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807</v>
      </c>
      <c r="B221" s="7">
        <v>4041</v>
      </c>
      <c r="C221" s="21" t="s">
        <v>194</v>
      </c>
      <c r="D221" s="21" t="s">
        <v>941</v>
      </c>
      <c r="E221" s="13">
        <v>43020.976469907408</v>
      </c>
      <c r="F221" s="13">
        <v>43020.978043981479</v>
      </c>
      <c r="G221" s="7">
        <v>69</v>
      </c>
      <c r="H221" s="21" t="s">
        <v>558</v>
      </c>
      <c r="I221" s="13">
        <v>25568.708333333332</v>
      </c>
      <c r="J221" s="7">
        <v>0</v>
      </c>
      <c r="K221" s="89" t="str">
        <f t="shared" si="102"/>
        <v>4041/4042</v>
      </c>
      <c r="L221" s="185" t="str">
        <f>VLOOKUP(A221,'Trips&amp;Operators'!$C$1:$G$99911,5,FALSE)</f>
        <v>DUNCAN SHEILA</v>
      </c>
      <c r="M221" s="6">
        <f t="shared" si="103"/>
        <v>-17452.269710648146</v>
      </c>
      <c r="N221" s="7">
        <f t="shared" si="100"/>
        <v>-25131268.383333329</v>
      </c>
      <c r="O221" s="7"/>
      <c r="P221" s="7"/>
      <c r="Q221" s="22"/>
      <c r="R221" s="174"/>
      <c r="S221" s="199">
        <f t="shared" si="101"/>
        <v>0</v>
      </c>
      <c r="T221" s="174" t="str">
        <f t="shared" si="104"/>
        <v>Southbound</v>
      </c>
      <c r="U221" s="22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25" t="str">
        <f t="shared" si="105"/>
        <v>https://d0f6bd738d7f1b3e5a7ca70fe4ff75f0.us-east-1.aws.found.io/app/kibana#/discover/Steve-Slow-Train-Analysis-(2080s-and-2083s)?_g=(refreshInterval:(display:Off,pause:!f,section:0,value:0),time:(from:'2017-10-12T22:26:07-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1" s="226" t="str">
        <f>IF(AA221&lt;VLOOKUP(AG221,Variables!$AC$3:$AD$8,2,FALSE),"Y","N")</f>
        <v>Y</v>
      </c>
      <c r="X221" s="226">
        <f t="shared" si="106"/>
        <v>4</v>
      </c>
      <c r="Y221" s="226">
        <f t="shared" si="98"/>
        <v>5.8613</v>
      </c>
      <c r="Z221" s="226">
        <f t="shared" si="99"/>
        <v>2.8795000000000002</v>
      </c>
      <c r="AA221" s="226">
        <f t="shared" si="107"/>
        <v>2.9817999999999998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08"/>
        <v>908</v>
      </c>
      <c r="AE221" s="77" t="str">
        <f t="shared" si="109"/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AF221" s="74" t="str">
        <f t="shared" si="110"/>
        <v>"C:\Program Files (x86)\AstroGrep\AstroGrep.exe" /e /r /s /spath="%USERPROFILE%\AppData\Local\Temp\OnboardLogs" /stypes="app*4041*19691231*" /stext=" 23:.+((SYSTEM_STATE.+slice.+state.+changed )|(ment ac)|(multiple cpu faults)|(system.+state.+changed )|(\[timeout)|(PRM\|1\|D)|(kpr)|(kdp)|(train st.+moving)|(\|lc)|(penalty))"</v>
      </c>
      <c r="AG221" s="182" t="str">
        <f t="shared" si="111"/>
        <v>Other</v>
      </c>
      <c r="AH221" s="78" t="str">
        <f t="shared" si="112"/>
        <v>"%USERPROFILE%\Documents\GitHub\eaglep3\Utilities\RefineRTDCRunTimes.py" --tripid 908-12 --locoid 4041 --swversion DE.1.0.9.0 --startMP 300:58613 --initTime 2017-10-12T23:26:07 --startdatetime 2017-10-12T23:28:23 --delay 69 --endMP 300:28795 --enddatetime 1969-12-31T17:00:00 --enforcementcount 0 &gt;&gt;%USERPROFILE%\Documents\GitHub\eaglep3-reporting\EC\2017-10-12-refined-times.txt</v>
      </c>
      <c r="AI221" s="96" t="str">
        <f t="shared" si="113"/>
        <v>echo {"issue":{"subject":"","project_id":79,"tracker_id":40,"status_id":1,"priority_id":2,"assigned_to_id":338,"start_date":"1969-12-31","description":"","custom_fields":[{"id":1,"name":"Subdivision","value":"Other"},{"id":4,"name":"Milepost","value":"2.8795"},{"id":17,"name":"Train ID","value":"908-12"},{"id":16,"name":"Locomotive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14"/>
        <v>start /low /b %USERPROFILE%\Documents\GitHub\eaglep3\Utilities\DownloadLogsFromS3.py --loco 4041 --day 2017-10-12</v>
      </c>
      <c r="AN221" s="151" t="str">
        <f t="shared" si="11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16"/>
        <v>https://d0f6bd738d7f1b3e5a7ca70fe4ff75f0.us-east-1.aws.found.io/app/kibana#/discover/Steve-Slow-Train-Analysis-(2080s-and-2083s)?_g=(refreshInterval:(display:Off,pause:!f,section:0,value:0),time:(from:'2017-10-12T22:26:07-0600',mode:absolute,to:'1969-12-31T18:00:00-0600'))&amp;_a=(columns:!('Message%20ID',Summary),filters:!(),index:'emp_*',interval:auto,query:(query_string:(analyze_wildcard:!t,query:'%22rtdc.l.rtdc.4041%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674</v>
      </c>
      <c r="B222" s="7">
        <v>4057</v>
      </c>
      <c r="C222" s="21" t="s">
        <v>194</v>
      </c>
      <c r="D222" s="21" t="s">
        <v>889</v>
      </c>
      <c r="E222" s="13">
        <v>43020.39439814815</v>
      </c>
      <c r="F222" s="13">
        <v>43020.424513888887</v>
      </c>
      <c r="G222" s="7">
        <v>62</v>
      </c>
      <c r="H222" s="21">
        <v>8.530555555555555</v>
      </c>
      <c r="I222" s="13">
        <v>43020.431273148148</v>
      </c>
      <c r="J222" s="7">
        <v>0</v>
      </c>
      <c r="K222" s="89" t="str">
        <f t="shared" si="102"/>
        <v>4057/4058</v>
      </c>
      <c r="L222" s="185" t="str">
        <f>VLOOKUP(A222,'Trips&amp;Operators'!$C$1:$G$99911,5,FALSE)</f>
        <v>ROCHA YAOTL</v>
      </c>
      <c r="M222" s="6">
        <f t="shared" si="103"/>
        <v>6.7592592604341917E-3</v>
      </c>
      <c r="N222" s="7">
        <f t="shared" si="100"/>
        <v>9.733333335025236</v>
      </c>
      <c r="O222" s="7"/>
      <c r="P222" s="7"/>
      <c r="Q222" s="22"/>
      <c r="R222" s="174"/>
      <c r="S222" s="199">
        <f t="shared" si="101"/>
        <v>0</v>
      </c>
      <c r="T222" s="174" t="str">
        <f t="shared" si="104"/>
        <v>NorthBound</v>
      </c>
      <c r="U222" s="22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25" t="str">
        <f t="shared" si="105"/>
        <v>https://d0f6bd738d7f1b3e5a7ca70fe4ff75f0.us-east-1.aws.found.io/app/kibana#/discover/Steve-Slow-Train-Analysis-(2080s-and-2083s)?_g=(refreshInterval:(display:Off,pause:!f,section:0,value:0),time:(from:'2017-10-12T08:27:56-0600',mode:absolute,to:'2017-10-12T11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2" s="226" t="str">
        <f>IF(AA222&lt;VLOOKUP(AG222,Variables!$AC$3:$AD$8,2,FALSE),"Y","N")</f>
        <v>N</v>
      </c>
      <c r="X222" s="226">
        <f t="shared" si="106"/>
        <v>-857</v>
      </c>
      <c r="Y222" s="226">
        <f t="shared" si="98"/>
        <v>2.3359999999999999</v>
      </c>
      <c r="Z222" s="226">
        <f t="shared" si="99"/>
        <v>5555555.5555999996</v>
      </c>
      <c r="AA222" s="226">
        <f t="shared" si="107"/>
        <v>5555553.2195999995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08"/>
        <v>51</v>
      </c>
      <c r="AE222" s="77" t="str">
        <f t="shared" si="109"/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AF222" s="74" t="str">
        <f t="shared" si="110"/>
        <v>"C:\Program Files (x86)\AstroGrep\AstroGrep.exe" /e /r /s /spath="%USERPROFILE%\AppData\Local\Temp\OnboardLogs" /stypes="app*4057*20171012*" /stext=" 16:.+((SYSTEM_STATE.+slice.+state.+changed )|(ment ac)|(multiple cpu faults)|(system.+state.+changed )|(\[timeout)|(PRM\|1\|D)|(kpr)|(kdp)|(train st.+moving)|(\|lc)|(penalty))"</v>
      </c>
      <c r="AG222" s="182" t="str">
        <f t="shared" si="111"/>
        <v>Shuttle/Test</v>
      </c>
      <c r="AH222" s="78" t="str">
        <f t="shared" si="112"/>
        <v>"%USERPROFILE%\Documents\GitHub\eaglep3\Utilities\RefineRTDCRunTimes.py" --tripid 51-12 --locoid 4057 --swversion DE.1.0.9.0 --startMP 300:23360 --initTime 2017-10-12T09:27:56 --startdatetime 2017-10-12T10:11:18 --delay 62 --endMP 8.53055555555556 --enddatetime 2017-10-12T10:21:02 --enforcementcount 0 &gt;&gt;%USERPROFILE%\Documents\GitHub\eaglep3-reporting\EC\2017-10-12-refined-times.txt</v>
      </c>
      <c r="AI222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5555555.5556"},{"id":17,"name":"Train ID","value":"51-12"},{"id":16,"name":"Locomotive ID","value":"4057"},{"id":130,"name":"Impact","value":""},{"id":150,"name":"Time of Event (Mountain Time)","value":"10:21:02"},{"id":151,"name":"Denver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14"/>
        <v>start /low /b %USERPROFILE%\Documents\GitHub\eaglep3\Utilities\DownloadLogsFromS3.py --loco 4057 --day 2017-10-12</v>
      </c>
      <c r="AN222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16"/>
        <v>https://d0f6bd738d7f1b3e5a7ca70fe4ff75f0.us-east-1.aws.found.io/app/kibana#/discover/Steve-Slow-Train-Analysis-(2080s-and-2083s)?_g=(refreshInterval:(display:Off,pause:!f,section:0,value:0),time:(from:'2017-10-12T08:27:56-0600',mode:absolute,to:'2017-10-12T11:21:02-0600'))&amp;_a=(columns:!('Message%20ID',Summary),filters:!(),index:'emp_*',interval:auto,query:(query_string:(analyze_wildcard:!t,query:'%22rtdc.l.rtdc.4057%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674</v>
      </c>
      <c r="B223" s="7">
        <v>4058</v>
      </c>
      <c r="C223" s="21" t="s">
        <v>194</v>
      </c>
      <c r="D223" s="21" t="s">
        <v>890</v>
      </c>
      <c r="E223" s="13">
        <v>43020.414780092593</v>
      </c>
      <c r="F223" s="13">
        <v>43020.424513888887</v>
      </c>
      <c r="G223" s="7">
        <v>150</v>
      </c>
      <c r="H223" s="21" t="s">
        <v>891</v>
      </c>
      <c r="I223" s="13">
        <v>43020.431273148148</v>
      </c>
      <c r="J223" s="7">
        <v>0</v>
      </c>
      <c r="K223" s="89" t="str">
        <f t="shared" si="102"/>
        <v>4057/4058</v>
      </c>
      <c r="L223" s="185" t="str">
        <f>VLOOKUP(A223,'Trips&amp;Operators'!$C$1:$G$99911,5,FALSE)</f>
        <v>ROCHA YAOTL</v>
      </c>
      <c r="M223" s="6">
        <f t="shared" si="103"/>
        <v>6.7592592604341917E-3</v>
      </c>
      <c r="N223" s="7">
        <f t="shared" si="100"/>
        <v>9.733333335025236</v>
      </c>
      <c r="O223" s="7"/>
      <c r="P223" s="7"/>
      <c r="Q223" s="22"/>
      <c r="R223" s="174"/>
      <c r="S223" s="199">
        <f t="shared" si="101"/>
        <v>1</v>
      </c>
      <c r="T223" s="174" t="str">
        <f t="shared" si="104"/>
        <v>NorthBound</v>
      </c>
      <c r="U223" s="22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25" t="str">
        <f t="shared" si="105"/>
        <v>https://d0f6bd738d7f1b3e5a7ca70fe4ff75f0.us-east-1.aws.found.io/app/kibana#/discover/Steve-Slow-Train-Analysis-(2080s-and-2083s)?_g=(refreshInterval:(display:Off,pause:!f,section:0,value:0),time:(from:'2017-10-12T08:57:17-0600',mode:absolute,to:'2017-10-12T11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3" s="226" t="str">
        <f>IF(AA223&lt;VLOOKUP(AG223,Variables!$AC$3:$AD$8,2,FALSE),"Y","N")</f>
        <v>Y</v>
      </c>
      <c r="X223" s="226">
        <f t="shared" si="106"/>
        <v>0</v>
      </c>
      <c r="Y223" s="226">
        <f t="shared" si="98"/>
        <v>3.6600000000000001E-2</v>
      </c>
      <c r="Z223" s="226">
        <f t="shared" si="99"/>
        <v>2.4277000000000002</v>
      </c>
      <c r="AA223" s="226">
        <f t="shared" si="107"/>
        <v>2.3911000000000002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08"/>
        <v>51</v>
      </c>
      <c r="AE223" s="77" t="str">
        <f t="shared" si="109"/>
        <v>aws s3 cp s3://rtdc.mdm.uploadarchive.raw/RTDC4058/ "%USERPROFILE%\AppData\Local\Temp\OnboardLogs"\RTDC4058\2017-10-12 --exclude "*" --recursive --include "*20171012*" &amp; "%USERPROFILE%\Documents\GitHub\mrs-test-scripts\Headless Mode &amp; Sideloading\WalkAndUnGZ.bat" "%USERPROFILE%\AppData\Local\Temp\OnboardLogs"\RTDC4058\2017-10-12 &amp; aws s3 cp s3://rtdc.mdm.uploadarchive.raw/RTDC4058/ "%USERPROFILE%\AppData\Local\Temp\OnboardLogs"\RTDC4058\2017-10-13 --exclude "*" --recursive --include "*20171013*" &amp; "%USERPROFILE%\Documents\GitHub\mrs-test-scripts\Headless Mode &amp; Sideloading\WalkAndUnGZ.bat" "%USERPROFILE%\AppData\Local\Temp\OnboardLogs"\RTDC4058\2017-10-13</v>
      </c>
      <c r="AF223" s="74" t="str">
        <f t="shared" si="110"/>
        <v>"C:\Program Files (x86)\AstroGrep\AstroGrep.exe" /e /r /s /spath="%USERPROFILE%\AppData\Local\Temp\OnboardLogs" /stypes="app*4058*20171012*" /stext=" 16:.+((SYSTEM_STATE.+slice.+state.+changed )|(ment ac)|(multiple cpu faults)|(system.+state.+changed )|(\[timeout)|(PRM\|1\|D)|(kpr)|(kdp)|(train st.+moving)|(\|lc)|(penalty))"</v>
      </c>
      <c r="AG223" s="182" t="str">
        <f t="shared" si="111"/>
        <v>Shuttle/Test</v>
      </c>
      <c r="AH223" s="78" t="str">
        <f t="shared" si="112"/>
        <v>"%USERPROFILE%\Documents\GitHub\eaglep3\Utilities\RefineRTDCRunTimes.py" --tripid 51-12 --locoid 4058 --swversion DE.1.0.9.0 --startMP 204:366 --initTime 2017-10-12T09:57:17 --startdatetime 2017-10-12T10:11:18 --delay 150 --endMP 300:24277 --enddatetime 2017-10-12T10:21:02 --enforcementcount 0 &gt;&gt;%USERPROFILE%\Documents\GitHub\eaglep3-reporting\EC\2017-10-12-refined-times.txt</v>
      </c>
      <c r="AI223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2.4277"},{"id":17,"name":"Train ID","value":"51-12"},{"id":16,"name":"Locomotive ID","value":"4058"},{"id":130,"name":"Impact","value":""},{"id":150,"name":"Time of Event (Mountain Time)","value":"10:21:02"},{"id":151,"name":"Denver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14"/>
        <v>start /low /b %USERPROFILE%\Documents\GitHub\eaglep3\Utilities\DownloadLogsFromS3.py --loco 4058 --day 2017-10-12</v>
      </c>
      <c r="AN223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16:21:02"},{"id":29,"name":"Sharepoint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16"/>
        <v>https://d0f6bd738d7f1b3e5a7ca70fe4ff75f0.us-east-1.aws.found.io/app/kibana#/discover/Steve-Slow-Train-Analysis-(2080s-and-2083s)?_g=(refreshInterval:(display:Off,pause:!f,section:0,value:0),time:(from:'2017-10-12T08:57:17-0600',mode:absolute,to:'2017-10-12T11:21:02-0600'))&amp;_a=(columns:!('Message%20ID',Summary),filters:!(),index:'emp_*',interval:auto,query:(query_string:(analyze_wildcard:!t,query:'%22rtdc.l.rtdc.4058%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575</v>
      </c>
      <c r="B224" s="7">
        <v>4057</v>
      </c>
      <c r="C224" s="21" t="s">
        <v>194</v>
      </c>
      <c r="D224" s="21" t="s">
        <v>892</v>
      </c>
      <c r="E224" s="13">
        <v>43020.445972222224</v>
      </c>
      <c r="F224" s="13">
        <v>43020.452453703707</v>
      </c>
      <c r="G224" s="7">
        <v>64</v>
      </c>
      <c r="H224" s="21" t="s">
        <v>893</v>
      </c>
      <c r="I224" s="13">
        <v>43020.458668981482</v>
      </c>
      <c r="J224" s="7">
        <v>0</v>
      </c>
      <c r="K224" s="89" t="str">
        <f t="shared" si="102"/>
        <v>4057/4058</v>
      </c>
      <c r="L224" s="185" t="str">
        <f>VLOOKUP(A224,'Trips&amp;Operators'!$C$1:$G$99911,5,FALSE)</f>
        <v>MOSES BRADLEY</v>
      </c>
      <c r="M224" s="6">
        <f t="shared" si="103"/>
        <v>6.2152777754818089E-3</v>
      </c>
      <c r="N224" s="7">
        <f t="shared" si="100"/>
        <v>8.9499999966938049</v>
      </c>
      <c r="O224" s="7"/>
      <c r="P224" s="7"/>
      <c r="Q224" s="22"/>
      <c r="R224" s="174"/>
      <c r="S224" s="199">
        <f t="shared" si="101"/>
        <v>1</v>
      </c>
      <c r="T224" s="174" t="str">
        <f t="shared" si="104"/>
        <v>Southbound</v>
      </c>
      <c r="U224" s="22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25" t="str">
        <f t="shared" si="105"/>
        <v>https://d0f6bd738d7f1b3e5a7ca70fe4ff75f0.us-east-1.aws.found.io/app/kibana#/discover/Steve-Slow-Train-Analysis-(2080s-and-2083s)?_g=(refreshInterval:(display:Off,pause:!f,section:0,value:0),time:(from:'2017-10-12T09:42:12-0600',mode:absolute,to:'2017-10-12T12:00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4" s="226" t="str">
        <f>IF(AA224&lt;VLOOKUP(AG224,Variables!$AC$3:$AD$8,2,FALSE),"Y","N")</f>
        <v>Y</v>
      </c>
      <c r="X224" s="226">
        <f t="shared" si="106"/>
        <v>1</v>
      </c>
      <c r="Y224" s="226">
        <f t="shared" si="98"/>
        <v>2.2086999999999999</v>
      </c>
      <c r="Z224" s="226">
        <f t="shared" si="99"/>
        <v>1.06E-2</v>
      </c>
      <c r="AA224" s="226">
        <f t="shared" si="107"/>
        <v>2.1980999999999997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08"/>
        <v>52</v>
      </c>
      <c r="AE224" s="77" t="str">
        <f t="shared" si="109"/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AF224" s="74" t="str">
        <f t="shared" si="110"/>
        <v>"C:\Program Files (x86)\AstroGrep\AstroGrep.exe" /e /r /s /spath="%USERPROFILE%\AppData\Local\Temp\OnboardLogs" /stypes="app*4057*20171012*" /stext=" 17:.+((SYSTEM_STATE.+slice.+state.+changed )|(ment ac)|(multiple cpu faults)|(system.+state.+changed )|(\[timeout)|(PRM\|1\|D)|(kpr)|(kdp)|(train st.+moving)|(\|lc)|(penalty))"</v>
      </c>
      <c r="AG224" s="182" t="str">
        <f t="shared" si="111"/>
        <v>Shuttle/Test</v>
      </c>
      <c r="AH224" s="78" t="str">
        <f t="shared" si="112"/>
        <v>"%USERPROFILE%\Documents\GitHub\eaglep3\Utilities\RefineRTDCRunTimes.py" --tripid 52-12 --locoid 4057 --swversion DE.1.0.9.0 --startMP 300:22087 --initTime 2017-10-12T10:42:12 --startdatetime 2017-10-12T10:51:32 --delay 64 --endMP 204:106 --enddatetime 2017-10-12T11:00:29 --enforcementcount 0 &gt;&gt;%USERPROFILE%\Documents\GitHub\eaglep3-reporting\EC\2017-10-12-refined-times.txt</v>
      </c>
      <c r="AI224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0.0106"},{"id":17,"name":"Train ID","value":"52-12"},{"id":16,"name":"Locomotive ID","value":"4057"},{"id":130,"name":"Impact","value":""},{"id":150,"name":"Time of Event (Mountain Time)","value":"11:00:29"},{"id":151,"name":"Denver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14"/>
        <v>start /low /b %USERPROFILE%\Documents\GitHub\eaglep3\Utilities\DownloadLogsFromS3.py --loco 4057 --day 2017-10-12</v>
      </c>
      <c r="AN224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17:00:29"},{"id":29,"name":"Sharepoint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16"/>
        <v>https://d0f6bd738d7f1b3e5a7ca70fe4ff75f0.us-east-1.aws.found.io/app/kibana#/discover/Steve-Slow-Train-Analysis-(2080s-and-2083s)?_g=(refreshInterval:(display:Off,pause:!f,section:0,value:0),time:(from:'2017-10-12T09:42:12-0600',mode:absolute,to:'2017-10-12T12:00:29-0600'))&amp;_a=(columns:!('Message%20ID',Summary),filters:!(),index:'emp_*',interval:auto,query:(query_string:(analyze_wildcard:!t,query:'%22rtdc.l.rtdc.4057%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697</v>
      </c>
      <c r="B225" s="7">
        <v>4058</v>
      </c>
      <c r="C225" s="21" t="s">
        <v>194</v>
      </c>
      <c r="D225" s="21" t="s">
        <v>538</v>
      </c>
      <c r="E225" s="13">
        <v>43020.478506944448</v>
      </c>
      <c r="F225" s="13">
        <v>43020.480115740742</v>
      </c>
      <c r="G225" s="7">
        <v>75</v>
      </c>
      <c r="H225" s="21" t="s">
        <v>894</v>
      </c>
      <c r="I225" s="13">
        <v>43020.487928240742</v>
      </c>
      <c r="J225" s="7">
        <v>0</v>
      </c>
      <c r="K225" s="89" t="str">
        <f t="shared" si="102"/>
        <v>4057/4058</v>
      </c>
      <c r="L225" s="185" t="str">
        <f>VLOOKUP(A225,'Trips&amp;Operators'!$C$1:$G$99911,5,FALSE)</f>
        <v>GEBRETEKLE DAGNEW</v>
      </c>
      <c r="M225" s="6">
        <f t="shared" si="103"/>
        <v>7.8125E-3</v>
      </c>
      <c r="N225" s="7">
        <f t="shared" si="100"/>
        <v>11.25</v>
      </c>
      <c r="O225" s="7"/>
      <c r="P225" s="7"/>
      <c r="Q225" s="22"/>
      <c r="R225" s="174"/>
      <c r="S225" s="199">
        <f t="shared" si="101"/>
        <v>1</v>
      </c>
      <c r="T225" s="174" t="str">
        <f t="shared" si="104"/>
        <v>NorthBound</v>
      </c>
      <c r="U225" s="22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25" t="str">
        <f t="shared" si="105"/>
        <v>https://d0f6bd738d7f1b3e5a7ca70fe4ff75f0.us-east-1.aws.found.io/app/kibana#/discover/Steve-Slow-Train-Analysis-(2080s-and-2083s)?_g=(refreshInterval:(display:Off,pause:!f,section:0,value:0),time:(from:'2017-10-12T10:29:03-0600',mode:absolute,to:'2017-10-12T12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5" s="226" t="str">
        <f>IF(AA225&lt;VLOOKUP(AG225,Variables!$AC$3:$AD$8,2,FALSE),"Y","N")</f>
        <v>Y</v>
      </c>
      <c r="X225" s="226">
        <f t="shared" si="106"/>
        <v>3</v>
      </c>
      <c r="Y225" s="226">
        <f t="shared" si="98"/>
        <v>4.4400000000000002E-2</v>
      </c>
      <c r="Z225" s="226">
        <f t="shared" si="99"/>
        <v>2.4226000000000001</v>
      </c>
      <c r="AA225" s="226">
        <f t="shared" si="107"/>
        <v>2.3782000000000001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08"/>
        <v>55</v>
      </c>
      <c r="AE225" s="77" t="str">
        <f t="shared" si="109"/>
        <v>aws s3 cp s3://rtdc.mdm.uploadarchive.raw/RTDC4058/ "%USERPROFILE%\AppData\Local\Temp\OnboardLogs"\RTDC4058\2017-10-12 --exclude "*" --recursive --include "*20171012*" &amp; "%USERPROFILE%\Documents\GitHub\mrs-test-scripts\Headless Mode &amp; Sideloading\WalkAndUnGZ.bat" "%USERPROFILE%\AppData\Local\Temp\OnboardLogs"\RTDC4058\2017-10-12 &amp; aws s3 cp s3://rtdc.mdm.uploadarchive.raw/RTDC4058/ "%USERPROFILE%\AppData\Local\Temp\OnboardLogs"\RTDC4058\2017-10-13 --exclude "*" --recursive --include "*20171013*" &amp; "%USERPROFILE%\Documents\GitHub\mrs-test-scripts\Headless Mode &amp; Sideloading\WalkAndUnGZ.bat" "%USERPROFILE%\AppData\Local\Temp\OnboardLogs"\RTDC4058\2017-10-13</v>
      </c>
      <c r="AF225" s="74" t="str">
        <f t="shared" si="110"/>
        <v>"C:\Program Files (x86)\AstroGrep\AstroGrep.exe" /e /r /s /spath="%USERPROFILE%\AppData\Local\Temp\OnboardLogs" /stypes="app*4058*20171012*" /stext=" 17:.+((SYSTEM_STATE.+slice.+state.+changed )|(ment ac)|(multiple cpu faults)|(system.+state.+changed )|(\[timeout)|(PRM\|1\|D)|(kpr)|(kdp)|(train st.+moving)|(\|lc)|(penalty))"</v>
      </c>
      <c r="AG225" s="182" t="str">
        <f t="shared" si="111"/>
        <v>Shuttle/Test</v>
      </c>
      <c r="AH225" s="78" t="str">
        <f t="shared" si="112"/>
        <v>"%USERPROFILE%\Documents\GitHub\eaglep3\Utilities\RefineRTDCRunTimes.py" --tripid 55-12 --locoid 4058 --swversion DE.1.0.9.0 --startMP 204:444 --initTime 2017-10-12T11:29:03 --startdatetime 2017-10-12T11:31:22 --delay 75 --endMP 300:24226 --enddatetime 2017-10-12T11:42:37 --enforcementcount 0 &gt;&gt;%USERPROFILE%\Documents\GitHub\eaglep3-reporting\EC\2017-10-12-refined-times.txt</v>
      </c>
      <c r="AI225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2.4226"},{"id":17,"name":"Train ID","value":"55-12"},{"id":16,"name":"Locomotive ID","value":"4058"},{"id":130,"name":"Impact","value":""},{"id":150,"name":"Time of Event (Mountain Time)","value":"11:42:37"},{"id":151,"name":"Denver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14"/>
        <v>start /low /b %USERPROFILE%\Documents\GitHub\eaglep3\Utilities\DownloadLogsFromS3.py --loco 4058 --day 2017-10-12</v>
      </c>
      <c r="AN225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17:42:37"},{"id":29,"name":"Sharepoint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16"/>
        <v>https://d0f6bd738d7f1b3e5a7ca70fe4ff75f0.us-east-1.aws.found.io/app/kibana#/discover/Steve-Slow-Train-Analysis-(2080s-and-2083s)?_g=(refreshInterval:(display:Off,pause:!f,section:0,value:0),time:(from:'2017-10-12T10:29:03-0600',mode:absolute,to:'2017-10-12T12:42:37-0600'))&amp;_a=(columns:!('Message%20ID',Summary),filters:!(),index:'emp_*',interval:auto,query:(query_string:(analyze_wildcard:!t,query:'%22rtdc.l.rtdc.4058%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581</v>
      </c>
      <c r="B226" s="7">
        <v>4057</v>
      </c>
      <c r="C226" s="21" t="s">
        <v>194</v>
      </c>
      <c r="D226" s="21" t="s">
        <v>895</v>
      </c>
      <c r="E226" s="13">
        <v>43020.497685185182</v>
      </c>
      <c r="F226" s="13">
        <v>43020.503333333334</v>
      </c>
      <c r="G226" s="7">
        <v>74</v>
      </c>
      <c r="H226" s="21" t="s">
        <v>896</v>
      </c>
      <c r="I226" s="13">
        <v>43020.507638888892</v>
      </c>
      <c r="J226" s="7">
        <v>0</v>
      </c>
      <c r="K226" s="89" t="str">
        <f t="shared" si="102"/>
        <v>4057/4058</v>
      </c>
      <c r="L226" s="185" t="str">
        <f>VLOOKUP(A226,'Trips&amp;Operators'!$C$1:$G$99911,5,FALSE)</f>
        <v>KILLION DAVID</v>
      </c>
      <c r="M226" s="6">
        <f t="shared" si="103"/>
        <v>4.3055555579485372E-3</v>
      </c>
      <c r="N226" s="7">
        <f t="shared" si="100"/>
        <v>6.2000000034458935</v>
      </c>
      <c r="O226" s="7"/>
      <c r="P226" s="7"/>
      <c r="Q226" s="22"/>
      <c r="R226" s="174"/>
      <c r="S226" s="199">
        <f t="shared" si="101"/>
        <v>0</v>
      </c>
      <c r="T226" s="174" t="str">
        <f t="shared" si="104"/>
        <v>NorthBound</v>
      </c>
      <c r="U226" s="22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25" t="str">
        <f t="shared" si="105"/>
        <v>https://d0f6bd738d7f1b3e5a7ca70fe4ff75f0.us-east-1.aws.found.io/app/kibana#/discover/Steve-Slow-Train-Analysis-(2080s-and-2083s)?_g=(refreshInterval:(display:Off,pause:!f,section:0,value:0),time:(from:'2017-10-12T10:56:40-0600',mode:absolute,to:'2017-10-12T13:11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6" s="226" t="str">
        <f>IF(AA226&lt;VLOOKUP(AG226,Variables!$AC$3:$AD$8,2,FALSE),"Y","N")</f>
        <v>Y</v>
      </c>
      <c r="X226" s="226">
        <f t="shared" si="106"/>
        <v>2</v>
      </c>
      <c r="Y226" s="226">
        <f t="shared" si="98"/>
        <v>2.4697</v>
      </c>
      <c r="Z226" s="226">
        <f t="shared" si="99"/>
        <v>2.4342999999999999</v>
      </c>
      <c r="AA226" s="226">
        <f t="shared" si="107"/>
        <v>3.5400000000000098E-2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08"/>
        <v>57</v>
      </c>
      <c r="AE226" s="77" t="str">
        <f t="shared" si="109"/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AF226" s="74" t="str">
        <f t="shared" si="110"/>
        <v>"C:\Program Files (x86)\AstroGrep\AstroGrep.exe" /e /r /s /spath="%USERPROFILE%\AppData\Local\Temp\OnboardLogs" /stypes="app*4057*20171012*" /stext=" 18:.+((SYSTEM_STATE.+slice.+state.+changed )|(ment ac)|(multiple cpu faults)|(system.+state.+changed )|(\[timeout)|(PRM\|1\|D)|(kpr)|(kdp)|(train st.+moving)|(\|lc)|(penalty))"</v>
      </c>
      <c r="AG226" s="182" t="str">
        <f t="shared" si="111"/>
        <v>Shuttle/Test</v>
      </c>
      <c r="AH226" s="78" t="str">
        <f t="shared" si="112"/>
        <v>"%USERPROFILE%\Documents\GitHub\eaglep3\Utilities\RefineRTDCRunTimes.py" --tripid 57-12 --locoid 4057 --swversion DE.1.0.9.0 --startMP 300:24697 --initTime 2017-10-12T11:56:40 --startdatetime 2017-10-12T12:04:48 --delay 74 --endMP 300:24343 --enddatetime 2017-10-12T12:11:00 --enforcementcount 0 &gt;&gt;%USERPROFILE%\Documents\GitHub\eaglep3-reporting\EC\2017-10-12-refined-times.txt</v>
      </c>
      <c r="AI226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2.4343"},{"id":17,"name":"Train ID","value":"57-12"},{"id":16,"name":"Locomotive ID","value":"4057"},{"id":130,"name":"Impact","value":""},{"id":150,"name":"Time of Event (Mountain Time)","value":"12:11:00"},{"id":151,"name":"Denver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14"/>
        <v>start /low /b %USERPROFILE%\Documents\GitHub\eaglep3\Utilities\DownloadLogsFromS3.py --loco 4057 --day 2017-10-12</v>
      </c>
      <c r="AN226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18:11:00"},{"id":29,"name":"Sharepoint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16"/>
        <v>https://d0f6bd738d7f1b3e5a7ca70fe4ff75f0.us-east-1.aws.found.io/app/kibana#/discover/Steve-Slow-Train-Analysis-(2080s-and-2083s)?_g=(refreshInterval:(display:Off,pause:!f,section:0,value:0),time:(from:'2017-10-12T10:56:40-0600',mode:absolute,to:'2017-10-12T13:11:00-0600'))&amp;_a=(columns:!('Message%20ID',Summary),filters:!(),index:'emp_*',interval:auto,query:(query_string:(analyze_wildcard:!t,query:'%22rtdc.l.rtdc.4057%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709</v>
      </c>
      <c r="B227" s="7">
        <v>4058</v>
      </c>
      <c r="C227" s="21" t="s">
        <v>194</v>
      </c>
      <c r="D227" s="21" t="s">
        <v>897</v>
      </c>
      <c r="E227" s="13">
        <v>43020.53193287037</v>
      </c>
      <c r="F227" s="13">
        <v>43020.533483796295</v>
      </c>
      <c r="G227" s="7">
        <v>58</v>
      </c>
      <c r="H227" s="21" t="s">
        <v>898</v>
      </c>
      <c r="I227" s="13">
        <v>43020.540798611109</v>
      </c>
      <c r="J227" s="7">
        <v>0</v>
      </c>
      <c r="K227" s="89" t="str">
        <f t="shared" si="102"/>
        <v>4057/4058</v>
      </c>
      <c r="L227" s="185" t="str">
        <f>VLOOKUP(A227,'Trips&amp;Operators'!$C$1:$G$99911,5,FALSE)</f>
        <v>YANG JAN</v>
      </c>
      <c r="M227" s="6">
        <f t="shared" si="103"/>
        <v>7.3148148148902692E-3</v>
      </c>
      <c r="N227" s="7">
        <f t="shared" si="100"/>
        <v>10.533333333441988</v>
      </c>
      <c r="O227" s="7"/>
      <c r="P227" s="7"/>
      <c r="Q227" s="22"/>
      <c r="R227" s="174"/>
      <c r="S227" s="199">
        <f t="shared" si="101"/>
        <v>0</v>
      </c>
      <c r="T227" s="174" t="str">
        <f t="shared" si="104"/>
        <v>Southbound</v>
      </c>
      <c r="U227" s="22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25" t="str">
        <f t="shared" si="105"/>
        <v>https://d0f6bd738d7f1b3e5a7ca70fe4ff75f0.us-east-1.aws.found.io/app/kibana#/discover/Steve-Slow-Train-Analysis-(2080s-and-2083s)?_g=(refreshInterval:(display:Off,pause:!f,section:0,value:0),time:(from:'2017-10-12T11:45:59-0600',mode:absolute,to:'2017-10-12T13:58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7" s="226" t="str">
        <f>IF(AA227&lt;VLOOKUP(AG227,Variables!$AC$3:$AD$8,2,FALSE),"Y","N")</f>
        <v>Y</v>
      </c>
      <c r="X227" s="226">
        <f t="shared" si="106"/>
        <v>1</v>
      </c>
      <c r="Y227" s="226">
        <f t="shared" si="98"/>
        <v>3.3599999999999998E-2</v>
      </c>
      <c r="Z227" s="226">
        <f t="shared" si="99"/>
        <v>2.4249999999999998</v>
      </c>
      <c r="AA227" s="226">
        <f t="shared" si="107"/>
        <v>2.3914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08"/>
        <v>58</v>
      </c>
      <c r="AE227" s="77" t="str">
        <f t="shared" si="109"/>
        <v>aws s3 cp s3://rtdc.mdm.uploadarchive.raw/RTDC4058/ "%USERPROFILE%\AppData\Local\Temp\OnboardLogs"\RTDC4058\2017-10-12 --exclude "*" --recursive --include "*20171012*" &amp; "%USERPROFILE%\Documents\GitHub\mrs-test-scripts\Headless Mode &amp; Sideloading\WalkAndUnGZ.bat" "%USERPROFILE%\AppData\Local\Temp\OnboardLogs"\RTDC4058\2017-10-12 &amp; aws s3 cp s3://rtdc.mdm.uploadarchive.raw/RTDC4058/ "%USERPROFILE%\AppData\Local\Temp\OnboardLogs"\RTDC4058\2017-10-13 --exclude "*" --recursive --include "*20171013*" &amp; "%USERPROFILE%\Documents\GitHub\mrs-test-scripts\Headless Mode &amp; Sideloading\WalkAndUnGZ.bat" "%USERPROFILE%\AppData\Local\Temp\OnboardLogs"\RTDC4058\2017-10-13</v>
      </c>
      <c r="AF227" s="74" t="str">
        <f t="shared" si="110"/>
        <v>"C:\Program Files (x86)\AstroGrep\AstroGrep.exe" /e /r /s /spath="%USERPROFILE%\AppData\Local\Temp\OnboardLogs" /stypes="app*4058*20171012*" /stext=" 18:.+((SYSTEM_STATE.+slice.+state.+changed )|(ment ac)|(multiple cpu faults)|(system.+state.+changed )|(\[timeout)|(PRM\|1\|D)|(kpr)|(kdp)|(train st.+moving)|(\|lc)|(penalty))"</v>
      </c>
      <c r="AG227" s="182" t="str">
        <f t="shared" si="111"/>
        <v>Shuttle/Test</v>
      </c>
      <c r="AH227" s="78" t="str">
        <f t="shared" si="112"/>
        <v>"%USERPROFILE%\Documents\GitHub\eaglep3\Utilities\RefineRTDCRunTimes.py" --tripid 58-12 --locoid 4058 --swversion DE.1.0.9.0 --startMP 204:336 --initTime 2017-10-12T12:45:59 --startdatetime 2017-10-12T12:48:13 --delay 58 --endMP 300:24250 --enddatetime 2017-10-12T12:58:45 --enforcementcount 0 &gt;&gt;%USERPROFILE%\Documents\GitHub\eaglep3-reporting\EC\2017-10-12-refined-times.txt</v>
      </c>
      <c r="AI227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2.425"},{"id":17,"name":"Train ID","value":"58-12"},{"id":16,"name":"Locomotive ID","value":"4058"},{"id":130,"name":"Impact","value":""},{"id":150,"name":"Time of Event (Mountain Time)","value":"12:58:45"},{"id":151,"name":"Denver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14"/>
        <v>start /low /b %USERPROFILE%\Documents\GitHub\eaglep3\Utilities\DownloadLogsFromS3.py --loco 4058 --day 2017-10-12</v>
      </c>
      <c r="AN227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18:58:45"},{"id":29,"name":"Sharepoint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16"/>
        <v>https://d0f6bd738d7f1b3e5a7ca70fe4ff75f0.us-east-1.aws.found.io/app/kibana#/discover/Steve-Slow-Train-Analysis-(2080s-and-2083s)?_g=(refreshInterval:(display:Off,pause:!f,section:0,value:0),time:(from:'2017-10-12T11:45:59-0600',mode:absolute,to:'2017-10-12T13:58:45-0600'))&amp;_a=(columns:!('Message%20ID',Summary),filters:!(),index:'emp_*',interval:auto,query:(query_string:(analyze_wildcard:!t,query:'%22rtdc.l.rtdc.4058%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703</v>
      </c>
      <c r="B228" s="7">
        <v>4012</v>
      </c>
      <c r="C228" s="21" t="s">
        <v>194</v>
      </c>
      <c r="D228" s="21" t="s">
        <v>899</v>
      </c>
      <c r="E228" s="13">
        <v>43020.505127314813</v>
      </c>
      <c r="F228" s="13">
        <v>43020.50708333333</v>
      </c>
      <c r="G228" s="7">
        <v>49</v>
      </c>
      <c r="H228" s="21" t="s">
        <v>900</v>
      </c>
      <c r="I228" s="13">
        <v>43020.512476851851</v>
      </c>
      <c r="J228" s="7">
        <v>0</v>
      </c>
      <c r="K228" s="89" t="str">
        <f t="shared" si="102"/>
        <v>4011/4012</v>
      </c>
      <c r="L228" s="185" t="str">
        <f>VLOOKUP(A228,'Trips&amp;Operators'!$C$1:$G$99911,5,FALSE)</f>
        <v>DAVIS WENDY</v>
      </c>
      <c r="M228" s="6">
        <f t="shared" si="103"/>
        <v>5.393518520577345E-3</v>
      </c>
      <c r="N228" s="7">
        <f t="shared" si="100"/>
        <v>7.7666666696313769</v>
      </c>
      <c r="O228" s="7"/>
      <c r="P228" s="7"/>
      <c r="Q228" s="22"/>
      <c r="R228" s="174"/>
      <c r="S228" s="199">
        <f t="shared" si="101"/>
        <v>1</v>
      </c>
      <c r="T228" s="174" t="str">
        <f t="shared" si="104"/>
        <v>NorthBound</v>
      </c>
      <c r="U228" s="22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25" t="str">
        <f t="shared" si="105"/>
        <v>https://d0f6bd738d7f1b3e5a7ca70fe4ff75f0.us-east-1.aws.found.io/app/kibana#/discover/Steve-Slow-Train-Analysis-(2080s-and-2083s)?_g=(refreshInterval:(display:Off,pause:!f,section:0,value:0),time:(from:'2017-10-12T11:07:23-0600',mode:absolute,to:'2017-10-12T13:17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8" s="226" t="str">
        <f>IF(AA228&lt;VLOOKUP(AG228,Variables!$AC$3:$AD$8,2,FALSE),"Y","N")</f>
        <v>Y</v>
      </c>
      <c r="X228" s="226">
        <f t="shared" si="106"/>
        <v>1</v>
      </c>
      <c r="Y228" s="226">
        <f t="shared" si="98"/>
        <v>0.129</v>
      </c>
      <c r="Z228" s="226">
        <f t="shared" si="99"/>
        <v>2.4260000000000002</v>
      </c>
      <c r="AA228" s="226">
        <f t="shared" si="107"/>
        <v>2.2970000000000002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08"/>
        <v>59</v>
      </c>
      <c r="AE228" s="77" t="str">
        <f t="shared" si="109"/>
        <v>aws s3 cp s3://rtdc.mdm.uploadarchive.raw/RTDC4012/ "%USERPROFILE%\AppData\Local\Temp\OnboardLogs"\RTDC4012\2017-10-12 --exclude "*" --recursive --include "*20171012*" &amp; "%USERPROFILE%\Documents\GitHub\mrs-test-scripts\Headless Mode &amp; Sideloading\WalkAndUnGZ.bat" "%USERPROFILE%\AppData\Local\Temp\OnboardLogs"\RTDC4012\2017-10-12 &amp; aws s3 cp s3://rtdc.mdm.uploadarchive.raw/RTDC4012/ "%USERPROFILE%\AppData\Local\Temp\OnboardLogs"\RTDC4012\2017-10-13 --exclude "*" --recursive --include "*20171013*" &amp; "%USERPROFILE%\Documents\GitHub\mrs-test-scripts\Headless Mode &amp; Sideloading\WalkAndUnGZ.bat" "%USERPROFILE%\AppData\Local\Temp\OnboardLogs"\RTDC4012\2017-10-13</v>
      </c>
      <c r="AF228" s="74" t="str">
        <f t="shared" si="110"/>
        <v>"C:\Program Files (x86)\AstroGrep\AstroGrep.exe" /e /r /s /spath="%USERPROFILE%\AppData\Local\Temp\OnboardLogs" /stypes="app*4012*20171012*" /stext=" 18:.+((SYSTEM_STATE.+slice.+state.+changed )|(ment ac)|(multiple cpu faults)|(system.+state.+changed )|(\[timeout)|(PRM\|1\|D)|(kpr)|(kdp)|(train st.+moving)|(\|lc)|(penalty))"</v>
      </c>
      <c r="AG228" s="182" t="str">
        <f t="shared" si="111"/>
        <v>Shuttle/Test</v>
      </c>
      <c r="AH228" s="78" t="str">
        <f t="shared" si="112"/>
        <v>"%USERPROFILE%\Documents\GitHub\eaglep3\Utilities\RefineRTDCRunTimes.py" --tripid 59-12 --locoid 4012 --swversion DE.1.0.9.0 --startMP 204:1290 --initTime 2017-10-12T12:07:23 --startdatetime 2017-10-12T12:10:12 --delay 49 --endMP 300:24260 --enddatetime 2017-10-12T12:17:58 --enforcementcount 0 &gt;&gt;%USERPROFILE%\Documents\GitHub\eaglep3-reporting\EC\2017-10-12-refined-times.txt</v>
      </c>
      <c r="AI228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2.426"},{"id":17,"name":"Train ID","value":"59-12"},{"id":16,"name":"Locomotive ID","value":"4012"},{"id":130,"name":"Impact","value":""},{"id":150,"name":"Time of Event (Mountain Time)","value":"12:17:58"},{"id":151,"name":"Denver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14"/>
        <v>start /low /b %USERPROFILE%\Documents\GitHub\eaglep3\Utilities\DownloadLogsFromS3.py --loco 4012 --day 2017-10-12</v>
      </c>
      <c r="AN228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18:17:58"},{"id":29,"name":"Sharepoint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16"/>
        <v>https://d0f6bd738d7f1b3e5a7ca70fe4ff75f0.us-east-1.aws.found.io/app/kibana#/discover/Steve-Slow-Train-Analysis-(2080s-and-2083s)?_g=(refreshInterval:(display:Off,pause:!f,section:0,value:0),time:(from:'2017-10-12T11:07:23-0600',mode:absolute,to:'2017-10-12T13:17:58-0600'))&amp;_a=(columns:!('Message%20ID',Summary),filters:!(),index:'emp_*',interval:auto,query:(query_string:(analyze_wildcard:!t,query:'%22rtdc.l.rtdc.4012%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751</v>
      </c>
      <c r="B229" s="7">
        <v>4020</v>
      </c>
      <c r="C229" s="21" t="s">
        <v>194</v>
      </c>
      <c r="D229" s="21" t="s">
        <v>901</v>
      </c>
      <c r="E229" s="13">
        <v>43020.68917824074</v>
      </c>
      <c r="F229" s="13">
        <v>43020.692106481481</v>
      </c>
      <c r="G229" s="7">
        <v>64</v>
      </c>
      <c r="H229" s="21" t="s">
        <v>902</v>
      </c>
      <c r="I229" s="13">
        <v>43020.706423611111</v>
      </c>
      <c r="J229" s="7">
        <v>0</v>
      </c>
      <c r="K229" s="89" t="str">
        <f t="shared" si="102"/>
        <v>4019/4020</v>
      </c>
      <c r="L229" s="185" t="str">
        <f>VLOOKUP(A229,'Trips&amp;Operators'!$C$1:$G$99911,5,FALSE)</f>
        <v>NEWELL JAMES</v>
      </c>
      <c r="M229" s="6">
        <f t="shared" si="103"/>
        <v>1.43171296294895E-2</v>
      </c>
      <c r="N229" s="7">
        <f t="shared" si="100"/>
        <v>20.61666666646488</v>
      </c>
      <c r="O229" s="7"/>
      <c r="P229" s="7"/>
      <c r="Q229" s="22"/>
      <c r="R229" s="174"/>
      <c r="S229" s="199">
        <f t="shared" si="101"/>
        <v>1</v>
      </c>
      <c r="T229" s="174" t="str">
        <f t="shared" si="104"/>
        <v>NorthBound</v>
      </c>
      <c r="U229" s="22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25" t="str">
        <f t="shared" si="105"/>
        <v>https://d0f6bd738d7f1b3e5a7ca70fe4ff75f0.us-east-1.aws.found.io/app/kibana#/discover/Steve-Slow-Train-Analysis-(2080s-and-2083s)?_g=(refreshInterval:(display:Off,pause:!f,section:0,value:0),time:(from:'2017-10-12T15:32:25-0600',mode:absolute,to:'2017-10-12T17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9" s="226" t="str">
        <f>IF(AA229&lt;VLOOKUP(AG229,Variables!$AC$3:$AD$8,2,FALSE),"Y","N")</f>
        <v>Y</v>
      </c>
      <c r="X229" s="226">
        <f t="shared" si="106"/>
        <v>2</v>
      </c>
      <c r="Y229" s="226">
        <f t="shared" si="98"/>
        <v>0.14710000000000001</v>
      </c>
      <c r="Z229" s="226">
        <f t="shared" si="99"/>
        <v>2.3302</v>
      </c>
      <c r="AA229" s="226">
        <f t="shared" si="107"/>
        <v>2.1831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08"/>
        <v>61</v>
      </c>
      <c r="AE229" s="77" t="str">
        <f t="shared" si="109"/>
        <v>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 &amp; aws s3 cp s3://rtdc.mdm.uploadarchive.raw/RTDC4020/ "%USERPROFILE%\AppData\Local\Temp\OnboardLogs"\RTDC4020\2017-10-13 --exclude "*" --recursive --include "*20171013*" &amp; "%USERPROFILE%\Documents\GitHub\mrs-test-scripts\Headless Mode &amp; Sideloading\WalkAndUnGZ.bat" "%USERPROFILE%\AppData\Local\Temp\OnboardLogs"\RTDC4020\2017-10-13</v>
      </c>
      <c r="AF229" s="74" t="str">
        <f t="shared" si="110"/>
        <v>"C:\Program Files (x86)\AstroGrep\AstroGrep.exe" /e /r /s /spath="%USERPROFILE%\AppData\Local\Temp\OnboardLogs" /stypes="app*4020*20171012*" /stext=" 22:.+((SYSTEM_STATE.+slice.+state.+changed )|(ment ac)|(multiple cpu faults)|(system.+state.+changed )|(\[timeout)|(PRM\|1\|D)|(kpr)|(kdp)|(train st.+moving)|(\|lc)|(penalty))"</v>
      </c>
      <c r="AG229" s="182" t="str">
        <f t="shared" si="111"/>
        <v>Shuttle/Test</v>
      </c>
      <c r="AH229" s="78" t="str">
        <f t="shared" si="112"/>
        <v>"%USERPROFILE%\Documents\GitHub\eaglep3\Utilities\RefineRTDCRunTimes.py" --tripid 61-12 --locoid 4020 --swversion DE.1.0.9.0 --startMP 204:1471 --initTime 2017-10-12T16:32:25 --startdatetime 2017-10-12T16:36:38 --delay 64 --endMP 300:23302 --enddatetime 2017-10-12T16:57:15 --enforcementcount 0 &gt;&gt;%USERPROFILE%\Documents\GitHub\eaglep3-reporting\EC\2017-10-12-refined-times.txt</v>
      </c>
      <c r="AI229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2.3302"},{"id":17,"name":"Train ID","value":"61-12"},{"id":16,"name":"Locomotive ID","value":"4020"},{"id":130,"name":"Impact","value":""},{"id":150,"name":"Time of Event (Mountain Time)","value":"16:57:15"},{"id":151,"name":"Denver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14"/>
        <v>start /low /b %USERPROFILE%\Documents\GitHub\eaglep3\Utilities\DownloadLogsFromS3.py --loco 4020 --day 2017-10-12</v>
      </c>
      <c r="AN229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22:57:15"},{"id":29,"name":"Sharepoint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16"/>
        <v>https://d0f6bd738d7f1b3e5a7ca70fe4ff75f0.us-east-1.aws.found.io/app/kibana#/discover/Steve-Slow-Train-Analysis-(2080s-and-2083s)?_g=(refreshInterval:(display:Off,pause:!f,section:0,value:0),time:(from:'2017-10-12T15:32:25-0600',mode:absolute,to:'2017-10-12T17:57:15-0600'))&amp;_a=(columns:!('Message%20ID',Summary),filters:!(),index:'emp_*',interval:auto,query:(query_string:(analyze_wildcard:!t,query:'%22rtdc.l.rtdc.4020%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756</v>
      </c>
      <c r="B230" s="7">
        <v>4062</v>
      </c>
      <c r="C230" s="21" t="s">
        <v>194</v>
      </c>
      <c r="D230" s="21" t="s">
        <v>903</v>
      </c>
      <c r="E230" s="13">
        <v>43020.71193287037</v>
      </c>
      <c r="F230" s="13">
        <v>43020.717407407406</v>
      </c>
      <c r="G230" s="7">
        <v>168</v>
      </c>
      <c r="H230" s="21" t="s">
        <v>904</v>
      </c>
      <c r="I230" s="13">
        <v>43020.718449074076</v>
      </c>
      <c r="J230" s="7">
        <v>0</v>
      </c>
      <c r="K230" s="89" t="str">
        <f t="shared" si="102"/>
        <v>4061/4062</v>
      </c>
      <c r="L230" s="185" t="str">
        <f>VLOOKUP(A230,'Trips&amp;Operators'!$C$1:$G$99911,5,FALSE)</f>
        <v>DELGADO DIANAH</v>
      </c>
      <c r="M230" s="6">
        <f t="shared" si="103"/>
        <v>1.0416666700621136E-3</v>
      </c>
      <c r="N230" s="7">
        <f t="shared" si="100"/>
        <v>1.5000000048894435</v>
      </c>
      <c r="O230" s="7"/>
      <c r="P230" s="7"/>
      <c r="Q230" s="22"/>
      <c r="R230" s="174"/>
      <c r="S230" s="199">
        <f t="shared" si="101"/>
        <v>0</v>
      </c>
      <c r="T230" s="174" t="str">
        <f t="shared" si="104"/>
        <v>NorthBound</v>
      </c>
      <c r="U230" s="22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25" t="str">
        <f t="shared" si="105"/>
        <v>https://d0f6bd738d7f1b3e5a7ca70fe4ff75f0.us-east-1.aws.found.io/app/kibana#/discover/Steve-Slow-Train-Analysis-(2080s-and-2083s)?_g=(refreshInterval:(display:Off,pause:!f,section:0,value:0),time:(from:'2017-10-12T16:05:11-0600',mode:absolute,to:'2017-10-12T18:14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0" s="226" t="str">
        <f>IF(AA230&lt;VLOOKUP(AG230,Variables!$AC$3:$AD$8,2,FALSE),"Y","N")</f>
        <v>Y</v>
      </c>
      <c r="X230" s="226">
        <f t="shared" si="106"/>
        <v>2</v>
      </c>
      <c r="Y230" s="226">
        <f t="shared" si="98"/>
        <v>0.1158</v>
      </c>
      <c r="Z230" s="226">
        <f t="shared" si="99"/>
        <v>0.33200000000000002</v>
      </c>
      <c r="AA230" s="226">
        <f t="shared" si="107"/>
        <v>0.2162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08"/>
        <v>63</v>
      </c>
      <c r="AE230" s="77" t="str">
        <f t="shared" si="109"/>
        <v>aws s3 cp s3://rtdc.mdm.uploadarchive.raw/RTDC4062/ "%USERPROFILE%\AppData\Local\Temp\OnboardLogs"\RTDC4062\2017-10-12 --exclude "*" --recursive --include "*20171012*" &amp; "%USERPROFILE%\Documents\GitHub\mrs-test-scripts\Headless Mode &amp; Sideloading\WalkAndUnGZ.bat" "%USERPROFILE%\AppData\Local\Temp\OnboardLogs"\RTDC4062\2017-10-12 &amp; aws s3 cp s3://rtdc.mdm.uploadarchive.raw/RTDC4062/ "%USERPROFILE%\AppData\Local\Temp\OnboardLogs"\RTDC4062\2017-10-13 --exclude "*" --recursive --include "*20171013*" &amp; "%USERPROFILE%\Documents\GitHub\mrs-test-scripts\Headless Mode &amp; Sideloading\WalkAndUnGZ.bat" "%USERPROFILE%\AppData\Local\Temp\OnboardLogs"\RTDC4062\2017-10-13</v>
      </c>
      <c r="AF230" s="74" t="str">
        <f t="shared" si="110"/>
        <v>"C:\Program Files (x86)\AstroGrep\AstroGrep.exe" /e /r /s /spath="%USERPROFILE%\AppData\Local\Temp\OnboardLogs" /stypes="app*4062*20171012*" /stext=" 23:.+((SYSTEM_STATE.+slice.+state.+changed )|(ment ac)|(multiple cpu faults)|(system.+state.+changed )|(\[timeout)|(PRM\|1\|D)|(kpr)|(kdp)|(train st.+moving)|(\|lc)|(penalty))"</v>
      </c>
      <c r="AG230" s="182" t="str">
        <f t="shared" si="111"/>
        <v>Shuttle/Test</v>
      </c>
      <c r="AH230" s="78" t="str">
        <f t="shared" si="112"/>
        <v>"%USERPROFILE%\Documents\GitHub\eaglep3\Utilities\RefineRTDCRunTimes.py" --tripid 63-12 --locoid 4062 --swversion DE.1.0.9.0 --startMP 204:1158 --initTime 2017-10-12T17:05:11 --startdatetime 2017-10-12T17:13:04 --delay 168 --endMP 204:3320 --enddatetime 2017-10-12T17:14:34 --enforcementcount 0 &gt;&gt;%USERPROFILE%\Documents\GitHub\eaglep3-reporting\EC\2017-10-12-refined-times.txt</v>
      </c>
      <c r="AI230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0.332"},{"id":17,"name":"Train ID","value":"63-12"},{"id":16,"name":"Locomotive ID","value":"4062"},{"id":130,"name":"Impact","value":""},{"id":150,"name":"Time of Event (Mountain Time)","value":"17:14:34"},{"id":151,"name":"Denver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14"/>
        <v>start /low /b %USERPROFILE%\Documents\GitHub\eaglep3\Utilities\DownloadLogsFromS3.py --loco 4062 --day 2017-10-12</v>
      </c>
      <c r="AN230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23:14:34"},{"id":29,"name":"Sharepoint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16"/>
        <v>https://d0f6bd738d7f1b3e5a7ca70fe4ff75f0.us-east-1.aws.found.io/app/kibana#/discover/Steve-Slow-Train-Analysis-(2080s-and-2083s)?_g=(refreshInterval:(display:Off,pause:!f,section:0,value:0),time:(from:'2017-10-12T16:05:11-0600',mode:absolute,to:'2017-10-12T18:14:34-0600'))&amp;_a=(columns:!('Message%20ID',Summary),filters:!(),index:'emp_*',interval:auto,query:(query_string:(analyze_wildcard:!t,query:'%22rtdc.l.rtdc.4062%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756</v>
      </c>
      <c r="B231" s="7">
        <v>4061</v>
      </c>
      <c r="C231" s="21" t="s">
        <v>194</v>
      </c>
      <c r="D231" s="21" t="s">
        <v>905</v>
      </c>
      <c r="E231" s="13">
        <v>43020.715949074074</v>
      </c>
      <c r="F231" s="13">
        <v>43020.717407407406</v>
      </c>
      <c r="G231" s="7">
        <v>60</v>
      </c>
      <c r="H231" s="21" t="s">
        <v>374</v>
      </c>
      <c r="I231" s="13">
        <v>43020.718449074076</v>
      </c>
      <c r="J231" s="7">
        <v>0</v>
      </c>
      <c r="K231" s="89" t="str">
        <f t="shared" si="102"/>
        <v>4061/4062</v>
      </c>
      <c r="L231" s="185" t="str">
        <f>VLOOKUP(A231,'Trips&amp;Operators'!$C$1:$G$99911,5,FALSE)</f>
        <v>DELGADO DIANAH</v>
      </c>
      <c r="M231" s="6">
        <f t="shared" si="103"/>
        <v>1.0416666700621136E-3</v>
      </c>
      <c r="N231" s="7">
        <f t="shared" si="100"/>
        <v>1.5000000048894435</v>
      </c>
      <c r="O231" s="7"/>
      <c r="P231" s="7"/>
      <c r="Q231" s="22"/>
      <c r="R231" s="174"/>
      <c r="S231" s="199">
        <f t="shared" si="101"/>
        <v>0</v>
      </c>
      <c r="T231" s="174" t="str">
        <f t="shared" si="104"/>
        <v>NorthBound</v>
      </c>
      <c r="U231" s="22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25" t="str">
        <f t="shared" si="105"/>
        <v>https://d0f6bd738d7f1b3e5a7ca70fe4ff75f0.us-east-1.aws.found.io/app/kibana#/discover/Steve-Slow-Train-Analysis-(2080s-and-2083s)?_g=(refreshInterval:(display:Off,pause:!f,section:0,value:0),time:(from:'2017-10-12T16:10:58-0600',mode:absolute,to:'2017-10-12T18:14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1" s="226" t="str">
        <f>IF(AA231&lt;VLOOKUP(AG231,Variables!$AC$3:$AD$8,2,FALSE),"Y","N")</f>
        <v>Y</v>
      </c>
      <c r="X231" s="226">
        <f t="shared" si="106"/>
        <v>0</v>
      </c>
      <c r="Y231" s="226">
        <f t="shared" si="98"/>
        <v>0.29849999999999999</v>
      </c>
      <c r="Z231" s="226">
        <f t="shared" si="99"/>
        <v>1.54E-2</v>
      </c>
      <c r="AA231" s="226">
        <f t="shared" si="107"/>
        <v>0.28309999999999996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08"/>
        <v>63</v>
      </c>
      <c r="AE231" s="77" t="str">
        <f t="shared" si="109"/>
        <v>aws s3 cp s3://rtdc.mdm.uploadarchive.raw/RTDC4061/ "%USERPROFILE%\AppData\Local\Temp\OnboardLogs"\RTDC4061\2017-10-12 --exclude "*" --recursive --include "*20171012*" &amp; "%USERPROFILE%\Documents\GitHub\mrs-test-scripts\Headless Mode &amp; Sideloading\WalkAndUnGZ.bat" "%USERPROFILE%\AppData\Local\Temp\OnboardLogs"\RTDC4061\2017-10-12 &amp; aws s3 cp s3://rtdc.mdm.uploadarchive.raw/RTDC4061/ "%USERPROFILE%\AppData\Local\Temp\OnboardLogs"\RTDC4061\2017-10-13 --exclude "*" --recursive --include "*20171013*" &amp; "%USERPROFILE%\Documents\GitHub\mrs-test-scripts\Headless Mode &amp; Sideloading\WalkAndUnGZ.bat" "%USERPROFILE%\AppData\Local\Temp\OnboardLogs"\RTDC4061\2017-10-13</v>
      </c>
      <c r="AF231" s="74" t="str">
        <f t="shared" si="110"/>
        <v>"C:\Program Files (x86)\AstroGrep\AstroGrep.exe" /e /r /s /spath="%USERPROFILE%\AppData\Local\Temp\OnboardLogs" /stypes="app*4061*20171012*" /stext=" 23:.+((SYSTEM_STATE.+slice.+state.+changed )|(ment ac)|(multiple cpu faults)|(system.+state.+changed )|(\[timeout)|(PRM\|1\|D)|(kpr)|(kdp)|(train st.+moving)|(\|lc)|(penalty))"</v>
      </c>
      <c r="AG231" s="182" t="str">
        <f t="shared" si="111"/>
        <v>Shuttle/Test</v>
      </c>
      <c r="AH231" s="78" t="str">
        <f t="shared" si="112"/>
        <v>"%USERPROFILE%\Documents\GitHub\eaglep3\Utilities\RefineRTDCRunTimes.py" --tripid 63-12 --locoid 4061 --swversion DE.1.0.9.0 --startMP 204:2985 --initTime 2017-10-12T17:10:58 --startdatetime 2017-10-12T17:13:04 --delay 60 --endMP 204:154 --enddatetime 2017-10-12T17:14:34 --enforcementcount 0 &gt;&gt;%USERPROFILE%\Documents\GitHub\eaglep3-reporting\EC\2017-10-12-refined-times.txt</v>
      </c>
      <c r="AI231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0.0154"},{"id":17,"name":"Train ID","value":"63-12"},{"id":16,"name":"Locomotive ID","value":"4061"},{"id":130,"name":"Impact","value":""},{"id":150,"name":"Time of Event (Mountain Time)","value":"17:14:34"},{"id":151,"name":"Denver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14"/>
        <v>start /low /b %USERPROFILE%\Documents\GitHub\eaglep3\Utilities\DownloadLogsFromS3.py --loco 4061 --day 2017-10-12</v>
      </c>
      <c r="AN231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23:14:34"},{"id":29,"name":"Sharepoint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16"/>
        <v>https://d0f6bd738d7f1b3e5a7ca70fe4ff75f0.us-east-1.aws.found.io/app/kibana#/discover/Steve-Slow-Train-Analysis-(2080s-and-2083s)?_g=(refreshInterval:(display:Off,pause:!f,section:0,value:0),time:(from:'2017-10-12T16:10:58-0600',mode:absolute,to:'2017-10-12T18:14:34-0600'))&amp;_a=(columns:!('Message%20ID',Summary),filters:!(),index:'emp_*',interval:auto,query:(query_string:(analyze_wildcard:!t,query:'%22rtdc.l.rtdc.4061%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763</v>
      </c>
      <c r="B232" s="7">
        <v>4013</v>
      </c>
      <c r="C232" s="21" t="s">
        <v>194</v>
      </c>
      <c r="D232" s="21" t="s">
        <v>906</v>
      </c>
      <c r="E232" s="13">
        <v>43020.731886574074</v>
      </c>
      <c r="F232" s="13">
        <v>43020.734560185185</v>
      </c>
      <c r="G232" s="7">
        <v>99</v>
      </c>
      <c r="H232" s="21" t="s">
        <v>337</v>
      </c>
      <c r="I232" s="13">
        <v>43020.740277777775</v>
      </c>
      <c r="J232" s="7">
        <v>0</v>
      </c>
      <c r="K232" s="89" t="str">
        <f t="shared" si="102"/>
        <v>4013/4014</v>
      </c>
      <c r="L232" s="185" t="str">
        <f>VLOOKUP(A232,'Trips&amp;Operators'!$C$1:$G$99911,5,FALSE)</f>
        <v>NICHOLSON WESLEY</v>
      </c>
      <c r="M232" s="6">
        <f t="shared" si="103"/>
        <v>5.7175925903720781E-3</v>
      </c>
      <c r="N232" s="7">
        <f t="shared" si="100"/>
        <v>8.2333333301357925</v>
      </c>
      <c r="O232" s="7"/>
      <c r="P232" s="7"/>
      <c r="Q232" s="22"/>
      <c r="R232" s="174"/>
      <c r="S232" s="199">
        <f t="shared" si="101"/>
        <v>1</v>
      </c>
      <c r="T232" s="174" t="str">
        <f t="shared" si="104"/>
        <v>Southbound</v>
      </c>
      <c r="U232" s="22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25" t="str">
        <f t="shared" si="105"/>
        <v>https://d0f6bd738d7f1b3e5a7ca70fe4ff75f0.us-east-1.aws.found.io/app/kibana#/discover/Steve-Slow-Train-Analysis-(2080s-and-2083s)?_g=(refreshInterval:(display:Off,pause:!f,section:0,value:0),time:(from:'2017-10-12T16:33:55-0600',mode:absolute,to:'2017-10-12T18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2" s="226" t="str">
        <f>IF(AA232&lt;VLOOKUP(AG232,Variables!$AC$3:$AD$8,2,FALSE),"Y","N")</f>
        <v>Y</v>
      </c>
      <c r="X232" s="226">
        <f t="shared" si="106"/>
        <v>13</v>
      </c>
      <c r="Y232" s="226">
        <f t="shared" si="98"/>
        <v>2.3555000000000001</v>
      </c>
      <c r="Z232" s="226">
        <f t="shared" si="99"/>
        <v>1.43E-2</v>
      </c>
      <c r="AA232" s="226">
        <f t="shared" si="107"/>
        <v>2.3412000000000002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08"/>
        <v>76</v>
      </c>
      <c r="AE232" s="77" t="str">
        <f t="shared" si="109"/>
        <v>aws s3 cp s3://rtdc.mdm.uploadarchive.raw/RTDC4013/ "%USERPROFILE%\AppData\Local\Temp\OnboardLogs"\RTDC4013\2017-10-12 --exclude "*" --recursive --include "*20171012*" &amp; "%USERPROFILE%\Documents\GitHub\mrs-test-scripts\Headless Mode &amp; Sideloading\WalkAndUnGZ.bat" "%USERPROFILE%\AppData\Local\Temp\OnboardLogs"\RTDC4013\2017-10-12 &amp; aws s3 cp s3://rtdc.mdm.uploadarchive.raw/RTDC4013/ "%USERPROFILE%\AppData\Local\Temp\OnboardLogs"\RTDC4013\2017-10-13 --exclude "*" --recursive --include "*20171013*" &amp; "%USERPROFILE%\Documents\GitHub\mrs-test-scripts\Headless Mode &amp; Sideloading\WalkAndUnGZ.bat" "%USERPROFILE%\AppData\Local\Temp\OnboardLogs"\RTDC4013\2017-10-13</v>
      </c>
      <c r="AF232" s="74" t="str">
        <f t="shared" si="110"/>
        <v>"C:\Program Files (x86)\AstroGrep\AstroGrep.exe" /e /r /s /spath="%USERPROFILE%\AppData\Local\Temp\OnboardLogs" /stypes="app*4013*20171012*" /stext=" 23:.+((SYSTEM_STATE.+slice.+state.+changed )|(ment ac)|(multiple cpu faults)|(system.+state.+changed )|(\[timeout)|(PRM\|1\|D)|(kpr)|(kdp)|(train st.+moving)|(\|lc)|(penalty))"</v>
      </c>
      <c r="AG232" s="182" t="str">
        <f t="shared" si="111"/>
        <v>Shuttle/Test</v>
      </c>
      <c r="AH232" s="78" t="str">
        <f t="shared" si="112"/>
        <v>"%USERPROFILE%\Documents\GitHub\eaglep3\Utilities\RefineRTDCRunTimes.py" --tripid 76-12 --locoid 4013 --swversion DE.1.0.9.0 --startMP 300:23555 --initTime 2017-10-12T17:33:55 --startdatetime 2017-10-12T17:37:46 --delay 99 --endMP 204:143 --enddatetime 2017-10-12T17:46:00 --enforcementcount 0 &gt;&gt;%USERPROFILE%\Documents\GitHub\eaglep3-reporting\EC\2017-10-12-refined-times.txt</v>
      </c>
      <c r="AI232" s="96" t="str">
        <f t="shared" si="113"/>
        <v>echo {"issue":{"subject":"","project_id":79,"tracker_id":40,"status_id":1,"priority_id":2,"assigned_to_id":338,"start_date":"2017-10-12","description":"","custom_fields":[{"id":1,"name":"Subdivision","value":"Shuttle/Test"},{"id":4,"name":"Milepost","value":"0.0143"},{"id":17,"name":"Train ID","value":"76-12"},{"id":16,"name":"Locomotive ID","value":"4013"},{"id":130,"name":"Impact","value":""},{"id":150,"name":"Time of Event (Mountain Time)","value":"17:46:00"},{"id":151,"name":"Denver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14"/>
        <v>start /low /b %USERPROFILE%\Documents\GitHub\eaglep3\Utilities\DownloadLogsFromS3.py --loco 4013 --day 2017-10-12</v>
      </c>
      <c r="AN232" s="151" t="str">
        <f t="shared" si="115"/>
        <v>echo {"issue":{"subject":"","project_id":30,"tracker_id":4,"status_id":1,"priority_id":1,"assigned_to_id":10,"start_date":"2017-10-12","description":"","custom_fields":[{"id":30,"name":"Category","value":"Issue"},{"id":3,"name":"Functional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UTC","value":"2017-10-12 23:46:00"},{"id":29,"name":"Sharepoint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16"/>
        <v>https://d0f6bd738d7f1b3e5a7ca70fe4ff75f0.us-east-1.aws.found.io/app/kibana#/discover/Steve-Slow-Train-Analysis-(2080s-and-2083s)?_g=(refreshInterval:(display:Off,pause:!f,section:0,value:0),time:(from:'2017-10-12T16:33:55-0600',mode:absolute,to:'2017-10-12T18:46:00-0600'))&amp;_a=(columns:!('Message%20ID',Summary),filters:!(),index:'emp_*',interval:auto,query:(query_string:(analyze_wildcard:!t,query:'%22rtdc.l.rtdc.4013%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 s="207"/>
      <c r="V233" s="207"/>
      <c r="W233" s="207"/>
      <c r="X233" s="207"/>
      <c r="Y233" s="207"/>
      <c r="Z233" s="207"/>
      <c r="AA233" s="207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 s="207"/>
      <c r="V234" s="207"/>
      <c r="W234" s="207"/>
      <c r="X234" s="207"/>
      <c r="Y234" s="207"/>
      <c r="Z234" s="207"/>
      <c r="AA234" s="207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 s="207"/>
      <c r="V235" s="207"/>
      <c r="W235" s="207"/>
      <c r="X235" s="207"/>
      <c r="Y235" s="207"/>
      <c r="Z235" s="207"/>
      <c r="AA235" s="207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 s="207"/>
      <c r="V236" s="207"/>
      <c r="W236" s="207"/>
      <c r="X236" s="207"/>
      <c r="Y236" s="207"/>
      <c r="Z236" s="207"/>
      <c r="AA236" s="207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 s="207"/>
      <c r="V237" s="207"/>
      <c r="W237" s="207"/>
      <c r="X237" s="207"/>
      <c r="Y237" s="207"/>
      <c r="Z237" s="207"/>
      <c r="AA237" s="20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 s="207"/>
      <c r="V238" s="207"/>
      <c r="W238" s="207"/>
      <c r="X238" s="207"/>
      <c r="Y238" s="207"/>
      <c r="Z238" s="207"/>
      <c r="AA238" s="207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 s="207"/>
      <c r="V239" s="207"/>
      <c r="W239" s="207"/>
      <c r="X239" s="207"/>
      <c r="Y239" s="207"/>
      <c r="Z239" s="207"/>
      <c r="AA239" s="207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 s="207"/>
      <c r="V240" s="207"/>
      <c r="W240" s="207"/>
      <c r="X240" s="207"/>
      <c r="Y240" s="207"/>
      <c r="Z240" s="207"/>
      <c r="AA240" s="207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 s="207"/>
      <c r="V241" s="207"/>
      <c r="W241" s="207"/>
      <c r="X241" s="207"/>
      <c r="Y241" s="207"/>
      <c r="Z241" s="207"/>
      <c r="AA241" s="207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 s="207"/>
      <c r="V242" s="207"/>
      <c r="W242" s="207"/>
      <c r="X242" s="207"/>
      <c r="Y242" s="207"/>
      <c r="Z242" s="207"/>
      <c r="AA242" s="207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 s="207"/>
      <c r="V243" s="207"/>
      <c r="W243" s="207"/>
      <c r="X243" s="207"/>
      <c r="Y243" s="207"/>
      <c r="Z243" s="207"/>
      <c r="AA243" s="207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 s="207"/>
      <c r="V244" s="207"/>
      <c r="W244" s="207"/>
      <c r="X244" s="207"/>
      <c r="Y244" s="207"/>
      <c r="Z244" s="207"/>
      <c r="AA244" s="207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 s="207"/>
      <c r="V245" s="207"/>
      <c r="W245" s="207"/>
      <c r="X245" s="207"/>
      <c r="Y245" s="207"/>
      <c r="Z245" s="207"/>
      <c r="AA245" s="207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 s="207"/>
      <c r="V246" s="207"/>
      <c r="W246" s="207"/>
      <c r="X246" s="207"/>
      <c r="Y246" s="207"/>
      <c r="Z246" s="207"/>
      <c r="AA246" s="207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 s="207"/>
      <c r="V247" s="207"/>
      <c r="W247" s="207"/>
      <c r="X247" s="207"/>
      <c r="Y247" s="207"/>
      <c r="Z247" s="207"/>
      <c r="AA247" s="20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 s="207"/>
      <c r="V248" s="207"/>
      <c r="W248" s="207"/>
      <c r="X248" s="207"/>
      <c r="Y248" s="207"/>
      <c r="Z248" s="207"/>
      <c r="AA248" s="207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 s="207"/>
      <c r="V249" s="207"/>
      <c r="W249" s="207"/>
      <c r="X249" s="207"/>
      <c r="Y249" s="207"/>
      <c r="Z249" s="207"/>
      <c r="AA249" s="207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 s="207"/>
      <c r="V250" s="207"/>
      <c r="W250" s="207"/>
      <c r="X250" s="207"/>
      <c r="Y250" s="207"/>
      <c r="Z250" s="207"/>
      <c r="AA250" s="207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 s="207"/>
      <c r="V251" s="207"/>
      <c r="W251" s="207"/>
      <c r="X251" s="207"/>
      <c r="Y251" s="207"/>
      <c r="Z251" s="207"/>
      <c r="AA251" s="207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 s="207"/>
      <c r="V252" s="207"/>
      <c r="W252" s="207"/>
      <c r="X252" s="207"/>
      <c r="Y252" s="207"/>
      <c r="Z252" s="207"/>
      <c r="AA252" s="207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 s="207"/>
      <c r="V253" s="207"/>
      <c r="W253" s="207"/>
      <c r="X253" s="207"/>
      <c r="Y253" s="207"/>
      <c r="Z253" s="207"/>
      <c r="AA253" s="207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 s="207"/>
      <c r="V254" s="207"/>
      <c r="W254" s="207"/>
      <c r="X254" s="207"/>
      <c r="Y254" s="207"/>
      <c r="Z254" s="207"/>
      <c r="AA254" s="207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 s="207"/>
      <c r="V255" s="207"/>
      <c r="W255" s="207"/>
      <c r="X255" s="207"/>
      <c r="Y255" s="207"/>
      <c r="Z255" s="207"/>
      <c r="AA255" s="207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V256" s="207"/>
      <c r="W256" s="207"/>
      <c r="X256" s="207"/>
      <c r="Y256" s="207"/>
      <c r="Z256" s="207"/>
      <c r="AA256" s="207"/>
      <c r="AB256"/>
      <c r="AC256"/>
      <c r="AD256"/>
      <c r="AE256"/>
      <c r="AF256"/>
      <c r="AG256"/>
      <c r="AH256"/>
      <c r="AI256"/>
      <c r="AM256"/>
      <c r="AO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 s="207"/>
      <c r="V257" s="207"/>
      <c r="W257" s="207"/>
      <c r="X257" s="207"/>
      <c r="Y257" s="207"/>
      <c r="Z257" s="207"/>
      <c r="AA257" s="20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 s="207"/>
      <c r="V258" s="207"/>
      <c r="W258" s="207"/>
      <c r="X258" s="207"/>
      <c r="Y258" s="207"/>
      <c r="Z258" s="207"/>
      <c r="AA258" s="207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 s="207"/>
      <c r="V259" s="207"/>
      <c r="W259" s="207"/>
      <c r="X259" s="207"/>
      <c r="Y259" s="207"/>
      <c r="Z259" s="207"/>
      <c r="AA259" s="207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 s="207"/>
      <c r="V260" s="207"/>
      <c r="W260" s="207"/>
      <c r="X260" s="207"/>
      <c r="Y260" s="207"/>
      <c r="Z260" s="207"/>
      <c r="AA260" s="207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 s="207"/>
      <c r="V261" s="207"/>
      <c r="W261" s="207"/>
      <c r="X261" s="207"/>
      <c r="Y261" s="207"/>
      <c r="Z261" s="207"/>
      <c r="AA261" s="207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V262" s="207"/>
      <c r="W262" s="207"/>
      <c r="X262" s="207"/>
      <c r="Y262" s="207"/>
      <c r="Z262" s="207"/>
      <c r="AA262" s="207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V263" s="207"/>
      <c r="W263" s="207"/>
      <c r="X263" s="207"/>
      <c r="Y263" s="207"/>
      <c r="Z263" s="207"/>
      <c r="AA263" s="207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 s="207"/>
      <c r="V264" s="207"/>
      <c r="W264" s="207"/>
      <c r="X264" s="207"/>
      <c r="Y264" s="207"/>
      <c r="Z264" s="207"/>
      <c r="AA264" s="207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 s="207"/>
      <c r="V265" s="207"/>
      <c r="W265" s="207"/>
      <c r="X265" s="207"/>
      <c r="Y265" s="207"/>
      <c r="Z265" s="207"/>
      <c r="AA265" s="207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 s="207"/>
      <c r="V266" s="207"/>
      <c r="W266" s="207"/>
      <c r="X266" s="207"/>
      <c r="Y266" s="207"/>
      <c r="Z266" s="207"/>
      <c r="AA266" s="207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 s="207"/>
      <c r="V267" s="207"/>
      <c r="W267" s="207"/>
      <c r="X267" s="207"/>
      <c r="Y267" s="207"/>
      <c r="Z267" s="207"/>
      <c r="AA267" s="20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 s="207"/>
      <c r="V268" s="207"/>
      <c r="W268" s="207"/>
      <c r="X268" s="207"/>
      <c r="Y268" s="207"/>
      <c r="Z268" s="207"/>
      <c r="AA268" s="207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 s="207"/>
      <c r="V269" s="207"/>
      <c r="W269" s="207"/>
      <c r="X269" s="207"/>
      <c r="Y269" s="207"/>
      <c r="Z269" s="207"/>
      <c r="AA269" s="207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V270" s="207"/>
      <c r="W270" s="207"/>
      <c r="X270" s="207"/>
      <c r="Y270" s="207"/>
      <c r="Z270" s="207"/>
      <c r="AA270" s="207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 s="207"/>
      <c r="V271" s="207"/>
      <c r="W271" s="207"/>
      <c r="X271" s="207"/>
      <c r="Y271" s="207"/>
      <c r="Z271" s="207"/>
      <c r="AA271" s="207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V272" s="207"/>
      <c r="W272" s="207"/>
      <c r="X272" s="207"/>
      <c r="Y272" s="207"/>
      <c r="Z272" s="207"/>
      <c r="AA272" s="207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 s="207"/>
      <c r="V273" s="207"/>
      <c r="W273" s="207"/>
      <c r="X273" s="207"/>
      <c r="Y273" s="207"/>
      <c r="Z273" s="207"/>
      <c r="AA273" s="207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V274" s="207"/>
      <c r="W274" s="207"/>
      <c r="X274" s="207"/>
      <c r="Y274" s="207"/>
      <c r="Z274" s="207"/>
      <c r="AA274" s="207"/>
      <c r="AB274"/>
      <c r="AC274"/>
      <c r="AD274"/>
      <c r="AE274"/>
      <c r="AF274"/>
      <c r="AG274"/>
      <c r="AH274"/>
      <c r="AI274"/>
      <c r="AM274"/>
      <c r="AO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 s="207"/>
      <c r="V275" s="207"/>
      <c r="W275" s="207"/>
      <c r="X275" s="207"/>
      <c r="Y275" s="207"/>
      <c r="Z275" s="207"/>
      <c r="AA275" s="207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V276" s="207"/>
      <c r="W276" s="207"/>
      <c r="X276" s="207"/>
      <c r="Y276" s="207"/>
      <c r="Z276" s="207"/>
      <c r="AA276" s="207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 s="207"/>
      <c r="V277" s="207"/>
      <c r="W277" s="207"/>
      <c r="X277" s="207"/>
      <c r="Y277" s="207"/>
      <c r="Z277" s="207"/>
      <c r="AA277" s="20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 s="207"/>
      <c r="V278" s="207"/>
      <c r="W278" s="207"/>
      <c r="X278" s="207"/>
      <c r="Y278" s="207"/>
      <c r="Z278" s="207"/>
      <c r="AA278" s="207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V279" s="207"/>
      <c r="W279" s="207"/>
      <c r="X279" s="207"/>
      <c r="Y279" s="207"/>
      <c r="Z279" s="207"/>
      <c r="AA279" s="207"/>
      <c r="AB279"/>
      <c r="AC279"/>
      <c r="AD279"/>
      <c r="AE279"/>
      <c r="AF279"/>
      <c r="AG279"/>
      <c r="AH279"/>
      <c r="AI279"/>
      <c r="AM279"/>
      <c r="AO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 s="207"/>
      <c r="V280" s="207"/>
      <c r="W280" s="207"/>
      <c r="X280" s="207"/>
      <c r="Y280" s="207"/>
      <c r="Z280" s="207"/>
      <c r="AA280" s="207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V281" s="207"/>
      <c r="W281" s="207"/>
      <c r="X281" s="207"/>
      <c r="Y281" s="207"/>
      <c r="Z281" s="207"/>
      <c r="AA281" s="207"/>
      <c r="AB281"/>
      <c r="AC281"/>
      <c r="AD281"/>
      <c r="AE281"/>
      <c r="AF281"/>
      <c r="AG281"/>
      <c r="AH281"/>
      <c r="AI281"/>
      <c r="AM281"/>
      <c r="AO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 s="207"/>
      <c r="V282" s="207"/>
      <c r="W282" s="207"/>
      <c r="X282" s="207"/>
      <c r="Y282" s="207"/>
      <c r="Z282" s="207"/>
      <c r="AA282" s="207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 s="207"/>
      <c r="V283" s="207"/>
      <c r="W283" s="207"/>
      <c r="X283" s="207"/>
      <c r="Y283" s="207"/>
      <c r="Z283" s="207"/>
      <c r="AA283" s="207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 s="207"/>
      <c r="V284" s="207"/>
      <c r="W284" s="207"/>
      <c r="X284" s="207"/>
      <c r="Y284" s="207"/>
      <c r="Z284" s="207"/>
      <c r="AA284" s="207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V285" s="207"/>
      <c r="W285" s="207"/>
      <c r="X285" s="207"/>
      <c r="Y285" s="207"/>
      <c r="Z285" s="207"/>
      <c r="AA285" s="207"/>
      <c r="AB285"/>
      <c r="AC285"/>
      <c r="AD285"/>
      <c r="AE285"/>
      <c r="AF285"/>
      <c r="AG285"/>
      <c r="AH285"/>
      <c r="AI285"/>
      <c r="AM285"/>
      <c r="AO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 s="207"/>
      <c r="V286" s="207"/>
      <c r="W286" s="207"/>
      <c r="X286" s="207"/>
      <c r="Y286" s="207"/>
      <c r="Z286" s="207"/>
      <c r="AA286" s="207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 s="207"/>
      <c r="V287" s="207"/>
      <c r="W287" s="207"/>
      <c r="X287" s="207"/>
      <c r="Y287" s="207"/>
      <c r="Z287" s="207"/>
      <c r="AA287" s="20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 s="207"/>
      <c r="V288" s="207"/>
      <c r="W288" s="207"/>
      <c r="X288" s="207"/>
      <c r="Y288" s="207"/>
      <c r="Z288" s="207"/>
      <c r="AA288" s="207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V289" s="207"/>
      <c r="W289" s="207"/>
      <c r="X289" s="207"/>
      <c r="Y289" s="207"/>
      <c r="Z289" s="207"/>
      <c r="AA289" s="207"/>
      <c r="AB289"/>
      <c r="AC289"/>
      <c r="AD289"/>
      <c r="AE289"/>
      <c r="AF289"/>
      <c r="AG289"/>
      <c r="AH289"/>
      <c r="AI289"/>
      <c r="AM289"/>
      <c r="AO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 s="207"/>
      <c r="V290" s="207"/>
      <c r="W290" s="207"/>
      <c r="X290" s="207"/>
      <c r="Y290" s="207"/>
      <c r="Z290" s="207"/>
      <c r="AA290" s="207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 s="207"/>
      <c r="V291" s="207"/>
      <c r="W291" s="207"/>
      <c r="X291" s="207"/>
      <c r="Y291" s="207"/>
      <c r="Z291" s="207"/>
      <c r="AA291" s="207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 s="207"/>
      <c r="V292" s="207"/>
      <c r="W292" s="207"/>
      <c r="X292" s="207"/>
      <c r="Y292" s="207"/>
      <c r="Z292" s="207"/>
      <c r="AA292" s="207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 s="207"/>
      <c r="V293" s="207"/>
      <c r="W293" s="207"/>
      <c r="X293" s="207"/>
      <c r="Y293" s="207"/>
      <c r="Z293" s="207"/>
      <c r="AA293" s="207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V294" s="207"/>
      <c r="W294" s="207"/>
      <c r="X294" s="207"/>
      <c r="Y294" s="207"/>
      <c r="Z294" s="207"/>
      <c r="AA294" s="207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V295" s="207"/>
      <c r="W295" s="207"/>
      <c r="X295" s="207"/>
      <c r="Y295" s="207"/>
      <c r="Z295" s="207"/>
      <c r="AA295" s="207"/>
      <c r="AB295"/>
      <c r="AC295"/>
      <c r="AD295"/>
      <c r="AE295"/>
      <c r="AF295"/>
      <c r="AG295"/>
      <c r="AH295"/>
      <c r="AI295"/>
      <c r="AM295"/>
      <c r="AO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 s="207"/>
      <c r="V296" s="207"/>
      <c r="W296" s="207"/>
      <c r="X296" s="207"/>
      <c r="Y296" s="207"/>
      <c r="Z296" s="207"/>
      <c r="AA296" s="207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V297" s="207"/>
      <c r="W297" s="207"/>
      <c r="X297" s="207"/>
      <c r="Y297" s="207"/>
      <c r="Z297" s="207"/>
      <c r="AA297" s="207"/>
      <c r="AB297"/>
      <c r="AC297"/>
      <c r="AD297"/>
      <c r="AE297"/>
      <c r="AF297"/>
      <c r="AG297"/>
      <c r="AH297"/>
      <c r="AI297"/>
      <c r="AM297"/>
      <c r="AO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 s="207"/>
      <c r="V298" s="207"/>
      <c r="W298" s="207"/>
      <c r="X298" s="207"/>
      <c r="Y298" s="207"/>
      <c r="Z298" s="207"/>
      <c r="AA298" s="207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 s="207"/>
      <c r="V299" s="207"/>
      <c r="W299" s="207"/>
      <c r="X299" s="207"/>
      <c r="Y299" s="207"/>
      <c r="Z299" s="207"/>
      <c r="AA299" s="207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 s="207"/>
      <c r="V300" s="207"/>
      <c r="W300" s="207"/>
      <c r="X300" s="207"/>
      <c r="Y300" s="207"/>
      <c r="Z300" s="207"/>
      <c r="AA300" s="207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V301" s="207"/>
      <c r="W301" s="207"/>
      <c r="X301" s="207"/>
      <c r="Y301" s="207"/>
      <c r="Z301" s="207"/>
      <c r="AA301" s="207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V302" s="207"/>
      <c r="W302" s="207"/>
      <c r="X302" s="207"/>
      <c r="Y302" s="207"/>
      <c r="Z302" s="207"/>
      <c r="AA302" s="207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V303" s="207"/>
      <c r="W303" s="207"/>
      <c r="X303" s="207"/>
      <c r="Y303" s="207"/>
      <c r="Z303" s="207"/>
      <c r="AA303" s="207"/>
      <c r="AB303"/>
      <c r="AC303"/>
      <c r="AD303"/>
      <c r="AE303"/>
      <c r="AF303"/>
      <c r="AG303"/>
      <c r="AH303"/>
      <c r="AI303"/>
      <c r="AM303"/>
      <c r="AO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 s="207"/>
      <c r="V304" s="207"/>
      <c r="W304" s="207"/>
      <c r="X304" s="207"/>
      <c r="Y304" s="207"/>
      <c r="Z304" s="207"/>
      <c r="AA304" s="207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V305" s="207"/>
      <c r="W305" s="207"/>
      <c r="X305" s="207"/>
      <c r="Y305" s="207"/>
      <c r="Z305" s="207"/>
      <c r="AA305" s="207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V306" s="207"/>
      <c r="W306" s="207"/>
      <c r="X306" s="207"/>
      <c r="Y306" s="207"/>
      <c r="Z306" s="207"/>
      <c r="AA306" s="207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V307" s="207"/>
      <c r="W307" s="207"/>
      <c r="X307" s="207"/>
      <c r="Y307" s="207"/>
      <c r="Z307" s="207"/>
      <c r="AA307" s="2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V308" s="207"/>
      <c r="W308" s="207"/>
      <c r="X308" s="207"/>
      <c r="Y308" s="207"/>
      <c r="Z308" s="207"/>
      <c r="AA308" s="207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V309" s="207"/>
      <c r="W309" s="207"/>
      <c r="X309" s="207"/>
      <c r="Y309" s="207"/>
      <c r="Z309" s="207"/>
      <c r="AA309" s="207"/>
      <c r="AB309"/>
      <c r="AC309"/>
      <c r="AD309"/>
      <c r="AE309"/>
      <c r="AF309"/>
      <c r="AG309"/>
      <c r="AH309"/>
      <c r="AI309"/>
      <c r="AM309"/>
      <c r="AO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 s="207"/>
      <c r="V310" s="207"/>
      <c r="W310" s="207"/>
      <c r="X310" s="207"/>
      <c r="Y310" s="207"/>
      <c r="Z310" s="207"/>
      <c r="AA310" s="207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 s="207"/>
      <c r="V311" s="207"/>
      <c r="W311" s="207"/>
      <c r="X311" s="207"/>
      <c r="Y311" s="207"/>
      <c r="Z311" s="207"/>
      <c r="AA311" s="207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V312" s="207"/>
      <c r="W312" s="207"/>
      <c r="X312" s="207"/>
      <c r="Y312" s="207"/>
      <c r="Z312" s="207"/>
      <c r="AA312" s="207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V313" s="207"/>
      <c r="W313" s="207"/>
      <c r="X313" s="207"/>
      <c r="Y313" s="207"/>
      <c r="Z313" s="207"/>
      <c r="AA313" s="207"/>
      <c r="AB313"/>
      <c r="AC313"/>
      <c r="AD313"/>
      <c r="AE313"/>
      <c r="AF313"/>
      <c r="AG313"/>
      <c r="AH313"/>
      <c r="AI313"/>
      <c r="AM313"/>
      <c r="AO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 s="207"/>
      <c r="V314" s="207"/>
      <c r="W314" s="207"/>
      <c r="X314" s="207"/>
      <c r="Y314" s="207"/>
      <c r="Z314" s="207"/>
      <c r="AA314" s="207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V315" s="207"/>
      <c r="W315" s="207"/>
      <c r="X315" s="207"/>
      <c r="Y315" s="207"/>
      <c r="Z315" s="207"/>
      <c r="AA315" s="207"/>
      <c r="AB315"/>
      <c r="AC315"/>
      <c r="AD315"/>
      <c r="AE315"/>
      <c r="AF315"/>
      <c r="AG315"/>
      <c r="AH315"/>
      <c r="AI315"/>
      <c r="AM315"/>
      <c r="AO315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V316" s="207"/>
      <c r="W316" s="207"/>
      <c r="X316" s="207"/>
      <c r="Y316" s="207"/>
      <c r="Z316" s="207"/>
      <c r="AA316" s="207"/>
      <c r="AB316"/>
      <c r="AC316"/>
      <c r="AD316"/>
      <c r="AE316"/>
      <c r="AF316"/>
      <c r="AG316"/>
      <c r="AH316"/>
      <c r="AI316"/>
      <c r="AM316"/>
      <c r="AO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V317" s="207"/>
      <c r="W317" s="207"/>
      <c r="X317" s="207"/>
      <c r="Y317" s="207"/>
      <c r="Z317" s="207"/>
      <c r="AA317" s="20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V318" s="207"/>
      <c r="W318" s="207"/>
      <c r="X318" s="207"/>
      <c r="Y318" s="207"/>
      <c r="Z318" s="207"/>
      <c r="AA318" s="207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V319" s="207"/>
      <c r="W319" s="207"/>
      <c r="X319" s="207"/>
      <c r="Y319" s="207"/>
      <c r="Z319" s="207"/>
      <c r="AA319" s="207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V320" s="207"/>
      <c r="W320" s="207"/>
      <c r="X320" s="207"/>
      <c r="Y320" s="207"/>
      <c r="Z320" s="207"/>
      <c r="AA320" s="207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V321" s="207"/>
      <c r="W321" s="207"/>
      <c r="X321" s="207"/>
      <c r="Y321" s="207"/>
      <c r="Z321" s="207"/>
      <c r="AA321" s="207"/>
      <c r="AB321"/>
      <c r="AC321"/>
      <c r="AD321"/>
      <c r="AE321"/>
      <c r="AF321"/>
      <c r="AG321"/>
      <c r="AH321"/>
      <c r="AI321"/>
      <c r="AM321"/>
      <c r="AO321"/>
    </row>
    <row r="322" spans="1:9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V322" s="207"/>
      <c r="W322" s="207"/>
      <c r="X322" s="207"/>
      <c r="Y322" s="207"/>
      <c r="Z322" s="207"/>
      <c r="AA322" s="207"/>
      <c r="AB322"/>
      <c r="AC322"/>
      <c r="AD322"/>
      <c r="AE322"/>
      <c r="AF322"/>
      <c r="AG322"/>
      <c r="AH322"/>
      <c r="AI322"/>
      <c r="AM322"/>
      <c r="AO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V323" s="207"/>
      <c r="W323" s="207"/>
      <c r="X323" s="207"/>
      <c r="Y323" s="207"/>
      <c r="Z323" s="207"/>
      <c r="AA323" s="207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V324" s="207"/>
      <c r="W324" s="207"/>
      <c r="X324" s="207"/>
      <c r="Y324" s="207"/>
      <c r="Z324" s="207"/>
      <c r="AA324" s="207"/>
      <c r="AB324"/>
      <c r="AC324"/>
      <c r="AD324"/>
      <c r="AE324"/>
      <c r="AF324"/>
      <c r="AG324"/>
      <c r="AH324"/>
      <c r="AI324"/>
      <c r="AM324"/>
      <c r="AO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 s="207"/>
      <c r="V325" s="207"/>
      <c r="W325" s="207"/>
      <c r="X325" s="207"/>
      <c r="Y325" s="207"/>
      <c r="Z325" s="207"/>
      <c r="AA325" s="207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V326" s="207"/>
      <c r="W326" s="207"/>
      <c r="X326" s="207"/>
      <c r="Y326" s="207"/>
      <c r="Z326" s="207"/>
      <c r="AA326" s="207"/>
      <c r="AB326"/>
      <c r="AC326"/>
      <c r="AD326"/>
      <c r="AE326"/>
      <c r="AF326"/>
      <c r="AG326"/>
      <c r="AH326"/>
      <c r="AI326"/>
      <c r="AM326"/>
      <c r="AO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V327" s="207"/>
      <c r="W327" s="207"/>
      <c r="X327" s="207"/>
      <c r="Y327" s="207"/>
      <c r="Z327" s="207"/>
      <c r="AA327" s="207"/>
      <c r="AB327"/>
      <c r="AC327"/>
      <c r="AD327"/>
      <c r="AE327"/>
      <c r="AF327"/>
      <c r="AG327"/>
      <c r="AH327"/>
      <c r="AI327"/>
      <c r="AM327"/>
      <c r="AO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V328" s="207"/>
      <c r="W328" s="207"/>
      <c r="X328" s="207"/>
      <c r="Y328" s="207"/>
      <c r="Z328" s="207"/>
      <c r="AA328" s="207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V329" s="207"/>
      <c r="W329" s="207"/>
      <c r="X329" s="207"/>
      <c r="Y329" s="207"/>
      <c r="Z329" s="207"/>
      <c r="AA329" s="207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V330" s="207"/>
      <c r="W330" s="207"/>
      <c r="X330" s="207"/>
      <c r="Y330" s="207"/>
      <c r="Z330" s="207"/>
      <c r="AA330" s="207"/>
      <c r="AB330"/>
      <c r="AC330"/>
      <c r="AD330"/>
      <c r="AE330"/>
      <c r="AF330"/>
      <c r="AG330"/>
      <c r="AH330"/>
      <c r="AI330"/>
      <c r="AM330"/>
      <c r="AO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 s="207"/>
      <c r="V331" s="207"/>
      <c r="W331" s="207"/>
      <c r="X331" s="207"/>
      <c r="Y331" s="207"/>
      <c r="Z331" s="207"/>
      <c r="AA331" s="207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V332" s="207"/>
      <c r="W332" s="207"/>
      <c r="X332" s="207"/>
      <c r="Y332" s="207"/>
      <c r="Z332" s="207"/>
      <c r="AA332" s="207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V333" s="207"/>
      <c r="W333" s="207"/>
      <c r="X333" s="207"/>
      <c r="Y333" s="207"/>
      <c r="Z333" s="207"/>
      <c r="AA333" s="207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V334" s="207"/>
      <c r="W334" s="207"/>
      <c r="X334" s="207"/>
      <c r="Y334" s="207"/>
      <c r="Z334" s="207"/>
      <c r="AA334" s="207"/>
      <c r="AB334"/>
      <c r="AC334"/>
      <c r="AD334"/>
      <c r="AE334"/>
      <c r="AF334"/>
      <c r="AG334"/>
      <c r="AH334"/>
      <c r="AI334"/>
      <c r="AM334"/>
      <c r="AO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V335" s="207"/>
      <c r="W335" s="207"/>
      <c r="X335" s="207"/>
      <c r="Y335" s="207"/>
      <c r="Z335" s="207"/>
      <c r="AA335" s="207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V336" s="207"/>
      <c r="W336" s="207"/>
      <c r="X336" s="207"/>
      <c r="Y336" s="207"/>
      <c r="Z336" s="207"/>
      <c r="AA336" s="207"/>
      <c r="AB336"/>
      <c r="AC336"/>
      <c r="AD336"/>
      <c r="AE336"/>
      <c r="AF336"/>
      <c r="AG336"/>
      <c r="AH336"/>
      <c r="AI336"/>
      <c r="AM336"/>
      <c r="AO336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V337" s="207"/>
      <c r="W337" s="207"/>
      <c r="X337" s="207"/>
      <c r="Y337" s="207"/>
      <c r="Z337" s="207"/>
      <c r="AA337" s="207"/>
      <c r="AB337"/>
      <c r="AC337"/>
      <c r="AD337"/>
      <c r="AE337"/>
      <c r="AF337"/>
      <c r="AG337"/>
      <c r="AH337"/>
      <c r="AI337"/>
      <c r="AM337"/>
      <c r="AO337"/>
    </row>
    <row r="338" spans="1:9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V338" s="207"/>
      <c r="W338" s="207"/>
      <c r="X338" s="207"/>
      <c r="Y338" s="207"/>
      <c r="Z338" s="207"/>
      <c r="AA338" s="207"/>
      <c r="AB338"/>
      <c r="AC338"/>
      <c r="AD338"/>
      <c r="AE338"/>
      <c r="AF338"/>
      <c r="AG338"/>
      <c r="AH338"/>
      <c r="AI338"/>
      <c r="AM338"/>
      <c r="AO338"/>
    </row>
    <row r="339" spans="1:9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V339" s="207"/>
      <c r="W339" s="207"/>
      <c r="X339" s="207"/>
      <c r="Y339" s="207"/>
      <c r="Z339" s="207"/>
      <c r="AA339" s="207"/>
      <c r="AB339"/>
      <c r="AC339"/>
      <c r="AD339"/>
      <c r="AE339"/>
      <c r="AF339"/>
      <c r="AG339"/>
      <c r="AH339"/>
      <c r="AI339"/>
      <c r="AM339"/>
      <c r="AO339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V340" s="207"/>
      <c r="W340" s="207"/>
      <c r="X340" s="207"/>
      <c r="Y340" s="207"/>
      <c r="Z340" s="207"/>
      <c r="AA340" s="207"/>
      <c r="AB340"/>
      <c r="AC340"/>
      <c r="AD340"/>
      <c r="AE340"/>
      <c r="AF340"/>
      <c r="AG340"/>
      <c r="AH340"/>
      <c r="AI340"/>
      <c r="AM340"/>
      <c r="AO34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V341" s="207"/>
      <c r="W341" s="207"/>
      <c r="X341" s="207"/>
      <c r="Y341" s="207"/>
      <c r="Z341" s="207"/>
      <c r="AA341" s="207"/>
      <c r="AB341"/>
      <c r="AC341"/>
      <c r="AD341"/>
      <c r="AE341"/>
      <c r="AF341"/>
      <c r="AG341"/>
      <c r="AH341"/>
      <c r="AI341"/>
      <c r="AM341"/>
      <c r="AO341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V342" s="207"/>
      <c r="W342" s="207"/>
      <c r="X342" s="207"/>
      <c r="Y342" s="207"/>
      <c r="Z342" s="207"/>
      <c r="AA342" s="207"/>
      <c r="AB342"/>
      <c r="AC342"/>
      <c r="AD342"/>
      <c r="AE342"/>
      <c r="AF342"/>
      <c r="AG342"/>
      <c r="AH342"/>
      <c r="AI342"/>
      <c r="AM342"/>
      <c r="AO342"/>
    </row>
    <row r="343" spans="1:9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V343" s="207"/>
      <c r="W343" s="207"/>
      <c r="X343" s="207"/>
      <c r="Y343" s="207"/>
      <c r="Z343" s="207"/>
      <c r="AA343" s="207"/>
      <c r="AB343"/>
      <c r="AC343"/>
      <c r="AD343"/>
      <c r="AE343"/>
      <c r="AF343"/>
      <c r="AG343"/>
      <c r="AH343"/>
      <c r="AI343"/>
      <c r="AM343"/>
      <c r="AO343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V344" s="207"/>
      <c r="W344" s="207"/>
      <c r="X344" s="207"/>
      <c r="Y344" s="207"/>
      <c r="Z344" s="207"/>
      <c r="AA344" s="207"/>
      <c r="AB344"/>
      <c r="AC344"/>
      <c r="AD344"/>
      <c r="AE344"/>
      <c r="AF344"/>
      <c r="AG344"/>
      <c r="AH344"/>
      <c r="AI344"/>
      <c r="AM344"/>
      <c r="AO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V345" s="207"/>
      <c r="W345" s="207"/>
      <c r="X345" s="207"/>
      <c r="Y345" s="207"/>
      <c r="Z345" s="207"/>
      <c r="AA345" s="207"/>
      <c r="AB345"/>
      <c r="AC345"/>
      <c r="AD345"/>
      <c r="AE345"/>
      <c r="AF345"/>
      <c r="AG345"/>
      <c r="AH345"/>
      <c r="AI345"/>
      <c r="AM345"/>
      <c r="AO345"/>
    </row>
    <row r="346" spans="1:9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V346" s="207"/>
      <c r="W346" s="207"/>
      <c r="X346" s="207"/>
      <c r="Y346" s="207"/>
      <c r="Z346" s="207"/>
      <c r="AA346" s="207"/>
      <c r="AB346"/>
      <c r="AC346"/>
      <c r="AD346"/>
      <c r="AE346"/>
      <c r="AF346"/>
      <c r="AG346"/>
      <c r="AH346"/>
      <c r="AI346"/>
      <c r="AM346"/>
      <c r="AO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V347" s="207"/>
      <c r="W347" s="207"/>
      <c r="X347" s="207"/>
      <c r="Y347" s="207"/>
      <c r="Z347" s="207"/>
      <c r="AA347" s="207"/>
      <c r="AB347"/>
      <c r="AC347"/>
      <c r="AD347"/>
      <c r="AE347"/>
      <c r="AF347"/>
      <c r="AG347"/>
      <c r="AH347"/>
      <c r="AI347"/>
      <c r="AM347"/>
      <c r="AO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 s="207"/>
      <c r="V348" s="207"/>
      <c r="W348" s="207"/>
      <c r="X348" s="207"/>
      <c r="Y348" s="207"/>
      <c r="Z348" s="207"/>
      <c r="AA348" s="207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V349" s="207"/>
      <c r="W349" s="207"/>
      <c r="X349" s="207"/>
      <c r="Y349" s="207"/>
      <c r="Z349" s="207"/>
      <c r="AA349" s="207"/>
      <c r="AB349"/>
      <c r="AC349"/>
      <c r="AD349"/>
      <c r="AE349"/>
      <c r="AF349"/>
      <c r="AG349"/>
      <c r="AH349"/>
      <c r="AI349"/>
      <c r="AM349"/>
      <c r="AO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V350" s="207"/>
      <c r="W350" s="207"/>
      <c r="X350" s="207"/>
      <c r="Y350" s="207"/>
      <c r="Z350" s="207"/>
      <c r="AA350" s="207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V351" s="207"/>
      <c r="W351" s="207"/>
      <c r="X351" s="207"/>
      <c r="Y351" s="207"/>
      <c r="Z351" s="207"/>
      <c r="AA351" s="207"/>
      <c r="AB351"/>
      <c r="AC351"/>
      <c r="AD351"/>
      <c r="AE351"/>
      <c r="AF351"/>
      <c r="AG351"/>
      <c r="AH351"/>
      <c r="AI351"/>
      <c r="AM351"/>
      <c r="AO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 s="207"/>
      <c r="V352" s="207"/>
      <c r="W352" s="207"/>
      <c r="X352" s="207"/>
      <c r="Y352" s="207"/>
      <c r="Z352" s="207"/>
      <c r="AA352" s="207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4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V353" s="207"/>
      <c r="W353" s="207"/>
      <c r="X353" s="207"/>
      <c r="Y353" s="207"/>
      <c r="Z353" s="207"/>
      <c r="AA353" s="207"/>
      <c r="AB353"/>
      <c r="AC353"/>
      <c r="AD353"/>
      <c r="AE353"/>
      <c r="AF353"/>
      <c r="AG353"/>
      <c r="AH353"/>
      <c r="AI353"/>
      <c r="AM353"/>
      <c r="AO353"/>
    </row>
    <row r="354" spans="1:4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V354" s="207"/>
      <c r="W354" s="207"/>
      <c r="X354" s="207"/>
      <c r="Y354" s="207"/>
      <c r="Z354" s="207"/>
      <c r="AA354" s="207"/>
      <c r="AB354"/>
      <c r="AC354"/>
      <c r="AD354"/>
      <c r="AE354"/>
      <c r="AF354"/>
      <c r="AG354"/>
      <c r="AH354"/>
      <c r="AI354"/>
      <c r="AM354"/>
      <c r="AO354"/>
    </row>
    <row r="355" spans="1:4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V355" s="207"/>
      <c r="W355" s="207"/>
      <c r="X355" s="207"/>
      <c r="Y355" s="207"/>
      <c r="Z355" s="207"/>
      <c r="AA355" s="207"/>
      <c r="AB355"/>
      <c r="AC355"/>
      <c r="AD355"/>
      <c r="AE355"/>
      <c r="AF355"/>
      <c r="AG355"/>
      <c r="AH355"/>
      <c r="AI355"/>
      <c r="AM355"/>
      <c r="AO355"/>
    </row>
    <row r="356" spans="1:4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V356" s="207"/>
      <c r="W356" s="207"/>
      <c r="X356" s="207"/>
      <c r="Y356" s="207"/>
      <c r="Z356" s="207"/>
      <c r="AA356" s="207"/>
      <c r="AB356"/>
      <c r="AC356"/>
      <c r="AD356"/>
      <c r="AE356"/>
      <c r="AF356"/>
      <c r="AG356"/>
      <c r="AH356"/>
      <c r="AI356"/>
      <c r="AM356"/>
      <c r="AO356"/>
    </row>
    <row r="357" spans="1:4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V357" s="207"/>
      <c r="W357" s="207"/>
      <c r="X357" s="207"/>
      <c r="Y357" s="207"/>
      <c r="Z357" s="207"/>
      <c r="AA357" s="207"/>
      <c r="AB357"/>
      <c r="AC357"/>
      <c r="AD357"/>
      <c r="AE357"/>
      <c r="AF357"/>
      <c r="AG357"/>
      <c r="AH357"/>
      <c r="AI357"/>
      <c r="AM357"/>
      <c r="AO357"/>
    </row>
    <row r="358" spans="1:4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V358" s="207"/>
      <c r="W358" s="207"/>
      <c r="X358" s="207"/>
      <c r="Y358" s="207"/>
      <c r="Z358" s="207"/>
      <c r="AA358" s="207"/>
      <c r="AB358"/>
      <c r="AC358"/>
      <c r="AD358"/>
      <c r="AE358"/>
      <c r="AF358"/>
      <c r="AG358"/>
      <c r="AH358"/>
      <c r="AI358"/>
      <c r="AM358"/>
      <c r="AO358"/>
    </row>
    <row r="359" spans="1:4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V359" s="207"/>
      <c r="W359" s="207"/>
      <c r="X359" s="207"/>
      <c r="Y359" s="207"/>
      <c r="Z359" s="207"/>
      <c r="AA359" s="207"/>
      <c r="AB359"/>
      <c r="AC359"/>
      <c r="AD359"/>
      <c r="AE359"/>
      <c r="AF359"/>
      <c r="AG359"/>
      <c r="AH359"/>
      <c r="AI359"/>
      <c r="AM359"/>
      <c r="AO359"/>
    </row>
    <row r="360" spans="1:4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V360" s="207"/>
      <c r="W360" s="207"/>
      <c r="X360" s="207"/>
      <c r="Y360" s="207"/>
      <c r="Z360" s="207"/>
      <c r="AA360" s="207"/>
      <c r="AB360"/>
      <c r="AC360"/>
      <c r="AD360"/>
      <c r="AE360"/>
      <c r="AF360"/>
      <c r="AG360"/>
      <c r="AH360"/>
      <c r="AI360"/>
      <c r="AM360"/>
      <c r="AO360"/>
    </row>
    <row r="361" spans="1:4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V361" s="207"/>
      <c r="W361" s="207"/>
      <c r="X361" s="207"/>
      <c r="Y361" s="207"/>
      <c r="Z361" s="207"/>
      <c r="AA361" s="207"/>
      <c r="AB361"/>
      <c r="AC361"/>
      <c r="AD361"/>
      <c r="AE361"/>
      <c r="AF361"/>
      <c r="AG361"/>
      <c r="AH361"/>
      <c r="AI361"/>
      <c r="AM361"/>
      <c r="AO361"/>
    </row>
    <row r="362" spans="1:4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V362" s="207"/>
      <c r="W362" s="207"/>
      <c r="X362" s="207"/>
      <c r="Y362" s="207"/>
      <c r="Z362" s="207"/>
      <c r="AA362" s="207"/>
      <c r="AB362"/>
      <c r="AC362"/>
      <c r="AD362"/>
      <c r="AE362"/>
      <c r="AF362"/>
      <c r="AG362"/>
      <c r="AH362"/>
      <c r="AI362"/>
      <c r="AM362"/>
      <c r="AO362"/>
    </row>
    <row r="363" spans="1:4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V363" s="207"/>
      <c r="W363" s="207"/>
      <c r="X363" s="207"/>
      <c r="Y363" s="207"/>
      <c r="Z363" s="207"/>
      <c r="AA363" s="207"/>
      <c r="AB363"/>
      <c r="AC363"/>
      <c r="AD363"/>
      <c r="AE363"/>
      <c r="AF363"/>
      <c r="AG363"/>
      <c r="AH363"/>
      <c r="AI363"/>
      <c r="AM363"/>
      <c r="AO363"/>
    </row>
    <row r="364" spans="1:4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V364" s="207"/>
      <c r="W364" s="207"/>
      <c r="X364" s="207"/>
      <c r="Y364" s="207"/>
      <c r="Z364" s="207"/>
      <c r="AA364" s="207"/>
      <c r="AB364"/>
      <c r="AC364"/>
      <c r="AD364"/>
      <c r="AE364"/>
      <c r="AF364"/>
      <c r="AG364"/>
      <c r="AH364"/>
      <c r="AI364"/>
      <c r="AM364"/>
      <c r="AO364"/>
    </row>
    <row r="365" spans="1:4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V365" s="207"/>
      <c r="W365" s="207"/>
      <c r="X365" s="207"/>
      <c r="Y365" s="207"/>
      <c r="Z365" s="207"/>
      <c r="AA365" s="207"/>
      <c r="AB365"/>
      <c r="AC365"/>
      <c r="AD365"/>
      <c r="AE365"/>
      <c r="AF365"/>
      <c r="AG365"/>
      <c r="AH365"/>
      <c r="AI365"/>
      <c r="AM365"/>
      <c r="AO365"/>
    </row>
    <row r="366" spans="1:4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V366" s="207"/>
      <c r="W366" s="207"/>
      <c r="X366" s="207"/>
      <c r="Y366" s="207"/>
      <c r="Z366" s="207"/>
      <c r="AA366" s="207"/>
      <c r="AB366"/>
      <c r="AC366"/>
      <c r="AD366"/>
      <c r="AE366"/>
      <c r="AF366"/>
      <c r="AG366"/>
      <c r="AH366"/>
      <c r="AI366"/>
      <c r="AM366"/>
      <c r="AO366"/>
    </row>
    <row r="367" spans="1:4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V367" s="207"/>
      <c r="W367" s="207"/>
      <c r="X367" s="207"/>
      <c r="Y367" s="207"/>
      <c r="Z367" s="207"/>
      <c r="AA367" s="207"/>
      <c r="AB367"/>
      <c r="AC367"/>
      <c r="AD367"/>
      <c r="AE367"/>
      <c r="AF367"/>
      <c r="AG367"/>
      <c r="AH367"/>
      <c r="AI367"/>
      <c r="AM367"/>
      <c r="AO367"/>
    </row>
    <row r="368" spans="1:4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V368" s="207"/>
      <c r="W368" s="207"/>
      <c r="X368" s="207"/>
      <c r="Y368" s="207"/>
      <c r="Z368" s="207"/>
      <c r="AA368" s="207"/>
      <c r="AB368"/>
      <c r="AC368"/>
      <c r="AD368"/>
      <c r="AE368"/>
      <c r="AF368"/>
      <c r="AG368"/>
      <c r="AH368"/>
      <c r="AI368"/>
      <c r="AM368"/>
      <c r="AO368"/>
    </row>
    <row r="369" spans="1:4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V369" s="207"/>
      <c r="W369" s="207"/>
      <c r="X369" s="207"/>
      <c r="Y369" s="207"/>
      <c r="Z369" s="207"/>
      <c r="AA369" s="207"/>
      <c r="AB369"/>
      <c r="AC369"/>
      <c r="AD369"/>
      <c r="AE369"/>
      <c r="AF369"/>
      <c r="AG369"/>
      <c r="AH369"/>
      <c r="AI369"/>
      <c r="AM369"/>
      <c r="AO369"/>
    </row>
    <row r="370" spans="1:4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V370" s="207"/>
      <c r="W370" s="207"/>
      <c r="X370" s="207"/>
      <c r="Y370" s="207"/>
      <c r="Z370" s="207"/>
      <c r="AA370" s="207"/>
      <c r="AB370"/>
      <c r="AC370"/>
      <c r="AD370"/>
      <c r="AE370"/>
      <c r="AF370"/>
      <c r="AG370"/>
      <c r="AH370"/>
      <c r="AI370"/>
      <c r="AM370"/>
      <c r="AO370"/>
    </row>
    <row r="371" spans="1:4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V371" s="207"/>
      <c r="W371" s="207"/>
      <c r="X371" s="207"/>
      <c r="Y371" s="207"/>
      <c r="Z371" s="207"/>
      <c r="AA371" s="207"/>
      <c r="AB371"/>
      <c r="AC371"/>
      <c r="AD371"/>
      <c r="AE371"/>
      <c r="AF371"/>
      <c r="AG371"/>
      <c r="AH371"/>
      <c r="AI371"/>
      <c r="AM371"/>
      <c r="AO371"/>
    </row>
    <row r="372" spans="1:4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V372" s="207"/>
      <c r="W372" s="207"/>
      <c r="X372" s="207"/>
      <c r="Y372" s="207"/>
      <c r="Z372" s="207"/>
      <c r="AA372" s="207"/>
      <c r="AB372"/>
      <c r="AC372"/>
      <c r="AD372"/>
      <c r="AE372"/>
      <c r="AF372"/>
      <c r="AG372"/>
      <c r="AH372"/>
      <c r="AI372"/>
      <c r="AM372"/>
      <c r="AO372"/>
    </row>
    <row r="373" spans="1:4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V373" s="207"/>
      <c r="W373" s="207"/>
      <c r="X373" s="207"/>
      <c r="Y373" s="207"/>
      <c r="Z373" s="207"/>
      <c r="AA373" s="207"/>
      <c r="AB373"/>
      <c r="AC373"/>
      <c r="AD373"/>
      <c r="AE373"/>
      <c r="AF373"/>
      <c r="AG373"/>
      <c r="AH373"/>
      <c r="AI373"/>
      <c r="AM373"/>
      <c r="AO373"/>
    </row>
  </sheetData>
  <autoFilter ref="A12:AG368">
    <sortState ref="A13:AG368">
      <sortCondition ref="AG13:AG232"/>
      <sortCondition ref="AD13:AD232"/>
    </sortState>
  </autoFilter>
  <sortState ref="A13:AN273">
    <sortCondition ref="AG13:AG273"/>
    <sortCondition ref="AD13:AD273"/>
  </sortState>
  <mergeCells count="1">
    <mergeCell ref="A11:P11"/>
  </mergeCells>
  <conditionalFormatting sqref="W11:W12 W374:X1048576 W13:X232">
    <cfRule type="cellIs" dxfId="10" priority="422" operator="equal">
      <formula>"Y"</formula>
    </cfRule>
  </conditionalFormatting>
  <conditionalFormatting sqref="X374:X1048576 X13:X232">
    <cfRule type="cellIs" dxfId="9" priority="405" operator="greaterThan">
      <formula>1</formula>
    </cfRule>
  </conditionalFormatting>
  <conditionalFormatting sqref="X374:X1048576 X12:X232">
    <cfRule type="cellIs" dxfId="8" priority="402" operator="equal">
      <formula>0</formula>
    </cfRule>
  </conditionalFormatting>
  <conditionalFormatting sqref="A13:S232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abSelected="1" topLeftCell="A14" zoomScaleNormal="100" workbookViewId="0">
      <selection activeCell="O7" sqref="O7:P43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COUNTIF($O$7:$O$242,"=Y")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COUNTA($O$7:$O$242)-O2</f>
        <v>32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03" t="str">
        <f>"Eagle P3 Braking Events - "&amp;TEXT(Variables!$A$2,"YYYY-mm-dd")</f>
        <v>Eagle P3 Braking Events - 2017-10-12</v>
      </c>
      <c r="B5" s="203"/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353</v>
      </c>
      <c r="X6" s="181" t="s">
        <v>346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43020.893310185187</v>
      </c>
      <c r="B7" s="30" t="s">
        <v>493</v>
      </c>
      <c r="C7" s="30" t="s">
        <v>601</v>
      </c>
      <c r="D7" s="30" t="s">
        <v>49</v>
      </c>
      <c r="E7" s="30" t="s">
        <v>185</v>
      </c>
      <c r="F7" s="42">
        <v>300</v>
      </c>
      <c r="G7" s="42">
        <v>350</v>
      </c>
      <c r="H7" s="42">
        <v>33625</v>
      </c>
      <c r="I7" s="42">
        <v>32784</v>
      </c>
      <c r="J7" s="30" t="s">
        <v>186</v>
      </c>
      <c r="K7" s="42">
        <v>33257</v>
      </c>
      <c r="L7" s="131" t="s">
        <v>51</v>
      </c>
      <c r="M7" s="132">
        <f t="shared" ref="M7:M43" si="0">CONVERT((I7-K7)/10000,"mi","ft")*IF(L7="Increasing Mileposts (1)",-1,1)</f>
        <v>-249.744</v>
      </c>
      <c r="N7" s="133" t="str">
        <f>VLOOKUP(C7,'Trips&amp;Operators'!$C$1:$G$99911,5,FALSE)</f>
        <v>ELBAUM MIKE</v>
      </c>
      <c r="O7" s="176" t="s">
        <v>178</v>
      </c>
      <c r="P7" s="134" t="s">
        <v>357</v>
      </c>
      <c r="Q7" s="30"/>
      <c r="R7" s="81" t="str">
        <f>VLOOKUP(C7,'Train Runs'!$A$13:$AE$10027,31,0)</f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S7" s="84" t="str">
        <f>VLOOKUP(C7,'Train Runs'!$A$13:$AE$10027,22,0)</f>
        <v>https://d0f6bd738d7f1b3e5a7ca70fe4ff75f0.us-east-1.aws.found.io/app/kibana#/discover/Steve-Slow-Train-Analysis-(2080s-and-2083s)?_g=(refreshInterval:(display:Off,pause:!f,section:0,value:0),time:(from:'2017-10-12T19:37:50-0600',mode:absolute,to:'2017-10-12T22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7" s="86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/stypes="*4001*201710130*" /stext=" 03:.+((SYSTEM_STATE.+slice.+state.+changed )|(ment ac)|(multiple cpu faults)|(system.+state.+changed )|(\[timeout)|(PRM\|1\|D)|(kpr)|(kdp)|(train st.+moving)|(\|lc)|(penalty))"</v>
      </c>
      <c r="U7" s="9" t="str">
        <f t="shared" ref="U7:U43" si="2">MID(B7,13,4)</f>
        <v>4001</v>
      </c>
      <c r="V7" s="31">
        <f t="shared" ref="V7:V43" si="3">A7-utc_offset/24</f>
        <v>43021.143310185187</v>
      </c>
      <c r="W7" s="45" t="str">
        <f t="shared" ref="W7:W43" si="4">DetSubdiv(C7)</f>
        <v>EC</v>
      </c>
      <c r="X7" s="22">
        <f t="shared" ref="X7:X43" si="5">VALUE(LEFT(C7,LEN(C7)-3))</f>
        <v>226</v>
      </c>
      <c r="Y7" s="96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Arrival","project_id":79,"tracker_id":40,"status_id":1,"priority_id":2,"assigned_to_id":338,"start_date":"2017-10-12","description":"","custom_fields":[{"id":1,"name":"Subdivision","value":"EC"},{"id":4,"name":"Milepost","value":"3.3257"},{"id":17,"name":"Train ID","value":"226-12"},{"id":16,"name":"Locomotive ID","value":"4001"},{"id":130,"name":"Impact","value":""},{"id":150,"name":"Time of Event (Mountain Time)","value":"21:26:22"},{"id":151,"name":"Denver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4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/c/Users/stu/AppData/Local/Temp/OnboardLogs/RTDC4001 --include="*4001*201710130*"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"%USERPROFILE%\AppData\Local\Temp\OnboardLogs"\RTDC4001\*4001*201710130* &gt;&gt; 2017-10-12-SliceDisagreementCheck.txt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4001 --day 2017-10-13</v>
      </c>
    </row>
    <row r="8" spans="1:32" s="1" customFormat="1" x14ac:dyDescent="0.25">
      <c r="A8" s="31">
        <v>43020.738715277781</v>
      </c>
      <c r="B8" s="30" t="s">
        <v>593</v>
      </c>
      <c r="C8" s="30" t="s">
        <v>594</v>
      </c>
      <c r="D8" s="30" t="s">
        <v>49</v>
      </c>
      <c r="E8" s="30" t="s">
        <v>185</v>
      </c>
      <c r="F8" s="42">
        <v>440</v>
      </c>
      <c r="G8" s="42">
        <v>500</v>
      </c>
      <c r="H8" s="42">
        <v>56612</v>
      </c>
      <c r="I8" s="42">
        <v>58360</v>
      </c>
      <c r="J8" s="30" t="s">
        <v>186</v>
      </c>
      <c r="K8" s="42">
        <v>58118</v>
      </c>
      <c r="L8" s="131" t="s">
        <v>50</v>
      </c>
      <c r="M8" s="132">
        <f t="shared" si="0"/>
        <v>-127.776</v>
      </c>
      <c r="N8" s="133" t="str">
        <f>VLOOKUP(C8,'Trips&amp;Operators'!$C$1:$G$99911,5,FALSE)</f>
        <v>DELGADO DIANAH</v>
      </c>
      <c r="O8" s="176" t="s">
        <v>178</v>
      </c>
      <c r="P8" s="134" t="s">
        <v>357</v>
      </c>
      <c r="Q8" s="30"/>
      <c r="R8" s="81" t="str">
        <f>VLOOKUP(C8,'Train Runs'!$A$13:$AE$10027,31,0)</f>
        <v>aws s3 cp s3://rtdc.mdm.uploadarchive.raw/RTDC4062/ "%USERPROFILE%\AppData\Local\Temp\OnboardLogs"\RTDC4062\2017-10-12 --exclude "*" --recursive --include "*20171012*" &amp; "%USERPROFILE%\Documents\GitHub\mrs-test-scripts\Headless Mode &amp; Sideloading\WalkAndUnGZ.bat" "%USERPROFILE%\AppData\Local\Temp\OnboardLogs"\RTDC4062\2017-10-12 &amp; aws s3 cp s3://rtdc.mdm.uploadarchive.raw/RTDC4062/ "%USERPROFILE%\AppData\Local\Temp\OnboardLogs"\RTDC4062\2017-10-13 --exclude "*" --recursive --include "*20171013*" &amp; "%USERPROFILE%\Documents\GitHub\mrs-test-scripts\Headless Mode &amp; Sideloading\WalkAndUnGZ.bat" "%USERPROFILE%\AppData\Local\Temp\OnboardLogs"\RTDC4062\2017-10-13</v>
      </c>
      <c r="S8" s="84" t="str">
        <f>VLOOKUP(C8,'Train Runs'!$A$13:$AE$10027,22,0)</f>
        <v>https://d0f6bd738d7f1b3e5a7ca70fe4ff75f0.us-east-1.aws.found.io/app/kibana#/discover/Steve-Slow-Train-Analysis-(2080s-and-2083s)?_g=(refreshInterval:(display:Off,pause:!f,section:0,value:0),time:(from:'2017-10-12T16:47:40-0600',mode:absolute,to:'2017-10-12T19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8" s="86" t="str">
        <f t="shared" si="1"/>
        <v>"C:\Program Files (x86)\AstroGrep\AstroGrep.exe" /e /r /s /spath="%USERPROFILE%\AppData\Local\Temp\OnboardLogs" /stypes="*4062*201710122*"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4062</v>
      </c>
      <c r="V8" s="31">
        <f t="shared" si="3"/>
        <v>43020.988715277781</v>
      </c>
      <c r="W8" s="45" t="str">
        <f t="shared" si="4"/>
        <v>EC</v>
      </c>
      <c r="X8" s="22">
        <f t="shared" si="5"/>
        <v>211</v>
      </c>
      <c r="Y8" s="96" t="str">
        <f t="shared" si="6"/>
        <v>echo {"issue":{"subject":"Early Arrival","project_id":79,"tracker_id":40,"status_id":1,"priority_id":2,"assigned_to_id":338,"start_date":"2017-10-12","description":"","custom_fields":[{"id":1,"name":"Subdivision","value":"EC"},{"id":4,"name":"Milepost","value":"5.8118"},{"id":17,"name":"Train ID","value":"211-12"},{"id":16,"name":"Locomotive ID","value":"4062"},{"id":130,"name":"Impact","value":""},{"id":150,"name":"Time of Event (Mountain Time)","value":"17:43:45"},{"id":151,"name":"Denver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/c/Users/stu/AppData/Local/Temp/OnboardLogs/RTDC4062 --include="*4062*201710122*"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"%USERPROFILE%\AppData\Local\Temp\OnboardLogs"\RTDC4062\*4062*201710122* &gt;&gt; 2017-10-12-SliceDisagreementCheck.txt</v>
      </c>
      <c r="AE8" s="145" t="str">
        <f t="shared" ref="AE8:AE43" si="9">"start /low /b "&amp;dls3logs&amp;" --loco "&amp;U8&amp;" --day "&amp;TEXT(V8,"YYYY-MM-DD")</f>
        <v>start /low /b %USERPROFILE%\Documents\GitHub\eaglep3\Utilities\DownloadLogsFromS3.py --loco 4062 --day 2017-10-12</v>
      </c>
    </row>
    <row r="9" spans="1:32" s="1" customFormat="1" x14ac:dyDescent="0.25">
      <c r="A9" s="31">
        <v>43020.63009259259</v>
      </c>
      <c r="B9" s="30" t="s">
        <v>493</v>
      </c>
      <c r="C9" s="30" t="s">
        <v>590</v>
      </c>
      <c r="D9" s="30" t="s">
        <v>49</v>
      </c>
      <c r="E9" s="30" t="s">
        <v>185</v>
      </c>
      <c r="F9" s="42">
        <v>360</v>
      </c>
      <c r="G9" s="42">
        <v>423</v>
      </c>
      <c r="H9" s="42">
        <v>59198</v>
      </c>
      <c r="I9" s="42">
        <v>58241</v>
      </c>
      <c r="J9" s="30" t="s">
        <v>186</v>
      </c>
      <c r="K9" s="42">
        <v>58301</v>
      </c>
      <c r="L9" s="131" t="s">
        <v>51</v>
      </c>
      <c r="M9" s="132">
        <f t="shared" si="0"/>
        <v>-31.68</v>
      </c>
      <c r="N9" s="133" t="str">
        <f>VLOOKUP(C9,'Trips&amp;Operators'!$C$1:$G$99911,5,FALSE)</f>
        <v>DELGADO DIANAH</v>
      </c>
      <c r="O9" s="176" t="s">
        <v>178</v>
      </c>
      <c r="P9" s="134" t="s">
        <v>357</v>
      </c>
      <c r="Q9" s="30"/>
      <c r="R9" s="81" t="str">
        <f>VLOOKUP(C9,'Train Runs'!$A$13:$AE$10027,31,0)</f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S9" s="84" t="str">
        <f>VLOOKUP(C9,'Train Runs'!$A$13:$AE$10027,22,0)</f>
        <v>https://d0f6bd738d7f1b3e5a7ca70fe4ff75f0.us-east-1.aws.found.io/app/kibana#/discover/Steve-Slow-Train-Analysis-(2080s-and-2083s)?_g=(refreshInterval:(display:Off,pause:!f,section:0,value:0),time:(from:'2017-10-12T13:27:50-0600',mode:absolute,to:'2017-10-12T16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6" t="str">
        <f t="shared" si="1"/>
        <v>"C:\Program Files (x86)\AstroGrep\AstroGrep.exe" /e /r /s /spath="%USERPROFILE%\AppData\Local\Temp\OnboardLogs" /stypes="*4001*201710122*"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43020.88009259259</v>
      </c>
      <c r="W9" s="45" t="str">
        <f t="shared" si="4"/>
        <v>EC</v>
      </c>
      <c r="X9" s="22">
        <f t="shared" si="5"/>
        <v>182</v>
      </c>
      <c r="Y9" s="96" t="str">
        <f t="shared" si="6"/>
        <v>echo {"issue":{"subject":"Early Arrival","project_id":79,"tracker_id":40,"status_id":1,"priority_id":2,"assigned_to_id":338,"start_date":"2017-10-12","description":"","custom_fields":[{"id":1,"name":"Subdivision","value":"EC"},{"id":4,"name":"Milepost","value":"5.8301"},{"id":17,"name":"Train ID","value":"182-12"},{"id":16,"name":"Locomotive ID","value":"4001"},{"id":130,"name":"Impact","value":""},{"id":150,"name":"Time of Event (Mountain Time)","value":"15:07:20"},{"id":151,"name":"Denver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/c/Users/stu/AppData/Local/Temp/OnboardLogs/RTDC4001 --include="*4001*201710122*"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"%USERPROFILE%\AppData\Local\Temp\OnboardLogs"\RTDC4001\*4001*201710122* &gt;&gt; 2017-10-12-SliceDisagreementCheck.txt</v>
      </c>
      <c r="AE9" s="145" t="str">
        <f t="shared" si="9"/>
        <v>start /low /b %USERPROFILE%\Documents\GitHub\eaglep3\Utilities\DownloadLogsFromS3.py --loco 4001 --day 2017-10-12</v>
      </c>
    </row>
    <row r="10" spans="1:32" s="1" customFormat="1" x14ac:dyDescent="0.25">
      <c r="A10" s="31">
        <v>43020.739131944443</v>
      </c>
      <c r="B10" s="30" t="s">
        <v>593</v>
      </c>
      <c r="C10" s="30" t="s">
        <v>594</v>
      </c>
      <c r="D10" s="30" t="s">
        <v>49</v>
      </c>
      <c r="E10" s="30" t="s">
        <v>185</v>
      </c>
      <c r="F10" s="42">
        <v>20</v>
      </c>
      <c r="G10" s="42">
        <v>94</v>
      </c>
      <c r="H10" s="42">
        <v>58536</v>
      </c>
      <c r="I10" s="42">
        <v>58646</v>
      </c>
      <c r="J10" s="30" t="s">
        <v>186</v>
      </c>
      <c r="K10" s="42">
        <v>58783</v>
      </c>
      <c r="L10" s="131" t="s">
        <v>50</v>
      </c>
      <c r="M10" s="132">
        <f t="shared" si="0"/>
        <v>72.335999999999999</v>
      </c>
      <c r="N10" s="133" t="str">
        <f>VLOOKUP(C10,'Trips&amp;Operators'!$C$1:$G$99911,5,FALSE)</f>
        <v>DELGADO DIANAH</v>
      </c>
      <c r="O10" s="176" t="s">
        <v>178</v>
      </c>
      <c r="P10" s="134" t="s">
        <v>357</v>
      </c>
      <c r="Q10" s="30"/>
      <c r="R10" s="81" t="str">
        <f>VLOOKUP(C10,'Train Runs'!$A$13:$AE$10027,31,0)</f>
        <v>aws s3 cp s3://rtdc.mdm.uploadarchive.raw/RTDC4062/ "%USERPROFILE%\AppData\Local\Temp\OnboardLogs"\RTDC4062\2017-10-12 --exclude "*" --recursive --include "*20171012*" &amp; "%USERPROFILE%\Documents\GitHub\mrs-test-scripts\Headless Mode &amp; Sideloading\WalkAndUnGZ.bat" "%USERPROFILE%\AppData\Local\Temp\OnboardLogs"\RTDC4062\2017-10-12 &amp; aws s3 cp s3://rtdc.mdm.uploadarchive.raw/RTDC4062/ "%USERPROFILE%\AppData\Local\Temp\OnboardLogs"\RTDC4062\2017-10-13 --exclude "*" --recursive --include "*20171013*" &amp; "%USERPROFILE%\Documents\GitHub\mrs-test-scripts\Headless Mode &amp; Sideloading\WalkAndUnGZ.bat" "%USERPROFILE%\AppData\Local\Temp\OnboardLogs"\RTDC4062\2017-10-13</v>
      </c>
      <c r="S10" s="84" t="str">
        <f>VLOOKUP(C10,'Train Runs'!$A$13:$AE$10027,22,0)</f>
        <v>https://d0f6bd738d7f1b3e5a7ca70fe4ff75f0.us-east-1.aws.found.io/app/kibana#/discover/Steve-Slow-Train-Analysis-(2080s-and-2083s)?_g=(refreshInterval:(display:Off,pause:!f,section:0,value:0),time:(from:'2017-10-12T16:47:40-0600',mode:absolute,to:'2017-10-12T19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0" s="86" t="str">
        <f t="shared" si="1"/>
        <v>"C:\Program Files (x86)\AstroGrep\AstroGrep.exe" /e /r /s /spath="%USERPROFILE%\AppData\Local\Temp\OnboardLogs" /stypes="*4062*201710122*"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4062</v>
      </c>
      <c r="V10" s="31">
        <f t="shared" si="3"/>
        <v>43020.989131944443</v>
      </c>
      <c r="W10" s="45" t="str">
        <f t="shared" si="4"/>
        <v>EC</v>
      </c>
      <c r="X10" s="22">
        <f t="shared" si="5"/>
        <v>211</v>
      </c>
      <c r="Y10" s="96" t="str">
        <f t="shared" si="6"/>
        <v>echo {"issue":{"subject":"Early Arrival","project_id":79,"tracker_id":40,"status_id":1,"priority_id":2,"assigned_to_id":338,"start_date":"2017-10-12","description":"","custom_fields":[{"id":1,"name":"Subdivision","value":"EC"},{"id":4,"name":"Milepost","value":"5.8783"},{"id":17,"name":"Train ID","value":"211-12"},{"id":16,"name":"Locomotive ID","value":"4062"},{"id":130,"name":"Impact","value":""},{"id":150,"name":"Time of Event (Mountain Time)","value":"17:44:21"},{"id":151,"name":"Denver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/c/Users/stu/AppData/Local/Temp/OnboardLogs/RTDC4062 --include="*4062*201710122*"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"%USERPROFILE%\AppData\Local\Temp\OnboardLogs"\RTDC4062\*4062*201710122* &gt;&gt; 2017-10-12-SliceDisagreementCheck.txt</v>
      </c>
      <c r="AE10" s="145" t="str">
        <f t="shared" si="9"/>
        <v>start /low /b %USERPROFILE%\Documents\GitHub\eaglep3\Utilities\DownloadLogsFromS3.py --loco 4062 --day 2017-10-12</v>
      </c>
    </row>
    <row r="11" spans="1:32" s="1" customFormat="1" x14ac:dyDescent="0.25">
      <c r="A11" s="31">
        <v>43020.530046296299</v>
      </c>
      <c r="B11" s="30" t="s">
        <v>437</v>
      </c>
      <c r="C11" s="30" t="s">
        <v>582</v>
      </c>
      <c r="D11" s="30" t="s">
        <v>49</v>
      </c>
      <c r="E11" s="30" t="s">
        <v>185</v>
      </c>
      <c r="F11" s="42">
        <v>450</v>
      </c>
      <c r="G11" s="42">
        <v>521</v>
      </c>
      <c r="H11" s="42">
        <v>61992</v>
      </c>
      <c r="I11" s="42">
        <v>63889</v>
      </c>
      <c r="J11" s="30" t="s">
        <v>186</v>
      </c>
      <c r="K11" s="42">
        <v>63069</v>
      </c>
      <c r="L11" s="131" t="s">
        <v>50</v>
      </c>
      <c r="M11" s="132">
        <f t="shared" si="0"/>
        <v>-432.96</v>
      </c>
      <c r="N11" s="133" t="str">
        <f>VLOOKUP(C11,'Trips&amp;Operators'!$C$1:$G$99911,5,FALSE)</f>
        <v>BADERTSCHER DIANE</v>
      </c>
      <c r="O11" s="176" t="s">
        <v>178</v>
      </c>
      <c r="P11" s="134" t="s">
        <v>357</v>
      </c>
      <c r="Q11" s="30"/>
      <c r="R11" s="81" t="str">
        <f>VLOOKUP(C11,'Train Runs'!$A$13:$AE$10027,31,0)</f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S11" s="84" t="str">
        <f>VLOOKUP(C11,'Train Runs'!$A$13:$AE$10027,22,0)</f>
        <v>https://d0f6bd738d7f1b3e5a7ca70fe4ff75f0.us-east-1.aws.found.io/app/kibana#/discover/Steve-Slow-Train-Analysis-(2080s-and-2083s)?_g=(refreshInterval:(display:Off,pause:!f,section:0,value:0),time:(from:'2017-10-12T11:24:19-0600',mode:absolute,to:'2017-10-12T14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1" s="86" t="str">
        <f t="shared" si="1"/>
        <v>"C:\Program Files (x86)\AstroGrep\AstroGrep.exe" /e /r /s /spath="%USERPROFILE%\AppData\Local\Temp\OnboardLogs" /stypes="*4052*201710121*" /stext=" 18:.+((SYSTEM_STATE.+slice.+state.+changed )|(ment ac)|(multiple cpu faults)|(system.+state.+changed )|(\[timeout)|(PRM\|1\|D)|(kpr)|(kdp)|(train st.+moving)|(\|lc)|(penalty))"</v>
      </c>
      <c r="U11" s="9" t="str">
        <f t="shared" si="2"/>
        <v>4052</v>
      </c>
      <c r="V11" s="31">
        <f t="shared" si="3"/>
        <v>43020.780046296299</v>
      </c>
      <c r="W11" s="45" t="str">
        <f t="shared" si="4"/>
        <v>EC</v>
      </c>
      <c r="X11" s="22">
        <f t="shared" si="5"/>
        <v>171</v>
      </c>
      <c r="Y11" s="96" t="str">
        <f t="shared" si="6"/>
        <v>echo {"issue":{"subject":"Early Arrival","project_id":79,"tracker_id":40,"status_id":1,"priority_id":2,"assigned_to_id":338,"start_date":"2017-10-12","description":"","custom_fields":[{"id":1,"name":"Subdivision","value":"EC"},{"id":4,"name":"Milepost","value":"6.3069"},{"id":17,"name":"Train ID","value":"171-12"},{"id":16,"name":"Locomotive ID","value":"4052"},{"id":130,"name":"Impact","value":""},{"id":150,"name":"Time of Event (Mountain Time)","value":"12:43:16"},{"id":151,"name":"Denver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/c/Users/stu/AppData/Local/Temp/OnboardLogs/RTDC4052 --include="*4052*201710121*"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"%USERPROFILE%\AppData\Local\Temp\OnboardLogs"\RTDC4052\*4052*201710121* &gt;&gt; 2017-10-12-SliceDisagreementCheck.txt</v>
      </c>
      <c r="AE11" s="145" t="str">
        <f t="shared" si="9"/>
        <v>start /low /b %USERPROFILE%\Documents\GitHub\eaglep3\Utilities\DownloadLogsFromS3.py --loco 4052 --day 2017-10-12</v>
      </c>
    </row>
    <row r="12" spans="1:32" x14ac:dyDescent="0.25">
      <c r="A12" s="31">
        <v>43020.419374999998</v>
      </c>
      <c r="B12" s="30" t="s">
        <v>413</v>
      </c>
      <c r="C12" s="30" t="s">
        <v>573</v>
      </c>
      <c r="D12" s="30" t="s">
        <v>49</v>
      </c>
      <c r="E12" s="30" t="s">
        <v>192</v>
      </c>
      <c r="F12" s="42">
        <v>400</v>
      </c>
      <c r="G12" s="42">
        <v>492</v>
      </c>
      <c r="H12" s="42">
        <v>17105</v>
      </c>
      <c r="I12" s="42">
        <v>17788</v>
      </c>
      <c r="J12" s="30" t="s">
        <v>193</v>
      </c>
      <c r="K12" s="42">
        <v>17867</v>
      </c>
      <c r="L12" s="131" t="s">
        <v>50</v>
      </c>
      <c r="M12" s="132">
        <f t="shared" si="0"/>
        <v>41.712000000000003</v>
      </c>
      <c r="N12" s="133" t="str">
        <f>VLOOKUP(C12,'Trips&amp;Operators'!$C$1:$G$99911,5,FALSE)</f>
        <v>WILLIAMS DONTE</v>
      </c>
      <c r="O12" s="176" t="s">
        <v>178</v>
      </c>
      <c r="P12" s="134"/>
      <c r="Q12" s="30"/>
      <c r="R12" s="81" t="str">
        <f>VLOOKUP(C12,'Train Runs'!$A$13:$AE$10027,31,0)</f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S12" s="84" t="str">
        <f>VLOOKUP(C12,'Train Runs'!$A$13:$AE$10027,22,0)</f>
        <v>https://d0f6bd738d7f1b3e5a7ca70fe4ff75f0.us-east-1.aws.found.io/app/kibana#/discover/Steve-Slow-Train-Analysis-(2080s-and-2083s)?_g=(refreshInterval:(display:Off,pause:!f,section:0,value:0),time:(from:'2017-10-12T08:53:46-0600',mode:absolute,to:'2017-10-12T11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2" s="86" t="str">
        <f t="shared" si="1"/>
        <v>"C:\Program Files (x86)\AstroGrep\AstroGrep.exe" /e /r /s /spath="%USERPROFILE%\AppData\Local\Temp\OnboardLogs" /stypes="*4066*201710121*"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4066</v>
      </c>
      <c r="V12" s="31">
        <f t="shared" si="3"/>
        <v>43020.669374999998</v>
      </c>
      <c r="W12" s="45" t="str">
        <f t="shared" si="4"/>
        <v>EC</v>
      </c>
      <c r="X12" s="22">
        <f t="shared" si="5"/>
        <v>151</v>
      </c>
      <c r="Y12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{"issue":{"subject":"","project_id":79,"tracker_id":40,"status_id":1,"priority_id":2,"assigned_to_id":338,"start_date":"2017-10-12","description":"","custom_fields":[{"id":1,"name":"Subdivision","value":"EC"},{"id":4,"name":"Milepost","value":"1.7867"},{"id":17,"name":"Train ID","value":"151-12"},{"id":16,"name":"Locomotive ID","value":"4066"},{"id":130,"name":"Impact","value":""},{"id":150,"name":"Time of Event (Mountain Time)","value":"10:03:54"},{"id":151,"name":"Denver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/c/Users/stu/AppData/Local/Temp/OnboardLogs/RTDC4066 --include="*4066*201710121*"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"%USERPROFILE%\AppData\Local\Temp\OnboardLogs"\RTDC4066\*4066*201710121* &gt;&gt; 2017-10-12-SliceDisagreementCheck.txt</v>
      </c>
      <c r="AE12" s="145" t="str">
        <f t="shared" si="9"/>
        <v>start /low /b %USERPROFILE%\Documents\GitHub\eaglep3\Utilities\DownloadLogsFromS3.py --loco 4066 --day 2017-10-12</v>
      </c>
      <c r="AF12" s="1"/>
    </row>
    <row r="13" spans="1:32" x14ac:dyDescent="0.25">
      <c r="A13" s="31">
        <v>43020.656076388892</v>
      </c>
      <c r="B13" s="30" t="s">
        <v>413</v>
      </c>
      <c r="C13" s="30" t="s">
        <v>591</v>
      </c>
      <c r="D13" s="30" t="s">
        <v>49</v>
      </c>
      <c r="E13" s="30" t="s">
        <v>192</v>
      </c>
      <c r="F13" s="42">
        <v>600</v>
      </c>
      <c r="G13" s="42">
        <v>744</v>
      </c>
      <c r="H13" s="42">
        <v>181110</v>
      </c>
      <c r="I13" s="42">
        <v>184504</v>
      </c>
      <c r="J13" s="30" t="s">
        <v>193</v>
      </c>
      <c r="K13" s="42">
        <v>183829</v>
      </c>
      <c r="L13" s="131" t="s">
        <v>50</v>
      </c>
      <c r="M13" s="132">
        <f t="shared" si="0"/>
        <v>-356.40000000000003</v>
      </c>
      <c r="N13" s="133" t="str">
        <f>VLOOKUP(C13,'Trips&amp;Operators'!$C$1:$G$99911,5,FALSE)</f>
        <v>LEVIN SCOTT</v>
      </c>
      <c r="O13" s="176" t="s">
        <v>178</v>
      </c>
      <c r="P13" s="134"/>
      <c r="Q13" s="30"/>
      <c r="R13" s="81" t="str">
        <f>VLOOKUP(C13,'Train Runs'!$A$13:$AE$10027,31,0)</f>
        <v>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 &amp; aws s3 cp s3://rtdc.mdm.uploadarchive.raw/RTDC4066/ "%USERPROFILE%\AppData\Local\Temp\OnboardLogs"\RTDC4066\2017-10-13 --exclude "*" --recursive --include "*20171013*" &amp; "%USERPROFILE%\Documents\GitHub\mrs-test-scripts\Headless Mode &amp; Sideloading\WalkAndUnGZ.bat" "%USERPROFILE%\AppData\Local\Temp\OnboardLogs"\RTDC4066\2017-10-13</v>
      </c>
      <c r="S13" s="84" t="str">
        <f>VLOOKUP(C13,'Train Runs'!$A$13:$AE$10027,22,0)</f>
        <v>https://d0f6bd738d7f1b3e5a7ca70fe4ff75f0.us-east-1.aws.found.io/app/kibana#/discover/Steve-Slow-Train-Analysis-(2080s-and-2083s)?_g=(refreshInterval:(display:Off,pause:!f,section:0,value:0),time:(from:'2017-10-12T14:08:52-0600',mode:absolute,to:'2017-10-12T16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3" s="86" t="str">
        <f t="shared" si="1"/>
        <v>"C:\Program Files (x86)\AstroGrep\AstroGrep.exe" /e /r /s /spath="%USERPROFILE%\AppData\Local\Temp\OnboardLogs" /stypes="*4066*201710122*"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4066</v>
      </c>
      <c r="V13" s="31">
        <f t="shared" si="3"/>
        <v>43020.906076388892</v>
      </c>
      <c r="W13" s="45" t="str">
        <f t="shared" si="4"/>
        <v>EC</v>
      </c>
      <c r="X13" s="22">
        <f t="shared" si="5"/>
        <v>193</v>
      </c>
      <c r="Y13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{"issue":{"subject":"","project_id":79,"tracker_id":40,"status_id":1,"priority_id":2,"assigned_to_id":338,"start_date":"2017-10-12","description":"","custom_fields":[{"id":1,"name":"Subdivision","value":"EC"},{"id":4,"name":"Milepost","value":"18.3829"},{"id":17,"name":"Train ID","value":"193-12"},{"id":16,"name":"Locomotive ID","value":"4066"},{"id":130,"name":"Impact","value":""},{"id":150,"name":"Time of Event (Mountain Time)","value":"15:44:45"},{"id":151,"name":"Denver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/c/Users/stu/AppData/Local/Temp/OnboardLogs/RTDC4066 --include="*4066*201710122*"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"%USERPROFILE%\AppData\Local\Temp\OnboardLogs"\RTDC4066\*4066*201710122* &gt;&gt; 2017-10-12-SliceDisagreementCheck.txt</v>
      </c>
      <c r="AE13" s="145" t="str">
        <f t="shared" si="9"/>
        <v>start /low /b %USERPROFILE%\Documents\GitHub\eaglep3\Utilities\DownloadLogsFromS3.py --loco 4066 --day 2017-10-12</v>
      </c>
      <c r="AF13" s="1"/>
    </row>
    <row r="14" spans="1:32" x14ac:dyDescent="0.25">
      <c r="A14" s="31">
        <v>43020.777719907404</v>
      </c>
      <c r="B14" s="30" t="s">
        <v>493</v>
      </c>
      <c r="C14" s="30" t="s">
        <v>596</v>
      </c>
      <c r="D14" s="30" t="s">
        <v>95</v>
      </c>
      <c r="E14" s="30" t="s">
        <v>192</v>
      </c>
      <c r="F14" s="42">
        <v>350</v>
      </c>
      <c r="G14" s="42">
        <v>400</v>
      </c>
      <c r="H14" s="42">
        <v>224613</v>
      </c>
      <c r="I14" s="42">
        <v>222670</v>
      </c>
      <c r="J14" s="30" t="s">
        <v>193</v>
      </c>
      <c r="K14" s="42">
        <v>232080</v>
      </c>
      <c r="L14" s="131" t="s">
        <v>51</v>
      </c>
      <c r="M14" s="132">
        <f t="shared" si="0"/>
        <v>-4968.4799999999996</v>
      </c>
      <c r="N14" s="133" t="str">
        <f>VLOOKUP(C14,'Trips&amp;Operators'!$C$1:$G$99911,5,FALSE)</f>
        <v>BERLING GARY</v>
      </c>
      <c r="O14" s="176" t="s">
        <v>178</v>
      </c>
      <c r="P14" s="134"/>
      <c r="Q14" s="30"/>
      <c r="R14" s="81" t="str">
        <f>VLOOKUP(C14,'Train Runs'!$A$13:$AE$10027,31,0)</f>
        <v>aws s3 cp s3://rtdc.mdm.uploadarchive.raw/RTDC4001/ "%USERPROFILE%\AppData\Local\Temp\OnboardLogs"\RTDC4001\2017-10-12 --exclude "*" --recursive --include "*20171012*" &amp; "%USERPROFILE%\Documents\GitHub\mrs-test-scripts\Headless Mode &amp; Sideloading\WalkAndUnGZ.bat" "%USERPROFILE%\AppData\Local\Temp\OnboardLogs"\RTDC4001\2017-10-12 &amp; aws s3 cp s3://rtdc.mdm.uploadarchive.raw/RTDC4001/ "%USERPROFILE%\AppData\Local\Temp\OnboardLogs"\RTDC4001\2017-10-13 --exclude "*" --recursive --include "*20171013*" &amp; "%USERPROFILE%\Documents\GitHub\mrs-test-scripts\Headless Mode &amp; Sideloading\WalkAndUnGZ.bat" "%USERPROFILE%\AppData\Local\Temp\OnboardLogs"\RTDC4001\2017-10-13</v>
      </c>
      <c r="S14" s="84" t="str">
        <f>VLOOKUP(C14,'Train Runs'!$A$13:$AE$10027,22,0)</f>
        <v>https://d0f6bd738d7f1b3e5a7ca70fe4ff75f0.us-east-1.aws.found.io/app/kibana#/discover/Steve-Slow-Train-Analysis-(2080s-and-2083s)?_g=(refreshInterval:(display:Off,pause:!f,section:0,value:0),time:(from:'2017-10-12T17:35:23-0600',mode:absolute,to:'2017-10-12T20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4" s="86" t="str">
        <f t="shared" si="1"/>
        <v>"C:\Program Files (x86)\AstroGrep\AstroGrep.exe" /e /r /s /spath="%USERPROFILE%\AppData\Local\Temp\OnboardLogs" /stypes="*4001*201710130*" /stext=" 00:.+((SYSTEM_STATE.+slice.+state.+changed )|(ment ac)|(multiple cpu faults)|(system.+state.+changed )|(\[timeout)|(PRM\|1\|D)|(kpr)|(kdp)|(train st.+moving)|(\|lc)|(penalty))"</v>
      </c>
      <c r="U14" s="9" t="str">
        <f t="shared" si="2"/>
        <v>4001</v>
      </c>
      <c r="V14" s="31">
        <f t="shared" si="3"/>
        <v>43021.027719907404</v>
      </c>
      <c r="W14" s="45" t="str">
        <f t="shared" si="4"/>
        <v>EC</v>
      </c>
      <c r="X14" s="22">
        <f t="shared" si="5"/>
        <v>210</v>
      </c>
      <c r="Y14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{"issue":{"subject":"","project_id":79,"tracker_id":40,"status_id":1,"priority_id":2,"assigned_to_id":338,"start_date":"2017-10-12","description":"","custom_fields":[{"id":1,"name":"Subdivision","value":"EC"},{"id":4,"name":"Milepost","value":"23.208"},{"id":17,"name":"Train ID","value":"210-12"},{"id":16,"name":"Locomotive ID","value":"4001"},{"id":130,"name":"Impact","value":""},{"id":150,"name":"Time of Event (Mountain Time)","value":"18:39:55"},{"id":151,"name":"Denver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/c/Users/stu/AppData/Local/Temp/OnboardLogs/RTDC4001 --include="*4001*201710130*"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"%USERPROFILE%\AppData\Local\Temp\OnboardLogs"\RTDC4001\*4001*201710130* &gt;&gt; 2017-10-12-SliceDisagreementCheck.txt</v>
      </c>
      <c r="AE14" s="145" t="str">
        <f t="shared" si="9"/>
        <v>start /low /b %USERPROFILE%\Documents\GitHub\eaglep3\Utilities\DownloadLogsFromS3.py --loco 4001 --day 2017-10-13</v>
      </c>
      <c r="AF14" s="1"/>
    </row>
    <row r="15" spans="1:32" x14ac:dyDescent="0.25">
      <c r="A15" s="31">
        <v>43020.252500000002</v>
      </c>
      <c r="B15" s="30" t="s">
        <v>414</v>
      </c>
      <c r="C15" s="30" t="s">
        <v>564</v>
      </c>
      <c r="D15" s="30" t="s">
        <v>95</v>
      </c>
      <c r="E15" s="30" t="s">
        <v>491</v>
      </c>
      <c r="F15" s="42">
        <v>0</v>
      </c>
      <c r="G15" s="42">
        <v>538</v>
      </c>
      <c r="H15" s="42">
        <v>81656</v>
      </c>
      <c r="I15" s="42">
        <v>79904</v>
      </c>
      <c r="J15" s="30" t="s">
        <v>492</v>
      </c>
      <c r="K15" s="42">
        <v>81751</v>
      </c>
      <c r="L15" s="131" t="s">
        <v>51</v>
      </c>
      <c r="M15" s="132">
        <f t="shared" si="0"/>
        <v>-975.21600000000001</v>
      </c>
      <c r="N15" s="133" t="str">
        <f>VLOOKUP(C15,'Trips&amp;Operators'!$C$1:$G$99911,5,FALSE)</f>
        <v>WILLIAMS DONTE</v>
      </c>
      <c r="O15" s="176" t="s">
        <v>379</v>
      </c>
      <c r="P15" s="134" t="s">
        <v>397</v>
      </c>
      <c r="Q15" s="30"/>
      <c r="R15" s="81" t="str">
        <f>VLOOKUP(C15,'Train Runs'!$A$13:$AE$10027,31,0)</f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S15" s="84" t="str">
        <f>VLOOKUP(C15,'Train Runs'!$A$13:$AE$10027,22,0)</f>
        <v>https://d0f6bd738d7f1b3e5a7ca70fe4ff75f0.us-east-1.aws.found.io/app/kibana#/discover/Steve-Slow-Train-Analysis-(2080s-and-2083s)?_g=(refreshInterval:(display:Off,pause:!f,section:0,value:0),time:(from:'2017-10-12T04:35:54-0600',mode:absolute,to:'2017-10-12T07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5" s="86" t="str">
        <f t="shared" si="1"/>
        <v>"C:\Program Files (x86)\AstroGrep\AstroGrep.exe" /e /r /s /spath="%USERPROFILE%\AppData\Local\Temp\OnboardLogs" /stypes="*4065*201710121*" /stext=" 12:.+((SYSTEM_STATE.+slice.+state.+changed )|(ment ac)|(multiple cpu faults)|(system.+state.+changed )|(\[timeout)|(PRM\|1\|D)|(kpr)|(kdp)|(train st.+moving)|(\|lc)|(penalty))"</v>
      </c>
      <c r="U15" s="9" t="str">
        <f t="shared" si="2"/>
        <v>4065</v>
      </c>
      <c r="V15" s="31">
        <f t="shared" si="3"/>
        <v>43020.502500000002</v>
      </c>
      <c r="W15" s="45" t="str">
        <f t="shared" si="4"/>
        <v>EC</v>
      </c>
      <c r="X15" s="22">
        <f t="shared" si="5"/>
        <v>110</v>
      </c>
      <c r="Y15" s="96" t="str">
        <f t="shared" si="6"/>
        <v>echo {"issue":{"subject":"Wi-MAX data drop","project_id":79,"tracker_id":40,"status_id":1,"priority_id":2,"assigned_to_id":338,"start_date":"2017-10-12","description":"","custom_fields":[{"id":1,"name":"Subdivision","value":"EC"},{"id":4,"name":"Milepost","value":"8.1751"},{"id":17,"name":"Train ID","value":"110-12"},{"id":16,"name":"Locomotive ID","value":"4065"},{"id":130,"name":"Impact","value":""},{"id":150,"name":"Time of Event (Mountain Time)","value":"06:03:36"},{"id":151,"name":"Denver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/c/Users/stu/AppData/Local/Temp/OnboardLogs/RTDC4065 --include="*4065*201710121*"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"%USERPROFILE%\AppData\Local\Temp\OnboardLogs"\RTDC4065\*4065*201710121* &gt;&gt; 2017-10-12-SliceDisagreementCheck.txt</v>
      </c>
      <c r="AE15" s="145" t="str">
        <f t="shared" si="9"/>
        <v>start /low /b %USERPROFILE%\Documents\GitHub\eaglep3\Utilities\DownloadLogsFromS3.py --loco 4065 --day 2017-10-12</v>
      </c>
      <c r="AF15" s="1"/>
    </row>
    <row r="16" spans="1:32" x14ac:dyDescent="0.25">
      <c r="A16" s="31">
        <v>43020.535856481481</v>
      </c>
      <c r="B16" s="30" t="s">
        <v>414</v>
      </c>
      <c r="C16" s="30" t="s">
        <v>583</v>
      </c>
      <c r="D16" s="30" t="s">
        <v>49</v>
      </c>
      <c r="E16" s="30" t="s">
        <v>491</v>
      </c>
      <c r="F16" s="42">
        <v>0</v>
      </c>
      <c r="G16" s="42">
        <v>428</v>
      </c>
      <c r="H16" s="42">
        <v>159152</v>
      </c>
      <c r="I16" s="42">
        <v>158254</v>
      </c>
      <c r="J16" s="30" t="s">
        <v>492</v>
      </c>
      <c r="K16" s="42">
        <v>157300</v>
      </c>
      <c r="L16" s="131" t="s">
        <v>51</v>
      </c>
      <c r="M16" s="132">
        <f t="shared" si="0"/>
        <v>503.71199999999999</v>
      </c>
      <c r="N16" s="133" t="str">
        <f>VLOOKUP(C16,'Trips&amp;Operators'!$C$1:$G$99911,5,FALSE)</f>
        <v>LEVIN SCOTT</v>
      </c>
      <c r="O16" s="176" t="s">
        <v>379</v>
      </c>
      <c r="P16" s="134" t="s">
        <v>397</v>
      </c>
      <c r="Q16" s="30"/>
      <c r="R16" s="81" t="str">
        <f>VLOOKUP(C16,'Train Runs'!$A$13:$AE$10027,31,0)</f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S16" s="84" t="str">
        <f>VLOOKUP(C16,'Train Runs'!$A$13:$AE$10027,22,0)</f>
        <v>https://d0f6bd738d7f1b3e5a7ca70fe4ff75f0.us-east-1.aws.found.io/app/kibana#/discover/Steve-Slow-Train-Analysis-(2080s-and-2083s)?_g=(refreshInterval:(display:Off,pause:!f,section:0,value:0),time:(from:'2017-10-12T11:32:33-0600',mode:absolute,to:'2017-10-12T14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6" s="86" t="str">
        <f t="shared" si="1"/>
        <v>"C:\Program Files (x86)\AstroGrep\AstroGrep.exe" /e /r /s /spath="%USERPROFILE%\AppData\Local\Temp\OnboardLogs" /stypes="*4065*201710121*"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4065</v>
      </c>
      <c r="V16" s="31">
        <f t="shared" si="3"/>
        <v>43020.785856481481</v>
      </c>
      <c r="W16" s="45" t="str">
        <f t="shared" si="4"/>
        <v>EC</v>
      </c>
      <c r="X16" s="22">
        <f t="shared" si="5"/>
        <v>166</v>
      </c>
      <c r="Y16" s="96" t="str">
        <f t="shared" si="6"/>
        <v>echo {"issue":{"subject":"Wi-MAX data drop","project_id":79,"tracker_id":40,"status_id":1,"priority_id":2,"assigned_to_id":338,"start_date":"2017-10-12","description":"","custom_fields":[{"id":1,"name":"Subdivision","value":"EC"},{"id":4,"name":"Milepost","value":"15.73"},{"id":17,"name":"Train ID","value":"166-12"},{"id":16,"name":"Locomotive ID","value":"4065"},{"id":130,"name":"Impact","value":""},{"id":150,"name":"Time of Event (Mountain Time)","value":"12:51:38"},{"id":151,"name":"Denver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/c/Users/stu/AppData/Local/Temp/OnboardLogs/RTDC4065 --include="*4065*201710121*"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"%USERPROFILE%\AppData\Local\Temp\OnboardLogs"\RTDC4065\*4065*201710121* &gt;&gt; 2017-10-12-SliceDisagreementCheck.txt</v>
      </c>
      <c r="AE16" s="145" t="str">
        <f t="shared" si="9"/>
        <v>start /low /b %USERPROFILE%\Documents\GitHub\eaglep3\Utilities\DownloadLogsFromS3.py --loco 4065 --day 2017-10-12</v>
      </c>
      <c r="AF16" s="1"/>
    </row>
    <row r="17" spans="1:32" x14ac:dyDescent="0.25">
      <c r="A17" s="31">
        <v>43020.594942129632</v>
      </c>
      <c r="B17" s="30" t="s">
        <v>585</v>
      </c>
      <c r="C17" s="30" t="s">
        <v>586</v>
      </c>
      <c r="D17" s="30" t="s">
        <v>49</v>
      </c>
      <c r="E17" s="30" t="s">
        <v>587</v>
      </c>
      <c r="F17" s="42">
        <v>0</v>
      </c>
      <c r="G17" s="42">
        <v>446</v>
      </c>
      <c r="H17" s="42">
        <v>17486</v>
      </c>
      <c r="I17" s="42">
        <v>0</v>
      </c>
      <c r="J17" s="30" t="s">
        <v>588</v>
      </c>
      <c r="K17" s="42">
        <v>17100</v>
      </c>
      <c r="L17" s="131" t="s">
        <v>51</v>
      </c>
      <c r="M17" s="132">
        <f t="shared" si="0"/>
        <v>-9028.7999999999993</v>
      </c>
      <c r="N17" s="133" t="str">
        <f>VLOOKUP(C17,'Trips&amp;Operators'!$C$1:$G$99911,5,FALSE)</f>
        <v>KILLION DAVID</v>
      </c>
      <c r="O17" s="176" t="s">
        <v>379</v>
      </c>
      <c r="P17" s="134" t="s">
        <v>397</v>
      </c>
      <c r="Q17" s="30"/>
      <c r="R17" s="81" t="str">
        <f>VLOOKUP(C17,'Train Runs'!$A$13:$AE$10027,31,0)</f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S17" s="84" t="str">
        <f>VLOOKUP(C17,'Train Runs'!$A$13:$AE$10027,22,0)</f>
        <v>https://d0f6bd738d7f1b3e5a7ca70fe4ff75f0.us-east-1.aws.found.io/app/kibana#/discover/Steve-Slow-Train-Analysis-(2080s-and-2083s)?_g=(refreshInterval:(display:Off,pause:!f,section:0,value:0),time:(from:'2017-10-12T12:28:32-0600',mode:absolute,to:'2017-10-12T15:15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 t="shared" si="1"/>
        <v>"C:\Program Files (x86)\AstroGrep\AstroGrep.exe" /e /r /s /spath="%USERPROFILE%\AppData\Local\Temp\OnboardLogs" /stypes="*4003*201710122*"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4003</v>
      </c>
      <c r="V17" s="31">
        <f t="shared" si="3"/>
        <v>43020.844942129632</v>
      </c>
      <c r="W17" s="45" t="str">
        <f t="shared" si="4"/>
        <v>EC</v>
      </c>
      <c r="X17" s="22">
        <f t="shared" si="5"/>
        <v>174</v>
      </c>
      <c r="Y17" s="96" t="str">
        <f t="shared" si="6"/>
        <v>echo {"issue":{"subject":"Wi-MAX data drop","project_id":79,"tracker_id":40,"status_id":1,"priority_id":2,"assigned_to_id":338,"start_date":"2017-10-12","description":"","custom_fields":[{"id":1,"name":"Subdivision","value":"EC"},{"id":4,"name":"Milepost","value":"1.71"},{"id":17,"name":"Train ID","value":"174-12"},{"id":16,"name":"Locomotive ID","value":"4003"},{"id":130,"name":"Impact","value":""},{"id":150,"name":"Time of Event (Mountain Time)","value":"14:16:43"},{"id":151,"name":"Denver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/c/Users/stu/AppData/Local/Temp/OnboardLogs/RTDC4003 --include="*4003*201710122*"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"%USERPROFILE%\AppData\Local\Temp\OnboardLogs"\RTDC4003\*4003*201710122* &gt;&gt; 2017-10-12-SliceDisagreementCheck.txt</v>
      </c>
      <c r="AE17" s="145" t="str">
        <f t="shared" si="9"/>
        <v>start /low /b %USERPROFILE%\Documents\GitHub\eaglep3\Utilities\DownloadLogsFromS3.py --loco 4003 --day 2017-10-12</v>
      </c>
      <c r="AF17" s="1"/>
    </row>
    <row r="18" spans="1:32" x14ac:dyDescent="0.25">
      <c r="A18" s="31">
        <v>43020.462569444448</v>
      </c>
      <c r="B18" s="30" t="s">
        <v>576</v>
      </c>
      <c r="C18" s="30" t="s">
        <v>577</v>
      </c>
      <c r="D18" s="30" t="s">
        <v>49</v>
      </c>
      <c r="E18" s="30" t="s">
        <v>179</v>
      </c>
      <c r="F18" s="42">
        <v>0</v>
      </c>
      <c r="G18" s="42">
        <v>45</v>
      </c>
      <c r="H18" s="42">
        <v>149</v>
      </c>
      <c r="I18" s="42">
        <v>96</v>
      </c>
      <c r="J18" s="30" t="s">
        <v>180</v>
      </c>
      <c r="K18" s="42">
        <v>1</v>
      </c>
      <c r="L18" s="131" t="s">
        <v>51</v>
      </c>
      <c r="M18" s="132">
        <f t="shared" si="0"/>
        <v>50.16</v>
      </c>
      <c r="N18" s="133" t="str">
        <f>VLOOKUP(C18,'Trips&amp;Operators'!$C$1:$G$99911,5,FALSE)</f>
        <v>PAGE MARCUS</v>
      </c>
      <c r="O18" s="176" t="s">
        <v>178</v>
      </c>
      <c r="P18" s="134"/>
      <c r="Q18" s="30"/>
      <c r="R18" s="81" t="str">
        <f>VLOOKUP(C18,'Train Runs'!$A$13:$AE$10027,31,0)</f>
        <v>aws s3 cp s3://rtdc.mdm.uploadarchive.raw/RTDC4025/ "%USERPROFILE%\AppData\Local\Temp\OnboardLogs"\RTDC4025\2017-10-12 --exclude "*" --recursive --include "*20171012*" &amp; "%USERPROFILE%\Documents\GitHub\mrs-test-scripts\Headless Mode &amp; Sideloading\WalkAndUnGZ.bat" "%USERPROFILE%\AppData\Local\Temp\OnboardLogs"\RTDC4025\2017-10-12 &amp; aws s3 cp s3://rtdc.mdm.uploadarchive.raw/RTDC4025/ "%USERPROFILE%\AppData\Local\Temp\OnboardLogs"\RTDC4025\2017-10-13 --exclude "*" --recursive --include "*20171013*" &amp; "%USERPROFILE%\Documents\GitHub\mrs-test-scripts\Headless Mode &amp; Sideloading\WalkAndUnGZ.bat" "%USERPROFILE%\AppData\Local\Temp\OnboardLogs"\RTDC4025\2017-10-13</v>
      </c>
      <c r="S18" s="84" t="str">
        <f>VLOOKUP(C18,'Train Runs'!$A$13:$AE$10027,22,0)</f>
        <v>https://d0f6bd738d7f1b3e5a7ca70fe4ff75f0.us-east-1.aws.found.io/app/kibana#/discover/Steve-Slow-Train-Analysis-(2080s-and-2083s)?_g=(refreshInterval:(display:Off,pause:!f,section:0,value:0),time:(from:'2017-10-12T09:20:13-0600',mode:absolute,to:'2017-10-12T12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86" t="str">
        <f t="shared" si="1"/>
        <v>"C:\Program Files (x86)\AstroGrep\AstroGrep.exe" /e /r /s /spath="%USERPROFILE%\AppData\Local\Temp\OnboardLogs" /stypes="*4025*201710121*"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4025</v>
      </c>
      <c r="V18" s="31">
        <f t="shared" si="3"/>
        <v>43020.712569444448</v>
      </c>
      <c r="W18" s="45" t="str">
        <f t="shared" si="4"/>
        <v>EC</v>
      </c>
      <c r="X18" s="22">
        <f t="shared" si="5"/>
        <v>148</v>
      </c>
      <c r="Y18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{"issue":{"subject":"","project_id":79,"tracker_id":40,"status_id":1,"priority_id":2,"assigned_to_id":338,"start_date":"2017-10-12","description":"","custom_fields":[{"id":1,"name":"Subdivision","value":"EC"},{"id":4,"name":"Milepost","value":"0.0001"},{"id":17,"name":"Train ID","value":"148-12"},{"id":16,"name":"Locomotive ID","value":"4025"},{"id":130,"name":"Impact","value":""},{"id":150,"name":"Time of Event (Mountain Time)","value":"11:06:06"},{"id":151,"name":"Denver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/c/Users/stu/AppData/Local/Temp/OnboardLogs/RTDC4025 --include="*4025*201710121*"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"%USERPROFILE%\AppData\Local\Temp\OnboardLogs"\RTDC4025\*4025*201710121* &gt;&gt; 2017-10-12-SliceDisagreementCheck.txt</v>
      </c>
      <c r="AE18" s="145" t="str">
        <f t="shared" si="9"/>
        <v>start /low /b %USERPROFILE%\Documents\GitHub\eaglep3\Utilities\DownloadLogsFromS3.py --loco 4025 --day 2017-10-12</v>
      </c>
      <c r="AF18" s="1"/>
    </row>
    <row r="19" spans="1:32" x14ac:dyDescent="0.25">
      <c r="A19" s="31">
        <v>43020.587199074071</v>
      </c>
      <c r="B19" s="30" t="s">
        <v>438</v>
      </c>
      <c r="C19" s="30" t="s">
        <v>584</v>
      </c>
      <c r="D19" s="30" t="s">
        <v>49</v>
      </c>
      <c r="E19" s="30" t="s">
        <v>179</v>
      </c>
      <c r="F19" s="42">
        <v>0</v>
      </c>
      <c r="G19" s="42">
        <v>68</v>
      </c>
      <c r="H19" s="42">
        <v>251</v>
      </c>
      <c r="I19" s="42">
        <v>183</v>
      </c>
      <c r="J19" s="30" t="s">
        <v>180</v>
      </c>
      <c r="K19" s="42">
        <v>1</v>
      </c>
      <c r="L19" s="131" t="s">
        <v>51</v>
      </c>
      <c r="M19" s="132">
        <f t="shared" si="0"/>
        <v>96.096000000000004</v>
      </c>
      <c r="N19" s="133" t="str">
        <f>VLOOKUP(C19,'Trips&amp;Operators'!$C$1:$G$99911,5,FALSE)</f>
        <v>BADERTSCHER DIANE</v>
      </c>
      <c r="O19" s="176" t="s">
        <v>178</v>
      </c>
      <c r="P19" s="134"/>
      <c r="Q19" s="30"/>
      <c r="R19" s="81" t="str">
        <f>VLOOKUP(C19,'Train Runs'!$A$13:$AE$10027,31,0)</f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S19" s="84" t="str">
        <f>VLOOKUP(C19,'Train Runs'!$A$13:$AE$10027,22,0)</f>
        <v>https://d0f6bd738d7f1b3e5a7ca70fe4ff75f0.us-east-1.aws.found.io/app/kibana#/discover/Steve-Slow-Train-Analysis-(2080s-and-2083s)?_g=(refreshInterval:(display:Off,pause:!f,section:0,value:0),time:(from:'2017-10-12T12:16:21-0600',mode:absolute,to:'2017-10-12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9" s="86" t="str">
        <f t="shared" si="1"/>
        <v>"C:\Program Files (x86)\AstroGrep\AstroGrep.exe" /e /r /s /spath="%USERPROFILE%\AppData\Local\Temp\OnboardLogs" /stypes="*4051*201710122*"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4051</v>
      </c>
      <c r="V19" s="31">
        <f t="shared" si="3"/>
        <v>43020.837199074071</v>
      </c>
      <c r="W19" s="45" t="str">
        <f t="shared" si="4"/>
        <v>EC</v>
      </c>
      <c r="X19" s="22">
        <f t="shared" si="5"/>
        <v>172</v>
      </c>
      <c r="Y19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{"issue":{"subject":"","project_id":79,"tracker_id":40,"status_id":1,"priority_id":2,"assigned_to_id":338,"start_date":"2017-10-12","description":"","custom_fields":[{"id":1,"name":"Subdivision","value":"EC"},{"id":4,"name":"Milepost","value":"0.0001"},{"id":17,"name":"Train ID","value":"172-12"},{"id":16,"name":"Locomotive ID","value":"4051"},{"id":130,"name":"Impact","value":""},{"id":150,"name":"Time of Event (Mountain Time)","value":"14:05:34"},{"id":151,"name":"Denver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/c/Users/stu/AppData/Local/Temp/OnboardLogs/RTDC4051 --include="*4051*201710122*"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"%USERPROFILE%\AppData\Local\Temp\OnboardLogs"\RTDC4051\*4051*201710122* &gt;&gt; 2017-10-12-SliceDisagreementCheck.txt</v>
      </c>
      <c r="AE19" s="145" t="str">
        <f t="shared" si="9"/>
        <v>start /low /b %USERPROFILE%\Documents\GitHub\eaglep3\Utilities\DownloadLogsFromS3.py --loco 4051 --day 2017-10-12</v>
      </c>
      <c r="AF19" s="1"/>
    </row>
    <row r="20" spans="1:32" x14ac:dyDescent="0.25">
      <c r="A20" s="31">
        <v>43020.774861111109</v>
      </c>
      <c r="B20" s="30" t="s">
        <v>438</v>
      </c>
      <c r="C20" s="30" t="s">
        <v>595</v>
      </c>
      <c r="D20" s="30" t="s">
        <v>49</v>
      </c>
      <c r="E20" s="30" t="s">
        <v>179</v>
      </c>
      <c r="F20" s="42">
        <v>0</v>
      </c>
      <c r="G20" s="42">
        <v>71</v>
      </c>
      <c r="H20" s="42">
        <v>278</v>
      </c>
      <c r="I20" s="42">
        <v>211</v>
      </c>
      <c r="J20" s="30" t="s">
        <v>180</v>
      </c>
      <c r="K20" s="42">
        <v>1</v>
      </c>
      <c r="L20" s="131" t="s">
        <v>51</v>
      </c>
      <c r="M20" s="132">
        <f t="shared" si="0"/>
        <v>110.88</v>
      </c>
      <c r="N20" s="133" t="str">
        <f>VLOOKUP(C20,'Trips&amp;Operators'!$C$1:$G$99911,5,FALSE)</f>
        <v>BADERTSCHER DIANE</v>
      </c>
      <c r="O20" s="176" t="s">
        <v>178</v>
      </c>
      <c r="P20" s="134"/>
      <c r="Q20" s="30"/>
      <c r="R20" s="81" t="str">
        <f>VLOOKUP(C20,'Train Runs'!$A$13:$AE$10027,31,0)</f>
        <v>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 &amp; aws s3 cp s3://rtdc.mdm.uploadarchive.raw/RTDC4051/ "%USERPROFILE%\AppData\Local\Temp\OnboardLogs"\RTDC4051\2017-10-13 --exclude "*" --recursive --include "*20171013*" &amp; "%USERPROFILE%\Documents\GitHub\mrs-test-scripts\Headless Mode &amp; Sideloading\WalkAndUnGZ.bat" "%USERPROFILE%\AppData\Local\Temp\OnboardLogs"\RTDC4051\2017-10-13</v>
      </c>
      <c r="S20" s="84" t="str">
        <f>VLOOKUP(C20,'Train Runs'!$A$13:$AE$10027,22,0)</f>
        <v>https://d0f6bd738d7f1b3e5a7ca70fe4ff75f0.us-east-1.aws.found.io/app/kibana#/discover/Steve-Slow-Train-Analysis-(2080s-and-2083s)?_g=(refreshInterval:(display:Off,pause:!f,section:0,value:0),time:(from:'2017-10-12T15:49:22-0600',mode:absolute,to:'2017-10-12T19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0" s="86" t="str">
        <f t="shared" si="1"/>
        <v>"C:\Program Files (x86)\AstroGrep\AstroGrep.exe" /e /r /s /spath="%USERPROFILE%\AppData\Local\Temp\OnboardLogs" /stypes="*4051*201710130*"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4051</v>
      </c>
      <c r="V20" s="31">
        <f t="shared" si="3"/>
        <v>43021.024861111109</v>
      </c>
      <c r="W20" s="45" t="str">
        <f t="shared" si="4"/>
        <v>EC</v>
      </c>
      <c r="X20" s="22">
        <f t="shared" si="5"/>
        <v>200</v>
      </c>
      <c r="Y20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{"issue":{"subject":"","project_id":79,"tracker_id":40,"status_id":1,"priority_id":2,"assigned_to_id":338,"start_date":"2017-10-12","description":"","custom_fields":[{"id":1,"name":"Subdivision","value":"EC"},{"id":4,"name":"Milepost","value":"0.0001"},{"id":17,"name":"Train ID","value":"200-12"},{"id":16,"name":"Locomotive ID","value":"4051"},{"id":130,"name":"Impact","value":""},{"id":150,"name":"Time of Event (Mountain Time)","value":"18:35:48"},{"id":151,"name":"Denver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/c/Users/stu/AppData/Local/Temp/OnboardLogs/RTDC4051 --include="*4051*201710130*"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"%USERPROFILE%\AppData\Local\Temp\OnboardLogs"\RTDC4051\*4051*201710130* &gt;&gt; 2017-10-12-SliceDisagreementCheck.txt</v>
      </c>
      <c r="AE20" s="145" t="str">
        <f t="shared" si="9"/>
        <v>start /low /b %USERPROFILE%\Documents\GitHub\eaglep3\Utilities\DownloadLogsFromS3.py --loco 4051 --day 2017-10-13</v>
      </c>
      <c r="AF20" s="1"/>
    </row>
    <row r="21" spans="1:32" x14ac:dyDescent="0.25">
      <c r="A21" s="31">
        <v>43020.779618055552</v>
      </c>
      <c r="B21" s="30" t="s">
        <v>585</v>
      </c>
      <c r="C21" s="30" t="s">
        <v>597</v>
      </c>
      <c r="D21" s="30" t="s">
        <v>49</v>
      </c>
      <c r="E21" s="30" t="s">
        <v>179</v>
      </c>
      <c r="F21" s="42">
        <v>0</v>
      </c>
      <c r="G21" s="42">
        <v>32</v>
      </c>
      <c r="H21" s="42">
        <v>913</v>
      </c>
      <c r="I21" s="42">
        <v>882</v>
      </c>
      <c r="J21" s="30" t="s">
        <v>180</v>
      </c>
      <c r="K21" s="42">
        <v>839</v>
      </c>
      <c r="L21" s="131" t="s">
        <v>51</v>
      </c>
      <c r="M21" s="132">
        <f t="shared" si="0"/>
        <v>22.704000000000001</v>
      </c>
      <c r="N21" s="133" t="str">
        <f>VLOOKUP(C21,'Trips&amp;Operators'!$C$1:$G$99911,5,FALSE)</f>
        <v>KILLION DAVID</v>
      </c>
      <c r="O21" s="176" t="s">
        <v>178</v>
      </c>
      <c r="P21" s="134"/>
      <c r="Q21" s="30"/>
      <c r="R21" s="81" t="str">
        <f>VLOOKUP(C21,'Train Runs'!$A$13:$AE$10027,31,0)</f>
        <v>aws s3 cp s3://rtdc.mdm.uploadarchive.raw/RTDC4003/ "%USERPROFILE%\AppData\Local\Temp\OnboardLogs"\RTDC4003\2017-10-12 --exclude "*" --recursive --include "*20171012*" &amp; "%USERPROFILE%\Documents\GitHub\mrs-test-scripts\Headless Mode &amp; Sideloading\WalkAndUnGZ.bat" "%USERPROFILE%\AppData\Local\Temp\OnboardLogs"\RTDC4003\2017-10-12 &amp; aws s3 cp s3://rtdc.mdm.uploadarchive.raw/RTDC4003/ "%USERPROFILE%\AppData\Local\Temp\OnboardLogs"\RTDC4003\2017-10-13 --exclude "*" --recursive --include "*20171013*" &amp; "%USERPROFILE%\Documents\GitHub\mrs-test-scripts\Headless Mode &amp; Sideloading\WalkAndUnGZ.bat" "%USERPROFILE%\AppData\Local\Temp\OnboardLogs"\RTDC4003\2017-10-13</v>
      </c>
      <c r="S21" s="84" t="str">
        <f>VLOOKUP(C21,'Train Runs'!$A$13:$AE$10027,22,0)</f>
        <v>https://d0f6bd738d7f1b3e5a7ca70fe4ff75f0.us-east-1.aws.found.io/app/kibana#/discover/Steve-Slow-Train-Analysis-(2080s-and-2083s)?_g=(refreshInterval:(display:Off,pause:!f,section:0,value:0),time:(from:'2017-10-12T16:02:12-0600',mode:absolute,to:'2017-10-12T19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86" t="str">
        <f t="shared" si="1"/>
        <v>"C:\Program Files (x86)\AstroGrep\AstroGrep.exe" /e /r /s /spath="%USERPROFILE%\AppData\Local\Temp\OnboardLogs" /stypes="*4003*201710130*"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4003</v>
      </c>
      <c r="V21" s="31">
        <f t="shared" si="3"/>
        <v>43021.029618055552</v>
      </c>
      <c r="W21" s="45" t="str">
        <f t="shared" si="4"/>
        <v>EC</v>
      </c>
      <c r="X21" s="22">
        <f t="shared" si="5"/>
        <v>202</v>
      </c>
      <c r="Y21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{"issue":{"subject":"","project_id":79,"tracker_id":40,"status_id":1,"priority_id":2,"assigned_to_id":338,"start_date":"2017-10-12","description":"","custom_fields":[{"id":1,"name":"Subdivision","value":"EC"},{"id":4,"name":"Milepost","value":"0.0839"},{"id":17,"name":"Train ID","value":"202-12"},{"id":16,"name":"Locomotive ID","value":"4003"},{"id":130,"name":"Impact","value":""},{"id":150,"name":"Time of Event (Mountain Time)","value":"18:42:39"},{"id":151,"name":"Denver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/c/Users/stu/AppData/Local/Temp/OnboardLogs/RTDC4003 --include="*4003*201710130*"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"%USERPROFILE%\AppData\Local\Temp\OnboardLogs"\RTDC4003\*4003*201710130* &gt;&gt; 2017-10-12-SliceDisagreementCheck.txt</v>
      </c>
      <c r="AE21" s="145" t="str">
        <f t="shared" si="9"/>
        <v>start /low /b %USERPROFILE%\Documents\GitHub\eaglep3\Utilities\DownloadLogsFromS3.py --loco 4003 --day 2017-10-13</v>
      </c>
      <c r="AF21" s="1"/>
    </row>
    <row r="22" spans="1:32" x14ac:dyDescent="0.25">
      <c r="A22" s="31">
        <v>43020.821053240739</v>
      </c>
      <c r="B22" s="30" t="s">
        <v>494</v>
      </c>
      <c r="C22" s="30" t="s">
        <v>599</v>
      </c>
      <c r="D22" s="30" t="s">
        <v>49</v>
      </c>
      <c r="E22" s="30" t="s">
        <v>179</v>
      </c>
      <c r="F22" s="42">
        <v>0</v>
      </c>
      <c r="G22" s="42">
        <v>28</v>
      </c>
      <c r="H22" s="42">
        <v>930</v>
      </c>
      <c r="I22" s="42">
        <v>909</v>
      </c>
      <c r="J22" s="30" t="s">
        <v>180</v>
      </c>
      <c r="K22" s="42">
        <v>839</v>
      </c>
      <c r="L22" s="131" t="s">
        <v>51</v>
      </c>
      <c r="M22" s="132">
        <f t="shared" si="0"/>
        <v>36.96</v>
      </c>
      <c r="N22" s="133" t="str">
        <f>VLOOKUP(C22,'Trips&amp;Operators'!$C$1:$G$99911,5,FALSE)</f>
        <v>LOZA FIDEL</v>
      </c>
      <c r="O22" s="176" t="s">
        <v>178</v>
      </c>
      <c r="P22" s="134"/>
      <c r="Q22" s="30"/>
      <c r="R22" s="81" t="e">
        <f>VLOOKUP(C22,'Train Runs'!$A$13:$AE$10027,31,0)</f>
        <v>#N/A</v>
      </c>
      <c r="S22" s="84" t="e">
        <f>VLOOKUP(C22,'Train Runs'!$A$13:$AE$10027,22,0)</f>
        <v>#N/A</v>
      </c>
      <c r="T22" s="86" t="str">
        <f t="shared" si="1"/>
        <v>"C:\Program Files (x86)\AstroGrep\AstroGrep.exe" /e /r /s /spath="%USERPROFILE%\AppData\Local\Temp\OnboardLogs" /stypes="*4013*201710130*" /stext=" 01:.+((SYSTEM_STATE.+slice.+state.+changed )|(ment ac)|(multiple cpu faults)|(system.+state.+changed )|(\[timeout)|(PRM\|1\|D)|(kpr)|(kdp)|(train st.+moving)|(\|lc)|(penalty))"</v>
      </c>
      <c r="U22" s="9" t="str">
        <f t="shared" si="2"/>
        <v>4013</v>
      </c>
      <c r="V22" s="31">
        <f t="shared" si="3"/>
        <v>43021.071053240739</v>
      </c>
      <c r="W22" s="45" t="str">
        <f t="shared" si="4"/>
        <v>EC</v>
      </c>
      <c r="X22" s="22">
        <f t="shared" si="5"/>
        <v>216</v>
      </c>
      <c r="Y22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{"issue":{"subject":"","project_id":79,"tracker_id":40,"status_id":1,"priority_id":2,"assigned_to_id":338,"start_date":"2017-10-12","description":"","custom_fields":[{"id":1,"name":"Subdivision","value":"EC"},{"id":4,"name":"Milepost","value":"0.0839"},{"id":17,"name":"Train ID","value":"216-12"},{"id":16,"name":"Locomotive ID","value":"4013"},{"id":130,"name":"Impact","value":""},{"id":150,"name":"Time of Event (Mountain Time)","value":"19:42:19"},{"id":151,"name":"Denver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/c/Users/stu/AppData/Local/Temp/OnboardLogs/RTDC4013 --include="*4013*201710130*"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"%USERPROFILE%\AppData\Local\Temp\OnboardLogs"\RTDC4013\*4013*201710130* &gt;&gt; 2017-10-12-SliceDisagreementCheck.txt</v>
      </c>
      <c r="AE22" s="145" t="str">
        <f t="shared" si="9"/>
        <v>start /low /b %USERPROFILE%\Documents\GitHub\eaglep3\Utilities\DownloadLogsFromS3.py --loco 4013 --day 2017-10-13</v>
      </c>
      <c r="AF22" s="1"/>
    </row>
    <row r="23" spans="1:32" x14ac:dyDescent="0.25">
      <c r="A23" s="31">
        <v>43020.5465625</v>
      </c>
      <c r="B23" s="30" t="s">
        <v>437</v>
      </c>
      <c r="C23" s="30" t="s">
        <v>582</v>
      </c>
      <c r="D23" s="30" t="s">
        <v>49</v>
      </c>
      <c r="E23" s="30" t="s">
        <v>179</v>
      </c>
      <c r="F23" s="42">
        <v>0</v>
      </c>
      <c r="G23" s="42">
        <v>57</v>
      </c>
      <c r="H23" s="42">
        <v>233297</v>
      </c>
      <c r="I23" s="42">
        <v>233344</v>
      </c>
      <c r="J23" s="30" t="s">
        <v>180</v>
      </c>
      <c r="K23" s="42">
        <v>233491</v>
      </c>
      <c r="L23" s="131" t="s">
        <v>50</v>
      </c>
      <c r="M23" s="132">
        <f t="shared" si="0"/>
        <v>77.616</v>
      </c>
      <c r="N23" s="133" t="str">
        <f>VLOOKUP(C23,'Trips&amp;Operators'!$C$1:$G$99911,5,FALSE)</f>
        <v>BADERTSCHER DIANE</v>
      </c>
      <c r="O23" s="176" t="s">
        <v>178</v>
      </c>
      <c r="P23" s="134"/>
      <c r="Q23" s="30"/>
      <c r="R23" s="81" t="str">
        <f>VLOOKUP(C23,'Train Runs'!$A$13:$AE$10027,31,0)</f>
        <v>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 &amp; aws s3 cp s3://rtdc.mdm.uploadarchive.raw/RTDC4052/ "%USERPROFILE%\AppData\Local\Temp\OnboardLogs"\RTDC4052\2017-10-13 --exclude "*" --recursive --include "*20171013*" &amp; "%USERPROFILE%\Documents\GitHub\mrs-test-scripts\Headless Mode &amp; Sideloading\WalkAndUnGZ.bat" "%USERPROFILE%\AppData\Local\Temp\OnboardLogs"\RTDC4052\2017-10-13</v>
      </c>
      <c r="S23" s="84" t="str">
        <f>VLOOKUP(C23,'Train Runs'!$A$13:$AE$10027,22,0)</f>
        <v>https://d0f6bd738d7f1b3e5a7ca70fe4ff75f0.us-east-1.aws.found.io/app/kibana#/discover/Steve-Slow-Train-Analysis-(2080s-and-2083s)?_g=(refreshInterval:(display:Off,pause:!f,section:0,value:0),time:(from:'2017-10-12T11:24:19-0600',mode:absolute,to:'2017-10-12T14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86" t="str">
        <f t="shared" si="1"/>
        <v>"C:\Program Files (x86)\AstroGrep\AstroGrep.exe" /e /r /s /spath="%USERPROFILE%\AppData\Local\Temp\OnboardLogs" /stypes="*4052*201710121*"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4052</v>
      </c>
      <c r="V23" s="31">
        <f t="shared" si="3"/>
        <v>43020.7965625</v>
      </c>
      <c r="W23" s="45" t="str">
        <f t="shared" si="4"/>
        <v>EC</v>
      </c>
      <c r="X23" s="22">
        <f t="shared" si="5"/>
        <v>171</v>
      </c>
      <c r="Y23" s="96" t="str">
        <f t="shared" si="6"/>
        <v>echo {"issue":{"subject":"","project_id":79,"tracker_id":40,"status_id":1,"priority_id":2,"assigned_to_id":338,"start_date":"2017-10-12","description":"","custom_fields":[{"id":1,"name":"Subdivision","value":"EC"},{"id":4,"name":"Milepost","value":"23.3491"},{"id":17,"name":"Train ID","value":"171-12"},{"id":16,"name":"Locomotive ID","value":"4052"},{"id":130,"name":"Impact","value":""},{"id":150,"name":"Time of Event (Mountain Time)","value":"13:07:03"},{"id":151,"name":"Denver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/c/Users/stu/AppData/Local/Temp/OnboardLogs/RTDC4052 --include="*4052*201710121*"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"%USERPROFILE%\AppData\Local\Temp\OnboardLogs"\RTDC4052\*4052*201710121* &gt;&gt; 2017-10-12-SliceDisagreementCheck.txt</v>
      </c>
      <c r="AE23" s="145" t="str">
        <f t="shared" si="9"/>
        <v>start /low /b %USERPROFILE%\Documents\GitHub\eaglep3\Utilities\DownloadLogsFromS3.py --loco 4052 --day 2017-10-12</v>
      </c>
      <c r="AF23" s="1"/>
    </row>
    <row r="24" spans="1:32" x14ac:dyDescent="0.25">
      <c r="A24" s="31">
        <v>43020.34679398148</v>
      </c>
      <c r="B24" s="30" t="s">
        <v>571</v>
      </c>
      <c r="C24" s="30" t="s">
        <v>572</v>
      </c>
      <c r="D24" s="30" t="s">
        <v>95</v>
      </c>
      <c r="E24" s="30" t="s">
        <v>192</v>
      </c>
      <c r="F24" s="42">
        <v>300</v>
      </c>
      <c r="G24" s="42">
        <v>351</v>
      </c>
      <c r="H24" s="42">
        <v>21189</v>
      </c>
      <c r="I24" s="42">
        <v>20532</v>
      </c>
      <c r="J24" s="30" t="s">
        <v>193</v>
      </c>
      <c r="K24" s="42">
        <v>23561</v>
      </c>
      <c r="L24" s="131" t="s">
        <v>51</v>
      </c>
      <c r="M24" s="132">
        <f t="shared" si="0"/>
        <v>-1599.3119999999999</v>
      </c>
      <c r="N24" s="133" t="str">
        <f>VLOOKUP(C24,'Trips&amp;Operators'!$C$1:$G$99911,5,FALSE)</f>
        <v>DAVIS WENDY</v>
      </c>
      <c r="O24" s="176" t="s">
        <v>178</v>
      </c>
      <c r="P24" s="134"/>
      <c r="Q24" s="30"/>
      <c r="R24" s="81" t="str">
        <f>VLOOKUP(C24,'Train Runs'!$A$13:$AE$10027,31,0)</f>
        <v>aws s3 cp s3://rtdc.mdm.uploadarchive.raw/RTDC4029/ "%USERPROFILE%\AppData\Local\Temp\OnboardLogs"\RTDC4029\2017-10-12 --exclude "*" --recursive --include "*20171012*" &amp; "%USERPROFILE%\Documents\GitHub\mrs-test-scripts\Headless Mode &amp; Sideloading\WalkAndUnGZ.bat" "%USERPROFILE%\AppData\Local\Temp\OnboardLogs"\RTDC4029\2017-10-12 &amp; aws s3 cp s3://rtdc.mdm.uploadarchive.raw/RTDC4029/ "%USERPROFILE%\AppData\Local\Temp\OnboardLogs"\RTDC4029\2017-10-13 --exclude "*" --recursive --include "*20171013*" &amp; "%USERPROFILE%\Documents\GitHub\mrs-test-scripts\Headless Mode &amp; Sideloading\WalkAndUnGZ.bat" "%USERPROFILE%\AppData\Local\Temp\OnboardLogs"\RTDC4029\2017-10-13</v>
      </c>
      <c r="S24" s="84" t="str">
        <f>VLOOKUP(C24,'Train Runs'!$A$13:$AE$10027,22,0)</f>
        <v>https://d0f6bd738d7f1b3e5a7ca70fe4ff75f0.us-east-1.aws.found.io/app/kibana#/discover/Steve-Slow-Train-Analysis-(2080s-and-2083s)?_g=(refreshInterval:(display:Off,pause:!f,section:0,value:0),time:(from:'2017-10-12T06:57:39-0600',mode:absolute,to:'2017-10-12T09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86" t="str">
        <f t="shared" si="1"/>
        <v>"C:\Program Files (x86)\AstroGrep\AstroGrep.exe" /e /r /s /spath="%USERPROFILE%\AppData\Local\Temp\OnboardLogs" /stypes="*4029*201710121*"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4029</v>
      </c>
      <c r="V24" s="31">
        <f t="shared" si="3"/>
        <v>43020.59679398148</v>
      </c>
      <c r="W24" s="45" t="str">
        <f t="shared" si="4"/>
        <v>NW</v>
      </c>
      <c r="X24" s="22">
        <f t="shared" si="5"/>
        <v>810</v>
      </c>
      <c r="Y24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{"issue":{"subject":"","project_id":79,"tracker_id":40,"status_id":1,"priority_id":2,"assigned_to_id":338,"start_date":"2017-10-12","description":"","custom_fields":[{"id":1,"name":"Subdivision","value":"NW"},{"id":4,"name":"Milepost","value":"2.3561"},{"id":17,"name":"Train ID","value":"810-12"},{"id":16,"name":"Locomotive ID","value":"4029"},{"id":130,"name":"Impact","value":""},{"id":150,"name":"Time of Event (Mountain Time)","value":"08:19:23"},{"id":151,"name":"Denver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/c/Users/stu/AppData/Local/Temp/OnboardLogs/RTDC4029 --include="*4029*201710121*"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"%USERPROFILE%\AppData\Local\Temp\OnboardLogs"\RTDC4029\*4029*201710121* &gt;&gt; 2017-10-12-SliceDisagreementCheck.txt</v>
      </c>
      <c r="AE24" s="145" t="str">
        <f t="shared" si="9"/>
        <v>start /low /b %USERPROFILE%\Documents\GitHub\eaglep3\Utilities\DownloadLogsFromS3.py --loco 4029 --day 2017-10-12</v>
      </c>
      <c r="AF24" s="1"/>
    </row>
    <row r="25" spans="1:32" x14ac:dyDescent="0.25">
      <c r="A25" s="31">
        <v>43020.282465277778</v>
      </c>
      <c r="B25" s="30" t="s">
        <v>565</v>
      </c>
      <c r="C25" s="30" t="s">
        <v>566</v>
      </c>
      <c r="D25" s="30" t="s">
        <v>95</v>
      </c>
      <c r="E25" s="30" t="s">
        <v>192</v>
      </c>
      <c r="F25" s="42">
        <v>400</v>
      </c>
      <c r="G25" s="42">
        <v>451</v>
      </c>
      <c r="H25" s="42">
        <v>38301</v>
      </c>
      <c r="I25" s="42">
        <v>37263</v>
      </c>
      <c r="J25" s="30" t="s">
        <v>193</v>
      </c>
      <c r="K25" s="42">
        <v>40977</v>
      </c>
      <c r="L25" s="131" t="s">
        <v>51</v>
      </c>
      <c r="M25" s="132">
        <f t="shared" si="0"/>
        <v>-1960.992</v>
      </c>
      <c r="N25" s="133" t="str">
        <f>VLOOKUP(C25,'Trips&amp;Operators'!$C$1:$G$99911,5,FALSE)</f>
        <v>FORTUNATO FRANK</v>
      </c>
      <c r="O25" s="176" t="s">
        <v>178</v>
      </c>
      <c r="P25" s="134"/>
      <c r="Q25" s="30"/>
      <c r="R25" s="81" t="str">
        <f>VLOOKUP(C25,'Train Runs'!$A$13:$AE$10027,31,0)</f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S25" s="84" t="str">
        <f>VLOOKUP(C25,'Train Runs'!$A$13:$AE$10027,22,0)</f>
        <v>https://d0f6bd738d7f1b3e5a7ca70fe4ff75f0.us-east-1.aws.found.io/app/kibana#/discover/Steve-Slow-Train-Analysis-(2080s-and-2083s)?_g=(refreshInterval:(display:Off,pause:!f,section:0,value:0),time:(from:'2017-10-12T05:27:01-0600',mode:absolute,to:'2017-10-12T07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86" t="str">
        <f t="shared" si="1"/>
        <v>"C:\Program Files (x86)\AstroGrep\AstroGrep.exe" /e /r /s /spath="%USERPROFILE%\AppData\Local\Temp\OnboardLogs" /stypes="*4041*201710121*"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4041</v>
      </c>
      <c r="V25" s="31">
        <f t="shared" si="3"/>
        <v>43020.532465277778</v>
      </c>
      <c r="W25" s="45" t="str">
        <f t="shared" si="4"/>
        <v>NW</v>
      </c>
      <c r="X25" s="22">
        <f t="shared" si="5"/>
        <v>804</v>
      </c>
      <c r="Y25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{"issue":{"subject":"","project_id":79,"tracker_id":40,"status_id":1,"priority_id":2,"assigned_to_id":338,"start_date":"2017-10-12","description":"","custom_fields":[{"id":1,"name":"Subdivision","value":"NW"},{"id":4,"name":"Milepost","value":"4.0977"},{"id":17,"name":"Train ID","value":"804-12"},{"id":16,"name":"Locomotive ID","value":"4041"},{"id":130,"name":"Impact","value":""},{"id":150,"name":"Time of Event (Mountain Time)","value":"06:46:45"},{"id":151,"name":"Denver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/c/Users/stu/AppData/Local/Temp/OnboardLogs/RTDC4041 --include="*4041*201710121*"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"%USERPROFILE%\AppData\Local\Temp\OnboardLogs"\RTDC4041\*4041*201710121* &gt;&gt; 2017-10-12-SliceDisagreementCheck.txt</v>
      </c>
      <c r="AE25" s="145" t="str">
        <f t="shared" si="9"/>
        <v>start /low /b %USERPROFILE%\Documents\GitHub\eaglep3\Utilities\DownloadLogsFromS3.py --loco 4041 --day 2017-10-12</v>
      </c>
      <c r="AF25" s="1"/>
    </row>
    <row r="26" spans="1:32" x14ac:dyDescent="0.25">
      <c r="A26" s="31">
        <v>43020.343784722223</v>
      </c>
      <c r="B26" s="30" t="s">
        <v>569</v>
      </c>
      <c r="C26" s="30" t="s">
        <v>570</v>
      </c>
      <c r="D26" s="30" t="s">
        <v>49</v>
      </c>
      <c r="E26" s="30" t="s">
        <v>491</v>
      </c>
      <c r="F26" s="42">
        <v>0</v>
      </c>
      <c r="G26" s="42">
        <v>284</v>
      </c>
      <c r="H26" s="42">
        <v>20941</v>
      </c>
      <c r="I26" s="42">
        <v>21558</v>
      </c>
      <c r="J26" s="30" t="s">
        <v>492</v>
      </c>
      <c r="K26" s="42">
        <v>22206</v>
      </c>
      <c r="L26" s="131" t="s">
        <v>50</v>
      </c>
      <c r="M26" s="132">
        <f t="shared" si="0"/>
        <v>342.14400000000001</v>
      </c>
      <c r="N26" s="133" t="str">
        <f>VLOOKUP(C26,'Trips&amp;Operators'!$C$1:$G$99911,5,FALSE)</f>
        <v>FORTUNATO FRANK</v>
      </c>
      <c r="O26" s="176" t="s">
        <v>379</v>
      </c>
      <c r="P26" s="134" t="s">
        <v>397</v>
      </c>
      <c r="Q26" s="30"/>
      <c r="R26" s="81" t="str">
        <f>VLOOKUP(C26,'Train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26" s="84" t="str">
        <f>VLOOKUP(C26,'Train Runs'!$A$13:$AE$10027,22,0)</f>
        <v>https://d0f6bd738d7f1b3e5a7ca70fe4ff75f0.us-east-1.aws.found.io/app/kibana#/discover/Steve-Slow-Train-Analysis-(2080s-and-2083s)?_g=(refreshInterval:(display:Off,pause:!f,section:0,value:0),time:(from:'2017-10-12T06:56:36-0600',mode:absolute,to:'2017-10-12T09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6" t="str">
        <f t="shared" si="1"/>
        <v>"C:\Program Files (x86)\AstroGrep\AstroGrep.exe" /e /r /s /spath="%USERPROFILE%\AppData\Local\Temp\OnboardLogs" /stypes="*4042*201710121*" /stext=" 14:.+((SYSTEM_STATE.+slice.+state.+changed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43020.593784722223</v>
      </c>
      <c r="W26" s="45" t="str">
        <f t="shared" si="4"/>
        <v>NW</v>
      </c>
      <c r="X26" s="22">
        <f t="shared" si="5"/>
        <v>811</v>
      </c>
      <c r="Y26" s="96" t="str">
        <f t="shared" si="6"/>
        <v>echo {"issue":{"subject":"Wi-MAX data drop","project_id":79,"tracker_id":40,"status_id":1,"priority_id":2,"assigned_to_id":338,"start_date":"2017-10-12","description":"","custom_fields":[{"id":1,"name":"Subdivision","value":"NW"},{"id":4,"name":"Milepost","value":"2.2206"},{"id":17,"name":"Train ID","value":"811-12"},{"id":16,"name":"Locomotive ID","value":"4042"},{"id":130,"name":"Impact","value":""},{"id":150,"name":"Time of Event (Mountain Time)","value":"08:15:03"},{"id":151,"name":"Denver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/c/Users/stu/AppData/Local/Temp/OnboardLogs/RTDC4042 --include="*4042*201710121*"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"%USERPROFILE%\AppData\Local\Temp\OnboardLogs"\RTDC4042\*4042*201710121* &gt;&gt; 2017-10-12-SliceDisagreementCheck.txt</v>
      </c>
      <c r="AE26" s="145" t="str">
        <f t="shared" si="9"/>
        <v>start /low /b %USERPROFILE%\Documents\GitHub\eaglep3\Utilities\DownloadLogsFromS3.py --loco 4042 --day 2017-10-12</v>
      </c>
      <c r="AF26" s="1"/>
    </row>
    <row r="27" spans="1:32" x14ac:dyDescent="0.25">
      <c r="A27" s="31">
        <v>43020.594965277778</v>
      </c>
      <c r="B27" s="30" t="s">
        <v>569</v>
      </c>
      <c r="C27" s="30" t="s">
        <v>589</v>
      </c>
      <c r="D27" s="30" t="s">
        <v>49</v>
      </c>
      <c r="E27" s="30" t="s">
        <v>491</v>
      </c>
      <c r="F27" s="42">
        <v>0</v>
      </c>
      <c r="G27" s="42">
        <v>621</v>
      </c>
      <c r="H27" s="42">
        <v>31193</v>
      </c>
      <c r="I27" s="42">
        <v>33338</v>
      </c>
      <c r="J27" s="30" t="s">
        <v>492</v>
      </c>
      <c r="K27" s="42">
        <v>33236</v>
      </c>
      <c r="L27" s="131" t="s">
        <v>50</v>
      </c>
      <c r="M27" s="132">
        <f t="shared" si="0"/>
        <v>-53.856000000000002</v>
      </c>
      <c r="N27" s="133" t="str">
        <f>VLOOKUP(C27,'Trips&amp;Operators'!$C$1:$G$99911,5,FALSE)</f>
        <v>STAMBAUGH JAMES</v>
      </c>
      <c r="O27" s="176" t="s">
        <v>379</v>
      </c>
      <c r="P27" s="134" t="s">
        <v>397</v>
      </c>
      <c r="Q27" s="30"/>
      <c r="R27" s="81" t="str">
        <f>VLOOKUP(C27,'Train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27" s="84" t="str">
        <f>VLOOKUP(C27,'Train Runs'!$A$13:$AE$10027,22,0)</f>
        <v>https://d0f6bd738d7f1b3e5a7ca70fe4ff75f0.us-east-1.aws.found.io/app/kibana#/discover/Steve-Slow-Train-Analysis-(2080s-and-2083s)?_g=(refreshInterval:(display:Off,pause:!f,section:0,value:0),time:(from:'2017-10-12T13:07:39-0600',mode:absolute,to:'2017-10-12T15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7" s="86" t="str">
        <f t="shared" si="1"/>
        <v>"C:\Program Files (x86)\AstroGrep\AstroGrep.exe" /e /r /s /spath="%USERPROFILE%\AppData\Local\Temp\OnboardLogs" /stypes="*4042*201710122*" /stext=" 20:.+((SYSTEM_STATE.+slice.+state.+changed )|(ment ac)|(multiple cpu faults)|(system.+state.+changed )|(\[timeout)|(PRM\|1\|D)|(kpr)|(kdp)|(train st.+moving)|(\|lc)|(penalty))"</v>
      </c>
      <c r="U27" s="9" t="str">
        <f t="shared" si="2"/>
        <v>4042</v>
      </c>
      <c r="V27" s="31">
        <f t="shared" si="3"/>
        <v>43020.844965277778</v>
      </c>
      <c r="W27" s="45" t="str">
        <f t="shared" si="4"/>
        <v>NW</v>
      </c>
      <c r="X27" s="22">
        <f t="shared" si="5"/>
        <v>823</v>
      </c>
      <c r="Y27" s="96" t="str">
        <f t="shared" si="6"/>
        <v>echo {"issue":{"subject":"Wi-MAX data drop","project_id":79,"tracker_id":40,"status_id":1,"priority_id":2,"assigned_to_id":338,"start_date":"2017-10-12","description":"","custom_fields":[{"id":1,"name":"Subdivision","value":"NW"},{"id":4,"name":"Milepost","value":"3.3236"},{"id":17,"name":"Train ID","value":"823-12"},{"id":16,"name":"Locomotive ID","value":"4042"},{"id":130,"name":"Impact","value":""},{"id":150,"name":"Time of Event (Mountain Time)","value":"14:16:45"},{"id":151,"name":"Denver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/c/Users/stu/AppData/Local/Temp/OnboardLogs/RTDC4042 --include="*4042*201710122*"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"%USERPROFILE%\AppData\Local\Temp\OnboardLogs"\RTDC4042\*4042*201710122* &gt;&gt; 2017-10-12-SliceDisagreementCheck.txt</v>
      </c>
      <c r="AE27" s="145" t="str">
        <f t="shared" si="9"/>
        <v>start /low /b %USERPROFILE%\Documents\GitHub\eaglep3\Utilities\DownloadLogsFromS3.py --loco 4042 --day 2017-10-12</v>
      </c>
      <c r="AF27" s="1"/>
    </row>
    <row r="28" spans="1:32" x14ac:dyDescent="0.25">
      <c r="A28" s="31">
        <v>43020.662442129629</v>
      </c>
      <c r="B28" s="30" t="s">
        <v>565</v>
      </c>
      <c r="C28" s="30" t="s">
        <v>592</v>
      </c>
      <c r="D28" s="30" t="s">
        <v>49</v>
      </c>
      <c r="E28" s="30" t="s">
        <v>179</v>
      </c>
      <c r="F28" s="42">
        <v>0</v>
      </c>
      <c r="G28" s="42">
        <v>27</v>
      </c>
      <c r="H28" s="42">
        <v>640</v>
      </c>
      <c r="I28" s="42">
        <v>624</v>
      </c>
      <c r="J28" s="30" t="s">
        <v>180</v>
      </c>
      <c r="K28" s="42">
        <v>575</v>
      </c>
      <c r="L28" s="131" t="s">
        <v>51</v>
      </c>
      <c r="M28" s="132">
        <f t="shared" si="0"/>
        <v>25.872</v>
      </c>
      <c r="N28" s="133" t="str">
        <f>VLOOKUP(C28,'Trips&amp;Operators'!$C$1:$G$99911,5,FALSE)</f>
        <v>STAMBAUGH JAMES</v>
      </c>
      <c r="O28" s="176" t="s">
        <v>178</v>
      </c>
      <c r="P28" s="134"/>
      <c r="Q28" s="30"/>
      <c r="R28" s="81" t="str">
        <f>VLOOKUP(C28,'Train Runs'!$A$13:$AE$10027,31,0)</f>
        <v>aws s3 cp s3://rtdc.mdm.uploadarchive.raw/RTDC4041/ "%USERPROFILE%\AppData\Local\Temp\OnboardLogs"\RTDC4041\2017-10-12 --exclude "*" --recursive --include "*20171012*" &amp; "%USERPROFILE%\Documents\GitHub\mrs-test-scripts\Headless Mode &amp; Sideloading\WalkAndUnGZ.bat" "%USERPROFILE%\AppData\Local\Temp\OnboardLogs"\RTDC4041\2017-10-12 &amp; aws s3 cp s3://rtdc.mdm.uploadarchive.raw/RTDC4041/ "%USERPROFILE%\AppData\Local\Temp\OnboardLogs"\RTDC4041\2017-10-13 --exclude "*" --recursive --include "*20171013*" &amp; "%USERPROFILE%\Documents\GitHub\mrs-test-scripts\Headless Mode &amp; Sideloading\WalkAndUnGZ.bat" "%USERPROFILE%\AppData\Local\Temp\OnboardLogs"\RTDC4041\2017-10-13</v>
      </c>
      <c r="S28" s="84" t="str">
        <f>VLOOKUP(C28,'Train Runs'!$A$13:$AE$10027,22,0)</f>
        <v>https://d0f6bd738d7f1b3e5a7ca70fe4ff75f0.us-east-1.aws.found.io/app/kibana#/discover/Steve-Slow-Train-Analysis-(2080s-and-2083s)?_g=(refreshInterval:(display:Off,pause:!f,section:0,value:0),time:(from:'2017-10-12T14:05:19-0600',mode:absolute,to:'2017-10-12T16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8" s="86" t="str">
        <f t="shared" si="1"/>
        <v>"C:\Program Files (x86)\AstroGrep\AstroGrep.exe" /e /r /s /spath="%USERPROFILE%\AppData\Local\Temp\OnboardLogs" /stypes="*4041*201710122*"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4041</v>
      </c>
      <c r="V28" s="31">
        <f t="shared" si="3"/>
        <v>43020.912442129629</v>
      </c>
      <c r="W28" s="45" t="str">
        <f t="shared" si="4"/>
        <v>NW</v>
      </c>
      <c r="X28" s="22">
        <f t="shared" si="5"/>
        <v>826</v>
      </c>
      <c r="Y28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{"issue":{"subject":"","project_id":79,"tracker_id":40,"status_id":1,"priority_id":2,"assigned_to_id":338,"start_date":"2017-10-12","description":"","custom_fields":[{"id":1,"name":"Subdivision","value":"NW"},{"id":4,"name":"Milepost","value":"0.0575"},{"id":17,"name":"Train ID","value":"826-12"},{"id":16,"name":"Locomotive ID","value":"4041"},{"id":130,"name":"Impact","value":""},{"id":150,"name":"Time of Event (Mountain Time)","value":"15:53:55"},{"id":151,"name":"Denver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/c/Users/stu/AppData/Local/Temp/OnboardLogs/RTDC4041 --include="*4041*201710122*"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"%USERPROFILE%\AppData\Local\Temp\OnboardLogs"\RTDC4041\*4041*201710122* &gt;&gt; 2017-10-12-SliceDisagreementCheck.txt</v>
      </c>
      <c r="AE28" s="145" t="str">
        <f t="shared" si="9"/>
        <v>start /low /b %USERPROFILE%\Documents\GitHub\eaglep3\Utilities\DownloadLogsFromS3.py --loco 4041 --day 2017-10-12</v>
      </c>
      <c r="AF28" s="1"/>
    </row>
    <row r="29" spans="1:32" x14ac:dyDescent="0.25">
      <c r="A29" s="31">
        <v>43020.246747685182</v>
      </c>
      <c r="B29" s="30" t="s">
        <v>561</v>
      </c>
      <c r="C29" s="30" t="s">
        <v>563</v>
      </c>
      <c r="D29" s="30" t="s">
        <v>49</v>
      </c>
      <c r="E29" s="30" t="s">
        <v>179</v>
      </c>
      <c r="F29" s="42">
        <v>0</v>
      </c>
      <c r="G29" s="42">
        <v>3</v>
      </c>
      <c r="H29" s="42">
        <v>59044</v>
      </c>
      <c r="I29" s="42">
        <v>59046</v>
      </c>
      <c r="J29" s="30" t="s">
        <v>180</v>
      </c>
      <c r="K29" s="42">
        <v>59048</v>
      </c>
      <c r="L29" s="131" t="s">
        <v>50</v>
      </c>
      <c r="M29" s="132">
        <f t="shared" si="0"/>
        <v>1.056</v>
      </c>
      <c r="N29" s="133" t="str">
        <f>VLOOKUP(C29,'Trips&amp;Operators'!$C$1:$G$99911,5,FALSE)</f>
        <v>DAVIS WENDY</v>
      </c>
      <c r="O29" s="176" t="s">
        <v>178</v>
      </c>
      <c r="P29" s="134"/>
      <c r="Q29" s="30"/>
      <c r="R29" s="81" t="str">
        <f>VLOOKUP(C29,'Train Runs'!$A$13:$AE$10027,31,0)</f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S29" s="84" t="str">
        <f>VLOOKUP(C29,'Train Runs'!$A$13:$AE$10027,22,0)</f>
        <v>https://d0f6bd738d7f1b3e5a7ca70fe4ff75f0.us-east-1.aws.found.io/app/kibana#/discover/Steve-Slow-Train-Analysis-(2080s-and-2083s)?_g=(refreshInterval:(display:Off,pause:!f,section:0,value:0),time:(from:'2017-10-12T04:31:56-0600',mode:absolute,to:'2017-10-12T06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86" t="str">
        <f t="shared" si="1"/>
        <v>"C:\Program Files (x86)\AstroGrep\AstroGrep.exe" /e /r /s /spath="%USERPROFILE%\AppData\Local\Temp\OnboardLogs" /stypes="*4030*201710121*" /stext=" 11:.+((SYSTEM_STATE.+slice.+state.+changed )|(ment ac)|(multiple cpu faults)|(system.+state.+changed )|(\[timeout)|(PRM\|1\|D)|(kpr)|(kdp)|(train st.+moving)|(\|lc)|(penalty))"</v>
      </c>
      <c r="U29" s="9" t="str">
        <f t="shared" si="2"/>
        <v>4030</v>
      </c>
      <c r="V29" s="31">
        <f t="shared" si="3"/>
        <v>43020.496747685182</v>
      </c>
      <c r="W29" s="45" t="str">
        <f t="shared" si="4"/>
        <v>NW</v>
      </c>
      <c r="X29" s="22">
        <f t="shared" si="5"/>
        <v>801</v>
      </c>
      <c r="Y29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{"issue":{"subject":"","project_id":79,"tracker_id":40,"status_id":1,"priority_id":2,"assigned_to_id":338,"start_date":"2017-10-12","description":"","custom_fields":[{"id":1,"name":"Subdivision","value":"NW"},{"id":4,"name":"Milepost","value":"5.9048"},{"id":17,"name":"Train ID","value":"801-12"},{"id":16,"name":"Locomotive ID","value":"4030"},{"id":130,"name":"Impact","value":""},{"id":150,"name":"Time of Event (Mountain Time)","value":"05:55:19"},{"id":151,"name":"Denver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/c/Users/stu/AppData/Local/Temp/OnboardLogs/RTDC4030 --include="*4030*201710121*"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"%USERPROFILE%\AppData\Local\Temp\OnboardLogs"\RTDC4030\*4030*201710121* &gt;&gt; 2017-10-12-SliceDisagreementCheck.txt</v>
      </c>
      <c r="AE29" s="145" t="str">
        <f t="shared" si="9"/>
        <v>start /low /b %USERPROFILE%\Documents\GitHub\eaglep3\Utilities\DownloadLogsFromS3.py --loco 4030 --day 2017-10-12</v>
      </c>
      <c r="AF29" s="1"/>
    </row>
    <row r="30" spans="1:32" x14ac:dyDescent="0.25">
      <c r="A30" s="31">
        <v>43020.288229166668</v>
      </c>
      <c r="B30" s="30" t="s">
        <v>561</v>
      </c>
      <c r="C30" s="30" t="s">
        <v>567</v>
      </c>
      <c r="D30" s="30" t="s">
        <v>95</v>
      </c>
      <c r="E30" s="30" t="s">
        <v>179</v>
      </c>
      <c r="F30" s="42">
        <v>0</v>
      </c>
      <c r="G30" s="42">
        <v>3</v>
      </c>
      <c r="H30" s="42">
        <v>59048</v>
      </c>
      <c r="I30" s="42">
        <v>59046</v>
      </c>
      <c r="J30" s="30" t="s">
        <v>180</v>
      </c>
      <c r="K30" s="42">
        <v>59048</v>
      </c>
      <c r="L30" s="131" t="s">
        <v>50</v>
      </c>
      <c r="M30" s="132">
        <f t="shared" si="0"/>
        <v>1.056</v>
      </c>
      <c r="N30" s="133" t="str">
        <f>VLOOKUP(C30,'Trips&amp;Operators'!$C$1:$G$99911,5,FALSE)</f>
        <v>DAVIS WENDY</v>
      </c>
      <c r="O30" s="176" t="s">
        <v>178</v>
      </c>
      <c r="P30" s="134"/>
      <c r="Q30" s="30"/>
      <c r="R30" s="81" t="str">
        <f>VLOOKUP(C30,'Train Runs'!$A$13:$AE$10027,31,0)</f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S30" s="84" t="str">
        <f>VLOOKUP(C30,'Train Runs'!$A$13:$AE$10027,22,0)</f>
        <v>https://d0f6bd738d7f1b3e5a7ca70fe4ff75f0.us-east-1.aws.found.io/app/kibana#/discover/Steve-Slow-Train-Analysis-(2080s-and-2083s)?_g=(refreshInterval:(display:Off,pause:!f,section:0,value:0),time:(from:'2017-10-12T05:29:49-0600',mode:absolute,to:'2017-10-12T07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0" s="86" t="str">
        <f t="shared" si="1"/>
        <v>"C:\Program Files (x86)\AstroGrep\AstroGrep.exe" /e /r /s /spath="%USERPROFILE%\AppData\Local\Temp\OnboardLogs" /stypes="*4030*201710121*"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4030</v>
      </c>
      <c r="V30" s="31">
        <f t="shared" si="3"/>
        <v>43020.538229166668</v>
      </c>
      <c r="W30" s="45" t="str">
        <f t="shared" si="4"/>
        <v>NW</v>
      </c>
      <c r="X30" s="22">
        <f t="shared" si="5"/>
        <v>805</v>
      </c>
      <c r="Y30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{"issue":{"subject":"","project_id":79,"tracker_id":40,"status_id":1,"priority_id":2,"assigned_to_id":338,"start_date":"2017-10-12","description":"","custom_fields":[{"id":1,"name":"Subdivision","value":"NW"},{"id":4,"name":"Milepost","value":"5.9048"},{"id":17,"name":"Train ID","value":"805-12"},{"id":16,"name":"Locomotive ID","value":"4030"},{"id":130,"name":"Impact","value":""},{"id":150,"name":"Time of Event (Mountain Time)","value":"06:55:03"},{"id":151,"name":"Denver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/c/Users/stu/AppData/Local/Temp/OnboardLogs/RTDC4030 --include="*4030*201710121*"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"%USERPROFILE%\AppData\Local\Temp\OnboardLogs"\RTDC4030\*4030*201710121* &gt;&gt; 2017-10-12-SliceDisagreementCheck.txt</v>
      </c>
      <c r="AE30" s="145" t="str">
        <f t="shared" si="9"/>
        <v>start /low /b %USERPROFILE%\Documents\GitHub\eaglep3\Utilities\DownloadLogsFromS3.py --loco 4030 --day 2017-10-12</v>
      </c>
      <c r="AF30" s="1"/>
    </row>
    <row r="31" spans="1:32" x14ac:dyDescent="0.25">
      <c r="A31" s="31">
        <v>43020.330254629633</v>
      </c>
      <c r="B31" s="30" t="s">
        <v>561</v>
      </c>
      <c r="C31" s="30" t="s">
        <v>568</v>
      </c>
      <c r="D31" s="30" t="s">
        <v>49</v>
      </c>
      <c r="E31" s="30" t="s">
        <v>179</v>
      </c>
      <c r="F31" s="42">
        <v>0</v>
      </c>
      <c r="G31" s="42">
        <v>10</v>
      </c>
      <c r="H31" s="42">
        <v>59039</v>
      </c>
      <c r="I31" s="42">
        <v>59046</v>
      </c>
      <c r="J31" s="30" t="s">
        <v>180</v>
      </c>
      <c r="K31" s="42">
        <v>59048</v>
      </c>
      <c r="L31" s="131" t="s">
        <v>50</v>
      </c>
      <c r="M31" s="132">
        <f t="shared" si="0"/>
        <v>1.056</v>
      </c>
      <c r="N31" s="133" t="str">
        <f>VLOOKUP(C31,'Trips&amp;Operators'!$C$1:$G$99911,5,FALSE)</f>
        <v>DAVIS WENDY</v>
      </c>
      <c r="O31" s="176" t="s">
        <v>178</v>
      </c>
      <c r="P31" s="134"/>
      <c r="Q31" s="30"/>
      <c r="R31" s="81" t="str">
        <f>VLOOKUP(C31,'Train Runs'!$A$13:$AE$10027,31,0)</f>
        <v>aws s3 cp s3://rtdc.mdm.uploadarchive.raw/RTDC4030/ "%USERPROFILE%\AppData\Local\Temp\OnboardLogs"\RTDC4030\2017-10-12 --exclude "*" --recursive --include "*20171012*" &amp; "%USERPROFILE%\Documents\GitHub\mrs-test-scripts\Headless Mode &amp; Sideloading\WalkAndUnGZ.bat" "%USERPROFILE%\AppData\Local\Temp\OnboardLogs"\RTDC4030\2017-10-12 &amp; aws s3 cp s3://rtdc.mdm.uploadarchive.raw/RTDC4030/ "%USERPROFILE%\AppData\Local\Temp\OnboardLogs"\RTDC4030\2017-10-13 --exclude "*" --recursive --include "*20171013*" &amp; "%USERPROFILE%\Documents\GitHub\mrs-test-scripts\Headless Mode &amp; Sideloading\WalkAndUnGZ.bat" "%USERPROFILE%\AppData\Local\Temp\OnboardLogs"\RTDC4030\2017-10-13</v>
      </c>
      <c r="S31" s="84" t="str">
        <f>VLOOKUP(C31,'Train Runs'!$A$13:$AE$10027,22,0)</f>
        <v>https://d0f6bd738d7f1b3e5a7ca70fe4ff75f0.us-east-1.aws.found.io/app/kibana#/discover/Steve-Slow-Train-Analysis-(2080s-and-2083s)?_g=(refreshInterval:(display:Off,pause:!f,section:0,value:0),time:(from:'2017-10-12T06:27:41-0600',mode:absolute,to:'2017-10-12T08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1" s="86" t="str">
        <f t="shared" si="1"/>
        <v>"C:\Program Files (x86)\AstroGrep\AstroGrep.exe" /e /r /s /spath="%USERPROFILE%\AppData\Local\Temp\OnboardLogs" /stypes="*4030*201710121*" /stext=" 13:.+((SYSTEM_STATE.+slice.+state.+changed )|(ment ac)|(multiple cpu faults)|(system.+state.+changed )|(\[timeout)|(PRM\|1\|D)|(kpr)|(kdp)|(train st.+moving)|(\|lc)|(penalty))"</v>
      </c>
      <c r="U31" s="9" t="str">
        <f t="shared" si="2"/>
        <v>4030</v>
      </c>
      <c r="V31" s="31">
        <f t="shared" si="3"/>
        <v>43020.580254629633</v>
      </c>
      <c r="W31" s="45" t="str">
        <f t="shared" si="4"/>
        <v>NW</v>
      </c>
      <c r="X31" s="22">
        <f t="shared" si="5"/>
        <v>809</v>
      </c>
      <c r="Y31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{"issue":{"subject":"","project_id":79,"tracker_id":40,"status_id":1,"priority_id":2,"assigned_to_id":338,"start_date":"2017-10-12","description":"","custom_fields":[{"id":1,"name":"Subdivision","value":"NW"},{"id":4,"name":"Milepost","value":"5.9048"},{"id":17,"name":"Train ID","value":"809-12"},{"id":16,"name":"Locomotive ID","value":"4030"},{"id":130,"name":"Impact","value":""},{"id":150,"name":"Time of Event (Mountain Time)","value":"07:55:34"},{"id":151,"name":"Denver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/c/Users/stu/AppData/Local/Temp/OnboardLogs/RTDC4030 --include="*4030*201710121*"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"%USERPROFILE%\AppData\Local\Temp\OnboardLogs"\RTDC4030\*4030*201710121* &gt;&gt; 2017-10-12-SliceDisagreementCheck.txt</v>
      </c>
      <c r="AE31" s="145" t="str">
        <f t="shared" si="9"/>
        <v>start /low /b %USERPROFILE%\Documents\GitHub\eaglep3\Utilities\DownloadLogsFromS3.py --loco 4030 --day 2017-10-12</v>
      </c>
      <c r="AF31" s="1"/>
    </row>
    <row r="32" spans="1:32" x14ac:dyDescent="0.25">
      <c r="A32" s="31">
        <v>43020.475532407407</v>
      </c>
      <c r="B32" s="30" t="s">
        <v>569</v>
      </c>
      <c r="C32" s="30" t="s">
        <v>578</v>
      </c>
      <c r="D32" s="30" t="s">
        <v>49</v>
      </c>
      <c r="E32" s="30" t="s">
        <v>179</v>
      </c>
      <c r="F32" s="42">
        <v>0</v>
      </c>
      <c r="G32" s="42">
        <v>28</v>
      </c>
      <c r="H32" s="42">
        <v>58963</v>
      </c>
      <c r="I32" s="42">
        <v>59007</v>
      </c>
      <c r="J32" s="30" t="s">
        <v>180</v>
      </c>
      <c r="K32" s="42">
        <v>59048</v>
      </c>
      <c r="L32" s="131" t="s">
        <v>50</v>
      </c>
      <c r="M32" s="132">
        <f t="shared" si="0"/>
        <v>21.648000000000003</v>
      </c>
      <c r="N32" s="133" t="str">
        <f>VLOOKUP(C32,'Trips&amp;Operators'!$C$1:$G$99911,5,FALSE)</f>
        <v>FORTUNATO FRANK</v>
      </c>
      <c r="O32" s="176" t="s">
        <v>178</v>
      </c>
      <c r="P32" s="134"/>
      <c r="Q32" s="30"/>
      <c r="R32" s="81" t="str">
        <f>VLOOKUP(C32,'Train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2" s="84" t="str">
        <f>VLOOKUP(C32,'Train Runs'!$A$13:$AE$10027,22,0)</f>
        <v>https://d0f6bd738d7f1b3e5a7ca70fe4ff75f0.us-east-1.aws.found.io/app/kibana#/discover/Steve-Slow-Train-Analysis-(2080s-and-2083s)?_g=(refreshInterval:(display:Off,pause:!f,section:0,value:0),time:(from:'2017-10-12T09:56:50-0600',mode:absolute,to:'2017-10-12T12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2" s="86" t="str">
        <f t="shared" si="1"/>
        <v>"C:\Program Files (x86)\AstroGrep\AstroGrep.exe" /e /r /s /spath="%USERPROFILE%\AppData\Local\Temp\OnboardLogs" /stypes="*4042*201710121*" /stext=" 17:.+((SYSTEM_STATE.+slice.+state.+changed )|(ment ac)|(multiple cpu faults)|(system.+state.+changed )|(\[timeout)|(PRM\|1\|D)|(kpr)|(kdp)|(train st.+moving)|(\|lc)|(penalty))"</v>
      </c>
      <c r="U32" s="9" t="str">
        <f t="shared" si="2"/>
        <v>4042</v>
      </c>
      <c r="V32" s="31">
        <f t="shared" si="3"/>
        <v>43020.725532407407</v>
      </c>
      <c r="W32" s="45" t="str">
        <f t="shared" si="4"/>
        <v>NW</v>
      </c>
      <c r="X32" s="22">
        <f t="shared" si="5"/>
        <v>817</v>
      </c>
      <c r="Y32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{"issue":{"subject":"","project_id":79,"tracker_id":40,"status_id":1,"priority_id":2,"assigned_to_id":338,"start_date":"2017-10-12","description":"","custom_fields":[{"id":1,"name":"Subdivision","value":"NW"},{"id":4,"name":"Milepost","value":"5.9048"},{"id":17,"name":"Train ID","value":"817-12"},{"id":16,"name":"Locomotive ID","value":"4042"},{"id":130,"name":"Impact","value":""},{"id":150,"name":"Time of Event (Mountain Time)","value":"11:24:46"},{"id":151,"name":"Denver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/c/Users/stu/AppData/Local/Temp/OnboardLogs/RTDC4042 --include="*4042*201710121*"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"%USERPROFILE%\AppData\Local\Temp\OnboardLogs"\RTDC4042\*4042*201710121* &gt;&gt; 2017-10-12-SliceDisagreementCheck.txt</v>
      </c>
      <c r="AE32" s="145" t="str">
        <f t="shared" si="9"/>
        <v>start /low /b %USERPROFILE%\Documents\GitHub\eaglep3\Utilities\DownloadLogsFromS3.py --loco 4042 --day 2017-10-12</v>
      </c>
      <c r="AF32" s="1"/>
    </row>
    <row r="33" spans="1:32" x14ac:dyDescent="0.25">
      <c r="A33" s="31">
        <v>43020.806793981479</v>
      </c>
      <c r="B33" s="30" t="s">
        <v>569</v>
      </c>
      <c r="C33" s="30" t="s">
        <v>598</v>
      </c>
      <c r="D33" s="30" t="s">
        <v>49</v>
      </c>
      <c r="E33" s="30" t="s">
        <v>179</v>
      </c>
      <c r="F33" s="42">
        <v>0</v>
      </c>
      <c r="G33" s="42">
        <v>154</v>
      </c>
      <c r="H33" s="42">
        <v>58039</v>
      </c>
      <c r="I33" s="42">
        <v>58180</v>
      </c>
      <c r="J33" s="30" t="s">
        <v>180</v>
      </c>
      <c r="K33" s="42">
        <v>59058</v>
      </c>
      <c r="L33" s="131" t="s">
        <v>50</v>
      </c>
      <c r="M33" s="132">
        <f t="shared" si="0"/>
        <v>463.584</v>
      </c>
      <c r="N33" s="133" t="str">
        <f>VLOOKUP(C33,'Trips&amp;Operators'!$C$1:$G$99911,5,FALSE)</f>
        <v>STAMBAUGH JAMES</v>
      </c>
      <c r="O33" s="176" t="s">
        <v>178</v>
      </c>
      <c r="P33" s="134"/>
      <c r="Q33" s="30"/>
      <c r="R33" s="81" t="str">
        <f>VLOOKUP(C33,'Train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3" s="84" t="str">
        <f>VLOOKUP(C33,'Train Runs'!$A$13:$AE$10027,22,0)</f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3" s="86" t="str">
        <f t="shared" si="1"/>
        <v>"C:\Program Files (x86)\AstroGrep\AstroGrep.exe" /e /r /s /spath="%USERPROFILE%\AppData\Local\Temp\OnboardLogs" /stypes="*4042*201710130*" /stext=" 01:.+((SYSTEM_STATE.+slice.+state.+changed )|(ment ac)|(multiple cpu faults)|(system.+state.+changed )|(\[timeout)|(PRM\|1\|D)|(kpr)|(kdp)|(train st.+moving)|(\|lc)|(penalty))"</v>
      </c>
      <c r="U33" s="9" t="str">
        <f t="shared" si="2"/>
        <v>4042</v>
      </c>
      <c r="V33" s="31">
        <f t="shared" si="3"/>
        <v>43021.056793981479</v>
      </c>
      <c r="W33" s="45" t="str">
        <f t="shared" si="4"/>
        <v>NW</v>
      </c>
      <c r="X33" s="22">
        <f t="shared" si="5"/>
        <v>841</v>
      </c>
      <c r="Y33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{"issue":{"subject":"","project_id":79,"tracker_id":40,"status_id":1,"priority_id":2,"assigned_to_id":338,"start_date":"2017-10-12","description":"","custom_fields":[{"id":1,"name":"Subdivision","value":"NW"},{"id":4,"name":"Milepost","value":"5.9058"},{"id":17,"name":"Train ID","value":"841-12"},{"id":16,"name":"Locomotive ID","value":"4042"},{"id":130,"name":"Impact","value":""},{"id":150,"name":"Time of Event (Mountain Time)","value":"19:21:47"},{"id":151,"name":"Denver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/c/Users/stu/AppData/Local/Temp/OnboardLogs/RTDC4042 --include="*4042*201710130*"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"%USERPROFILE%\AppData\Local\Temp\OnboardLogs"\RTDC4042\*4042*201710130* &gt;&gt; 2017-10-12-SliceDisagreementCheck.txt</v>
      </c>
      <c r="AE33" s="145" t="str">
        <f t="shared" si="9"/>
        <v>start /low /b %USERPROFILE%\Documents\GitHub\eaglep3\Utilities\DownloadLogsFromS3.py --loco 4042 --day 2017-10-13</v>
      </c>
      <c r="AF33" s="1"/>
    </row>
    <row r="34" spans="1:32" x14ac:dyDescent="0.25">
      <c r="A34" s="31">
        <v>43020.807245370372</v>
      </c>
      <c r="B34" s="30" t="s">
        <v>569</v>
      </c>
      <c r="C34" s="30" t="s">
        <v>598</v>
      </c>
      <c r="D34" s="30" t="s">
        <v>49</v>
      </c>
      <c r="E34" s="30" t="s">
        <v>179</v>
      </c>
      <c r="F34" s="42">
        <v>0</v>
      </c>
      <c r="G34" s="42">
        <v>112</v>
      </c>
      <c r="H34" s="42">
        <v>58385</v>
      </c>
      <c r="I34" s="42">
        <v>58466</v>
      </c>
      <c r="J34" s="30" t="s">
        <v>180</v>
      </c>
      <c r="K34" s="42">
        <v>59058</v>
      </c>
      <c r="L34" s="131" t="s">
        <v>50</v>
      </c>
      <c r="M34" s="132">
        <f t="shared" si="0"/>
        <v>312.57600000000002</v>
      </c>
      <c r="N34" s="133" t="str">
        <f>VLOOKUP(C34,'Trips&amp;Operators'!$C$1:$G$99911,5,FALSE)</f>
        <v>STAMBAUGH JAMES</v>
      </c>
      <c r="O34" s="176" t="s">
        <v>178</v>
      </c>
      <c r="P34" s="134"/>
      <c r="Q34" s="30"/>
      <c r="R34" s="81" t="str">
        <f>VLOOKUP(C34,'Train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4" s="84" t="str">
        <f>VLOOKUP(C34,'Train Runs'!$A$13:$AE$10027,22,0)</f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4" s="86" t="str">
        <f t="shared" si="1"/>
        <v>"C:\Program Files (x86)\AstroGrep\AstroGrep.exe" /e /r /s /spath="%USERPROFILE%\AppData\Local\Temp\OnboardLogs" /stypes="*4042*201710130*"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4042</v>
      </c>
      <c r="V34" s="31">
        <f t="shared" si="3"/>
        <v>43021.057245370372</v>
      </c>
      <c r="W34" s="45" t="str">
        <f t="shared" si="4"/>
        <v>NW</v>
      </c>
      <c r="X34" s="22">
        <f t="shared" si="5"/>
        <v>841</v>
      </c>
      <c r="Y34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{"issue":{"subject":"","project_id":79,"tracker_id":40,"status_id":1,"priority_id":2,"assigned_to_id":338,"start_date":"2017-10-12","description":"","custom_fields":[{"id":1,"name":"Subdivision","value":"NW"},{"id":4,"name":"Milepost","value":"5.9058"},{"id":17,"name":"Train ID","value":"841-12"},{"id":16,"name":"Locomotive ID","value":"4042"},{"id":130,"name":"Impact","value":""},{"id":150,"name":"Time of Event (Mountain Time)","value":"19:22:26"},{"id":151,"name":"Denver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/c/Users/stu/AppData/Local/Temp/OnboardLogs/RTDC4042 --include="*4042*201710130*"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"%USERPROFILE%\AppData\Local\Temp\OnboardLogs"\RTDC4042\*4042*201710130* &gt;&gt; 2017-10-12-SliceDisagreementCheck.txt</v>
      </c>
      <c r="AE34" s="145" t="str">
        <f t="shared" si="9"/>
        <v>start /low /b %USERPROFILE%\Documents\GitHub\eaglep3\Utilities\DownloadLogsFromS3.py --loco 4042 --day 2017-10-13</v>
      </c>
      <c r="AF34" s="1"/>
    </row>
    <row r="35" spans="1:32" x14ac:dyDescent="0.25">
      <c r="A35" s="31">
        <v>43020.807870370372</v>
      </c>
      <c r="B35" s="30" t="s">
        <v>569</v>
      </c>
      <c r="C35" s="30" t="s">
        <v>598</v>
      </c>
      <c r="D35" s="30" t="s">
        <v>49</v>
      </c>
      <c r="E35" s="30" t="s">
        <v>179</v>
      </c>
      <c r="F35" s="42">
        <v>0</v>
      </c>
      <c r="G35" s="42">
        <v>67</v>
      </c>
      <c r="H35" s="42">
        <v>58782</v>
      </c>
      <c r="I35" s="42">
        <v>58840</v>
      </c>
      <c r="J35" s="30" t="s">
        <v>180</v>
      </c>
      <c r="K35" s="42">
        <v>59058</v>
      </c>
      <c r="L35" s="131" t="s">
        <v>50</v>
      </c>
      <c r="M35" s="132">
        <f t="shared" si="0"/>
        <v>115.104</v>
      </c>
      <c r="N35" s="133" t="str">
        <f>VLOOKUP(C35,'Trips&amp;Operators'!$C$1:$G$99911,5,FALSE)</f>
        <v>STAMBAUGH JAMES</v>
      </c>
      <c r="O35" s="176" t="s">
        <v>178</v>
      </c>
      <c r="P35" s="134"/>
      <c r="Q35" s="30"/>
      <c r="R35" s="81" t="str">
        <f>VLOOKUP(C35,'Train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5" s="84" t="str">
        <f>VLOOKUP(C35,'Train Runs'!$A$13:$AE$10027,22,0)</f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5" s="86" t="str">
        <f t="shared" si="1"/>
        <v>"C:\Program Files (x86)\AstroGrep\AstroGrep.exe" /e /r /s /spath="%USERPROFILE%\AppData\Local\Temp\OnboardLogs" /stypes="*4042*201710130*" /stext=" 01:.+((SYSTEM_STATE.+slice.+state.+changed )|(ment ac)|(multiple cpu faults)|(system.+state.+changed )|(\[timeout)|(PRM\|1\|D)|(kpr)|(kdp)|(train st.+moving)|(\|lc)|(penalty))"</v>
      </c>
      <c r="U35" s="9" t="str">
        <f t="shared" si="2"/>
        <v>4042</v>
      </c>
      <c r="V35" s="31">
        <f t="shared" si="3"/>
        <v>43021.057870370372</v>
      </c>
      <c r="W35" s="45" t="str">
        <f t="shared" si="4"/>
        <v>NW</v>
      </c>
      <c r="X35" s="22">
        <f t="shared" si="5"/>
        <v>841</v>
      </c>
      <c r="Y35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{"issue":{"subject":"","project_id":79,"tracker_id":40,"status_id":1,"priority_id":2,"assigned_to_id":338,"start_date":"2017-10-12","description":"","custom_fields":[{"id":1,"name":"Subdivision","value":"NW"},{"id":4,"name":"Milepost","value":"5.9058"},{"id":17,"name":"Train ID","value":"841-12"},{"id":16,"name":"Locomotive ID","value":"4042"},{"id":130,"name":"Impact","value":""},{"id":150,"name":"Time of Event (Mountain Time)","value":"19:23:20"},{"id":151,"name":"Denver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/c/Users/stu/AppData/Local/Temp/OnboardLogs/RTDC4042 --include="*4042*201710130*"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"%USERPROFILE%\AppData\Local\Temp\OnboardLogs"\RTDC4042\*4042*201710130* &gt;&gt; 2017-10-12-SliceDisagreementCheck.txt</v>
      </c>
      <c r="AE35" s="145" t="str">
        <f t="shared" si="9"/>
        <v>start /low /b %USERPROFILE%\Documents\GitHub\eaglep3\Utilities\DownloadLogsFromS3.py --loco 4042 --day 2017-10-13</v>
      </c>
      <c r="AF35" s="1"/>
    </row>
    <row r="36" spans="1:32" x14ac:dyDescent="0.25">
      <c r="A36" s="31">
        <v>43020.808483796296</v>
      </c>
      <c r="B36" s="30" t="s">
        <v>569</v>
      </c>
      <c r="C36" s="30" t="s">
        <v>598</v>
      </c>
      <c r="D36" s="30" t="s">
        <v>49</v>
      </c>
      <c r="E36" s="30" t="s">
        <v>179</v>
      </c>
      <c r="F36" s="42">
        <v>0</v>
      </c>
      <c r="G36" s="42">
        <v>31</v>
      </c>
      <c r="H36" s="42">
        <v>58950</v>
      </c>
      <c r="I36" s="42">
        <v>58996</v>
      </c>
      <c r="J36" s="30" t="s">
        <v>180</v>
      </c>
      <c r="K36" s="42">
        <v>59058</v>
      </c>
      <c r="L36" s="131" t="s">
        <v>50</v>
      </c>
      <c r="M36" s="132">
        <f t="shared" si="0"/>
        <v>32.735999999999997</v>
      </c>
      <c r="N36" s="133" t="str">
        <f>VLOOKUP(C36,'Trips&amp;Operators'!$C$1:$G$99911,5,FALSE)</f>
        <v>STAMBAUGH JAMES</v>
      </c>
      <c r="O36" s="176" t="s">
        <v>178</v>
      </c>
      <c r="P36" s="134"/>
      <c r="Q36" s="30"/>
      <c r="R36" s="81" t="str">
        <f>VLOOKUP(C36,'Train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6" s="84" t="str">
        <f>VLOOKUP(C36,'Train Runs'!$A$13:$AE$10027,22,0)</f>
        <v>https://d0f6bd738d7f1b3e5a7ca70fe4ff75f0.us-east-1.aws.found.io/app/kibana#/discover/Steve-Slow-Train-Analysis-(2080s-and-2083s)?_g=(refreshInterval:(display:Off,pause:!f,section:0,value:0),time:(from:'2017-10-12T18:06:37-0600',mode:absolute,to:'2017-10-12T20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6" s="86" t="str">
        <f t="shared" si="1"/>
        <v>"C:\Program Files (x86)\AstroGrep\AstroGrep.exe" /e /r /s /spath="%USERPROFILE%\AppData\Local\Temp\OnboardLogs" /stypes="*4042*201710130*" /stext=" 01:.+((SYSTEM_STATE.+slice.+state.+changed )|(ment ac)|(multiple cpu faults)|(system.+state.+changed )|(\[timeout)|(PRM\|1\|D)|(kpr)|(kdp)|(train st.+moving)|(\|lc)|(penalty))"</v>
      </c>
      <c r="U36" s="9" t="str">
        <f t="shared" si="2"/>
        <v>4042</v>
      </c>
      <c r="V36" s="31">
        <f t="shared" si="3"/>
        <v>43021.058483796296</v>
      </c>
      <c r="W36" s="45" t="str">
        <f t="shared" si="4"/>
        <v>NW</v>
      </c>
      <c r="X36" s="22">
        <f t="shared" si="5"/>
        <v>841</v>
      </c>
      <c r="Y36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{"issue":{"subject":"","project_id":79,"tracker_id":40,"status_id":1,"priority_id":2,"assigned_to_id":338,"start_date":"2017-10-12","description":"","custom_fields":[{"id":1,"name":"Subdivision","value":"NW"},{"id":4,"name":"Milepost","value":"5.9058"},{"id":17,"name":"Train ID","value":"841-12"},{"id":16,"name":"Locomotive ID","value":"4042"},{"id":130,"name":"Impact","value":""},{"id":150,"name":"Time of Event (Mountain Time)","value":"19:24:13"},{"id":151,"name":"Denver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/c/Users/stu/AppData/Local/Temp/OnboardLogs/RTDC4042 --include="*4042*201710130*"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"%USERPROFILE%\AppData\Local\Temp\OnboardLogs"\RTDC4042\*4042*201710130* &gt;&gt; 2017-10-12-SliceDisagreementCheck.txt</v>
      </c>
      <c r="AE36" s="145" t="str">
        <f t="shared" si="9"/>
        <v>start /low /b %USERPROFILE%\Documents\GitHub\eaglep3\Utilities\DownloadLogsFromS3.py --loco 4042 --day 2017-10-13</v>
      </c>
      <c r="AF36" s="1"/>
    </row>
    <row r="37" spans="1:32" x14ac:dyDescent="0.25">
      <c r="A37" s="31">
        <v>43020.849062499998</v>
      </c>
      <c r="B37" s="30" t="s">
        <v>569</v>
      </c>
      <c r="C37" s="30" t="s">
        <v>600</v>
      </c>
      <c r="D37" s="30" t="s">
        <v>49</v>
      </c>
      <c r="E37" s="30" t="s">
        <v>179</v>
      </c>
      <c r="F37" s="42">
        <v>0</v>
      </c>
      <c r="G37" s="42">
        <v>48</v>
      </c>
      <c r="H37" s="42">
        <v>58933</v>
      </c>
      <c r="I37" s="42">
        <v>58980</v>
      </c>
      <c r="J37" s="30" t="s">
        <v>180</v>
      </c>
      <c r="K37" s="42">
        <v>59058</v>
      </c>
      <c r="L37" s="131" t="s">
        <v>50</v>
      </c>
      <c r="M37" s="132">
        <f t="shared" si="0"/>
        <v>41.183999999999997</v>
      </c>
      <c r="N37" s="133" t="str">
        <f>VLOOKUP(C37,'Trips&amp;Operators'!$C$1:$G$99911,5,FALSE)</f>
        <v>STAMBAUGH JAMES</v>
      </c>
      <c r="O37" s="176" t="s">
        <v>178</v>
      </c>
      <c r="P37" s="134"/>
      <c r="Q37" s="30"/>
      <c r="R37" s="81" t="str">
        <f>VLOOKUP(C37,'Train Runs'!$A$13:$AE$10027,31,0)</f>
        <v>aws s3 cp s3://rtdc.mdm.uploadarchive.raw/RTDC4042/ "%USERPROFILE%\AppData\Local\Temp\OnboardLogs"\RTDC4042\2017-10-12 --exclude "*" --recursive --include "*20171012*" &amp; "%USERPROFILE%\Documents\GitHub\mrs-test-scripts\Headless Mode &amp; Sideloading\WalkAndUnGZ.bat" "%USERPROFILE%\AppData\Local\Temp\OnboardLogs"\RTDC4042\2017-10-12 &amp; aws s3 cp s3://rtdc.mdm.uploadarchive.raw/RTDC4042/ "%USERPROFILE%\AppData\Local\Temp\OnboardLogs"\RTDC4042\2017-10-13 --exclude "*" --recursive --include "*20171013*" &amp; "%USERPROFILE%\Documents\GitHub\mrs-test-scripts\Headless Mode &amp; Sideloading\WalkAndUnGZ.bat" "%USERPROFILE%\AppData\Local\Temp\OnboardLogs"\RTDC4042\2017-10-13</v>
      </c>
      <c r="S37" s="84" t="str">
        <f>VLOOKUP(C37,'Train Runs'!$A$13:$AE$10027,22,0)</f>
        <v>https://d0f6bd738d7f1b3e5a7ca70fe4ff75f0.us-east-1.aws.found.io/app/kibana#/discover/Steve-Slow-Train-Analysis-(2080s-and-2083s)?_g=(refreshInterval:(display:Off,pause:!f,section:0,value:0),time:(from:'2017-10-12T19:06:08-0600',mode:absolute,to:'2017-10-12T21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7" s="86" t="str">
        <f t="shared" si="1"/>
        <v>"C:\Program Files (x86)\AstroGrep\AstroGrep.exe" /e /r /s /spath="%USERPROFILE%\AppData\Local\Temp\OnboardLogs" /stypes="*4042*201710130*" /stext=" 02:.+((SYSTEM_STATE.+slice.+state.+changed )|(ment ac)|(multiple cpu faults)|(system.+state.+changed )|(\[timeout)|(PRM\|1\|D)|(kpr)|(kdp)|(train st.+moving)|(\|lc)|(penalty))"</v>
      </c>
      <c r="U37" s="9" t="str">
        <f t="shared" si="2"/>
        <v>4042</v>
      </c>
      <c r="V37" s="31">
        <f t="shared" si="3"/>
        <v>43021.099062499998</v>
      </c>
      <c r="W37" s="45" t="str">
        <f t="shared" si="4"/>
        <v>NW</v>
      </c>
      <c r="X37" s="22">
        <f t="shared" si="5"/>
        <v>843</v>
      </c>
      <c r="Y37" s="96" t="str">
        <f t="shared" si="6"/>
        <v>echo {"issue":{"subject":"","project_id":79,"tracker_id":40,"status_id":1,"priority_id":2,"assigned_to_id":338,"start_date":"2017-10-12","description":"","custom_fields":[{"id":1,"name":"Subdivision","value":"NW"},{"id":4,"name":"Milepost","value":"5.9058"},{"id":17,"name":"Train ID","value":"843-12"},{"id":16,"name":"Locomotive ID","value":"4042"},{"id":130,"name":"Impact","value":""},{"id":150,"name":"Time of Event (Mountain Time)","value":"20:22:39"},{"id":151,"name":"Denver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/c/Users/stu/AppData/Local/Temp/OnboardLogs/RTDC4042 --include="*4042*201710130*"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"%USERPROFILE%\AppData\Local\Temp\OnboardLogs"\RTDC4042\*4042*201710130* &gt;&gt; 2017-10-12-SliceDisagreementCheck.txt</v>
      </c>
      <c r="AE37" s="145" t="str">
        <f t="shared" si="9"/>
        <v>start /low /b %USERPROFILE%\Documents\GitHub\eaglep3\Utilities\DownloadLogsFromS3.py --loco 4042 --day 2017-10-13</v>
      </c>
      <c r="AF37" s="1"/>
    </row>
    <row r="38" spans="1:32" x14ac:dyDescent="0.25">
      <c r="A38" s="31">
        <v>43020.190972222219</v>
      </c>
      <c r="B38" s="30" t="s">
        <v>414</v>
      </c>
      <c r="C38" s="30" t="s">
        <v>560</v>
      </c>
      <c r="D38" s="30" t="s">
        <v>49</v>
      </c>
      <c r="E38" s="30" t="s">
        <v>179</v>
      </c>
      <c r="F38" s="42">
        <v>0</v>
      </c>
      <c r="G38" s="42">
        <v>32</v>
      </c>
      <c r="H38" s="42">
        <v>134</v>
      </c>
      <c r="I38" s="42">
        <v>119</v>
      </c>
      <c r="J38" s="30" t="s">
        <v>180</v>
      </c>
      <c r="K38" s="42">
        <v>1</v>
      </c>
      <c r="L38" s="131" t="s">
        <v>51</v>
      </c>
      <c r="M38" s="132">
        <f t="shared" si="0"/>
        <v>62.304000000000002</v>
      </c>
      <c r="N38" s="133" t="str">
        <f>VLOOKUP(C38,'Trips&amp;Operators'!$C$1:$G$99911,5,FALSE)</f>
        <v>WILLIAMS DONTE</v>
      </c>
      <c r="O38" s="176" t="s">
        <v>178</v>
      </c>
      <c r="P38" s="134"/>
      <c r="Q38" s="30"/>
      <c r="R38" s="81" t="str">
        <f>VLOOKUP(C38,'Train Runs'!$A$13:$AE$10027,31,0)</f>
        <v>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 &amp; aws s3 cp s3://rtdc.mdm.uploadarchive.raw/RTDC4065/ "%USERPROFILE%\AppData\Local\Temp\OnboardLogs"\RTDC4065\2017-10-13 --exclude "*" --recursive --include "*20171013*" &amp; "%USERPROFILE%\Documents\GitHub\mrs-test-scripts\Headless Mode &amp; Sideloading\WalkAndUnGZ.bat" "%USERPROFILE%\AppData\Local\Temp\OnboardLogs"\RTDC4065\2017-10-13</v>
      </c>
      <c r="S38" s="84" t="str">
        <f>VLOOKUP(C38,'Train Runs'!$A$13:$AE$10027,22,0)</f>
        <v>https://d0f6bd738d7f1b3e5a7ca70fe4ff75f0.us-east-1.aws.found.io/app/kibana#/discover/Steve-Slow-Train-Analysis-(2080s-and-2083s)?_g=(refreshInterval:(display:Off,pause:!f,section:0,value:0),time:(from:'2017-10-12T03:14:08-0600',mode:absolute,to:'2017-10-12T05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8" s="86" t="str">
        <f t="shared" si="1"/>
        <v>"C:\Program Files (x86)\AstroGrep\AstroGrep.exe" /e /r /s /spath="%USERPROFILE%\AppData\Local\Temp\OnboardLogs" /stypes="*4065*201710121*" /stext=" 10:.+((SYSTEM_STATE.+slice.+state.+changed )|(ment ac)|(multiple cpu faults)|(system.+state.+changed )|(\[timeout)|(PRM\|1\|D)|(kpr)|(kdp)|(train st.+moving)|(\|lc)|(penalty))"</v>
      </c>
      <c r="U38" s="9" t="str">
        <f t="shared" si="2"/>
        <v>4065</v>
      </c>
      <c r="V38" s="31">
        <f t="shared" si="3"/>
        <v>43020.440972222219</v>
      </c>
      <c r="W38" s="45" t="str">
        <f t="shared" si="4"/>
        <v>Other</v>
      </c>
      <c r="X38" s="22">
        <f t="shared" si="5"/>
        <v>308</v>
      </c>
      <c r="Y38" s="96" t="str">
        <f t="shared" si="6"/>
        <v>echo {"issue":{"subject":"","project_id":79,"tracker_id":40,"status_id":1,"priority_id":2,"assigned_to_id":338,"start_date":"2017-10-12","description":"","custom_fields":[{"id":1,"name":"Subdivision","value":"Other"},{"id":4,"name":"Milepost","value":"0.0001"},{"id":17,"name":"Train ID","value":"308-12"},{"id":16,"name":"Locomotive ID","value":"4065"},{"id":130,"name":"Impact","value":""},{"id":150,"name":"Time of Event (Mountain Time)","value":"04:35:00"},{"id":151,"name":"Denver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/c/Users/stu/AppData/Local/Temp/OnboardLogs/RTDC4065 --include="*4065*201710121*"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"%USERPROFILE%\AppData\Local\Temp\OnboardLogs"\RTDC4065\*4065*201710121* &gt;&gt; 2017-10-12-SliceDisagreementCheck.txt</v>
      </c>
      <c r="AE38" s="145" t="str">
        <f t="shared" si="9"/>
        <v>start /low /b %USERPROFILE%\Documents\GitHub\eaglep3\Utilities\DownloadLogsFromS3.py --loco 4065 --day 2017-10-12</v>
      </c>
      <c r="AF38" s="1"/>
    </row>
    <row r="39" spans="1:32" x14ac:dyDescent="0.25">
      <c r="A39" s="31">
        <v>43020.210833333331</v>
      </c>
      <c r="B39" s="30" t="s">
        <v>561</v>
      </c>
      <c r="C39" s="30" t="s">
        <v>562</v>
      </c>
      <c r="D39" s="30" t="s">
        <v>95</v>
      </c>
      <c r="E39" s="30" t="s">
        <v>179</v>
      </c>
      <c r="F39" s="42">
        <v>0</v>
      </c>
      <c r="G39" s="42">
        <v>8</v>
      </c>
      <c r="H39" s="42">
        <v>59048</v>
      </c>
      <c r="I39" s="42">
        <v>0</v>
      </c>
      <c r="J39" s="30" t="s">
        <v>180</v>
      </c>
      <c r="K39" s="42">
        <v>59048</v>
      </c>
      <c r="L39" s="131" t="s">
        <v>50</v>
      </c>
      <c r="M39" s="132">
        <f t="shared" si="0"/>
        <v>31177.344000000001</v>
      </c>
      <c r="N39" s="133" t="str">
        <f>VLOOKUP(C39,'Trips&amp;Operators'!$C$1:$G$99911,5,FALSE)</f>
        <v>DAVIS WENDY</v>
      </c>
      <c r="O39" s="176" t="s">
        <v>178</v>
      </c>
      <c r="P39" s="134"/>
      <c r="Q39" s="30"/>
      <c r="R39" s="81" t="e">
        <f>VLOOKUP(C39,'Train Runs'!$A$13:$AE$10027,31,0)</f>
        <v>#N/A</v>
      </c>
      <c r="S39" s="84" t="e">
        <f>VLOOKUP(C39,'Train Runs'!$A$13:$AE$10027,22,0)</f>
        <v>#N/A</v>
      </c>
      <c r="T39" s="86" t="str">
        <f t="shared" si="1"/>
        <v>"C:\Program Files (x86)\AstroGrep\AstroGrep.exe" /e /r /s /spath="%USERPROFILE%\AppData\Local\Temp\OnboardLogs" /stypes="*4030*201710121*" /stext=" 11:.+((SYSTEM_STATE.+slice.+state.+changed )|(ment ac)|(multiple cpu faults)|(system.+state.+changed )|(\[timeout)|(PRM\|1\|D)|(kpr)|(kdp)|(train st.+moving)|(\|lc)|(penalty))"</v>
      </c>
      <c r="U39" s="9" t="str">
        <f t="shared" si="2"/>
        <v>4030</v>
      </c>
      <c r="V39" s="31">
        <f t="shared" si="3"/>
        <v>43020.460833333331</v>
      </c>
      <c r="W39" s="45" t="str">
        <f t="shared" si="4"/>
        <v>Other</v>
      </c>
      <c r="X39" s="22">
        <f t="shared" si="5"/>
        <v>901</v>
      </c>
      <c r="Y39" s="96" t="str">
        <f t="shared" si="6"/>
        <v>echo {"issue":{"subject":"","project_id":79,"tracker_id":40,"status_id":1,"priority_id":2,"assigned_to_id":338,"start_date":"2017-10-12","description":"","custom_fields":[{"id":1,"name":"Subdivision","value":"Other"},{"id":4,"name":"Milepost","value":"5.9048"},{"id":17,"name":"Train ID","value":"901-12"},{"id":16,"name":"Locomotive ID","value":"4030"},{"id":130,"name":"Impact","value":""},{"id":150,"name":"Time of Event (Mountain Time)","value":"05:03:36"},{"id":151,"name":"Denver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/c/Users/stu/AppData/Local/Temp/OnboardLogs/RTDC4030 --include="*4030*201710121*"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"%USERPROFILE%\AppData\Local\Temp\OnboardLogs"\RTDC4030\*4030*201710121* &gt;&gt; 2017-10-12-SliceDisagreementCheck.txt</v>
      </c>
      <c r="AE39" s="145" t="str">
        <f t="shared" si="9"/>
        <v>start /low /b %USERPROFILE%\Documents\GitHub\eaglep3\Utilities\DownloadLogsFromS3.py --loco 4030 --day 2017-10-12</v>
      </c>
      <c r="AF39" s="1"/>
    </row>
    <row r="40" spans="1:32" x14ac:dyDescent="0.25">
      <c r="A40" s="31">
        <v>43020.5</v>
      </c>
      <c r="B40" s="30" t="s">
        <v>574</v>
      </c>
      <c r="C40" s="30" t="s">
        <v>581</v>
      </c>
      <c r="D40" s="30" t="s">
        <v>49</v>
      </c>
      <c r="E40" s="30" t="s">
        <v>491</v>
      </c>
      <c r="F40" s="42">
        <v>0</v>
      </c>
      <c r="G40" s="42">
        <v>65</v>
      </c>
      <c r="H40" s="42">
        <v>24466</v>
      </c>
      <c r="I40" s="42">
        <v>24305</v>
      </c>
      <c r="J40" s="30" t="s">
        <v>492</v>
      </c>
      <c r="K40" s="42">
        <v>24235</v>
      </c>
      <c r="L40" s="131" t="s">
        <v>51</v>
      </c>
      <c r="M40" s="132">
        <f t="shared" si="0"/>
        <v>36.96</v>
      </c>
      <c r="N40" s="133" t="str">
        <f>VLOOKUP(C40,'Trips&amp;Operators'!$C$1:$G$99911,5,FALSE)</f>
        <v>KILLION DAVID</v>
      </c>
      <c r="O40" s="176" t="s">
        <v>178</v>
      </c>
      <c r="P40" s="134"/>
      <c r="Q40" s="30"/>
      <c r="R40" s="81" t="str">
        <f>VLOOKUP(C40,'Train Runs'!$A$13:$AE$10027,31,0)</f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S40" s="84" t="str">
        <f>VLOOKUP(C40,'Train Runs'!$A$13:$AE$10027,22,0)</f>
        <v>https://d0f6bd738d7f1b3e5a7ca70fe4ff75f0.us-east-1.aws.found.io/app/kibana#/discover/Steve-Slow-Train-Analysis-(2080s-and-2083s)?_g=(refreshInterval:(display:Off,pause:!f,section:0,value:0),time:(from:'2017-10-12T10:56:40-0600',mode:absolute,to:'2017-10-12T13:11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0" s="86" t="str">
        <f t="shared" si="1"/>
        <v>"C:\Program Files (x86)\AstroGrep\AstroGrep.exe" /e /r /s /spath="%USERPROFILE%\AppData\Local\Temp\OnboardLogs" /stypes="*4057*201710121*" /stext=" 18:.+((SYSTEM_STATE.+slice.+state.+changed )|(ment ac)|(multiple cpu faults)|(system.+state.+changed )|(\[timeout)|(PRM\|1\|D)|(kpr)|(kdp)|(train st.+moving)|(\|lc)|(penalty))"</v>
      </c>
      <c r="U40" s="9" t="str">
        <f t="shared" si="2"/>
        <v>4057</v>
      </c>
      <c r="V40" s="31">
        <f t="shared" si="3"/>
        <v>43020.75</v>
      </c>
      <c r="W40" s="45" t="str">
        <f t="shared" si="4"/>
        <v>Shuttle/Test</v>
      </c>
      <c r="X40" s="22">
        <f t="shared" si="5"/>
        <v>57</v>
      </c>
      <c r="Y40" s="96" t="str">
        <f t="shared" si="6"/>
        <v>echo {"issue":{"subject":"","project_id":79,"tracker_id":40,"status_id":1,"priority_id":2,"assigned_to_id":338,"start_date":"2017-10-12","description":"","custom_fields":[{"id":1,"name":"Subdivision","value":"Shuttle/Test"},{"id":4,"name":"Milepost","value":"2.4235"},{"id":17,"name":"Train ID","value":"57-12"},{"id":16,"name":"Locomotive ID","value":"4057"},{"id":130,"name":"Impact","value":""},{"id":150,"name":"Time of Event (Mountain Time)","value":"12:00:00"},{"id":151,"name":"Denver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/c/Users/stu/AppData/Local/Temp/OnboardLogs/RTDC4057 --include="*4057*201710121*"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"%USERPROFILE%\AppData\Local\Temp\OnboardLogs"\RTDC4057\*4057*201710121* &gt;&gt; 2017-10-12-SliceDisagreementCheck.txt</v>
      </c>
      <c r="AE40" s="145" t="str">
        <f t="shared" si="9"/>
        <v>start /low /b %USERPROFILE%\Documents\GitHub\eaglep3\Utilities\DownloadLogsFromS3.py --loco 4057 --day 2017-10-12</v>
      </c>
      <c r="AF40" s="1"/>
    </row>
    <row r="41" spans="1:32" x14ac:dyDescent="0.25">
      <c r="A41" s="31">
        <v>43020.452986111108</v>
      </c>
      <c r="B41" s="30" t="s">
        <v>574</v>
      </c>
      <c r="C41" s="30" t="s">
        <v>575</v>
      </c>
      <c r="D41" s="30" t="s">
        <v>95</v>
      </c>
      <c r="E41" s="30" t="s">
        <v>491</v>
      </c>
      <c r="F41" s="42">
        <v>200</v>
      </c>
      <c r="G41" s="42">
        <v>250</v>
      </c>
      <c r="H41" s="42">
        <v>20222</v>
      </c>
      <c r="I41" s="42">
        <v>19863</v>
      </c>
      <c r="J41" s="30" t="s">
        <v>492</v>
      </c>
      <c r="K41" s="42">
        <v>24235</v>
      </c>
      <c r="L41" s="131" t="s">
        <v>51</v>
      </c>
      <c r="M41" s="132">
        <f t="shared" si="0"/>
        <v>-2308.4160000000002</v>
      </c>
      <c r="N41" s="133" t="str">
        <f>VLOOKUP(C41,'Trips&amp;Operators'!$C$1:$G$99911,5,FALSE)</f>
        <v>MOSES BRADLEY</v>
      </c>
      <c r="O41" s="176" t="s">
        <v>178</v>
      </c>
      <c r="P41" s="134"/>
      <c r="Q41" s="30"/>
      <c r="R41" s="81" t="str">
        <f>VLOOKUP(C41,'Train Runs'!$A$13:$AE$10027,31,0)</f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S41" s="84" t="str">
        <f>VLOOKUP(C41,'Train Runs'!$A$13:$AE$10027,22,0)</f>
        <v>https://d0f6bd738d7f1b3e5a7ca70fe4ff75f0.us-east-1.aws.found.io/app/kibana#/discover/Steve-Slow-Train-Analysis-(2080s-and-2083s)?_g=(refreshInterval:(display:Off,pause:!f,section:0,value:0),time:(from:'2017-10-12T09:42:12-0600',mode:absolute,to:'2017-10-12T12:00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1" s="86" t="str">
        <f t="shared" si="1"/>
        <v>"C:\Program Files (x86)\AstroGrep\AstroGrep.exe" /e /r /s /spath="%USERPROFILE%\AppData\Local\Temp\OnboardLogs" /stypes="*4057*201710121*"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4057</v>
      </c>
      <c r="V41" s="31">
        <f t="shared" si="3"/>
        <v>43020.702986111108</v>
      </c>
      <c r="W41" s="45" t="str">
        <f t="shared" si="4"/>
        <v>Shuttle/Test</v>
      </c>
      <c r="X41" s="22">
        <f t="shared" si="5"/>
        <v>52</v>
      </c>
      <c r="Y41" s="96" t="str">
        <f t="shared" si="6"/>
        <v>echo {"issue":{"subject":"","project_id":79,"tracker_id":40,"status_id":1,"priority_id":2,"assigned_to_id":338,"start_date":"2017-10-12","description":"","custom_fields":[{"id":1,"name":"Subdivision","value":"Shuttle/Test"},{"id":4,"name":"Milepost","value":"2.4235"},{"id":17,"name":"Train ID","value":"52-12"},{"id":16,"name":"Locomotive ID","value":"4057"},{"id":130,"name":"Impact","value":""},{"id":150,"name":"Time of Event (Mountain Time)","value":"10:52:18"},{"id":151,"name":"Denver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/c/Users/stu/AppData/Local/Temp/OnboardLogs/RTDC4057 --include="*4057*201710121*"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"%USERPROFILE%\AppData\Local\Temp\OnboardLogs"\RTDC4057\*4057*201710121* &gt;&gt; 2017-10-12-SliceDisagreementCheck.txt</v>
      </c>
      <c r="AE41" s="145" t="str">
        <f t="shared" si="9"/>
        <v>start /low /b %USERPROFILE%\Documents\GitHub\eaglep3\Utilities\DownloadLogsFromS3.py --loco 4057 --day 2017-10-12</v>
      </c>
      <c r="AF41" s="1"/>
    </row>
    <row r="42" spans="1:32" x14ac:dyDescent="0.25">
      <c r="A42" s="31">
        <v>43020.507638888892</v>
      </c>
      <c r="B42" s="30" t="s">
        <v>574</v>
      </c>
      <c r="C42" s="30" t="s">
        <v>581</v>
      </c>
      <c r="D42" s="30" t="s">
        <v>95</v>
      </c>
      <c r="E42" s="30" t="s">
        <v>179</v>
      </c>
      <c r="F42" s="42">
        <v>0</v>
      </c>
      <c r="G42" s="42">
        <v>11</v>
      </c>
      <c r="H42" s="42">
        <v>1</v>
      </c>
      <c r="I42" s="42">
        <v>0</v>
      </c>
      <c r="J42" s="30" t="s">
        <v>180</v>
      </c>
      <c r="K42" s="42">
        <v>1</v>
      </c>
      <c r="L42" s="131" t="s">
        <v>51</v>
      </c>
      <c r="M42" s="132">
        <f t="shared" si="0"/>
        <v>-0.52800000000000002</v>
      </c>
      <c r="N42" s="133" t="str">
        <f>VLOOKUP(C42,'Trips&amp;Operators'!$C$1:$G$99911,5,FALSE)</f>
        <v>KILLION DAVID</v>
      </c>
      <c r="O42" s="176" t="s">
        <v>178</v>
      </c>
      <c r="P42" s="134"/>
      <c r="Q42" s="30"/>
      <c r="R42" s="81" t="str">
        <f>VLOOKUP(C42,'Train Runs'!$A$13:$AE$10027,31,0)</f>
        <v>aws s3 cp s3://rtdc.mdm.uploadarchive.raw/RTDC4057/ "%USERPROFILE%\AppData\Local\Temp\OnboardLogs"\RTDC4057\2017-10-12 --exclude "*" --recursive --include "*20171012*" &amp; "%USERPROFILE%\Documents\GitHub\mrs-test-scripts\Headless Mode &amp; Sideloading\WalkAndUnGZ.bat" "%USERPROFILE%\AppData\Local\Temp\OnboardLogs"\RTDC4057\2017-10-12 &amp; aws s3 cp s3://rtdc.mdm.uploadarchive.raw/RTDC4057/ "%USERPROFILE%\AppData\Local\Temp\OnboardLogs"\RTDC4057\2017-10-13 --exclude "*" --recursive --include "*20171013*" &amp; "%USERPROFILE%\Documents\GitHub\mrs-test-scripts\Headless Mode &amp; Sideloading\WalkAndUnGZ.bat" "%USERPROFILE%\AppData\Local\Temp\OnboardLogs"\RTDC4057\2017-10-13</v>
      </c>
      <c r="S42" s="84" t="str">
        <f>VLOOKUP(C42,'Train Runs'!$A$13:$AE$10027,22,0)</f>
        <v>https://d0f6bd738d7f1b3e5a7ca70fe4ff75f0.us-east-1.aws.found.io/app/kibana#/discover/Steve-Slow-Train-Analysis-(2080s-and-2083s)?_g=(refreshInterval:(display:Off,pause:!f,section:0,value:0),time:(from:'2017-10-12T10:56:40-0600',mode:absolute,to:'2017-10-12T13:11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2" s="86" t="str">
        <f t="shared" si="1"/>
        <v>"C:\Program Files (x86)\AstroGrep\AstroGrep.exe" /e /r /s /spath="%USERPROFILE%\AppData\Local\Temp\OnboardLogs" /stypes="*4057*201710121*" /stext=" 18:.+((SYSTEM_STATE.+slice.+state.+changed )|(ment ac)|(multiple cpu faults)|(system.+state.+changed )|(\[timeout)|(PRM\|1\|D)|(kpr)|(kdp)|(train st.+moving)|(\|lc)|(penalty))"</v>
      </c>
      <c r="U42" s="9" t="str">
        <f t="shared" si="2"/>
        <v>4057</v>
      </c>
      <c r="V42" s="31">
        <f t="shared" si="3"/>
        <v>43020.757638888892</v>
      </c>
      <c r="W42" s="45" t="str">
        <f t="shared" si="4"/>
        <v>Shuttle/Test</v>
      </c>
      <c r="X42" s="22">
        <f t="shared" si="5"/>
        <v>57</v>
      </c>
      <c r="Y42" s="96" t="str">
        <f t="shared" si="6"/>
        <v>echo {"issue":{"subject":"","project_id":79,"tracker_id":40,"status_id":1,"priority_id":2,"assigned_to_id":338,"start_date":"2017-10-12","description":"","custom_fields":[{"id":1,"name":"Subdivision","value":"Shuttle/Test"},{"id":4,"name":"Milepost","value":"0.0001"},{"id":17,"name":"Train ID","value":"57-12"},{"id":16,"name":"Locomotive ID","value":"4057"},{"id":130,"name":"Impact","value":""},{"id":150,"name":"Time of Event (Mountain Time)","value":"12:11:00"},{"id":151,"name":"Denver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/c/Users/stu/AppData/Local/Temp/OnboardLogs/RTDC4057 --include="*4057*201710121*"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"%USERPROFILE%\AppData\Local\Temp\OnboardLogs"\RTDC4057\*4057*201710121* &gt;&gt; 2017-10-12-SliceDisagreementCheck.txt</v>
      </c>
      <c r="AE42" s="145" t="str">
        <f t="shared" si="9"/>
        <v>start /low /b %USERPROFILE%\Documents\GitHub\eaglep3\Utilities\DownloadLogsFromS3.py --loco 4057 --day 2017-10-12</v>
      </c>
      <c r="AF42" s="1"/>
    </row>
    <row r="43" spans="1:32" x14ac:dyDescent="0.25">
      <c r="A43" s="31">
        <v>43020.495104166665</v>
      </c>
      <c r="B43" s="30" t="s">
        <v>579</v>
      </c>
      <c r="C43" s="30" t="s">
        <v>580</v>
      </c>
      <c r="D43" s="30" t="s">
        <v>49</v>
      </c>
      <c r="E43" s="30" t="s">
        <v>179</v>
      </c>
      <c r="F43" s="42">
        <v>0</v>
      </c>
      <c r="G43" s="42">
        <v>56</v>
      </c>
      <c r="H43" s="42">
        <v>989</v>
      </c>
      <c r="I43" s="42">
        <v>930</v>
      </c>
      <c r="J43" s="30" t="s">
        <v>180</v>
      </c>
      <c r="K43" s="42">
        <v>826</v>
      </c>
      <c r="L43" s="131" t="s">
        <v>51</v>
      </c>
      <c r="M43" s="132">
        <f t="shared" si="0"/>
        <v>54.911999999999999</v>
      </c>
      <c r="N43" s="133" t="str">
        <f>VLOOKUP(C43,'Trips&amp;Operators'!$C$1:$G$99911,5,FALSE)</f>
        <v>DELGADO DIANAH</v>
      </c>
      <c r="O43" s="176" t="s">
        <v>178</v>
      </c>
      <c r="P43" s="134"/>
      <c r="Q43" s="30"/>
      <c r="R43" s="81" t="e">
        <f>VLOOKUP(C43,'Train Runs'!$A$13:$AE$10027,31,0)</f>
        <v>#N/A</v>
      </c>
      <c r="S43" s="84" t="e">
        <f>VLOOKUP(C43,'Train Runs'!$A$13:$AE$10027,22,0)</f>
        <v>#N/A</v>
      </c>
      <c r="T43" s="86" t="str">
        <f t="shared" si="1"/>
        <v>"C:\Program Files (x86)\AstroGrep\AstroGrep.exe" /e /r /s /spath="%USERPROFILE%\AppData\Local\Temp\OnboardLogs" /stypes="*4011*201710121*" /stext=" 17:.+((SYSTEM_STATE.+slice.+state.+changed )|(ment ac)|(multiple cpu faults)|(system.+state.+changed )|(\[timeout)|(PRM\|1\|D)|(kpr)|(kdp)|(train st.+moving)|(\|lc)|(penalty))"</v>
      </c>
      <c r="U43" s="9" t="str">
        <f t="shared" si="2"/>
        <v>4011</v>
      </c>
      <c r="V43" s="31">
        <f t="shared" si="3"/>
        <v>43020.745104166665</v>
      </c>
      <c r="W43" s="45" t="str">
        <f t="shared" si="4"/>
        <v>Shuttle/Test</v>
      </c>
      <c r="X43" s="22">
        <f t="shared" si="5"/>
        <v>56</v>
      </c>
      <c r="Y43" s="96" t="str">
        <f t="shared" si="6"/>
        <v>echo {"issue":{"subject":"","project_id":79,"tracker_id":40,"status_id":1,"priority_id":2,"assigned_to_id":338,"start_date":"2017-10-12","description":"","custom_fields":[{"id":1,"name":"Subdivision","value":"Shuttle/Test"},{"id":4,"name":"Milepost","value":"0.0826"},{"id":17,"name":"Train ID","value":"56-12"},{"id":16,"name":"Locomotive ID","value":"4011"},{"id":130,"name":"Impact","value":""},{"id":150,"name":"Time of Event (Mountain Time)","value":"11:52:57"},{"id":151,"name":"Denver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/c/Users/stu/AppData/Local/Temp/OnboardLogs/RTDC4011 --include="*4011*201710121*"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"%USERPROFILE%\AppData\Local\Temp\OnboardLogs"\RTDC4011\*4011*201710121* &gt;&gt; 2017-10-12-SliceDisagreementCheck.txt</v>
      </c>
      <c r="AE43" s="145" t="str">
        <f t="shared" si="9"/>
        <v>start /low /b %USERPROFILE%\Documents\GitHub\eaglep3\Utilities\DownloadLogsFromS3.py --loco 4011 --day 2017-10-12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3">
      <sortCondition ref="W7:W43"/>
      <sortCondition ref="E7:E43"/>
      <sortCondition ref="K7:K43"/>
      <sortCondition ref="F7:F43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7:O1048576 O7:O43">
    <cfRule type="cellIs" dxfId="3" priority="40" operator="equal">
      <formula>"Y"</formula>
    </cfRule>
  </conditionalFormatting>
  <conditionalFormatting sqref="O2:O3">
    <cfRule type="cellIs" dxfId="2" priority="31" operator="equal">
      <formula>"Y"</formula>
    </cfRule>
  </conditionalFormatting>
  <conditionalFormatting sqref="A7:P43">
    <cfRule type="expression" dxfId="1" priority="24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2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2"/>
      <c r="B1" s="204" t="str">
        <f>"Trips that did not appear in PTC Data "&amp;TEXT(Variables!$A$2,"YYYY-mm-dd")</f>
        <v>Trips that did not appear in PTC Data 2017-10-12</v>
      </c>
      <c r="C1" s="204"/>
      <c r="D1" s="204"/>
      <c r="E1" s="204"/>
      <c r="F1" s="204"/>
      <c r="I1" s="189"/>
    </row>
    <row r="2" spans="1:10" s="23" customFormat="1" ht="45" x14ac:dyDescent="0.25">
      <c r="A2" s="202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3"/>
      <c r="B3" s="42" t="str">
        <f>A3&amp;"-"&amp;IF(DAY(Variables!$A$2)&lt;10,0,"")&amp;DAY(Variables!$A$2)</f>
        <v>-12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" s="30" t="e">
        <f>VLOOKUP(B3,'Train Runs'!$A$13:$A$100024,1,FALSE)</f>
        <v>#N/A</v>
      </c>
    </row>
    <row r="4" spans="1:10" x14ac:dyDescent="0.25">
      <c r="A4" s="193"/>
      <c r="B4" s="42" t="str">
        <f>A4&amp;"-"&amp;IF(DAY(Variables!$A$2)&lt;10,0,"")&amp;DAY(Variables!$A$2)</f>
        <v>-12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Runs'!$A$13:$A$100024,1,FALSE)</f>
        <v>#N/A</v>
      </c>
    </row>
    <row r="5" spans="1:10" x14ac:dyDescent="0.25">
      <c r="A5" s="193"/>
      <c r="B5" s="42" t="str">
        <f>A5&amp;"-"&amp;IF(DAY(Variables!$A$2)&lt;10,0,"")&amp;DAY(Variables!$A$2)</f>
        <v>-12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Runs'!$A$13:$A$100024,1,FALSE)</f>
        <v>#N/A</v>
      </c>
    </row>
    <row r="6" spans="1:10" x14ac:dyDescent="0.25">
      <c r="A6" s="193"/>
      <c r="B6" s="42" t="str">
        <f>A6&amp;"-"&amp;IF(DAY(Variables!$A$2)&lt;10,0,"")&amp;DAY(Variables!$A$2)</f>
        <v>-12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Runs'!$A$13:$A$100024,1,FALSE)</f>
        <v>#N/A</v>
      </c>
    </row>
    <row r="7" spans="1:10" x14ac:dyDescent="0.25">
      <c r="A7" s="193"/>
      <c r="B7" s="42" t="str">
        <f>A7&amp;"-"&amp;IF(DAY(Variables!$A$2)&lt;10,0,"")&amp;DAY(Variables!$A$2)</f>
        <v>-12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Runs'!$A$13:$A$100024,1,FALSE)</f>
        <v>#N/A</v>
      </c>
    </row>
    <row r="8" spans="1:10" x14ac:dyDescent="0.25">
      <c r="A8" s="193"/>
      <c r="B8" s="42" t="str">
        <f>A8&amp;"-"&amp;IF(DAY(Variables!$A$2)&lt;10,0,"")&amp;DAY(Variables!$A$2)</f>
        <v>-12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Runs'!$A$13:$A$100024,1,FALSE)</f>
        <v>#N/A</v>
      </c>
    </row>
    <row r="9" spans="1:10" x14ac:dyDescent="0.25">
      <c r="A9" s="193"/>
      <c r="B9" s="42" t="str">
        <f>A9&amp;"-"&amp;IF(DAY(Variables!$A$2)&lt;10,0,"")&amp;DAY(Variables!$A$2)</f>
        <v>-12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Runs'!$A$13:$A$100024,1,FALSE)</f>
        <v>#N/A</v>
      </c>
    </row>
    <row r="10" spans="1:10" x14ac:dyDescent="0.25">
      <c r="A10" s="193"/>
      <c r="B10" s="42" t="str">
        <f>A10&amp;"-"&amp;IF(DAY(Variables!$A$2)&lt;10,0,"")&amp;DAY(Variables!$A$2)</f>
        <v>-12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Runs'!$A$13:$A$100024,1,FALSE)</f>
        <v>#N/A</v>
      </c>
    </row>
    <row r="11" spans="1:10" x14ac:dyDescent="0.25">
      <c r="A11" s="193"/>
      <c r="B11" s="42" t="str">
        <f>A11&amp;"-"&amp;IF(DAY(Variables!$A$2)&lt;10,0,"")&amp;DAY(Variables!$A$2)</f>
        <v>-12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Runs'!$A$13:$A$100024,1,FALSE)</f>
        <v>#N/A</v>
      </c>
    </row>
    <row r="12" spans="1:10" x14ac:dyDescent="0.25">
      <c r="A12" s="193"/>
      <c r="B12" s="42" t="str">
        <f>A12&amp;"-"&amp;IF(DAY(Variables!$A$2)&lt;10,0,"")&amp;DAY(Variables!$A$2)</f>
        <v>-12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Runs'!$A$13:$A$100024,1,FALSE)</f>
        <v>#N/A</v>
      </c>
    </row>
    <row r="13" spans="1:10" x14ac:dyDescent="0.25">
      <c r="A13" s="193"/>
      <c r="B13" s="42" t="str">
        <f>A13&amp;"-"&amp;IF(DAY(Variables!$A$2)&lt;10,0,"")&amp;DAY(Variables!$A$2)</f>
        <v>-12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Runs'!$A$13:$A$100024,1,FALSE)</f>
        <v>#N/A</v>
      </c>
    </row>
    <row r="14" spans="1:10" x14ac:dyDescent="0.25">
      <c r="A14" s="193"/>
      <c r="B14" s="42" t="str">
        <f>A14&amp;"-"&amp;IF(DAY(Variables!$A$2)&lt;10,0,"")&amp;DAY(Variables!$A$2)</f>
        <v>-12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Runs'!$A$13:$A$100024,1,FALSE)</f>
        <v>#N/A</v>
      </c>
    </row>
    <row r="15" spans="1:10" x14ac:dyDescent="0.25">
      <c r="A15" s="193"/>
      <c r="B15" s="42" t="str">
        <f>A15&amp;"-"&amp;IF(DAY(Variables!$A$2)&lt;10,0,"")&amp;DAY(Variables!$A$2)</f>
        <v>-12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Runs'!$A$13:$A$100024,1,FALSE)</f>
        <v>#N/A</v>
      </c>
    </row>
    <row r="16" spans="1:10" x14ac:dyDescent="0.25">
      <c r="A16" s="193"/>
      <c r="B16" s="42" t="str">
        <f>A16&amp;"-"&amp;IF(DAY(Variables!$A$2)&lt;10,0,"")&amp;DAY(Variables!$A$2)</f>
        <v>-12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Runs'!$A$13:$A$100024,1,FALSE)</f>
        <v>#N/A</v>
      </c>
    </row>
    <row r="17" spans="1:10" x14ac:dyDescent="0.25">
      <c r="A17" s="193"/>
      <c r="B17" s="42" t="str">
        <f>A17&amp;"-"&amp;IF(DAY(Variables!$A$2)&lt;10,0,"")&amp;DAY(Variables!$A$2)</f>
        <v>-12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Runs'!$A$13:$A$100024,1,FALSE)</f>
        <v>#N/A</v>
      </c>
    </row>
    <row r="18" spans="1:10" x14ac:dyDescent="0.25">
      <c r="A18" s="193"/>
      <c r="B18" s="42" t="str">
        <f>A18&amp;"-"&amp;IF(DAY(Variables!$A$2)&lt;10,0,"")&amp;DAY(Variables!$A$2)</f>
        <v>-12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Runs'!$A$13:$A$100024,1,FALSE)</f>
        <v>#N/A</v>
      </c>
    </row>
    <row r="19" spans="1:10" x14ac:dyDescent="0.25">
      <c r="A19" s="193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3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3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3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3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3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3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3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3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3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3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3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3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3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3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3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3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3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3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3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3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3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3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3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3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3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3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3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3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3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3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3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3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3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3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3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3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3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3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3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3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3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3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3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3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3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3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3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3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3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3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3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3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3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3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3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43020.032430555555</v>
      </c>
      <c r="B2" s="20" t="s">
        <v>502</v>
      </c>
      <c r="C2" s="20" t="s">
        <v>515</v>
      </c>
      <c r="D2" s="138">
        <v>3320000</v>
      </c>
      <c r="E2" s="20" t="s">
        <v>368</v>
      </c>
      <c r="F2" s="20" t="s">
        <v>369</v>
      </c>
      <c r="G2" s="8" t="str">
        <f>E2&amp;" "&amp;F2</f>
        <v>NICHOLSON WESLEY</v>
      </c>
      <c r="H2" t="str">
        <f>MID(B2,13,4)</f>
        <v>4002</v>
      </c>
    </row>
    <row r="3" spans="1:8" x14ac:dyDescent="0.25">
      <c r="A3" s="8">
        <v>43020.03837962963</v>
      </c>
      <c r="B3" s="20" t="s">
        <v>493</v>
      </c>
      <c r="C3" s="20" t="s">
        <v>516</v>
      </c>
      <c r="D3" s="138">
        <v>3320000</v>
      </c>
      <c r="E3" s="20" t="s">
        <v>368</v>
      </c>
      <c r="F3" s="20" t="s">
        <v>369</v>
      </c>
      <c r="G3" s="8" t="str">
        <f t="shared" ref="G3:G66" si="0">E3&amp;" "&amp;F3</f>
        <v>NICHOLSON WESLEY</v>
      </c>
      <c r="H3" s="20" t="str">
        <f t="shared" ref="H3:H66" si="1">MID(B3,13,4)</f>
        <v>4001</v>
      </c>
    </row>
    <row r="4" spans="1:8" x14ac:dyDescent="0.25">
      <c r="A4" s="8">
        <v>43020.039004629631</v>
      </c>
      <c r="B4" s="20" t="s">
        <v>500</v>
      </c>
      <c r="C4" s="20" t="s">
        <v>517</v>
      </c>
      <c r="D4" s="138">
        <v>890000</v>
      </c>
      <c r="E4" s="20" t="s">
        <v>359</v>
      </c>
      <c r="F4" s="20" t="s">
        <v>360</v>
      </c>
      <c r="G4" s="8" t="str">
        <f t="shared" si="0"/>
        <v>LOZA FIDEL</v>
      </c>
      <c r="H4" s="20" t="str">
        <f t="shared" si="1"/>
        <v>4031</v>
      </c>
    </row>
    <row r="5" spans="1:8" x14ac:dyDescent="0.25">
      <c r="A5" s="8">
        <v>43020.040671296294</v>
      </c>
      <c r="B5" s="20" t="s">
        <v>493</v>
      </c>
      <c r="C5" s="20" t="s">
        <v>516</v>
      </c>
      <c r="D5" s="138">
        <v>3320000</v>
      </c>
      <c r="E5" s="20" t="s">
        <v>368</v>
      </c>
      <c r="F5" s="20" t="s">
        <v>369</v>
      </c>
      <c r="G5" s="8" t="str">
        <f t="shared" si="0"/>
        <v>NICHOLSON WESLEY</v>
      </c>
      <c r="H5" s="20" t="str">
        <f t="shared" si="1"/>
        <v>4001</v>
      </c>
    </row>
    <row r="6" spans="1:8" x14ac:dyDescent="0.25">
      <c r="A6" s="8">
        <v>43020.046909722223</v>
      </c>
      <c r="B6" s="20" t="s">
        <v>496</v>
      </c>
      <c r="C6" s="20" t="s">
        <v>518</v>
      </c>
      <c r="D6" s="138">
        <v>2680000</v>
      </c>
      <c r="E6" s="20" t="s">
        <v>365</v>
      </c>
      <c r="F6" s="20" t="s">
        <v>366</v>
      </c>
      <c r="G6" s="8" t="str">
        <f t="shared" si="0"/>
        <v>DUNCAN SHEILA</v>
      </c>
      <c r="H6" s="20" t="str">
        <f t="shared" si="1"/>
        <v>4014</v>
      </c>
    </row>
    <row r="7" spans="1:8" x14ac:dyDescent="0.25">
      <c r="A7" s="8">
        <v>43020.050694444442</v>
      </c>
      <c r="B7" s="20" t="s">
        <v>454</v>
      </c>
      <c r="C7" s="20" t="s">
        <v>519</v>
      </c>
      <c r="D7" s="138">
        <v>2440000</v>
      </c>
      <c r="E7" s="20" t="s">
        <v>507</v>
      </c>
      <c r="F7" s="20" t="s">
        <v>508</v>
      </c>
      <c r="G7" s="8" t="str">
        <f t="shared" si="0"/>
        <v>LOPES KIMBERLY</v>
      </c>
      <c r="H7" s="20" t="str">
        <f t="shared" si="1"/>
        <v>4035</v>
      </c>
    </row>
    <row r="8" spans="1:8" x14ac:dyDescent="0.25">
      <c r="A8" s="8">
        <v>43020.067916666667</v>
      </c>
      <c r="B8" s="20" t="s">
        <v>497</v>
      </c>
      <c r="C8" s="20" t="s">
        <v>520</v>
      </c>
      <c r="D8" s="138">
        <v>890000</v>
      </c>
      <c r="E8" s="20" t="s">
        <v>359</v>
      </c>
      <c r="F8" s="20" t="s">
        <v>360</v>
      </c>
      <c r="G8" s="8" t="str">
        <f t="shared" si="0"/>
        <v>LOZA FIDEL</v>
      </c>
      <c r="H8" s="20" t="str">
        <f t="shared" si="1"/>
        <v>4032</v>
      </c>
    </row>
    <row r="9" spans="1:8" ht="15.75" thickBot="1" x14ac:dyDescent="0.3">
      <c r="A9" s="24">
        <v>43020.088923611111</v>
      </c>
      <c r="B9" s="20" t="s">
        <v>432</v>
      </c>
      <c r="C9" s="20" t="s">
        <v>521</v>
      </c>
      <c r="D9" s="138">
        <v>2440000</v>
      </c>
      <c r="E9" s="20" t="s">
        <v>507</v>
      </c>
      <c r="F9" s="20" t="s">
        <v>508</v>
      </c>
      <c r="G9" s="8" t="str">
        <f t="shared" si="0"/>
        <v>LOPES KIMBERLY</v>
      </c>
      <c r="H9" s="20" t="str">
        <f t="shared" si="1"/>
        <v>4036</v>
      </c>
    </row>
    <row r="10" spans="1:8" x14ac:dyDescent="0.25">
      <c r="A10" s="8">
        <v>43020.112002314818</v>
      </c>
      <c r="B10" s="20" t="s">
        <v>393</v>
      </c>
      <c r="C10" s="20" t="s">
        <v>522</v>
      </c>
      <c r="D10" s="138">
        <v>1830000</v>
      </c>
      <c r="E10" s="20" t="s">
        <v>377</v>
      </c>
      <c r="F10" s="20" t="s">
        <v>378</v>
      </c>
      <c r="G10" s="8" t="str">
        <f t="shared" si="0"/>
        <v>YORK EDGAR</v>
      </c>
      <c r="H10" s="20" t="str">
        <f t="shared" si="1"/>
        <v>4061</v>
      </c>
    </row>
    <row r="11" spans="1:8" x14ac:dyDescent="0.25">
      <c r="A11" s="8">
        <v>43020.134421296294</v>
      </c>
      <c r="B11" s="20" t="s">
        <v>502</v>
      </c>
      <c r="C11" s="20" t="s">
        <v>602</v>
      </c>
      <c r="D11" s="138">
        <v>1260000</v>
      </c>
      <c r="E11" s="20" t="s">
        <v>498</v>
      </c>
      <c r="F11" s="20" t="s">
        <v>499</v>
      </c>
      <c r="G11" s="8" t="str">
        <f t="shared" si="0"/>
        <v>ACKERMAN JARED</v>
      </c>
      <c r="H11" s="20" t="str">
        <f t="shared" si="1"/>
        <v>4002</v>
      </c>
    </row>
    <row r="12" spans="1:8" x14ac:dyDescent="0.25">
      <c r="A12" s="8">
        <v>43020.140347222223</v>
      </c>
      <c r="B12" s="20" t="s">
        <v>438</v>
      </c>
      <c r="C12" s="20" t="s">
        <v>603</v>
      </c>
      <c r="D12" s="138">
        <v>2010000</v>
      </c>
      <c r="E12" s="20" t="s">
        <v>604</v>
      </c>
      <c r="F12" s="20" t="s">
        <v>605</v>
      </c>
      <c r="G12" s="8" t="str">
        <f t="shared" si="0"/>
        <v>MAELZER KURT</v>
      </c>
      <c r="H12" s="20" t="str">
        <f t="shared" si="1"/>
        <v>4051</v>
      </c>
    </row>
    <row r="13" spans="1:8" x14ac:dyDescent="0.25">
      <c r="A13" s="8">
        <v>43020.153240740743</v>
      </c>
      <c r="B13" s="20" t="s">
        <v>437</v>
      </c>
      <c r="C13" s="20" t="s">
        <v>606</v>
      </c>
      <c r="D13" s="138">
        <v>2010000</v>
      </c>
      <c r="E13" s="20" t="s">
        <v>604</v>
      </c>
      <c r="F13" s="20" t="s">
        <v>605</v>
      </c>
      <c r="G13" s="8" t="str">
        <f t="shared" si="0"/>
        <v>MAELZER KURT</v>
      </c>
      <c r="H13" s="20" t="str">
        <f t="shared" si="1"/>
        <v>4052</v>
      </c>
    </row>
    <row r="14" spans="1:8" x14ac:dyDescent="0.25">
      <c r="A14" s="8">
        <v>43020.160555555558</v>
      </c>
      <c r="B14" s="20" t="s">
        <v>576</v>
      </c>
      <c r="C14" s="20" t="s">
        <v>607</v>
      </c>
      <c r="D14" s="138">
        <v>3260000</v>
      </c>
      <c r="E14" s="20" t="s">
        <v>608</v>
      </c>
      <c r="F14" s="20" t="s">
        <v>609</v>
      </c>
      <c r="G14" s="8" t="str">
        <f t="shared" si="0"/>
        <v>PAGE MARCUS</v>
      </c>
      <c r="H14" s="20" t="str">
        <f t="shared" si="1"/>
        <v>4025</v>
      </c>
    </row>
    <row r="15" spans="1:8" x14ac:dyDescent="0.25">
      <c r="A15" s="8">
        <v>43020.168715277781</v>
      </c>
      <c r="B15" s="20" t="s">
        <v>493</v>
      </c>
      <c r="C15" s="20" t="s">
        <v>610</v>
      </c>
      <c r="D15" s="138">
        <v>1260000</v>
      </c>
      <c r="E15" s="20" t="s">
        <v>498</v>
      </c>
      <c r="F15" s="20" t="s">
        <v>499</v>
      </c>
      <c r="G15" s="8" t="str">
        <f t="shared" si="0"/>
        <v>ACKERMAN JARED</v>
      </c>
      <c r="H15" s="20" t="str">
        <f t="shared" si="1"/>
        <v>4001</v>
      </c>
    </row>
    <row r="16" spans="1:8" x14ac:dyDescent="0.25">
      <c r="A16" s="8">
        <v>43020.170729166668</v>
      </c>
      <c r="B16" s="20" t="s">
        <v>384</v>
      </c>
      <c r="C16" s="20" t="s">
        <v>611</v>
      </c>
      <c r="D16" s="138">
        <v>1100000</v>
      </c>
      <c r="E16" s="20" t="s">
        <v>458</v>
      </c>
      <c r="F16" s="20" t="s">
        <v>459</v>
      </c>
      <c r="G16" s="8" t="str">
        <f t="shared" si="0"/>
        <v>GEBRETEKLE DAGNEW</v>
      </c>
      <c r="H16" s="20" t="str">
        <f t="shared" si="1"/>
        <v>4063</v>
      </c>
    </row>
    <row r="17" spans="1:8" x14ac:dyDescent="0.25">
      <c r="A17" s="8">
        <v>43020.172465277778</v>
      </c>
      <c r="B17" s="20" t="s">
        <v>612</v>
      </c>
      <c r="C17" s="20" t="s">
        <v>613</v>
      </c>
      <c r="D17" s="138">
        <v>3260000</v>
      </c>
      <c r="E17" s="20" t="s">
        <v>608</v>
      </c>
      <c r="F17" s="20" t="s">
        <v>609</v>
      </c>
      <c r="G17" s="8" t="str">
        <f t="shared" si="0"/>
        <v>PAGE MARCUS</v>
      </c>
      <c r="H17" s="20" t="str">
        <f t="shared" si="1"/>
        <v>4026</v>
      </c>
    </row>
    <row r="18" spans="1:8" x14ac:dyDescent="0.25">
      <c r="A18" s="8">
        <v>43020.177557870367</v>
      </c>
      <c r="B18" s="20" t="s">
        <v>414</v>
      </c>
      <c r="C18" s="20" t="s">
        <v>560</v>
      </c>
      <c r="D18" s="138">
        <v>3040000</v>
      </c>
      <c r="E18" s="20" t="s">
        <v>614</v>
      </c>
      <c r="F18" s="20" t="s">
        <v>615</v>
      </c>
      <c r="G18" s="8" t="str">
        <f t="shared" si="0"/>
        <v>WILLIAMS DONTE</v>
      </c>
      <c r="H18" s="20" t="str">
        <f t="shared" si="1"/>
        <v>4065</v>
      </c>
    </row>
    <row r="19" spans="1:8" x14ac:dyDescent="0.25">
      <c r="A19" s="8">
        <v>43020.183842592596</v>
      </c>
      <c r="B19" s="20" t="s">
        <v>385</v>
      </c>
      <c r="C19" s="20" t="s">
        <v>616</v>
      </c>
      <c r="D19" s="138">
        <v>1100000</v>
      </c>
      <c r="E19" s="20" t="s">
        <v>458</v>
      </c>
      <c r="F19" s="20" t="s">
        <v>459</v>
      </c>
      <c r="G19" s="8" t="str">
        <f t="shared" si="0"/>
        <v>GEBRETEKLE DAGNEW</v>
      </c>
      <c r="H19" s="20" t="str">
        <f t="shared" si="1"/>
        <v>4064</v>
      </c>
    </row>
    <row r="20" spans="1:8" x14ac:dyDescent="0.25">
      <c r="A20" s="8">
        <v>43020.186435185184</v>
      </c>
      <c r="B20" s="20" t="s">
        <v>438</v>
      </c>
      <c r="C20" s="20" t="s">
        <v>617</v>
      </c>
      <c r="D20" s="138">
        <v>2010000</v>
      </c>
      <c r="E20" s="20" t="s">
        <v>604</v>
      </c>
      <c r="F20" s="20" t="s">
        <v>605</v>
      </c>
      <c r="G20" s="8" t="str">
        <f t="shared" si="0"/>
        <v>MAELZER KURT</v>
      </c>
      <c r="H20" s="20" t="str">
        <f t="shared" si="1"/>
        <v>4051</v>
      </c>
    </row>
    <row r="21" spans="1:8" x14ac:dyDescent="0.25">
      <c r="A21" s="8">
        <v>43020.195486111108</v>
      </c>
      <c r="B21" s="20" t="s">
        <v>413</v>
      </c>
      <c r="C21" s="20" t="s">
        <v>618</v>
      </c>
      <c r="D21" s="138">
        <v>3040000</v>
      </c>
      <c r="E21" s="20" t="s">
        <v>614</v>
      </c>
      <c r="F21" s="20" t="s">
        <v>615</v>
      </c>
      <c r="G21" s="8" t="str">
        <f t="shared" si="0"/>
        <v>WILLIAMS DONTE</v>
      </c>
      <c r="H21" s="20" t="str">
        <f t="shared" si="1"/>
        <v>4066</v>
      </c>
    </row>
    <row r="22" spans="1:8" x14ac:dyDescent="0.25">
      <c r="A22" s="26">
        <v>43020.198518518519</v>
      </c>
      <c r="B22" s="20" t="s">
        <v>561</v>
      </c>
      <c r="C22" s="20" t="s">
        <v>562</v>
      </c>
      <c r="D22" s="138">
        <v>1990000</v>
      </c>
      <c r="E22" s="20" t="s">
        <v>341</v>
      </c>
      <c r="F22" s="20" t="s">
        <v>501</v>
      </c>
      <c r="G22" s="8" t="str">
        <f t="shared" si="0"/>
        <v>DAVIS WENDY</v>
      </c>
      <c r="H22" s="20" t="str">
        <f t="shared" si="1"/>
        <v>4030</v>
      </c>
    </row>
    <row r="23" spans="1:8" x14ac:dyDescent="0.25">
      <c r="A23" s="8">
        <v>43020.201006944444</v>
      </c>
      <c r="B23" s="20" t="s">
        <v>619</v>
      </c>
      <c r="C23" s="20" t="s">
        <v>620</v>
      </c>
      <c r="D23" s="138">
        <v>3290000</v>
      </c>
      <c r="E23" s="20" t="s">
        <v>621</v>
      </c>
      <c r="F23" s="20" t="s">
        <v>622</v>
      </c>
      <c r="G23" s="8" t="str">
        <f t="shared" si="0"/>
        <v>CASSIDY BRANDON</v>
      </c>
      <c r="H23" s="20" t="str">
        <f t="shared" si="1"/>
        <v>4053</v>
      </c>
    </row>
    <row r="24" spans="1:8" x14ac:dyDescent="0.25">
      <c r="A24" s="8">
        <v>43020.203842592593</v>
      </c>
      <c r="B24" s="20" t="s">
        <v>502</v>
      </c>
      <c r="C24" s="20" t="s">
        <v>623</v>
      </c>
      <c r="D24" s="138">
        <v>1830000</v>
      </c>
      <c r="E24" s="20" t="s">
        <v>377</v>
      </c>
      <c r="F24" s="20" t="s">
        <v>378</v>
      </c>
      <c r="G24" s="8" t="str">
        <f t="shared" si="0"/>
        <v>YORK EDGAR</v>
      </c>
      <c r="H24" s="20" t="str">
        <f t="shared" si="1"/>
        <v>4002</v>
      </c>
    </row>
    <row r="25" spans="1:8" x14ac:dyDescent="0.25">
      <c r="A25" s="8">
        <v>43020.210046296299</v>
      </c>
      <c r="B25" s="20" t="s">
        <v>576</v>
      </c>
      <c r="C25" s="20" t="s">
        <v>624</v>
      </c>
      <c r="D25" s="138">
        <v>3260000</v>
      </c>
      <c r="E25" s="20" t="s">
        <v>608</v>
      </c>
      <c r="F25" s="20" t="s">
        <v>609</v>
      </c>
      <c r="G25" s="8" t="str">
        <f t="shared" si="0"/>
        <v>PAGE MARCUS</v>
      </c>
      <c r="H25" s="20" t="str">
        <f t="shared" si="1"/>
        <v>4025</v>
      </c>
    </row>
    <row r="26" spans="1:8" x14ac:dyDescent="0.25">
      <c r="A26" s="8">
        <v>43020.214247685188</v>
      </c>
      <c r="B26" s="20" t="s">
        <v>384</v>
      </c>
      <c r="C26" s="20" t="s">
        <v>625</v>
      </c>
      <c r="D26" s="138">
        <v>1100000</v>
      </c>
      <c r="E26" s="20" t="s">
        <v>458</v>
      </c>
      <c r="F26" s="20" t="s">
        <v>459</v>
      </c>
      <c r="G26" s="8" t="str">
        <f t="shared" si="0"/>
        <v>GEBRETEKLE DAGNEW</v>
      </c>
      <c r="H26" s="20" t="str">
        <f t="shared" si="1"/>
        <v>4063</v>
      </c>
    </row>
    <row r="27" spans="1:8" x14ac:dyDescent="0.25">
      <c r="A27" s="8">
        <v>43020.214594907404</v>
      </c>
      <c r="B27" s="20" t="s">
        <v>571</v>
      </c>
      <c r="C27" s="20" t="s">
        <v>626</v>
      </c>
      <c r="D27" s="138">
        <v>1990000</v>
      </c>
      <c r="E27" s="20" t="s">
        <v>341</v>
      </c>
      <c r="F27" s="20" t="s">
        <v>501</v>
      </c>
      <c r="G27" s="8" t="str">
        <f t="shared" si="0"/>
        <v>DAVIS WENDY</v>
      </c>
      <c r="H27" s="20" t="str">
        <f t="shared" si="1"/>
        <v>4029</v>
      </c>
    </row>
    <row r="28" spans="1:8" x14ac:dyDescent="0.25">
      <c r="A28" s="8">
        <v>43020.216423611113</v>
      </c>
      <c r="B28" s="20" t="s">
        <v>627</v>
      </c>
      <c r="C28" s="20" t="s">
        <v>628</v>
      </c>
      <c r="D28" s="138">
        <v>3290000</v>
      </c>
      <c r="E28" s="20" t="s">
        <v>621</v>
      </c>
      <c r="F28" s="20" t="s">
        <v>622</v>
      </c>
      <c r="G28" s="8" t="str">
        <f t="shared" si="0"/>
        <v>CASSIDY BRANDON</v>
      </c>
      <c r="H28" s="20" t="str">
        <f t="shared" si="1"/>
        <v>4054</v>
      </c>
    </row>
    <row r="29" spans="1:8" x14ac:dyDescent="0.25">
      <c r="A29" s="8">
        <v>43020.221076388887</v>
      </c>
      <c r="B29" s="20" t="s">
        <v>585</v>
      </c>
      <c r="C29" s="20" t="s">
        <v>629</v>
      </c>
      <c r="D29" s="138">
        <v>2730000</v>
      </c>
      <c r="E29" s="20" t="s">
        <v>440</v>
      </c>
      <c r="F29" s="20" t="s">
        <v>441</v>
      </c>
      <c r="G29" s="8" t="str">
        <f t="shared" si="0"/>
        <v>YANG JAN</v>
      </c>
      <c r="H29" s="20" t="str">
        <f t="shared" si="1"/>
        <v>4003</v>
      </c>
    </row>
    <row r="30" spans="1:8" x14ac:dyDescent="0.25">
      <c r="A30" s="8">
        <v>43020.224976851852</v>
      </c>
      <c r="B30" s="20" t="s">
        <v>437</v>
      </c>
      <c r="C30" s="20" t="s">
        <v>630</v>
      </c>
      <c r="D30" s="138">
        <v>2010000</v>
      </c>
      <c r="E30" s="20" t="s">
        <v>604</v>
      </c>
      <c r="F30" s="20" t="s">
        <v>605</v>
      </c>
      <c r="G30" s="8" t="str">
        <f t="shared" si="0"/>
        <v>MAELZER KURT</v>
      </c>
      <c r="H30" s="20" t="str">
        <f t="shared" si="1"/>
        <v>4052</v>
      </c>
    </row>
    <row r="31" spans="1:8" x14ac:dyDescent="0.25">
      <c r="A31" s="8">
        <v>43020.230891203704</v>
      </c>
      <c r="B31" s="20" t="s">
        <v>561</v>
      </c>
      <c r="C31" s="20" t="s">
        <v>563</v>
      </c>
      <c r="D31" s="138">
        <v>1990000</v>
      </c>
      <c r="E31" s="20" t="s">
        <v>341</v>
      </c>
      <c r="F31" s="20" t="s">
        <v>501</v>
      </c>
      <c r="G31" s="8" t="str">
        <f t="shared" si="0"/>
        <v>DAVIS WENDY</v>
      </c>
      <c r="H31" s="20" t="str">
        <f t="shared" si="1"/>
        <v>4030</v>
      </c>
    </row>
    <row r="32" spans="1:8" x14ac:dyDescent="0.25">
      <c r="A32" s="8">
        <v>43020.233946759261</v>
      </c>
      <c r="B32" s="20" t="s">
        <v>414</v>
      </c>
      <c r="C32" s="20" t="s">
        <v>564</v>
      </c>
      <c r="D32" s="138">
        <v>3040000</v>
      </c>
      <c r="E32" s="20" t="s">
        <v>614</v>
      </c>
      <c r="F32" s="20" t="s">
        <v>615</v>
      </c>
      <c r="G32" s="8" t="str">
        <f t="shared" si="0"/>
        <v>WILLIAMS DONTE</v>
      </c>
      <c r="H32" s="20" t="str">
        <f t="shared" si="1"/>
        <v>4065</v>
      </c>
    </row>
    <row r="33" spans="1:8" x14ac:dyDescent="0.25">
      <c r="A33" s="8">
        <v>43020.234814814816</v>
      </c>
      <c r="B33" s="20" t="s">
        <v>631</v>
      </c>
      <c r="C33" s="20" t="s">
        <v>632</v>
      </c>
      <c r="D33" s="138">
        <v>2730000</v>
      </c>
      <c r="E33" s="20" t="s">
        <v>440</v>
      </c>
      <c r="F33" s="20" t="s">
        <v>441</v>
      </c>
      <c r="G33" s="8" t="str">
        <f t="shared" si="0"/>
        <v>YANG JAN</v>
      </c>
      <c r="H33" s="20" t="str">
        <f t="shared" si="1"/>
        <v>4004</v>
      </c>
    </row>
    <row r="34" spans="1:8" x14ac:dyDescent="0.25">
      <c r="A34" s="8">
        <v>43020.239282407405</v>
      </c>
      <c r="B34" s="20" t="s">
        <v>565</v>
      </c>
      <c r="C34" s="20" t="s">
        <v>633</v>
      </c>
      <c r="D34" s="138">
        <v>3000000</v>
      </c>
      <c r="E34" s="20" t="s">
        <v>456</v>
      </c>
      <c r="F34" s="20" t="s">
        <v>457</v>
      </c>
      <c r="G34" s="8" t="str">
        <f t="shared" si="0"/>
        <v>FORTUNATO FRANK</v>
      </c>
      <c r="H34" s="20" t="str">
        <f t="shared" si="1"/>
        <v>4041</v>
      </c>
    </row>
    <row r="35" spans="1:8" x14ac:dyDescent="0.25">
      <c r="A35" s="8">
        <v>43020.245833333334</v>
      </c>
      <c r="B35" s="20" t="s">
        <v>493</v>
      </c>
      <c r="C35" s="20" t="s">
        <v>634</v>
      </c>
      <c r="D35" s="138">
        <v>1830000</v>
      </c>
      <c r="E35" s="20" t="s">
        <v>377</v>
      </c>
      <c r="F35" s="20" t="s">
        <v>378</v>
      </c>
      <c r="G35" s="8" t="str">
        <f t="shared" si="0"/>
        <v>YORK EDGAR</v>
      </c>
      <c r="H35" s="20" t="str">
        <f t="shared" si="1"/>
        <v>4001</v>
      </c>
    </row>
    <row r="36" spans="1:8" x14ac:dyDescent="0.25">
      <c r="A36" s="8">
        <v>43020.247129629628</v>
      </c>
      <c r="B36" s="20" t="s">
        <v>612</v>
      </c>
      <c r="C36" s="20" t="s">
        <v>635</v>
      </c>
      <c r="D36" s="138">
        <v>3260000</v>
      </c>
      <c r="E36" s="20" t="s">
        <v>608</v>
      </c>
      <c r="F36" s="20" t="s">
        <v>609</v>
      </c>
      <c r="G36" s="8" t="str">
        <f t="shared" si="0"/>
        <v>PAGE MARCUS</v>
      </c>
      <c r="H36" s="20" t="str">
        <f t="shared" si="1"/>
        <v>4026</v>
      </c>
    </row>
    <row r="37" spans="1:8" x14ac:dyDescent="0.25">
      <c r="A37" s="8">
        <v>43020.248622685183</v>
      </c>
      <c r="B37" s="20" t="s">
        <v>571</v>
      </c>
      <c r="C37" s="20" t="s">
        <v>636</v>
      </c>
      <c r="D37" s="138">
        <v>1990000</v>
      </c>
      <c r="E37" s="20" t="s">
        <v>341</v>
      </c>
      <c r="F37" s="20" t="s">
        <v>501</v>
      </c>
      <c r="G37" s="8" t="str">
        <f t="shared" si="0"/>
        <v>DAVIS WENDY</v>
      </c>
      <c r="H37" s="20" t="str">
        <f t="shared" si="1"/>
        <v>4029</v>
      </c>
    </row>
    <row r="38" spans="1:8" x14ac:dyDescent="0.25">
      <c r="A38" s="8">
        <v>43020.249861111108</v>
      </c>
      <c r="B38" s="20" t="s">
        <v>569</v>
      </c>
      <c r="C38" s="20" t="s">
        <v>637</v>
      </c>
      <c r="D38" s="138">
        <v>3000000</v>
      </c>
      <c r="E38" s="20" t="s">
        <v>456</v>
      </c>
      <c r="F38" s="20" t="s">
        <v>457</v>
      </c>
      <c r="G38" s="8" t="str">
        <f t="shared" si="0"/>
        <v>FORTUNATO FRANK</v>
      </c>
      <c r="H38" s="20" t="str">
        <f t="shared" si="1"/>
        <v>4042</v>
      </c>
    </row>
    <row r="39" spans="1:8" x14ac:dyDescent="0.25">
      <c r="A39" s="8">
        <v>43020.251122685186</v>
      </c>
      <c r="B39" s="20" t="s">
        <v>619</v>
      </c>
      <c r="C39" s="20" t="s">
        <v>638</v>
      </c>
      <c r="D39" s="138">
        <v>3290000</v>
      </c>
      <c r="E39" s="20" t="s">
        <v>621</v>
      </c>
      <c r="F39" s="20" t="s">
        <v>622</v>
      </c>
      <c r="G39" s="8" t="str">
        <f t="shared" si="0"/>
        <v>CASSIDY BRANDON</v>
      </c>
      <c r="H39" s="20" t="str">
        <f t="shared" si="1"/>
        <v>4053</v>
      </c>
    </row>
    <row r="40" spans="1:8" x14ac:dyDescent="0.25">
      <c r="A40" s="8">
        <v>43020.255462962959</v>
      </c>
      <c r="B40" s="25" t="s">
        <v>385</v>
      </c>
      <c r="C40" s="20" t="s">
        <v>639</v>
      </c>
      <c r="D40" s="138">
        <v>1100000</v>
      </c>
      <c r="E40" s="20" t="s">
        <v>458</v>
      </c>
      <c r="F40" s="20" t="s">
        <v>459</v>
      </c>
      <c r="G40" s="8" t="str">
        <f t="shared" si="0"/>
        <v>GEBRETEKLE DAGNEW</v>
      </c>
      <c r="H40" s="20" t="str">
        <f t="shared" si="1"/>
        <v>4064</v>
      </c>
    </row>
    <row r="41" spans="1:8" x14ac:dyDescent="0.25">
      <c r="A41" s="8">
        <v>43020.264143518521</v>
      </c>
      <c r="B41" s="20" t="s">
        <v>438</v>
      </c>
      <c r="C41" s="20" t="s">
        <v>640</v>
      </c>
      <c r="D41" s="138">
        <v>2010000</v>
      </c>
      <c r="E41" s="20" t="s">
        <v>604</v>
      </c>
      <c r="F41" s="20" t="s">
        <v>605</v>
      </c>
      <c r="G41" s="8" t="str">
        <f t="shared" si="0"/>
        <v>MAELZER KURT</v>
      </c>
      <c r="H41" s="20" t="str">
        <f t="shared" si="1"/>
        <v>4051</v>
      </c>
    </row>
    <row r="42" spans="1:8" x14ac:dyDescent="0.25">
      <c r="A42" s="8">
        <v>43020.269502314812</v>
      </c>
      <c r="B42" s="20" t="s">
        <v>413</v>
      </c>
      <c r="C42" s="20" t="s">
        <v>641</v>
      </c>
      <c r="D42" s="138">
        <v>3040000</v>
      </c>
      <c r="E42" s="20" t="s">
        <v>614</v>
      </c>
      <c r="F42" s="20" t="s">
        <v>615</v>
      </c>
      <c r="G42" s="8" t="str">
        <f t="shared" si="0"/>
        <v>WILLIAMS DONTE</v>
      </c>
      <c r="H42" s="20" t="str">
        <f t="shared" si="1"/>
        <v>4066</v>
      </c>
    </row>
    <row r="43" spans="1:8" x14ac:dyDescent="0.25">
      <c r="A43" s="8">
        <v>43020.269675925927</v>
      </c>
      <c r="B43" s="20" t="s">
        <v>565</v>
      </c>
      <c r="C43" s="20" t="s">
        <v>566</v>
      </c>
      <c r="D43" s="138">
        <v>3000000</v>
      </c>
      <c r="E43" s="20" t="s">
        <v>456</v>
      </c>
      <c r="F43" s="20" t="s">
        <v>457</v>
      </c>
      <c r="G43" s="8" t="str">
        <f t="shared" si="0"/>
        <v>FORTUNATO FRANK</v>
      </c>
      <c r="H43" s="20" t="str">
        <f t="shared" si="1"/>
        <v>4041</v>
      </c>
    </row>
    <row r="44" spans="1:8" x14ac:dyDescent="0.25">
      <c r="A44" s="8">
        <v>43020.271064814813</v>
      </c>
      <c r="B44" s="20" t="s">
        <v>561</v>
      </c>
      <c r="C44" s="20" t="s">
        <v>567</v>
      </c>
      <c r="D44" s="138">
        <v>1990000</v>
      </c>
      <c r="E44" s="20" t="s">
        <v>341</v>
      </c>
      <c r="F44" s="20" t="s">
        <v>501</v>
      </c>
      <c r="G44" s="8" t="str">
        <f t="shared" si="0"/>
        <v>DAVIS WENDY</v>
      </c>
      <c r="H44" s="20" t="str">
        <f t="shared" si="1"/>
        <v>4030</v>
      </c>
    </row>
    <row r="45" spans="1:8" x14ac:dyDescent="0.25">
      <c r="A45" s="8">
        <v>43020.274976851855</v>
      </c>
      <c r="B45" s="20" t="s">
        <v>585</v>
      </c>
      <c r="C45" s="20" t="s">
        <v>642</v>
      </c>
      <c r="D45" s="138">
        <v>2730000</v>
      </c>
      <c r="E45" s="20" t="s">
        <v>440</v>
      </c>
      <c r="F45" s="20" t="s">
        <v>441</v>
      </c>
      <c r="G45" s="8" t="str">
        <f t="shared" si="0"/>
        <v>YANG JAN</v>
      </c>
      <c r="H45" s="20" t="str">
        <f t="shared" si="1"/>
        <v>4003</v>
      </c>
    </row>
    <row r="46" spans="1:8" x14ac:dyDescent="0.25">
      <c r="A46" s="8">
        <v>43020.275034722225</v>
      </c>
      <c r="B46" s="20" t="s">
        <v>502</v>
      </c>
      <c r="C46" s="20" t="s">
        <v>643</v>
      </c>
      <c r="D46" s="138">
        <v>1830000</v>
      </c>
      <c r="E46" s="20" t="s">
        <v>377</v>
      </c>
      <c r="F46" s="20" t="s">
        <v>378</v>
      </c>
      <c r="G46" s="8" t="str">
        <f t="shared" si="0"/>
        <v>YORK EDGAR</v>
      </c>
      <c r="H46" s="20" t="str">
        <f t="shared" si="1"/>
        <v>4002</v>
      </c>
    </row>
    <row r="47" spans="1:8" x14ac:dyDescent="0.25">
      <c r="A47" s="8">
        <v>43020.286030092589</v>
      </c>
      <c r="B47" s="20" t="s">
        <v>576</v>
      </c>
      <c r="C47" s="20" t="s">
        <v>644</v>
      </c>
      <c r="D47" s="138">
        <v>3260000</v>
      </c>
      <c r="E47" s="20" t="s">
        <v>608</v>
      </c>
      <c r="F47" s="20" t="s">
        <v>609</v>
      </c>
      <c r="G47" s="8" t="str">
        <f t="shared" si="0"/>
        <v>PAGE MARCUS</v>
      </c>
      <c r="H47" s="20" t="str">
        <f t="shared" si="1"/>
        <v>4025</v>
      </c>
    </row>
    <row r="48" spans="1:8" x14ac:dyDescent="0.25">
      <c r="A48" s="8">
        <v>43020.286712962959</v>
      </c>
      <c r="B48" s="20" t="s">
        <v>384</v>
      </c>
      <c r="C48" s="20" t="s">
        <v>645</v>
      </c>
      <c r="D48" s="138">
        <v>1100000</v>
      </c>
      <c r="E48" s="20" t="s">
        <v>458</v>
      </c>
      <c r="F48" s="20" t="s">
        <v>459</v>
      </c>
      <c r="G48" s="8" t="str">
        <f t="shared" si="0"/>
        <v>GEBRETEKLE DAGNEW</v>
      </c>
      <c r="H48" s="20" t="str">
        <f t="shared" si="1"/>
        <v>4063</v>
      </c>
    </row>
    <row r="49" spans="1:8" x14ac:dyDescent="0.25">
      <c r="A49" s="8">
        <v>43020.288495370369</v>
      </c>
      <c r="B49" s="20" t="s">
        <v>627</v>
      </c>
      <c r="C49" s="20" t="s">
        <v>646</v>
      </c>
      <c r="D49" s="138">
        <v>3290000</v>
      </c>
      <c r="E49" s="20" t="s">
        <v>621</v>
      </c>
      <c r="F49" s="20" t="s">
        <v>622</v>
      </c>
      <c r="G49" s="8" t="str">
        <f t="shared" si="0"/>
        <v>CASSIDY BRANDON</v>
      </c>
      <c r="H49" s="20" t="str">
        <f t="shared" si="1"/>
        <v>4054</v>
      </c>
    </row>
    <row r="50" spans="1:8" x14ac:dyDescent="0.25">
      <c r="A50" s="8">
        <v>43020.291006944448</v>
      </c>
      <c r="B50" s="20" t="s">
        <v>571</v>
      </c>
      <c r="C50" s="20" t="s">
        <v>647</v>
      </c>
      <c r="D50" s="138">
        <v>1990000</v>
      </c>
      <c r="E50" s="20" t="s">
        <v>341</v>
      </c>
      <c r="F50" s="20" t="s">
        <v>501</v>
      </c>
      <c r="G50" s="8" t="str">
        <f t="shared" si="0"/>
        <v>DAVIS WENDY</v>
      </c>
      <c r="H50" s="20" t="str">
        <f t="shared" si="1"/>
        <v>4029</v>
      </c>
    </row>
    <row r="51" spans="1:8" x14ac:dyDescent="0.25">
      <c r="A51" s="8">
        <v>43020.29111111111</v>
      </c>
      <c r="B51" s="20" t="s">
        <v>569</v>
      </c>
      <c r="C51" s="20" t="s">
        <v>648</v>
      </c>
      <c r="D51" s="138">
        <v>3000000</v>
      </c>
      <c r="E51" s="20" t="s">
        <v>456</v>
      </c>
      <c r="F51" s="20" t="s">
        <v>457</v>
      </c>
      <c r="G51" s="8" t="str">
        <f t="shared" si="0"/>
        <v>FORTUNATO FRANK</v>
      </c>
      <c r="H51" s="20" t="str">
        <f t="shared" si="1"/>
        <v>4042</v>
      </c>
    </row>
    <row r="52" spans="1:8" x14ac:dyDescent="0.25">
      <c r="A52" s="8">
        <v>43020.292974537035</v>
      </c>
      <c r="B52" s="20" t="s">
        <v>571</v>
      </c>
      <c r="C52" s="20" t="s">
        <v>647</v>
      </c>
      <c r="D52" s="138">
        <v>1990000</v>
      </c>
      <c r="E52" s="20" t="s">
        <v>341</v>
      </c>
      <c r="F52" s="20" t="s">
        <v>501</v>
      </c>
      <c r="G52" s="8" t="str">
        <f t="shared" si="0"/>
        <v>DAVIS WENDY</v>
      </c>
      <c r="H52" s="20" t="str">
        <f t="shared" si="1"/>
        <v>4029</v>
      </c>
    </row>
    <row r="53" spans="1:8" x14ac:dyDescent="0.25">
      <c r="A53" s="8">
        <v>43020.29991898148</v>
      </c>
      <c r="B53" s="20" t="s">
        <v>437</v>
      </c>
      <c r="C53" s="20" t="s">
        <v>649</v>
      </c>
      <c r="D53" s="138">
        <v>2010000</v>
      </c>
      <c r="E53" s="20" t="s">
        <v>604</v>
      </c>
      <c r="F53" s="20" t="s">
        <v>605</v>
      </c>
      <c r="G53" s="8" t="str">
        <f t="shared" si="0"/>
        <v>MAELZER KURT</v>
      </c>
      <c r="H53" s="20" t="str">
        <f t="shared" si="1"/>
        <v>4052</v>
      </c>
    </row>
    <row r="54" spans="1:8" x14ac:dyDescent="0.25">
      <c r="A54" s="8">
        <v>43020.306388888886</v>
      </c>
      <c r="B54" s="20" t="s">
        <v>414</v>
      </c>
      <c r="C54" s="20" t="s">
        <v>650</v>
      </c>
      <c r="D54" s="138">
        <v>3040000</v>
      </c>
      <c r="E54" s="20" t="s">
        <v>614</v>
      </c>
      <c r="F54" s="20" t="s">
        <v>615</v>
      </c>
      <c r="G54" s="8" t="str">
        <f t="shared" si="0"/>
        <v>WILLIAMS DONTE</v>
      </c>
      <c r="H54" s="20" t="str">
        <f t="shared" si="1"/>
        <v>4065</v>
      </c>
    </row>
    <row r="55" spans="1:8" x14ac:dyDescent="0.25">
      <c r="A55" s="8">
        <v>43020.307187500002</v>
      </c>
      <c r="B55" s="20" t="s">
        <v>493</v>
      </c>
      <c r="C55" s="20" t="s">
        <v>651</v>
      </c>
      <c r="D55" s="138">
        <v>1830000</v>
      </c>
      <c r="E55" s="20" t="s">
        <v>377</v>
      </c>
      <c r="F55" s="20" t="s">
        <v>378</v>
      </c>
      <c r="G55" s="8" t="str">
        <f t="shared" si="0"/>
        <v>YORK EDGAR</v>
      </c>
      <c r="H55" s="20" t="str">
        <f t="shared" si="1"/>
        <v>4001</v>
      </c>
    </row>
    <row r="56" spans="1:8" x14ac:dyDescent="0.25">
      <c r="A56" s="8">
        <v>43020.309849537036</v>
      </c>
      <c r="B56" s="20" t="s">
        <v>631</v>
      </c>
      <c r="C56" s="20" t="s">
        <v>652</v>
      </c>
      <c r="D56" s="138">
        <v>2730000</v>
      </c>
      <c r="E56" s="20" t="s">
        <v>440</v>
      </c>
      <c r="F56" s="20" t="s">
        <v>441</v>
      </c>
      <c r="G56" s="8" t="str">
        <f t="shared" si="0"/>
        <v>YANG JAN</v>
      </c>
      <c r="H56" s="20" t="str">
        <f t="shared" si="1"/>
        <v>4004</v>
      </c>
    </row>
    <row r="57" spans="1:8" x14ac:dyDescent="0.25">
      <c r="A57" s="8">
        <v>43020.311238425929</v>
      </c>
      <c r="B57" s="20" t="s">
        <v>561</v>
      </c>
      <c r="C57" s="20" t="s">
        <v>568</v>
      </c>
      <c r="D57" s="138">
        <v>1990000</v>
      </c>
      <c r="E57" s="20" t="s">
        <v>341</v>
      </c>
      <c r="F57" s="20" t="s">
        <v>501</v>
      </c>
      <c r="G57" s="8" t="str">
        <f t="shared" si="0"/>
        <v>DAVIS WENDY</v>
      </c>
      <c r="H57" s="20" t="str">
        <f t="shared" si="1"/>
        <v>4030</v>
      </c>
    </row>
    <row r="58" spans="1:8" x14ac:dyDescent="0.25">
      <c r="A58" s="8">
        <v>43020.312627314815</v>
      </c>
      <c r="B58" s="20" t="s">
        <v>565</v>
      </c>
      <c r="C58" s="20" t="s">
        <v>653</v>
      </c>
      <c r="D58" s="138">
        <v>3000000</v>
      </c>
      <c r="E58" s="20" t="s">
        <v>456</v>
      </c>
      <c r="F58" s="20" t="s">
        <v>457</v>
      </c>
      <c r="G58" s="8" t="str">
        <f t="shared" si="0"/>
        <v>FORTUNATO FRANK</v>
      </c>
      <c r="H58" s="20" t="str">
        <f t="shared" si="1"/>
        <v>4041</v>
      </c>
    </row>
    <row r="59" spans="1:8" x14ac:dyDescent="0.25">
      <c r="A59" s="8">
        <v>43020.318819444445</v>
      </c>
      <c r="B59" s="20" t="s">
        <v>612</v>
      </c>
      <c r="C59" s="20" t="s">
        <v>654</v>
      </c>
      <c r="D59" s="138">
        <v>3260000</v>
      </c>
      <c r="E59" s="20" t="s">
        <v>608</v>
      </c>
      <c r="F59" s="20" t="s">
        <v>609</v>
      </c>
      <c r="G59" s="8" t="str">
        <f t="shared" si="0"/>
        <v>PAGE MARCUS</v>
      </c>
      <c r="H59" s="20" t="str">
        <f t="shared" si="1"/>
        <v>4026</v>
      </c>
    </row>
    <row r="60" spans="1:8" x14ac:dyDescent="0.25">
      <c r="A60" s="8">
        <v>43020.327384259261</v>
      </c>
      <c r="B60" s="20" t="s">
        <v>619</v>
      </c>
      <c r="C60" s="20" t="s">
        <v>655</v>
      </c>
      <c r="D60" s="138">
        <v>3330000</v>
      </c>
      <c r="E60" s="20" t="s">
        <v>656</v>
      </c>
      <c r="F60" s="20" t="s">
        <v>657</v>
      </c>
      <c r="G60" s="8" t="str">
        <f t="shared" si="0"/>
        <v>GONZALEZ ARMANDO</v>
      </c>
      <c r="H60" s="20" t="str">
        <f t="shared" si="1"/>
        <v>4053</v>
      </c>
    </row>
    <row r="61" spans="1:8" x14ac:dyDescent="0.25">
      <c r="A61" s="8">
        <v>43020.329155092593</v>
      </c>
      <c r="B61" s="20" t="s">
        <v>385</v>
      </c>
      <c r="C61" s="20" t="s">
        <v>658</v>
      </c>
      <c r="D61" s="138">
        <v>1100000</v>
      </c>
      <c r="E61" s="20" t="s">
        <v>458</v>
      </c>
      <c r="F61" s="20" t="s">
        <v>459</v>
      </c>
      <c r="G61" s="8" t="str">
        <f t="shared" si="0"/>
        <v>GEBRETEKLE DAGNEW</v>
      </c>
      <c r="H61" s="20" t="str">
        <f t="shared" si="1"/>
        <v>4064</v>
      </c>
    </row>
    <row r="62" spans="1:8" x14ac:dyDescent="0.25">
      <c r="A62" s="8">
        <v>43020.331354166665</v>
      </c>
      <c r="B62" s="20" t="s">
        <v>569</v>
      </c>
      <c r="C62" s="20" t="s">
        <v>570</v>
      </c>
      <c r="D62" s="138">
        <v>3000000</v>
      </c>
      <c r="E62" s="20" t="s">
        <v>456</v>
      </c>
      <c r="F62" s="20" t="s">
        <v>457</v>
      </c>
      <c r="G62" s="8" t="str">
        <f t="shared" si="0"/>
        <v>FORTUNATO FRANK</v>
      </c>
      <c r="H62" s="20" t="str">
        <f t="shared" si="1"/>
        <v>4042</v>
      </c>
    </row>
    <row r="63" spans="1:8" x14ac:dyDescent="0.25">
      <c r="A63" s="8">
        <v>43020.331736111111</v>
      </c>
      <c r="B63" s="20" t="s">
        <v>438</v>
      </c>
      <c r="C63" s="20" t="s">
        <v>659</v>
      </c>
      <c r="D63" s="138">
        <v>2010000</v>
      </c>
      <c r="E63" s="20" t="s">
        <v>604</v>
      </c>
      <c r="F63" s="20" t="s">
        <v>605</v>
      </c>
      <c r="G63" s="8" t="str">
        <f t="shared" si="0"/>
        <v>MAELZER KURT</v>
      </c>
      <c r="H63" s="20" t="str">
        <f t="shared" si="1"/>
        <v>4051</v>
      </c>
    </row>
    <row r="64" spans="1:8" x14ac:dyDescent="0.25">
      <c r="A64" s="26">
        <v>43020.332129629627</v>
      </c>
      <c r="B64" s="20" t="s">
        <v>571</v>
      </c>
      <c r="C64" s="20" t="s">
        <v>572</v>
      </c>
      <c r="D64" s="138">
        <v>1990000</v>
      </c>
      <c r="E64" s="20" t="s">
        <v>341</v>
      </c>
      <c r="F64" s="20" t="s">
        <v>501</v>
      </c>
      <c r="G64" s="8" t="str">
        <f t="shared" si="0"/>
        <v>DAVIS WENDY</v>
      </c>
      <c r="H64" s="20" t="str">
        <f t="shared" si="1"/>
        <v>4029</v>
      </c>
    </row>
    <row r="65" spans="1:8" x14ac:dyDescent="0.25">
      <c r="A65" s="8">
        <v>43020.338622685187</v>
      </c>
      <c r="B65" s="20" t="s">
        <v>569</v>
      </c>
      <c r="C65" s="20" t="s">
        <v>570</v>
      </c>
      <c r="D65" s="138">
        <v>3000000</v>
      </c>
      <c r="E65" s="20" t="s">
        <v>456</v>
      </c>
      <c r="F65" s="20" t="s">
        <v>457</v>
      </c>
      <c r="G65" s="8" t="str">
        <f t="shared" si="0"/>
        <v>FORTUNATO FRANK</v>
      </c>
      <c r="H65" s="20" t="str">
        <f t="shared" si="1"/>
        <v>4042</v>
      </c>
    </row>
    <row r="66" spans="1:8" x14ac:dyDescent="0.25">
      <c r="A66" s="8">
        <v>43020.339895833335</v>
      </c>
      <c r="B66" s="20" t="s">
        <v>413</v>
      </c>
      <c r="C66" s="20" t="s">
        <v>660</v>
      </c>
      <c r="D66" s="138">
        <v>3040000</v>
      </c>
      <c r="E66" s="20" t="s">
        <v>614</v>
      </c>
      <c r="F66" s="20" t="s">
        <v>615</v>
      </c>
      <c r="G66" s="8" t="str">
        <f t="shared" si="0"/>
        <v>WILLIAMS DONTE</v>
      </c>
      <c r="H66" s="20" t="str">
        <f t="shared" si="1"/>
        <v>4066</v>
      </c>
    </row>
    <row r="67" spans="1:8" x14ac:dyDescent="0.25">
      <c r="A67" s="8">
        <v>43020.346226851849</v>
      </c>
      <c r="B67" s="20" t="s">
        <v>585</v>
      </c>
      <c r="C67" s="20" t="s">
        <v>661</v>
      </c>
      <c r="D67" s="138">
        <v>2730000</v>
      </c>
      <c r="E67" s="20" t="s">
        <v>440</v>
      </c>
      <c r="F67" s="20" t="s">
        <v>441</v>
      </c>
      <c r="G67" s="8" t="str">
        <f t="shared" ref="G67:G130" si="2">E67&amp;" "&amp;F67</f>
        <v>YANG JAN</v>
      </c>
      <c r="H67" s="20" t="str">
        <f t="shared" ref="H67:H130" si="3">MID(B67,13,4)</f>
        <v>4003</v>
      </c>
    </row>
    <row r="68" spans="1:8" x14ac:dyDescent="0.25">
      <c r="A68" s="8">
        <v>43020.349490740744</v>
      </c>
      <c r="B68" s="20" t="s">
        <v>502</v>
      </c>
      <c r="C68" s="20" t="s">
        <v>662</v>
      </c>
      <c r="D68" s="138">
        <v>1830000</v>
      </c>
      <c r="E68" s="20" t="s">
        <v>377</v>
      </c>
      <c r="F68" s="20" t="s">
        <v>378</v>
      </c>
      <c r="G68" s="8" t="str">
        <f t="shared" si="2"/>
        <v>YORK EDGAR</v>
      </c>
      <c r="H68" s="20" t="str">
        <f t="shared" si="3"/>
        <v>4002</v>
      </c>
    </row>
    <row r="69" spans="1:8" x14ac:dyDescent="0.25">
      <c r="A69" s="8">
        <v>43020.352118055554</v>
      </c>
      <c r="B69" s="20" t="s">
        <v>565</v>
      </c>
      <c r="C69" s="20" t="s">
        <v>663</v>
      </c>
      <c r="D69" s="138">
        <v>3000000</v>
      </c>
      <c r="E69" s="20" t="s">
        <v>456</v>
      </c>
      <c r="F69" s="20" t="s">
        <v>457</v>
      </c>
      <c r="G69" s="8" t="str">
        <f t="shared" si="2"/>
        <v>FORTUNATO FRANK</v>
      </c>
      <c r="H69" s="20" t="str">
        <f t="shared" si="3"/>
        <v>4041</v>
      </c>
    </row>
    <row r="70" spans="1:8" x14ac:dyDescent="0.25">
      <c r="A70" s="8">
        <v>43020.353645833333</v>
      </c>
      <c r="B70" s="20" t="s">
        <v>561</v>
      </c>
      <c r="C70" s="20" t="s">
        <v>664</v>
      </c>
      <c r="D70" s="138">
        <v>1990000</v>
      </c>
      <c r="E70" s="20" t="s">
        <v>341</v>
      </c>
      <c r="F70" s="20" t="s">
        <v>501</v>
      </c>
      <c r="G70" s="8" t="str">
        <f t="shared" si="2"/>
        <v>DAVIS WENDY</v>
      </c>
      <c r="H70" s="20" t="str">
        <f t="shared" si="3"/>
        <v>4030</v>
      </c>
    </row>
    <row r="71" spans="1:8" x14ac:dyDescent="0.25">
      <c r="A71" s="8">
        <v>43020.35800925926</v>
      </c>
      <c r="B71" s="20" t="s">
        <v>576</v>
      </c>
      <c r="C71" s="20" t="s">
        <v>665</v>
      </c>
      <c r="D71" s="138">
        <v>3260000</v>
      </c>
      <c r="E71" s="20" t="s">
        <v>608</v>
      </c>
      <c r="F71" s="20" t="s">
        <v>609</v>
      </c>
      <c r="G71" s="8" t="str">
        <f t="shared" si="2"/>
        <v>PAGE MARCUS</v>
      </c>
      <c r="H71" s="20" t="str">
        <f t="shared" si="3"/>
        <v>4025</v>
      </c>
    </row>
    <row r="72" spans="1:8" x14ac:dyDescent="0.25">
      <c r="A72" s="8">
        <v>43020.3591087963</v>
      </c>
      <c r="B72" s="20" t="s">
        <v>627</v>
      </c>
      <c r="C72" s="20" t="s">
        <v>666</v>
      </c>
      <c r="D72" s="138">
        <v>3290000</v>
      </c>
      <c r="E72" s="20" t="s">
        <v>621</v>
      </c>
      <c r="F72" s="20" t="s">
        <v>622</v>
      </c>
      <c r="G72" s="8" t="str">
        <f t="shared" si="2"/>
        <v>CASSIDY BRANDON</v>
      </c>
      <c r="H72" s="20" t="str">
        <f t="shared" si="3"/>
        <v>4054</v>
      </c>
    </row>
    <row r="73" spans="1:8" x14ac:dyDescent="0.25">
      <c r="A73" s="8">
        <v>43020.359988425924</v>
      </c>
      <c r="B73" s="20" t="s">
        <v>384</v>
      </c>
      <c r="C73" s="20" t="s">
        <v>667</v>
      </c>
      <c r="D73" s="138">
        <v>1100000</v>
      </c>
      <c r="E73" s="20" t="s">
        <v>458</v>
      </c>
      <c r="F73" s="20" t="s">
        <v>459</v>
      </c>
      <c r="G73" s="8" t="str">
        <f t="shared" si="2"/>
        <v>GEBRETEKLE DAGNEW</v>
      </c>
      <c r="H73" s="20" t="str">
        <f t="shared" si="3"/>
        <v>4063</v>
      </c>
    </row>
    <row r="74" spans="1:8" x14ac:dyDescent="0.25">
      <c r="A74" s="8">
        <v>43020.370844907404</v>
      </c>
      <c r="B74" s="20" t="s">
        <v>437</v>
      </c>
      <c r="C74" s="20" t="s">
        <v>668</v>
      </c>
      <c r="D74" s="138">
        <v>2010000</v>
      </c>
      <c r="E74" s="20" t="s">
        <v>604</v>
      </c>
      <c r="F74" s="20" t="s">
        <v>605</v>
      </c>
      <c r="G74" s="8" t="str">
        <f t="shared" si="2"/>
        <v>MAELZER KURT</v>
      </c>
      <c r="H74" s="20" t="str">
        <f t="shared" si="3"/>
        <v>4052</v>
      </c>
    </row>
    <row r="75" spans="1:8" x14ac:dyDescent="0.25">
      <c r="A75" s="8">
        <v>43020.373726851853</v>
      </c>
      <c r="B75" s="20" t="s">
        <v>569</v>
      </c>
      <c r="C75" s="20" t="s">
        <v>669</v>
      </c>
      <c r="D75" s="138">
        <v>3000000</v>
      </c>
      <c r="E75" s="20" t="s">
        <v>456</v>
      </c>
      <c r="F75" s="20" t="s">
        <v>457</v>
      </c>
      <c r="G75" s="8" t="str">
        <f t="shared" si="2"/>
        <v>FORTUNATO FRANK</v>
      </c>
      <c r="H75" s="20" t="str">
        <f t="shared" si="3"/>
        <v>4042</v>
      </c>
    </row>
    <row r="76" spans="1:8" x14ac:dyDescent="0.25">
      <c r="A76" s="8">
        <v>43020.377916666665</v>
      </c>
      <c r="B76" s="20" t="s">
        <v>414</v>
      </c>
      <c r="C76" s="20" t="s">
        <v>670</v>
      </c>
      <c r="D76" s="138">
        <v>3040000</v>
      </c>
      <c r="E76" s="20" t="s">
        <v>614</v>
      </c>
      <c r="F76" s="20" t="s">
        <v>615</v>
      </c>
      <c r="G76" s="8" t="str">
        <f t="shared" si="2"/>
        <v>WILLIAMS DONTE</v>
      </c>
      <c r="H76" s="20" t="str">
        <f t="shared" si="3"/>
        <v>4065</v>
      </c>
    </row>
    <row r="77" spans="1:8" x14ac:dyDescent="0.25">
      <c r="A77" s="8">
        <v>43020.382199074076</v>
      </c>
      <c r="B77" s="20" t="s">
        <v>631</v>
      </c>
      <c r="C77" s="20" t="s">
        <v>671</v>
      </c>
      <c r="D77" s="138">
        <v>2730000</v>
      </c>
      <c r="E77" s="20" t="s">
        <v>440</v>
      </c>
      <c r="F77" s="20" t="s">
        <v>441</v>
      </c>
      <c r="G77" s="8" t="str">
        <f t="shared" si="2"/>
        <v>YANG JAN</v>
      </c>
      <c r="H77" s="20" t="str">
        <f t="shared" si="3"/>
        <v>4004</v>
      </c>
    </row>
    <row r="78" spans="1:8" x14ac:dyDescent="0.25">
      <c r="A78" s="8">
        <v>43020.391851851855</v>
      </c>
      <c r="B78" s="20" t="s">
        <v>612</v>
      </c>
      <c r="C78" s="20" t="s">
        <v>672</v>
      </c>
      <c r="D78" s="138">
        <v>3260000</v>
      </c>
      <c r="E78" s="20" t="s">
        <v>608</v>
      </c>
      <c r="F78" s="20" t="s">
        <v>609</v>
      </c>
      <c r="G78" s="8" t="str">
        <f t="shared" si="2"/>
        <v>PAGE MARCUS</v>
      </c>
      <c r="H78" s="20" t="str">
        <f t="shared" si="3"/>
        <v>4026</v>
      </c>
    </row>
    <row r="79" spans="1:8" x14ac:dyDescent="0.25">
      <c r="A79" s="8">
        <v>43020.392060185186</v>
      </c>
      <c r="B79" s="20" t="s">
        <v>493</v>
      </c>
      <c r="C79" s="20" t="s">
        <v>673</v>
      </c>
      <c r="D79" s="138">
        <v>1830000</v>
      </c>
      <c r="E79" s="20" t="s">
        <v>377</v>
      </c>
      <c r="F79" s="20" t="s">
        <v>378</v>
      </c>
      <c r="G79" s="8" t="str">
        <f t="shared" si="2"/>
        <v>YORK EDGAR</v>
      </c>
      <c r="H79" s="20" t="str">
        <f t="shared" si="3"/>
        <v>4001</v>
      </c>
    </row>
    <row r="80" spans="1:8" x14ac:dyDescent="0.25">
      <c r="A80" s="8">
        <v>43020.393067129633</v>
      </c>
      <c r="B80" s="20" t="s">
        <v>574</v>
      </c>
      <c r="C80" s="20" t="s">
        <v>674</v>
      </c>
      <c r="D80" s="138">
        <v>900000</v>
      </c>
      <c r="E80" s="20" t="s">
        <v>386</v>
      </c>
      <c r="F80" s="20" t="s">
        <v>387</v>
      </c>
      <c r="G80" s="8" t="str">
        <f t="shared" si="2"/>
        <v>ROCHA YAOTL</v>
      </c>
      <c r="H80" s="20" t="str">
        <f t="shared" si="3"/>
        <v>4057</v>
      </c>
    </row>
    <row r="81" spans="1:8" x14ac:dyDescent="0.25">
      <c r="A81" s="8">
        <v>43020.393125000002</v>
      </c>
      <c r="B81" s="20" t="s">
        <v>565</v>
      </c>
      <c r="C81" s="20" t="s">
        <v>675</v>
      </c>
      <c r="D81" s="138">
        <v>3000000</v>
      </c>
      <c r="E81" s="20" t="s">
        <v>456</v>
      </c>
      <c r="F81" s="20" t="s">
        <v>457</v>
      </c>
      <c r="G81" s="8" t="str">
        <f t="shared" si="2"/>
        <v>FORTUNATO FRANK</v>
      </c>
      <c r="H81" s="20" t="str">
        <f t="shared" si="3"/>
        <v>4041</v>
      </c>
    </row>
    <row r="82" spans="1:8" x14ac:dyDescent="0.25">
      <c r="A82" s="8">
        <v>43020.393738425926</v>
      </c>
      <c r="B82" s="20" t="s">
        <v>574</v>
      </c>
      <c r="C82" s="20" t="s">
        <v>674</v>
      </c>
      <c r="D82" s="138">
        <v>900000</v>
      </c>
      <c r="E82" s="20" t="s">
        <v>386</v>
      </c>
      <c r="F82" s="20" t="s">
        <v>387</v>
      </c>
      <c r="G82" s="8" t="str">
        <f t="shared" si="2"/>
        <v>ROCHA YAOTL</v>
      </c>
      <c r="H82" s="20" t="str">
        <f t="shared" si="3"/>
        <v>4057</v>
      </c>
    </row>
    <row r="83" spans="1:8" x14ac:dyDescent="0.25">
      <c r="A83" s="8">
        <v>43020.394803240742</v>
      </c>
      <c r="B83" s="20" t="s">
        <v>574</v>
      </c>
      <c r="C83" s="20" t="s">
        <v>674</v>
      </c>
      <c r="D83" s="138">
        <v>900000</v>
      </c>
      <c r="E83" s="20" t="s">
        <v>386</v>
      </c>
      <c r="F83" s="20" t="s">
        <v>387</v>
      </c>
      <c r="G83" s="8" t="str">
        <f t="shared" si="2"/>
        <v>ROCHA YAOTL</v>
      </c>
      <c r="H83" s="20" t="str">
        <f t="shared" si="3"/>
        <v>4057</v>
      </c>
    </row>
    <row r="84" spans="1:8" x14ac:dyDescent="0.25">
      <c r="A84" s="8">
        <v>43020.40079861111</v>
      </c>
      <c r="B84" s="20" t="s">
        <v>619</v>
      </c>
      <c r="C84" s="20" t="s">
        <v>676</v>
      </c>
      <c r="D84" s="138">
        <v>3290000</v>
      </c>
      <c r="E84" s="20" t="s">
        <v>621</v>
      </c>
      <c r="F84" s="20" t="s">
        <v>622</v>
      </c>
      <c r="G84" s="8" t="str">
        <f t="shared" si="2"/>
        <v>CASSIDY BRANDON</v>
      </c>
      <c r="H84" s="20" t="str">
        <f t="shared" si="3"/>
        <v>4053</v>
      </c>
    </row>
    <row r="85" spans="1:8" x14ac:dyDescent="0.25">
      <c r="A85" s="8">
        <v>43020.403449074074</v>
      </c>
      <c r="B85" s="20" t="s">
        <v>385</v>
      </c>
      <c r="C85" s="20" t="s">
        <v>677</v>
      </c>
      <c r="D85" s="138">
        <v>1100000</v>
      </c>
      <c r="E85" s="20" t="s">
        <v>458</v>
      </c>
      <c r="F85" s="20" t="s">
        <v>459</v>
      </c>
      <c r="G85" s="8" t="str">
        <f t="shared" si="2"/>
        <v>GEBRETEKLE DAGNEW</v>
      </c>
      <c r="H85" s="20" t="str">
        <f t="shared" si="3"/>
        <v>4064</v>
      </c>
    </row>
    <row r="86" spans="1:8" x14ac:dyDescent="0.25">
      <c r="A86" s="8">
        <v>43020.407025462962</v>
      </c>
      <c r="B86" s="20" t="s">
        <v>438</v>
      </c>
      <c r="C86" s="20" t="s">
        <v>678</v>
      </c>
      <c r="D86" s="138">
        <v>2010000</v>
      </c>
      <c r="E86" s="20" t="s">
        <v>604</v>
      </c>
      <c r="F86" s="20" t="s">
        <v>605</v>
      </c>
      <c r="G86" s="8" t="str">
        <f t="shared" si="2"/>
        <v>MAELZER KURT</v>
      </c>
      <c r="H86" s="20" t="str">
        <f t="shared" si="3"/>
        <v>4051</v>
      </c>
    </row>
    <row r="87" spans="1:8" x14ac:dyDescent="0.25">
      <c r="A87" s="8">
        <v>43020.412708333337</v>
      </c>
      <c r="B87" s="20" t="s">
        <v>413</v>
      </c>
      <c r="C87" s="20" t="s">
        <v>573</v>
      </c>
      <c r="D87" s="138">
        <v>3040000</v>
      </c>
      <c r="E87" s="20" t="s">
        <v>614</v>
      </c>
      <c r="F87" s="20" t="s">
        <v>615</v>
      </c>
      <c r="G87" s="8" t="str">
        <f t="shared" si="2"/>
        <v>WILLIAMS DONTE</v>
      </c>
      <c r="H87" s="20" t="str">
        <f t="shared" si="3"/>
        <v>4066</v>
      </c>
    </row>
    <row r="88" spans="1:8" x14ac:dyDescent="0.25">
      <c r="A88" s="8">
        <v>43020.414675925924</v>
      </c>
      <c r="B88" s="20" t="s">
        <v>569</v>
      </c>
      <c r="C88" s="20" t="s">
        <v>679</v>
      </c>
      <c r="D88" s="138">
        <v>3000000</v>
      </c>
      <c r="E88" s="20" t="s">
        <v>456</v>
      </c>
      <c r="F88" s="20" t="s">
        <v>457</v>
      </c>
      <c r="G88" s="8" t="str">
        <f t="shared" si="2"/>
        <v>FORTUNATO FRANK</v>
      </c>
      <c r="H88" s="20" t="str">
        <f t="shared" si="3"/>
        <v>4042</v>
      </c>
    </row>
    <row r="89" spans="1:8" x14ac:dyDescent="0.25">
      <c r="A89" s="8">
        <v>43020.416192129633</v>
      </c>
      <c r="B89" s="20" t="s">
        <v>680</v>
      </c>
      <c r="C89" s="20" t="s">
        <v>674</v>
      </c>
      <c r="D89" s="138">
        <v>900000</v>
      </c>
      <c r="E89" s="20" t="s">
        <v>386</v>
      </c>
      <c r="F89" s="20" t="s">
        <v>387</v>
      </c>
      <c r="G89" s="8" t="str">
        <f t="shared" si="2"/>
        <v>ROCHA YAOTL</v>
      </c>
      <c r="H89" s="20" t="str">
        <f t="shared" si="3"/>
        <v>4058</v>
      </c>
    </row>
    <row r="90" spans="1:8" x14ac:dyDescent="0.25">
      <c r="A90" s="8">
        <v>43020.419953703706</v>
      </c>
      <c r="B90" s="20" t="s">
        <v>585</v>
      </c>
      <c r="C90" s="20" t="s">
        <v>681</v>
      </c>
      <c r="D90" s="138">
        <v>2730000</v>
      </c>
      <c r="E90" s="20" t="s">
        <v>440</v>
      </c>
      <c r="F90" s="20" t="s">
        <v>441</v>
      </c>
      <c r="G90" s="8" t="str">
        <f t="shared" si="2"/>
        <v>YANG JAN</v>
      </c>
      <c r="H90" s="20" t="str">
        <f t="shared" si="3"/>
        <v>4003</v>
      </c>
    </row>
    <row r="91" spans="1:8" x14ac:dyDescent="0.25">
      <c r="A91" s="8">
        <v>43020.425196759257</v>
      </c>
      <c r="B91" s="20" t="s">
        <v>502</v>
      </c>
      <c r="C91" s="20" t="s">
        <v>682</v>
      </c>
      <c r="D91" s="138">
        <v>1990000</v>
      </c>
      <c r="E91" s="20" t="s">
        <v>341</v>
      </c>
      <c r="F91" s="20" t="s">
        <v>501</v>
      </c>
      <c r="G91" s="8" t="str">
        <f t="shared" si="2"/>
        <v>DAVIS WENDY</v>
      </c>
      <c r="H91" s="20" t="str">
        <f t="shared" si="3"/>
        <v>4002</v>
      </c>
    </row>
    <row r="92" spans="1:8" x14ac:dyDescent="0.25">
      <c r="A92" s="8">
        <v>43020.43105324074</v>
      </c>
      <c r="B92" s="20" t="s">
        <v>576</v>
      </c>
      <c r="C92" s="20" t="s">
        <v>577</v>
      </c>
      <c r="D92" s="138">
        <v>3260000</v>
      </c>
      <c r="E92" s="20" t="s">
        <v>608</v>
      </c>
      <c r="F92" s="20" t="s">
        <v>609</v>
      </c>
      <c r="G92" s="8" t="str">
        <f t="shared" si="2"/>
        <v>PAGE MARCUS</v>
      </c>
      <c r="H92" s="20" t="str">
        <f t="shared" si="3"/>
        <v>4025</v>
      </c>
    </row>
    <row r="93" spans="1:8" x14ac:dyDescent="0.25">
      <c r="A93" s="8">
        <v>43020.432164351849</v>
      </c>
      <c r="B93" s="20" t="s">
        <v>384</v>
      </c>
      <c r="C93" s="20" t="s">
        <v>683</v>
      </c>
      <c r="D93" s="138">
        <v>1100000</v>
      </c>
      <c r="E93" s="20" t="s">
        <v>458</v>
      </c>
      <c r="F93" s="20" t="s">
        <v>459</v>
      </c>
      <c r="G93" s="8" t="str">
        <f t="shared" si="2"/>
        <v>GEBRETEKLE DAGNEW</v>
      </c>
      <c r="H93" s="20" t="str">
        <f t="shared" si="3"/>
        <v>4063</v>
      </c>
    </row>
    <row r="94" spans="1:8" x14ac:dyDescent="0.25">
      <c r="A94" s="8">
        <v>43020.434293981481</v>
      </c>
      <c r="B94" s="20" t="s">
        <v>627</v>
      </c>
      <c r="C94" s="20" t="s">
        <v>684</v>
      </c>
      <c r="D94" s="138">
        <v>3290000</v>
      </c>
      <c r="E94" s="20" t="s">
        <v>621</v>
      </c>
      <c r="F94" s="20" t="s">
        <v>622</v>
      </c>
      <c r="G94" s="8" t="str">
        <f t="shared" si="2"/>
        <v>CASSIDY BRANDON</v>
      </c>
      <c r="H94" s="20" t="str">
        <f t="shared" si="3"/>
        <v>4054</v>
      </c>
    </row>
    <row r="95" spans="1:8" x14ac:dyDescent="0.25">
      <c r="A95" s="8">
        <v>43020.43478009259</v>
      </c>
      <c r="B95" s="20" t="s">
        <v>565</v>
      </c>
      <c r="C95" s="20" t="s">
        <v>685</v>
      </c>
      <c r="D95" s="138">
        <v>3000000</v>
      </c>
      <c r="E95" s="20" t="s">
        <v>456</v>
      </c>
      <c r="F95" s="20" t="s">
        <v>457</v>
      </c>
      <c r="G95" s="8" t="str">
        <f t="shared" si="2"/>
        <v>FORTUNATO FRANK</v>
      </c>
      <c r="H95" s="20" t="str">
        <f t="shared" si="3"/>
        <v>4041</v>
      </c>
    </row>
    <row r="96" spans="1:8" x14ac:dyDescent="0.25">
      <c r="A96" s="8">
        <v>43020.444675925923</v>
      </c>
      <c r="B96" s="20" t="s">
        <v>437</v>
      </c>
      <c r="C96" s="20" t="s">
        <v>686</v>
      </c>
      <c r="D96" s="138">
        <v>2550000</v>
      </c>
      <c r="E96" s="20" t="s">
        <v>687</v>
      </c>
      <c r="F96" s="20" t="s">
        <v>688</v>
      </c>
      <c r="G96" s="8" t="str">
        <f t="shared" si="2"/>
        <v>BADERTSCHER DIANE</v>
      </c>
      <c r="H96" s="20" t="str">
        <f t="shared" si="3"/>
        <v>4052</v>
      </c>
    </row>
    <row r="97" spans="1:8" x14ac:dyDescent="0.25">
      <c r="A97" s="8">
        <v>43020.446400462963</v>
      </c>
      <c r="B97" s="20" t="s">
        <v>574</v>
      </c>
      <c r="C97" s="20" t="s">
        <v>575</v>
      </c>
      <c r="D97" s="138">
        <v>2040000</v>
      </c>
      <c r="E97" s="20" t="s">
        <v>462</v>
      </c>
      <c r="F97" s="20" t="s">
        <v>463</v>
      </c>
      <c r="G97" s="8" t="str">
        <f t="shared" si="2"/>
        <v>MOSES BRADLEY</v>
      </c>
      <c r="H97" s="20" t="str">
        <f t="shared" si="3"/>
        <v>4057</v>
      </c>
    </row>
    <row r="98" spans="1:8" x14ac:dyDescent="0.25">
      <c r="A98" s="8">
        <v>43020.451643518521</v>
      </c>
      <c r="B98" s="20" t="s">
        <v>414</v>
      </c>
      <c r="C98" s="20" t="s">
        <v>689</v>
      </c>
      <c r="D98" s="138">
        <v>3040000</v>
      </c>
      <c r="E98" s="20" t="s">
        <v>614</v>
      </c>
      <c r="F98" s="20" t="s">
        <v>615</v>
      </c>
      <c r="G98" s="8" t="str">
        <f t="shared" si="2"/>
        <v>WILLIAMS DONTE</v>
      </c>
      <c r="H98" s="20" t="str">
        <f t="shared" si="3"/>
        <v>4065</v>
      </c>
    </row>
    <row r="99" spans="1:8" x14ac:dyDescent="0.25">
      <c r="A99" s="8">
        <v>43020.455324074072</v>
      </c>
      <c r="B99" s="20" t="s">
        <v>631</v>
      </c>
      <c r="C99" s="20" t="s">
        <v>690</v>
      </c>
      <c r="D99" s="138">
        <v>2730000</v>
      </c>
      <c r="E99" s="20" t="s">
        <v>440</v>
      </c>
      <c r="F99" s="20" t="s">
        <v>441</v>
      </c>
      <c r="G99" s="8" t="str">
        <f t="shared" si="2"/>
        <v>YANG JAN</v>
      </c>
      <c r="H99" s="20" t="str">
        <f t="shared" si="3"/>
        <v>4004</v>
      </c>
    </row>
    <row r="100" spans="1:8" x14ac:dyDescent="0.25">
      <c r="A100" s="8">
        <v>43020.456967592596</v>
      </c>
      <c r="B100" s="20" t="s">
        <v>569</v>
      </c>
      <c r="C100" s="20" t="s">
        <v>578</v>
      </c>
      <c r="D100" s="138">
        <v>3000000</v>
      </c>
      <c r="E100" s="20" t="s">
        <v>456</v>
      </c>
      <c r="F100" s="20" t="s">
        <v>457</v>
      </c>
      <c r="G100" s="8" t="str">
        <f t="shared" si="2"/>
        <v>FORTUNATO FRANK</v>
      </c>
      <c r="H100" s="20" t="str">
        <f t="shared" si="3"/>
        <v>4042</v>
      </c>
    </row>
    <row r="101" spans="1:8" x14ac:dyDescent="0.25">
      <c r="A101" s="8">
        <v>43020.458738425928</v>
      </c>
      <c r="B101" s="20" t="s">
        <v>493</v>
      </c>
      <c r="C101" s="20" t="s">
        <v>691</v>
      </c>
      <c r="D101" s="138">
        <v>1990000</v>
      </c>
      <c r="E101" s="20" t="s">
        <v>341</v>
      </c>
      <c r="F101" s="20" t="s">
        <v>501</v>
      </c>
      <c r="G101" s="8" t="str">
        <f t="shared" si="2"/>
        <v>DAVIS WENDY</v>
      </c>
      <c r="H101" s="20" t="str">
        <f t="shared" si="3"/>
        <v>4001</v>
      </c>
    </row>
    <row r="102" spans="1:8" x14ac:dyDescent="0.25">
      <c r="A102" s="8">
        <v>43020.466168981482</v>
      </c>
      <c r="B102" s="20" t="s">
        <v>619</v>
      </c>
      <c r="C102" s="20" t="s">
        <v>692</v>
      </c>
      <c r="D102" s="138">
        <v>3290000</v>
      </c>
      <c r="E102" s="20" t="s">
        <v>621</v>
      </c>
      <c r="F102" s="20" t="s">
        <v>622</v>
      </c>
      <c r="G102" s="8" t="str">
        <f t="shared" si="2"/>
        <v>CASSIDY BRANDON</v>
      </c>
      <c r="H102" s="20" t="str">
        <f t="shared" si="3"/>
        <v>4053</v>
      </c>
    </row>
    <row r="103" spans="1:8" x14ac:dyDescent="0.25">
      <c r="A103" s="8">
        <v>43020.466724537036</v>
      </c>
      <c r="B103" s="20" t="s">
        <v>612</v>
      </c>
      <c r="C103" s="20" t="s">
        <v>693</v>
      </c>
      <c r="D103" s="138">
        <v>1770000</v>
      </c>
      <c r="E103" s="20" t="s">
        <v>460</v>
      </c>
      <c r="F103" s="20" t="s">
        <v>461</v>
      </c>
      <c r="G103" s="8" t="str">
        <f t="shared" si="2"/>
        <v>BRUDER RICHARD</v>
      </c>
      <c r="H103" s="20" t="str">
        <f t="shared" si="3"/>
        <v>4026</v>
      </c>
    </row>
    <row r="104" spans="1:8" x14ac:dyDescent="0.25">
      <c r="A104" s="8">
        <v>43020.476284722223</v>
      </c>
      <c r="B104" s="20" t="s">
        <v>385</v>
      </c>
      <c r="C104" s="20" t="s">
        <v>694</v>
      </c>
      <c r="D104" s="138">
        <v>880000</v>
      </c>
      <c r="E104" s="20" t="s">
        <v>442</v>
      </c>
      <c r="F104" s="20" t="s">
        <v>398</v>
      </c>
      <c r="G104" s="8" t="str">
        <f t="shared" si="2"/>
        <v>STEWART MICHAEL</v>
      </c>
      <c r="H104" s="20" t="str">
        <f t="shared" si="3"/>
        <v>4064</v>
      </c>
    </row>
    <row r="105" spans="1:8" x14ac:dyDescent="0.25">
      <c r="A105" s="8">
        <v>43020.477372685185</v>
      </c>
      <c r="B105" s="20" t="s">
        <v>565</v>
      </c>
      <c r="C105" s="20" t="s">
        <v>695</v>
      </c>
      <c r="D105" s="138">
        <v>3000000</v>
      </c>
      <c r="E105" s="20" t="s">
        <v>456</v>
      </c>
      <c r="F105" s="20" t="s">
        <v>457</v>
      </c>
      <c r="G105" s="8" t="str">
        <f t="shared" si="2"/>
        <v>FORTUNATO FRANK</v>
      </c>
      <c r="H105" s="20" t="str">
        <f t="shared" si="3"/>
        <v>4041</v>
      </c>
    </row>
    <row r="106" spans="1:8" x14ac:dyDescent="0.25">
      <c r="A106" s="8">
        <v>43020.478819444441</v>
      </c>
      <c r="B106" s="20" t="s">
        <v>438</v>
      </c>
      <c r="C106" s="20" t="s">
        <v>696</v>
      </c>
      <c r="D106" s="138">
        <v>2550000</v>
      </c>
      <c r="E106" s="20" t="s">
        <v>687</v>
      </c>
      <c r="F106" s="20" t="s">
        <v>688</v>
      </c>
      <c r="G106" s="8" t="str">
        <f t="shared" si="2"/>
        <v>BADERTSCHER DIANE</v>
      </c>
      <c r="H106" s="20" t="str">
        <f t="shared" si="3"/>
        <v>4051</v>
      </c>
    </row>
    <row r="107" spans="1:8" x14ac:dyDescent="0.25">
      <c r="A107" s="8">
        <v>43020.479016203702</v>
      </c>
      <c r="B107" s="20" t="s">
        <v>680</v>
      </c>
      <c r="C107" s="20" t="s">
        <v>697</v>
      </c>
      <c r="D107" s="138">
        <v>1100000</v>
      </c>
      <c r="E107" s="20" t="s">
        <v>458</v>
      </c>
      <c r="F107" s="20" t="s">
        <v>459</v>
      </c>
      <c r="G107" s="8" t="str">
        <f t="shared" si="2"/>
        <v>GEBRETEKLE DAGNEW</v>
      </c>
      <c r="H107" s="20" t="str">
        <f t="shared" si="3"/>
        <v>4058</v>
      </c>
    </row>
    <row r="108" spans="1:8" x14ac:dyDescent="0.25">
      <c r="A108" s="8">
        <v>43020.486203703702</v>
      </c>
      <c r="B108" s="20" t="s">
        <v>579</v>
      </c>
      <c r="C108" s="20" t="s">
        <v>580</v>
      </c>
      <c r="D108" s="138">
        <v>2370000</v>
      </c>
      <c r="E108" s="20" t="s">
        <v>503</v>
      </c>
      <c r="F108" s="20" t="s">
        <v>504</v>
      </c>
      <c r="G108" s="8" t="str">
        <f t="shared" si="2"/>
        <v>DELGADO DIANAH</v>
      </c>
      <c r="H108" s="20" t="str">
        <f t="shared" si="3"/>
        <v>4011</v>
      </c>
    </row>
    <row r="109" spans="1:8" x14ac:dyDescent="0.25">
      <c r="A109" s="8">
        <v>43020.487534722219</v>
      </c>
      <c r="B109" s="20" t="s">
        <v>579</v>
      </c>
      <c r="C109" s="20" t="s">
        <v>580</v>
      </c>
      <c r="D109" s="138">
        <v>2370000</v>
      </c>
      <c r="E109" s="20" t="s">
        <v>503</v>
      </c>
      <c r="F109" s="20" t="s">
        <v>504</v>
      </c>
      <c r="G109" s="8" t="str">
        <f t="shared" si="2"/>
        <v>DELGADO DIANAH</v>
      </c>
      <c r="H109" s="20" t="str">
        <f t="shared" si="3"/>
        <v>4011</v>
      </c>
    </row>
    <row r="110" spans="1:8" x14ac:dyDescent="0.25">
      <c r="A110" s="8">
        <v>43020.488576388889</v>
      </c>
      <c r="B110" s="20" t="s">
        <v>413</v>
      </c>
      <c r="C110" s="20" t="s">
        <v>698</v>
      </c>
      <c r="D110" s="138">
        <v>1300000</v>
      </c>
      <c r="E110" s="20" t="s">
        <v>406</v>
      </c>
      <c r="F110" s="20" t="s">
        <v>407</v>
      </c>
      <c r="G110" s="8" t="str">
        <f t="shared" si="2"/>
        <v>LEVIN SCOTT</v>
      </c>
      <c r="H110" s="20" t="str">
        <f t="shared" si="3"/>
        <v>4066</v>
      </c>
    </row>
    <row r="111" spans="1:8" x14ac:dyDescent="0.25">
      <c r="A111" s="8">
        <v>43020.492210648146</v>
      </c>
      <c r="B111" s="20" t="s">
        <v>585</v>
      </c>
      <c r="C111" s="20" t="s">
        <v>699</v>
      </c>
      <c r="D111" s="138">
        <v>2730000</v>
      </c>
      <c r="E111" s="20" t="s">
        <v>440</v>
      </c>
      <c r="F111" s="20" t="s">
        <v>441</v>
      </c>
      <c r="G111" s="8" t="str">
        <f t="shared" si="2"/>
        <v>YANG JAN</v>
      </c>
      <c r="H111" s="20" t="str">
        <f t="shared" si="3"/>
        <v>4003</v>
      </c>
    </row>
    <row r="112" spans="1:8" x14ac:dyDescent="0.25">
      <c r="A112" s="8">
        <v>43020.498148148145</v>
      </c>
      <c r="B112" s="20" t="s">
        <v>574</v>
      </c>
      <c r="C112" s="20" t="s">
        <v>581</v>
      </c>
      <c r="D112" s="138">
        <v>2030000</v>
      </c>
      <c r="E112" s="20" t="s">
        <v>505</v>
      </c>
      <c r="F112" s="20" t="s">
        <v>506</v>
      </c>
      <c r="G112" s="8" t="str">
        <f t="shared" si="2"/>
        <v>KILLION DAVID</v>
      </c>
      <c r="H112" s="20" t="str">
        <f t="shared" si="3"/>
        <v>4057</v>
      </c>
    </row>
    <row r="113" spans="1:8" x14ac:dyDescent="0.25">
      <c r="A113" s="8">
        <v>43020.498333333337</v>
      </c>
      <c r="B113" s="20" t="s">
        <v>502</v>
      </c>
      <c r="C113" s="20" t="s">
        <v>700</v>
      </c>
      <c r="D113" s="138">
        <v>2140000</v>
      </c>
      <c r="E113" s="20" t="s">
        <v>467</v>
      </c>
      <c r="F113" s="20" t="s">
        <v>468</v>
      </c>
      <c r="G113" s="8" t="str">
        <f t="shared" si="2"/>
        <v>ROBINSON KADDIBA</v>
      </c>
      <c r="H113" s="20" t="str">
        <f t="shared" si="3"/>
        <v>4002</v>
      </c>
    </row>
    <row r="114" spans="1:8" x14ac:dyDescent="0.25">
      <c r="A114" s="8">
        <v>43020.498993055553</v>
      </c>
      <c r="B114" s="20" t="s">
        <v>569</v>
      </c>
      <c r="C114" s="20" t="s">
        <v>701</v>
      </c>
      <c r="D114" s="138">
        <v>3000000</v>
      </c>
      <c r="E114" s="20" t="s">
        <v>456</v>
      </c>
      <c r="F114" s="20" t="s">
        <v>457</v>
      </c>
      <c r="G114" s="8" t="str">
        <f t="shared" si="2"/>
        <v>FORTUNATO FRANK</v>
      </c>
      <c r="H114" s="20" t="str">
        <f t="shared" si="3"/>
        <v>4042</v>
      </c>
    </row>
    <row r="115" spans="1:8" x14ac:dyDescent="0.25">
      <c r="A115" s="8">
        <v>43020.502789351849</v>
      </c>
      <c r="B115" s="20" t="s">
        <v>574</v>
      </c>
      <c r="C115" s="20" t="s">
        <v>581</v>
      </c>
      <c r="D115" s="138">
        <v>2030000</v>
      </c>
      <c r="E115" s="20" t="s">
        <v>505</v>
      </c>
      <c r="F115" s="20" t="s">
        <v>506</v>
      </c>
      <c r="G115" s="8" t="str">
        <f t="shared" si="2"/>
        <v>KILLION DAVID</v>
      </c>
      <c r="H115" s="20" t="str">
        <f t="shared" si="3"/>
        <v>4057</v>
      </c>
    </row>
    <row r="116" spans="1:8" x14ac:dyDescent="0.25">
      <c r="A116" s="8">
        <v>43020.504999999997</v>
      </c>
      <c r="B116" s="20" t="s">
        <v>702</v>
      </c>
      <c r="C116" s="20" t="s">
        <v>703</v>
      </c>
      <c r="D116" s="138">
        <v>1990000</v>
      </c>
      <c r="E116" s="20" t="s">
        <v>341</v>
      </c>
      <c r="F116" s="20" t="s">
        <v>501</v>
      </c>
      <c r="G116" s="8" t="str">
        <f t="shared" si="2"/>
        <v>DAVIS WENDY</v>
      </c>
      <c r="H116" s="20" t="str">
        <f t="shared" si="3"/>
        <v>4012</v>
      </c>
    </row>
    <row r="117" spans="1:8" x14ac:dyDescent="0.25">
      <c r="A117" s="8">
        <v>43020.505497685182</v>
      </c>
      <c r="B117" s="20" t="s">
        <v>702</v>
      </c>
      <c r="C117" s="20" t="s">
        <v>703</v>
      </c>
      <c r="D117" s="138">
        <v>1990000</v>
      </c>
      <c r="E117" s="20" t="s">
        <v>341</v>
      </c>
      <c r="F117" s="20" t="s">
        <v>501</v>
      </c>
      <c r="G117" s="8" t="str">
        <f t="shared" si="2"/>
        <v>DAVIS WENDY</v>
      </c>
      <c r="H117" s="20" t="str">
        <f t="shared" si="3"/>
        <v>4012</v>
      </c>
    </row>
    <row r="118" spans="1:8" x14ac:dyDescent="0.25">
      <c r="A118" s="8">
        <v>43020.505601851852</v>
      </c>
      <c r="B118" s="20" t="s">
        <v>576</v>
      </c>
      <c r="C118" s="20" t="s">
        <v>704</v>
      </c>
      <c r="D118" s="138">
        <v>1770000</v>
      </c>
      <c r="E118" s="20" t="s">
        <v>460</v>
      </c>
      <c r="F118" s="20" t="s">
        <v>461</v>
      </c>
      <c r="G118" s="8" t="str">
        <f t="shared" si="2"/>
        <v>BRUDER RICHARD</v>
      </c>
      <c r="H118" s="20" t="str">
        <f t="shared" si="3"/>
        <v>4025</v>
      </c>
    </row>
    <row r="119" spans="1:8" x14ac:dyDescent="0.25">
      <c r="A119" s="8">
        <v>43020.5080787037</v>
      </c>
      <c r="B119" s="20" t="s">
        <v>627</v>
      </c>
      <c r="C119" s="20" t="s">
        <v>705</v>
      </c>
      <c r="D119" s="138">
        <v>1180000</v>
      </c>
      <c r="E119" s="20" t="s">
        <v>404</v>
      </c>
      <c r="F119" s="20" t="s">
        <v>405</v>
      </c>
      <c r="G119" s="8" t="str">
        <f t="shared" si="2"/>
        <v>LEVERE CRAIG</v>
      </c>
      <c r="H119" s="20" t="str">
        <f t="shared" si="3"/>
        <v>4054</v>
      </c>
    </row>
    <row r="120" spans="1:8" x14ac:dyDescent="0.25">
      <c r="A120" s="8">
        <v>43020.514050925929</v>
      </c>
      <c r="B120" s="20" t="s">
        <v>384</v>
      </c>
      <c r="C120" s="20" t="s">
        <v>706</v>
      </c>
      <c r="D120" s="138">
        <v>880000</v>
      </c>
      <c r="E120" s="20" t="s">
        <v>442</v>
      </c>
      <c r="F120" s="20" t="s">
        <v>398</v>
      </c>
      <c r="G120" s="8" t="str">
        <f t="shared" si="2"/>
        <v>STEWART MICHAEL</v>
      </c>
      <c r="H120" s="20" t="str">
        <f t="shared" si="3"/>
        <v>4063</v>
      </c>
    </row>
    <row r="121" spans="1:8" x14ac:dyDescent="0.25">
      <c r="A121" s="8">
        <v>43020.517337962963</v>
      </c>
      <c r="B121" s="20" t="s">
        <v>437</v>
      </c>
      <c r="C121" s="20" t="s">
        <v>582</v>
      </c>
      <c r="D121" s="138">
        <v>2550000</v>
      </c>
      <c r="E121" s="20" t="s">
        <v>687</v>
      </c>
      <c r="F121" s="20" t="s">
        <v>688</v>
      </c>
      <c r="G121" s="8" t="str">
        <f t="shared" si="2"/>
        <v>BADERTSCHER DIANE</v>
      </c>
      <c r="H121" s="20" t="str">
        <f t="shared" si="3"/>
        <v>4052</v>
      </c>
    </row>
    <row r="122" spans="1:8" x14ac:dyDescent="0.25">
      <c r="A122" s="8">
        <v>43020.518055555556</v>
      </c>
      <c r="B122" s="25" t="s">
        <v>565</v>
      </c>
      <c r="C122" s="20" t="s">
        <v>707</v>
      </c>
      <c r="D122" s="138">
        <v>3000000</v>
      </c>
      <c r="E122" s="20" t="s">
        <v>456</v>
      </c>
      <c r="F122" s="20" t="s">
        <v>457</v>
      </c>
      <c r="G122" s="8" t="str">
        <f t="shared" si="2"/>
        <v>FORTUNATO FRANK</v>
      </c>
      <c r="H122" s="20" t="str">
        <f t="shared" si="3"/>
        <v>4041</v>
      </c>
    </row>
    <row r="123" spans="1:8" x14ac:dyDescent="0.25">
      <c r="A123" s="8">
        <v>43020.523159722223</v>
      </c>
      <c r="B123" s="20" t="s">
        <v>414</v>
      </c>
      <c r="C123" s="20" t="s">
        <v>583</v>
      </c>
      <c r="D123" s="138">
        <v>1300000</v>
      </c>
      <c r="E123" s="20" t="s">
        <v>406</v>
      </c>
      <c r="F123" s="20" t="s">
        <v>407</v>
      </c>
      <c r="G123" s="8" t="str">
        <f t="shared" si="2"/>
        <v>LEVIN SCOTT</v>
      </c>
      <c r="H123" s="20" t="str">
        <f t="shared" si="3"/>
        <v>4065</v>
      </c>
    </row>
    <row r="124" spans="1:8" x14ac:dyDescent="0.25">
      <c r="A124" s="8">
        <v>43020.526516203703</v>
      </c>
      <c r="B124" s="20" t="s">
        <v>631</v>
      </c>
      <c r="C124" s="20" t="s">
        <v>708</v>
      </c>
      <c r="D124" s="138">
        <v>2030000</v>
      </c>
      <c r="E124" s="20" t="s">
        <v>505</v>
      </c>
      <c r="F124" s="20" t="s">
        <v>506</v>
      </c>
      <c r="G124" s="8" t="str">
        <f t="shared" si="2"/>
        <v>KILLION DAVID</v>
      </c>
      <c r="H124" s="20" t="str">
        <f t="shared" si="3"/>
        <v>4004</v>
      </c>
    </row>
    <row r="125" spans="1:8" x14ac:dyDescent="0.25">
      <c r="A125" s="8">
        <v>43020.530590277776</v>
      </c>
      <c r="B125" s="20" t="s">
        <v>680</v>
      </c>
      <c r="C125" s="20" t="s">
        <v>709</v>
      </c>
      <c r="D125" s="138">
        <v>2730000</v>
      </c>
      <c r="E125" s="20" t="s">
        <v>440</v>
      </c>
      <c r="F125" s="20" t="s">
        <v>441</v>
      </c>
      <c r="G125" s="8" t="str">
        <f t="shared" si="2"/>
        <v>YANG JAN</v>
      </c>
      <c r="H125" s="20" t="str">
        <f t="shared" si="3"/>
        <v>4058</v>
      </c>
    </row>
    <row r="126" spans="1:8" x14ac:dyDescent="0.25">
      <c r="A126" s="8">
        <v>43020.5312037037</v>
      </c>
      <c r="B126" s="20" t="s">
        <v>680</v>
      </c>
      <c r="C126" s="20" t="s">
        <v>709</v>
      </c>
      <c r="D126" s="138">
        <v>2730000</v>
      </c>
      <c r="E126" s="20" t="s">
        <v>440</v>
      </c>
      <c r="F126" s="20" t="s">
        <v>441</v>
      </c>
      <c r="G126" s="8" t="str">
        <f t="shared" si="2"/>
        <v>YANG JAN</v>
      </c>
      <c r="H126" s="20" t="str">
        <f t="shared" si="3"/>
        <v>4058</v>
      </c>
    </row>
    <row r="127" spans="1:8" x14ac:dyDescent="0.25">
      <c r="A127" s="8">
        <v>43020.53229166667</v>
      </c>
      <c r="B127" s="20" t="s">
        <v>680</v>
      </c>
      <c r="C127" s="20" t="s">
        <v>709</v>
      </c>
      <c r="D127" s="138">
        <v>2730000</v>
      </c>
      <c r="E127" s="20" t="s">
        <v>440</v>
      </c>
      <c r="F127" s="20" t="s">
        <v>441</v>
      </c>
      <c r="G127" s="8" t="str">
        <f t="shared" si="2"/>
        <v>YANG JAN</v>
      </c>
      <c r="H127" s="20" t="str">
        <f t="shared" si="3"/>
        <v>4058</v>
      </c>
    </row>
    <row r="128" spans="1:8" x14ac:dyDescent="0.25">
      <c r="A128" s="8">
        <v>43020.537557870368</v>
      </c>
      <c r="B128" s="20" t="s">
        <v>493</v>
      </c>
      <c r="C128" s="20" t="s">
        <v>710</v>
      </c>
      <c r="D128" s="138">
        <v>2140000</v>
      </c>
      <c r="E128" s="20" t="s">
        <v>467</v>
      </c>
      <c r="F128" s="20" t="s">
        <v>468</v>
      </c>
      <c r="G128" s="8" t="str">
        <f t="shared" si="2"/>
        <v>ROBINSON KADDIBA</v>
      </c>
      <c r="H128" s="20" t="str">
        <f t="shared" si="3"/>
        <v>4001</v>
      </c>
    </row>
    <row r="129" spans="1:8" x14ac:dyDescent="0.25">
      <c r="A129" s="8">
        <v>43020.538611111115</v>
      </c>
      <c r="B129" s="20" t="s">
        <v>612</v>
      </c>
      <c r="C129" s="20" t="s">
        <v>711</v>
      </c>
      <c r="D129" s="138">
        <v>1770000</v>
      </c>
      <c r="E129" s="20" t="s">
        <v>460</v>
      </c>
      <c r="F129" s="20" t="s">
        <v>461</v>
      </c>
      <c r="G129" s="8" t="str">
        <f t="shared" si="2"/>
        <v>BRUDER RICHARD</v>
      </c>
      <c r="H129" s="20" t="str">
        <f t="shared" si="3"/>
        <v>4026</v>
      </c>
    </row>
    <row r="130" spans="1:8" x14ac:dyDescent="0.25">
      <c r="A130" s="8">
        <v>43020.542453703703</v>
      </c>
      <c r="B130" s="20" t="s">
        <v>569</v>
      </c>
      <c r="C130" s="20" t="s">
        <v>712</v>
      </c>
      <c r="D130" s="138">
        <v>2450000</v>
      </c>
      <c r="E130" s="20" t="s">
        <v>713</v>
      </c>
      <c r="F130" s="20" t="s">
        <v>714</v>
      </c>
      <c r="G130" s="8" t="str">
        <f t="shared" si="2"/>
        <v>NELSON ARIANE</v>
      </c>
      <c r="H130" s="20" t="str">
        <f t="shared" si="3"/>
        <v>4042</v>
      </c>
    </row>
    <row r="131" spans="1:8" x14ac:dyDescent="0.25">
      <c r="A131" s="8">
        <v>43020.54310185185</v>
      </c>
      <c r="B131" s="20" t="s">
        <v>619</v>
      </c>
      <c r="C131" s="20" t="s">
        <v>715</v>
      </c>
      <c r="D131" s="138">
        <v>1180000</v>
      </c>
      <c r="E131" s="20" t="s">
        <v>404</v>
      </c>
      <c r="F131" s="20" t="s">
        <v>405</v>
      </c>
      <c r="G131" s="8" t="str">
        <f t="shared" ref="G131:G194" si="4">E131&amp;" "&amp;F131</f>
        <v>LEVERE CRAIG</v>
      </c>
      <c r="H131" s="20" t="str">
        <f t="shared" ref="H131:H194" si="5">MID(B131,13,4)</f>
        <v>4053</v>
      </c>
    </row>
    <row r="132" spans="1:8" x14ac:dyDescent="0.25">
      <c r="A132" s="8">
        <v>43020.549178240741</v>
      </c>
      <c r="B132" s="20" t="s">
        <v>385</v>
      </c>
      <c r="C132" s="20" t="s">
        <v>716</v>
      </c>
      <c r="D132" s="138">
        <v>880000</v>
      </c>
      <c r="E132" s="20" t="s">
        <v>442</v>
      </c>
      <c r="F132" s="20" t="s">
        <v>398</v>
      </c>
      <c r="G132" s="8" t="str">
        <f t="shared" si="4"/>
        <v>STEWART MICHAEL</v>
      </c>
      <c r="H132" s="20" t="str">
        <f t="shared" si="5"/>
        <v>4064</v>
      </c>
    </row>
    <row r="133" spans="1:8" x14ac:dyDescent="0.25">
      <c r="A133" s="8">
        <v>43020.553483796299</v>
      </c>
      <c r="B133" s="20" t="s">
        <v>438</v>
      </c>
      <c r="C133" s="20" t="s">
        <v>584</v>
      </c>
      <c r="D133" s="138">
        <v>2550000</v>
      </c>
      <c r="E133" s="20" t="s">
        <v>687</v>
      </c>
      <c r="F133" s="20" t="s">
        <v>688</v>
      </c>
      <c r="G133" s="8" t="str">
        <f t="shared" si="4"/>
        <v>BADERTSCHER DIANE</v>
      </c>
      <c r="H133" s="20" t="str">
        <f t="shared" si="5"/>
        <v>4051</v>
      </c>
    </row>
    <row r="134" spans="1:8" x14ac:dyDescent="0.25">
      <c r="A134" s="8">
        <v>43020.558923611112</v>
      </c>
      <c r="B134" s="20" t="s">
        <v>413</v>
      </c>
      <c r="C134" s="20" t="s">
        <v>717</v>
      </c>
      <c r="D134" s="138">
        <v>1300000</v>
      </c>
      <c r="E134" s="20" t="s">
        <v>406</v>
      </c>
      <c r="F134" s="20" t="s">
        <v>407</v>
      </c>
      <c r="G134" s="8" t="str">
        <f t="shared" si="4"/>
        <v>LEVIN SCOTT</v>
      </c>
      <c r="H134" s="20" t="str">
        <f t="shared" si="5"/>
        <v>4066</v>
      </c>
    </row>
    <row r="135" spans="1:8" x14ac:dyDescent="0.25">
      <c r="A135" s="8">
        <v>43020.562002314815</v>
      </c>
      <c r="B135" s="20" t="s">
        <v>585</v>
      </c>
      <c r="C135" s="20" t="s">
        <v>586</v>
      </c>
      <c r="D135" s="138">
        <v>2030000</v>
      </c>
      <c r="E135" s="20" t="s">
        <v>505</v>
      </c>
      <c r="F135" s="20" t="s">
        <v>506</v>
      </c>
      <c r="G135" s="8" t="str">
        <f t="shared" si="4"/>
        <v>KILLION DAVID</v>
      </c>
      <c r="H135" s="20" t="str">
        <f t="shared" si="5"/>
        <v>4003</v>
      </c>
    </row>
    <row r="136" spans="1:8" x14ac:dyDescent="0.25">
      <c r="A136" s="8">
        <v>43020.562199074076</v>
      </c>
      <c r="B136" s="20" t="s">
        <v>565</v>
      </c>
      <c r="C136" s="20" t="s">
        <v>718</v>
      </c>
      <c r="D136" s="138">
        <v>2450000</v>
      </c>
      <c r="E136" s="20" t="s">
        <v>713</v>
      </c>
      <c r="F136" s="20" t="s">
        <v>714</v>
      </c>
      <c r="G136" s="8" t="str">
        <f t="shared" si="4"/>
        <v>NELSON ARIANE</v>
      </c>
      <c r="H136" s="20" t="str">
        <f t="shared" si="5"/>
        <v>4041</v>
      </c>
    </row>
    <row r="137" spans="1:8" x14ac:dyDescent="0.25">
      <c r="A137" s="8">
        <v>43020.571030092593</v>
      </c>
      <c r="B137" s="20" t="s">
        <v>502</v>
      </c>
      <c r="C137" s="20" t="s">
        <v>719</v>
      </c>
      <c r="D137" s="138">
        <v>2370000</v>
      </c>
      <c r="E137" s="20" t="s">
        <v>503</v>
      </c>
      <c r="F137" s="20" t="s">
        <v>504</v>
      </c>
      <c r="G137" s="8" t="str">
        <f t="shared" si="4"/>
        <v>DELGADO DIANAH</v>
      </c>
      <c r="H137" s="20" t="str">
        <f t="shared" si="5"/>
        <v>4002</v>
      </c>
    </row>
    <row r="138" spans="1:8" x14ac:dyDescent="0.25">
      <c r="A138" s="8">
        <v>43020.578680555554</v>
      </c>
      <c r="B138" s="20" t="s">
        <v>576</v>
      </c>
      <c r="C138" s="20" t="s">
        <v>720</v>
      </c>
      <c r="D138" s="138">
        <v>1770000</v>
      </c>
      <c r="E138" s="20" t="s">
        <v>460</v>
      </c>
      <c r="F138" s="20" t="s">
        <v>461</v>
      </c>
      <c r="G138" s="8" t="str">
        <f t="shared" si="4"/>
        <v>BRUDER RICHARD</v>
      </c>
      <c r="H138" s="20" t="str">
        <f t="shared" si="5"/>
        <v>4025</v>
      </c>
    </row>
    <row r="139" spans="1:8" x14ac:dyDescent="0.25">
      <c r="A139" s="8">
        <v>43020.579293981478</v>
      </c>
      <c r="B139" s="20" t="s">
        <v>627</v>
      </c>
      <c r="C139" s="20" t="s">
        <v>721</v>
      </c>
      <c r="D139" s="138">
        <v>1180000</v>
      </c>
      <c r="E139" s="20" t="s">
        <v>404</v>
      </c>
      <c r="F139" s="20" t="s">
        <v>405</v>
      </c>
      <c r="G139" s="8" t="str">
        <f t="shared" si="4"/>
        <v>LEVERE CRAIG</v>
      </c>
      <c r="H139" s="20" t="str">
        <f t="shared" si="5"/>
        <v>4054</v>
      </c>
    </row>
    <row r="140" spans="1:8" x14ac:dyDescent="0.25">
      <c r="A140" s="8">
        <v>43020.587372685186</v>
      </c>
      <c r="B140" s="20" t="s">
        <v>384</v>
      </c>
      <c r="C140" s="20" t="s">
        <v>722</v>
      </c>
      <c r="D140" s="138">
        <v>880000</v>
      </c>
      <c r="E140" s="20" t="s">
        <v>442</v>
      </c>
      <c r="F140" s="20" t="s">
        <v>398</v>
      </c>
      <c r="G140" s="8" t="str">
        <f t="shared" si="4"/>
        <v>STEWART MICHAEL</v>
      </c>
      <c r="H140" s="20" t="str">
        <f t="shared" si="5"/>
        <v>4063</v>
      </c>
    </row>
    <row r="141" spans="1:8" x14ac:dyDescent="0.25">
      <c r="A141" s="8">
        <v>43020.587418981479</v>
      </c>
      <c r="B141" s="20" t="s">
        <v>569</v>
      </c>
      <c r="C141" s="20" t="s">
        <v>589</v>
      </c>
      <c r="D141" s="138">
        <v>2000000</v>
      </c>
      <c r="E141" s="20" t="s">
        <v>373</v>
      </c>
      <c r="F141" s="20" t="s">
        <v>362</v>
      </c>
      <c r="G141" s="8" t="str">
        <f t="shared" si="4"/>
        <v>STAMBAUGH JAMES</v>
      </c>
      <c r="H141" s="20" t="str">
        <f t="shared" si="5"/>
        <v>4042</v>
      </c>
    </row>
    <row r="142" spans="1:8" x14ac:dyDescent="0.25">
      <c r="A142" s="8">
        <v>43020.589120370372</v>
      </c>
      <c r="B142" s="20" t="s">
        <v>569</v>
      </c>
      <c r="C142" s="20" t="s">
        <v>589</v>
      </c>
      <c r="D142" s="138">
        <v>2000000</v>
      </c>
      <c r="E142" s="20" t="s">
        <v>373</v>
      </c>
      <c r="F142" s="20" t="s">
        <v>362</v>
      </c>
      <c r="G142" s="8" t="str">
        <f t="shared" si="4"/>
        <v>STAMBAUGH JAMES</v>
      </c>
      <c r="H142" s="20" t="str">
        <f t="shared" si="5"/>
        <v>4042</v>
      </c>
    </row>
    <row r="143" spans="1:8" x14ac:dyDescent="0.25">
      <c r="A143" s="8">
        <v>43020.589479166665</v>
      </c>
      <c r="B143" s="20" t="s">
        <v>437</v>
      </c>
      <c r="C143" s="20" t="s">
        <v>723</v>
      </c>
      <c r="D143" s="138">
        <v>2550000</v>
      </c>
      <c r="E143" s="20" t="s">
        <v>687</v>
      </c>
      <c r="F143" s="20" t="s">
        <v>688</v>
      </c>
      <c r="G143" s="8" t="str">
        <f t="shared" si="4"/>
        <v>BADERTSCHER DIANE</v>
      </c>
      <c r="H143" s="20" t="str">
        <f t="shared" si="5"/>
        <v>4052</v>
      </c>
    </row>
    <row r="144" spans="1:8" x14ac:dyDescent="0.25">
      <c r="A144" s="8">
        <v>43020.599247685182</v>
      </c>
      <c r="B144" s="20" t="s">
        <v>414</v>
      </c>
      <c r="C144" s="20" t="s">
        <v>724</v>
      </c>
      <c r="D144" s="138">
        <v>1300000</v>
      </c>
      <c r="E144" s="20" t="s">
        <v>406</v>
      </c>
      <c r="F144" s="20" t="s">
        <v>407</v>
      </c>
      <c r="G144" s="8" t="str">
        <f t="shared" si="4"/>
        <v>LEVIN SCOTT</v>
      </c>
      <c r="H144" s="20" t="str">
        <f t="shared" si="5"/>
        <v>4065</v>
      </c>
    </row>
    <row r="145" spans="1:8" x14ac:dyDescent="0.25">
      <c r="A145" s="8">
        <v>43020.601747685185</v>
      </c>
      <c r="B145" s="20" t="s">
        <v>631</v>
      </c>
      <c r="C145" s="20" t="s">
        <v>725</v>
      </c>
      <c r="D145" s="138">
        <v>2030000</v>
      </c>
      <c r="E145" s="20" t="s">
        <v>505</v>
      </c>
      <c r="F145" s="20" t="s">
        <v>506</v>
      </c>
      <c r="G145" s="8" t="str">
        <f t="shared" si="4"/>
        <v>KILLION DAVID</v>
      </c>
      <c r="H145" s="20" t="str">
        <f t="shared" si="5"/>
        <v>4004</v>
      </c>
    </row>
    <row r="146" spans="1:8" x14ac:dyDescent="0.25">
      <c r="A146" s="8">
        <v>43020.602789351855</v>
      </c>
      <c r="B146" s="20" t="s">
        <v>565</v>
      </c>
      <c r="C146" s="20" t="s">
        <v>726</v>
      </c>
      <c r="D146" s="138">
        <v>2000000</v>
      </c>
      <c r="E146" s="20" t="s">
        <v>373</v>
      </c>
      <c r="F146" s="20" t="s">
        <v>362</v>
      </c>
      <c r="G146" s="8" t="str">
        <f t="shared" si="4"/>
        <v>STAMBAUGH JAMES</v>
      </c>
      <c r="H146" s="20" t="str">
        <f t="shared" si="5"/>
        <v>4041</v>
      </c>
    </row>
    <row r="147" spans="1:8" x14ac:dyDescent="0.25">
      <c r="A147" s="8">
        <v>43020.603148148148</v>
      </c>
      <c r="B147" s="20" t="s">
        <v>493</v>
      </c>
      <c r="C147" s="20" t="s">
        <v>590</v>
      </c>
      <c r="D147" s="138">
        <v>2370000</v>
      </c>
      <c r="E147" s="20" t="s">
        <v>503</v>
      </c>
      <c r="F147" s="20" t="s">
        <v>504</v>
      </c>
      <c r="G147" s="8" t="str">
        <f t="shared" si="4"/>
        <v>DELGADO DIANAH</v>
      </c>
      <c r="H147" s="20" t="str">
        <f t="shared" si="5"/>
        <v>4001</v>
      </c>
    </row>
    <row r="148" spans="1:8" x14ac:dyDescent="0.25">
      <c r="A148" s="8">
        <v>43020.609652777777</v>
      </c>
      <c r="B148" s="20" t="s">
        <v>612</v>
      </c>
      <c r="C148" s="20" t="s">
        <v>727</v>
      </c>
      <c r="D148" s="138">
        <v>1770000</v>
      </c>
      <c r="E148" s="20" t="s">
        <v>460</v>
      </c>
      <c r="F148" s="20" t="s">
        <v>461</v>
      </c>
      <c r="G148" s="8" t="str">
        <f t="shared" si="4"/>
        <v>BRUDER RICHARD</v>
      </c>
      <c r="H148" s="20" t="str">
        <f t="shared" si="5"/>
        <v>4026</v>
      </c>
    </row>
    <row r="149" spans="1:8" x14ac:dyDescent="0.25">
      <c r="A149" s="8">
        <v>43020.619629629633</v>
      </c>
      <c r="B149" s="20" t="s">
        <v>619</v>
      </c>
      <c r="C149" s="20" t="s">
        <v>728</v>
      </c>
      <c r="D149" s="138">
        <v>1180000</v>
      </c>
      <c r="E149" s="20" t="s">
        <v>404</v>
      </c>
      <c r="F149" s="20" t="s">
        <v>405</v>
      </c>
      <c r="G149" s="8" t="str">
        <f t="shared" si="4"/>
        <v>LEVERE CRAIG</v>
      </c>
      <c r="H149" s="20" t="str">
        <f t="shared" si="5"/>
        <v>4053</v>
      </c>
    </row>
    <row r="150" spans="1:8" x14ac:dyDescent="0.25">
      <c r="A150" s="8">
        <v>43020.622523148151</v>
      </c>
      <c r="B150" s="20" t="s">
        <v>385</v>
      </c>
      <c r="C150" s="20" t="s">
        <v>729</v>
      </c>
      <c r="D150" s="138">
        <v>880000</v>
      </c>
      <c r="E150" s="20" t="s">
        <v>442</v>
      </c>
      <c r="F150" s="20" t="s">
        <v>398</v>
      </c>
      <c r="G150" s="8" t="str">
        <f t="shared" si="4"/>
        <v>STEWART MICHAEL</v>
      </c>
      <c r="H150" s="20" t="str">
        <f t="shared" si="5"/>
        <v>4064</v>
      </c>
    </row>
    <row r="151" spans="1:8" x14ac:dyDescent="0.25">
      <c r="A151" s="8">
        <v>43020.62872685185</v>
      </c>
      <c r="B151" s="20" t="s">
        <v>438</v>
      </c>
      <c r="C151" s="20" t="s">
        <v>730</v>
      </c>
      <c r="D151" s="138">
        <v>2550000</v>
      </c>
      <c r="E151" s="20" t="s">
        <v>687</v>
      </c>
      <c r="F151" s="20" t="s">
        <v>688</v>
      </c>
      <c r="G151" s="8" t="str">
        <f t="shared" si="4"/>
        <v>BADERTSCHER DIANE</v>
      </c>
      <c r="H151" s="20" t="str">
        <f t="shared" si="5"/>
        <v>4051</v>
      </c>
    </row>
    <row r="152" spans="1:8" x14ac:dyDescent="0.25">
      <c r="A152" s="8">
        <v>43020.629004629627</v>
      </c>
      <c r="B152" s="20" t="s">
        <v>385</v>
      </c>
      <c r="C152" s="20" t="s">
        <v>729</v>
      </c>
      <c r="D152" s="138">
        <v>880000</v>
      </c>
      <c r="E152" s="20" t="s">
        <v>442</v>
      </c>
      <c r="F152" s="20" t="s">
        <v>398</v>
      </c>
      <c r="G152" s="8" t="str">
        <f t="shared" si="4"/>
        <v>STEWART MICHAEL</v>
      </c>
      <c r="H152" s="20" t="str">
        <f t="shared" si="5"/>
        <v>4064</v>
      </c>
    </row>
    <row r="153" spans="1:8" x14ac:dyDescent="0.25">
      <c r="A153" s="8">
        <v>43020.629062499997</v>
      </c>
      <c r="B153" s="20" t="s">
        <v>569</v>
      </c>
      <c r="C153" s="20" t="s">
        <v>731</v>
      </c>
      <c r="D153" s="138">
        <v>2000000</v>
      </c>
      <c r="E153" s="20" t="s">
        <v>373</v>
      </c>
      <c r="F153" s="20" t="s">
        <v>362</v>
      </c>
      <c r="G153" s="8" t="str">
        <f t="shared" si="4"/>
        <v>STAMBAUGH JAMES</v>
      </c>
      <c r="H153" s="20" t="str">
        <f t="shared" si="5"/>
        <v>4042</v>
      </c>
    </row>
    <row r="154" spans="1:8" x14ac:dyDescent="0.25">
      <c r="A154" s="8">
        <v>43020.631620370368</v>
      </c>
      <c r="B154" s="20" t="s">
        <v>413</v>
      </c>
      <c r="C154" s="20" t="s">
        <v>591</v>
      </c>
      <c r="D154" s="138">
        <v>1300000</v>
      </c>
      <c r="E154" s="20" t="s">
        <v>406</v>
      </c>
      <c r="F154" s="20" t="s">
        <v>407</v>
      </c>
      <c r="G154" s="8" t="str">
        <f t="shared" si="4"/>
        <v>LEVIN SCOTT</v>
      </c>
      <c r="H154" s="20" t="str">
        <f t="shared" si="5"/>
        <v>4066</v>
      </c>
    </row>
    <row r="155" spans="1:8" x14ac:dyDescent="0.25">
      <c r="A155" s="8">
        <v>43020.634988425925</v>
      </c>
      <c r="B155" s="20" t="s">
        <v>585</v>
      </c>
      <c r="C155" s="20" t="s">
        <v>732</v>
      </c>
      <c r="D155" s="138">
        <v>2030000</v>
      </c>
      <c r="E155" s="20" t="s">
        <v>505</v>
      </c>
      <c r="F155" s="20" t="s">
        <v>506</v>
      </c>
      <c r="G155" s="8" t="str">
        <f t="shared" si="4"/>
        <v>KILLION DAVID</v>
      </c>
      <c r="H155" s="20" t="str">
        <f t="shared" si="5"/>
        <v>4003</v>
      </c>
    </row>
    <row r="156" spans="1:8" x14ac:dyDescent="0.25">
      <c r="A156" s="8">
        <v>43020.642557870371</v>
      </c>
      <c r="B156" s="20" t="s">
        <v>502</v>
      </c>
      <c r="C156" s="20" t="s">
        <v>733</v>
      </c>
      <c r="D156" s="138">
        <v>2350000</v>
      </c>
      <c r="E156" s="20" t="s">
        <v>734</v>
      </c>
      <c r="F156" s="20" t="s">
        <v>735</v>
      </c>
      <c r="G156" s="8" t="str">
        <f t="shared" si="4"/>
        <v>BERLING GARY</v>
      </c>
      <c r="H156" s="20" t="str">
        <f t="shared" si="5"/>
        <v>4002</v>
      </c>
    </row>
    <row r="157" spans="1:8" x14ac:dyDescent="0.25">
      <c r="A157" s="8">
        <v>43020.644212962965</v>
      </c>
      <c r="B157" s="20" t="s">
        <v>571</v>
      </c>
      <c r="C157" s="20" t="s">
        <v>736</v>
      </c>
      <c r="D157" s="138">
        <v>2680000</v>
      </c>
      <c r="E157" s="20" t="s">
        <v>365</v>
      </c>
      <c r="F157" s="20" t="s">
        <v>366</v>
      </c>
      <c r="G157" s="8" t="str">
        <f t="shared" si="4"/>
        <v>DUNCAN SHEILA</v>
      </c>
      <c r="H157" s="20" t="str">
        <f t="shared" si="5"/>
        <v>4029</v>
      </c>
    </row>
    <row r="158" spans="1:8" x14ac:dyDescent="0.25">
      <c r="A158" s="8">
        <v>43020.645624999997</v>
      </c>
      <c r="B158" s="20" t="s">
        <v>565</v>
      </c>
      <c r="C158" s="20" t="s">
        <v>592</v>
      </c>
      <c r="D158" s="138">
        <v>2000000</v>
      </c>
      <c r="E158" s="20" t="s">
        <v>373</v>
      </c>
      <c r="F158" s="20" t="s">
        <v>362</v>
      </c>
      <c r="G158" s="8" t="str">
        <f t="shared" si="4"/>
        <v>STAMBAUGH JAMES</v>
      </c>
      <c r="H158" s="20" t="str">
        <f t="shared" si="5"/>
        <v>4041</v>
      </c>
    </row>
    <row r="159" spans="1:8" x14ac:dyDescent="0.25">
      <c r="A159" s="8">
        <v>43020.651006944441</v>
      </c>
      <c r="B159" s="20" t="s">
        <v>576</v>
      </c>
      <c r="C159" s="20" t="s">
        <v>737</v>
      </c>
      <c r="D159" s="138">
        <v>1770000</v>
      </c>
      <c r="E159" s="20" t="s">
        <v>460</v>
      </c>
      <c r="F159" s="20" t="s">
        <v>461</v>
      </c>
      <c r="G159" s="8" t="str">
        <f t="shared" si="4"/>
        <v>BRUDER RICHARD</v>
      </c>
      <c r="H159" s="20" t="str">
        <f t="shared" si="5"/>
        <v>4025</v>
      </c>
    </row>
    <row r="160" spans="1:8" x14ac:dyDescent="0.25">
      <c r="A160" s="8">
        <v>43020.652465277781</v>
      </c>
      <c r="B160" s="20" t="s">
        <v>561</v>
      </c>
      <c r="C160" s="20" t="s">
        <v>738</v>
      </c>
      <c r="D160" s="138">
        <v>2680000</v>
      </c>
      <c r="E160" s="20" t="s">
        <v>365</v>
      </c>
      <c r="F160" s="20" t="s">
        <v>366</v>
      </c>
      <c r="G160" s="8" t="str">
        <f t="shared" si="4"/>
        <v>DUNCAN SHEILA</v>
      </c>
      <c r="H160" s="20" t="str">
        <f t="shared" si="5"/>
        <v>4030</v>
      </c>
    </row>
    <row r="161" spans="1:8" x14ac:dyDescent="0.25">
      <c r="A161" s="8">
        <v>43020.652951388889</v>
      </c>
      <c r="B161" s="20" t="s">
        <v>627</v>
      </c>
      <c r="C161" s="20" t="s">
        <v>739</v>
      </c>
      <c r="D161" s="138">
        <v>1180000</v>
      </c>
      <c r="E161" s="20" t="s">
        <v>404</v>
      </c>
      <c r="F161" s="20" t="s">
        <v>405</v>
      </c>
      <c r="G161" s="8" t="str">
        <f t="shared" si="4"/>
        <v>LEVERE CRAIG</v>
      </c>
      <c r="H161" s="20" t="str">
        <f t="shared" si="5"/>
        <v>4054</v>
      </c>
    </row>
    <row r="162" spans="1:8" x14ac:dyDescent="0.25">
      <c r="A162" s="8">
        <v>43020.662488425929</v>
      </c>
      <c r="B162" s="20" t="s">
        <v>384</v>
      </c>
      <c r="C162" s="20" t="s">
        <v>740</v>
      </c>
      <c r="D162" s="138">
        <v>880000</v>
      </c>
      <c r="E162" s="20" t="s">
        <v>442</v>
      </c>
      <c r="F162" s="20" t="s">
        <v>398</v>
      </c>
      <c r="G162" s="8" t="str">
        <f t="shared" si="4"/>
        <v>STEWART MICHAEL</v>
      </c>
      <c r="H162" s="20" t="str">
        <f t="shared" si="5"/>
        <v>4063</v>
      </c>
    </row>
    <row r="163" spans="1:8" x14ac:dyDescent="0.25">
      <c r="A163" s="8">
        <v>43020.663449074076</v>
      </c>
      <c r="B163" s="20" t="s">
        <v>437</v>
      </c>
      <c r="C163" s="20" t="s">
        <v>741</v>
      </c>
      <c r="D163" s="138">
        <v>2550000</v>
      </c>
      <c r="E163" s="20" t="s">
        <v>687</v>
      </c>
      <c r="F163" s="20" t="s">
        <v>688</v>
      </c>
      <c r="G163" s="8" t="str">
        <f t="shared" si="4"/>
        <v>BADERTSCHER DIANE</v>
      </c>
      <c r="H163" s="20" t="str">
        <f t="shared" si="5"/>
        <v>4052</v>
      </c>
    </row>
    <row r="164" spans="1:8" x14ac:dyDescent="0.25">
      <c r="A164" s="8">
        <v>43020.665532407409</v>
      </c>
      <c r="B164" s="20" t="s">
        <v>571</v>
      </c>
      <c r="C164" s="20" t="s">
        <v>742</v>
      </c>
      <c r="D164" s="138">
        <v>2680000</v>
      </c>
      <c r="E164" s="20" t="s">
        <v>365</v>
      </c>
      <c r="F164" s="20" t="s">
        <v>366</v>
      </c>
      <c r="G164" s="8" t="str">
        <f t="shared" si="4"/>
        <v>DUNCAN SHEILA</v>
      </c>
      <c r="H164" s="20" t="str">
        <f t="shared" si="5"/>
        <v>4029</v>
      </c>
    </row>
    <row r="165" spans="1:8" x14ac:dyDescent="0.25">
      <c r="A165" s="8">
        <v>43020.669479166667</v>
      </c>
      <c r="B165" s="20" t="s">
        <v>414</v>
      </c>
      <c r="C165" s="20" t="s">
        <v>743</v>
      </c>
      <c r="D165" s="138">
        <v>1300000</v>
      </c>
      <c r="E165" s="20" t="s">
        <v>406</v>
      </c>
      <c r="F165" s="20" t="s">
        <v>407</v>
      </c>
      <c r="G165" s="8" t="str">
        <f t="shared" si="4"/>
        <v>LEVIN SCOTT</v>
      </c>
      <c r="H165" s="20" t="str">
        <f t="shared" si="5"/>
        <v>4065</v>
      </c>
    </row>
    <row r="166" spans="1:8" x14ac:dyDescent="0.25">
      <c r="A166" s="8">
        <v>43020.669687499998</v>
      </c>
      <c r="B166" s="20" t="s">
        <v>571</v>
      </c>
      <c r="C166" s="20" t="s">
        <v>742</v>
      </c>
      <c r="D166" s="138">
        <v>2680000</v>
      </c>
      <c r="E166" s="20" t="s">
        <v>365</v>
      </c>
      <c r="F166" s="20" t="s">
        <v>366</v>
      </c>
      <c r="G166" s="8" t="str">
        <f t="shared" si="4"/>
        <v>DUNCAN SHEILA</v>
      </c>
      <c r="H166" s="20" t="str">
        <f t="shared" si="5"/>
        <v>4029</v>
      </c>
    </row>
    <row r="167" spans="1:8" x14ac:dyDescent="0.25">
      <c r="A167" s="8">
        <v>43020.672233796293</v>
      </c>
      <c r="B167" s="20" t="s">
        <v>569</v>
      </c>
      <c r="C167" s="20" t="s">
        <v>744</v>
      </c>
      <c r="D167" s="138">
        <v>2000000</v>
      </c>
      <c r="E167" s="20" t="s">
        <v>373</v>
      </c>
      <c r="F167" s="20" t="s">
        <v>362</v>
      </c>
      <c r="G167" s="8" t="str">
        <f t="shared" si="4"/>
        <v>STAMBAUGH JAMES</v>
      </c>
      <c r="H167" s="20" t="str">
        <f t="shared" si="5"/>
        <v>4042</v>
      </c>
    </row>
    <row r="168" spans="1:8" x14ac:dyDescent="0.25">
      <c r="A168" s="8">
        <v>43020.673900462964</v>
      </c>
      <c r="B168" s="20" t="s">
        <v>631</v>
      </c>
      <c r="C168" s="20" t="s">
        <v>745</v>
      </c>
      <c r="D168" s="138">
        <v>2030000</v>
      </c>
      <c r="E168" s="20" t="s">
        <v>505</v>
      </c>
      <c r="F168" s="20" t="s">
        <v>506</v>
      </c>
      <c r="G168" s="8" t="str">
        <f t="shared" si="4"/>
        <v>KILLION DAVID</v>
      </c>
      <c r="H168" s="20" t="str">
        <f t="shared" si="5"/>
        <v>4004</v>
      </c>
    </row>
    <row r="169" spans="1:8" x14ac:dyDescent="0.25">
      <c r="A169" s="8">
        <v>43020.679918981485</v>
      </c>
      <c r="B169" s="20" t="s">
        <v>493</v>
      </c>
      <c r="C169" s="20" t="s">
        <v>746</v>
      </c>
      <c r="D169" s="138">
        <v>2350000</v>
      </c>
      <c r="E169" s="20" t="s">
        <v>734</v>
      </c>
      <c r="F169" s="20" t="s">
        <v>735</v>
      </c>
      <c r="G169" s="8" t="str">
        <f t="shared" si="4"/>
        <v>BERLING GARY</v>
      </c>
      <c r="H169" s="20" t="str">
        <f t="shared" si="5"/>
        <v>4001</v>
      </c>
    </row>
    <row r="170" spans="1:8" x14ac:dyDescent="0.25">
      <c r="A170" s="8">
        <v>43020.683854166666</v>
      </c>
      <c r="B170" s="20" t="s">
        <v>612</v>
      </c>
      <c r="C170" s="20" t="s">
        <v>747</v>
      </c>
      <c r="D170" s="138">
        <v>1770000</v>
      </c>
      <c r="E170" s="20" t="s">
        <v>460</v>
      </c>
      <c r="F170" s="20" t="s">
        <v>461</v>
      </c>
      <c r="G170" s="8" t="str">
        <f t="shared" si="4"/>
        <v>BRUDER RICHARD</v>
      </c>
      <c r="H170" s="20" t="str">
        <f t="shared" si="5"/>
        <v>4026</v>
      </c>
    </row>
    <row r="171" spans="1:8" x14ac:dyDescent="0.25">
      <c r="A171" s="8">
        <v>43020.686296296299</v>
      </c>
      <c r="B171" s="20" t="s">
        <v>565</v>
      </c>
      <c r="C171" s="20" t="s">
        <v>748</v>
      </c>
      <c r="D171" s="138">
        <v>2000000</v>
      </c>
      <c r="E171" s="20" t="s">
        <v>373</v>
      </c>
      <c r="F171" s="20" t="s">
        <v>362</v>
      </c>
      <c r="G171" s="8" t="str">
        <f t="shared" si="4"/>
        <v>STAMBAUGH JAMES</v>
      </c>
      <c r="H171" s="20" t="str">
        <f t="shared" si="5"/>
        <v>4041</v>
      </c>
    </row>
    <row r="172" spans="1:8" x14ac:dyDescent="0.25">
      <c r="A172" s="8">
        <v>43020.686793981484</v>
      </c>
      <c r="B172" s="20" t="s">
        <v>561</v>
      </c>
      <c r="C172" s="20" t="s">
        <v>749</v>
      </c>
      <c r="D172" s="138">
        <v>2680000</v>
      </c>
      <c r="E172" s="20" t="s">
        <v>365</v>
      </c>
      <c r="F172" s="20" t="s">
        <v>366</v>
      </c>
      <c r="G172" s="8" t="str">
        <f t="shared" si="4"/>
        <v>DUNCAN SHEILA</v>
      </c>
      <c r="H172" s="20" t="str">
        <f t="shared" si="5"/>
        <v>4030</v>
      </c>
    </row>
    <row r="173" spans="1:8" x14ac:dyDescent="0.25">
      <c r="A173" s="8">
        <v>43020.689143518517</v>
      </c>
      <c r="B173" s="20" t="s">
        <v>619</v>
      </c>
      <c r="C173" s="20" t="s">
        <v>750</v>
      </c>
      <c r="D173" s="138">
        <v>1180000</v>
      </c>
      <c r="E173" s="20" t="s">
        <v>404</v>
      </c>
      <c r="F173" s="20" t="s">
        <v>405</v>
      </c>
      <c r="G173" s="8" t="str">
        <f t="shared" si="4"/>
        <v>LEVERE CRAIG</v>
      </c>
      <c r="H173" s="20" t="str">
        <f t="shared" si="5"/>
        <v>4053</v>
      </c>
    </row>
    <row r="174" spans="1:8" x14ac:dyDescent="0.25">
      <c r="A174" s="8">
        <v>43020.68959490741</v>
      </c>
      <c r="B174" s="20" t="s">
        <v>455</v>
      </c>
      <c r="C174" s="20" t="s">
        <v>751</v>
      </c>
      <c r="D174" s="138">
        <v>1810000</v>
      </c>
      <c r="E174" s="20" t="s">
        <v>464</v>
      </c>
      <c r="F174" s="20" t="s">
        <v>362</v>
      </c>
      <c r="G174" s="8" t="str">
        <f t="shared" si="4"/>
        <v>NEWELL JAMES</v>
      </c>
      <c r="H174" s="20" t="str">
        <f t="shared" si="5"/>
        <v>4020</v>
      </c>
    </row>
    <row r="175" spans="1:8" x14ac:dyDescent="0.25">
      <c r="A175" s="8">
        <v>43020.695138888892</v>
      </c>
      <c r="B175" s="20" t="s">
        <v>385</v>
      </c>
      <c r="C175" s="20" t="s">
        <v>752</v>
      </c>
      <c r="D175" s="138">
        <v>880000</v>
      </c>
      <c r="E175" s="20" t="s">
        <v>442</v>
      </c>
      <c r="F175" s="20" t="s">
        <v>398</v>
      </c>
      <c r="G175" s="8" t="str">
        <f t="shared" si="4"/>
        <v>STEWART MICHAEL</v>
      </c>
      <c r="H175" s="20" t="str">
        <f t="shared" si="5"/>
        <v>4064</v>
      </c>
    </row>
    <row r="176" spans="1:8" x14ac:dyDescent="0.25">
      <c r="A176" s="8">
        <v>43020.701331018521</v>
      </c>
      <c r="B176" s="20" t="s">
        <v>438</v>
      </c>
      <c r="C176" s="20" t="s">
        <v>595</v>
      </c>
      <c r="D176" s="138">
        <v>2550000</v>
      </c>
      <c r="E176" s="20" t="s">
        <v>687</v>
      </c>
      <c r="F176" s="20" t="s">
        <v>688</v>
      </c>
      <c r="G176" s="8" t="str">
        <f t="shared" si="4"/>
        <v>BADERTSCHER DIANE</v>
      </c>
      <c r="H176" s="20" t="str">
        <f t="shared" si="5"/>
        <v>4051</v>
      </c>
    </row>
    <row r="177" spans="1:8" x14ac:dyDescent="0.25">
      <c r="A177" s="8">
        <v>43020.705439814818</v>
      </c>
      <c r="B177" s="20" t="s">
        <v>413</v>
      </c>
      <c r="C177" s="20" t="s">
        <v>753</v>
      </c>
      <c r="D177" s="138">
        <v>1300000</v>
      </c>
      <c r="E177" s="20" t="s">
        <v>406</v>
      </c>
      <c r="F177" s="20" t="s">
        <v>407</v>
      </c>
      <c r="G177" s="8" t="str">
        <f t="shared" si="4"/>
        <v>LEVIN SCOTT</v>
      </c>
      <c r="H177" s="20" t="str">
        <f t="shared" si="5"/>
        <v>4066</v>
      </c>
    </row>
    <row r="178" spans="1:8" x14ac:dyDescent="0.25">
      <c r="A178" s="8">
        <v>43020.70579861111</v>
      </c>
      <c r="B178" s="20" t="s">
        <v>571</v>
      </c>
      <c r="C178" s="20" t="s">
        <v>754</v>
      </c>
      <c r="D178" s="138">
        <v>2680000</v>
      </c>
      <c r="E178" s="20" t="s">
        <v>365</v>
      </c>
      <c r="F178" s="20" t="s">
        <v>366</v>
      </c>
      <c r="G178" s="8" t="str">
        <f t="shared" si="4"/>
        <v>DUNCAN SHEILA</v>
      </c>
      <c r="H178" s="20" t="str">
        <f t="shared" si="5"/>
        <v>4029</v>
      </c>
    </row>
    <row r="179" spans="1:8" x14ac:dyDescent="0.25">
      <c r="A179" s="8">
        <v>43020.709965277776</v>
      </c>
      <c r="B179" s="20" t="s">
        <v>413</v>
      </c>
      <c r="C179" s="20" t="s">
        <v>753</v>
      </c>
      <c r="D179" s="138">
        <v>1300000</v>
      </c>
      <c r="E179" s="20" t="s">
        <v>406</v>
      </c>
      <c r="F179" s="20" t="s">
        <v>407</v>
      </c>
      <c r="G179" s="8" t="str">
        <f t="shared" si="4"/>
        <v>LEVIN SCOTT</v>
      </c>
      <c r="H179" s="20" t="str">
        <f t="shared" si="5"/>
        <v>4066</v>
      </c>
    </row>
    <row r="180" spans="1:8" x14ac:dyDescent="0.25">
      <c r="A180" s="8">
        <v>43020.710324074076</v>
      </c>
      <c r="B180" s="20" t="s">
        <v>585</v>
      </c>
      <c r="C180" s="20" t="s">
        <v>597</v>
      </c>
      <c r="D180" s="138">
        <v>2030000</v>
      </c>
      <c r="E180" s="20" t="s">
        <v>505</v>
      </c>
      <c r="F180" s="20" t="s">
        <v>506</v>
      </c>
      <c r="G180" s="8" t="str">
        <f t="shared" si="4"/>
        <v>KILLION DAVID</v>
      </c>
      <c r="H180" s="20" t="str">
        <f t="shared" si="5"/>
        <v>4003</v>
      </c>
    </row>
    <row r="181" spans="1:8" x14ac:dyDescent="0.25">
      <c r="A181" s="8">
        <v>43020.710902777777</v>
      </c>
      <c r="B181" s="20" t="s">
        <v>593</v>
      </c>
      <c r="C181" s="20" t="s">
        <v>594</v>
      </c>
      <c r="D181" s="138">
        <v>2370000</v>
      </c>
      <c r="E181" s="20" t="s">
        <v>503</v>
      </c>
      <c r="F181" s="20" t="s">
        <v>504</v>
      </c>
      <c r="G181" s="8" t="str">
        <f t="shared" si="4"/>
        <v>DELGADO DIANAH</v>
      </c>
      <c r="H181" s="20" t="str">
        <f t="shared" si="5"/>
        <v>4062</v>
      </c>
    </row>
    <row r="182" spans="1:8" x14ac:dyDescent="0.25">
      <c r="A182" s="8">
        <v>43020.712719907409</v>
      </c>
      <c r="B182" s="20" t="s">
        <v>569</v>
      </c>
      <c r="C182" s="20" t="s">
        <v>755</v>
      </c>
      <c r="D182" s="138">
        <v>2000000</v>
      </c>
      <c r="E182" s="20" t="s">
        <v>373</v>
      </c>
      <c r="F182" s="20" t="s">
        <v>362</v>
      </c>
      <c r="G182" s="8" t="str">
        <f t="shared" si="4"/>
        <v>STAMBAUGH JAMES</v>
      </c>
      <c r="H182" s="20" t="str">
        <f t="shared" si="5"/>
        <v>4042</v>
      </c>
    </row>
    <row r="183" spans="1:8" x14ac:dyDescent="0.25">
      <c r="A183" s="8">
        <v>43020.713645833333</v>
      </c>
      <c r="B183" s="20" t="s">
        <v>593</v>
      </c>
      <c r="C183" s="20" t="s">
        <v>756</v>
      </c>
      <c r="D183" s="138">
        <v>2370000</v>
      </c>
      <c r="E183" s="20" t="s">
        <v>503</v>
      </c>
      <c r="F183" s="20" t="s">
        <v>504</v>
      </c>
      <c r="G183" s="8" t="str">
        <f t="shared" si="4"/>
        <v>DELGADO DIANAH</v>
      </c>
      <c r="H183" s="20" t="str">
        <f t="shared" si="5"/>
        <v>4062</v>
      </c>
    </row>
    <row r="184" spans="1:8" x14ac:dyDescent="0.25">
      <c r="A184" s="8">
        <v>43020.714884259258</v>
      </c>
      <c r="B184" s="20" t="s">
        <v>502</v>
      </c>
      <c r="C184" s="20" t="s">
        <v>757</v>
      </c>
      <c r="D184" s="138">
        <v>2350000</v>
      </c>
      <c r="E184" s="20" t="s">
        <v>734</v>
      </c>
      <c r="F184" s="20" t="s">
        <v>735</v>
      </c>
      <c r="G184" s="8" t="str">
        <f t="shared" si="4"/>
        <v>BERLING GARY</v>
      </c>
      <c r="H184" s="20" t="str">
        <f t="shared" si="5"/>
        <v>4002</v>
      </c>
    </row>
    <row r="185" spans="1:8" x14ac:dyDescent="0.25">
      <c r="A185" s="8">
        <v>43020.716423611113</v>
      </c>
      <c r="B185" s="20" t="s">
        <v>393</v>
      </c>
      <c r="C185" s="20" t="s">
        <v>756</v>
      </c>
      <c r="D185" s="138">
        <v>2370000</v>
      </c>
      <c r="E185" s="20" t="s">
        <v>503</v>
      </c>
      <c r="F185" s="20" t="s">
        <v>504</v>
      </c>
      <c r="G185" s="8" t="str">
        <f t="shared" si="4"/>
        <v>DELGADO DIANAH</v>
      </c>
      <c r="H185" s="20" t="str">
        <f t="shared" si="5"/>
        <v>4061</v>
      </c>
    </row>
    <row r="186" spans="1:8" x14ac:dyDescent="0.25">
      <c r="A186" s="8">
        <v>43020.725254629629</v>
      </c>
      <c r="B186" s="20" t="s">
        <v>593</v>
      </c>
      <c r="C186" s="20" t="s">
        <v>594</v>
      </c>
      <c r="D186" s="138">
        <v>3030000</v>
      </c>
      <c r="E186" s="20" t="s">
        <v>758</v>
      </c>
      <c r="F186" s="20" t="s">
        <v>759</v>
      </c>
      <c r="G186" s="8" t="str">
        <f t="shared" si="4"/>
        <v>BIRENBAUM THOMAS</v>
      </c>
      <c r="H186" s="20" t="str">
        <f t="shared" si="5"/>
        <v>4062</v>
      </c>
    </row>
    <row r="187" spans="1:8" x14ac:dyDescent="0.25">
      <c r="A187" s="8">
        <v>43020.725601851853</v>
      </c>
      <c r="B187" s="20" t="s">
        <v>576</v>
      </c>
      <c r="C187" s="20" t="s">
        <v>760</v>
      </c>
      <c r="D187" s="138">
        <v>1770000</v>
      </c>
      <c r="E187" s="20" t="s">
        <v>460</v>
      </c>
      <c r="F187" s="20" t="s">
        <v>461</v>
      </c>
      <c r="G187" s="8" t="str">
        <f t="shared" si="4"/>
        <v>BRUDER RICHARD</v>
      </c>
      <c r="H187" s="20" t="str">
        <f t="shared" si="5"/>
        <v>4025</v>
      </c>
    </row>
    <row r="188" spans="1:8" x14ac:dyDescent="0.25">
      <c r="A188" s="8">
        <v>43020.726365740738</v>
      </c>
      <c r="B188" s="20" t="s">
        <v>565</v>
      </c>
      <c r="C188" s="20" t="s">
        <v>761</v>
      </c>
      <c r="D188" s="138">
        <v>2000000</v>
      </c>
      <c r="E188" s="20" t="s">
        <v>373</v>
      </c>
      <c r="F188" s="20" t="s">
        <v>362</v>
      </c>
      <c r="G188" s="8" t="str">
        <f t="shared" si="4"/>
        <v>STAMBAUGH JAMES</v>
      </c>
      <c r="H188" s="20" t="str">
        <f t="shared" si="5"/>
        <v>4041</v>
      </c>
    </row>
    <row r="189" spans="1:8" x14ac:dyDescent="0.25">
      <c r="A189" s="8">
        <v>43020.727638888886</v>
      </c>
      <c r="B189" s="20" t="s">
        <v>561</v>
      </c>
      <c r="C189" s="20" t="s">
        <v>762</v>
      </c>
      <c r="D189" s="138">
        <v>2680000</v>
      </c>
      <c r="E189" s="20" t="s">
        <v>365</v>
      </c>
      <c r="F189" s="20" t="s">
        <v>366</v>
      </c>
      <c r="G189" s="8" t="str">
        <f t="shared" si="4"/>
        <v>DUNCAN SHEILA</v>
      </c>
      <c r="H189" s="20" t="str">
        <f t="shared" si="5"/>
        <v>4030</v>
      </c>
    </row>
    <row r="190" spans="1:8" x14ac:dyDescent="0.25">
      <c r="A190" s="8">
        <v>43020.732638888891</v>
      </c>
      <c r="B190" s="20" t="s">
        <v>494</v>
      </c>
      <c r="C190" s="20" t="s">
        <v>763</v>
      </c>
      <c r="D190" s="138">
        <v>3320000</v>
      </c>
      <c r="E190" s="20" t="s">
        <v>368</v>
      </c>
      <c r="F190" s="20" t="s">
        <v>369</v>
      </c>
      <c r="G190" s="8" t="str">
        <f t="shared" si="4"/>
        <v>NICHOLSON WESLEY</v>
      </c>
      <c r="H190" s="20" t="str">
        <f t="shared" si="5"/>
        <v>4013</v>
      </c>
    </row>
    <row r="191" spans="1:8" x14ac:dyDescent="0.25">
      <c r="A191" s="8">
        <v>43020.741840277777</v>
      </c>
      <c r="B191" s="20" t="s">
        <v>593</v>
      </c>
      <c r="C191" s="20" t="s">
        <v>594</v>
      </c>
      <c r="D191" s="138">
        <v>3030000</v>
      </c>
      <c r="E191" s="20" t="s">
        <v>758</v>
      </c>
      <c r="F191" s="20" t="s">
        <v>759</v>
      </c>
      <c r="G191" s="8" t="str">
        <f t="shared" si="4"/>
        <v>BIRENBAUM THOMAS</v>
      </c>
      <c r="H191" s="20" t="str">
        <f t="shared" si="5"/>
        <v>4062</v>
      </c>
    </row>
    <row r="192" spans="1:8" x14ac:dyDescent="0.25">
      <c r="A192" s="8">
        <v>43020.741967592592</v>
      </c>
      <c r="B192" s="20" t="s">
        <v>496</v>
      </c>
      <c r="C192" s="20" t="s">
        <v>764</v>
      </c>
      <c r="D192" s="138">
        <v>890000</v>
      </c>
      <c r="E192" s="20" t="s">
        <v>359</v>
      </c>
      <c r="F192" s="20" t="s">
        <v>360</v>
      </c>
      <c r="G192" s="8" t="str">
        <f t="shared" si="4"/>
        <v>LOZA FIDEL</v>
      </c>
      <c r="H192" s="20" t="str">
        <f t="shared" si="5"/>
        <v>4014</v>
      </c>
    </row>
    <row r="193" spans="1:8" x14ac:dyDescent="0.25">
      <c r="A193" s="8">
        <v>43020.745254629626</v>
      </c>
      <c r="B193" s="20" t="s">
        <v>496</v>
      </c>
      <c r="C193" s="20" t="s">
        <v>765</v>
      </c>
      <c r="D193" s="138">
        <v>890000</v>
      </c>
      <c r="E193" s="20" t="s">
        <v>359</v>
      </c>
      <c r="F193" s="20" t="s">
        <v>360</v>
      </c>
      <c r="G193" s="8" t="str">
        <f t="shared" si="4"/>
        <v>LOZA FIDEL</v>
      </c>
      <c r="H193" s="20" t="str">
        <f t="shared" si="5"/>
        <v>4014</v>
      </c>
    </row>
    <row r="194" spans="1:8" x14ac:dyDescent="0.25">
      <c r="A194" s="8">
        <v>43020.748472222222</v>
      </c>
      <c r="B194" s="20" t="s">
        <v>571</v>
      </c>
      <c r="C194" s="20" t="s">
        <v>766</v>
      </c>
      <c r="D194" s="138">
        <v>2680000</v>
      </c>
      <c r="E194" s="20" t="s">
        <v>365</v>
      </c>
      <c r="F194" s="20" t="s">
        <v>366</v>
      </c>
      <c r="G194" s="8" t="str">
        <f t="shared" si="4"/>
        <v>DUNCAN SHEILA</v>
      </c>
      <c r="H194" s="20" t="str">
        <f t="shared" si="5"/>
        <v>4029</v>
      </c>
    </row>
    <row r="195" spans="1:8" x14ac:dyDescent="0.25">
      <c r="A195" s="8">
        <v>43020.754560185182</v>
      </c>
      <c r="B195" s="20" t="s">
        <v>569</v>
      </c>
      <c r="C195" s="20" t="s">
        <v>767</v>
      </c>
      <c r="D195" s="138">
        <v>2000000</v>
      </c>
      <c r="E195" s="20" t="s">
        <v>373</v>
      </c>
      <c r="F195" s="20" t="s">
        <v>362</v>
      </c>
      <c r="G195" s="8" t="str">
        <f t="shared" ref="G195:G258" si="6">E195&amp;" "&amp;F195</f>
        <v>STAMBAUGH JAMES</v>
      </c>
      <c r="H195" s="20" t="str">
        <f t="shared" ref="H195:H258" si="7">MID(B195,13,4)</f>
        <v>4042</v>
      </c>
    </row>
    <row r="196" spans="1:8" x14ac:dyDescent="0.25">
      <c r="A196" s="8">
        <v>43020.75675925926</v>
      </c>
      <c r="B196" s="20" t="s">
        <v>384</v>
      </c>
      <c r="C196" s="20" t="s">
        <v>768</v>
      </c>
      <c r="D196" s="138">
        <v>880000</v>
      </c>
      <c r="E196" s="20" t="s">
        <v>442</v>
      </c>
      <c r="F196" s="20" t="s">
        <v>398</v>
      </c>
      <c r="G196" s="8" t="str">
        <f t="shared" si="6"/>
        <v>STEWART MICHAEL</v>
      </c>
      <c r="H196" s="20" t="str">
        <f t="shared" si="7"/>
        <v>4063</v>
      </c>
    </row>
    <row r="197" spans="1:8" x14ac:dyDescent="0.25">
      <c r="A197" s="8">
        <v>43020.76090277778</v>
      </c>
      <c r="B197" s="20" t="s">
        <v>414</v>
      </c>
      <c r="C197" s="20" t="s">
        <v>769</v>
      </c>
      <c r="D197" s="138">
        <v>1300000</v>
      </c>
      <c r="E197" s="20" t="s">
        <v>406</v>
      </c>
      <c r="F197" s="20" t="s">
        <v>407</v>
      </c>
      <c r="G197" s="8" t="str">
        <f t="shared" si="6"/>
        <v>LEVIN SCOTT</v>
      </c>
      <c r="H197" s="20" t="str">
        <f t="shared" si="7"/>
        <v>4065</v>
      </c>
    </row>
    <row r="198" spans="1:8" x14ac:dyDescent="0.25">
      <c r="A198" s="8">
        <v>43020.76829861111</v>
      </c>
      <c r="B198" s="20" t="s">
        <v>565</v>
      </c>
      <c r="C198" s="20" t="s">
        <v>770</v>
      </c>
      <c r="D198" s="138">
        <v>2000000</v>
      </c>
      <c r="E198" s="20" t="s">
        <v>373</v>
      </c>
      <c r="F198" s="20" t="s">
        <v>362</v>
      </c>
      <c r="G198" s="8" t="str">
        <f t="shared" si="6"/>
        <v>STAMBAUGH JAMES</v>
      </c>
      <c r="H198" s="20" t="str">
        <f t="shared" si="7"/>
        <v>4041</v>
      </c>
    </row>
    <row r="199" spans="1:8" x14ac:dyDescent="0.25">
      <c r="A199" s="8">
        <v>43020.773125</v>
      </c>
      <c r="B199" s="20" t="s">
        <v>561</v>
      </c>
      <c r="C199" s="20" t="s">
        <v>771</v>
      </c>
      <c r="D199" s="138">
        <v>2680000</v>
      </c>
      <c r="E199" s="20" t="s">
        <v>365</v>
      </c>
      <c r="F199" s="20" t="s">
        <v>366</v>
      </c>
      <c r="G199" s="8" t="str">
        <f t="shared" si="6"/>
        <v>DUNCAN SHEILA</v>
      </c>
      <c r="H199" s="20" t="str">
        <f t="shared" si="7"/>
        <v>4030</v>
      </c>
    </row>
    <row r="200" spans="1:8" x14ac:dyDescent="0.25">
      <c r="A200" s="8">
        <v>43020.774988425925</v>
      </c>
      <c r="B200" s="20" t="s">
        <v>493</v>
      </c>
      <c r="C200" s="20" t="s">
        <v>596</v>
      </c>
      <c r="D200" s="138">
        <v>2350000</v>
      </c>
      <c r="E200" s="20" t="s">
        <v>734</v>
      </c>
      <c r="F200" s="20" t="s">
        <v>735</v>
      </c>
      <c r="G200" s="8" t="str">
        <f t="shared" si="6"/>
        <v>BERLING GARY</v>
      </c>
      <c r="H200" s="20" t="str">
        <f t="shared" si="7"/>
        <v>4001</v>
      </c>
    </row>
    <row r="201" spans="1:8" x14ac:dyDescent="0.25">
      <c r="A201" s="8">
        <v>43020.777372685188</v>
      </c>
      <c r="B201" s="20" t="s">
        <v>437</v>
      </c>
      <c r="C201" s="20" t="s">
        <v>772</v>
      </c>
      <c r="D201" s="138">
        <v>2540000</v>
      </c>
      <c r="E201" s="20" t="s">
        <v>416</v>
      </c>
      <c r="F201" s="20" t="s">
        <v>417</v>
      </c>
      <c r="G201" s="8" t="str">
        <f t="shared" si="6"/>
        <v>MCREYNOLDS KYLE</v>
      </c>
      <c r="H201" s="20" t="str">
        <f t="shared" si="7"/>
        <v>4052</v>
      </c>
    </row>
    <row r="202" spans="1:8" x14ac:dyDescent="0.25">
      <c r="A202" s="26">
        <v>43020.778553240743</v>
      </c>
      <c r="B202" s="20" t="s">
        <v>437</v>
      </c>
      <c r="C202" s="20" t="s">
        <v>772</v>
      </c>
      <c r="D202" s="138">
        <v>2540000</v>
      </c>
      <c r="E202" s="20" t="s">
        <v>416</v>
      </c>
      <c r="F202" s="20" t="s">
        <v>417</v>
      </c>
      <c r="G202" s="8" t="str">
        <f t="shared" si="6"/>
        <v>MCREYNOLDS KYLE</v>
      </c>
      <c r="H202" s="20" t="str">
        <f t="shared" si="7"/>
        <v>4052</v>
      </c>
    </row>
    <row r="203" spans="1:8" x14ac:dyDescent="0.25">
      <c r="A203" s="8">
        <v>43020.782395833332</v>
      </c>
      <c r="B203" s="20" t="s">
        <v>631</v>
      </c>
      <c r="C203" s="20" t="s">
        <v>773</v>
      </c>
      <c r="D203" s="138">
        <v>2030000</v>
      </c>
      <c r="E203" s="20" t="s">
        <v>505</v>
      </c>
      <c r="F203" s="20" t="s">
        <v>506</v>
      </c>
      <c r="G203" s="8" t="str">
        <f t="shared" si="6"/>
        <v>KILLION DAVID</v>
      </c>
      <c r="H203" s="20" t="str">
        <f t="shared" si="7"/>
        <v>4004</v>
      </c>
    </row>
    <row r="204" spans="1:8" x14ac:dyDescent="0.25">
      <c r="A204" s="8">
        <v>43020.78292824074</v>
      </c>
      <c r="B204" s="20" t="s">
        <v>393</v>
      </c>
      <c r="C204" s="20" t="s">
        <v>774</v>
      </c>
      <c r="D204" s="138">
        <v>3130000</v>
      </c>
      <c r="E204" s="20" t="s">
        <v>465</v>
      </c>
      <c r="F204" s="20" t="s">
        <v>466</v>
      </c>
      <c r="G204" s="8" t="str">
        <f t="shared" si="6"/>
        <v>ZEWDU DEREJE</v>
      </c>
      <c r="H204" s="20" t="str">
        <f t="shared" si="7"/>
        <v>4061</v>
      </c>
    </row>
    <row r="205" spans="1:8" x14ac:dyDescent="0.25">
      <c r="A205" s="8">
        <v>43020.78396990741</v>
      </c>
      <c r="B205" s="20" t="s">
        <v>631</v>
      </c>
      <c r="C205" s="20" t="s">
        <v>775</v>
      </c>
      <c r="D205" s="138">
        <v>2030000</v>
      </c>
      <c r="E205" s="20" t="s">
        <v>505</v>
      </c>
      <c r="F205" s="20" t="s">
        <v>506</v>
      </c>
      <c r="G205" s="8" t="str">
        <f t="shared" si="6"/>
        <v>KILLION DAVID</v>
      </c>
      <c r="H205" s="20" t="str">
        <f t="shared" si="7"/>
        <v>4004</v>
      </c>
    </row>
    <row r="206" spans="1:8" x14ac:dyDescent="0.25">
      <c r="A206" s="8">
        <v>43020.788113425922</v>
      </c>
      <c r="B206" s="20" t="s">
        <v>612</v>
      </c>
      <c r="C206" s="20" t="s">
        <v>776</v>
      </c>
      <c r="D206" s="138">
        <v>3490000</v>
      </c>
      <c r="E206" s="20" t="s">
        <v>777</v>
      </c>
      <c r="F206" s="20" t="s">
        <v>778</v>
      </c>
      <c r="G206" s="8" t="str">
        <f t="shared" si="6"/>
        <v>WEST BRYAN</v>
      </c>
      <c r="H206" s="20" t="str">
        <f t="shared" si="7"/>
        <v>4026</v>
      </c>
    </row>
    <row r="207" spans="1:8" x14ac:dyDescent="0.25">
      <c r="A207" s="8">
        <v>43020.789085648146</v>
      </c>
      <c r="B207" s="20" t="s">
        <v>571</v>
      </c>
      <c r="C207" s="20" t="s">
        <v>779</v>
      </c>
      <c r="D207" s="138">
        <v>2680000</v>
      </c>
      <c r="E207" s="20" t="s">
        <v>365</v>
      </c>
      <c r="F207" s="20" t="s">
        <v>366</v>
      </c>
      <c r="G207" s="8" t="str">
        <f t="shared" si="6"/>
        <v>DUNCAN SHEILA</v>
      </c>
      <c r="H207" s="20" t="str">
        <f t="shared" si="7"/>
        <v>4029</v>
      </c>
    </row>
    <row r="208" spans="1:8" x14ac:dyDescent="0.25">
      <c r="A208" s="8">
        <v>43020.789236111108</v>
      </c>
      <c r="B208" s="20" t="s">
        <v>494</v>
      </c>
      <c r="C208" s="20" t="s">
        <v>599</v>
      </c>
      <c r="D208" s="138">
        <v>890000</v>
      </c>
      <c r="E208" s="20" t="s">
        <v>359</v>
      </c>
      <c r="F208" s="20" t="s">
        <v>360</v>
      </c>
      <c r="G208" s="8" t="str">
        <f t="shared" si="6"/>
        <v>LOZA FIDEL</v>
      </c>
      <c r="H208" s="20" t="str">
        <f t="shared" si="7"/>
        <v>4013</v>
      </c>
    </row>
    <row r="209" spans="1:8" x14ac:dyDescent="0.25">
      <c r="A209" s="8">
        <v>43020.796701388892</v>
      </c>
      <c r="B209" s="20" t="s">
        <v>569</v>
      </c>
      <c r="C209" s="20" t="s">
        <v>598</v>
      </c>
      <c r="D209" s="138">
        <v>2000000</v>
      </c>
      <c r="E209" s="20" t="s">
        <v>373</v>
      </c>
      <c r="F209" s="20" t="s">
        <v>362</v>
      </c>
      <c r="G209" s="8" t="str">
        <f t="shared" si="6"/>
        <v>STAMBAUGH JAMES</v>
      </c>
      <c r="H209" s="20" t="str">
        <f t="shared" si="7"/>
        <v>4042</v>
      </c>
    </row>
    <row r="210" spans="1:8" x14ac:dyDescent="0.25">
      <c r="A210" s="8">
        <v>43020.7969212963</v>
      </c>
      <c r="B210" s="20" t="s">
        <v>385</v>
      </c>
      <c r="C210" s="20" t="s">
        <v>780</v>
      </c>
      <c r="D210" s="138">
        <v>3320000</v>
      </c>
      <c r="E210" s="20" t="s">
        <v>368</v>
      </c>
      <c r="F210" s="20" t="s">
        <v>369</v>
      </c>
      <c r="G210" s="8" t="str">
        <f t="shared" si="6"/>
        <v>NICHOLSON WESLEY</v>
      </c>
      <c r="H210" s="20" t="str">
        <f t="shared" si="7"/>
        <v>4064</v>
      </c>
    </row>
    <row r="211" spans="1:8" x14ac:dyDescent="0.25">
      <c r="A211" s="8">
        <v>43020.79960648148</v>
      </c>
      <c r="B211" s="20" t="s">
        <v>413</v>
      </c>
      <c r="C211" s="20" t="s">
        <v>781</v>
      </c>
      <c r="D211" s="138">
        <v>1300000</v>
      </c>
      <c r="E211" s="20" t="s">
        <v>406</v>
      </c>
      <c r="F211" s="20" t="s">
        <v>407</v>
      </c>
      <c r="G211" s="8" t="str">
        <f t="shared" si="6"/>
        <v>LEVIN SCOTT</v>
      </c>
      <c r="H211" s="20" t="str">
        <f t="shared" si="7"/>
        <v>4066</v>
      </c>
    </row>
    <row r="212" spans="1:8" x14ac:dyDescent="0.25">
      <c r="A212" s="8">
        <v>43020.808472222219</v>
      </c>
      <c r="B212" s="20" t="s">
        <v>438</v>
      </c>
      <c r="C212" s="20" t="s">
        <v>782</v>
      </c>
      <c r="D212" s="138">
        <v>2540000</v>
      </c>
      <c r="E212" s="20" t="s">
        <v>416</v>
      </c>
      <c r="F212" s="20" t="s">
        <v>417</v>
      </c>
      <c r="G212" s="8" t="str">
        <f t="shared" si="6"/>
        <v>MCREYNOLDS KYLE</v>
      </c>
      <c r="H212" s="20" t="str">
        <f t="shared" si="7"/>
        <v>4051</v>
      </c>
    </row>
    <row r="213" spans="1:8" x14ac:dyDescent="0.25">
      <c r="A213" s="8">
        <v>43020.809884259259</v>
      </c>
      <c r="B213" s="20" t="s">
        <v>565</v>
      </c>
      <c r="C213" s="20" t="s">
        <v>783</v>
      </c>
      <c r="D213" s="138">
        <v>2000000</v>
      </c>
      <c r="E213" s="20" t="s">
        <v>373</v>
      </c>
      <c r="F213" s="20" t="s">
        <v>362</v>
      </c>
      <c r="G213" s="8" t="str">
        <f t="shared" si="6"/>
        <v>STAMBAUGH JAMES</v>
      </c>
      <c r="H213" s="20" t="str">
        <f t="shared" si="7"/>
        <v>4041</v>
      </c>
    </row>
    <row r="214" spans="1:8" x14ac:dyDescent="0.25">
      <c r="A214" s="8">
        <v>43020.813159722224</v>
      </c>
      <c r="B214" s="20" t="s">
        <v>502</v>
      </c>
      <c r="C214" s="20" t="s">
        <v>784</v>
      </c>
      <c r="D214" s="138">
        <v>3340000</v>
      </c>
      <c r="E214" s="20" t="s">
        <v>785</v>
      </c>
      <c r="F214" s="20" t="s">
        <v>786</v>
      </c>
      <c r="G214" s="8" t="str">
        <f t="shared" si="6"/>
        <v>ELBAUM MIKE</v>
      </c>
      <c r="H214" s="20" t="str">
        <f t="shared" si="7"/>
        <v>4002</v>
      </c>
    </row>
    <row r="215" spans="1:8" x14ac:dyDescent="0.25">
      <c r="A215" s="8">
        <v>43020.82104166667</v>
      </c>
      <c r="B215" s="20" t="s">
        <v>593</v>
      </c>
      <c r="C215" s="20" t="s">
        <v>773</v>
      </c>
      <c r="D215" s="138">
        <v>3030000</v>
      </c>
      <c r="E215" s="20" t="s">
        <v>758</v>
      </c>
      <c r="F215" s="20" t="s">
        <v>759</v>
      </c>
      <c r="G215" s="8" t="str">
        <f t="shared" si="6"/>
        <v>BIRENBAUM THOMAS</v>
      </c>
      <c r="H215" s="20" t="str">
        <f t="shared" si="7"/>
        <v>4062</v>
      </c>
    </row>
    <row r="216" spans="1:8" x14ac:dyDescent="0.25">
      <c r="A216" s="8">
        <v>43020.823344907411</v>
      </c>
      <c r="B216" s="20" t="s">
        <v>576</v>
      </c>
      <c r="C216" s="20" t="s">
        <v>787</v>
      </c>
      <c r="D216" s="138">
        <v>3490000</v>
      </c>
      <c r="E216" s="20" t="s">
        <v>777</v>
      </c>
      <c r="F216" s="20" t="s">
        <v>778</v>
      </c>
      <c r="G216" s="8" t="str">
        <f t="shared" si="6"/>
        <v>WEST BRYAN</v>
      </c>
      <c r="H216" s="20" t="str">
        <f t="shared" si="7"/>
        <v>4025</v>
      </c>
    </row>
    <row r="217" spans="1:8" x14ac:dyDescent="0.25">
      <c r="A217" s="8">
        <v>43020.838043981479</v>
      </c>
      <c r="B217" s="20" t="s">
        <v>569</v>
      </c>
      <c r="C217" s="20" t="s">
        <v>600</v>
      </c>
      <c r="D217" s="138">
        <v>2000000</v>
      </c>
      <c r="E217" s="20" t="s">
        <v>373</v>
      </c>
      <c r="F217" s="20" t="s">
        <v>362</v>
      </c>
      <c r="G217" s="8" t="str">
        <f t="shared" si="6"/>
        <v>STAMBAUGH JAMES</v>
      </c>
      <c r="H217" s="20" t="str">
        <f t="shared" si="7"/>
        <v>4042</v>
      </c>
    </row>
    <row r="218" spans="1:8" x14ac:dyDescent="0.25">
      <c r="A218" s="8">
        <v>43020.846099537041</v>
      </c>
      <c r="B218" s="20" t="s">
        <v>384</v>
      </c>
      <c r="C218" s="20" t="s">
        <v>788</v>
      </c>
      <c r="D218" s="138">
        <v>3320000</v>
      </c>
      <c r="E218" s="20" t="s">
        <v>368</v>
      </c>
      <c r="F218" s="20" t="s">
        <v>369</v>
      </c>
      <c r="G218" s="8" t="str">
        <f t="shared" si="6"/>
        <v>NICHOLSON WESLEY</v>
      </c>
      <c r="H218" s="20" t="str">
        <f t="shared" si="7"/>
        <v>4063</v>
      </c>
    </row>
    <row r="219" spans="1:8" x14ac:dyDescent="0.25">
      <c r="A219" s="8">
        <v>43020.848414351851</v>
      </c>
      <c r="B219" s="20" t="s">
        <v>437</v>
      </c>
      <c r="C219" s="20" t="s">
        <v>789</v>
      </c>
      <c r="D219" s="138">
        <v>2540000</v>
      </c>
      <c r="E219" s="20" t="s">
        <v>416</v>
      </c>
      <c r="F219" s="20" t="s">
        <v>417</v>
      </c>
      <c r="G219" s="8" t="str">
        <f t="shared" si="6"/>
        <v>MCREYNOLDS KYLE</v>
      </c>
      <c r="H219" s="20" t="str">
        <f t="shared" si="7"/>
        <v>4052</v>
      </c>
    </row>
    <row r="220" spans="1:8" x14ac:dyDescent="0.25">
      <c r="A220" s="8">
        <v>43020.850185185183</v>
      </c>
      <c r="B220" s="20" t="s">
        <v>565</v>
      </c>
      <c r="C220" s="20" t="s">
        <v>790</v>
      </c>
      <c r="D220" s="138">
        <v>2000000</v>
      </c>
      <c r="E220" s="20" t="s">
        <v>373</v>
      </c>
      <c r="F220" s="20" t="s">
        <v>362</v>
      </c>
      <c r="G220" s="8" t="str">
        <f t="shared" si="6"/>
        <v>STAMBAUGH JAMES</v>
      </c>
      <c r="H220" s="20" t="str">
        <f t="shared" si="7"/>
        <v>4041</v>
      </c>
    </row>
    <row r="221" spans="1:8" x14ac:dyDescent="0.25">
      <c r="A221" s="8">
        <v>43020.860115740739</v>
      </c>
      <c r="B221" s="20" t="s">
        <v>493</v>
      </c>
      <c r="C221" s="20" t="s">
        <v>601</v>
      </c>
      <c r="D221" s="138">
        <v>3340000</v>
      </c>
      <c r="E221" s="20" t="s">
        <v>785</v>
      </c>
      <c r="F221" s="20" t="s">
        <v>786</v>
      </c>
      <c r="G221" s="8" t="str">
        <f t="shared" si="6"/>
        <v>ELBAUM MIKE</v>
      </c>
      <c r="H221" s="20" t="str">
        <f t="shared" si="7"/>
        <v>4001</v>
      </c>
    </row>
    <row r="222" spans="1:8" x14ac:dyDescent="0.25">
      <c r="A222" s="8">
        <v>43020.861064814817</v>
      </c>
      <c r="B222" s="20" t="s">
        <v>565</v>
      </c>
      <c r="C222" s="20" t="s">
        <v>790</v>
      </c>
      <c r="D222" s="138">
        <v>2000000</v>
      </c>
      <c r="E222" s="20" t="s">
        <v>373</v>
      </c>
      <c r="F222" s="20" t="s">
        <v>362</v>
      </c>
      <c r="G222" s="8" t="str">
        <f t="shared" si="6"/>
        <v>STAMBAUGH JAMES</v>
      </c>
      <c r="H222" s="20" t="str">
        <f t="shared" si="7"/>
        <v>4041</v>
      </c>
    </row>
    <row r="223" spans="1:8" x14ac:dyDescent="0.25">
      <c r="A223" s="8">
        <v>43020.863032407404</v>
      </c>
      <c r="B223" s="20" t="s">
        <v>612</v>
      </c>
      <c r="C223" s="20" t="s">
        <v>791</v>
      </c>
      <c r="D223" s="138">
        <v>3490000</v>
      </c>
      <c r="E223" s="20" t="s">
        <v>777</v>
      </c>
      <c r="F223" s="20" t="s">
        <v>778</v>
      </c>
      <c r="G223" s="8" t="str">
        <f t="shared" si="6"/>
        <v>WEST BRYAN</v>
      </c>
      <c r="H223" s="20" t="str">
        <f t="shared" si="7"/>
        <v>4026</v>
      </c>
    </row>
    <row r="224" spans="1:8" x14ac:dyDescent="0.25">
      <c r="A224" s="8">
        <v>43020.877152777779</v>
      </c>
      <c r="B224" t="s">
        <v>569</v>
      </c>
      <c r="C224" t="s">
        <v>792</v>
      </c>
      <c r="D224" s="138">
        <v>2680000</v>
      </c>
      <c r="E224" t="s">
        <v>365</v>
      </c>
      <c r="F224" s="20" t="s">
        <v>366</v>
      </c>
      <c r="G224" s="8" t="str">
        <f t="shared" si="6"/>
        <v>DUNCAN SHEILA</v>
      </c>
      <c r="H224" s="20" t="str">
        <f t="shared" si="7"/>
        <v>4042</v>
      </c>
    </row>
    <row r="225" spans="1:8" x14ac:dyDescent="0.25">
      <c r="A225" s="8">
        <v>43020.887777777774</v>
      </c>
      <c r="B225" t="s">
        <v>385</v>
      </c>
      <c r="C225" t="s">
        <v>793</v>
      </c>
      <c r="D225" s="138">
        <v>890000</v>
      </c>
      <c r="E225" t="s">
        <v>359</v>
      </c>
      <c r="F225" s="20" t="s">
        <v>360</v>
      </c>
      <c r="G225" s="8" t="str">
        <f t="shared" si="6"/>
        <v>LOZA FIDEL</v>
      </c>
      <c r="H225" s="20" t="str">
        <f t="shared" si="7"/>
        <v>4064</v>
      </c>
    </row>
    <row r="226" spans="1:8" x14ac:dyDescent="0.25">
      <c r="A226" s="8">
        <v>43020.888692129629</v>
      </c>
      <c r="B226" t="s">
        <v>438</v>
      </c>
      <c r="C226" t="s">
        <v>794</v>
      </c>
      <c r="D226" s="138">
        <v>2540000</v>
      </c>
      <c r="E226" t="s">
        <v>416</v>
      </c>
      <c r="F226" s="20" t="s">
        <v>417</v>
      </c>
      <c r="G226" s="8" t="str">
        <f t="shared" si="6"/>
        <v>MCREYNOLDS KYLE</v>
      </c>
      <c r="H226" s="20" t="str">
        <f t="shared" si="7"/>
        <v>4051</v>
      </c>
    </row>
    <row r="227" spans="1:8" x14ac:dyDescent="0.25">
      <c r="A227" s="8">
        <v>43020.893738425926</v>
      </c>
      <c r="B227" t="s">
        <v>565</v>
      </c>
      <c r="C227" t="s">
        <v>795</v>
      </c>
      <c r="D227" s="138">
        <v>2680000</v>
      </c>
      <c r="E227" t="s">
        <v>365</v>
      </c>
      <c r="F227" s="20" t="s">
        <v>366</v>
      </c>
      <c r="G227" s="8" t="str">
        <f t="shared" si="6"/>
        <v>DUNCAN SHEILA</v>
      </c>
      <c r="H227" s="20" t="str">
        <f t="shared" si="7"/>
        <v>4041</v>
      </c>
    </row>
    <row r="228" spans="1:8" x14ac:dyDescent="0.25">
      <c r="A228" s="8">
        <v>43020.901400462964</v>
      </c>
      <c r="B228" t="s">
        <v>502</v>
      </c>
      <c r="C228" t="s">
        <v>796</v>
      </c>
      <c r="D228" s="138">
        <v>3340000</v>
      </c>
      <c r="E228" t="s">
        <v>785</v>
      </c>
      <c r="F228" s="20" t="s">
        <v>786</v>
      </c>
      <c r="G228" s="8" t="str">
        <f t="shared" si="6"/>
        <v>ELBAUM MIKE</v>
      </c>
      <c r="H228" s="20" t="str">
        <f t="shared" si="7"/>
        <v>4002</v>
      </c>
    </row>
    <row r="229" spans="1:8" x14ac:dyDescent="0.25">
      <c r="A229" s="8">
        <v>43020.903854166667</v>
      </c>
      <c r="B229" t="s">
        <v>576</v>
      </c>
      <c r="C229" t="s">
        <v>797</v>
      </c>
      <c r="D229" s="138">
        <v>3490000</v>
      </c>
      <c r="E229" t="s">
        <v>777</v>
      </c>
      <c r="F229" s="20" t="s">
        <v>778</v>
      </c>
      <c r="G229" s="8" t="str">
        <f t="shared" si="6"/>
        <v>WEST BRYAN</v>
      </c>
      <c r="H229" s="20" t="str">
        <f t="shared" si="7"/>
        <v>4025</v>
      </c>
    </row>
    <row r="230" spans="1:8" x14ac:dyDescent="0.25">
      <c r="A230" s="8">
        <v>43020.915335648147</v>
      </c>
      <c r="B230" t="s">
        <v>569</v>
      </c>
      <c r="C230" t="s">
        <v>798</v>
      </c>
      <c r="D230" s="138">
        <v>2680000</v>
      </c>
      <c r="E230" t="s">
        <v>365</v>
      </c>
      <c r="F230" s="20" t="s">
        <v>366</v>
      </c>
      <c r="G230" s="8" t="str">
        <f t="shared" si="6"/>
        <v>DUNCAN SHEILA</v>
      </c>
      <c r="H230" s="20" t="str">
        <f t="shared" si="7"/>
        <v>4042</v>
      </c>
    </row>
    <row r="231" spans="1:8" x14ac:dyDescent="0.25">
      <c r="A231" s="8">
        <v>43020.932835648149</v>
      </c>
      <c r="B231" t="s">
        <v>437</v>
      </c>
      <c r="C231" t="s">
        <v>799</v>
      </c>
      <c r="D231" s="138">
        <v>2540000</v>
      </c>
      <c r="E231" t="s">
        <v>416</v>
      </c>
      <c r="F231" s="20" t="s">
        <v>417</v>
      </c>
      <c r="G231" s="8" t="str">
        <f t="shared" si="6"/>
        <v>MCREYNOLDS KYLE</v>
      </c>
      <c r="H231" s="20" t="str">
        <f t="shared" si="7"/>
        <v>4052</v>
      </c>
    </row>
    <row r="232" spans="1:8" x14ac:dyDescent="0.25">
      <c r="A232" s="8">
        <v>43020.934965277775</v>
      </c>
      <c r="B232" t="s">
        <v>384</v>
      </c>
      <c r="C232" t="s">
        <v>800</v>
      </c>
      <c r="D232" s="138">
        <v>890000</v>
      </c>
      <c r="E232" t="s">
        <v>359</v>
      </c>
      <c r="F232" s="20" t="s">
        <v>360</v>
      </c>
      <c r="G232" s="8" t="str">
        <f t="shared" si="6"/>
        <v>LOZA FIDEL</v>
      </c>
      <c r="H232" s="20" t="str">
        <f t="shared" si="7"/>
        <v>4063</v>
      </c>
    </row>
    <row r="233" spans="1:8" x14ac:dyDescent="0.25">
      <c r="A233" s="8">
        <v>43020.93681712963</v>
      </c>
      <c r="B233" t="s">
        <v>565</v>
      </c>
      <c r="C233" t="s">
        <v>801</v>
      </c>
      <c r="D233" s="138">
        <v>2680000</v>
      </c>
      <c r="E233" t="s">
        <v>365</v>
      </c>
      <c r="F233" s="20" t="s">
        <v>366</v>
      </c>
      <c r="G233" s="8" t="str">
        <f t="shared" si="6"/>
        <v>DUNCAN SHEILA</v>
      </c>
      <c r="H233" s="20" t="str">
        <f t="shared" si="7"/>
        <v>4041</v>
      </c>
    </row>
    <row r="234" spans="1:8" x14ac:dyDescent="0.25">
      <c r="A234" s="8">
        <v>43020.943472222221</v>
      </c>
      <c r="B234" t="s">
        <v>493</v>
      </c>
      <c r="C234" t="s">
        <v>802</v>
      </c>
      <c r="D234" s="138">
        <v>3340000</v>
      </c>
      <c r="E234" t="s">
        <v>785</v>
      </c>
      <c r="F234" s="20" t="s">
        <v>786</v>
      </c>
      <c r="G234" s="8" t="str">
        <f t="shared" si="6"/>
        <v>ELBAUM MIKE</v>
      </c>
      <c r="H234" s="20" t="str">
        <f t="shared" si="7"/>
        <v>4001</v>
      </c>
    </row>
    <row r="235" spans="1:8" x14ac:dyDescent="0.25">
      <c r="A235" s="8">
        <v>43020.947511574072</v>
      </c>
      <c r="B235" t="s">
        <v>612</v>
      </c>
      <c r="C235" t="s">
        <v>803</v>
      </c>
      <c r="D235" s="138">
        <v>3490000</v>
      </c>
      <c r="E235" t="s">
        <v>777</v>
      </c>
      <c r="F235" s="20" t="s">
        <v>778</v>
      </c>
      <c r="G235" s="8" t="str">
        <f t="shared" si="6"/>
        <v>WEST BRYAN</v>
      </c>
      <c r="H235" s="20" t="str">
        <f t="shared" si="7"/>
        <v>4026</v>
      </c>
    </row>
    <row r="236" spans="1:8" x14ac:dyDescent="0.25">
      <c r="A236" s="8">
        <v>43020.956712962965</v>
      </c>
      <c r="B236" t="s">
        <v>569</v>
      </c>
      <c r="C236" t="s">
        <v>804</v>
      </c>
      <c r="D236" s="138">
        <v>2680000</v>
      </c>
      <c r="E236" t="s">
        <v>365</v>
      </c>
      <c r="F236" s="20" t="s">
        <v>366</v>
      </c>
      <c r="G236" s="8" t="str">
        <f t="shared" si="6"/>
        <v>DUNCAN SHEILA</v>
      </c>
      <c r="H236" s="20" t="str">
        <f t="shared" si="7"/>
        <v>4042</v>
      </c>
    </row>
    <row r="237" spans="1:8" x14ac:dyDescent="0.25">
      <c r="A237" s="8">
        <v>43020.969814814816</v>
      </c>
      <c r="B237" t="s">
        <v>385</v>
      </c>
      <c r="C237" t="s">
        <v>805</v>
      </c>
      <c r="D237" s="138">
        <v>890000</v>
      </c>
      <c r="E237" t="s">
        <v>359</v>
      </c>
      <c r="F237" s="20" t="s">
        <v>360</v>
      </c>
      <c r="G237" s="8" t="str">
        <f t="shared" si="6"/>
        <v>LOZA FIDEL</v>
      </c>
      <c r="H237" s="20" t="str">
        <f t="shared" si="7"/>
        <v>4064</v>
      </c>
    </row>
    <row r="238" spans="1:8" x14ac:dyDescent="0.25">
      <c r="A238" s="8">
        <v>43020.972037037034</v>
      </c>
      <c r="B238" t="s">
        <v>438</v>
      </c>
      <c r="C238" t="s">
        <v>806</v>
      </c>
      <c r="D238" s="138">
        <v>2540000</v>
      </c>
      <c r="E238" t="s">
        <v>416</v>
      </c>
      <c r="F238" s="20" t="s">
        <v>417</v>
      </c>
      <c r="G238" s="8" t="str">
        <f t="shared" si="6"/>
        <v>MCREYNOLDS KYLE</v>
      </c>
      <c r="H238" s="20" t="str">
        <f t="shared" si="7"/>
        <v>4051</v>
      </c>
    </row>
    <row r="239" spans="1:8" x14ac:dyDescent="0.25">
      <c r="A239" s="8">
        <v>43020.976967592593</v>
      </c>
      <c r="B239" t="s">
        <v>565</v>
      </c>
      <c r="C239" t="s">
        <v>807</v>
      </c>
      <c r="D239" s="138">
        <v>2680000</v>
      </c>
      <c r="E239" t="s">
        <v>365</v>
      </c>
      <c r="F239" s="20" t="s">
        <v>366</v>
      </c>
      <c r="G239" s="8" t="str">
        <f t="shared" si="6"/>
        <v>DUNCAN SHEILA</v>
      </c>
      <c r="H239" s="20" t="str">
        <f t="shared" si="7"/>
        <v>4041</v>
      </c>
    </row>
    <row r="240" spans="1:8" x14ac:dyDescent="0.25">
      <c r="A240" s="8">
        <v>43020.991678240738</v>
      </c>
      <c r="B240" t="s">
        <v>502</v>
      </c>
      <c r="C240" t="s">
        <v>808</v>
      </c>
      <c r="D240" s="138">
        <v>3340000</v>
      </c>
      <c r="E240" t="s">
        <v>785</v>
      </c>
      <c r="F240" s="20" t="s">
        <v>786</v>
      </c>
      <c r="G240" s="8" t="str">
        <f t="shared" si="6"/>
        <v>ELBAUM MIKE</v>
      </c>
      <c r="H240" s="20" t="str">
        <f t="shared" si="7"/>
        <v>4002</v>
      </c>
    </row>
    <row r="241" spans="1:8" x14ac:dyDescent="0.25">
      <c r="A241" s="8">
        <v>43020.995243055557</v>
      </c>
      <c r="B241" t="s">
        <v>576</v>
      </c>
      <c r="C241" t="s">
        <v>809</v>
      </c>
      <c r="D241" s="138">
        <v>3490000</v>
      </c>
      <c r="E241" t="s">
        <v>777</v>
      </c>
      <c r="F241" s="20" t="s">
        <v>778</v>
      </c>
      <c r="G241" s="8" t="str">
        <f t="shared" si="6"/>
        <v>WEST BRYAN</v>
      </c>
      <c r="H241" s="20" t="str">
        <f t="shared" si="7"/>
        <v>4025</v>
      </c>
    </row>
    <row r="242" spans="1:8" x14ac:dyDescent="0.25">
      <c r="A242" s="8">
        <v>43021.006111111114</v>
      </c>
      <c r="B242" t="s">
        <v>437</v>
      </c>
      <c r="C242" t="s">
        <v>810</v>
      </c>
      <c r="D242" s="138">
        <v>2540000</v>
      </c>
      <c r="E242" t="s">
        <v>416</v>
      </c>
      <c r="F242" s="20" t="s">
        <v>417</v>
      </c>
      <c r="G242" s="8" t="str">
        <f t="shared" si="6"/>
        <v>MCREYNOLDS KYLE</v>
      </c>
      <c r="H242" s="20" t="str">
        <f t="shared" si="7"/>
        <v>4052</v>
      </c>
    </row>
    <row r="243" spans="1:8" x14ac:dyDescent="0.25">
      <c r="A243" s="8">
        <v>43021.017997685187</v>
      </c>
      <c r="B243" t="s">
        <v>384</v>
      </c>
      <c r="C243" t="s">
        <v>811</v>
      </c>
      <c r="D243" s="138">
        <v>890000</v>
      </c>
      <c r="E243" t="s">
        <v>359</v>
      </c>
      <c r="F243" s="20" t="s">
        <v>360</v>
      </c>
      <c r="G243" s="8" t="str">
        <f t="shared" si="6"/>
        <v>LOZA FIDEL</v>
      </c>
      <c r="H243" s="20" t="str">
        <f t="shared" si="7"/>
        <v>4063</v>
      </c>
    </row>
    <row r="244" spans="1:8" x14ac:dyDescent="0.25">
      <c r="A244" s="8">
        <v>43021.026122685187</v>
      </c>
      <c r="B244" t="s">
        <v>493</v>
      </c>
      <c r="C244" t="s">
        <v>812</v>
      </c>
      <c r="D244" s="138">
        <v>3340000</v>
      </c>
      <c r="E244" t="s">
        <v>785</v>
      </c>
      <c r="F244" s="20" t="s">
        <v>786</v>
      </c>
      <c r="G244" s="8" t="str">
        <f t="shared" si="6"/>
        <v>ELBAUM MIKE</v>
      </c>
      <c r="H244" s="20" t="str">
        <f t="shared" si="7"/>
        <v>4001</v>
      </c>
    </row>
    <row r="245" spans="1:8" x14ac:dyDescent="0.25">
      <c r="A245" s="8">
        <v>43021.028391203705</v>
      </c>
      <c r="B245" t="s">
        <v>612</v>
      </c>
      <c r="C245" t="s">
        <v>813</v>
      </c>
      <c r="D245" s="138">
        <v>3490000</v>
      </c>
      <c r="E245" t="s">
        <v>777</v>
      </c>
      <c r="F245" s="20" t="s">
        <v>778</v>
      </c>
      <c r="G245" s="8" t="str">
        <f t="shared" si="6"/>
        <v>WEST BRYAN</v>
      </c>
      <c r="H245" s="20" t="str">
        <f t="shared" si="7"/>
        <v>4026</v>
      </c>
    </row>
    <row r="246" spans="1:8" x14ac:dyDescent="0.25">
      <c r="A246" s="8">
        <v>43021.04828703704</v>
      </c>
      <c r="B246" t="s">
        <v>385</v>
      </c>
      <c r="C246" t="s">
        <v>814</v>
      </c>
      <c r="D246" s="138">
        <v>890000</v>
      </c>
      <c r="E246" t="s">
        <v>359</v>
      </c>
      <c r="F246" s="20" t="s">
        <v>360</v>
      </c>
      <c r="G246" s="8" t="str">
        <f t="shared" si="6"/>
        <v>LOZA FIDEL</v>
      </c>
      <c r="H246" s="20" t="str">
        <f t="shared" si="7"/>
        <v>4064</v>
      </c>
    </row>
    <row r="247" spans="1:8" x14ac:dyDescent="0.25">
      <c r="A247" s="8">
        <v>43021.056157407409</v>
      </c>
      <c r="B247" t="s">
        <v>438</v>
      </c>
      <c r="C247" t="s">
        <v>815</v>
      </c>
      <c r="D247" s="138">
        <v>2540000</v>
      </c>
      <c r="E247" t="s">
        <v>416</v>
      </c>
      <c r="F247" s="20" t="s">
        <v>417</v>
      </c>
      <c r="G247" s="8" t="str">
        <f t="shared" si="6"/>
        <v>MCREYNOLDS KYLE</v>
      </c>
      <c r="H247" s="20" t="str">
        <f t="shared" si="7"/>
        <v>4051</v>
      </c>
    </row>
    <row r="248" spans="1:8" x14ac:dyDescent="0.25">
      <c r="A248" s="8">
        <v>43021.066805555558</v>
      </c>
      <c r="B248" t="s">
        <v>502</v>
      </c>
      <c r="C248" t="s">
        <v>816</v>
      </c>
      <c r="D248" s="138">
        <v>3340000</v>
      </c>
      <c r="E248" t="s">
        <v>785</v>
      </c>
      <c r="F248" s="20" t="s">
        <v>786</v>
      </c>
      <c r="G248" s="8" t="str">
        <f t="shared" si="6"/>
        <v>ELBAUM MIKE</v>
      </c>
      <c r="H248" s="20" t="str">
        <f t="shared" si="7"/>
        <v>4002</v>
      </c>
    </row>
    <row r="249" spans="1:8" x14ac:dyDescent="0.25">
      <c r="A249" s="8">
        <v>43021.08934027778</v>
      </c>
      <c r="B249" t="s">
        <v>437</v>
      </c>
      <c r="C249" t="s">
        <v>817</v>
      </c>
      <c r="D249" s="138">
        <v>2540000</v>
      </c>
      <c r="E249" t="s">
        <v>416</v>
      </c>
      <c r="F249" s="20" t="s">
        <v>417</v>
      </c>
      <c r="G249" s="8" t="str">
        <f t="shared" si="6"/>
        <v>MCREYNOLDS KYLE</v>
      </c>
      <c r="H249" s="20" t="str">
        <f t="shared" si="7"/>
        <v>4052</v>
      </c>
    </row>
    <row r="250" spans="1:8" x14ac:dyDescent="0.25">
      <c r="A250" s="8">
        <v>43019.975057870368</v>
      </c>
      <c r="B250" t="s">
        <v>384</v>
      </c>
      <c r="C250" t="s">
        <v>509</v>
      </c>
      <c r="D250" s="138">
        <v>2000000</v>
      </c>
      <c r="E250" t="s">
        <v>373</v>
      </c>
      <c r="F250" s="20" t="s">
        <v>362</v>
      </c>
      <c r="G250" s="8" t="str">
        <f t="shared" si="6"/>
        <v>STAMBAUGH JAMES</v>
      </c>
      <c r="H250" s="20" t="str">
        <f t="shared" si="7"/>
        <v>4063</v>
      </c>
    </row>
    <row r="251" spans="1:8" x14ac:dyDescent="0.25">
      <c r="A251" s="8">
        <v>43019.985497685186</v>
      </c>
      <c r="B251" t="s">
        <v>495</v>
      </c>
      <c r="C251" t="s">
        <v>510</v>
      </c>
      <c r="D251" s="138">
        <v>3310000</v>
      </c>
      <c r="E251" t="s">
        <v>388</v>
      </c>
      <c r="F251" s="20" t="s">
        <v>389</v>
      </c>
      <c r="G251" s="8" t="str">
        <f t="shared" si="6"/>
        <v>ANDERS STEVEN</v>
      </c>
      <c r="H251" s="20" t="str">
        <f t="shared" si="7"/>
        <v>4045</v>
      </c>
    </row>
    <row r="252" spans="1:8" x14ac:dyDescent="0.25">
      <c r="A252" s="8">
        <v>43019.98809027778</v>
      </c>
      <c r="B252" t="s">
        <v>497</v>
      </c>
      <c r="C252" t="s">
        <v>511</v>
      </c>
      <c r="D252" s="138">
        <v>890000</v>
      </c>
      <c r="E252" t="s">
        <v>359</v>
      </c>
      <c r="F252" s="20" t="s">
        <v>360</v>
      </c>
      <c r="G252" s="8" t="str">
        <f t="shared" si="6"/>
        <v>LOZA FIDEL</v>
      </c>
      <c r="H252" s="20" t="str">
        <f t="shared" si="7"/>
        <v>4032</v>
      </c>
    </row>
    <row r="253" spans="1:8" x14ac:dyDescent="0.25">
      <c r="A253" s="8">
        <v>43020.005173611113</v>
      </c>
      <c r="B253" t="s">
        <v>494</v>
      </c>
      <c r="C253" t="s">
        <v>512</v>
      </c>
      <c r="D253" s="138">
        <v>2680000</v>
      </c>
      <c r="E253" t="s">
        <v>365</v>
      </c>
      <c r="F253" s="20" t="s">
        <v>366</v>
      </c>
      <c r="G253" s="8" t="str">
        <f t="shared" si="6"/>
        <v>DUNCAN SHEILA</v>
      </c>
      <c r="H253" s="20" t="str">
        <f t="shared" si="7"/>
        <v>4013</v>
      </c>
    </row>
    <row r="254" spans="1:8" x14ac:dyDescent="0.25">
      <c r="A254" s="8">
        <v>43020.006828703707</v>
      </c>
      <c r="B254" t="s">
        <v>432</v>
      </c>
      <c r="C254" t="s">
        <v>513</v>
      </c>
      <c r="D254" s="138">
        <v>2440000</v>
      </c>
      <c r="E254" t="s">
        <v>507</v>
      </c>
      <c r="F254" s="20" t="s">
        <v>508</v>
      </c>
      <c r="G254" s="8" t="str">
        <f t="shared" si="6"/>
        <v>LOPES KIMBERLY</v>
      </c>
      <c r="H254" s="20" t="str">
        <f t="shared" si="7"/>
        <v>4036</v>
      </c>
    </row>
    <row r="255" spans="1:8" x14ac:dyDescent="0.25">
      <c r="A255" s="8">
        <v>43020.027303240742</v>
      </c>
      <c r="B255" t="s">
        <v>439</v>
      </c>
      <c r="C255" t="s">
        <v>514</v>
      </c>
      <c r="D255" s="138">
        <v>3310000</v>
      </c>
      <c r="E255" t="s">
        <v>388</v>
      </c>
      <c r="F255" s="20" t="s">
        <v>389</v>
      </c>
      <c r="G255" s="8" t="str">
        <f t="shared" si="6"/>
        <v>ANDERS STEVEN</v>
      </c>
      <c r="H255" s="20" t="str">
        <f t="shared" si="7"/>
        <v>4046</v>
      </c>
    </row>
    <row r="256" spans="1:8" x14ac:dyDescent="0.25">
      <c r="A256" s="8">
        <v>43020.028726851851</v>
      </c>
      <c r="B256" t="s">
        <v>439</v>
      </c>
      <c r="C256" t="s">
        <v>514</v>
      </c>
      <c r="D256" s="138">
        <v>3310000</v>
      </c>
      <c r="E256" t="s">
        <v>388</v>
      </c>
      <c r="F256" s="20" t="s">
        <v>389</v>
      </c>
      <c r="G256" s="8" t="str">
        <f t="shared" si="6"/>
        <v>ANDERS STEVEN</v>
      </c>
      <c r="H256" s="20" t="str">
        <f t="shared" si="7"/>
        <v>4046</v>
      </c>
    </row>
    <row r="257" spans="1:8" x14ac:dyDescent="0.25">
      <c r="A257" s="8">
        <v>43020.030185185184</v>
      </c>
      <c r="B257" t="s">
        <v>502</v>
      </c>
      <c r="C257" t="s">
        <v>515</v>
      </c>
      <c r="D257" s="138">
        <v>3320000</v>
      </c>
      <c r="E257" t="s">
        <v>368</v>
      </c>
      <c r="F257" s="20" t="s">
        <v>369</v>
      </c>
      <c r="G257" s="8" t="str">
        <f t="shared" si="6"/>
        <v>NICHOLSON WESLEY</v>
      </c>
      <c r="H257" s="20" t="str">
        <f t="shared" si="7"/>
        <v>4002</v>
      </c>
    </row>
    <row r="258" spans="1:8" x14ac:dyDescent="0.25">
      <c r="A258" s="8">
        <v>43020.032430555555</v>
      </c>
      <c r="B258" t="s">
        <v>502</v>
      </c>
      <c r="C258" t="s">
        <v>515</v>
      </c>
      <c r="D258" s="138">
        <v>3320000</v>
      </c>
      <c r="E258" t="s">
        <v>368</v>
      </c>
      <c r="F258" s="20" t="s">
        <v>369</v>
      </c>
      <c r="G258" s="8" t="str">
        <f t="shared" si="6"/>
        <v>NICHOLSON WESLEY</v>
      </c>
      <c r="H258" s="20" t="str">
        <f t="shared" si="7"/>
        <v>4002</v>
      </c>
    </row>
    <row r="259" spans="1:8" x14ac:dyDescent="0.25">
      <c r="A259" s="8">
        <v>43020.03837962963</v>
      </c>
      <c r="B259" t="s">
        <v>493</v>
      </c>
      <c r="C259" t="s">
        <v>516</v>
      </c>
      <c r="D259" s="138">
        <v>3320000</v>
      </c>
      <c r="E259" t="s">
        <v>368</v>
      </c>
      <c r="F259" s="20" t="s">
        <v>369</v>
      </c>
      <c r="G259" s="8" t="str">
        <f t="shared" ref="G259:G273" si="8">E259&amp;" "&amp;F259</f>
        <v>NICHOLSON WESLEY</v>
      </c>
      <c r="H259" s="20" t="str">
        <f t="shared" ref="H259:H273" si="9">MID(B259,13,4)</f>
        <v>4001</v>
      </c>
    </row>
    <row r="260" spans="1:8" x14ac:dyDescent="0.25">
      <c r="A260" s="8">
        <v>43020.039004629631</v>
      </c>
      <c r="B260" t="s">
        <v>500</v>
      </c>
      <c r="C260" t="s">
        <v>517</v>
      </c>
      <c r="D260" s="138">
        <v>890000</v>
      </c>
      <c r="E260" t="s">
        <v>359</v>
      </c>
      <c r="F260" s="20" t="s">
        <v>360</v>
      </c>
      <c r="G260" s="8" t="str">
        <f t="shared" si="8"/>
        <v>LOZA FIDEL</v>
      </c>
      <c r="H260" s="20" t="str">
        <f t="shared" si="9"/>
        <v>4031</v>
      </c>
    </row>
    <row r="261" spans="1:8" x14ac:dyDescent="0.25">
      <c r="A261" s="8">
        <v>43020.040671296294</v>
      </c>
      <c r="B261" t="s">
        <v>493</v>
      </c>
      <c r="C261" t="s">
        <v>516</v>
      </c>
      <c r="D261" s="138">
        <v>3320000</v>
      </c>
      <c r="E261" t="s">
        <v>368</v>
      </c>
      <c r="F261" s="20" t="s">
        <v>369</v>
      </c>
      <c r="G261" s="8" t="str">
        <f t="shared" si="8"/>
        <v>NICHOLSON WESLEY</v>
      </c>
      <c r="H261" s="20" t="str">
        <f t="shared" si="9"/>
        <v>4001</v>
      </c>
    </row>
    <row r="262" spans="1:8" x14ac:dyDescent="0.25">
      <c r="A262" s="8">
        <v>43020.046909722223</v>
      </c>
      <c r="B262" t="s">
        <v>496</v>
      </c>
      <c r="C262" t="s">
        <v>518</v>
      </c>
      <c r="D262" s="138">
        <v>2680000</v>
      </c>
      <c r="E262" t="s">
        <v>365</v>
      </c>
      <c r="F262" s="20" t="s">
        <v>366</v>
      </c>
      <c r="G262" s="8" t="str">
        <f t="shared" si="8"/>
        <v>DUNCAN SHEILA</v>
      </c>
      <c r="H262" s="20" t="str">
        <f t="shared" si="9"/>
        <v>4014</v>
      </c>
    </row>
    <row r="263" spans="1:8" x14ac:dyDescent="0.25">
      <c r="A263" s="8">
        <v>43020.050694444442</v>
      </c>
      <c r="B263" t="s">
        <v>454</v>
      </c>
      <c r="C263" t="s">
        <v>519</v>
      </c>
      <c r="D263" s="138">
        <v>2440000</v>
      </c>
      <c r="E263" t="s">
        <v>507</v>
      </c>
      <c r="F263" s="20" t="s">
        <v>508</v>
      </c>
      <c r="G263" s="8" t="str">
        <f t="shared" si="8"/>
        <v>LOPES KIMBERLY</v>
      </c>
      <c r="H263" s="20" t="str">
        <f t="shared" si="9"/>
        <v>4035</v>
      </c>
    </row>
    <row r="264" spans="1:8" x14ac:dyDescent="0.25">
      <c r="A264" s="8">
        <v>43020.067916666667</v>
      </c>
      <c r="B264" t="s">
        <v>497</v>
      </c>
      <c r="C264" t="s">
        <v>520</v>
      </c>
      <c r="D264" s="138">
        <v>890000</v>
      </c>
      <c r="E264" t="s">
        <v>359</v>
      </c>
      <c r="F264" s="20" t="s">
        <v>360</v>
      </c>
      <c r="G264" s="8" t="str">
        <f t="shared" si="8"/>
        <v>LOZA FIDEL</v>
      </c>
      <c r="H264" s="20" t="str">
        <f t="shared" si="9"/>
        <v>4032</v>
      </c>
    </row>
    <row r="265" spans="1:8" x14ac:dyDescent="0.25">
      <c r="A265" s="8">
        <v>43020.088923611111</v>
      </c>
      <c r="B265" t="s">
        <v>432</v>
      </c>
      <c r="C265" t="s">
        <v>521</v>
      </c>
      <c r="D265" s="138">
        <v>2440000</v>
      </c>
      <c r="E265" t="s">
        <v>507</v>
      </c>
      <c r="F265" s="20" t="s">
        <v>508</v>
      </c>
      <c r="G265" s="8" t="str">
        <f t="shared" si="8"/>
        <v>LOPES KIMBERLY</v>
      </c>
      <c r="H265" s="20" t="str">
        <f t="shared" si="9"/>
        <v>4036</v>
      </c>
    </row>
    <row r="266" spans="1:8" x14ac:dyDescent="0.25">
      <c r="A266" s="8">
        <v>43020.112002314818</v>
      </c>
      <c r="B266" t="s">
        <v>393</v>
      </c>
      <c r="C266" t="s">
        <v>522</v>
      </c>
      <c r="D266" s="138">
        <v>1830000</v>
      </c>
      <c r="E266" t="s">
        <v>377</v>
      </c>
      <c r="F266" s="20" t="s">
        <v>378</v>
      </c>
      <c r="G266" s="8" t="str">
        <f t="shared" si="8"/>
        <v>YORK EDGAR</v>
      </c>
      <c r="H266" s="20" t="str">
        <f t="shared" si="9"/>
        <v>4061</v>
      </c>
    </row>
    <row r="267" spans="1:8" x14ac:dyDescent="0.25">
      <c r="A267" s="8">
        <v>43013.038958333331</v>
      </c>
      <c r="B267" t="s">
        <v>414</v>
      </c>
      <c r="C267" t="s">
        <v>418</v>
      </c>
      <c r="D267" s="138">
        <v>890000</v>
      </c>
      <c r="E267" t="s">
        <v>359</v>
      </c>
      <c r="F267" s="20" t="s">
        <v>360</v>
      </c>
      <c r="G267" s="8" t="str">
        <f t="shared" si="8"/>
        <v>LOZA FIDEL</v>
      </c>
      <c r="H267" s="20" t="str">
        <f t="shared" si="9"/>
        <v>4065</v>
      </c>
    </row>
    <row r="268" spans="1:8" x14ac:dyDescent="0.25">
      <c r="A268" s="8">
        <v>43013.047430555554</v>
      </c>
      <c r="B268" t="s">
        <v>383</v>
      </c>
      <c r="C268" t="s">
        <v>419</v>
      </c>
      <c r="D268" s="138">
        <v>2680000</v>
      </c>
      <c r="E268" t="s">
        <v>365</v>
      </c>
      <c r="F268" s="20" t="s">
        <v>366</v>
      </c>
      <c r="G268" s="8" t="str">
        <f t="shared" si="8"/>
        <v>DUNCAN SHEILA</v>
      </c>
      <c r="H268" s="20" t="str">
        <f t="shared" si="9"/>
        <v>4040</v>
      </c>
    </row>
    <row r="269" spans="1:8" x14ac:dyDescent="0.25">
      <c r="A269" s="8">
        <v>43013.056331018517</v>
      </c>
      <c r="B269" t="s">
        <v>384</v>
      </c>
      <c r="C269" t="s">
        <v>420</v>
      </c>
      <c r="D269" s="138">
        <v>2540000</v>
      </c>
      <c r="E269" t="s">
        <v>416</v>
      </c>
      <c r="F269" s="20" t="s">
        <v>417</v>
      </c>
      <c r="G269" s="8" t="str">
        <f t="shared" si="8"/>
        <v>MCREYNOLDS KYLE</v>
      </c>
      <c r="H269" s="20" t="str">
        <f t="shared" si="9"/>
        <v>4063</v>
      </c>
    </row>
    <row r="270" spans="1:8" x14ac:dyDescent="0.25">
      <c r="A270" s="8">
        <v>43013.06894675926</v>
      </c>
      <c r="B270" t="s">
        <v>413</v>
      </c>
      <c r="C270" t="s">
        <v>415</v>
      </c>
      <c r="D270" s="138">
        <v>890000</v>
      </c>
      <c r="E270" t="s">
        <v>359</v>
      </c>
      <c r="F270" s="20" t="s">
        <v>360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385</v>
      </c>
      <c r="C271" t="s">
        <v>421</v>
      </c>
      <c r="D271" s="138">
        <v>2540000</v>
      </c>
      <c r="E271" t="s">
        <v>416</v>
      </c>
      <c r="F271" s="20" t="s">
        <v>417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394</v>
      </c>
      <c r="C272" t="s">
        <v>422</v>
      </c>
      <c r="D272" s="138">
        <v>900000</v>
      </c>
      <c r="E272" t="s">
        <v>386</v>
      </c>
      <c r="F272" s="20" t="s">
        <v>387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394</v>
      </c>
      <c r="C273" t="s">
        <v>422</v>
      </c>
      <c r="D273" s="138">
        <v>900000</v>
      </c>
      <c r="E273" t="s">
        <v>386</v>
      </c>
      <c r="F273" s="20" t="s">
        <v>387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393</v>
      </c>
      <c r="C274" t="s">
        <v>423</v>
      </c>
      <c r="D274" s="138">
        <v>1830000</v>
      </c>
      <c r="E274" t="s">
        <v>377</v>
      </c>
      <c r="F274" s="20" t="s">
        <v>378</v>
      </c>
    </row>
    <row r="275" spans="1:8" x14ac:dyDescent="0.25">
      <c r="A275" s="8">
        <v>43013.112997685188</v>
      </c>
      <c r="B275" t="s">
        <v>393</v>
      </c>
      <c r="C275" t="s">
        <v>423</v>
      </c>
      <c r="D275" s="138">
        <v>1830000</v>
      </c>
      <c r="E275" t="s">
        <v>377</v>
      </c>
      <c r="F275" s="20" t="s">
        <v>378</v>
      </c>
    </row>
    <row r="276" spans="1:8" x14ac:dyDescent="0.25">
      <c r="A276" s="8">
        <v>43013.113483796296</v>
      </c>
      <c r="B276" t="s">
        <v>393</v>
      </c>
      <c r="C276" t="s">
        <v>423</v>
      </c>
      <c r="D276" s="138">
        <v>1830000</v>
      </c>
      <c r="E276" t="s">
        <v>377</v>
      </c>
      <c r="F276" s="20" t="s">
        <v>378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196" t="s">
        <v>156</v>
      </c>
      <c r="B1" s="196" t="s">
        <v>159</v>
      </c>
      <c r="C1" s="196" t="s">
        <v>152</v>
      </c>
      <c r="D1" s="136" t="s">
        <v>164</v>
      </c>
      <c r="E1" s="196" t="s">
        <v>153</v>
      </c>
      <c r="F1" s="196" t="s">
        <v>151</v>
      </c>
      <c r="G1" s="196" t="s">
        <v>149</v>
      </c>
      <c r="H1" s="196" t="s">
        <v>162</v>
      </c>
      <c r="I1" s="196" t="s">
        <v>163</v>
      </c>
      <c r="J1" s="196" t="s">
        <v>818</v>
      </c>
      <c r="K1" s="196" t="s">
        <v>157</v>
      </c>
      <c r="L1" s="196" t="s">
        <v>155</v>
      </c>
      <c r="M1" s="196" t="s">
        <v>150</v>
      </c>
      <c r="N1" s="196" t="s">
        <v>160</v>
      </c>
      <c r="O1" s="196" t="s">
        <v>343</v>
      </c>
      <c r="P1" s="196" t="s">
        <v>154</v>
      </c>
      <c r="Q1" s="196" t="s">
        <v>161</v>
      </c>
      <c r="R1" s="196" t="s">
        <v>344</v>
      </c>
      <c r="S1" s="196" t="s">
        <v>158</v>
      </c>
      <c r="T1"/>
    </row>
    <row r="2" spans="1:20" x14ac:dyDescent="0.25">
      <c r="A2" s="192">
        <v>45.3</v>
      </c>
      <c r="B2" s="192">
        <v>0.03</v>
      </c>
      <c r="C2" s="192">
        <v>34.83</v>
      </c>
      <c r="D2" s="8">
        <v>43020</v>
      </c>
      <c r="E2" s="192">
        <v>0.67</v>
      </c>
      <c r="F2" s="192" t="s">
        <v>411</v>
      </c>
      <c r="G2" s="192">
        <v>282.93</v>
      </c>
      <c r="H2" s="192">
        <v>0</v>
      </c>
      <c r="I2" s="192">
        <v>0</v>
      </c>
      <c r="J2" s="192"/>
      <c r="K2" s="192">
        <v>1009.93</v>
      </c>
      <c r="L2" s="192" t="s">
        <v>412</v>
      </c>
      <c r="M2" s="192">
        <v>45.3</v>
      </c>
      <c r="N2" s="192">
        <v>1507788000</v>
      </c>
      <c r="O2" s="192">
        <v>0</v>
      </c>
      <c r="P2" s="192">
        <v>3.68</v>
      </c>
      <c r="Q2" s="192">
        <v>196</v>
      </c>
      <c r="R2" s="192">
        <v>2.5</v>
      </c>
      <c r="S2" s="192">
        <v>1.03</v>
      </c>
      <c r="T2"/>
    </row>
    <row r="3" spans="1:20" x14ac:dyDescent="0.25">
      <c r="A3" s="192">
        <v>43.44</v>
      </c>
      <c r="B3" s="192">
        <v>0.09</v>
      </c>
      <c r="C3" s="192">
        <v>34.020000000000003</v>
      </c>
      <c r="D3" s="8">
        <v>43020.041666666664</v>
      </c>
      <c r="E3" s="192">
        <v>0.69</v>
      </c>
      <c r="F3" s="192" t="s">
        <v>411</v>
      </c>
      <c r="G3" s="192">
        <v>282.82</v>
      </c>
      <c r="H3" s="192">
        <v>0</v>
      </c>
      <c r="I3" s="192">
        <v>0</v>
      </c>
      <c r="J3" s="192"/>
      <c r="K3" s="192">
        <v>1009.84</v>
      </c>
      <c r="L3" s="192" t="s">
        <v>412</v>
      </c>
      <c r="M3" s="192">
        <v>43.44</v>
      </c>
      <c r="N3" s="192">
        <v>1507791600</v>
      </c>
      <c r="O3" s="192">
        <v>0</v>
      </c>
      <c r="P3" s="192">
        <v>3.67</v>
      </c>
      <c r="Q3" s="192">
        <v>199</v>
      </c>
      <c r="R3" s="192">
        <v>2.63</v>
      </c>
      <c r="S3" s="192">
        <v>1.1599999999999999</v>
      </c>
      <c r="T3"/>
    </row>
    <row r="4" spans="1:20" x14ac:dyDescent="0.25">
      <c r="A4" s="192">
        <v>42.36</v>
      </c>
      <c r="B4" s="192">
        <v>0.04</v>
      </c>
      <c r="C4" s="192">
        <v>32.97</v>
      </c>
      <c r="D4" s="8">
        <v>43020.083333333336</v>
      </c>
      <c r="E4" s="192">
        <v>0.69</v>
      </c>
      <c r="F4" s="192" t="s">
        <v>411</v>
      </c>
      <c r="G4" s="192">
        <v>282.47000000000003</v>
      </c>
      <c r="H4" s="192">
        <v>0</v>
      </c>
      <c r="I4" s="192">
        <v>0</v>
      </c>
      <c r="J4" s="192"/>
      <c r="K4" s="192">
        <v>1010.36</v>
      </c>
      <c r="L4" s="192" t="s">
        <v>412</v>
      </c>
      <c r="M4" s="192">
        <v>42.36</v>
      </c>
      <c r="N4" s="192">
        <v>1507795200</v>
      </c>
      <c r="O4" s="192">
        <v>0</v>
      </c>
      <c r="P4" s="192">
        <v>3.83</v>
      </c>
      <c r="Q4" s="192">
        <v>190</v>
      </c>
      <c r="R4" s="192">
        <v>2.67</v>
      </c>
      <c r="S4" s="192">
        <v>1.28</v>
      </c>
      <c r="T4"/>
    </row>
    <row r="5" spans="1:20" x14ac:dyDescent="0.25">
      <c r="A5" s="192">
        <v>42</v>
      </c>
      <c r="B5" s="192">
        <v>0.01</v>
      </c>
      <c r="C5" s="192">
        <v>31.83</v>
      </c>
      <c r="D5" s="8">
        <v>43020.125</v>
      </c>
      <c r="E5" s="192">
        <v>0.67</v>
      </c>
      <c r="F5" s="192" t="s">
        <v>411</v>
      </c>
      <c r="G5" s="192">
        <v>281.64999999999998</v>
      </c>
      <c r="H5" s="192">
        <v>0</v>
      </c>
      <c r="I5" s="192">
        <v>0</v>
      </c>
      <c r="J5" s="192"/>
      <c r="K5" s="192">
        <v>1010.03</v>
      </c>
      <c r="L5" s="192" t="s">
        <v>412</v>
      </c>
      <c r="M5" s="192">
        <v>42</v>
      </c>
      <c r="N5" s="192">
        <v>1507798800</v>
      </c>
      <c r="O5" s="192">
        <v>0</v>
      </c>
      <c r="P5" s="192">
        <v>3.97</v>
      </c>
      <c r="Q5" s="192">
        <v>207</v>
      </c>
      <c r="R5" s="192">
        <v>3.27</v>
      </c>
      <c r="S5" s="192">
        <v>1.41</v>
      </c>
      <c r="T5"/>
    </row>
    <row r="6" spans="1:20" x14ac:dyDescent="0.25">
      <c r="A6" s="192">
        <v>42.25</v>
      </c>
      <c r="B6" s="192">
        <v>0.01</v>
      </c>
      <c r="C6" s="192">
        <v>30.84</v>
      </c>
      <c r="D6" s="8">
        <v>43020.166666666664</v>
      </c>
      <c r="E6" s="192">
        <v>0.64</v>
      </c>
      <c r="F6" s="192" t="s">
        <v>411</v>
      </c>
      <c r="G6" s="192">
        <v>280.58999999999997</v>
      </c>
      <c r="H6" s="192">
        <v>0</v>
      </c>
      <c r="I6" s="192">
        <v>0</v>
      </c>
      <c r="J6" s="192"/>
      <c r="K6" s="192">
        <v>1009.2</v>
      </c>
      <c r="L6" s="192" t="s">
        <v>412</v>
      </c>
      <c r="M6" s="192">
        <v>42.25</v>
      </c>
      <c r="N6" s="192">
        <v>1507802400</v>
      </c>
      <c r="O6" s="192">
        <v>0</v>
      </c>
      <c r="P6" s="192">
        <v>3.6</v>
      </c>
      <c r="Q6" s="192">
        <v>213</v>
      </c>
      <c r="R6" s="192">
        <v>3.61</v>
      </c>
      <c r="S6" s="192">
        <v>1.7</v>
      </c>
      <c r="T6"/>
    </row>
    <row r="7" spans="1:20" x14ac:dyDescent="0.25">
      <c r="A7" s="192">
        <v>42.79</v>
      </c>
      <c r="B7" s="192">
        <v>0.02</v>
      </c>
      <c r="C7" s="192">
        <v>29.93</v>
      </c>
      <c r="D7" s="8">
        <v>43020.208333333336</v>
      </c>
      <c r="E7" s="192">
        <v>0.6</v>
      </c>
      <c r="F7" s="192" t="s">
        <v>411</v>
      </c>
      <c r="G7" s="192">
        <v>279.29000000000002</v>
      </c>
      <c r="H7" s="192">
        <v>0</v>
      </c>
      <c r="I7" s="192">
        <v>0</v>
      </c>
      <c r="J7" s="192"/>
      <c r="K7" s="192">
        <v>1009.44</v>
      </c>
      <c r="L7" s="192" t="s">
        <v>412</v>
      </c>
      <c r="M7" s="192">
        <v>42.79</v>
      </c>
      <c r="N7" s="192">
        <v>1507806000</v>
      </c>
      <c r="O7" s="192">
        <v>0</v>
      </c>
      <c r="P7" s="192">
        <v>3.58</v>
      </c>
      <c r="Q7" s="192">
        <v>199</v>
      </c>
      <c r="R7" s="192">
        <v>3.82</v>
      </c>
      <c r="S7" s="192">
        <v>1.57</v>
      </c>
      <c r="T7"/>
    </row>
    <row r="8" spans="1:20" x14ac:dyDescent="0.25">
      <c r="A8" s="192">
        <v>42.72</v>
      </c>
      <c r="B8" s="192">
        <v>0.01</v>
      </c>
      <c r="C8" s="192">
        <v>29.5</v>
      </c>
      <c r="D8" s="8">
        <v>43020.25</v>
      </c>
      <c r="E8" s="192">
        <v>0.59</v>
      </c>
      <c r="F8" s="192" t="s">
        <v>411</v>
      </c>
      <c r="G8" s="192">
        <v>274.75</v>
      </c>
      <c r="H8" s="192">
        <v>0</v>
      </c>
      <c r="I8" s="192">
        <v>0</v>
      </c>
      <c r="J8" s="192"/>
      <c r="K8" s="192">
        <v>1009.05</v>
      </c>
      <c r="L8" s="192" t="s">
        <v>412</v>
      </c>
      <c r="M8" s="192">
        <v>42.72</v>
      </c>
      <c r="N8" s="192">
        <v>1507809600</v>
      </c>
      <c r="O8" s="192">
        <v>0</v>
      </c>
      <c r="P8" s="192">
        <v>3.78</v>
      </c>
      <c r="Q8" s="192">
        <v>196</v>
      </c>
      <c r="R8" s="192">
        <v>4.21</v>
      </c>
      <c r="S8" s="192">
        <v>2.0299999999999998</v>
      </c>
      <c r="T8"/>
    </row>
    <row r="9" spans="1:20" x14ac:dyDescent="0.25">
      <c r="A9" s="192">
        <v>44.2</v>
      </c>
      <c r="B9" s="192">
        <v>0.02</v>
      </c>
      <c r="C9" s="192">
        <v>29.35</v>
      </c>
      <c r="D9" s="8">
        <v>43020.291666666664</v>
      </c>
      <c r="E9" s="192">
        <v>0.56000000000000005</v>
      </c>
      <c r="F9" s="192" t="s">
        <v>411</v>
      </c>
      <c r="G9" s="192">
        <v>273.77999999999997</v>
      </c>
      <c r="H9" s="192">
        <v>0</v>
      </c>
      <c r="I9" s="192">
        <v>0</v>
      </c>
      <c r="J9" s="192"/>
      <c r="K9" s="192">
        <v>1009.75</v>
      </c>
      <c r="L9" s="192" t="s">
        <v>412</v>
      </c>
      <c r="M9" s="192">
        <v>44.2</v>
      </c>
      <c r="N9" s="192">
        <v>1507813200</v>
      </c>
      <c r="O9" s="192">
        <v>0</v>
      </c>
      <c r="P9" s="192">
        <v>5.32</v>
      </c>
      <c r="Q9" s="192">
        <v>197</v>
      </c>
      <c r="R9" s="192">
        <v>4.3899999999999997</v>
      </c>
      <c r="S9" s="192">
        <v>1.94</v>
      </c>
      <c r="T9"/>
    </row>
    <row r="10" spans="1:20" x14ac:dyDescent="0.25">
      <c r="A10" s="192">
        <v>47.09</v>
      </c>
      <c r="B10" s="192">
        <v>0.04</v>
      </c>
      <c r="C10" s="192">
        <v>30.3</v>
      </c>
      <c r="D10" s="8">
        <v>43020.333333333336</v>
      </c>
      <c r="E10" s="192">
        <v>0.52</v>
      </c>
      <c r="F10" s="192" t="s">
        <v>469</v>
      </c>
      <c r="G10" s="192">
        <v>273.54000000000002</v>
      </c>
      <c r="H10" s="192">
        <v>0</v>
      </c>
      <c r="I10" s="192">
        <v>0</v>
      </c>
      <c r="J10" s="192"/>
      <c r="K10" s="192">
        <v>1010.21</v>
      </c>
      <c r="L10" s="192" t="s">
        <v>412</v>
      </c>
      <c r="M10" s="192">
        <v>47.09</v>
      </c>
      <c r="N10" s="192">
        <v>1507816800</v>
      </c>
      <c r="O10" s="192">
        <v>1</v>
      </c>
      <c r="P10" s="192">
        <v>3.57</v>
      </c>
      <c r="Q10" s="192">
        <v>205</v>
      </c>
      <c r="R10" s="192">
        <v>4.29</v>
      </c>
      <c r="S10" s="192">
        <v>1.4</v>
      </c>
      <c r="T10"/>
    </row>
    <row r="11" spans="1:20" x14ac:dyDescent="0.25">
      <c r="A11" s="192">
        <v>54.17</v>
      </c>
      <c r="B11" s="192">
        <v>7.0000000000000007E-2</v>
      </c>
      <c r="C11" s="192">
        <v>33.39</v>
      </c>
      <c r="D11" s="8">
        <v>43020.375</v>
      </c>
      <c r="E11" s="192">
        <v>0.45</v>
      </c>
      <c r="F11" s="192" t="s">
        <v>469</v>
      </c>
      <c r="G11" s="192">
        <v>273.29000000000002</v>
      </c>
      <c r="H11" s="192">
        <v>0</v>
      </c>
      <c r="I11" s="192">
        <v>0</v>
      </c>
      <c r="J11" s="192"/>
      <c r="K11" s="192">
        <v>1010.11</v>
      </c>
      <c r="L11" s="192" t="s">
        <v>412</v>
      </c>
      <c r="M11" s="192">
        <v>54.17</v>
      </c>
      <c r="N11" s="192">
        <v>1507820400</v>
      </c>
      <c r="O11" s="192">
        <v>1</v>
      </c>
      <c r="P11" s="192">
        <v>4.1100000000000003</v>
      </c>
      <c r="Q11" s="192">
        <v>199</v>
      </c>
      <c r="R11" s="192">
        <v>5.2</v>
      </c>
      <c r="S11" s="192">
        <v>1.69</v>
      </c>
      <c r="T11"/>
    </row>
    <row r="12" spans="1:20" x14ac:dyDescent="0.25">
      <c r="A12" s="192">
        <v>63.17</v>
      </c>
      <c r="B12" s="192">
        <v>0.04</v>
      </c>
      <c r="C12" s="192">
        <v>34.04</v>
      </c>
      <c r="D12" s="8">
        <v>43020.416666666664</v>
      </c>
      <c r="E12" s="192">
        <v>0.34</v>
      </c>
      <c r="F12" s="192" t="s">
        <v>469</v>
      </c>
      <c r="G12" s="192">
        <v>272.68</v>
      </c>
      <c r="H12" s="192">
        <v>1E-4</v>
      </c>
      <c r="I12" s="192">
        <v>0.02</v>
      </c>
      <c r="J12" s="192" t="s">
        <v>819</v>
      </c>
      <c r="K12" s="192">
        <v>1009.58</v>
      </c>
      <c r="L12" s="192" t="s">
        <v>412</v>
      </c>
      <c r="M12" s="192">
        <v>63.17</v>
      </c>
      <c r="N12" s="192">
        <v>1507824000</v>
      </c>
      <c r="O12" s="192">
        <v>2</v>
      </c>
      <c r="P12" s="192">
        <v>4.9000000000000004</v>
      </c>
      <c r="Q12" s="192">
        <v>192</v>
      </c>
      <c r="R12" s="192">
        <v>6.85</v>
      </c>
      <c r="S12" s="192">
        <v>2.13</v>
      </c>
      <c r="T12"/>
    </row>
    <row r="13" spans="1:20" x14ac:dyDescent="0.25">
      <c r="A13" s="192">
        <v>69.209999999999994</v>
      </c>
      <c r="B13" s="192">
        <v>0.06</v>
      </c>
      <c r="C13" s="192">
        <v>33.89</v>
      </c>
      <c r="D13" s="8">
        <v>43020.458333333336</v>
      </c>
      <c r="E13" s="192">
        <v>0.27</v>
      </c>
      <c r="F13" s="192" t="s">
        <v>469</v>
      </c>
      <c r="G13" s="192">
        <v>272.08</v>
      </c>
      <c r="H13" s="192">
        <v>0</v>
      </c>
      <c r="I13" s="192">
        <v>0</v>
      </c>
      <c r="J13" s="192"/>
      <c r="K13" s="192">
        <v>1008.44</v>
      </c>
      <c r="L13" s="192" t="s">
        <v>412</v>
      </c>
      <c r="M13" s="192">
        <v>69.209999999999994</v>
      </c>
      <c r="N13" s="192">
        <v>1507827600</v>
      </c>
      <c r="O13" s="192">
        <v>4</v>
      </c>
      <c r="P13" s="192">
        <v>4.68</v>
      </c>
      <c r="Q13" s="192">
        <v>184</v>
      </c>
      <c r="R13" s="192">
        <v>7.49</v>
      </c>
      <c r="S13" s="192">
        <v>2.63</v>
      </c>
      <c r="T13"/>
    </row>
    <row r="14" spans="1:20" x14ac:dyDescent="0.25">
      <c r="A14" s="192">
        <v>73.42</v>
      </c>
      <c r="B14" s="192">
        <v>0.04</v>
      </c>
      <c r="C14" s="192">
        <v>31.45</v>
      </c>
      <c r="D14" s="8">
        <v>43020.5</v>
      </c>
      <c r="E14" s="192">
        <v>0.21</v>
      </c>
      <c r="F14" s="192" t="s">
        <v>469</v>
      </c>
      <c r="G14" s="192">
        <v>274.39</v>
      </c>
      <c r="H14" s="192">
        <v>0</v>
      </c>
      <c r="I14" s="192">
        <v>0</v>
      </c>
      <c r="J14" s="192"/>
      <c r="K14" s="192">
        <v>1007.57</v>
      </c>
      <c r="L14" s="192" t="s">
        <v>412</v>
      </c>
      <c r="M14" s="192">
        <v>73.42</v>
      </c>
      <c r="N14" s="192">
        <v>1507831200</v>
      </c>
      <c r="O14" s="192">
        <v>5</v>
      </c>
      <c r="P14" s="192">
        <v>4.9000000000000004</v>
      </c>
      <c r="Q14" s="192">
        <v>186</v>
      </c>
      <c r="R14" s="192">
        <v>7.66</v>
      </c>
      <c r="S14" s="192">
        <v>2.21</v>
      </c>
      <c r="T14"/>
    </row>
    <row r="15" spans="1:20" x14ac:dyDescent="0.25">
      <c r="A15" s="192">
        <v>76.69</v>
      </c>
      <c r="B15" s="192">
        <v>7.0000000000000007E-2</v>
      </c>
      <c r="C15" s="192">
        <v>28.89</v>
      </c>
      <c r="D15" s="8">
        <v>43020.541666666664</v>
      </c>
      <c r="E15" s="192">
        <v>0.17</v>
      </c>
      <c r="F15" s="192" t="s">
        <v>469</v>
      </c>
      <c r="G15" s="192">
        <v>274.51</v>
      </c>
      <c r="H15" s="192">
        <v>0</v>
      </c>
      <c r="I15" s="192">
        <v>0</v>
      </c>
      <c r="J15" s="192"/>
      <c r="K15" s="192">
        <v>1006.63</v>
      </c>
      <c r="L15" s="192" t="s">
        <v>412</v>
      </c>
      <c r="M15" s="192">
        <v>76.69</v>
      </c>
      <c r="N15" s="192">
        <v>1507834800</v>
      </c>
      <c r="O15" s="192">
        <v>5</v>
      </c>
      <c r="P15" s="192">
        <v>4.9000000000000004</v>
      </c>
      <c r="Q15" s="192">
        <v>127</v>
      </c>
      <c r="R15" s="192">
        <v>7.63</v>
      </c>
      <c r="S15" s="192">
        <v>1.45</v>
      </c>
      <c r="T15"/>
    </row>
    <row r="16" spans="1:20" x14ac:dyDescent="0.25">
      <c r="A16" s="192">
        <v>77.31</v>
      </c>
      <c r="B16" s="192">
        <v>0.05</v>
      </c>
      <c r="C16" s="192">
        <v>28.63</v>
      </c>
      <c r="D16" s="8">
        <v>43020.583333333336</v>
      </c>
      <c r="E16" s="192">
        <v>0.17</v>
      </c>
      <c r="F16" s="192" t="s">
        <v>469</v>
      </c>
      <c r="G16" s="192">
        <v>274.76</v>
      </c>
      <c r="H16" s="192">
        <v>0</v>
      </c>
      <c r="I16" s="192">
        <v>0</v>
      </c>
      <c r="J16" s="192"/>
      <c r="K16" s="192">
        <v>1005.76</v>
      </c>
      <c r="L16" s="192" t="s">
        <v>412</v>
      </c>
      <c r="M16" s="192">
        <v>77.31</v>
      </c>
      <c r="N16" s="192">
        <v>1507838400</v>
      </c>
      <c r="O16" s="192">
        <v>4</v>
      </c>
      <c r="P16" s="192">
        <v>5.0599999999999996</v>
      </c>
      <c r="Q16" s="192">
        <v>80</v>
      </c>
      <c r="R16" s="192">
        <v>8.6199999999999992</v>
      </c>
      <c r="S16" s="192">
        <v>1.98</v>
      </c>
      <c r="T16"/>
    </row>
    <row r="17" spans="1:20" x14ac:dyDescent="0.25">
      <c r="A17" s="192">
        <v>78.22</v>
      </c>
      <c r="B17" s="192">
        <v>0.05</v>
      </c>
      <c r="C17" s="192">
        <v>29.03</v>
      </c>
      <c r="D17" s="8">
        <v>43020.625</v>
      </c>
      <c r="E17" s="192">
        <v>0.16</v>
      </c>
      <c r="F17" s="192" t="s">
        <v>469</v>
      </c>
      <c r="G17" s="192">
        <v>274.76</v>
      </c>
      <c r="H17" s="192">
        <v>0</v>
      </c>
      <c r="I17" s="192">
        <v>0</v>
      </c>
      <c r="J17" s="192"/>
      <c r="K17" s="192">
        <v>1005.45</v>
      </c>
      <c r="L17" s="192" t="s">
        <v>412</v>
      </c>
      <c r="M17" s="192">
        <v>78.22</v>
      </c>
      <c r="N17" s="192">
        <v>1507842000</v>
      </c>
      <c r="O17" s="192">
        <v>3</v>
      </c>
      <c r="P17" s="192">
        <v>4.9000000000000004</v>
      </c>
      <c r="Q17" s="192">
        <v>51</v>
      </c>
      <c r="R17" s="192">
        <v>9.7799999999999994</v>
      </c>
      <c r="S17" s="192">
        <v>2.81</v>
      </c>
      <c r="T17"/>
    </row>
    <row r="18" spans="1:20" x14ac:dyDescent="0.25">
      <c r="A18" s="192">
        <v>77.87</v>
      </c>
      <c r="B18" s="192">
        <v>0.05</v>
      </c>
      <c r="C18" s="192">
        <v>28.76</v>
      </c>
      <c r="D18" s="8">
        <v>43020.666666666664</v>
      </c>
      <c r="E18" s="192">
        <v>0.16</v>
      </c>
      <c r="F18" s="192" t="s">
        <v>469</v>
      </c>
      <c r="G18" s="192">
        <v>274.52</v>
      </c>
      <c r="H18" s="192">
        <v>0</v>
      </c>
      <c r="I18" s="192">
        <v>0</v>
      </c>
      <c r="J18" s="192"/>
      <c r="K18" s="192">
        <v>1005.27</v>
      </c>
      <c r="L18" s="192" t="s">
        <v>412</v>
      </c>
      <c r="M18" s="192">
        <v>77.87</v>
      </c>
      <c r="N18" s="192">
        <v>1507845600</v>
      </c>
      <c r="O18" s="192">
        <v>2</v>
      </c>
      <c r="P18" s="192">
        <v>4.9000000000000004</v>
      </c>
      <c r="Q18" s="192">
        <v>40</v>
      </c>
      <c r="R18" s="192">
        <v>10.01</v>
      </c>
      <c r="S18" s="192">
        <v>3.38</v>
      </c>
      <c r="T18"/>
    </row>
    <row r="19" spans="1:20" x14ac:dyDescent="0.25">
      <c r="A19" s="192">
        <v>75.69</v>
      </c>
      <c r="B19" s="192">
        <v>0.04</v>
      </c>
      <c r="C19" s="192">
        <v>29.95</v>
      </c>
      <c r="D19" s="8">
        <v>43020.708333333336</v>
      </c>
      <c r="E19" s="192">
        <v>0.19</v>
      </c>
      <c r="F19" s="192" t="s">
        <v>469</v>
      </c>
      <c r="G19" s="192">
        <v>274.16000000000003</v>
      </c>
      <c r="H19" s="192">
        <v>0</v>
      </c>
      <c r="I19" s="192">
        <v>0</v>
      </c>
      <c r="J19" s="192"/>
      <c r="K19" s="192">
        <v>1005.98</v>
      </c>
      <c r="L19" s="192" t="s">
        <v>412</v>
      </c>
      <c r="M19" s="192">
        <v>75.69</v>
      </c>
      <c r="N19" s="192">
        <v>1507849200</v>
      </c>
      <c r="O19" s="192">
        <v>1</v>
      </c>
      <c r="P19" s="192">
        <v>4.75</v>
      </c>
      <c r="Q19" s="192">
        <v>29</v>
      </c>
      <c r="R19" s="192">
        <v>9.51</v>
      </c>
      <c r="S19" s="192">
        <v>3.84</v>
      </c>
      <c r="T19"/>
    </row>
    <row r="20" spans="1:20" x14ac:dyDescent="0.25">
      <c r="A20" s="192">
        <v>71.599999999999994</v>
      </c>
      <c r="B20" s="192">
        <v>0.05</v>
      </c>
      <c r="C20" s="192">
        <v>31.73</v>
      </c>
      <c r="D20" s="8">
        <v>43020.75</v>
      </c>
      <c r="E20" s="192">
        <v>0.23</v>
      </c>
      <c r="F20" s="192" t="s">
        <v>469</v>
      </c>
      <c r="G20" s="192">
        <v>272.22000000000003</v>
      </c>
      <c r="H20" s="192">
        <v>0</v>
      </c>
      <c r="I20" s="192">
        <v>0</v>
      </c>
      <c r="J20" s="192"/>
      <c r="K20" s="192">
        <v>1007.1</v>
      </c>
      <c r="L20" s="192" t="s">
        <v>412</v>
      </c>
      <c r="M20" s="192">
        <v>71.599999999999994</v>
      </c>
      <c r="N20" s="192">
        <v>1507852800</v>
      </c>
      <c r="O20" s="192">
        <v>0</v>
      </c>
      <c r="P20" s="192">
        <v>4.3899999999999997</v>
      </c>
      <c r="Q20" s="192">
        <v>16</v>
      </c>
      <c r="R20" s="192">
        <v>7.84</v>
      </c>
      <c r="S20" s="192">
        <v>2.98</v>
      </c>
      <c r="T20"/>
    </row>
    <row r="21" spans="1:20" x14ac:dyDescent="0.25">
      <c r="A21" s="192">
        <v>64.66</v>
      </c>
      <c r="B21" s="192">
        <v>0.04</v>
      </c>
      <c r="C21" s="192">
        <v>33.28</v>
      </c>
      <c r="D21" s="8">
        <v>43020.791666666664</v>
      </c>
      <c r="E21" s="192">
        <v>0.31</v>
      </c>
      <c r="F21" s="192" t="s">
        <v>411</v>
      </c>
      <c r="G21" s="192">
        <v>271.61</v>
      </c>
      <c r="H21" s="192">
        <v>0</v>
      </c>
      <c r="I21" s="192">
        <v>0</v>
      </c>
      <c r="J21" s="192"/>
      <c r="K21" s="192">
        <v>1009.55</v>
      </c>
      <c r="L21" s="192" t="s">
        <v>412</v>
      </c>
      <c r="M21" s="192">
        <v>64.66</v>
      </c>
      <c r="N21" s="192">
        <v>1507856400</v>
      </c>
      <c r="O21" s="192">
        <v>0</v>
      </c>
      <c r="P21" s="192">
        <v>3.62</v>
      </c>
      <c r="Q21" s="192">
        <v>5</v>
      </c>
      <c r="R21" s="192">
        <v>10.33</v>
      </c>
      <c r="S21" s="192">
        <v>3.67</v>
      </c>
      <c r="T21"/>
    </row>
    <row r="22" spans="1:20" x14ac:dyDescent="0.25">
      <c r="A22" s="192">
        <v>59.3</v>
      </c>
      <c r="B22" s="192">
        <v>0.04</v>
      </c>
      <c r="C22" s="192">
        <v>33.549999999999997</v>
      </c>
      <c r="D22" s="8">
        <v>43020.833333333336</v>
      </c>
      <c r="E22" s="192">
        <v>0.38</v>
      </c>
      <c r="F22" s="192" t="s">
        <v>411</v>
      </c>
      <c r="G22" s="192">
        <v>271.24</v>
      </c>
      <c r="H22" s="192">
        <v>0</v>
      </c>
      <c r="I22" s="192">
        <v>0</v>
      </c>
      <c r="J22" s="192"/>
      <c r="K22" s="192">
        <v>1011.85</v>
      </c>
      <c r="L22" s="192" t="s">
        <v>412</v>
      </c>
      <c r="M22" s="192">
        <v>59.3</v>
      </c>
      <c r="N22" s="192">
        <v>1507860000</v>
      </c>
      <c r="O22" s="192">
        <v>0</v>
      </c>
      <c r="P22" s="192">
        <v>3.68</v>
      </c>
      <c r="Q22" s="192">
        <v>354</v>
      </c>
      <c r="R22" s="192">
        <v>8.9700000000000006</v>
      </c>
      <c r="S22" s="192">
        <v>3.27</v>
      </c>
      <c r="T22"/>
    </row>
    <row r="23" spans="1:20" x14ac:dyDescent="0.25">
      <c r="A23" s="192">
        <v>56.26</v>
      </c>
      <c r="B23" s="192">
        <v>0.04</v>
      </c>
      <c r="C23" s="192">
        <v>33.26</v>
      </c>
      <c r="D23" s="8">
        <v>43020.875</v>
      </c>
      <c r="E23" s="192">
        <v>0.42</v>
      </c>
      <c r="F23" s="192" t="s">
        <v>411</v>
      </c>
      <c r="G23" s="192">
        <v>270.99</v>
      </c>
      <c r="H23" s="192">
        <v>0</v>
      </c>
      <c r="I23" s="192">
        <v>0</v>
      </c>
      <c r="J23" s="192"/>
      <c r="K23" s="192">
        <v>1013.22</v>
      </c>
      <c r="L23" s="192" t="s">
        <v>412</v>
      </c>
      <c r="M23" s="192">
        <v>56.26</v>
      </c>
      <c r="N23" s="192">
        <v>1507863600</v>
      </c>
      <c r="O23" s="192">
        <v>0</v>
      </c>
      <c r="P23" s="192">
        <v>4.24</v>
      </c>
      <c r="Q23" s="192">
        <v>347</v>
      </c>
      <c r="R23" s="192">
        <v>6.38</v>
      </c>
      <c r="S23" s="192">
        <v>2.13</v>
      </c>
      <c r="T23"/>
    </row>
    <row r="24" spans="1:20" x14ac:dyDescent="0.25">
      <c r="A24" s="192">
        <v>53.23</v>
      </c>
      <c r="B24" s="192">
        <v>0</v>
      </c>
      <c r="C24" s="192">
        <v>33.29</v>
      </c>
      <c r="D24" s="8">
        <v>43020.916666666664</v>
      </c>
      <c r="E24" s="192">
        <v>0.47</v>
      </c>
      <c r="F24" s="192" t="s">
        <v>411</v>
      </c>
      <c r="G24" s="192">
        <v>270.74</v>
      </c>
      <c r="H24" s="192">
        <v>0</v>
      </c>
      <c r="I24" s="192">
        <v>0</v>
      </c>
      <c r="J24" s="192"/>
      <c r="K24" s="192">
        <v>1014.7</v>
      </c>
      <c r="L24" s="192" t="s">
        <v>412</v>
      </c>
      <c r="M24" s="192">
        <v>53.23</v>
      </c>
      <c r="N24" s="192">
        <v>1507867200</v>
      </c>
      <c r="O24" s="192">
        <v>0</v>
      </c>
      <c r="P24" s="192">
        <v>3.29</v>
      </c>
      <c r="Q24" s="192">
        <v>0</v>
      </c>
      <c r="R24" s="192">
        <v>4.28</v>
      </c>
      <c r="S24" s="192">
        <v>1.32</v>
      </c>
      <c r="T24"/>
    </row>
    <row r="25" spans="1:20" x14ac:dyDescent="0.25">
      <c r="A25" s="192">
        <v>49.7</v>
      </c>
      <c r="B25" s="192">
        <v>0</v>
      </c>
      <c r="C25" s="192">
        <v>33.97</v>
      </c>
      <c r="D25" s="8">
        <v>43020.958333333336</v>
      </c>
      <c r="E25" s="192">
        <v>0.54</v>
      </c>
      <c r="F25" s="192" t="s">
        <v>411</v>
      </c>
      <c r="G25" s="192">
        <v>270.62</v>
      </c>
      <c r="H25" s="192">
        <v>0</v>
      </c>
      <c r="I25" s="192">
        <v>0</v>
      </c>
      <c r="J25" s="192"/>
      <c r="K25" s="192">
        <v>1015.56</v>
      </c>
      <c r="L25" s="192" t="s">
        <v>412</v>
      </c>
      <c r="M25" s="192">
        <v>49.7</v>
      </c>
      <c r="N25" s="192">
        <v>1507870800</v>
      </c>
      <c r="O25" s="192">
        <v>0</v>
      </c>
      <c r="P25" s="192">
        <v>5.52</v>
      </c>
      <c r="Q25" s="192">
        <v>22</v>
      </c>
      <c r="R25" s="192">
        <v>2.58</v>
      </c>
      <c r="S25" s="192">
        <v>0.82</v>
      </c>
      <c r="T25"/>
    </row>
    <row r="26" spans="1:20" x14ac:dyDescent="0.25">
      <c r="A26" s="192">
        <v>47.01</v>
      </c>
      <c r="B26" s="192">
        <v>0</v>
      </c>
      <c r="C26" s="192">
        <v>33.99</v>
      </c>
      <c r="D26" s="8">
        <v>43021</v>
      </c>
      <c r="E26" s="192">
        <v>0.6</v>
      </c>
      <c r="F26" s="192" t="s">
        <v>411</v>
      </c>
      <c r="G26" s="192">
        <v>270.49</v>
      </c>
      <c r="H26" s="192">
        <v>0</v>
      </c>
      <c r="I26" s="192">
        <v>0</v>
      </c>
      <c r="J26" s="192"/>
      <c r="K26" s="192">
        <v>1016.03</v>
      </c>
      <c r="L26" s="192" t="s">
        <v>412</v>
      </c>
      <c r="M26" s="192">
        <v>47.01</v>
      </c>
      <c r="N26" s="192">
        <v>1507874400</v>
      </c>
      <c r="O26" s="192">
        <v>0</v>
      </c>
      <c r="P26" s="192">
        <v>3.58</v>
      </c>
      <c r="Q26" s="192">
        <v>28</v>
      </c>
      <c r="R26" s="192">
        <v>2.11</v>
      </c>
      <c r="S26" s="192">
        <v>0.32</v>
      </c>
      <c r="T26"/>
    </row>
    <row r="27" spans="1:20" x14ac:dyDescent="0.25">
      <c r="A27" s="192">
        <v>44.15</v>
      </c>
      <c r="B27" s="192">
        <v>0</v>
      </c>
      <c r="C27" s="192">
        <v>33.909999999999997</v>
      </c>
      <c r="D27" s="8">
        <v>43021.041666666664</v>
      </c>
      <c r="E27" s="192">
        <v>0.67</v>
      </c>
      <c r="F27" s="192" t="s">
        <v>411</v>
      </c>
      <c r="G27" s="192">
        <v>270.36</v>
      </c>
      <c r="H27" s="192">
        <v>0</v>
      </c>
      <c r="I27" s="192">
        <v>0</v>
      </c>
      <c r="J27" s="192"/>
      <c r="K27" s="192">
        <v>1015.65</v>
      </c>
      <c r="L27" s="192" t="s">
        <v>412</v>
      </c>
      <c r="M27" s="192">
        <v>44.15</v>
      </c>
      <c r="N27" s="192">
        <v>1507878000</v>
      </c>
      <c r="O27" s="192">
        <v>0</v>
      </c>
      <c r="P27" s="192">
        <v>5.46</v>
      </c>
      <c r="Q27" s="192">
        <v>25</v>
      </c>
      <c r="R27" s="192">
        <v>1.56</v>
      </c>
      <c r="S27" s="192">
        <v>0.28000000000000003</v>
      </c>
      <c r="T27"/>
    </row>
    <row r="28" spans="1:20" x14ac:dyDescent="0.25">
      <c r="A28" s="192">
        <v>42.19</v>
      </c>
      <c r="B28" s="192">
        <v>0</v>
      </c>
      <c r="C28" s="192">
        <v>33.869999999999997</v>
      </c>
      <c r="D28" s="8">
        <v>43021.083333333336</v>
      </c>
      <c r="E28" s="192">
        <v>0.72</v>
      </c>
      <c r="F28" s="192" t="s">
        <v>411</v>
      </c>
      <c r="G28" s="192">
        <v>269.99</v>
      </c>
      <c r="H28" s="192">
        <v>0</v>
      </c>
      <c r="I28" s="192">
        <v>0</v>
      </c>
      <c r="J28" s="192"/>
      <c r="K28" s="192">
        <v>1016.19</v>
      </c>
      <c r="L28" s="192" t="s">
        <v>412</v>
      </c>
      <c r="M28" s="192">
        <v>42.19</v>
      </c>
      <c r="N28" s="192">
        <v>1507881600</v>
      </c>
      <c r="O28" s="192">
        <v>0</v>
      </c>
      <c r="P28" s="192">
        <v>5.52</v>
      </c>
      <c r="Q28" s="192">
        <v>34</v>
      </c>
      <c r="R28" s="192">
        <v>1.85</v>
      </c>
      <c r="S28" s="192">
        <v>0.64</v>
      </c>
      <c r="T28"/>
    </row>
    <row r="29" spans="1:20" x14ac:dyDescent="0.25">
      <c r="A29" s="192">
        <v>40.47</v>
      </c>
      <c r="B29" s="192">
        <v>0</v>
      </c>
      <c r="C29" s="192">
        <v>33.65</v>
      </c>
      <c r="D29" s="8">
        <v>43021.125</v>
      </c>
      <c r="E29" s="192">
        <v>0.76</v>
      </c>
      <c r="F29" s="192" t="s">
        <v>411</v>
      </c>
      <c r="G29" s="192">
        <v>269.5</v>
      </c>
      <c r="H29" s="192">
        <v>0</v>
      </c>
      <c r="I29" s="192">
        <v>0</v>
      </c>
      <c r="J29" s="192"/>
      <c r="K29" s="192">
        <v>1016.35</v>
      </c>
      <c r="L29" s="192" t="s">
        <v>412</v>
      </c>
      <c r="M29" s="192">
        <v>40.47</v>
      </c>
      <c r="N29" s="192">
        <v>1507885200</v>
      </c>
      <c r="O29" s="192">
        <v>0</v>
      </c>
      <c r="P29" s="192">
        <v>3.65</v>
      </c>
      <c r="Q29" s="192">
        <v>45</v>
      </c>
      <c r="R29" s="192">
        <v>1.58</v>
      </c>
      <c r="S29" s="192">
        <v>0.43</v>
      </c>
      <c r="T29"/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43020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347</v>
      </c>
      <c r="AE2" s="56" t="s">
        <v>350</v>
      </c>
      <c r="AF2" s="56" t="s">
        <v>351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559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968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969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970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971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972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973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974</v>
      </c>
      <c r="J25" s="140" t="s">
        <v>144</v>
      </c>
      <c r="M25" s="154" t="b">
        <v>1</v>
      </c>
    </row>
    <row r="26" spans="3:24" x14ac:dyDescent="0.25">
      <c r="C26" t="s">
        <v>975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%USERPROFILE%\Documents\GitHub\eaglep3-reporting\EC\2017-10-12-refined-times.txt</v>
      </c>
    </row>
    <row r="27" spans="3:24" x14ac:dyDescent="0.25">
      <c r="C27" t="s">
        <v>976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%USERPROFILE%\Documents\GitHub\eaglep3-reporting\EC\2017-10-12-Enforcements.txt</v>
      </c>
    </row>
    <row r="28" spans="3:24" x14ac:dyDescent="0.25">
      <c r="C28" t="s">
        <v>977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%USERPROFILE%\Documents\GitHub\eaglep3-reporting\EC\2017-10-12-Runs-refined.txt</v>
      </c>
    </row>
    <row r="29" spans="3:24" x14ac:dyDescent="0.25">
      <c r="C29" t="s">
        <v>978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%USERPROFILE%\Documents\GitHub\eaglep3-reporting\EC\2017-10-12-Trips.txt</v>
      </c>
    </row>
    <row r="30" spans="3:24" x14ac:dyDescent="0.25">
      <c r="C30" t="s">
        <v>979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%USERPROFILE%\Documents\GitHub\eaglep3-reporting\EC\2017-10-12-Weather.txt</v>
      </c>
    </row>
    <row r="31" spans="3:24" x14ac:dyDescent="0.25">
      <c r="C31" t="s">
        <v>980</v>
      </c>
      <c r="J31" s="140" t="s">
        <v>190</v>
      </c>
      <c r="M31" s="154" t="s">
        <v>191</v>
      </c>
    </row>
    <row r="32" spans="3:24" x14ac:dyDescent="0.25">
      <c r="C32" t="s">
        <v>981</v>
      </c>
    </row>
    <row r="33" spans="3:3" x14ac:dyDescent="0.25">
      <c r="C33" t="s">
        <v>982</v>
      </c>
    </row>
    <row r="34" spans="3:3" x14ac:dyDescent="0.25">
      <c r="C34" t="s">
        <v>983</v>
      </c>
    </row>
    <row r="35" spans="3:3" x14ac:dyDescent="0.25">
      <c r="C35" t="s">
        <v>984</v>
      </c>
    </row>
    <row r="36" spans="3:3" x14ac:dyDescent="0.25">
      <c r="C36" t="s">
        <v>985</v>
      </c>
    </row>
    <row r="37" spans="3:3" x14ac:dyDescent="0.25">
      <c r="C37" t="s">
        <v>986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431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2017-10-13T14:49:04Z</dcterms:modified>
</cp:coreProperties>
</file>