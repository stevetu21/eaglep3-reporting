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Enforcements!$A$6:$AC$39</definedName>
    <definedName name="_xlnm._FilterDatabase" localSheetId="2" hidden="1">'Missing Trips'!$A$2:$J$26</definedName>
    <definedName name="_xlnm._FilterDatabase" localSheetId="0" hidden="1">'Train Runs'!$A$12:$AG$417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Runs'!$A$12:$J$81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00" i="1" l="1"/>
  <c r="N180" i="1"/>
  <c r="N165" i="1"/>
  <c r="N182" i="1"/>
  <c r="N183" i="1"/>
  <c r="S183" i="1"/>
  <c r="S165" i="1"/>
  <c r="X157" i="1"/>
  <c r="X158" i="1"/>
  <c r="X159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X88" i="1"/>
  <c r="X89" i="1"/>
  <c r="K87" i="1"/>
  <c r="L87" i="1"/>
  <c r="M87" i="1"/>
  <c r="N87" i="1"/>
  <c r="V87" i="1"/>
  <c r="AA87" i="1"/>
  <c r="AB87" i="1"/>
  <c r="AC87" i="1"/>
  <c r="AD87" i="1"/>
  <c r="T87" i="1" s="1"/>
  <c r="AE87" i="1"/>
  <c r="AF87" i="1"/>
  <c r="AH87" i="1"/>
  <c r="AM87" i="1"/>
  <c r="AN87" i="1"/>
  <c r="AO87" i="1"/>
  <c r="P38" i="1"/>
  <c r="K14" i="1"/>
  <c r="L14" i="1"/>
  <c r="M14" i="1"/>
  <c r="N14" i="1" s="1"/>
  <c r="V14" i="1"/>
  <c r="S20" i="3" s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T15" i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T19" i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A21" i="1" s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/>
  <c r="V24" i="1"/>
  <c r="Y24" i="1"/>
  <c r="Z24" i="1"/>
  <c r="AB24" i="1"/>
  <c r="AC24" i="1"/>
  <c r="AD24" i="1"/>
  <c r="AE24" i="1"/>
  <c r="R9" i="3" s="1"/>
  <c r="AF24" i="1"/>
  <c r="AH24" i="1"/>
  <c r="AM24" i="1"/>
  <c r="AN24" i="1"/>
  <c r="AO24" i="1"/>
  <c r="K25" i="1"/>
  <c r="L25" i="1"/>
  <c r="M25" i="1"/>
  <c r="N25" i="1"/>
  <c r="T25" i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T29" i="1"/>
  <c r="V29" i="1"/>
  <c r="Y29" i="1"/>
  <c r="Z29" i="1"/>
  <c r="AA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X31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/>
  <c r="V35" i="1"/>
  <c r="X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T37" i="1"/>
  <c r="V37" i="1"/>
  <c r="Y37" i="1"/>
  <c r="Z37" i="1"/>
  <c r="AA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V38" i="1"/>
  <c r="Y38" i="1"/>
  <c r="Z38" i="1"/>
  <c r="AB38" i="1"/>
  <c r="AC38" i="1"/>
  <c r="AD38" i="1"/>
  <c r="X39" i="1" s="1"/>
  <c r="AE38" i="1"/>
  <c r="AF38" i="1"/>
  <c r="AH38" i="1"/>
  <c r="AM38" i="1"/>
  <c r="AN38" i="1"/>
  <c r="AO38" i="1"/>
  <c r="K39" i="1"/>
  <c r="L39" i="1"/>
  <c r="M39" i="1"/>
  <c r="T39" i="1"/>
  <c r="V39" i="1"/>
  <c r="Y39" i="1"/>
  <c r="Z39" i="1"/>
  <c r="AA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/>
  <c r="V43" i="1"/>
  <c r="X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/>
  <c r="V45" i="1"/>
  <c r="X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/>
  <c r="V47" i="1"/>
  <c r="X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28" i="3" s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S14" i="3" s="1"/>
  <c r="Y58" i="1"/>
  <c r="Z58" i="1"/>
  <c r="AB58" i="1"/>
  <c r="AC58" i="1"/>
  <c r="AD58" i="1"/>
  <c r="X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AA61" i="1" s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/>
  <c r="V69" i="1"/>
  <c r="Y69" i="1"/>
  <c r="AA69" i="1" s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/>
  <c r="V75" i="1"/>
  <c r="Y75" i="1"/>
  <c r="AA75" i="1" s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AO78" i="1"/>
  <c r="K79" i="1"/>
  <c r="L79" i="1"/>
  <c r="M79" i="1"/>
  <c r="N79" i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AA81" i="1" s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T82" i="1"/>
  <c r="V82" i="1"/>
  <c r="X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AA84" i="1" s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AA85" i="1" s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X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AA91" i="1" s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AA92" i="1" s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AO99" i="1"/>
  <c r="K100" i="1"/>
  <c r="L100" i="1"/>
  <c r="M100" i="1"/>
  <c r="N100" i="1" s="1"/>
  <c r="T100" i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X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AA107" i="1" s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T108" i="1"/>
  <c r="V108" i="1"/>
  <c r="X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T109" i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AA111" i="1" s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AA114" i="1" s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S24" i="3" s="1"/>
  <c r="Y115" i="1"/>
  <c r="Z115" i="1"/>
  <c r="AB115" i="1"/>
  <c r="AC115" i="1"/>
  <c r="AD115" i="1"/>
  <c r="AE115" i="1"/>
  <c r="R24" i="3" s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T120" i="1"/>
  <c r="V120" i="1"/>
  <c r="X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AA122" i="1" s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AA123" i="1" s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X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AA126" i="1" s="1"/>
  <c r="Z126" i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R8" i="3" s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A155" i="1" s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58" i="1"/>
  <c r="AM158" i="1"/>
  <c r="AN158" i="1"/>
  <c r="AO158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59" i="1"/>
  <c r="AM159" i="1"/>
  <c r="AN159" i="1"/>
  <c r="AO159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0" i="1"/>
  <c r="AM160" i="1"/>
  <c r="AN160" i="1"/>
  <c r="AO160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1" i="1"/>
  <c r="AM161" i="1"/>
  <c r="AN161" i="1"/>
  <c r="AO161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2" i="1"/>
  <c r="AM162" i="1"/>
  <c r="AN162" i="1"/>
  <c r="AO162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3" i="1"/>
  <c r="AM163" i="1"/>
  <c r="AN163" i="1"/>
  <c r="AO163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4" i="1"/>
  <c r="AM164" i="1"/>
  <c r="AN164" i="1"/>
  <c r="AO164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5" i="1"/>
  <c r="AM165" i="1"/>
  <c r="AN165" i="1"/>
  <c r="AO165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166" i="1"/>
  <c r="AM166" i="1"/>
  <c r="AN166" i="1"/>
  <c r="AO166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7" i="1"/>
  <c r="AM167" i="1"/>
  <c r="AN167" i="1"/>
  <c r="AO167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68" i="1"/>
  <c r="AM168" i="1"/>
  <c r="AN168" i="1"/>
  <c r="AO168" i="1"/>
  <c r="K221" i="1"/>
  <c r="L221" i="1"/>
  <c r="M221" i="1"/>
  <c r="N221" i="1" s="1"/>
  <c r="V221" i="1"/>
  <c r="S37" i="3" s="1"/>
  <c r="X221" i="1"/>
  <c r="Y221" i="1"/>
  <c r="Z221" i="1"/>
  <c r="AB221" i="1"/>
  <c r="AC221" i="1"/>
  <c r="AD221" i="1"/>
  <c r="T221" i="1" s="1"/>
  <c r="AE221" i="1"/>
  <c r="AF221" i="1"/>
  <c r="AH169" i="1"/>
  <c r="AM169" i="1"/>
  <c r="AN169" i="1"/>
  <c r="AO169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170" i="1"/>
  <c r="AM170" i="1"/>
  <c r="AN170" i="1"/>
  <c r="AO170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1" i="1"/>
  <c r="AM171" i="1"/>
  <c r="AN171" i="1"/>
  <c r="AO171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2" i="1"/>
  <c r="AM172" i="1"/>
  <c r="AN172" i="1"/>
  <c r="AO172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3" i="1"/>
  <c r="AM173" i="1"/>
  <c r="AN173" i="1"/>
  <c r="AO173" i="1"/>
  <c r="K231" i="1"/>
  <c r="L231" i="1"/>
  <c r="M231" i="1"/>
  <c r="N231" i="1"/>
  <c r="V231" i="1"/>
  <c r="X231" i="1"/>
  <c r="Y231" i="1"/>
  <c r="Z231" i="1"/>
  <c r="AA231" i="1" s="1"/>
  <c r="AB231" i="1"/>
  <c r="AC231" i="1"/>
  <c r="AD231" i="1"/>
  <c r="T231" i="1" s="1"/>
  <c r="AE231" i="1"/>
  <c r="AF231" i="1"/>
  <c r="AH174" i="1"/>
  <c r="AM174" i="1"/>
  <c r="AN174" i="1"/>
  <c r="AO174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5" i="1"/>
  <c r="AM175" i="1"/>
  <c r="AN175" i="1"/>
  <c r="AO175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6" i="1"/>
  <c r="AM176" i="1"/>
  <c r="AN176" i="1"/>
  <c r="AO176" i="1"/>
  <c r="K234" i="1"/>
  <c r="L234" i="1"/>
  <c r="M234" i="1"/>
  <c r="N234" i="1" s="1"/>
  <c r="V234" i="1"/>
  <c r="Y234" i="1"/>
  <c r="AA234" i="1" s="1"/>
  <c r="Z234" i="1"/>
  <c r="AB234" i="1"/>
  <c r="AC234" i="1"/>
  <c r="AD234" i="1"/>
  <c r="T234" i="1" s="1"/>
  <c r="AE234" i="1"/>
  <c r="AF234" i="1"/>
  <c r="AH177" i="1"/>
  <c r="AM177" i="1"/>
  <c r="AN177" i="1"/>
  <c r="AO177" i="1"/>
  <c r="K235" i="1"/>
  <c r="L235" i="1"/>
  <c r="M235" i="1"/>
  <c r="N235" i="1" s="1"/>
  <c r="T235" i="1"/>
  <c r="V235" i="1"/>
  <c r="X235" i="1"/>
  <c r="Y235" i="1"/>
  <c r="Z235" i="1"/>
  <c r="AB235" i="1"/>
  <c r="AC235" i="1"/>
  <c r="AD235" i="1"/>
  <c r="AE235" i="1"/>
  <c r="AF235" i="1"/>
  <c r="AH178" i="1"/>
  <c r="AM178" i="1"/>
  <c r="AN178" i="1"/>
  <c r="AO178" i="1"/>
  <c r="K236" i="1"/>
  <c r="L236" i="1"/>
  <c r="M236" i="1"/>
  <c r="N236" i="1" s="1"/>
  <c r="V236" i="1"/>
  <c r="Y236" i="1"/>
  <c r="AA236" i="1" s="1"/>
  <c r="Z236" i="1"/>
  <c r="AB236" i="1"/>
  <c r="AC236" i="1"/>
  <c r="AD236" i="1"/>
  <c r="X236" i="1" s="1"/>
  <c r="AE236" i="1"/>
  <c r="AF236" i="1"/>
  <c r="AH179" i="1"/>
  <c r="AM179" i="1"/>
  <c r="AN179" i="1"/>
  <c r="AO179" i="1"/>
  <c r="K237" i="1"/>
  <c r="L237" i="1"/>
  <c r="M237" i="1"/>
  <c r="N237" i="1" s="1"/>
  <c r="T237" i="1"/>
  <c r="V237" i="1"/>
  <c r="X237" i="1"/>
  <c r="Y237" i="1"/>
  <c r="Z237" i="1"/>
  <c r="AB237" i="1"/>
  <c r="AC237" i="1"/>
  <c r="AD237" i="1"/>
  <c r="AE237" i="1"/>
  <c r="AF237" i="1"/>
  <c r="AH180" i="1"/>
  <c r="AM180" i="1"/>
  <c r="AN180" i="1"/>
  <c r="AO180" i="1"/>
  <c r="K238" i="1"/>
  <c r="L238" i="1"/>
  <c r="M238" i="1"/>
  <c r="N238" i="1" s="1"/>
  <c r="V238" i="1"/>
  <c r="X238" i="1"/>
  <c r="Y238" i="1"/>
  <c r="Z238" i="1"/>
  <c r="AB238" i="1"/>
  <c r="AC238" i="1"/>
  <c r="AD238" i="1"/>
  <c r="T238" i="1" s="1"/>
  <c r="AE238" i="1"/>
  <c r="R44" i="3" s="1"/>
  <c r="AF238" i="1"/>
  <c r="AH181" i="1"/>
  <c r="AM181" i="1"/>
  <c r="AN181" i="1"/>
  <c r="AO181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2" i="1"/>
  <c r="AM182" i="1"/>
  <c r="AN182" i="1"/>
  <c r="AO182" i="1"/>
  <c r="K240" i="1"/>
  <c r="L240" i="1"/>
  <c r="M240" i="1"/>
  <c r="N240" i="1" s="1"/>
  <c r="T240" i="1"/>
  <c r="V240" i="1"/>
  <c r="Y240" i="1"/>
  <c r="AA240" i="1" s="1"/>
  <c r="Z240" i="1"/>
  <c r="AB240" i="1"/>
  <c r="AC240" i="1"/>
  <c r="AD240" i="1"/>
  <c r="X240" i="1" s="1"/>
  <c r="AE240" i="1"/>
  <c r="AF240" i="1"/>
  <c r="AH183" i="1"/>
  <c r="AM183" i="1"/>
  <c r="AN183" i="1"/>
  <c r="AO183" i="1"/>
  <c r="K241" i="1"/>
  <c r="L241" i="1"/>
  <c r="M241" i="1"/>
  <c r="N241" i="1" s="1"/>
  <c r="T241" i="1"/>
  <c r="V241" i="1"/>
  <c r="X241" i="1"/>
  <c r="Y241" i="1"/>
  <c r="Z241" i="1"/>
  <c r="AB241" i="1"/>
  <c r="AC241" i="1"/>
  <c r="AD241" i="1"/>
  <c r="AE241" i="1"/>
  <c r="AF241" i="1"/>
  <c r="AH184" i="1"/>
  <c r="AM184" i="1"/>
  <c r="AN184" i="1"/>
  <c r="AO184" i="1"/>
  <c r="K242" i="1"/>
  <c r="L242" i="1"/>
  <c r="M242" i="1"/>
  <c r="N242" i="1" s="1"/>
  <c r="V242" i="1"/>
  <c r="X242" i="1"/>
  <c r="Y242" i="1"/>
  <c r="Z242" i="1"/>
  <c r="AB242" i="1"/>
  <c r="AC242" i="1"/>
  <c r="AD242" i="1"/>
  <c r="T242" i="1" s="1"/>
  <c r="AE242" i="1"/>
  <c r="R48" i="3" s="1"/>
  <c r="AF242" i="1"/>
  <c r="AH185" i="1"/>
  <c r="AM185" i="1"/>
  <c r="AN185" i="1"/>
  <c r="AO185" i="1"/>
  <c r="K243" i="1"/>
  <c r="L243" i="1"/>
  <c r="M243" i="1"/>
  <c r="N243" i="1" s="1"/>
  <c r="V243" i="1"/>
  <c r="Y243" i="1"/>
  <c r="AA243" i="1" s="1"/>
  <c r="Z243" i="1"/>
  <c r="AB243" i="1"/>
  <c r="AC243" i="1"/>
  <c r="AD243" i="1"/>
  <c r="T243" i="1" s="1"/>
  <c r="AE243" i="1"/>
  <c r="AF243" i="1"/>
  <c r="AH186" i="1"/>
  <c r="AM186" i="1"/>
  <c r="AN186" i="1"/>
  <c r="AO186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7" i="1"/>
  <c r="AM187" i="1"/>
  <c r="AN187" i="1"/>
  <c r="AO187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88" i="1"/>
  <c r="AM188" i="1"/>
  <c r="AN188" i="1"/>
  <c r="AO188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89" i="1"/>
  <c r="AM189" i="1"/>
  <c r="AN189" i="1"/>
  <c r="AO189" i="1"/>
  <c r="K247" i="1"/>
  <c r="L247" i="1"/>
  <c r="M247" i="1"/>
  <c r="N247" i="1" s="1"/>
  <c r="V247" i="1"/>
  <c r="Y247" i="1"/>
  <c r="AA247" i="1" s="1"/>
  <c r="Z247" i="1"/>
  <c r="AB247" i="1"/>
  <c r="AC247" i="1"/>
  <c r="AD247" i="1"/>
  <c r="T247" i="1" s="1"/>
  <c r="AE247" i="1"/>
  <c r="AF247" i="1"/>
  <c r="AH190" i="1"/>
  <c r="AM190" i="1"/>
  <c r="AN190" i="1"/>
  <c r="AO190" i="1"/>
  <c r="K248" i="1"/>
  <c r="L248" i="1"/>
  <c r="M248" i="1"/>
  <c r="N248" i="1" s="1"/>
  <c r="V248" i="1"/>
  <c r="S40" i="3" s="1"/>
  <c r="Y248" i="1"/>
  <c r="Z248" i="1"/>
  <c r="AB248" i="1"/>
  <c r="AC248" i="1"/>
  <c r="AD248" i="1"/>
  <c r="T248" i="1" s="1"/>
  <c r="AE248" i="1"/>
  <c r="R40" i="3" s="1"/>
  <c r="AF248" i="1"/>
  <c r="AH191" i="1"/>
  <c r="AM191" i="1"/>
  <c r="AN191" i="1"/>
  <c r="AO191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2" i="1"/>
  <c r="AM192" i="1"/>
  <c r="AN192" i="1"/>
  <c r="AO192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193" i="1"/>
  <c r="AM193" i="1"/>
  <c r="AN193" i="1"/>
  <c r="AO193" i="1"/>
  <c r="K251" i="1"/>
  <c r="L251" i="1"/>
  <c r="M251" i="1"/>
  <c r="N251" i="1" s="1"/>
  <c r="V251" i="1"/>
  <c r="Y251" i="1"/>
  <c r="AA251" i="1" s="1"/>
  <c r="Z251" i="1"/>
  <c r="AB251" i="1"/>
  <c r="AC251" i="1"/>
  <c r="AD251" i="1"/>
  <c r="T251" i="1" s="1"/>
  <c r="AE251" i="1"/>
  <c r="AF251" i="1"/>
  <c r="AH194" i="1"/>
  <c r="AM194" i="1"/>
  <c r="AN194" i="1"/>
  <c r="AO194" i="1"/>
  <c r="K158" i="1"/>
  <c r="L158" i="1"/>
  <c r="M158" i="1"/>
  <c r="N158" i="1" s="1"/>
  <c r="V158" i="1"/>
  <c r="S33" i="3" s="1"/>
  <c r="Y158" i="1"/>
  <c r="Z158" i="1"/>
  <c r="AB158" i="1"/>
  <c r="AC158" i="1"/>
  <c r="AD158" i="1"/>
  <c r="T158" i="1" s="1"/>
  <c r="AE158" i="1"/>
  <c r="R33" i="3" s="1"/>
  <c r="AF158" i="1"/>
  <c r="AH195" i="1"/>
  <c r="AM195" i="1"/>
  <c r="AN195" i="1"/>
  <c r="AO195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6" i="1"/>
  <c r="AM196" i="1"/>
  <c r="AN196" i="1"/>
  <c r="AO196" i="1"/>
  <c r="K160" i="1"/>
  <c r="L160" i="1"/>
  <c r="M160" i="1"/>
  <c r="N160" i="1" s="1"/>
  <c r="V160" i="1"/>
  <c r="S34" i="3" s="1"/>
  <c r="Y160" i="1"/>
  <c r="Z160" i="1"/>
  <c r="AB160" i="1"/>
  <c r="AC160" i="1"/>
  <c r="AD160" i="1"/>
  <c r="T160" i="1" s="1"/>
  <c r="AE160" i="1"/>
  <c r="R34" i="3" s="1"/>
  <c r="AF160" i="1"/>
  <c r="AH197" i="1"/>
  <c r="AM197" i="1"/>
  <c r="AN197" i="1"/>
  <c r="AO197" i="1"/>
  <c r="K161" i="1"/>
  <c r="L161" i="1"/>
  <c r="M161" i="1"/>
  <c r="N161" i="1" s="1"/>
  <c r="V161" i="1"/>
  <c r="Y161" i="1"/>
  <c r="AA161" i="1" s="1"/>
  <c r="Z161" i="1"/>
  <c r="AB161" i="1"/>
  <c r="AC161" i="1"/>
  <c r="AD161" i="1"/>
  <c r="T161" i="1" s="1"/>
  <c r="AE161" i="1"/>
  <c r="AF161" i="1"/>
  <c r="AH198" i="1"/>
  <c r="AM198" i="1"/>
  <c r="AN198" i="1"/>
  <c r="AO19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9" i="1"/>
  <c r="AM199" i="1"/>
  <c r="AN199" i="1"/>
  <c r="AO19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R35" i="3" s="1"/>
  <c r="AF163" i="1"/>
  <c r="AH200" i="1"/>
  <c r="AM200" i="1"/>
  <c r="AN200" i="1"/>
  <c r="AO20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1" i="1"/>
  <c r="AM201" i="1"/>
  <c r="AN201" i="1"/>
  <c r="AO201" i="1"/>
  <c r="K165" i="1"/>
  <c r="L165" i="1"/>
  <c r="M165" i="1"/>
  <c r="V165" i="1"/>
  <c r="Y165" i="1"/>
  <c r="AA165" i="1" s="1"/>
  <c r="Z165" i="1"/>
  <c r="AB165" i="1"/>
  <c r="AC165" i="1"/>
  <c r="AD165" i="1"/>
  <c r="T165" i="1" s="1"/>
  <c r="AE165" i="1"/>
  <c r="AF165" i="1"/>
  <c r="AH202" i="1"/>
  <c r="AM202" i="1"/>
  <c r="AN202" i="1"/>
  <c r="AO202" i="1"/>
  <c r="K166" i="1"/>
  <c r="L166" i="1"/>
  <c r="M166" i="1"/>
  <c r="V166" i="1"/>
  <c r="Y166" i="1"/>
  <c r="Z166" i="1"/>
  <c r="AB166" i="1"/>
  <c r="AC166" i="1"/>
  <c r="AD166" i="1"/>
  <c r="T166" i="1" s="1"/>
  <c r="AE166" i="1"/>
  <c r="AF166" i="1"/>
  <c r="AH203" i="1"/>
  <c r="AM203" i="1"/>
  <c r="AN203" i="1"/>
  <c r="AO20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4" i="1"/>
  <c r="AM204" i="1"/>
  <c r="AN204" i="1"/>
  <c r="AO204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205" i="1"/>
  <c r="AM205" i="1"/>
  <c r="AN205" i="1"/>
  <c r="AO2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6" i="1"/>
  <c r="AM206" i="1"/>
  <c r="AN206" i="1"/>
  <c r="AO2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7" i="1"/>
  <c r="AM207" i="1"/>
  <c r="AN207" i="1"/>
  <c r="AO207" i="1"/>
  <c r="K171" i="1"/>
  <c r="L171" i="1"/>
  <c r="M171" i="1"/>
  <c r="N171" i="1" s="1"/>
  <c r="V171" i="1"/>
  <c r="Y171" i="1"/>
  <c r="AA171" i="1" s="1"/>
  <c r="Z171" i="1"/>
  <c r="AB171" i="1"/>
  <c r="AC171" i="1"/>
  <c r="AD171" i="1"/>
  <c r="T171" i="1" s="1"/>
  <c r="AE171" i="1"/>
  <c r="AF171" i="1"/>
  <c r="AH208" i="1"/>
  <c r="AM208" i="1"/>
  <c r="AN208" i="1"/>
  <c r="AO208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209" i="1"/>
  <c r="AM209" i="1"/>
  <c r="AN209" i="1"/>
  <c r="AO2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0" i="1"/>
  <c r="AM210" i="1"/>
  <c r="AN210" i="1"/>
  <c r="AO2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1" i="1"/>
  <c r="AM211" i="1"/>
  <c r="AN211" i="1"/>
  <c r="AO211" i="1"/>
  <c r="K175" i="1"/>
  <c r="L175" i="1"/>
  <c r="M175" i="1"/>
  <c r="N175" i="1" s="1"/>
  <c r="V175" i="1"/>
  <c r="Y175" i="1"/>
  <c r="AA175" i="1" s="1"/>
  <c r="Z175" i="1"/>
  <c r="AB175" i="1"/>
  <c r="AC175" i="1"/>
  <c r="AD175" i="1"/>
  <c r="T175" i="1" s="1"/>
  <c r="AE175" i="1"/>
  <c r="AF175" i="1"/>
  <c r="AH212" i="1"/>
  <c r="AM212" i="1"/>
  <c r="AN212" i="1"/>
  <c r="AO212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13" i="1"/>
  <c r="AM213" i="1"/>
  <c r="AN213" i="1"/>
  <c r="AO213" i="1"/>
  <c r="K177" i="1"/>
  <c r="L177" i="1"/>
  <c r="M177" i="1"/>
  <c r="N177" i="1" s="1"/>
  <c r="V177" i="1"/>
  <c r="Y177" i="1"/>
  <c r="Z177" i="1"/>
  <c r="AA177" i="1"/>
  <c r="AB177" i="1"/>
  <c r="AC177" i="1"/>
  <c r="AD177" i="1"/>
  <c r="T177" i="1" s="1"/>
  <c r="AE177" i="1"/>
  <c r="AF177" i="1"/>
  <c r="AH214" i="1"/>
  <c r="AM214" i="1"/>
  <c r="AN214" i="1"/>
  <c r="AO2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5" i="1"/>
  <c r="AM215" i="1"/>
  <c r="AN215" i="1"/>
  <c r="AO2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6" i="1"/>
  <c r="AM216" i="1"/>
  <c r="AN216" i="1"/>
  <c r="AO216" i="1"/>
  <c r="K180" i="1"/>
  <c r="L180" i="1"/>
  <c r="M180" i="1"/>
  <c r="V180" i="1"/>
  <c r="Y180" i="1"/>
  <c r="Z180" i="1"/>
  <c r="AB180" i="1"/>
  <c r="AC180" i="1"/>
  <c r="AD180" i="1"/>
  <c r="T180" i="1" s="1"/>
  <c r="AE180" i="1"/>
  <c r="AF180" i="1"/>
  <c r="AH217" i="1"/>
  <c r="AM217" i="1"/>
  <c r="AN217" i="1"/>
  <c r="AO217" i="1"/>
  <c r="K181" i="1"/>
  <c r="L181" i="1"/>
  <c r="M181" i="1"/>
  <c r="V181" i="1"/>
  <c r="Y181" i="1"/>
  <c r="Z181" i="1"/>
  <c r="AA181" i="1" s="1"/>
  <c r="AB181" i="1"/>
  <c r="AC181" i="1"/>
  <c r="AD181" i="1"/>
  <c r="T181" i="1" s="1"/>
  <c r="AE181" i="1"/>
  <c r="AF181" i="1"/>
  <c r="AH218" i="1"/>
  <c r="AM218" i="1"/>
  <c r="AN218" i="1"/>
  <c r="AO218" i="1"/>
  <c r="K182" i="1"/>
  <c r="L182" i="1"/>
  <c r="M182" i="1"/>
  <c r="V182" i="1"/>
  <c r="Y182" i="1"/>
  <c r="Z182" i="1"/>
  <c r="AB182" i="1"/>
  <c r="AC182" i="1"/>
  <c r="AD182" i="1"/>
  <c r="T182" i="1" s="1"/>
  <c r="AE182" i="1"/>
  <c r="AF182" i="1"/>
  <c r="AH219" i="1"/>
  <c r="AM219" i="1"/>
  <c r="AN219" i="1"/>
  <c r="AO219" i="1"/>
  <c r="K183" i="1"/>
  <c r="L183" i="1"/>
  <c r="M183" i="1"/>
  <c r="V183" i="1"/>
  <c r="Y183" i="1"/>
  <c r="Z183" i="1"/>
  <c r="AB183" i="1"/>
  <c r="AC183" i="1"/>
  <c r="AD183" i="1"/>
  <c r="T183" i="1" s="1"/>
  <c r="AE183" i="1"/>
  <c r="AF183" i="1"/>
  <c r="AH220" i="1"/>
  <c r="AM220" i="1"/>
  <c r="AN220" i="1"/>
  <c r="AO220" i="1"/>
  <c r="K184" i="1"/>
  <c r="L184" i="1"/>
  <c r="M184" i="1"/>
  <c r="N184" i="1" s="1"/>
  <c r="V184" i="1"/>
  <c r="Y184" i="1"/>
  <c r="AA184" i="1" s="1"/>
  <c r="Z184" i="1"/>
  <c r="AB184" i="1"/>
  <c r="AC184" i="1"/>
  <c r="AD184" i="1"/>
  <c r="T184" i="1" s="1"/>
  <c r="AE184" i="1"/>
  <c r="AF184" i="1"/>
  <c r="AH221" i="1"/>
  <c r="AM221" i="1"/>
  <c r="AN221" i="1"/>
  <c r="AO221" i="1"/>
  <c r="K185" i="1"/>
  <c r="L185" i="1"/>
  <c r="M185" i="1"/>
  <c r="N185" i="1" s="1"/>
  <c r="V185" i="1"/>
  <c r="Y185" i="1"/>
  <c r="AA185" i="1" s="1"/>
  <c r="Z185" i="1"/>
  <c r="AB185" i="1"/>
  <c r="AC185" i="1"/>
  <c r="AD185" i="1"/>
  <c r="T185" i="1" s="1"/>
  <c r="AE185" i="1"/>
  <c r="AF185" i="1"/>
  <c r="AH222" i="1"/>
  <c r="AM222" i="1"/>
  <c r="AN222" i="1"/>
  <c r="AO2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23" i="1"/>
  <c r="AM223" i="1"/>
  <c r="AN223" i="1"/>
  <c r="AO223" i="1"/>
  <c r="K187" i="1"/>
  <c r="L187" i="1"/>
  <c r="M187" i="1"/>
  <c r="N187" i="1"/>
  <c r="V187" i="1"/>
  <c r="Y187" i="1"/>
  <c r="AA187" i="1" s="1"/>
  <c r="Z187" i="1"/>
  <c r="AB187" i="1"/>
  <c r="AC187" i="1"/>
  <c r="AD187" i="1"/>
  <c r="AE187" i="1"/>
  <c r="AF187" i="1"/>
  <c r="AH224" i="1"/>
  <c r="AM224" i="1"/>
  <c r="AN224" i="1"/>
  <c r="AO2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5" i="1"/>
  <c r="AM225" i="1"/>
  <c r="AN225" i="1"/>
  <c r="AO225" i="1"/>
  <c r="K189" i="1"/>
  <c r="L189" i="1"/>
  <c r="M189" i="1"/>
  <c r="N189" i="1"/>
  <c r="V189" i="1"/>
  <c r="Y189" i="1"/>
  <c r="AA189" i="1" s="1"/>
  <c r="Z189" i="1"/>
  <c r="AB189" i="1"/>
  <c r="AC189" i="1"/>
  <c r="AD189" i="1"/>
  <c r="AE189" i="1"/>
  <c r="AF189" i="1"/>
  <c r="AH226" i="1"/>
  <c r="AM226" i="1"/>
  <c r="AN226" i="1"/>
  <c r="AO226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7" i="1"/>
  <c r="AM227" i="1"/>
  <c r="AN227" i="1"/>
  <c r="AO227" i="1"/>
  <c r="K191" i="1"/>
  <c r="L191" i="1"/>
  <c r="M191" i="1"/>
  <c r="N191" i="1"/>
  <c r="V191" i="1"/>
  <c r="Y191" i="1"/>
  <c r="AA191" i="1" s="1"/>
  <c r="Z191" i="1"/>
  <c r="AB191" i="1"/>
  <c r="AC191" i="1"/>
  <c r="AD191" i="1"/>
  <c r="AE191" i="1"/>
  <c r="AF191" i="1"/>
  <c r="AH228" i="1"/>
  <c r="AM228" i="1"/>
  <c r="AN228" i="1"/>
  <c r="AO2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9" i="1"/>
  <c r="AM229" i="1"/>
  <c r="AN229" i="1"/>
  <c r="AO229" i="1"/>
  <c r="K193" i="1"/>
  <c r="L193" i="1"/>
  <c r="M193" i="1"/>
  <c r="N193" i="1"/>
  <c r="V193" i="1"/>
  <c r="Y193" i="1"/>
  <c r="AA193" i="1" s="1"/>
  <c r="Z193" i="1"/>
  <c r="AB193" i="1"/>
  <c r="AC193" i="1"/>
  <c r="AD193" i="1"/>
  <c r="AE193" i="1"/>
  <c r="AF193" i="1"/>
  <c r="AH230" i="1"/>
  <c r="AM230" i="1"/>
  <c r="AN230" i="1"/>
  <c r="AO2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1" i="1"/>
  <c r="AM231" i="1"/>
  <c r="AN231" i="1"/>
  <c r="AO231" i="1"/>
  <c r="K195" i="1"/>
  <c r="L195" i="1"/>
  <c r="M195" i="1"/>
  <c r="N195" i="1"/>
  <c r="V195" i="1"/>
  <c r="S36" i="3" s="1"/>
  <c r="Y195" i="1"/>
  <c r="AA195" i="1" s="1"/>
  <c r="Z195" i="1"/>
  <c r="AB195" i="1"/>
  <c r="AC195" i="1"/>
  <c r="AD195" i="1"/>
  <c r="AE195" i="1"/>
  <c r="R36" i="3" s="1"/>
  <c r="AF195" i="1"/>
  <c r="AH232" i="1"/>
  <c r="AM232" i="1"/>
  <c r="AN232" i="1"/>
  <c r="AO23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3" i="1"/>
  <c r="AM233" i="1"/>
  <c r="AN233" i="1"/>
  <c r="AO233" i="1"/>
  <c r="K197" i="1"/>
  <c r="L197" i="1"/>
  <c r="M197" i="1"/>
  <c r="N197" i="1"/>
  <c r="V197" i="1"/>
  <c r="Y197" i="1"/>
  <c r="AA197" i="1" s="1"/>
  <c r="Z197" i="1"/>
  <c r="AB197" i="1"/>
  <c r="AC197" i="1"/>
  <c r="AD197" i="1"/>
  <c r="AE197" i="1"/>
  <c r="AF197" i="1"/>
  <c r="AH234" i="1"/>
  <c r="AM234" i="1"/>
  <c r="AN234" i="1"/>
  <c r="AO234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35" i="1"/>
  <c r="AM235" i="1"/>
  <c r="AN235" i="1"/>
  <c r="AO235" i="1"/>
  <c r="K199" i="1"/>
  <c r="L199" i="1"/>
  <c r="M199" i="1"/>
  <c r="V199" i="1"/>
  <c r="S32" i="3" s="1"/>
  <c r="Y199" i="1"/>
  <c r="AA199" i="1" s="1"/>
  <c r="Z199" i="1"/>
  <c r="AB199" i="1"/>
  <c r="AC199" i="1"/>
  <c r="AD199" i="1"/>
  <c r="AE199" i="1"/>
  <c r="R32" i="3" s="1"/>
  <c r="AF199" i="1"/>
  <c r="AH236" i="1"/>
  <c r="AM236" i="1"/>
  <c r="AN236" i="1"/>
  <c r="AO236" i="1"/>
  <c r="K200" i="1"/>
  <c r="L200" i="1"/>
  <c r="M200" i="1"/>
  <c r="V200" i="1"/>
  <c r="Y200" i="1"/>
  <c r="Z200" i="1"/>
  <c r="AB200" i="1"/>
  <c r="AC200" i="1"/>
  <c r="AD200" i="1"/>
  <c r="AE200" i="1"/>
  <c r="AF200" i="1"/>
  <c r="AH237" i="1"/>
  <c r="AM237" i="1"/>
  <c r="AN237" i="1"/>
  <c r="AO237" i="1"/>
  <c r="K201" i="1"/>
  <c r="L201" i="1"/>
  <c r="M201" i="1"/>
  <c r="N201" i="1"/>
  <c r="V201" i="1"/>
  <c r="Y201" i="1"/>
  <c r="AA201" i="1" s="1"/>
  <c r="Z201" i="1"/>
  <c r="AB201" i="1"/>
  <c r="AC201" i="1"/>
  <c r="AD201" i="1"/>
  <c r="AE201" i="1"/>
  <c r="AF201" i="1"/>
  <c r="AH238" i="1"/>
  <c r="AM238" i="1"/>
  <c r="AN238" i="1"/>
  <c r="AO23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9" i="1"/>
  <c r="AM239" i="1"/>
  <c r="AN239" i="1"/>
  <c r="AO239" i="1"/>
  <c r="K203" i="1"/>
  <c r="L203" i="1"/>
  <c r="M203" i="1"/>
  <c r="N203" i="1"/>
  <c r="V203" i="1"/>
  <c r="Y203" i="1"/>
  <c r="AA203" i="1" s="1"/>
  <c r="Z203" i="1"/>
  <c r="AB203" i="1"/>
  <c r="AC203" i="1"/>
  <c r="AD203" i="1"/>
  <c r="AE203" i="1"/>
  <c r="AF203" i="1"/>
  <c r="AH240" i="1"/>
  <c r="AM240" i="1"/>
  <c r="AN240" i="1"/>
  <c r="AO240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1" i="1"/>
  <c r="AM241" i="1"/>
  <c r="AN241" i="1"/>
  <c r="AO241" i="1"/>
  <c r="K205" i="1"/>
  <c r="L205" i="1"/>
  <c r="M205" i="1"/>
  <c r="N205" i="1" s="1"/>
  <c r="V205" i="1"/>
  <c r="Y205" i="1"/>
  <c r="AA205" i="1" s="1"/>
  <c r="Z205" i="1"/>
  <c r="AB205" i="1"/>
  <c r="AC205" i="1"/>
  <c r="AD205" i="1"/>
  <c r="AE205" i="1"/>
  <c r="AF205" i="1"/>
  <c r="AH242" i="1"/>
  <c r="AM242" i="1"/>
  <c r="AN242" i="1"/>
  <c r="AO24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43" i="1"/>
  <c r="AM243" i="1"/>
  <c r="AN243" i="1"/>
  <c r="AO243" i="1"/>
  <c r="K207" i="1"/>
  <c r="L207" i="1"/>
  <c r="M207" i="1"/>
  <c r="N207" i="1" s="1"/>
  <c r="V207" i="1"/>
  <c r="Y207" i="1"/>
  <c r="AA207" i="1" s="1"/>
  <c r="Z207" i="1"/>
  <c r="AB207" i="1"/>
  <c r="AC207" i="1"/>
  <c r="AD207" i="1"/>
  <c r="AE207" i="1"/>
  <c r="AF207" i="1"/>
  <c r="AH244" i="1"/>
  <c r="AM244" i="1"/>
  <c r="AN244" i="1"/>
  <c r="AO244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45" i="1"/>
  <c r="AM245" i="1"/>
  <c r="AN245" i="1"/>
  <c r="AO245" i="1"/>
  <c r="K209" i="1"/>
  <c r="L209" i="1"/>
  <c r="M209" i="1"/>
  <c r="N209" i="1"/>
  <c r="V209" i="1"/>
  <c r="Y209" i="1"/>
  <c r="AA209" i="1" s="1"/>
  <c r="Z209" i="1"/>
  <c r="AB209" i="1"/>
  <c r="AC209" i="1"/>
  <c r="AD209" i="1"/>
  <c r="AE209" i="1"/>
  <c r="AF209" i="1"/>
  <c r="AH246" i="1"/>
  <c r="AM246" i="1"/>
  <c r="AN246" i="1"/>
  <c r="AO246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47" i="1"/>
  <c r="AM247" i="1"/>
  <c r="AN247" i="1"/>
  <c r="AO247" i="1"/>
  <c r="K223" i="1"/>
  <c r="L223" i="1"/>
  <c r="M223" i="1"/>
  <c r="N223" i="1"/>
  <c r="V223" i="1"/>
  <c r="Y223" i="1"/>
  <c r="AA223" i="1" s="1"/>
  <c r="Z223" i="1"/>
  <c r="AB223" i="1"/>
  <c r="AC223" i="1"/>
  <c r="AD223" i="1"/>
  <c r="AE223" i="1"/>
  <c r="AF223" i="1"/>
  <c r="AH248" i="1"/>
  <c r="AM248" i="1"/>
  <c r="AN248" i="1"/>
  <c r="AO248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9" i="1"/>
  <c r="AM249" i="1"/>
  <c r="AN249" i="1"/>
  <c r="AO249" i="1"/>
  <c r="K225" i="1"/>
  <c r="L225" i="1"/>
  <c r="M225" i="1"/>
  <c r="N225" i="1"/>
  <c r="V225" i="1"/>
  <c r="Y225" i="1"/>
  <c r="AA225" i="1" s="1"/>
  <c r="Z225" i="1"/>
  <c r="AB225" i="1"/>
  <c r="AC225" i="1"/>
  <c r="AD225" i="1"/>
  <c r="AE225" i="1"/>
  <c r="AF225" i="1"/>
  <c r="AH250" i="1"/>
  <c r="AM250" i="1"/>
  <c r="AN250" i="1"/>
  <c r="AO250" i="1"/>
  <c r="K226" i="1"/>
  <c r="L226" i="1"/>
  <c r="M226" i="1"/>
  <c r="N226" i="1" s="1"/>
  <c r="V226" i="1"/>
  <c r="Y226" i="1"/>
  <c r="Z226" i="1"/>
  <c r="AB226" i="1"/>
  <c r="AC226" i="1"/>
  <c r="AD226" i="1"/>
  <c r="X227" i="1" s="1"/>
  <c r="AE226" i="1"/>
  <c r="AF226" i="1"/>
  <c r="AH251" i="1"/>
  <c r="AM251" i="1"/>
  <c r="AN251" i="1"/>
  <c r="AO251" i="1"/>
  <c r="M20" i="3"/>
  <c r="R20" i="3"/>
  <c r="U20" i="3"/>
  <c r="T20" i="3" s="1"/>
  <c r="V20" i="3"/>
  <c r="X20" i="3"/>
  <c r="M33" i="3"/>
  <c r="U33" i="3"/>
  <c r="V33" i="3"/>
  <c r="X33" i="3"/>
  <c r="M38" i="3"/>
  <c r="R38" i="3"/>
  <c r="S38" i="3"/>
  <c r="U38" i="3"/>
  <c r="AC38" i="3" s="1"/>
  <c r="V38" i="3"/>
  <c r="X38" i="3"/>
  <c r="M9" i="3"/>
  <c r="S9" i="3"/>
  <c r="U9" i="3"/>
  <c r="AC9" i="3" s="1"/>
  <c r="V9" i="3"/>
  <c r="X9" i="3"/>
  <c r="M34" i="3"/>
  <c r="U34" i="3"/>
  <c r="T34" i="3" s="1"/>
  <c r="V34" i="3"/>
  <c r="X34" i="3"/>
  <c r="M35" i="3"/>
  <c r="S35" i="3"/>
  <c r="U35" i="3"/>
  <c r="V35" i="3"/>
  <c r="AE35" i="3" s="1"/>
  <c r="X35" i="3"/>
  <c r="M30" i="3"/>
  <c r="R30" i="3"/>
  <c r="S30" i="3"/>
  <c r="U30" i="3"/>
  <c r="AC30" i="3" s="1"/>
  <c r="V30" i="3"/>
  <c r="X30" i="3"/>
  <c r="M16" i="3"/>
  <c r="R16" i="3"/>
  <c r="S16" i="3"/>
  <c r="U16" i="3"/>
  <c r="AC16" i="3" s="1"/>
  <c r="V16" i="3"/>
  <c r="X16" i="3"/>
  <c r="M19" i="3"/>
  <c r="R19" i="3"/>
  <c r="S19" i="3"/>
  <c r="U19" i="3"/>
  <c r="T19" i="3" s="1"/>
  <c r="V19" i="3"/>
  <c r="X19" i="3"/>
  <c r="M21" i="3"/>
  <c r="R21" i="3"/>
  <c r="S21" i="3"/>
  <c r="U21" i="3"/>
  <c r="V21" i="3"/>
  <c r="X21" i="3"/>
  <c r="M12" i="3"/>
  <c r="R12" i="3"/>
  <c r="S12" i="3"/>
  <c r="U12" i="3"/>
  <c r="AC12" i="3" s="1"/>
  <c r="V12" i="3"/>
  <c r="X12" i="3"/>
  <c r="M26" i="3"/>
  <c r="R26" i="3"/>
  <c r="S26" i="3"/>
  <c r="U26" i="3"/>
  <c r="AC26" i="3" s="1"/>
  <c r="V26" i="3"/>
  <c r="X26" i="3"/>
  <c r="M27" i="3"/>
  <c r="R27" i="3"/>
  <c r="S27" i="3"/>
  <c r="U27" i="3"/>
  <c r="T27" i="3" s="1"/>
  <c r="V27" i="3"/>
  <c r="AE27" i="3" s="1"/>
  <c r="X27" i="3"/>
  <c r="AD20" i="3"/>
  <c r="M15" i="3"/>
  <c r="R15" i="3"/>
  <c r="S15" i="3"/>
  <c r="U15" i="3"/>
  <c r="V15" i="3"/>
  <c r="X15" i="3"/>
  <c r="M28" i="3"/>
  <c r="R28" i="3"/>
  <c r="U28" i="3"/>
  <c r="AC28" i="3" s="1"/>
  <c r="V28" i="3"/>
  <c r="X28" i="3"/>
  <c r="M46" i="3"/>
  <c r="R46" i="3"/>
  <c r="S46" i="3"/>
  <c r="U46" i="3"/>
  <c r="AC46" i="3" s="1"/>
  <c r="V46" i="3"/>
  <c r="X46" i="3"/>
  <c r="M47" i="3"/>
  <c r="R47" i="3"/>
  <c r="S47" i="3"/>
  <c r="U47" i="3"/>
  <c r="T47" i="3" s="1"/>
  <c r="V47" i="3"/>
  <c r="X47" i="3"/>
  <c r="M14" i="3"/>
  <c r="R14" i="3"/>
  <c r="U14" i="3"/>
  <c r="V14" i="3"/>
  <c r="X14" i="3"/>
  <c r="M48" i="3"/>
  <c r="S48" i="3"/>
  <c r="U48" i="3"/>
  <c r="AC48" i="3" s="1"/>
  <c r="V48" i="3"/>
  <c r="X48" i="3"/>
  <c r="M44" i="3"/>
  <c r="S44" i="3"/>
  <c r="U44" i="3"/>
  <c r="AC44" i="3" s="1"/>
  <c r="V44" i="3"/>
  <c r="X44" i="3"/>
  <c r="M29" i="3"/>
  <c r="R29" i="3"/>
  <c r="S29" i="3"/>
  <c r="U29" i="3"/>
  <c r="T29" i="3" s="1"/>
  <c r="V29" i="3"/>
  <c r="X29" i="3"/>
  <c r="M49" i="3"/>
  <c r="R49" i="3"/>
  <c r="S49" i="3"/>
  <c r="U49" i="3"/>
  <c r="V49" i="3"/>
  <c r="X49" i="3"/>
  <c r="M45" i="3"/>
  <c r="R45" i="3"/>
  <c r="S45" i="3"/>
  <c r="U45" i="3"/>
  <c r="AC45" i="3" s="1"/>
  <c r="V45" i="3"/>
  <c r="AE30" i="3" s="1"/>
  <c r="X45" i="3"/>
  <c r="M43" i="3"/>
  <c r="R43" i="3"/>
  <c r="S43" i="3"/>
  <c r="U43" i="3"/>
  <c r="AC43" i="3" s="1"/>
  <c r="V43" i="3"/>
  <c r="AE43" i="3" s="1"/>
  <c r="X43" i="3"/>
  <c r="M10" i="3"/>
  <c r="R10" i="3"/>
  <c r="S10" i="3"/>
  <c r="U10" i="3"/>
  <c r="T10" i="3" s="1"/>
  <c r="V10" i="3"/>
  <c r="X10" i="3"/>
  <c r="M31" i="3"/>
  <c r="R31" i="3"/>
  <c r="S31" i="3"/>
  <c r="U31" i="3"/>
  <c r="V31" i="3"/>
  <c r="X31" i="3"/>
  <c r="M13" i="3"/>
  <c r="R13" i="3"/>
  <c r="S13" i="3"/>
  <c r="U13" i="3"/>
  <c r="AC13" i="3" s="1"/>
  <c r="V13" i="3"/>
  <c r="X13" i="3"/>
  <c r="M22" i="3"/>
  <c r="R22" i="3"/>
  <c r="S22" i="3"/>
  <c r="U22" i="3"/>
  <c r="AC22" i="3" s="1"/>
  <c r="V22" i="3"/>
  <c r="X22" i="3"/>
  <c r="M42" i="3"/>
  <c r="R42" i="3"/>
  <c r="S42" i="3"/>
  <c r="U42" i="3"/>
  <c r="T42" i="3" s="1"/>
  <c r="V42" i="3"/>
  <c r="X42" i="3"/>
  <c r="M50" i="3"/>
  <c r="R50" i="3"/>
  <c r="S50" i="3"/>
  <c r="U50" i="3"/>
  <c r="AD37" i="3" s="1"/>
  <c r="V50" i="3"/>
  <c r="X50" i="3"/>
  <c r="M40" i="3"/>
  <c r="U40" i="3"/>
  <c r="AC40" i="3" s="1"/>
  <c r="V40" i="3"/>
  <c r="X40" i="3"/>
  <c r="M41" i="3"/>
  <c r="S41" i="3"/>
  <c r="U41" i="3"/>
  <c r="AC41" i="3" s="1"/>
  <c r="V41" i="3"/>
  <c r="X41" i="3"/>
  <c r="M23" i="3"/>
  <c r="R23" i="3"/>
  <c r="S23" i="3"/>
  <c r="U23" i="3"/>
  <c r="T23" i="3" s="1"/>
  <c r="V23" i="3"/>
  <c r="X23" i="3"/>
  <c r="M51" i="3"/>
  <c r="R51" i="3"/>
  <c r="S51" i="3"/>
  <c r="U51" i="3"/>
  <c r="AD41" i="3" s="1"/>
  <c r="V51" i="3"/>
  <c r="AE51" i="3" s="1"/>
  <c r="X51" i="3"/>
  <c r="M52" i="3"/>
  <c r="R52" i="3"/>
  <c r="S52" i="3"/>
  <c r="U52" i="3"/>
  <c r="AC52" i="3" s="1"/>
  <c r="V52" i="3"/>
  <c r="X52" i="3"/>
  <c r="M24" i="3"/>
  <c r="U24" i="3"/>
  <c r="AC24" i="3" s="1"/>
  <c r="V24" i="3"/>
  <c r="X24" i="3"/>
  <c r="M36" i="3"/>
  <c r="U36" i="3"/>
  <c r="T36" i="3" s="1"/>
  <c r="V36" i="3"/>
  <c r="X36" i="3"/>
  <c r="M32" i="3"/>
  <c r="U32" i="3"/>
  <c r="AD45" i="3" s="1"/>
  <c r="V32" i="3"/>
  <c r="X32" i="3"/>
  <c r="M8" i="3"/>
  <c r="S8" i="3"/>
  <c r="U8" i="3"/>
  <c r="AC8" i="3" s="1"/>
  <c r="V8" i="3"/>
  <c r="X8" i="3"/>
  <c r="M17" i="3"/>
  <c r="R17" i="3"/>
  <c r="S17" i="3"/>
  <c r="U17" i="3"/>
  <c r="AC17" i="3" s="1"/>
  <c r="V17" i="3"/>
  <c r="X17" i="3"/>
  <c r="M7" i="3"/>
  <c r="R7" i="3"/>
  <c r="S7" i="3"/>
  <c r="U7" i="3"/>
  <c r="T7" i="3" s="1"/>
  <c r="V7" i="3"/>
  <c r="AE48" i="3" s="1"/>
  <c r="X7" i="3"/>
  <c r="AD48" i="3"/>
  <c r="M25" i="3"/>
  <c r="R25" i="3"/>
  <c r="S25" i="3"/>
  <c r="U25" i="3"/>
  <c r="V25" i="3"/>
  <c r="X25" i="3"/>
  <c r="M18" i="3"/>
  <c r="R18" i="3"/>
  <c r="S18" i="3"/>
  <c r="U18" i="3"/>
  <c r="AC18" i="3" s="1"/>
  <c r="V18" i="3"/>
  <c r="X18" i="3"/>
  <c r="M11" i="3"/>
  <c r="R11" i="3"/>
  <c r="S11" i="3"/>
  <c r="U11" i="3"/>
  <c r="AC11" i="3" s="1"/>
  <c r="V11" i="3"/>
  <c r="X11" i="3"/>
  <c r="M37" i="3"/>
  <c r="R37" i="3"/>
  <c r="U37" i="3"/>
  <c r="T37" i="3" s="1"/>
  <c r="V37" i="3"/>
  <c r="X37" i="3"/>
  <c r="AG157" i="1"/>
  <c r="AG87" i="1"/>
  <c r="AG146" i="1"/>
  <c r="AG246" i="1"/>
  <c r="AG169" i="1"/>
  <c r="AG249" i="1"/>
  <c r="AG159" i="1"/>
  <c r="AG71" i="1"/>
  <c r="AG108" i="1"/>
  <c r="AG151" i="1"/>
  <c r="AG130" i="1"/>
  <c r="AG125" i="1"/>
  <c r="AG95" i="1"/>
  <c r="AG220" i="1"/>
  <c r="AG172" i="1"/>
  <c r="AG175" i="1"/>
  <c r="AG173" i="1"/>
  <c r="AG248" i="1"/>
  <c r="AG198" i="1"/>
  <c r="AG167" i="1"/>
  <c r="AG15" i="1"/>
  <c r="AG19" i="1"/>
  <c r="AG23" i="1"/>
  <c r="AG27" i="1"/>
  <c r="AG31" i="1"/>
  <c r="AG39" i="1"/>
  <c r="AG43" i="1"/>
  <c r="AG47" i="1"/>
  <c r="AG55" i="1"/>
  <c r="AG63" i="1"/>
  <c r="AG79" i="1"/>
  <c r="AG96" i="1"/>
  <c r="AG143" i="1"/>
  <c r="AG212" i="1"/>
  <c r="AG109" i="1"/>
  <c r="AG131" i="1"/>
  <c r="AG213" i="1"/>
  <c r="AG250" i="1"/>
  <c r="AG203" i="1"/>
  <c r="AG251" i="1"/>
  <c r="AG232" i="1"/>
  <c r="AG190" i="1"/>
  <c r="AG226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3" i="1"/>
  <c r="AG86" i="1"/>
  <c r="AG101" i="1"/>
  <c r="AG100" i="1"/>
  <c r="AG112" i="1"/>
  <c r="AG128" i="1"/>
  <c r="AG144" i="1"/>
  <c r="AG148" i="1"/>
  <c r="AG152" i="1"/>
  <c r="AG156" i="1"/>
  <c r="AG91" i="1"/>
  <c r="AG118" i="1"/>
  <c r="AG134" i="1"/>
  <c r="AG98" i="1"/>
  <c r="AG113" i="1"/>
  <c r="AG129" i="1"/>
  <c r="AG107" i="1"/>
  <c r="AG139" i="1"/>
  <c r="AG111" i="1"/>
  <c r="AG140" i="1"/>
  <c r="AG215" i="1"/>
  <c r="AG227" i="1"/>
  <c r="AG238" i="1"/>
  <c r="AG160" i="1"/>
  <c r="AG176" i="1"/>
  <c r="AG189" i="1"/>
  <c r="AG197" i="1"/>
  <c r="AG205" i="1"/>
  <c r="AG225" i="1"/>
  <c r="AG179" i="1"/>
  <c r="AG241" i="1"/>
  <c r="AG161" i="1"/>
  <c r="AG177" i="1"/>
  <c r="AG221" i="1"/>
  <c r="AG236" i="1"/>
  <c r="AG158" i="1"/>
  <c r="AG174" i="1"/>
  <c r="AG192" i="1"/>
  <c r="AG182" i="1"/>
  <c r="AG200" i="1"/>
  <c r="AG208" i="1"/>
  <c r="AG235" i="1"/>
  <c r="AG171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69" i="1"/>
  <c r="AG73" i="1"/>
  <c r="AG77" i="1"/>
  <c r="AG89" i="1"/>
  <c r="AG88" i="1"/>
  <c r="AG81" i="1"/>
  <c r="AG90" i="1"/>
  <c r="AG116" i="1"/>
  <c r="AG132" i="1"/>
  <c r="AG145" i="1"/>
  <c r="AG149" i="1"/>
  <c r="AG153" i="1"/>
  <c r="AG210" i="1"/>
  <c r="AG106" i="1"/>
  <c r="AG122" i="1"/>
  <c r="AG138" i="1"/>
  <c r="AG102" i="1"/>
  <c r="AG117" i="1"/>
  <c r="AG133" i="1"/>
  <c r="AG115" i="1"/>
  <c r="AG141" i="1"/>
  <c r="AG119" i="1"/>
  <c r="AG142" i="1"/>
  <c r="AG217" i="1"/>
  <c r="AG229" i="1"/>
  <c r="AG242" i="1"/>
  <c r="AG164" i="1"/>
  <c r="AG180" i="1"/>
  <c r="AG191" i="1"/>
  <c r="AG199" i="1"/>
  <c r="AG207" i="1"/>
  <c r="AG239" i="1"/>
  <c r="AG214" i="1"/>
  <c r="AG243" i="1"/>
  <c r="AG165" i="1"/>
  <c r="AG181" i="1"/>
  <c r="AG228" i="1"/>
  <c r="AG240" i="1"/>
  <c r="AG162" i="1"/>
  <c r="AG186" i="1"/>
  <c r="AG218" i="1"/>
  <c r="AG194" i="1"/>
  <c r="AG202" i="1"/>
  <c r="AG222" i="1"/>
  <c r="AG245" i="1"/>
  <c r="AG183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93" i="1"/>
  <c r="AG92" i="1"/>
  <c r="AG85" i="1"/>
  <c r="AG104" i="1"/>
  <c r="AG120" i="1"/>
  <c r="AG136" i="1"/>
  <c r="AG150" i="1"/>
  <c r="AG154" i="1"/>
  <c r="AG211" i="1"/>
  <c r="AG110" i="1"/>
  <c r="AG126" i="1"/>
  <c r="AG80" i="1"/>
  <c r="AG105" i="1"/>
  <c r="AG121" i="1"/>
  <c r="AG137" i="1"/>
  <c r="AG123" i="1"/>
  <c r="AG84" i="1"/>
  <c r="AG127" i="1"/>
  <c r="AG99" i="1"/>
  <c r="AG219" i="1"/>
  <c r="AG231" i="1"/>
  <c r="AG168" i="1"/>
  <c r="AG184" i="1"/>
  <c r="AG193" i="1"/>
  <c r="AG201" i="1"/>
  <c r="AG209" i="1"/>
  <c r="AG163" i="1"/>
  <c r="AG233" i="1"/>
  <c r="AG247" i="1"/>
  <c r="AG185" i="1"/>
  <c r="AG230" i="1"/>
  <c r="AG244" i="1"/>
  <c r="AG166" i="1"/>
  <c r="AG188" i="1"/>
  <c r="AG196" i="1"/>
  <c r="AG204" i="1"/>
  <c r="AG224" i="1"/>
  <c r="AG35" i="1"/>
  <c r="AG51" i="1"/>
  <c r="AG59" i="1"/>
  <c r="AG67" i="1"/>
  <c r="AG75" i="1"/>
  <c r="AG82" i="1"/>
  <c r="AG97" i="1"/>
  <c r="AG124" i="1"/>
  <c r="AG147" i="1"/>
  <c r="AG155" i="1"/>
  <c r="AG114" i="1"/>
  <c r="AG94" i="1"/>
  <c r="AG103" i="1"/>
  <c r="AG135" i="1"/>
  <c r="AG234" i="1"/>
  <c r="AG187" i="1"/>
  <c r="AG195" i="1"/>
  <c r="AG223" i="1"/>
  <c r="AG237" i="1"/>
  <c r="AG216" i="1"/>
  <c r="AG170" i="1"/>
  <c r="AG178" i="1"/>
  <c r="AG206" i="1"/>
  <c r="W33" i="3"/>
  <c r="W14" i="3"/>
  <c r="W51" i="3"/>
  <c r="W44" i="3"/>
  <c r="W12" i="3"/>
  <c r="W13" i="3"/>
  <c r="W18" i="3"/>
  <c r="W43" i="3"/>
  <c r="W11" i="3"/>
  <c r="W27" i="3"/>
  <c r="W42" i="3"/>
  <c r="W37" i="3"/>
  <c r="W35" i="3"/>
  <c r="W49" i="3"/>
  <c r="W32" i="3"/>
  <c r="W41" i="3"/>
  <c r="W28" i="3"/>
  <c r="W40" i="3"/>
  <c r="W9" i="3"/>
  <c r="W22" i="3"/>
  <c r="W20" i="3"/>
  <c r="W47" i="3"/>
  <c r="W21" i="3"/>
  <c r="W31" i="3"/>
  <c r="W25" i="3"/>
  <c r="W38" i="3"/>
  <c r="W48" i="3"/>
  <c r="W52" i="3"/>
  <c r="W16" i="3"/>
  <c r="W24" i="3"/>
  <c r="W34" i="3"/>
  <c r="W29" i="3"/>
  <c r="W36" i="3"/>
  <c r="W15" i="3"/>
  <c r="W50" i="3"/>
  <c r="W46" i="3"/>
  <c r="W30" i="3"/>
  <c r="W45" i="3"/>
  <c r="W8" i="3"/>
  <c r="W26" i="3"/>
  <c r="W17" i="3"/>
  <c r="W19" i="3"/>
  <c r="W10" i="3"/>
  <c r="W7" i="3"/>
  <c r="W23" i="3"/>
  <c r="U157" i="1" l="1"/>
  <c r="S157" i="1"/>
  <c r="AI157" i="1"/>
  <c r="W157" i="1"/>
  <c r="AD52" i="3"/>
  <c r="T28" i="3"/>
  <c r="AD28" i="3"/>
  <c r="T38" i="3"/>
  <c r="AI87" i="1"/>
  <c r="U87" i="1"/>
  <c r="S87" i="1" s="1"/>
  <c r="W87" i="1"/>
  <c r="X87" i="1"/>
  <c r="AE52" i="3"/>
  <c r="AD33" i="3"/>
  <c r="AD29" i="3"/>
  <c r="T48" i="3"/>
  <c r="AD17" i="3"/>
  <c r="AD16" i="3"/>
  <c r="AC20" i="3"/>
  <c r="AE10" i="3"/>
  <c r="R41" i="3"/>
  <c r="T117" i="1"/>
  <c r="X79" i="1"/>
  <c r="AA226" i="1"/>
  <c r="AA224" i="1"/>
  <c r="AA222" i="1"/>
  <c r="AA208" i="1"/>
  <c r="AA206" i="1"/>
  <c r="AA204" i="1"/>
  <c r="AA202" i="1"/>
  <c r="AA200" i="1"/>
  <c r="AA198" i="1"/>
  <c r="AA196" i="1"/>
  <c r="AA194" i="1"/>
  <c r="AA192" i="1"/>
  <c r="AA190" i="1"/>
  <c r="AA188" i="1"/>
  <c r="AA186" i="1"/>
  <c r="AA180" i="1"/>
  <c r="AA179" i="1"/>
  <c r="X239" i="1"/>
  <c r="AA238" i="1"/>
  <c r="T233" i="1"/>
  <c r="X230" i="1"/>
  <c r="X229" i="1"/>
  <c r="AA148" i="1"/>
  <c r="AA144" i="1"/>
  <c r="X142" i="1"/>
  <c r="X140" i="1"/>
  <c r="X138" i="1"/>
  <c r="X136" i="1"/>
  <c r="X134" i="1"/>
  <c r="X132" i="1"/>
  <c r="T128" i="1"/>
  <c r="T116" i="1"/>
  <c r="X112" i="1"/>
  <c r="X99" i="1"/>
  <c r="T95" i="1"/>
  <c r="AA93" i="1"/>
  <c r="AA88" i="1"/>
  <c r="AA73" i="1"/>
  <c r="AA62" i="1"/>
  <c r="X60" i="1"/>
  <c r="AA55" i="1"/>
  <c r="AA54" i="1"/>
  <c r="AA38" i="1"/>
  <c r="X23" i="1"/>
  <c r="X33" i="1"/>
  <c r="AA173" i="1"/>
  <c r="AA169" i="1"/>
  <c r="AA164" i="1"/>
  <c r="AA160" i="1"/>
  <c r="AA250" i="1"/>
  <c r="AA246" i="1"/>
  <c r="AA242" i="1"/>
  <c r="X234" i="1"/>
  <c r="AA229" i="1"/>
  <c r="AA150" i="1"/>
  <c r="AA146" i="1"/>
  <c r="AA142" i="1"/>
  <c r="AA140" i="1"/>
  <c r="AA138" i="1"/>
  <c r="AA134" i="1"/>
  <c r="X129" i="1"/>
  <c r="T125" i="1"/>
  <c r="AA118" i="1"/>
  <c r="AA115" i="1"/>
  <c r="AA106" i="1"/>
  <c r="X96" i="1"/>
  <c r="AA94" i="1"/>
  <c r="X90" i="1"/>
  <c r="AA80" i="1"/>
  <c r="AA65" i="1"/>
  <c r="AA58" i="1"/>
  <c r="AA51" i="1"/>
  <c r="AA50" i="1"/>
  <c r="AA183" i="1"/>
  <c r="T228" i="1"/>
  <c r="X228" i="1"/>
  <c r="X130" i="1"/>
  <c r="T130" i="1"/>
  <c r="T107" i="1"/>
  <c r="X107" i="1"/>
  <c r="X97" i="1"/>
  <c r="T97" i="1"/>
  <c r="X91" i="1"/>
  <c r="X92" i="1"/>
  <c r="T91" i="1"/>
  <c r="X51" i="1"/>
  <c r="T51" i="1"/>
  <c r="AA178" i="1"/>
  <c r="AA170" i="1"/>
  <c r="AA241" i="1"/>
  <c r="AA233" i="1"/>
  <c r="AA232" i="1"/>
  <c r="AA217" i="1"/>
  <c r="AA213" i="1"/>
  <c r="AA156" i="1"/>
  <c r="AA152" i="1"/>
  <c r="T141" i="1"/>
  <c r="X141" i="1"/>
  <c r="X139" i="1"/>
  <c r="T139" i="1"/>
  <c r="T137" i="1"/>
  <c r="X137" i="1"/>
  <c r="X135" i="1"/>
  <c r="T135" i="1"/>
  <c r="T133" i="1"/>
  <c r="X133" i="1"/>
  <c r="T131" i="1"/>
  <c r="X131" i="1"/>
  <c r="X122" i="1"/>
  <c r="T122" i="1"/>
  <c r="T98" i="1"/>
  <c r="X98" i="1"/>
  <c r="X84" i="1"/>
  <c r="T84" i="1"/>
  <c r="X53" i="1"/>
  <c r="T53" i="1"/>
  <c r="T236" i="1"/>
  <c r="T232" i="1"/>
  <c r="X232" i="1"/>
  <c r="T123" i="1"/>
  <c r="X123" i="1"/>
  <c r="X114" i="1"/>
  <c r="T114" i="1"/>
  <c r="T85" i="1"/>
  <c r="X85" i="1"/>
  <c r="X55" i="1"/>
  <c r="T55" i="1"/>
  <c r="AA182" i="1"/>
  <c r="AA174" i="1"/>
  <c r="AA166" i="1"/>
  <c r="AA162" i="1"/>
  <c r="AA158" i="1"/>
  <c r="AA248" i="1"/>
  <c r="AA244" i="1"/>
  <c r="AA237" i="1"/>
  <c r="AA228" i="1"/>
  <c r="AA219" i="1"/>
  <c r="AA215" i="1"/>
  <c r="AA211" i="1"/>
  <c r="AA154" i="1"/>
  <c r="T115" i="1"/>
  <c r="X115" i="1"/>
  <c r="X106" i="1"/>
  <c r="T105" i="1"/>
  <c r="X49" i="1"/>
  <c r="T49" i="1"/>
  <c r="AA33" i="1"/>
  <c r="X22" i="1"/>
  <c r="T22" i="1"/>
  <c r="AA167" i="1"/>
  <c r="AA163" i="1"/>
  <c r="AA159" i="1"/>
  <c r="AA249" i="1"/>
  <c r="AA245" i="1"/>
  <c r="AA239" i="1"/>
  <c r="AA235" i="1"/>
  <c r="AA230" i="1"/>
  <c r="AA221" i="1"/>
  <c r="AA139" i="1"/>
  <c r="AA135" i="1"/>
  <c r="AA131" i="1"/>
  <c r="AA130" i="1"/>
  <c r="T129" i="1"/>
  <c r="X127" i="1"/>
  <c r="X126" i="1"/>
  <c r="AA125" i="1"/>
  <c r="T121" i="1"/>
  <c r="X119" i="1"/>
  <c r="X118" i="1"/>
  <c r="AA117" i="1"/>
  <c r="T113" i="1"/>
  <c r="X111" i="1"/>
  <c r="X110" i="1"/>
  <c r="AA109" i="1"/>
  <c r="X102" i="1"/>
  <c r="X101" i="1"/>
  <c r="AA97" i="1"/>
  <c r="T96" i="1"/>
  <c r="X94" i="1"/>
  <c r="T90" i="1"/>
  <c r="T83" i="1"/>
  <c r="X81" i="1"/>
  <c r="X80" i="1"/>
  <c r="T78" i="1"/>
  <c r="AA76" i="1"/>
  <c r="T75" i="1"/>
  <c r="X75" i="1"/>
  <c r="AA67" i="1"/>
  <c r="AA141" i="1"/>
  <c r="AA137" i="1"/>
  <c r="AA133" i="1"/>
  <c r="AA121" i="1"/>
  <c r="AA113" i="1"/>
  <c r="AA101" i="1"/>
  <c r="T93" i="1"/>
  <c r="AA90" i="1"/>
  <c r="T88" i="1"/>
  <c r="AA83" i="1"/>
  <c r="X18" i="1"/>
  <c r="T18" i="1"/>
  <c r="X19" i="1"/>
  <c r="X16" i="1"/>
  <c r="T16" i="1"/>
  <c r="X17" i="1"/>
  <c r="T14" i="1"/>
  <c r="X15" i="1"/>
  <c r="X74" i="1"/>
  <c r="AA66" i="1"/>
  <c r="X63" i="1"/>
  <c r="X61" i="1"/>
  <c r="X59" i="1"/>
  <c r="X57" i="1"/>
  <c r="AA56" i="1"/>
  <c r="X54" i="1"/>
  <c r="X52" i="1"/>
  <c r="X50" i="1"/>
  <c r="AA28" i="1"/>
  <c r="AA27" i="1"/>
  <c r="AA22" i="1"/>
  <c r="AA18" i="1"/>
  <c r="AA16" i="1"/>
  <c r="AA14" i="1"/>
  <c r="AA127" i="1"/>
  <c r="AA124" i="1"/>
  <c r="AA120" i="1"/>
  <c r="AA116" i="1"/>
  <c r="AA112" i="1"/>
  <c r="AA108" i="1"/>
  <c r="AA102" i="1"/>
  <c r="AA98" i="1"/>
  <c r="AA86" i="1"/>
  <c r="AA82" i="1"/>
  <c r="AA78" i="1"/>
  <c r="AA74" i="1"/>
  <c r="AA68" i="1"/>
  <c r="AA48" i="1"/>
  <c r="X46" i="1"/>
  <c r="X44" i="1"/>
  <c r="AA36" i="1"/>
  <c r="AA24" i="1"/>
  <c r="AA23" i="1"/>
  <c r="X21" i="1"/>
  <c r="U183" i="1"/>
  <c r="AI220" i="1"/>
  <c r="U171" i="1"/>
  <c r="AI208" i="1"/>
  <c r="S171" i="1"/>
  <c r="U167" i="1"/>
  <c r="S167" i="1" s="1"/>
  <c r="AI204" i="1"/>
  <c r="AI196" i="1"/>
  <c r="U159" i="1"/>
  <c r="S159" i="1" s="1"/>
  <c r="AI188" i="1"/>
  <c r="U245" i="1"/>
  <c r="S245" i="1" s="1"/>
  <c r="AI178" i="1"/>
  <c r="U235" i="1"/>
  <c r="S235" i="1" s="1"/>
  <c r="AI251" i="1"/>
  <c r="AI249" i="1"/>
  <c r="AI247" i="1"/>
  <c r="AI245" i="1"/>
  <c r="AI243" i="1"/>
  <c r="AI241" i="1"/>
  <c r="AI239" i="1"/>
  <c r="AI237" i="1"/>
  <c r="AI235" i="1"/>
  <c r="AI233" i="1"/>
  <c r="AI231" i="1"/>
  <c r="AI219" i="1"/>
  <c r="U182" i="1"/>
  <c r="S182" i="1" s="1"/>
  <c r="AI215" i="1"/>
  <c r="U178" i="1"/>
  <c r="S178" i="1" s="1"/>
  <c r="AI192" i="1"/>
  <c r="U249" i="1"/>
  <c r="S249" i="1" s="1"/>
  <c r="AI166" i="1"/>
  <c r="AI229" i="1"/>
  <c r="AI227" i="1"/>
  <c r="AI225" i="1"/>
  <c r="AI223" i="1"/>
  <c r="AI211" i="1"/>
  <c r="U174" i="1"/>
  <c r="S174" i="1" s="1"/>
  <c r="AI207" i="1"/>
  <c r="U170" i="1"/>
  <c r="S170" i="1" s="1"/>
  <c r="AI203" i="1"/>
  <c r="U166" i="1"/>
  <c r="AI199" i="1"/>
  <c r="U162" i="1"/>
  <c r="S162" i="1" s="1"/>
  <c r="AI195" i="1"/>
  <c r="U158" i="1"/>
  <c r="S158" i="1" s="1"/>
  <c r="AI191" i="1"/>
  <c r="U248" i="1"/>
  <c r="S248" i="1" s="1"/>
  <c r="AI187" i="1"/>
  <c r="U244" i="1"/>
  <c r="S244" i="1" s="1"/>
  <c r="AI183" i="1"/>
  <c r="U240" i="1"/>
  <c r="S240" i="1" s="1"/>
  <c r="AI179" i="1"/>
  <c r="U236" i="1"/>
  <c r="S236" i="1" s="1"/>
  <c r="S232" i="1"/>
  <c r="U232" i="1"/>
  <c r="AI175" i="1"/>
  <c r="AI173" i="1"/>
  <c r="U230" i="1"/>
  <c r="S230" i="1" s="1"/>
  <c r="AI171" i="1"/>
  <c r="U228" i="1"/>
  <c r="S228" i="1" s="1"/>
  <c r="AI169" i="1"/>
  <c r="U221" i="1"/>
  <c r="S221" i="1" s="1"/>
  <c r="AI164" i="1"/>
  <c r="U185" i="1"/>
  <c r="S185" i="1" s="1"/>
  <c r="AI222" i="1"/>
  <c r="U181" i="1"/>
  <c r="AI218" i="1"/>
  <c r="AI214" i="1"/>
  <c r="U177" i="1"/>
  <c r="S177" i="1" s="1"/>
  <c r="AI210" i="1"/>
  <c r="U173" i="1"/>
  <c r="S173" i="1" s="1"/>
  <c r="U169" i="1"/>
  <c r="S169" i="1" s="1"/>
  <c r="AI206" i="1"/>
  <c r="U165" i="1"/>
  <c r="AI202" i="1"/>
  <c r="AI198" i="1"/>
  <c r="U161" i="1"/>
  <c r="S161" i="1" s="1"/>
  <c r="AI194" i="1"/>
  <c r="U251" i="1"/>
  <c r="S251" i="1" s="1"/>
  <c r="AI190" i="1"/>
  <c r="U247" i="1"/>
  <c r="S247" i="1" s="1"/>
  <c r="AI186" i="1"/>
  <c r="U243" i="1"/>
  <c r="S243" i="1" s="1"/>
  <c r="AI184" i="1"/>
  <c r="U241" i="1"/>
  <c r="S241" i="1" s="1"/>
  <c r="AI180" i="1"/>
  <c r="U237" i="1"/>
  <c r="S237" i="1" s="1"/>
  <c r="AI176" i="1"/>
  <c r="U233" i="1"/>
  <c r="S233" i="1" s="1"/>
  <c r="AI162" i="1"/>
  <c r="U179" i="1"/>
  <c r="S179" i="1" s="1"/>
  <c r="AI216" i="1"/>
  <c r="U175" i="1"/>
  <c r="S175" i="1" s="1"/>
  <c r="AI212" i="1"/>
  <c r="AI200" i="1"/>
  <c r="U163" i="1"/>
  <c r="S163" i="1" s="1"/>
  <c r="AI182" i="1"/>
  <c r="U239" i="1"/>
  <c r="S239" i="1" s="1"/>
  <c r="W225" i="1"/>
  <c r="AI250" i="1"/>
  <c r="W223" i="1"/>
  <c r="AI248" i="1"/>
  <c r="AI246" i="1"/>
  <c r="W209" i="1"/>
  <c r="AI244" i="1"/>
  <c r="W207" i="1"/>
  <c r="W205" i="1"/>
  <c r="AI242" i="1"/>
  <c r="W203" i="1"/>
  <c r="AI240" i="1"/>
  <c r="W201" i="1"/>
  <c r="AI238" i="1"/>
  <c r="AI236" i="1"/>
  <c r="W199" i="1"/>
  <c r="W197" i="1"/>
  <c r="AI234" i="1"/>
  <c r="W195" i="1"/>
  <c r="AI232" i="1"/>
  <c r="AI230" i="1"/>
  <c r="W193" i="1"/>
  <c r="AI228" i="1"/>
  <c r="W191" i="1"/>
  <c r="AI226" i="1"/>
  <c r="W189" i="1"/>
  <c r="W187" i="1"/>
  <c r="AI224" i="1"/>
  <c r="U184" i="1"/>
  <c r="S184" i="1" s="1"/>
  <c r="AI221" i="1"/>
  <c r="W184" i="1"/>
  <c r="W180" i="1"/>
  <c r="U180" i="1"/>
  <c r="S180" i="1" s="1"/>
  <c r="AI217" i="1"/>
  <c r="U176" i="1"/>
  <c r="S176" i="1" s="1"/>
  <c r="AI213" i="1"/>
  <c r="W176" i="1"/>
  <c r="U172" i="1"/>
  <c r="S172" i="1" s="1"/>
  <c r="AI209" i="1"/>
  <c r="W172" i="1"/>
  <c r="U168" i="1"/>
  <c r="S168" i="1" s="1"/>
  <c r="AI205" i="1"/>
  <c r="W168" i="1"/>
  <c r="AI201" i="1"/>
  <c r="U164" i="1"/>
  <c r="S164" i="1" s="1"/>
  <c r="AI197" i="1"/>
  <c r="U160" i="1"/>
  <c r="S160" i="1" s="1"/>
  <c r="AI193" i="1"/>
  <c r="U250" i="1"/>
  <c r="S250" i="1" s="1"/>
  <c r="AI189" i="1"/>
  <c r="U246" i="1"/>
  <c r="S246" i="1" s="1"/>
  <c r="AI185" i="1"/>
  <c r="U242" i="1"/>
  <c r="S242" i="1" s="1"/>
  <c r="AI181" i="1"/>
  <c r="U238" i="1"/>
  <c r="S238" i="1" s="1"/>
  <c r="AI177" i="1"/>
  <c r="U234" i="1"/>
  <c r="S234" i="1" s="1"/>
  <c r="AI174" i="1"/>
  <c r="U231" i="1"/>
  <c r="S231" i="1" s="1"/>
  <c r="AI172" i="1"/>
  <c r="U229" i="1"/>
  <c r="S229" i="1" s="1"/>
  <c r="AI170" i="1"/>
  <c r="U227" i="1"/>
  <c r="S227" i="1" s="1"/>
  <c r="AI168" i="1"/>
  <c r="AI167" i="1"/>
  <c r="AI165" i="1"/>
  <c r="AI163" i="1"/>
  <c r="AI161" i="1"/>
  <c r="AI99" i="1"/>
  <c r="U99" i="1"/>
  <c r="S99" i="1" s="1"/>
  <c r="AI142" i="1"/>
  <c r="U142" i="1"/>
  <c r="S142" i="1" s="1"/>
  <c r="AI140" i="1"/>
  <c r="U140" i="1"/>
  <c r="S140" i="1" s="1"/>
  <c r="AI135" i="1"/>
  <c r="U135" i="1"/>
  <c r="S135" i="1" s="1"/>
  <c r="AI127" i="1"/>
  <c r="U127" i="1"/>
  <c r="S127" i="1" s="1"/>
  <c r="AI119" i="1"/>
  <c r="U119" i="1"/>
  <c r="S119" i="1" s="1"/>
  <c r="AI111" i="1"/>
  <c r="U111" i="1"/>
  <c r="S111" i="1" s="1"/>
  <c r="AI95" i="1"/>
  <c r="U95" i="1"/>
  <c r="S95" i="1" s="1"/>
  <c r="AI84" i="1"/>
  <c r="U84" i="1"/>
  <c r="S84" i="1" s="1"/>
  <c r="AI141" i="1"/>
  <c r="U141" i="1"/>
  <c r="S141" i="1" s="1"/>
  <c r="AI139" i="1"/>
  <c r="U139" i="1"/>
  <c r="S139" i="1" s="1"/>
  <c r="AI131" i="1"/>
  <c r="U131" i="1"/>
  <c r="S131" i="1" s="1"/>
  <c r="AI123" i="1"/>
  <c r="U123" i="1"/>
  <c r="S123" i="1" s="1"/>
  <c r="AI115" i="1"/>
  <c r="U115" i="1"/>
  <c r="S115" i="1" s="1"/>
  <c r="AI107" i="1"/>
  <c r="U107" i="1"/>
  <c r="S107" i="1" s="1"/>
  <c r="AI103" i="1"/>
  <c r="U103" i="1"/>
  <c r="S103" i="1" s="1"/>
  <c r="AI137" i="1"/>
  <c r="U137" i="1"/>
  <c r="S137" i="1" s="1"/>
  <c r="AI133" i="1"/>
  <c r="U133" i="1"/>
  <c r="S133" i="1" s="1"/>
  <c r="AI129" i="1"/>
  <c r="U129" i="1"/>
  <c r="S129" i="1" s="1"/>
  <c r="AI125" i="1"/>
  <c r="U125" i="1"/>
  <c r="S125" i="1" s="1"/>
  <c r="AI121" i="1"/>
  <c r="U121" i="1"/>
  <c r="S121" i="1" s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2" i="1"/>
  <c r="U102" i="1"/>
  <c r="S102" i="1" s="1"/>
  <c r="AI98" i="1"/>
  <c r="U98" i="1"/>
  <c r="S98" i="1" s="1"/>
  <c r="AI94" i="1"/>
  <c r="U94" i="1"/>
  <c r="S94" i="1" s="1"/>
  <c r="AI80" i="1"/>
  <c r="U80" i="1"/>
  <c r="S80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AI122" i="1"/>
  <c r="U122" i="1"/>
  <c r="S122" i="1" s="1"/>
  <c r="AI118" i="1"/>
  <c r="U118" i="1"/>
  <c r="S118" i="1" s="1"/>
  <c r="AI114" i="1"/>
  <c r="U114" i="1"/>
  <c r="S114" i="1" s="1"/>
  <c r="AI110" i="1"/>
  <c r="U110" i="1"/>
  <c r="S110" i="1" s="1"/>
  <c r="U106" i="1"/>
  <c r="S106" i="1" s="1"/>
  <c r="AI106" i="1"/>
  <c r="AI91" i="1"/>
  <c r="U91" i="1"/>
  <c r="S91" i="1" s="1"/>
  <c r="AI160" i="1"/>
  <c r="AI159" i="1"/>
  <c r="AI158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36" i="1"/>
  <c r="U136" i="1"/>
  <c r="S136" i="1" s="1"/>
  <c r="AI132" i="1"/>
  <c r="U132" i="1"/>
  <c r="S132" i="1" s="1"/>
  <c r="AI128" i="1"/>
  <c r="U128" i="1"/>
  <c r="S128" i="1" s="1"/>
  <c r="AI124" i="1"/>
  <c r="U124" i="1"/>
  <c r="S124" i="1" s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AI90" i="1"/>
  <c r="U90" i="1"/>
  <c r="S90" i="1" s="1"/>
  <c r="AI100" i="1"/>
  <c r="U100" i="1"/>
  <c r="S100" i="1" s="1"/>
  <c r="AI96" i="1"/>
  <c r="U96" i="1"/>
  <c r="S96" i="1" s="1"/>
  <c r="AI85" i="1"/>
  <c r="U85" i="1"/>
  <c r="S85" i="1" s="1"/>
  <c r="AI81" i="1"/>
  <c r="U81" i="1"/>
  <c r="S81" i="1" s="1"/>
  <c r="AI101" i="1"/>
  <c r="U101" i="1"/>
  <c r="S101" i="1" s="1"/>
  <c r="AI97" i="1"/>
  <c r="U97" i="1"/>
  <c r="S97" i="1" s="1"/>
  <c r="U92" i="1"/>
  <c r="S92" i="1" s="1"/>
  <c r="AI92" i="1"/>
  <c r="U88" i="1"/>
  <c r="S88" i="1" s="1"/>
  <c r="AI88" i="1"/>
  <c r="AI86" i="1"/>
  <c r="U86" i="1"/>
  <c r="S86" i="1" s="1"/>
  <c r="AI82" i="1"/>
  <c r="U82" i="1"/>
  <c r="S82" i="1" s="1"/>
  <c r="U93" i="1"/>
  <c r="S93" i="1" s="1"/>
  <c r="AI93" i="1"/>
  <c r="U89" i="1"/>
  <c r="S89" i="1" s="1"/>
  <c r="AI89" i="1"/>
  <c r="AI83" i="1"/>
  <c r="U83" i="1"/>
  <c r="S83" i="1" s="1"/>
  <c r="U79" i="1"/>
  <c r="S79" i="1" s="1"/>
  <c r="AI79" i="1"/>
  <c r="U78" i="1"/>
  <c r="S78" i="1" s="1"/>
  <c r="AI78" i="1"/>
  <c r="U77" i="1"/>
  <c r="S77" i="1" s="1"/>
  <c r="AI77" i="1"/>
  <c r="AI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AI61" i="1"/>
  <c r="S61" i="1"/>
  <c r="AI60" i="1"/>
  <c r="W60" i="1"/>
  <c r="U59" i="1"/>
  <c r="S59" i="1" s="1"/>
  <c r="AI59" i="1"/>
  <c r="W58" i="1"/>
  <c r="AI58" i="1"/>
  <c r="U57" i="1"/>
  <c r="S57" i="1" s="1"/>
  <c r="AI57" i="1"/>
  <c r="AI56" i="1"/>
  <c r="U55" i="1"/>
  <c r="S55" i="1" s="1"/>
  <c r="AI55" i="1"/>
  <c r="AI54" i="1"/>
  <c r="U53" i="1"/>
  <c r="S53" i="1" s="1"/>
  <c r="AI53" i="1"/>
  <c r="AI52" i="1"/>
  <c r="W52" i="1"/>
  <c r="U51" i="1"/>
  <c r="AI51" i="1"/>
  <c r="S51" i="1"/>
  <c r="W50" i="1"/>
  <c r="AI50" i="1"/>
  <c r="U49" i="1"/>
  <c r="S49" i="1" s="1"/>
  <c r="AI49" i="1"/>
  <c r="AI48" i="1"/>
  <c r="U47" i="1"/>
  <c r="S47" i="1" s="1"/>
  <c r="AI47" i="1"/>
  <c r="AI46" i="1"/>
  <c r="U45" i="1"/>
  <c r="S45" i="1" s="1"/>
  <c r="AI45" i="1"/>
  <c r="AI44" i="1"/>
  <c r="W44" i="1"/>
  <c r="U43" i="1"/>
  <c r="S43" i="1" s="1"/>
  <c r="AI43" i="1"/>
  <c r="W42" i="1"/>
  <c r="AI42" i="1"/>
  <c r="U41" i="1"/>
  <c r="S41" i="1" s="1"/>
  <c r="AI41" i="1"/>
  <c r="AI40" i="1"/>
  <c r="W40" i="1"/>
  <c r="U39" i="1"/>
  <c r="AI39" i="1"/>
  <c r="AI38" i="1"/>
  <c r="U37" i="1"/>
  <c r="S37" i="1" s="1"/>
  <c r="AI37" i="1"/>
  <c r="AI36" i="1"/>
  <c r="U35" i="1"/>
  <c r="S35" i="1" s="1"/>
  <c r="AI35" i="1"/>
  <c r="W34" i="1"/>
  <c r="AI34" i="1"/>
  <c r="U33" i="1"/>
  <c r="S33" i="1" s="1"/>
  <c r="AI33" i="1"/>
  <c r="AI32" i="1"/>
  <c r="W32" i="1"/>
  <c r="U31" i="1"/>
  <c r="S31" i="1" s="1"/>
  <c r="AI31" i="1"/>
  <c r="AI30" i="1"/>
  <c r="U29" i="1"/>
  <c r="S29" i="1" s="1"/>
  <c r="AI29" i="1"/>
  <c r="AI28" i="1"/>
  <c r="U27" i="1"/>
  <c r="S27" i="1" s="1"/>
  <c r="AI27" i="1"/>
  <c r="AI26" i="1"/>
  <c r="W26" i="1"/>
  <c r="U25" i="1"/>
  <c r="S25" i="1" s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81" i="1"/>
  <c r="W178" i="1"/>
  <c r="W173" i="1"/>
  <c r="W170" i="1"/>
  <c r="W179" i="1"/>
  <c r="W171" i="1"/>
  <c r="W185" i="1"/>
  <c r="W182" i="1"/>
  <c r="W177" i="1"/>
  <c r="W174" i="1"/>
  <c r="W169" i="1"/>
  <c r="W166" i="1"/>
  <c r="W226" i="1"/>
  <c r="W224" i="1"/>
  <c r="W222" i="1"/>
  <c r="W208" i="1"/>
  <c r="W206" i="1"/>
  <c r="W204" i="1"/>
  <c r="W202" i="1"/>
  <c r="W200" i="1"/>
  <c r="W198" i="1"/>
  <c r="W196" i="1"/>
  <c r="W194" i="1"/>
  <c r="W192" i="1"/>
  <c r="W190" i="1"/>
  <c r="W188" i="1"/>
  <c r="W186" i="1"/>
  <c r="W183" i="1"/>
  <c r="W175" i="1"/>
  <c r="W167" i="1"/>
  <c r="T208" i="1"/>
  <c r="U208" i="1" s="1"/>
  <c r="S208" i="1" s="1"/>
  <c r="X208" i="1"/>
  <c r="T202" i="1"/>
  <c r="U202" i="1" s="1"/>
  <c r="S202" i="1" s="1"/>
  <c r="X202" i="1"/>
  <c r="T200" i="1"/>
  <c r="U200" i="1" s="1"/>
  <c r="S200" i="1" s="1"/>
  <c r="X200" i="1"/>
  <c r="T194" i="1"/>
  <c r="U194" i="1" s="1"/>
  <c r="S194" i="1" s="1"/>
  <c r="X194" i="1"/>
  <c r="T192" i="1"/>
  <c r="U192" i="1" s="1"/>
  <c r="S192" i="1" s="1"/>
  <c r="X192" i="1"/>
  <c r="T186" i="1"/>
  <c r="U186" i="1" s="1"/>
  <c r="S186" i="1" s="1"/>
  <c r="X186" i="1"/>
  <c r="W158" i="1"/>
  <c r="W244" i="1"/>
  <c r="W236" i="1"/>
  <c r="W211" i="1"/>
  <c r="W155" i="1"/>
  <c r="W152" i="1"/>
  <c r="T226" i="1"/>
  <c r="U226" i="1" s="1"/>
  <c r="S226" i="1" s="1"/>
  <c r="X226" i="1"/>
  <c r="T222" i="1"/>
  <c r="U222" i="1" s="1"/>
  <c r="S222" i="1" s="1"/>
  <c r="X222" i="1"/>
  <c r="T206" i="1"/>
  <c r="U206" i="1" s="1"/>
  <c r="S206" i="1" s="1"/>
  <c r="X206" i="1"/>
  <c r="T198" i="1"/>
  <c r="U198" i="1" s="1"/>
  <c r="S198" i="1" s="1"/>
  <c r="X198" i="1"/>
  <c r="T190" i="1"/>
  <c r="U190" i="1" s="1"/>
  <c r="S190" i="1" s="1"/>
  <c r="X190" i="1"/>
  <c r="W248" i="1"/>
  <c r="W213" i="1"/>
  <c r="W210" i="1"/>
  <c r="W154" i="1"/>
  <c r="W150" i="1"/>
  <c r="W51" i="1"/>
  <c r="W165" i="1"/>
  <c r="W161" i="1"/>
  <c r="W251" i="1"/>
  <c r="W247" i="1"/>
  <c r="W243" i="1"/>
  <c r="W241" i="1"/>
  <c r="W237" i="1"/>
  <c r="W233" i="1"/>
  <c r="W219" i="1"/>
  <c r="T225" i="1"/>
  <c r="U225" i="1" s="1"/>
  <c r="S225" i="1" s="1"/>
  <c r="X225" i="1"/>
  <c r="T223" i="1"/>
  <c r="U223" i="1" s="1"/>
  <c r="S223" i="1" s="1"/>
  <c r="X223" i="1"/>
  <c r="T209" i="1"/>
  <c r="U209" i="1" s="1"/>
  <c r="S209" i="1" s="1"/>
  <c r="X209" i="1"/>
  <c r="T207" i="1"/>
  <c r="U207" i="1" s="1"/>
  <c r="S207" i="1" s="1"/>
  <c r="X207" i="1"/>
  <c r="T205" i="1"/>
  <c r="U205" i="1" s="1"/>
  <c r="S205" i="1" s="1"/>
  <c r="X205" i="1"/>
  <c r="T203" i="1"/>
  <c r="U203" i="1" s="1"/>
  <c r="S203" i="1" s="1"/>
  <c r="X203" i="1"/>
  <c r="T201" i="1"/>
  <c r="U201" i="1" s="1"/>
  <c r="S201" i="1" s="1"/>
  <c r="X201" i="1"/>
  <c r="T199" i="1"/>
  <c r="U199" i="1" s="1"/>
  <c r="X1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X189" i="1"/>
  <c r="T187" i="1"/>
  <c r="U187" i="1" s="1"/>
  <c r="S187" i="1" s="1"/>
  <c r="X187" i="1"/>
  <c r="W164" i="1"/>
  <c r="W160" i="1"/>
  <c r="W250" i="1"/>
  <c r="W246" i="1"/>
  <c r="W242" i="1"/>
  <c r="W238" i="1"/>
  <c r="W234" i="1"/>
  <c r="W217" i="1"/>
  <c r="W89" i="1"/>
  <c r="T224" i="1"/>
  <c r="U224" i="1" s="1"/>
  <c r="S224" i="1" s="1"/>
  <c r="X224" i="1"/>
  <c r="T204" i="1"/>
  <c r="U204" i="1" s="1"/>
  <c r="S204" i="1" s="1"/>
  <c r="X204" i="1"/>
  <c r="T196" i="1"/>
  <c r="U196" i="1" s="1"/>
  <c r="S196" i="1" s="1"/>
  <c r="X196" i="1"/>
  <c r="T188" i="1"/>
  <c r="U188" i="1" s="1"/>
  <c r="S188" i="1" s="1"/>
  <c r="X188" i="1"/>
  <c r="W162" i="1"/>
  <c r="W240" i="1"/>
  <c r="W212" i="1"/>
  <c r="W156" i="1"/>
  <c r="W153" i="1"/>
  <c r="W151" i="1"/>
  <c r="W163" i="1"/>
  <c r="W159" i="1"/>
  <c r="W249" i="1"/>
  <c r="W245" i="1"/>
  <c r="W239" i="1"/>
  <c r="W235" i="1"/>
  <c r="W215" i="1"/>
  <c r="W232" i="1"/>
  <c r="W231" i="1"/>
  <c r="W230" i="1"/>
  <c r="W229" i="1"/>
  <c r="W228" i="1"/>
  <c r="W227" i="1"/>
  <c r="W221" i="1"/>
  <c r="W220" i="1"/>
  <c r="W218" i="1"/>
  <c r="W216" i="1"/>
  <c r="W214" i="1"/>
  <c r="W124" i="1"/>
  <c r="W116" i="1"/>
  <c r="W108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W133" i="1"/>
  <c r="X104" i="1"/>
  <c r="T104" i="1"/>
  <c r="U104" i="1" s="1"/>
  <c r="S104" i="1" s="1"/>
  <c r="W93" i="1"/>
  <c r="X76" i="1"/>
  <c r="T76" i="1"/>
  <c r="U76" i="1" s="1"/>
  <c r="S76" i="1" s="1"/>
  <c r="X77" i="1"/>
  <c r="W149" i="1"/>
  <c r="W148" i="1"/>
  <c r="W147" i="1"/>
  <c r="W146" i="1"/>
  <c r="W145" i="1"/>
  <c r="W144" i="1"/>
  <c r="W143" i="1"/>
  <c r="W120" i="1"/>
  <c r="W112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251" i="1"/>
  <c r="X250" i="1"/>
  <c r="X249" i="1"/>
  <c r="X248" i="1"/>
  <c r="X247" i="1"/>
  <c r="X246" i="1"/>
  <c r="X245" i="1"/>
  <c r="X244" i="1"/>
  <c r="X243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W137" i="1"/>
  <c r="W129" i="1"/>
  <c r="W55" i="1"/>
  <c r="W53" i="1"/>
  <c r="W142" i="1"/>
  <c r="W141" i="1"/>
  <c r="W140" i="1"/>
  <c r="W139" i="1"/>
  <c r="W135" i="1"/>
  <c r="W131" i="1"/>
  <c r="W127" i="1"/>
  <c r="W126" i="1"/>
  <c r="W122" i="1"/>
  <c r="W118" i="1"/>
  <c r="W114" i="1"/>
  <c r="W110" i="1"/>
  <c r="W106" i="1"/>
  <c r="X105" i="1"/>
  <c r="W91" i="1"/>
  <c r="T72" i="1"/>
  <c r="U72" i="1" s="1"/>
  <c r="S72" i="1" s="1"/>
  <c r="X72" i="1"/>
  <c r="X73" i="1"/>
  <c r="X64" i="1"/>
  <c r="T64" i="1"/>
  <c r="U64" i="1" s="1"/>
  <c r="S64" i="1" s="1"/>
  <c r="X65" i="1"/>
  <c r="W43" i="1"/>
  <c r="W36" i="1"/>
  <c r="W33" i="1"/>
  <c r="X24" i="1"/>
  <c r="X25" i="1"/>
  <c r="T24" i="1"/>
  <c r="U24" i="1" s="1"/>
  <c r="S24" i="1" s="1"/>
  <c r="AA136" i="1"/>
  <c r="W136" i="1" s="1"/>
  <c r="AA132" i="1"/>
  <c r="W132" i="1" s="1"/>
  <c r="AA128" i="1"/>
  <c r="W128" i="1" s="1"/>
  <c r="W123" i="1"/>
  <c r="W119" i="1"/>
  <c r="W115" i="1"/>
  <c r="W111" i="1"/>
  <c r="W107" i="1"/>
  <c r="AA100" i="1"/>
  <c r="W100" i="1" s="1"/>
  <c r="AA96" i="1"/>
  <c r="W96" i="1" s="1"/>
  <c r="W81" i="1"/>
  <c r="W75" i="1"/>
  <c r="T66" i="1"/>
  <c r="U66" i="1" s="1"/>
  <c r="S66" i="1" s="1"/>
  <c r="X66" i="1"/>
  <c r="X67" i="1"/>
  <c r="X48" i="1"/>
  <c r="T48" i="1"/>
  <c r="U48" i="1" s="1"/>
  <c r="S48" i="1" s="1"/>
  <c r="W38" i="1"/>
  <c r="W28" i="1"/>
  <c r="W138" i="1"/>
  <c r="W134" i="1"/>
  <c r="W130" i="1"/>
  <c r="W125" i="1"/>
  <c r="W121" i="1"/>
  <c r="W117" i="1"/>
  <c r="W113" i="1"/>
  <c r="W109" i="1"/>
  <c r="W101" i="1"/>
  <c r="W97" i="1"/>
  <c r="W92" i="1"/>
  <c r="W85" i="1"/>
  <c r="W79" i="1"/>
  <c r="W59" i="1"/>
  <c r="W102" i="1"/>
  <c r="W98" i="1"/>
  <c r="W88" i="1"/>
  <c r="W86" i="1"/>
  <c r="W82" i="1"/>
  <c r="W78" i="1"/>
  <c r="W74" i="1"/>
  <c r="T68" i="1"/>
  <c r="U68" i="1" s="1"/>
  <c r="S68" i="1" s="1"/>
  <c r="X68" i="1"/>
  <c r="X69" i="1"/>
  <c r="X56" i="1"/>
  <c r="T56" i="1"/>
  <c r="U56" i="1" s="1"/>
  <c r="S56" i="1" s="1"/>
  <c r="W30" i="1"/>
  <c r="AA105" i="1"/>
  <c r="W105" i="1" s="1"/>
  <c r="AA104" i="1"/>
  <c r="W104" i="1" s="1"/>
  <c r="AA103" i="1"/>
  <c r="W103" i="1" s="1"/>
  <c r="AA99" i="1"/>
  <c r="W99" i="1" s="1"/>
  <c r="AA95" i="1"/>
  <c r="W95" i="1" s="1"/>
  <c r="W94" i="1"/>
  <c r="W90" i="1"/>
  <c r="W77" i="1"/>
  <c r="W73" i="1"/>
  <c r="T70" i="1"/>
  <c r="U70" i="1" s="1"/>
  <c r="S70" i="1" s="1"/>
  <c r="X70" i="1"/>
  <c r="X71" i="1"/>
  <c r="W63" i="1"/>
  <c r="W61" i="1"/>
  <c r="W47" i="1"/>
  <c r="W45" i="1"/>
  <c r="W83" i="1"/>
  <c r="W57" i="1"/>
  <c r="W49" i="1"/>
  <c r="W41" i="1"/>
  <c r="X36" i="1"/>
  <c r="T36" i="1"/>
  <c r="U36" i="1" s="1"/>
  <c r="S36" i="1" s="1"/>
  <c r="X37" i="1"/>
  <c r="X28" i="1"/>
  <c r="T28" i="1"/>
  <c r="U28" i="1" s="1"/>
  <c r="S28" i="1" s="1"/>
  <c r="X29" i="1"/>
  <c r="W84" i="1"/>
  <c r="W80" i="1"/>
  <c r="W76" i="1"/>
  <c r="W72" i="1"/>
  <c r="W71" i="1"/>
  <c r="W70" i="1"/>
  <c r="W69" i="1"/>
  <c r="W68" i="1"/>
  <c r="W67" i="1"/>
  <c r="W66" i="1"/>
  <c r="W65" i="1"/>
  <c r="W64" i="1"/>
  <c r="W62" i="1"/>
  <c r="W56" i="1"/>
  <c r="W54" i="1"/>
  <c r="W48" i="1"/>
  <c r="W46" i="1"/>
  <c r="X20" i="1"/>
  <c r="T20" i="1"/>
  <c r="U20" i="1" s="1"/>
  <c r="S20" i="1" s="1"/>
  <c r="T60" i="1"/>
  <c r="U60" i="1" s="1"/>
  <c r="S60" i="1" s="1"/>
  <c r="T52" i="1"/>
  <c r="U52" i="1" s="1"/>
  <c r="S52" i="1" s="1"/>
  <c r="T44" i="1"/>
  <c r="U44" i="1" s="1"/>
  <c r="S44" i="1" s="1"/>
  <c r="X40" i="1"/>
  <c r="T40" i="1"/>
  <c r="U40" i="1" s="1"/>
  <c r="S40" i="1" s="1"/>
  <c r="W37" i="1"/>
  <c r="X32" i="1"/>
  <c r="T32" i="1"/>
  <c r="U32" i="1" s="1"/>
  <c r="S32" i="1" s="1"/>
  <c r="W29" i="1"/>
  <c r="X26" i="1"/>
  <c r="T26" i="1"/>
  <c r="U26" i="1" s="1"/>
  <c r="S26" i="1" s="1"/>
  <c r="W18" i="1"/>
  <c r="W16" i="1"/>
  <c r="W14" i="1"/>
  <c r="T58" i="1"/>
  <c r="U58" i="1" s="1"/>
  <c r="S58" i="1" s="1"/>
  <c r="T50" i="1"/>
  <c r="U50" i="1" s="1"/>
  <c r="S50" i="1" s="1"/>
  <c r="X42" i="1"/>
  <c r="T42" i="1"/>
  <c r="U42" i="1" s="1"/>
  <c r="S42" i="1" s="1"/>
  <c r="X41" i="1"/>
  <c r="W39" i="1"/>
  <c r="X34" i="1"/>
  <c r="T34" i="1"/>
  <c r="U34" i="1" s="1"/>
  <c r="S34" i="1" s="1"/>
  <c r="W31" i="1"/>
  <c r="X27" i="1"/>
  <c r="W25" i="1"/>
  <c r="W24" i="1"/>
  <c r="W20" i="1"/>
  <c r="T62" i="1"/>
  <c r="U62" i="1" s="1"/>
  <c r="S62" i="1" s="1"/>
  <c r="T54" i="1"/>
  <c r="U54" i="1" s="1"/>
  <c r="S54" i="1" s="1"/>
  <c r="T46" i="1"/>
  <c r="U46" i="1" s="1"/>
  <c r="S46" i="1" s="1"/>
  <c r="X38" i="1"/>
  <c r="T38" i="1"/>
  <c r="U38" i="1" s="1"/>
  <c r="W35" i="1"/>
  <c r="X30" i="1"/>
  <c r="T30" i="1"/>
  <c r="U30" i="1" s="1"/>
  <c r="S30" i="1" s="1"/>
  <c r="W27" i="1"/>
  <c r="W22" i="1"/>
  <c r="W23" i="1"/>
  <c r="W21" i="1"/>
  <c r="W19" i="1"/>
  <c r="W17" i="1"/>
  <c r="W15" i="1"/>
  <c r="AD24" i="3"/>
  <c r="AD49" i="3"/>
  <c r="AE44" i="3"/>
  <c r="AD40" i="3"/>
  <c r="AE36" i="3"/>
  <c r="AD32" i="3"/>
  <c r="AD25" i="3"/>
  <c r="AE18" i="3"/>
  <c r="T30" i="3"/>
  <c r="AD12" i="3"/>
  <c r="AE11" i="3"/>
  <c r="AD44" i="3"/>
  <c r="AE40" i="3"/>
  <c r="AD36" i="3"/>
  <c r="T45" i="3"/>
  <c r="AD21" i="3"/>
  <c r="T12" i="3"/>
  <c r="AE14" i="3"/>
  <c r="AD9" i="3"/>
  <c r="AE22" i="3"/>
  <c r="AE26" i="3"/>
  <c r="AE19" i="3"/>
  <c r="AD13" i="3"/>
  <c r="AD8" i="3"/>
  <c r="AE31" i="3"/>
  <c r="AC37" i="3"/>
  <c r="AC7" i="3"/>
  <c r="AC36" i="3"/>
  <c r="AC23" i="3"/>
  <c r="AC42" i="3"/>
  <c r="AC10" i="3"/>
  <c r="AC29" i="3"/>
  <c r="AC47" i="3"/>
  <c r="AC27" i="3"/>
  <c r="AC19" i="3"/>
  <c r="AC34" i="3"/>
  <c r="AE47" i="3"/>
  <c r="AE15" i="3"/>
  <c r="AD51" i="3"/>
  <c r="T11" i="3"/>
  <c r="AD43" i="3"/>
  <c r="T24" i="3"/>
  <c r="T41" i="3"/>
  <c r="AD35" i="3"/>
  <c r="T22" i="3"/>
  <c r="AE32" i="3"/>
  <c r="AD31" i="3"/>
  <c r="T43" i="3"/>
  <c r="AE28" i="3"/>
  <c r="AD27" i="3"/>
  <c r="T44" i="3"/>
  <c r="AE24" i="3"/>
  <c r="AD23" i="3"/>
  <c r="T46" i="3"/>
  <c r="AE20" i="3"/>
  <c r="AD19" i="3"/>
  <c r="T26" i="3"/>
  <c r="AE16" i="3"/>
  <c r="AD15" i="3"/>
  <c r="T16" i="3"/>
  <c r="AE12" i="3"/>
  <c r="AD11" i="3"/>
  <c r="T9" i="3"/>
  <c r="AE23" i="3"/>
  <c r="AD47" i="3"/>
  <c r="T17" i="3"/>
  <c r="AE50" i="3"/>
  <c r="T18" i="3"/>
  <c r="AE46" i="3"/>
  <c r="T8" i="3"/>
  <c r="AE42" i="3"/>
  <c r="T52" i="3"/>
  <c r="AE38" i="3"/>
  <c r="T40" i="3"/>
  <c r="AE34" i="3"/>
  <c r="T13" i="3"/>
  <c r="Y37" i="3"/>
  <c r="Y7" i="3"/>
  <c r="Y36" i="3"/>
  <c r="Y23" i="3"/>
  <c r="Y42" i="3"/>
  <c r="Y10" i="3"/>
  <c r="Y29" i="3"/>
  <c r="Y47" i="3"/>
  <c r="Y27" i="3"/>
  <c r="Y19" i="3"/>
  <c r="Y34" i="3"/>
  <c r="Y20" i="3"/>
  <c r="Y11" i="3"/>
  <c r="Y17" i="3"/>
  <c r="Y24" i="3"/>
  <c r="Y22" i="3"/>
  <c r="Y43" i="3"/>
  <c r="Y26" i="3"/>
  <c r="Y16" i="3"/>
  <c r="Y9" i="3"/>
  <c r="Y18" i="3"/>
  <c r="Y8" i="3"/>
  <c r="Y52" i="3"/>
  <c r="Y40" i="3"/>
  <c r="Y13" i="3"/>
  <c r="Y45" i="3"/>
  <c r="Y48" i="3"/>
  <c r="Y28" i="3"/>
  <c r="Y12" i="3"/>
  <c r="Y30" i="3"/>
  <c r="Y38" i="3"/>
  <c r="Y41" i="3"/>
  <c r="Y44" i="3"/>
  <c r="Y46" i="3"/>
  <c r="Y25" i="3"/>
  <c r="Y32" i="3"/>
  <c r="Y51" i="3"/>
  <c r="Y50" i="3"/>
  <c r="Y31" i="3"/>
  <c r="Y49" i="3"/>
  <c r="Y14" i="3"/>
  <c r="Y15" i="3"/>
  <c r="Y21" i="3"/>
  <c r="Y35" i="3"/>
  <c r="Y33" i="3"/>
  <c r="AC25" i="3"/>
  <c r="AC32" i="3"/>
  <c r="AC51" i="3"/>
  <c r="AC50" i="3"/>
  <c r="AC31" i="3"/>
  <c r="AC49" i="3"/>
  <c r="AC14" i="3"/>
  <c r="AC15" i="3"/>
  <c r="AC21" i="3"/>
  <c r="AC35" i="3"/>
  <c r="AC33" i="3"/>
  <c r="AD50" i="3"/>
  <c r="AE49" i="3"/>
  <c r="T25" i="3"/>
  <c r="AD46" i="3"/>
  <c r="AE45" i="3"/>
  <c r="T32" i="3"/>
  <c r="AD42" i="3"/>
  <c r="AE41" i="3"/>
  <c r="T51" i="3"/>
  <c r="AD38" i="3"/>
  <c r="AE37" i="3"/>
  <c r="T50" i="3"/>
  <c r="AD34" i="3"/>
  <c r="AE33" i="3"/>
  <c r="T31" i="3"/>
  <c r="AD30" i="3"/>
  <c r="AE29" i="3"/>
  <c r="T49" i="3"/>
  <c r="AD26" i="3"/>
  <c r="AE25" i="3"/>
  <c r="T14" i="3"/>
  <c r="AD22" i="3"/>
  <c r="AE21" i="3"/>
  <c r="T15" i="3"/>
  <c r="AD18" i="3"/>
  <c r="AE17" i="3"/>
  <c r="T21" i="3"/>
  <c r="AD14" i="3"/>
  <c r="AE13" i="3"/>
  <c r="T35" i="3"/>
  <c r="AD10" i="3"/>
  <c r="AE9" i="3"/>
  <c r="T33" i="3"/>
  <c r="AE8" i="3"/>
  <c r="S38" i="1" l="1"/>
  <c r="S39" i="3"/>
  <c r="M39" i="3"/>
  <c r="R39" i="3"/>
  <c r="U39" i="3"/>
  <c r="V39" i="3"/>
  <c r="X39" i="3"/>
  <c r="AC39" i="3" l="1"/>
  <c r="AE39" i="3"/>
  <c r="AD39" i="3"/>
  <c r="W39" i="3"/>
  <c r="Y39" i="3" l="1"/>
  <c r="T39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N37" i="3" s="1"/>
  <c r="G253" i="4"/>
  <c r="G254" i="4"/>
  <c r="G255" i="4"/>
  <c r="G256" i="4"/>
  <c r="G257" i="4"/>
  <c r="G258" i="4"/>
  <c r="G259" i="4"/>
  <c r="G260" i="4"/>
  <c r="G224" i="4" l="1"/>
  <c r="G225" i="4"/>
  <c r="G226" i="4"/>
  <c r="N18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N11" i="3" s="1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N20" i="3" s="1"/>
  <c r="G16" i="4"/>
  <c r="G17" i="4"/>
  <c r="G18" i="4"/>
  <c r="G19" i="4"/>
  <c r="G20" i="4"/>
  <c r="G21" i="4"/>
  <c r="G22" i="4"/>
  <c r="G23" i="4"/>
  <c r="N38" i="3" s="1"/>
  <c r="G24" i="4"/>
  <c r="G25" i="4"/>
  <c r="G26" i="4"/>
  <c r="G27" i="4"/>
  <c r="G28" i="4"/>
  <c r="G29" i="4"/>
  <c r="N33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9" i="3" s="1"/>
  <c r="G44" i="4"/>
  <c r="N34" i="3" s="1"/>
  <c r="G45" i="4"/>
  <c r="G46" i="4"/>
  <c r="G47" i="4"/>
  <c r="G48" i="4"/>
  <c r="G49" i="4"/>
  <c r="G50" i="4"/>
  <c r="G51" i="4"/>
  <c r="G52" i="4"/>
  <c r="N35" i="3" s="1"/>
  <c r="G53" i="4"/>
  <c r="G54" i="4"/>
  <c r="G55" i="4"/>
  <c r="G56" i="4"/>
  <c r="G57" i="4"/>
  <c r="N30" i="3" s="1"/>
  <c r="G58" i="4"/>
  <c r="N39" i="3" s="1"/>
  <c r="G59" i="4"/>
  <c r="G60" i="4"/>
  <c r="G61" i="4"/>
  <c r="G62" i="4"/>
  <c r="G63" i="4"/>
  <c r="G64" i="4"/>
  <c r="G65" i="4"/>
  <c r="N19" i="3" s="1"/>
  <c r="G66" i="4"/>
  <c r="G67" i="4"/>
  <c r="G68" i="4"/>
  <c r="G69" i="4"/>
  <c r="G70" i="4"/>
  <c r="G71" i="4"/>
  <c r="G72" i="4"/>
  <c r="N15" i="3" s="1"/>
  <c r="G73" i="4"/>
  <c r="G74" i="4"/>
  <c r="G75" i="4"/>
  <c r="G76" i="4"/>
  <c r="G77" i="4"/>
  <c r="N28" i="3" s="1"/>
  <c r="G78" i="4"/>
  <c r="G79" i="4"/>
  <c r="G80" i="4"/>
  <c r="G81" i="4"/>
  <c r="G82" i="4"/>
  <c r="G83" i="4"/>
  <c r="G84" i="4"/>
  <c r="G85" i="4"/>
  <c r="N14" i="3" s="1"/>
  <c r="G86" i="4"/>
  <c r="G87" i="4"/>
  <c r="G88" i="4"/>
  <c r="G89" i="4"/>
  <c r="G90" i="4"/>
  <c r="G91" i="4"/>
  <c r="G92" i="4"/>
  <c r="N48" i="3" s="1"/>
  <c r="G93" i="4"/>
  <c r="G94" i="4"/>
  <c r="G95" i="4"/>
  <c r="G96" i="4"/>
  <c r="G97" i="4"/>
  <c r="N44" i="3" s="1"/>
  <c r="G98" i="4"/>
  <c r="G99" i="4"/>
  <c r="G100" i="4"/>
  <c r="G101" i="4"/>
  <c r="N29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10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N31" i="3" s="1"/>
  <c r="G136" i="4"/>
  <c r="G137" i="4"/>
  <c r="G138" i="4"/>
  <c r="G139" i="4"/>
  <c r="G140" i="4"/>
  <c r="G141" i="4"/>
  <c r="N51" i="3" s="1"/>
  <c r="G142" i="4"/>
  <c r="G143" i="4"/>
  <c r="G144" i="4"/>
  <c r="G145" i="4"/>
  <c r="G146" i="4"/>
  <c r="G147" i="4"/>
  <c r="G148" i="4"/>
  <c r="G149" i="4"/>
  <c r="N42" i="3" s="1"/>
  <c r="G150" i="4"/>
  <c r="G151" i="4"/>
  <c r="G152" i="4"/>
  <c r="G153" i="4"/>
  <c r="G154" i="4"/>
  <c r="G155" i="4"/>
  <c r="G156" i="4"/>
  <c r="G157" i="4"/>
  <c r="G158" i="4"/>
  <c r="G159" i="4"/>
  <c r="G160" i="4"/>
  <c r="N23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N24" i="3" s="1"/>
  <c r="G191" i="4"/>
  <c r="G192" i="4"/>
  <c r="G193" i="4"/>
  <c r="G194" i="4"/>
  <c r="G195" i="4"/>
  <c r="G196" i="4"/>
  <c r="G197" i="4"/>
  <c r="N36" i="3" s="1"/>
  <c r="G198" i="4"/>
  <c r="G199" i="4"/>
  <c r="G200" i="4"/>
  <c r="G201" i="4"/>
  <c r="G202" i="4"/>
  <c r="G203" i="4"/>
  <c r="G204" i="4"/>
  <c r="G205" i="4"/>
  <c r="G206" i="4"/>
  <c r="G207" i="4"/>
  <c r="N8" i="3" s="1"/>
  <c r="G208" i="4"/>
  <c r="G209" i="4"/>
  <c r="N32" i="3" s="1"/>
  <c r="G210" i="4"/>
  <c r="N17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7" i="3" l="1"/>
  <c r="N25" i="3"/>
  <c r="N41" i="3"/>
  <c r="N40" i="3"/>
  <c r="N43" i="3"/>
  <c r="N45" i="3"/>
  <c r="N27" i="3"/>
  <c r="N26" i="3"/>
  <c r="N12" i="3"/>
  <c r="N16" i="3"/>
  <c r="N21" i="3"/>
  <c r="N50" i="3"/>
  <c r="N52" i="3"/>
  <c r="N22" i="3"/>
  <c r="N13" i="3"/>
  <c r="N49" i="3"/>
  <c r="N47" i="3"/>
  <c r="N4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<sst xmlns="http://schemas.openxmlformats.org/spreadsheetml/2006/main" count="2993" uniqueCount="1112">
  <si>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</si>
  <si>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</si>
  <si>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</si>
  <si>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</si>
  <si>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</si>
  <si>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</si>
  <si>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</si>
  <si>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</si>
  <si>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</si>
  <si>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</si>
  <si>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</si>
  <si>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</si>
  <si>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</si>
  <si>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</si>
  <si>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</si>
  <si>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</si>
  <si>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</si>
  <si>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</si>
  <si>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</si>
  <si>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</si>
  <si>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</si>
  <si>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</si>
  <si>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</si>
  <si>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</si>
  <si>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</si>
  <si>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</si>
  <si>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</si>
  <si>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</si>
  <si>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</si>
  <si>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</si>
  <si>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</si>
  <si>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</si>
  <si>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</si>
  <si>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</si>
  <si>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</si>
  <si>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</si>
  <si>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</si>
  <si>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</si>
  <si>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</si>
  <si>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</si>
  <si>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</si>
  <si>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</si>
  <si>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</si>
  <si>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</si>
  <si>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</si>
  <si>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</si>
  <si>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</si>
  <si>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</si>
  <si>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</si>
  <si>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</si>
  <si>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</si>
  <si>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</si>
  <si>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</si>
  <si>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</si>
  <si>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</si>
  <si>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</si>
  <si>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</si>
  <si>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</si>
  <si>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</si>
  <si>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</si>
  <si>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</si>
  <si>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</si>
  <si>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</si>
  <si>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</si>
  <si>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</si>
  <si>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</si>
  <si>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</si>
  <si>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</si>
  <si>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</si>
  <si>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</si>
  <si>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</si>
  <si>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</si>
  <si>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</si>
  <si>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</si>
  <si>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</si>
  <si>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</si>
  <si>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</si>
  <si>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</si>
  <si>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</si>
  <si>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</si>
  <si>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</si>
  <si>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</si>
  <si>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</si>
  <si>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</si>
  <si>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</si>
  <si>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</si>
  <si>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</si>
  <si>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</si>
  <si>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</si>
  <si>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</si>
  <si>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</si>
  <si>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</si>
  <si>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</si>
  <si>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</si>
  <si>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</si>
  <si>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</si>
  <si>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</si>
  <si>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</si>
  <si>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</si>
  <si>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</si>
  <si>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</si>
  <si>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</si>
  <si>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</si>
  <si>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</si>
  <si>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</si>
  <si>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</si>
  <si>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</si>
  <si>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</si>
  <si>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</si>
  <si>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</si>
  <si>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</si>
  <si>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</si>
  <si>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</si>
  <si>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</si>
  <si>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</si>
  <si>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</si>
  <si>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</si>
  <si>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</si>
  <si>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</si>
  <si>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</si>
  <si>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</si>
  <si>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</si>
  <si>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</si>
  <si>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</si>
  <si>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</si>
  <si>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</si>
  <si>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</si>
  <si>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</si>
  <si>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</si>
  <si>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</si>
  <si>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</si>
  <si>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</si>
  <si>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</si>
  <si>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</si>
  <si>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</si>
  <si>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</si>
  <si>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</si>
  <si>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</si>
  <si>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</si>
  <si>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</si>
  <si>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</si>
  <si>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</si>
  <si>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</si>
  <si>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</si>
  <si>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</si>
  <si>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</si>
  <si>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</si>
  <si>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</si>
  <si>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</si>
  <si>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</si>
  <si>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</si>
  <si>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</si>
  <si>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</si>
  <si>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</si>
  <si>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</si>
  <si>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</si>
  <si>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</si>
  <si>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</si>
  <si>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</si>
  <si>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</si>
  <si>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</si>
  <si>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</si>
  <si>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</si>
  <si>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</si>
  <si>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</si>
  <si>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</si>
  <si>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</si>
  <si>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</si>
  <si>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</si>
  <si>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</si>
  <si>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</si>
  <si>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</si>
  <si>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</si>
  <si>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</si>
  <si>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</si>
  <si>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</si>
  <si>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</si>
  <si>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</si>
  <si>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</si>
  <si>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</si>
  <si>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</si>
  <si>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</si>
  <si>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</si>
  <si>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</si>
  <si>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</si>
  <si>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</si>
  <si>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</si>
  <si>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</si>
  <si>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</si>
  <si>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</si>
  <si>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</si>
  <si>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</si>
  <si>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</si>
  <si>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</si>
  <si>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</si>
  <si>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</si>
  <si>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</si>
  <si>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</si>
  <si>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</si>
  <si>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</si>
  <si>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</si>
  <si>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</si>
  <si>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</si>
  <si>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</si>
  <si>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</si>
  <si>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</si>
  <si>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</si>
  <si>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</si>
  <si>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</si>
  <si>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</si>
  <si>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</si>
  <si>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</si>
  <si>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</si>
  <si>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</si>
  <si>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</si>
  <si>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</si>
  <si>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</si>
  <si>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</si>
  <si>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</si>
  <si>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</si>
  <si>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</si>
  <si>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</si>
  <si>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</si>
  <si>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</si>
  <si>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</si>
  <si>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</si>
  <si>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</si>
  <si>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</si>
  <si>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</si>
  <si>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</si>
  <si>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</si>
  <si>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</si>
  <si>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</si>
  <si>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</si>
  <si>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</si>
  <si>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</si>
  <si>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</si>
  <si>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</si>
  <si>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</si>
  <si>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</si>
  <si>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</si>
  <si>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</si>
  <si>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</si>
  <si>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</si>
  <si>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</si>
  <si>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</si>
  <si>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</si>
  <si>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</si>
  <si>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</si>
  <si>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</si>
  <si>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</si>
  <si>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</si>
  <si>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</si>
  <si>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</si>
  <si>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</si>
  <si>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</si>
  <si>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</si>
  <si>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</si>
  <si>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</si>
  <si>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</si>
  <si>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</si>
  <si>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</si>
  <si>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</si>
  <si>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</si>
  <si>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</si>
  <si>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</si>
  <si>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</si>
  <si>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</si>
  <si>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</si>
  <si>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</si>
  <si>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</si>
  <si>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</si>
  <si>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</si>
  <si>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</si>
  <si>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</si>
  <si>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</si>
  <si>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</si>
  <si>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</si>
  <si>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</si>
  <si>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</si>
  <si>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</si>
  <si>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</si>
  <si>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</si>
  <si>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</si>
  <si>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</si>
  <si>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</si>
  <si>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</si>
  <si>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</si>
  <si>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</si>
  <si>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</si>
  <si>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</si>
  <si>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</si>
  <si>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</si>
  <si>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</si>
  <si>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</si>
  <si>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</si>
  <si>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</si>
  <si>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</si>
  <si>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</si>
  <si>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</si>
  <si>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</si>
  <si>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</si>
  <si>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</si>
  <si>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</si>
  <si>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</si>
  <si>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</si>
  <si>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</si>
  <si>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</si>
  <si>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</si>
  <si>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</si>
  <si>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</si>
  <si>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</si>
  <si>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</si>
  <si>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</si>
  <si>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</si>
  <si>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</si>
  <si>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</si>
  <si>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</si>
  <si>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</si>
  <si>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</si>
  <si>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</si>
  <si>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</si>
  <si>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</si>
  <si>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</si>
  <si>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</si>
  <si>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</si>
  <si>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</si>
  <si>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</si>
  <si>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</si>
  <si>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</si>
  <si>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</si>
  <si>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</si>
  <si>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</si>
  <si>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</si>
  <si>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</si>
  <si>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</si>
  <si>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</si>
  <si>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</si>
  <si>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</si>
  <si>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</si>
  <si>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</si>
  <si>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</si>
  <si>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</si>
  <si>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</si>
  <si>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</si>
  <si>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</si>
  <si>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</si>
  <si>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</si>
  <si>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</si>
  <si>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</si>
  <si>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</si>
  <si>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</si>
  <si>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</si>
  <si>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</si>
  <si>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</si>
  <si>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</si>
  <si>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</si>
  <si>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LOZA</t>
  </si>
  <si>
    <t>FIDEL</t>
  </si>
  <si>
    <t>JAMES</t>
  </si>
  <si>
    <t>204:460</t>
  </si>
  <si>
    <t>204:158</t>
  </si>
  <si>
    <t>DUNCAN</t>
  </si>
  <si>
    <t>SHEILA</t>
  </si>
  <si>
    <t>204:139</t>
  </si>
  <si>
    <t>204:471</t>
  </si>
  <si>
    <t>STAMBAUGH</t>
  </si>
  <si>
    <t>204:154</t>
  </si>
  <si>
    <t>204:447</t>
  </si>
  <si>
    <t>YORK</t>
  </si>
  <si>
    <t>EDGAR</t>
  </si>
  <si>
    <t>Y</t>
  </si>
  <si>
    <t>Sat - Sun = 36 Trips</t>
  </si>
  <si>
    <t>"Summary View"</t>
  </si>
  <si>
    <t>ANDERS</t>
  </si>
  <si>
    <t>STEVEN</t>
  </si>
  <si>
    <t>204:467</t>
  </si>
  <si>
    <t>204:473</t>
  </si>
  <si>
    <t>rtdc.l.rtdc.4055:itc</t>
  </si>
  <si>
    <t>MICHAEL</t>
  </si>
  <si>
    <t>clear-night</t>
  </si>
  <si>
    <t>Clear</t>
  </si>
  <si>
    <t>rtdc.l.rtdc.4066:itc</t>
  </si>
  <si>
    <t>rtdc.l.rtdc.4065:itc</t>
  </si>
  <si>
    <t>MCREYNOLDS</t>
  </si>
  <si>
    <t>KYLE</t>
  </si>
  <si>
    <t>%REDMINEAPIKEY%</t>
  </si>
  <si>
    <t>204:464</t>
  </si>
  <si>
    <t>STEWART</t>
  </si>
  <si>
    <t>204:232994</t>
  </si>
  <si>
    <t>clear-day</t>
  </si>
  <si>
    <t>204:442</t>
  </si>
  <si>
    <t>204:462</t>
  </si>
  <si>
    <t>204:232989</t>
  </si>
  <si>
    <t>300:23346</t>
  </si>
  <si>
    <t>SIGNAL</t>
  </si>
  <si>
    <t>Signal based authority (5)</t>
  </si>
  <si>
    <t>204:138</t>
  </si>
  <si>
    <t>204:440</t>
  </si>
  <si>
    <t>204:136</t>
  </si>
  <si>
    <t>204:141</t>
  </si>
  <si>
    <t>Wi-MAX data drop</t>
  </si>
  <si>
    <t>rtdc.l.rtdc.4008:itc</t>
  </si>
  <si>
    <t>204:233297</t>
  </si>
  <si>
    <t>rtdc.l.rtdc.4060:itc</t>
  </si>
  <si>
    <t>rtdc.l.rtdc.4059:itc</t>
  </si>
  <si>
    <t>rtdc.l.rtdc.4009:itc</t>
  </si>
  <si>
    <t>rtdc.l.rtdc.4010:itc</t>
  </si>
  <si>
    <t>LEVERE</t>
  </si>
  <si>
    <t>CRAIG</t>
  </si>
  <si>
    <t>LEVIN</t>
  </si>
  <si>
    <t>SCOTT</t>
  </si>
  <si>
    <t>204:232996</t>
  </si>
  <si>
    <t>204:232980</t>
  </si>
  <si>
    <t>BIRKHOLZ</t>
  </si>
  <si>
    <t>NADINE</t>
  </si>
  <si>
    <t>204:232988</t>
  </si>
  <si>
    <t>rtdc.l.rtdc.4018:itc</t>
  </si>
  <si>
    <t>rtdc.l.rtdc.4005:itc</t>
  </si>
  <si>
    <t>rtdc.l.rtdc.4007:itc</t>
  </si>
  <si>
    <t>Track device (7)</t>
  </si>
  <si>
    <t>rtdc.l.rtdc.4017:itc</t>
  </si>
  <si>
    <t>SWITCH UNKNOWN</t>
  </si>
  <si>
    <t>rtdc.l.rtdc.4043:itc</t>
  </si>
  <si>
    <t>rtdc.l.rtdc.4044:itc</t>
  </si>
  <si>
    <t>DAVIS</t>
  </si>
  <si>
    <t>rtdc.l.rtdc.4006:itc</t>
  </si>
  <si>
    <t>BERLING</t>
  </si>
  <si>
    <t>GARY</t>
  </si>
  <si>
    <t>HOLCOMB</t>
  </si>
  <si>
    <t>KAMDEN</t>
  </si>
  <si>
    <t>ZEWDU</t>
  </si>
  <si>
    <t>DEREJE</t>
  </si>
  <si>
    <t>204:233309</t>
  </si>
  <si>
    <t>204:232986</t>
  </si>
  <si>
    <t>204:232984</t>
  </si>
  <si>
    <t>204:163</t>
  </si>
  <si>
    <t>204:466</t>
  </si>
  <si>
    <t>204:484</t>
  </si>
  <si>
    <t>rtdc.l.rtdc.4058:itc</t>
  </si>
  <si>
    <t>rtdc.l.rtdc.4024:itc</t>
  </si>
  <si>
    <t>rtdc.l.rtdc.4023:itc</t>
  </si>
  <si>
    <t>rtdc.l.rtdc.4057:itc</t>
  </si>
  <si>
    <t>216-19</t>
  </si>
  <si>
    <t>226-19</t>
  </si>
  <si>
    <t>rtdc.l.rtdc.4016:itc</t>
  </si>
  <si>
    <t>rtdc.l.rtdc.4014:itc</t>
  </si>
  <si>
    <t>DAVID</t>
  </si>
  <si>
    <t>rtdc.l.rtdc.4032:itc</t>
  </si>
  <si>
    <t>75-19</t>
  </si>
  <si>
    <t>NICHOLSON</t>
  </si>
  <si>
    <t>WESLEY</t>
  </si>
  <si>
    <t>ELBAUM</t>
  </si>
  <si>
    <t>MIKE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</si>
  <si>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</si>
  <si>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</si>
  <si>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</si>
  <si>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</si>
  <si>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</si>
  <si>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</si>
  <si>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</si>
  <si>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</si>
  <si>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</si>
  <si>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</si>
  <si>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</si>
  <si>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</si>
  <si>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</si>
  <si>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</si>
  <si>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</si>
  <si>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</si>
  <si>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</si>
  <si>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</si>
  <si>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</si>
  <si>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</si>
  <si>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</si>
  <si>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</si>
  <si>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</si>
  <si>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</si>
  <si>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</si>
  <si>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</si>
  <si>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</si>
  <si>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</si>
  <si>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</si>
  <si>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</si>
  <si>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</si>
  <si>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</si>
  <si>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</si>
  <si>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</si>
  <si>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</si>
  <si>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</si>
  <si>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</si>
  <si>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</si>
  <si>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</si>
  <si>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</si>
  <si>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</si>
  <si>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</si>
  <si>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</si>
  <si>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</si>
  <si>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</si>
  <si>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</si>
  <si>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</si>
  <si>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</si>
  <si>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</si>
  <si>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</si>
  <si>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</si>
  <si>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204:449</t>
  </si>
  <si>
    <t>204:435</t>
  </si>
  <si>
    <t>rtdc.l.rtdc.4025:itc</t>
  </si>
  <si>
    <t>rtdc.l.rtdc.4028:itc</t>
  </si>
  <si>
    <t>rtdc.l.rtdc.4050:itc</t>
  </si>
  <si>
    <t>rtdc.l.rtdc.4026:itc</t>
  </si>
  <si>
    <t>LAMAR</t>
  </si>
  <si>
    <t>NEKESHA</t>
  </si>
  <si>
    <t>BROWN</t>
  </si>
  <si>
    <t>JACOB</t>
  </si>
  <si>
    <t>GUZMAN</t>
  </si>
  <si>
    <t>DANNY</t>
  </si>
  <si>
    <t>204:233270</t>
  </si>
  <si>
    <t>204:232993</t>
  </si>
  <si>
    <t>204:475</t>
  </si>
  <si>
    <t>204:233325</t>
  </si>
  <si>
    <t>204:233289</t>
  </si>
  <si>
    <t>204:233004</t>
  </si>
  <si>
    <t>204:233306</t>
  </si>
  <si>
    <t>204:233006</t>
  </si>
  <si>
    <t>rtdc.l.rtdc.4049:itc</t>
  </si>
  <si>
    <t>THOMPSON</t>
  </si>
  <si>
    <t>LESTER</t>
  </si>
  <si>
    <t>STARKS</t>
  </si>
  <si>
    <t>ANGELINA</t>
  </si>
  <si>
    <t>BONDS</t>
  </si>
  <si>
    <t>REYNALDO</t>
  </si>
  <si>
    <t>rtdc.l.rtdc.4046:itc</t>
  </si>
  <si>
    <t>YANAI</t>
  </si>
  <si>
    <t>IAN</t>
  </si>
  <si>
    <t>RESPASS</t>
  </si>
  <si>
    <t>AARON</t>
  </si>
  <si>
    <t>MAGEE</t>
  </si>
  <si>
    <t>KENYA</t>
  </si>
  <si>
    <t>204:233287</t>
  </si>
  <si>
    <t>204:232979</t>
  </si>
  <si>
    <t>204:233268</t>
  </si>
  <si>
    <t>204:437</t>
  </si>
  <si>
    <t>204:233274</t>
  </si>
  <si>
    <t>204:176</t>
  </si>
  <si>
    <t>204:233310</t>
  </si>
  <si>
    <t>204:233303</t>
  </si>
  <si>
    <t>204:438</t>
  </si>
  <si>
    <t>204:160</t>
  </si>
  <si>
    <t>204:232977</t>
  </si>
  <si>
    <t>204:233298</t>
  </si>
  <si>
    <t>204:960</t>
  </si>
  <si>
    <t>300:58931</t>
  </si>
  <si>
    <t>300:58943</t>
  </si>
  <si>
    <t>300:58948</t>
  </si>
  <si>
    <t>300:58630</t>
  </si>
  <si>
    <t>300:58617</t>
  </si>
  <si>
    <t>Poor GPS at DUS</t>
  </si>
  <si>
    <t>rtdc.l.rtdc.4036:itc</t>
  </si>
  <si>
    <t>TEMPORARY SPEED RESTRICTION</t>
  </si>
  <si>
    <t>ROCHA</t>
  </si>
  <si>
    <t>YAOTL</t>
  </si>
  <si>
    <t>STRICKLAND</t>
  </si>
  <si>
    <t>EVAN</t>
  </si>
  <si>
    <t>rtdc.l.rtdc.4035:itc</t>
  </si>
  <si>
    <t>FORTUNATO</t>
  </si>
  <si>
    <t>FRANK</t>
  </si>
  <si>
    <t>MOSES</t>
  </si>
  <si>
    <t>BRADLEY</t>
  </si>
  <si>
    <t>BRUDER</t>
  </si>
  <si>
    <t>RICHARD</t>
  </si>
  <si>
    <t>NEWELL</t>
  </si>
  <si>
    <t>NELSON</t>
  </si>
  <si>
    <t>ARIANE</t>
  </si>
  <si>
    <t>242-24</t>
  </si>
  <si>
    <t>307-24</t>
  </si>
  <si>
    <t>244-24</t>
  </si>
  <si>
    <t>309-24</t>
  </si>
  <si>
    <t>311-24</t>
  </si>
  <si>
    <t>204:232976</t>
  </si>
  <si>
    <t>204:233299</t>
  </si>
  <si>
    <t>204:232992</t>
  </si>
  <si>
    <t>204:233301</t>
  </si>
  <si>
    <t>204:232961</t>
  </si>
  <si>
    <t>204:232974</t>
  </si>
  <si>
    <t>204:233288</t>
  </si>
  <si>
    <t>204:232973</t>
  </si>
  <si>
    <t>204:233285</t>
  </si>
  <si>
    <t>204:233302</t>
  </si>
  <si>
    <t>204:232982</t>
  </si>
  <si>
    <t>204:165</t>
  </si>
  <si>
    <t>204:444</t>
  </si>
  <si>
    <t>204:233326</t>
  </si>
  <si>
    <t>204:233000</t>
  </si>
  <si>
    <t>204:232879</t>
  </si>
  <si>
    <t>204:622</t>
  </si>
  <si>
    <t>204:546</t>
  </si>
  <si>
    <t>204:216</t>
  </si>
  <si>
    <t>204:232862</t>
  </si>
  <si>
    <t>204:233170</t>
  </si>
  <si>
    <t>204:229</t>
  </si>
  <si>
    <t>204:582</t>
  </si>
  <si>
    <t>204:233181</t>
  </si>
  <si>
    <t>204:232987</t>
  </si>
  <si>
    <t>204:258</t>
  </si>
  <si>
    <t>204:508</t>
  </si>
  <si>
    <t>300:23306</t>
  </si>
  <si>
    <t>300:58647</t>
  </si>
  <si>
    <t>300:58653</t>
  </si>
  <si>
    <t>300:58973</t>
  </si>
  <si>
    <t>300:24220</t>
  </si>
  <si>
    <t>300:58986</t>
  </si>
  <si>
    <t>300:58673</t>
  </si>
  <si>
    <t>300:58656</t>
  </si>
  <si>
    <t>300:58651</t>
  </si>
  <si>
    <t>204:965</t>
  </si>
  <si>
    <t>300:58963</t>
  </si>
  <si>
    <t>300:58643</t>
  </si>
  <si>
    <t>300:58967</t>
  </si>
  <si>
    <t>300:23892</t>
  </si>
  <si>
    <t>204:663</t>
  </si>
  <si>
    <t>304-25</t>
  </si>
  <si>
    <t>rtdc.l.rtdc.4029:itc</t>
  </si>
  <si>
    <t>102-25</t>
  </si>
  <si>
    <t>800-25</t>
  </si>
  <si>
    <t>rtdc.l.rtdc.4003:itc</t>
  </si>
  <si>
    <t>310-25</t>
  </si>
  <si>
    <t>112-25</t>
  </si>
  <si>
    <t>802-25</t>
  </si>
  <si>
    <t>805-25</t>
  </si>
  <si>
    <t>rtdc.l.rtdc.4052:itc</t>
  </si>
  <si>
    <t>807-25</t>
  </si>
  <si>
    <t>rtdc.l.rtdc.4045:itc</t>
  </si>
  <si>
    <t>124-25</t>
  </si>
  <si>
    <t>126-25</t>
  </si>
  <si>
    <t>137-25</t>
  </si>
  <si>
    <t>132-25</t>
  </si>
  <si>
    <t>rtdc.l.rtdc.4030:itc</t>
  </si>
  <si>
    <t>139-25</t>
  </si>
  <si>
    <t>71-25</t>
  </si>
  <si>
    <t>145-25</t>
  </si>
  <si>
    <t>73-25</t>
  </si>
  <si>
    <t>rtdc.l.rtdc.4031:itc</t>
  </si>
  <si>
    <t>72-25</t>
  </si>
  <si>
    <t>rtdc.l.rtdc.4051:itc</t>
  </si>
  <si>
    <t>816-25</t>
  </si>
  <si>
    <t>70-25</t>
  </si>
  <si>
    <t>160-25</t>
  </si>
  <si>
    <t>821-25</t>
  </si>
  <si>
    <t>174-25</t>
  </si>
  <si>
    <t>76-25</t>
  </si>
  <si>
    <t>77-25</t>
  </si>
  <si>
    <t>78-25</t>
  </si>
  <si>
    <t>186-25</t>
  </si>
  <si>
    <t>75-25</t>
  </si>
  <si>
    <t>202-25</t>
  </si>
  <si>
    <t>835-25</t>
  </si>
  <si>
    <t>839-25</t>
  </si>
  <si>
    <t>219-25</t>
  </si>
  <si>
    <t>214-25</t>
  </si>
  <si>
    <t>212-25</t>
  </si>
  <si>
    <t>224-25</t>
  </si>
  <si>
    <t>232-25</t>
  </si>
  <si>
    <t>313-25</t>
  </si>
  <si>
    <t>300-25</t>
  </si>
  <si>
    <t>101-25</t>
  </si>
  <si>
    <t>51-25</t>
  </si>
  <si>
    <t>52-25</t>
  </si>
  <si>
    <t>302-25</t>
  </si>
  <si>
    <t>103-25</t>
  </si>
  <si>
    <t>306-25</t>
  </si>
  <si>
    <t>PAGE</t>
  </si>
  <si>
    <t>MARCUS</t>
  </si>
  <si>
    <t>105-25</t>
  </si>
  <si>
    <t>308-25</t>
  </si>
  <si>
    <t>WENDY</t>
  </si>
  <si>
    <t>107-25</t>
  </si>
  <si>
    <t>104-25</t>
  </si>
  <si>
    <t>109-25</t>
  </si>
  <si>
    <t>106-25</t>
  </si>
  <si>
    <t>901-25</t>
  </si>
  <si>
    <t>111-25</t>
  </si>
  <si>
    <t>53-25</t>
  </si>
  <si>
    <t>54-25</t>
  </si>
  <si>
    <t>113-25</t>
  </si>
  <si>
    <t>66-25</t>
  </si>
  <si>
    <t>65-25</t>
  </si>
  <si>
    <t>312-25</t>
  </si>
  <si>
    <t>108-25</t>
  </si>
  <si>
    <t>115-25</t>
  </si>
  <si>
    <t>110-25</t>
  </si>
  <si>
    <t>801-25</t>
  </si>
  <si>
    <t>117-25</t>
  </si>
  <si>
    <t>902-25</t>
  </si>
  <si>
    <t>GEBRETEKLE</t>
  </si>
  <si>
    <t>DAGNEW</t>
  </si>
  <si>
    <t>119-25</t>
  </si>
  <si>
    <t>114-25</t>
  </si>
  <si>
    <t>803-25</t>
  </si>
  <si>
    <t>121-25</t>
  </si>
  <si>
    <t>118-25</t>
  </si>
  <si>
    <t>116-25</t>
  </si>
  <si>
    <t>804-25</t>
  </si>
  <si>
    <t>123-25</t>
  </si>
  <si>
    <t>120-25</t>
  </si>
  <si>
    <t>125-25</t>
  </si>
  <si>
    <t>127-25</t>
  </si>
  <si>
    <t>806-25</t>
  </si>
  <si>
    <t>122-25</t>
  </si>
  <si>
    <t>129-25</t>
  </si>
  <si>
    <t>131-25</t>
  </si>
  <si>
    <t>808-25</t>
  </si>
  <si>
    <t>809-25</t>
  </si>
  <si>
    <t>133-25</t>
  </si>
  <si>
    <t>128-25</t>
  </si>
  <si>
    <t>135-25</t>
  </si>
  <si>
    <t>810-25</t>
  </si>
  <si>
    <t>811-25</t>
  </si>
  <si>
    <t>130-25</t>
  </si>
  <si>
    <t>134-25</t>
  </si>
  <si>
    <t>812-25</t>
  </si>
  <si>
    <t>903-25</t>
  </si>
  <si>
    <t>HUFFSMITH</t>
  </si>
  <si>
    <t>MONTY</t>
  </si>
  <si>
    <t>141-25</t>
  </si>
  <si>
    <t>136-25</t>
  </si>
  <si>
    <t>138-25</t>
  </si>
  <si>
    <t>143-25</t>
  </si>
  <si>
    <t>813-25</t>
  </si>
  <si>
    <t>140-25</t>
  </si>
  <si>
    <t>147-25</t>
  </si>
  <si>
    <t>142-25</t>
  </si>
  <si>
    <t>814-25</t>
  </si>
  <si>
    <t>149-25</t>
  </si>
  <si>
    <t>ROMERO</t>
  </si>
  <si>
    <t>CHAD</t>
  </si>
  <si>
    <t>144-25</t>
  </si>
  <si>
    <t>151-25</t>
  </si>
  <si>
    <t>146-25</t>
  </si>
  <si>
    <t>815-25</t>
  </si>
  <si>
    <t>153-25</t>
  </si>
  <si>
    <t>148-25</t>
  </si>
  <si>
    <t>155-25</t>
  </si>
  <si>
    <t>150-25</t>
  </si>
  <si>
    <t>157-25</t>
  </si>
  <si>
    <t>152-25</t>
  </si>
  <si>
    <t>62-25</t>
  </si>
  <si>
    <t>159-25</t>
  </si>
  <si>
    <t>817-25</t>
  </si>
  <si>
    <t>154-25</t>
  </si>
  <si>
    <t>156-25</t>
  </si>
  <si>
    <t>161-25</t>
  </si>
  <si>
    <t>163-25</t>
  </si>
  <si>
    <t>818-25</t>
  </si>
  <si>
    <t>63-25</t>
  </si>
  <si>
    <t>158-25</t>
  </si>
  <si>
    <t>165-25</t>
  </si>
  <si>
    <t>167-25</t>
  </si>
  <si>
    <t>819-25</t>
  </si>
  <si>
    <t>169-25</t>
  </si>
  <si>
    <t>162-25</t>
  </si>
  <si>
    <t>164-25</t>
  </si>
  <si>
    <t>166-25</t>
  </si>
  <si>
    <t>820-25</t>
  </si>
  <si>
    <t>171-25</t>
  </si>
  <si>
    <t>173-25</t>
  </si>
  <si>
    <t>175-25</t>
  </si>
  <si>
    <t>168-25</t>
  </si>
  <si>
    <t>170-25</t>
  </si>
  <si>
    <t>177-25</t>
  </si>
  <si>
    <t>179-25</t>
  </si>
  <si>
    <t>172-25</t>
  </si>
  <si>
    <t>822-25</t>
  </si>
  <si>
    <t>181-25</t>
  </si>
  <si>
    <t>176-25</t>
  </si>
  <si>
    <t>183-25</t>
  </si>
  <si>
    <t>178-25</t>
  </si>
  <si>
    <t>823-25</t>
  </si>
  <si>
    <t>180-25</t>
  </si>
  <si>
    <t>185-25</t>
  </si>
  <si>
    <t>187-25</t>
  </si>
  <si>
    <t>182-25</t>
  </si>
  <si>
    <t>824-25</t>
  </si>
  <si>
    <t>189-25</t>
  </si>
  <si>
    <t>184-25</t>
  </si>
  <si>
    <t>191-25</t>
  </si>
  <si>
    <t>825-25</t>
  </si>
  <si>
    <t>193-25</t>
  </si>
  <si>
    <t>904-25</t>
  </si>
  <si>
    <t>188-25</t>
  </si>
  <si>
    <t>195-25</t>
  </si>
  <si>
    <t>826-25</t>
  </si>
  <si>
    <t>827-25</t>
  </si>
  <si>
    <t>190-25</t>
  </si>
  <si>
    <t>197-25</t>
  </si>
  <si>
    <t>192-25</t>
  </si>
  <si>
    <t>199-25</t>
  </si>
  <si>
    <t>DELGADO</t>
  </si>
  <si>
    <t>DIANAH</t>
  </si>
  <si>
    <t>828-25</t>
  </si>
  <si>
    <t>829-25</t>
  </si>
  <si>
    <t>194-25</t>
  </si>
  <si>
    <t>201-25</t>
  </si>
  <si>
    <t>196-25</t>
  </si>
  <si>
    <t>rtdc.l.rtdc.4004:itc</t>
  </si>
  <si>
    <t>79-25</t>
  </si>
  <si>
    <t>203-25</t>
  </si>
  <si>
    <t>830-25</t>
  </si>
  <si>
    <t>198-25</t>
  </si>
  <si>
    <t>831-25</t>
  </si>
  <si>
    <t>205-25</t>
  </si>
  <si>
    <t>200-25</t>
  </si>
  <si>
    <t>207-25</t>
  </si>
  <si>
    <t>832-25</t>
  </si>
  <si>
    <t>833-25</t>
  </si>
  <si>
    <t>209-25</t>
  </si>
  <si>
    <t>211-25</t>
  </si>
  <si>
    <t>204-25</t>
  </si>
  <si>
    <t>rtdc.l.rtdc.4034:itc</t>
  </si>
  <si>
    <t>80-25</t>
  </si>
  <si>
    <t>834-25</t>
  </si>
  <si>
    <t>206-25</t>
  </si>
  <si>
    <t>213-25</t>
  </si>
  <si>
    <t>CUSHING</t>
  </si>
  <si>
    <t>HARRY</t>
  </si>
  <si>
    <t>208-25</t>
  </si>
  <si>
    <t>215-25</t>
  </si>
  <si>
    <t>836-25</t>
  </si>
  <si>
    <t>210-25</t>
  </si>
  <si>
    <t>837-25</t>
  </si>
  <si>
    <t>217-25</t>
  </si>
  <si>
    <t>838-25</t>
  </si>
  <si>
    <t>301-25</t>
  </si>
  <si>
    <t>216-25</t>
  </si>
  <si>
    <t>221-25</t>
  </si>
  <si>
    <t>906-25</t>
  </si>
  <si>
    <t>841-25</t>
  </si>
  <si>
    <t>218-25</t>
  </si>
  <si>
    <t>303-25</t>
  </si>
  <si>
    <t>220-25</t>
  </si>
  <si>
    <t>223-25</t>
  </si>
  <si>
    <t>840-25</t>
  </si>
  <si>
    <t>305-25</t>
  </si>
  <si>
    <t>222-25</t>
  </si>
  <si>
    <t>225-25</t>
  </si>
  <si>
    <t>843-25</t>
  </si>
  <si>
    <t>227-25</t>
  </si>
  <si>
    <t>842-25</t>
  </si>
  <si>
    <t>229-25</t>
  </si>
  <si>
    <t>226-25</t>
  </si>
  <si>
    <t>845-25</t>
  </si>
  <si>
    <t>231-25</t>
  </si>
  <si>
    <t>228-25</t>
  </si>
  <si>
    <t>844-25</t>
  </si>
  <si>
    <t>233-25</t>
  </si>
  <si>
    <t>230-25</t>
  </si>
  <si>
    <t>847-25</t>
  </si>
  <si>
    <t>846-25</t>
  </si>
  <si>
    <t>235-25</t>
  </si>
  <si>
    <t>237-25</t>
  </si>
  <si>
    <t>234-25</t>
  </si>
  <si>
    <t>849-25</t>
  </si>
  <si>
    <t>239-25</t>
  </si>
  <si>
    <t>236-25</t>
  </si>
  <si>
    <t>908-25</t>
  </si>
  <si>
    <t>238-25</t>
  </si>
  <si>
    <t>241-25</t>
  </si>
  <si>
    <t>240-25</t>
  </si>
  <si>
    <t>243-25</t>
  </si>
  <si>
    <t>242-25</t>
  </si>
  <si>
    <t>244-25</t>
  </si>
  <si>
    <t>307-25</t>
  </si>
  <si>
    <t>309-25</t>
  </si>
  <si>
    <t>311-25</t>
  </si>
  <si>
    <t>300-26</t>
  </si>
  <si>
    <t>precipType</t>
  </si>
  <si>
    <t>rain</t>
  </si>
  <si>
    <t>204:750</t>
  </si>
  <si>
    <t>204:233293</t>
  </si>
  <si>
    <t>204:232971</t>
  </si>
  <si>
    <t>204:233307</t>
  </si>
  <si>
    <t>204:233324</t>
  </si>
  <si>
    <t>204:167</t>
  </si>
  <si>
    <t>204:433</t>
  </si>
  <si>
    <t>204:38677</t>
  </si>
  <si>
    <t>204:36781</t>
  </si>
  <si>
    <t>204:232965</t>
  </si>
  <si>
    <t>204:233007</t>
  </si>
  <si>
    <t>204:493</t>
  </si>
  <si>
    <t>204:233340</t>
  </si>
  <si>
    <t>204:233010</t>
  </si>
  <si>
    <t>204:233305</t>
  </si>
  <si>
    <t>204:233178</t>
  </si>
  <si>
    <t>204:232873</t>
  </si>
  <si>
    <t>204:233202</t>
  </si>
  <si>
    <t>204:232870</t>
  </si>
  <si>
    <t>204:345</t>
  </si>
  <si>
    <t>204:233180</t>
  </si>
  <si>
    <t>204:232859</t>
  </si>
  <si>
    <t>204:232991</t>
  </si>
  <si>
    <t>204:411</t>
  </si>
  <si>
    <t>204:233193</t>
  </si>
  <si>
    <t>204:233284</t>
  </si>
  <si>
    <t>204:631</t>
  </si>
  <si>
    <t>204:480</t>
  </si>
  <si>
    <t>204:233247</t>
  </si>
  <si>
    <t>204:232925</t>
  </si>
  <si>
    <t>204:265</t>
  </si>
  <si>
    <t>204:233255</t>
  </si>
  <si>
    <t>204:232929</t>
  </si>
  <si>
    <t>204:238</t>
  </si>
  <si>
    <t>204:233291</t>
  </si>
  <si>
    <t>204:482</t>
  </si>
  <si>
    <t>204:233315</t>
  </si>
  <si>
    <t>204:577</t>
  </si>
  <si>
    <t>204:232938</t>
  </si>
  <si>
    <t>204:263</t>
  </si>
  <si>
    <t>204:562</t>
  </si>
  <si>
    <t>204:233244</t>
  </si>
  <si>
    <t>204:232932</t>
  </si>
  <si>
    <t>204:283</t>
  </si>
  <si>
    <t>204:427</t>
  </si>
  <si>
    <t>204:233304</t>
  </si>
  <si>
    <t>204:233320</t>
  </si>
  <si>
    <t>204:429</t>
  </si>
  <si>
    <t>204:233209</t>
  </si>
  <si>
    <t>204:232884</t>
  </si>
  <si>
    <t>204:303</t>
  </si>
  <si>
    <t>204:564</t>
  </si>
  <si>
    <t>204:233221</t>
  </si>
  <si>
    <t>204:232902</t>
  </si>
  <si>
    <t>204:289</t>
  </si>
  <si>
    <t>204:542</t>
  </si>
  <si>
    <t>204:233272</t>
  </si>
  <si>
    <t>204:232967</t>
  </si>
  <si>
    <t>204:211</t>
  </si>
  <si>
    <t>204:233008</t>
  </si>
  <si>
    <t>204:293</t>
  </si>
  <si>
    <t>204:233219</t>
  </si>
  <si>
    <t>204:232917</t>
  </si>
  <si>
    <t>204:256</t>
  </si>
  <si>
    <t>204:641</t>
  </si>
  <si>
    <t>204:233182</t>
  </si>
  <si>
    <t>204:291</t>
  </si>
  <si>
    <t>204:233206</t>
  </si>
  <si>
    <t>204:232898</t>
  </si>
  <si>
    <t>204:601</t>
  </si>
  <si>
    <t>204:232869</t>
  </si>
  <si>
    <t>204:314</t>
  </si>
  <si>
    <t>204:233317</t>
  </si>
  <si>
    <t>204:196</t>
  </si>
  <si>
    <t>204:233113</t>
  </si>
  <si>
    <t>204:232798</t>
  </si>
  <si>
    <t>204:233199</t>
  </si>
  <si>
    <t>204:232877</t>
  </si>
  <si>
    <t>204:269</t>
  </si>
  <si>
    <t>204:615</t>
  </si>
  <si>
    <t>204:134</t>
  </si>
  <si>
    <t>204:233344</t>
  </si>
  <si>
    <t>204:207</t>
  </si>
  <si>
    <t>204:524</t>
  </si>
  <si>
    <t>204:232926</t>
  </si>
  <si>
    <t>204:233195</t>
  </si>
  <si>
    <t>204:236</t>
  </si>
  <si>
    <t>204:519</t>
  </si>
  <si>
    <t>204:201</t>
  </si>
  <si>
    <t>204:533</t>
  </si>
  <si>
    <t>204:233232</t>
  </si>
  <si>
    <t>204:225</t>
  </si>
  <si>
    <t>204:560</t>
  </si>
  <si>
    <t>204:232881</t>
  </si>
  <si>
    <t>204:252</t>
  </si>
  <si>
    <t>204:233359</t>
  </si>
  <si>
    <t>204:513</t>
  </si>
  <si>
    <t>204:232875</t>
  </si>
  <si>
    <t>204:151</t>
  </si>
  <si>
    <t>204:529</t>
  </si>
  <si>
    <t>204:232945</t>
  </si>
  <si>
    <t>300:23377</t>
  </si>
  <si>
    <t>204:621</t>
  </si>
  <si>
    <t>300:23304</t>
  </si>
  <si>
    <t>300:23525</t>
  </si>
  <si>
    <t>204:531</t>
  </si>
  <si>
    <t>300:23297</t>
  </si>
  <si>
    <t>300:23180</t>
  </si>
  <si>
    <t>300:22514</t>
  </si>
  <si>
    <t>204:518</t>
  </si>
  <si>
    <t>300:23314</t>
  </si>
  <si>
    <t>300:19424</t>
  </si>
  <si>
    <t>204:3449</t>
  </si>
  <si>
    <t>204:3112</t>
  </si>
  <si>
    <t>204:1160</t>
  </si>
  <si>
    <t>204:1486</t>
  </si>
  <si>
    <t>204:3439</t>
  </si>
  <si>
    <t>204:3119</t>
  </si>
  <si>
    <t>300:22234</t>
  </si>
  <si>
    <t>204:923</t>
  </si>
  <si>
    <t>204:1246</t>
  </si>
  <si>
    <t>300:24269</t>
  </si>
  <si>
    <t>300:22170</t>
  </si>
  <si>
    <t>300:112191</t>
  </si>
  <si>
    <t>300:38905</t>
  </si>
  <si>
    <t>300:112197</t>
  </si>
  <si>
    <t>300:39218</t>
  </si>
  <si>
    <t>300:29900</t>
  </si>
  <si>
    <t>300:112515</t>
  </si>
  <si>
    <t>300:39313</t>
  </si>
  <si>
    <t>300:112199</t>
  </si>
  <si>
    <t>300:38946</t>
  </si>
  <si>
    <t>300:112185</t>
  </si>
  <si>
    <t>300:28791</t>
  </si>
  <si>
    <t>300:112260</t>
  </si>
  <si>
    <t>300:38891</t>
  </si>
  <si>
    <t>300:23631</t>
  </si>
  <si>
    <t>204:1320</t>
  </si>
  <si>
    <t>300:39530</t>
  </si>
  <si>
    <t>300:112576</t>
  </si>
  <si>
    <t>300:31231</t>
  </si>
  <si>
    <t>300:112504</t>
  </si>
  <si>
    <t>300:39508</t>
  </si>
  <si>
    <t>300:112502</t>
  </si>
  <si>
    <t>300:112184</t>
  </si>
  <si>
    <t>300:39197</t>
  </si>
  <si>
    <t>300:112174</t>
  </si>
  <si>
    <t>300:39216</t>
  </si>
  <si>
    <t>300:39515</t>
  </si>
  <si>
    <t>300:112580</t>
  </si>
  <si>
    <t>300:112204</t>
  </si>
  <si>
    <t>300:39156</t>
  </si>
  <si>
    <t>300:112269</t>
  </si>
  <si>
    <t>300:28748</t>
  </si>
  <si>
    <t>204:1169</t>
  </si>
  <si>
    <t>300:58638</t>
  </si>
  <si>
    <t>204:696</t>
  </si>
  <si>
    <t>204:974</t>
  </si>
  <si>
    <t>300:58660</t>
  </si>
  <si>
    <t>204:687</t>
  </si>
  <si>
    <t>204:971</t>
  </si>
  <si>
    <t>300:58976</t>
  </si>
  <si>
    <t>204:699</t>
  </si>
  <si>
    <t>204:969</t>
  </si>
  <si>
    <t>300:58997</t>
  </si>
  <si>
    <t>300:58690</t>
  </si>
  <si>
    <t>204:694</t>
  </si>
  <si>
    <t>204:999</t>
  </si>
  <si>
    <t>204:1956</t>
  </si>
  <si>
    <t>204:2235</t>
  </si>
  <si>
    <t>300:58956</t>
  </si>
  <si>
    <t>204:726</t>
  </si>
  <si>
    <t>300:58641</t>
  </si>
  <si>
    <t>204:677</t>
  </si>
  <si>
    <t>204:993</t>
  </si>
  <si>
    <t>300:58969</t>
  </si>
  <si>
    <t>204:710</t>
  </si>
  <si>
    <t>204:1009</t>
  </si>
  <si>
    <t>300:58965</t>
  </si>
  <si>
    <t>300:58640</t>
  </si>
  <si>
    <t>204:719</t>
  </si>
  <si>
    <t>204:1007</t>
  </si>
  <si>
    <t>204:1014</t>
  </si>
  <si>
    <t>204:736</t>
  </si>
  <si>
    <t>204:1053</t>
  </si>
  <si>
    <t>300:58971</t>
  </si>
  <si>
    <t>204:1908</t>
  </si>
  <si>
    <t>204:1021</t>
  </si>
  <si>
    <t>204:1912</t>
  </si>
  <si>
    <t>204:983</t>
  </si>
  <si>
    <t>300:58960</t>
  </si>
  <si>
    <t>204:698</t>
  </si>
  <si>
    <t>204:985</t>
  </si>
  <si>
    <t>300:58937</t>
  </si>
  <si>
    <t>204:981</t>
  </si>
  <si>
    <t>300:58954</t>
  </si>
  <si>
    <t>300:58645</t>
  </si>
  <si>
    <t>204:684</t>
  </si>
  <si>
    <t>204:972</t>
  </si>
  <si>
    <t>204:675</t>
  </si>
  <si>
    <t>204:979</t>
  </si>
  <si>
    <t>204:990</t>
  </si>
  <si>
    <t>204:1827</t>
  </si>
  <si>
    <t>204:1829</t>
  </si>
  <si>
    <t>300:58946</t>
  </si>
  <si>
    <t>204:986</t>
  </si>
  <si>
    <t>204:680</t>
  </si>
  <si>
    <t>300:58624</t>
  </si>
  <si>
    <t>300:58944</t>
  </si>
  <si>
    <t>204:948</t>
  </si>
  <si>
    <t>204:955</t>
  </si>
  <si>
    <t>300:58941</t>
  </si>
  <si>
    <t>300:29722</t>
  </si>
  <si>
    <t>300:23720</t>
  </si>
  <si>
    <t>204:715</t>
  </si>
  <si>
    <t>204:988</t>
  </si>
  <si>
    <t>300:23701</t>
  </si>
  <si>
    <t>204:682</t>
  </si>
  <si>
    <t>300:28757</t>
  </si>
  <si>
    <t>start /low /b %USERPROFILE%\Documents\GitHub\eaglep3\Utilities\DownloadLogsFromS3.py --loco 4029 --day 2017-10-25</t>
  </si>
  <si>
    <t>start /low /b %USERPROFILE%\Documents\GitHub\eaglep3\Utilities\DownloadLogsFromS3.py --loco 4052 --day 2017-10-25</t>
  </si>
  <si>
    <t>start /low /b %USERPROFILE%\Documents\GitHub\eaglep3\Utilities\DownloadLogsFromS3.py --loco 4024 --day 2017-10-25</t>
  </si>
  <si>
    <t>start /low /b %USERPROFILE%\Documents\GitHub\eaglep3\Utilities\DownloadLogsFromS3.py --loco 4005 --day 2017-10-26</t>
  </si>
  <si>
    <t>start /low /b %USERPROFILE%\Documents\GitHub\eaglep3\Utilities\DownloadLogsFromS3.py --loco 4036 --day 2017-10-26</t>
  </si>
  <si>
    <t>start /low /b %USERPROFILE%\Documents\GitHub\eaglep3\Utilities\DownloadLogsFromS3.py --loco 4007 --day 2017-10-25</t>
  </si>
  <si>
    <t>start /low /b %USERPROFILE%\Documents\GitHub\eaglep3\Utilities\DownloadLogsFromS3.py --loco 4049 --day 2017-10-26</t>
  </si>
  <si>
    <t>start /low /b %USERPROFILE%\Documents\GitHub\eaglep3\Utilities\DownloadLogsFromS3.py --loco 4046 --day 2017-10-25</t>
  </si>
  <si>
    <t>start /low /b %USERPROFILE%\Documents\GitHub\eaglep3\Utilities\DownloadLogsFromS3.py --loco 4008 --day 2017-10-25</t>
  </si>
  <si>
    <t>start /low /b %USERPROFILE%\Documents\GitHub\eaglep3\Utilities\DownloadLogsFromS3.py --loco 4045 --day 2017-10-25</t>
  </si>
  <si>
    <t>start /low /b %USERPROFILE%\Documents\GitHub\eaglep3\Utilities\DownloadLogsFromS3.py --loco 4049 --day 2017-10-25</t>
  </si>
  <si>
    <t>start /low /b %USERPROFILE%\Documents\GitHub\eaglep3\Utilities\DownloadLogsFromS3.py --loco 4030 --day 2017-10-25</t>
  </si>
  <si>
    <t>start /low /b %USERPROFILE%\Documents\GitHub\eaglep3\Utilities\DownloadLogsFromS3.py --loco 4051 --day 2017-10-25</t>
  </si>
  <si>
    <t>start /low /b %USERPROFILE%\Documents\GitHub\eaglep3\Utilities\DownloadLogsFromS3.py --loco 4024 --day 2017-10-26</t>
  </si>
  <si>
    <t>start /low /b %USERPROFILE%\Documents\GitHub\eaglep3\Utilities\DownloadLogsFromS3.py --loco 4023 --day 2017-10-25</t>
  </si>
  <si>
    <t>Unhealthy crossing banner for Chambers after station stop at 40th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</si>
</sst>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22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43033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43033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COUNTIFS($N$13:$N$9465,"&gt;0",$AG$13:$AG$9465,I1)</f>
        <v>143</v>
      </c>
      <c r="K5" s="39"/>
      <c r="L5" s="172"/>
      <c r="M5" s="40">
        <f>AVERAGEIFS($N$13:$N$9465,$AG$13:$AG$9465,I1)</f>
        <v>37.290675991297846</v>
      </c>
      <c r="N5" s="38">
        <f t="array" ref="N5">MIN(IF($AG$13:$AG$9465=I1,IF(ISNUMBER($N$13:$N$9465),IF($N$13:$N$9465&gt;0,$N$13:$N$9465))))</f>
        <v>33.866666672984138</v>
      </c>
      <c r="O5" s="3">
        <f t="array" ref="O5">MAX(IF($AG$13:$AG$9465=I1,IF(ISNUMBER($N$13:$N$9465),IF($N$13:$N$9465&gt;0,$N$13:$N$9465))))</f>
        <v>42.933333332184702</v>
      </c>
      <c r="P5" s="2"/>
      <c r="R5" s="163" t="s">
        <v>17</v>
      </c>
      <c r="S5" s="207">
        <f>COUNTIFS($N$13:$N$9465,"&gt;0",$AG$13:$AG$9465,R1)</f>
        <v>49</v>
      </c>
      <c r="T5" s="172"/>
      <c r="U5" s="195"/>
      <c r="V5" s="211">
        <f>AVERAGEIFS($N$13:$N$9465,$AG$13:$AG$9465,R1)</f>
        <v>13.46394557788569</v>
      </c>
      <c r="W5" s="212">
        <f t="array" ref="W5">MIN(IF($AG$13:$AG$9465=R1,IF(ISNUMBER($N$13:$N$9465),IF($N$13:$N$9465&gt;0,$N$13:$N$9465))))</f>
        <v>10.799999999580905</v>
      </c>
      <c r="X5" s="200">
        <f t="array" ref="X5">MAX(IF($AG$13:$AG$9465=R1,IF(ISNUMBER($N$13:$N$9465),IF($N$13:$N$9465&gt;0,$N$13:$N$9465))))</f>
        <v>16.766666667535901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COUNT($O$13:$O$223)</f>
        <v>0</v>
      </c>
      <c r="K6" s="39"/>
      <c r="L6" s="172"/>
      <c r="M6" s="40">
        <f>IFERROR(AVERAGE($O$13:$O$223),0)</f>
        <v>0</v>
      </c>
      <c r="N6" s="38">
        <f>MIN($O$13:$O$223)</f>
        <v>0</v>
      </c>
      <c r="O6" s="3">
        <f>MAX($O$13:$O$223)</f>
        <v>0</v>
      </c>
      <c r="P6" s="2"/>
      <c r="R6" s="164" t="s">
        <v>43</v>
      </c>
      <c r="S6" s="207">
        <f>COUNT($O$13:$O$223)</f>
        <v>0</v>
      </c>
      <c r="T6" s="172"/>
      <c r="U6" s="195"/>
      <c r="V6" s="211">
        <f>IFERROR(AVERAGE($O$13:$O$223),0)</f>
        <v>0</v>
      </c>
      <c r="W6" s="212">
        <f>MIN($O$13:$O$223)</f>
        <v>0</v>
      </c>
      <c r="X6" s="200">
        <f>MAX($O$13:$O$223)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COUNTIFS($P$13:$P$9465,"&gt;0",$AG$13:$AG$9465,I1)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COUNTIFS($P$13:$P$9465,"&gt;0",$AG$13:$AG$9465,R1)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37.290675991297846</v>
      </c>
      <c r="N8" s="38">
        <f>N5</f>
        <v>33.866666672984138</v>
      </c>
      <c r="O8" s="3">
        <f>O5</f>
        <v>42.933333332184702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13.46394557788569</v>
      </c>
      <c r="W8" s="212">
        <f>W5</f>
        <v>10.799999999580905</v>
      </c>
      <c r="X8" s="200">
        <f>X5</f>
        <v>16.766666667535901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- 2017-10-25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AVERAGE(S13:S119)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373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665</v>
      </c>
      <c r="B13" s="7">
        <v>4030</v>
      </c>
      <c r="C13" s="21" t="s">
        <v>194</v>
      </c>
      <c r="D13" s="21" t="s">
        <v>877</v>
      </c>
      <c r="E13" s="13">
        <v>43033.135370370372</v>
      </c>
      <c r="F13" s="13">
        <v>43033.13721064815</v>
      </c>
      <c r="G13" s="7">
        <v>100</v>
      </c>
      <c r="H13" s="21" t="s">
        <v>592</v>
      </c>
      <c r="I13" s="13">
        <v>43033.162199074075</v>
      </c>
      <c r="J13" s="7">
        <v>0</v>
      </c>
      <c r="K13" s="89" t="str">
        <f>IF(ISEVEN(B13),(B13-1)&amp;"/"&amp;B13,B13&amp;"/"&amp;(B13+1))</f>
        <v>4029/4030</v>
      </c>
      <c r="L13" s="185" t="str">
        <f>VLOOKUP(A13,'Trips&amp;Operators'!$C$1:$G$99911,5,FALSE)</f>
        <v>BONDS REYNALDO</v>
      </c>
      <c r="M13" s="6">
        <f>I13-F13</f>
        <v>2.4988425924675539E-2</v>
      </c>
      <c r="N13" s="7">
        <f>24*60*SUM($M13:$M13)</f>
        <v>35.983333331532776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-25T02:14:56-0600',mode:absolute,to:'2017-10-25T04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7.4999999999999997E-2</v>
      </c>
      <c r="Z13" s="204">
        <f>RIGHT(H13,LEN(H13)-4)/10000</f>
        <v>23.332599999999999</v>
      </c>
      <c r="AA13" s="204">
        <f>ABS(Z13-Y13)</f>
        <v>23.2576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/stypes="app*4030*20171025*"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4030 --swversion DE.1.0.9.0 --startMP 204:750 --initTime 2017-10-25T03:14:56 --startdatetime 2017-10-25T03:17:35 --delay 100 --endMP 204:233326 --enddatetime 2017-10-25T03:53:34 --enforcementcount 0 &gt;&gt;%USERPROFILE%\Documents\GitHub\eaglep3-reporting\EC\2017-10-25-refined-times.txt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{"issue":{"subject":"","project_id":79,"tracker_id":40,"status_id":1,"priority_id":2,"assigned_to_id":338,"start_date":"2017-10-25","description":"","custom_fields":[{"id":1,"name":"Subdivision","value":"EC"},{"id":4,"name":"Milepost","value":"23.3326"},{"id":17,"name":"Train ID","value":"101-25"},{"id":16,"name":"Locomotive ID","value":"4030"},{"id":130,"name":"Impact","value":""},{"id":150,"name":"Time of Event (Mountain Time)","value":"03:53:34"},{"id":151,"name":"Denver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4030 --day 2017-10-25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09:53:34"},{"id":29,"name":"Sharepoint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-25T02:14:56-0600',mode:absolute,to:'2017-10-25T04:53:34-0600'))&amp;_a=(columns:!('Message%20ID',Summary),filters:!(),index:'emp_*',interval:auto,query:(query_string:(analyze_wildcard:!t,query:'%22rtdc.l.rtdc.4030%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623</v>
      </c>
      <c r="B14" s="7">
        <v>4029</v>
      </c>
      <c r="C14" s="21" t="s">
        <v>194</v>
      </c>
      <c r="D14" s="21" t="s">
        <v>413</v>
      </c>
      <c r="E14" s="13">
        <v>43033.172083333331</v>
      </c>
      <c r="F14" s="13">
        <v>43033.175185185188</v>
      </c>
      <c r="G14" s="7">
        <v>51</v>
      </c>
      <c r="H14" s="21" t="s">
        <v>397</v>
      </c>
      <c r="I14" s="13">
        <v>43033.201898148145</v>
      </c>
      <c r="J14" s="7">
        <v>0</v>
      </c>
      <c r="K14" s="89" t="str">
        <f>IF(ISEVEN(B14),(B14-1)&amp;"/"&amp;B14,B14&amp;"/"&amp;(B14+1))</f>
        <v>4029/4030</v>
      </c>
      <c r="L14" s="185" t="str">
        <f>VLOOKUP(A14,'Trips&amp;Operators'!$C$1:$G$99911,5,FALSE)</f>
        <v>BONDS REYNALDO</v>
      </c>
      <c r="M14" s="6">
        <f>I14-F14</f>
        <v>2.6712962957390118E-2</v>
      </c>
      <c r="N14" s="7">
        <f>24*60*SUM($M14:$M14)</f>
        <v>38.46666665864177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-25T03:07:48-0600',mode:absolute,to:'2017-10-25T05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23.297999999999998</v>
      </c>
      <c r="Z14" s="204">
        <f>RIGHT(H14,LEN(H14)-4)/10000</f>
        <v>1.38E-2</v>
      </c>
      <c r="AA14" s="204">
        <f>ABS(Z14-Y14)</f>
        <v>23.284199999999998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/stypes="app*4029*20171025*"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4029 --swversion DE.1.0.9.0 --startMP 204:232980 --initTime 2017-10-25T04:07:48 --startdatetime 2017-10-25T04:12:16 --delay 51 --endMP 204:138 --enddatetime 2017-10-25T04:50:44 --enforcementcount 0 &gt;&gt;%USERPROFILE%\Documents\GitHub\eaglep3-reporting\EC\2017-10-25-refined-times.txt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{"issue":{"subject":"","project_id":79,"tracker_id":40,"status_id":1,"priority_id":2,"assigned_to_id":338,"start_date":"2017-10-25","description":"","custom_fields":[{"id":1,"name":"Subdivision","value":"EC"},{"id":4,"name":"Milepost","value":"0.0138"},{"id":17,"name":"Train ID","value":"102-25"},{"id":16,"name":"Locomotive ID","value":"4029"},{"id":130,"name":"Impact","value":""},{"id":150,"name":"Time of Event (Mountain Time)","value":"04:50:44"},{"id":151,"name":"Denver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4029 --day 2017-10-25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-25T03:07:48-0600',mode:absolute,to:'2017-10-25T05:50:44-0600'))&amp;_a=(columns:!('Message%20ID',Summary),filters:!(),index:'emp_*',interval:auto,query:(query_string:(analyze_wildcard:!t,query:'%22rtdc.l.rtdc.4029%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669</v>
      </c>
      <c r="B15" s="7">
        <v>4050</v>
      </c>
      <c r="C15" s="21" t="s">
        <v>194</v>
      </c>
      <c r="D15" s="21" t="s">
        <v>334</v>
      </c>
      <c r="E15" s="13">
        <v>43033.153946759259</v>
      </c>
      <c r="F15" s="13">
        <v>43033.157233796293</v>
      </c>
      <c r="G15" s="7">
        <v>71</v>
      </c>
      <c r="H15" s="21" t="s">
        <v>587</v>
      </c>
      <c r="I15" s="13">
        <v>43033.182511574072</v>
      </c>
      <c r="J15" s="7">
        <v>0</v>
      </c>
      <c r="K15" s="89" t="str">
        <f>IF(ISEVEN(B15),(B15-1)&amp;"/"&amp;B15,B15&amp;"/"&amp;(B15+1))</f>
        <v>4049/4050</v>
      </c>
      <c r="L15" s="185" t="str">
        <f>VLOOKUP(A15,'Trips&amp;Operators'!$C$1:$G$99911,5,FALSE)</f>
        <v>THOMPSON LESTER</v>
      </c>
      <c r="M15" s="6">
        <f>I15-F15</f>
        <v>2.527777777868323E-2</v>
      </c>
      <c r="N15" s="7">
        <f>24*60*SUM($M15:$M15)</f>
        <v>36.400000001303852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-25T02:41:41-0600',mode:absolute,to:'2017-10-25T05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4.4600000000000001E-2</v>
      </c>
      <c r="Z15" s="204">
        <f>RIGHT(H15,LEN(H15)-4)/10000</f>
        <v>23.328499999999998</v>
      </c>
      <c r="AA15" s="204">
        <f>ABS(Z15-Y15)</f>
        <v>23.283899999999999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/stypes="app*4050*20171025*"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103-25 --locoid 4050 --swversion DE.1.0.9.0 --startMP 204:446 --initTime 2017-10-25T03:41:41 --startdatetime 2017-10-25T03:46:25 --delay 71 --endMP 204:233285 --enddatetime 2017-10-25T04:22:49 --enforcementcount 0 &gt;&gt;%USERPROFILE%\Documents\GitHub\eaglep3-reporting\EC\2017-10-25-refined-times.txt</v>
      </c>
      <c r="AI15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{"issue":{"subject":"","project_id":79,"tracker_id":40,"status_id":1,"priority_id":2,"assigned_to_id":338,"start_date":"2017-10-25","description":"","custom_fields":[{"id":1,"name":"Subdivision","value":"EC"},{"id":4,"name":"Milepost","value":"23.3285"},{"id":17,"name":"Train ID","value":"103-25"},{"id":16,"name":"Locomotive ID","value":"4050"},{"id":130,"name":"Impact","value":""},{"id":150,"name":"Time of Event (Mountain Time)","value":"04:22:49"},{"id":151,"name":"Denver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4050 --day 2017-10-25</v>
      </c>
      <c r="AN15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10:22:49"},{"id":29,"name":"Sharepoint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-25T02:41:41-0600',mode:absolute,to:'2017-10-25T05:22:49-0600'))&amp;_a=(columns:!('Message%20ID',Summary),filters:!(),index:'emp_*',interval:auto,query:(query_string:(analyze_wildcard:!t,query:'%22rtdc.l.rtdc.4050%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677</v>
      </c>
      <c r="B16" s="7">
        <v>4049</v>
      </c>
      <c r="C16" s="21" t="s">
        <v>194</v>
      </c>
      <c r="D16" s="21" t="s">
        <v>584</v>
      </c>
      <c r="E16" s="13">
        <v>43033.192754629628</v>
      </c>
      <c r="F16" s="13">
        <v>43033.195983796293</v>
      </c>
      <c r="G16" s="7">
        <v>54</v>
      </c>
      <c r="H16" s="21" t="s">
        <v>335</v>
      </c>
      <c r="I16" s="13">
        <v>43033.22347222222</v>
      </c>
      <c r="J16" s="7">
        <v>0</v>
      </c>
      <c r="K16" s="89" t="str">
        <f>IF(ISEVEN(B16),(B16-1)&amp;"/"&amp;B16,B16&amp;"/"&amp;(B16+1))</f>
        <v>4049/4050</v>
      </c>
      <c r="L16" s="185" t="str">
        <f>VLOOKUP(A16,'Trips&amp;Operators'!$C$1:$G$99911,5,FALSE)</f>
        <v>THOMPSON LESTER</v>
      </c>
      <c r="M16" s="6">
        <f>I16-F16</f>
        <v>2.7488425927003846E-2</v>
      </c>
      <c r="N16" s="7">
        <f>24*60*SUM($M16:$M16)</f>
        <v>39.583333334885538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-25T03:37:34-0600',mode:absolute,to:'2017-10-25T06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23.2974</v>
      </c>
      <c r="Z16" s="204">
        <f>RIGHT(H16,LEN(H16)-4)/10000</f>
        <v>1.4999999999999999E-2</v>
      </c>
      <c r="AA16" s="204">
        <f>ABS(Z16-Y16)</f>
        <v>23.282399999999999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/stypes="app*4049*20171025*"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104-25 --locoid 4049 --swversion DE.1.0.9.0 --startMP 204:232974 --initTime 2017-10-25T04:37:34 --startdatetime 2017-10-25T04:42:13 --delay 54 --endMP 204:150 --enddatetime 2017-10-25T05:21:48 --enforcementcount 0 &gt;&gt;%USERPROFILE%\Documents\GitHub\eaglep3-reporting\EC\2017-10-25-refined-times.txt</v>
      </c>
      <c r="AI16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{"issue":{"subject":"","project_id":79,"tracker_id":40,"status_id":1,"priority_id":2,"assigned_to_id":338,"start_date":"2017-10-25","description":"","custom_fields":[{"id":1,"name":"Subdivision","value":"EC"},{"id":4,"name":"Milepost","value":"0.015"},{"id":17,"name":"Train ID","value":"104-25"},{"id":16,"name":"Locomotive ID","value":"4049"},{"id":130,"name":"Impact","value":""},{"id":150,"name":"Time of Event (Mountain Time)","value":"05:21:48"},{"id":151,"name":"Denver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4049 --day 2017-10-25</v>
      </c>
      <c r="AN16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-25T03:37:34-0600',mode:absolute,to:'2017-10-25T06:21:48-0600'))&amp;_a=(columns:!('Message%20ID',Summary),filters:!(),index:'emp_*',interval:auto,query:(query_string:(analyze_wildcard:!t,query:'%22rtdc.l.rtdc.4049%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673</v>
      </c>
      <c r="B17" s="7">
        <v>4018</v>
      </c>
      <c r="C17" s="21" t="s">
        <v>194</v>
      </c>
      <c r="D17" s="21" t="s">
        <v>596</v>
      </c>
      <c r="E17" s="13">
        <v>43033.175798611112</v>
      </c>
      <c r="F17" s="13">
        <v>43033.177407407406</v>
      </c>
      <c r="G17" s="7">
        <v>58</v>
      </c>
      <c r="H17" s="21" t="s">
        <v>878</v>
      </c>
      <c r="I17" s="13">
        <v>43033.201180555552</v>
      </c>
      <c r="J17" s="7">
        <v>0</v>
      </c>
      <c r="K17" s="89" t="str">
        <f>IF(ISEVEN(B17),(B17-1)&amp;"/"&amp;B17,B17&amp;"/"&amp;(B17+1))</f>
        <v>4017/4018</v>
      </c>
      <c r="L17" s="185" t="str">
        <f>VLOOKUP(A17,'Trips&amp;Operators'!$C$1:$G$99911,5,FALSE)</f>
        <v>YORK EDGAR</v>
      </c>
      <c r="M17" s="6">
        <f>I17-F17</f>
        <v>2.3773148146574385E-2</v>
      </c>
      <c r="N17" s="7">
        <f>24*60*SUM($M17:$M17)</f>
        <v>34.233333331067115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-25T03:13:09-0600',mode:absolute,to:'2017-10-25T05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5.4600000000000003E-2</v>
      </c>
      <c r="Z17" s="204">
        <f>RIGHT(H17,LEN(H17)-4)/10000</f>
        <v>23.3293</v>
      </c>
      <c r="AA17" s="204">
        <f>ABS(Z17-Y17)</f>
        <v>23.274699999999999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/stypes="app*4018*20171025*"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105-25 --locoid 4018 --swversion DE.1.0.9.0 --startMP 204:546 --initTime 2017-10-25T04:13:09 --startdatetime 2017-10-25T04:15:28 --delay 58 --endMP 204:233293 --enddatetime 2017-10-25T04:49:42 --enforcementcount 0 &gt;&gt;%USERPROFILE%\Documents\GitHub\eaglep3-reporting\EC\2017-10-25-refined-times.txt</v>
      </c>
      <c r="AI17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{"issue":{"subject":"","project_id":79,"tracker_id":40,"status_id":1,"priority_id":2,"assigned_to_id":338,"start_date":"2017-10-25","description":"","custom_fields":[{"id":1,"name":"Subdivision","value":"EC"},{"id":4,"name":"Milepost","value":"23.3293"},{"id":17,"name":"Train ID","value":"105-25"},{"id":16,"name":"Locomotive ID","value":"4018"},{"id":130,"name":"Impact","value":""},{"id":150,"name":"Time of Event (Mountain Time)","value":"04:49:42"},{"id":151,"name":"Denver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4018 --day 2017-10-25</v>
      </c>
      <c r="AN17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10:49:42"},{"id":29,"name":"Sharepoint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-25T03:13:09-0600',mode:absolute,to:'2017-10-25T05:49:42-0600'))&amp;_a=(columns:!('Message%20ID',Summary),filters:!(),index:'emp_*',interval:auto,query:(query_string:(analyze_wildcard:!t,query:'%22rtdc.l.rtdc.4018%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679</v>
      </c>
      <c r="B18" s="7">
        <v>4017</v>
      </c>
      <c r="C18" s="21" t="s">
        <v>194</v>
      </c>
      <c r="D18" s="21" t="s">
        <v>879</v>
      </c>
      <c r="E18" s="13">
        <v>43033.202002314814</v>
      </c>
      <c r="F18" s="13">
        <v>43033.216921296298</v>
      </c>
      <c r="G18" s="7">
        <v>43</v>
      </c>
      <c r="H18" s="21" t="s">
        <v>354</v>
      </c>
      <c r="I18" s="13">
        <v>43033.242731481485</v>
      </c>
      <c r="J18" s="7">
        <v>0</v>
      </c>
      <c r="K18" s="89" t="str">
        <f>IF(ISEVEN(B18),(B18-1)&amp;"/"&amp;B18,B18&amp;"/"&amp;(B18+1))</f>
        <v>4017/4018</v>
      </c>
      <c r="L18" s="185" t="str">
        <f>VLOOKUP(A18,'Trips&amp;Operators'!$C$1:$G$99911,5,FALSE)</f>
        <v>YORK EDGAR</v>
      </c>
      <c r="M18" s="6">
        <f>I18-F18</f>
        <v>2.5810185186855961E-2</v>
      </c>
      <c r="N18" s="7">
        <f>24*60*SUM($M18:$M18)</f>
        <v>37.166666669072583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-25T03:50:53-0600',mode:absolute,to:'2017-10-25T06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23.2971</v>
      </c>
      <c r="Z18" s="204">
        <f>RIGHT(H18,LEN(H18)-4)/10000</f>
        <v>1.52E-2</v>
      </c>
      <c r="AA18" s="204">
        <f>ABS(Z18-Y18)</f>
        <v>23.2819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/stypes="app*4017*20171025*"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106-25 --locoid 4017 --swversion DE.1.0.9.0 --startMP 204:232971 --initTime 2017-10-25T04:50:53 --startdatetime 2017-10-25T05:12:22 --delay 43 --endMP 204:152 --enddatetime 2017-10-25T05:49:32 --enforcementcount 0 &gt;&gt;%USERPROFILE%\Documents\GitHub\eaglep3-reporting\EC\2017-10-25-refined-times.txt</v>
      </c>
      <c r="AI18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{"issue":{"subject":"","project_id":79,"tracker_id":40,"status_id":1,"priority_id":2,"assigned_to_id":338,"start_date":"2017-10-25","description":"","custom_fields":[{"id":1,"name":"Subdivision","value":"EC"},{"id":4,"name":"Milepost","value":"0.0152"},{"id":17,"name":"Train ID","value":"106-25"},{"id":16,"name":"Locomotive ID","value":"4017"},{"id":130,"name":"Impact","value":""},{"id":150,"name":"Time of Event (Mountain Time)","value":"05:49:32"},{"id":151,"name":"Denver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4017 --day 2017-10-25</v>
      </c>
      <c r="AN18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-25T03:50:53-0600',mode:absolute,to:'2017-10-25T06:49:32-0600'))&amp;_a=(columns:!('Message%20ID',Summary),filters:!(),index:'emp_*',interval:auto,query:(query_string:(analyze_wildcard:!t,query:'%22rtdc.l.rtdc.4017%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676</v>
      </c>
      <c r="B19" s="7">
        <v>4036</v>
      </c>
      <c r="C19" s="21" t="s">
        <v>194</v>
      </c>
      <c r="D19" s="21" t="s">
        <v>547</v>
      </c>
      <c r="E19" s="13">
        <v>43033.185729166667</v>
      </c>
      <c r="F19" s="13">
        <v>43033.187696759262</v>
      </c>
      <c r="G19" s="7">
        <v>64</v>
      </c>
      <c r="H19" s="21" t="s">
        <v>550</v>
      </c>
      <c r="I19" s="13">
        <v>43033.213321759256</v>
      </c>
      <c r="J19" s="7">
        <v>0</v>
      </c>
      <c r="K19" s="89" t="str">
        <f>IF(ISEVEN(B19),(B19-1)&amp;"/"&amp;B19,B19&amp;"/"&amp;(B19+1))</f>
        <v>4035/4036</v>
      </c>
      <c r="L19" s="185" t="str">
        <f>VLOOKUP(A19,'Trips&amp;Operators'!$C$1:$G$99911,5,FALSE)</f>
        <v>PAGE MARCUS</v>
      </c>
      <c r="M19" s="6">
        <f>I19-F19</f>
        <v>2.5624999994761311E-2</v>
      </c>
      <c r="N19" s="7">
        <f>24*60*SUM($M19:$M19)</f>
        <v>36.899999992456287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-25T03:27:27-0600',mode:absolute,to:'2017-10-25T06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4.3799999999999999E-2</v>
      </c>
      <c r="Z19" s="204">
        <f>RIGHT(H19,LEN(H19)-4)/10000</f>
        <v>23.329799999999999</v>
      </c>
      <c r="AA19" s="204">
        <f>ABS(Z19-Y19)</f>
        <v>23.285999999999998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/stypes="app*4036*20171025*"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107-25 --locoid 4036 --swversion DE.1.0.9.0 --startMP 204:438 --initTime 2017-10-25T04:27:27 --startdatetime 2017-10-25T04:30:17 --delay 64 --endMP 204:233298 --enddatetime 2017-10-25T05:07:11 --enforcementcount 0 &gt;&gt;%USERPROFILE%\Documents\GitHub\eaglep3-reporting\EC\2017-10-25-refined-times.txt</v>
      </c>
      <c r="AI19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{"issue":{"subject":"","project_id":79,"tracker_id":40,"status_id":1,"priority_id":2,"assigned_to_id":338,"start_date":"2017-10-25","description":"","custom_fields":[{"id":1,"name":"Subdivision","value":"EC"},{"id":4,"name":"Milepost","value":"23.3298"},{"id":17,"name":"Train ID","value":"107-25"},{"id":16,"name":"Locomotive ID","value":"4036"},{"id":130,"name":"Impact","value":""},{"id":150,"name":"Time of Event (Mountain Time)","value":"05:07:11"},{"id":151,"name":"Denver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4036 --day 2017-10-25</v>
      </c>
      <c r="AN19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-25T03:27:27-0600',mode:absolute,to:'2017-10-25T06:07:11-0600'))&amp;_a=(columns:!('Message%20ID',Summary),filters:!(),index:'emp_*',interval:auto,query:(query_string:(analyze_wildcard:!t,query:'%22rtdc.l.rtdc.4036%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688</v>
      </c>
      <c r="B20" s="7">
        <v>4035</v>
      </c>
      <c r="C20" s="21" t="s">
        <v>194</v>
      </c>
      <c r="D20" s="21" t="s">
        <v>389</v>
      </c>
      <c r="E20" s="13">
        <v>43033.222395833334</v>
      </c>
      <c r="F20" s="13">
        <v>43033.227326388886</v>
      </c>
      <c r="G20" s="7">
        <v>54</v>
      </c>
      <c r="H20" s="21" t="s">
        <v>400</v>
      </c>
      <c r="I20" s="13">
        <v>43033.254907407405</v>
      </c>
      <c r="J20" s="7">
        <v>0</v>
      </c>
      <c r="K20" s="89" t="str">
        <f>IF(ISEVEN(B20),(B20-1)&amp;"/"&amp;B20,B20&amp;"/"&amp;(B20+1))</f>
        <v>4035/4036</v>
      </c>
      <c r="L20" s="185" t="str">
        <f>VLOOKUP(A20,'Trips&amp;Operators'!$C$1:$G$99911,5,FALSE)</f>
        <v>PAGE MARCUS</v>
      </c>
      <c r="M20" s="6">
        <f>I20-F20</f>
        <v>2.7581018519413192E-2</v>
      </c>
      <c r="N20" s="7">
        <f>24*60*SUM($M20:$M20)</f>
        <v>39.716666667954996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-25T04:20:15-0600',mode:absolute,to:'2017-10-25T07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23.299399999999999</v>
      </c>
      <c r="Z20" s="204">
        <f>RIGHT(H20,LEN(H20)-4)/10000</f>
        <v>1.41E-2</v>
      </c>
      <c r="AA20" s="204">
        <f>ABS(Z20-Y20)</f>
        <v>23.285299999999999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/stypes="app*4035*20171025*"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108-25 --locoid 4035 --swversion DE.1.0.9.0 --startMP 204:232994 --initTime 2017-10-25T05:20:15 --startdatetime 2017-10-25T05:27:21 --delay 54 --endMP 204:141 --enddatetime 2017-10-25T06:07:04 --enforcementcount 0 &gt;&gt;%USERPROFILE%\Documents\GitHub\eaglep3-reporting\EC\2017-10-25-refined-times.txt</v>
      </c>
      <c r="AI20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{"issue":{"subject":"","project_id":79,"tracker_id":40,"status_id":1,"priority_id":2,"assigned_to_id":338,"start_date":"2017-10-25","description":"","custom_fields":[{"id":1,"name":"Subdivision","value":"EC"},{"id":4,"name":"Milepost","value":"0.0141"},{"id":17,"name":"Train ID","value":"108-25"},{"id":16,"name":"Locomotive ID","value":"4035"},{"id":130,"name":"Impact","value":""},{"id":150,"name":"Time of Event (Mountain Time)","value":"06:07:04"},{"id":151,"name":"Denver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4035 --day 2017-10-25</v>
      </c>
      <c r="AN20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-25T04:20:15-0600',mode:absolute,to:'2017-10-25T07:07:04-0600'))&amp;_a=(columns:!('Message%20ID',Summary),filters:!(),index:'emp_*',interval:auto,query:(query_string:(analyze_wildcard:!t,query:'%22rtdc.l.rtdc.4035%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678</v>
      </c>
      <c r="B21" s="7">
        <v>4046</v>
      </c>
      <c r="C21" s="21" t="s">
        <v>194</v>
      </c>
      <c r="D21" s="21" t="s">
        <v>387</v>
      </c>
      <c r="E21" s="13">
        <v>43033.193368055552</v>
      </c>
      <c r="F21" s="13">
        <v>43033.198125000003</v>
      </c>
      <c r="G21" s="7">
        <v>117</v>
      </c>
      <c r="H21" s="21" t="s">
        <v>582</v>
      </c>
      <c r="I21" s="13">
        <v>43033.224594907406</v>
      </c>
      <c r="J21" s="7">
        <v>0</v>
      </c>
      <c r="K21" s="89" t="str">
        <f>IF(ISEVEN(B21),(B21-1)&amp;"/"&amp;B21,B21&amp;"/"&amp;(B21+1))</f>
        <v>4045/4046</v>
      </c>
      <c r="L21" s="185" t="str">
        <f>VLOOKUP(A21,'Trips&amp;Operators'!$C$1:$G$99911,5,FALSE)</f>
        <v>DAVIS WENDY</v>
      </c>
      <c r="M21" s="6">
        <f>I21-F21</f>
        <v>2.6469907403225079E-2</v>
      </c>
      <c r="N21" s="7">
        <f>24*60*SUM($M21:$M21)</f>
        <v>38.116666660644114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-25T03:38:27-0600',mode:absolute,to:'2017-10-25T06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4.6399999999999997E-2</v>
      </c>
      <c r="Z21" s="204">
        <f>RIGHT(H21,LEN(H21)-4)/10000</f>
        <v>23.330100000000002</v>
      </c>
      <c r="AA21" s="204">
        <f>ABS(Z21-Y21)</f>
        <v>23.283700000000003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/stypes="app*4046*20171025*"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109-25 --locoid 4046 --swversion DE.1.0.9.0 --startMP 204:464 --initTime 2017-10-25T04:38:27 --startdatetime 2017-10-25T04:45:18 --delay 117 --endMP 204:233301 --enddatetime 2017-10-25T05:23:25 --enforcementcount 0 &gt;&gt;%USERPROFILE%\Documents\GitHub\eaglep3-reporting\EC\2017-10-25-refined-times.txt</v>
      </c>
      <c r="AI21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{"issue":{"subject":"","project_id":79,"tracker_id":40,"status_id":1,"priority_id":2,"assigned_to_id":338,"start_date":"2017-10-25","description":"","custom_fields":[{"id":1,"name":"Subdivision","value":"EC"},{"id":4,"name":"Milepost","value":"23.3301"},{"id":17,"name":"Train ID","value":"109-25"},{"id":16,"name":"Locomotive ID","value":"4046"},{"id":130,"name":"Impact","value":""},{"id":150,"name":"Time of Event (Mountain Time)","value":"05:23:25"},{"id":151,"name":"Denver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4046 --day 2017-10-25</v>
      </c>
      <c r="AN21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-25T03:38:27-0600',mode:absolute,to:'2017-10-25T06:23:25-0600'))&amp;_a=(columns:!('Message%20ID',Summary),filters:!(),index:'emp_*',interval:auto,query:(query_string:(analyze_wildcard:!t,query:'%22rtdc.l.rtdc.4046%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690</v>
      </c>
      <c r="B22" s="7">
        <v>4045</v>
      </c>
      <c r="C22" s="21" t="s">
        <v>194</v>
      </c>
      <c r="D22" s="21" t="s">
        <v>435</v>
      </c>
      <c r="E22" s="13">
        <v>43033.229513888888</v>
      </c>
      <c r="F22" s="13">
        <v>43033.237685185188</v>
      </c>
      <c r="G22" s="7">
        <v>50</v>
      </c>
      <c r="H22" s="21" t="s">
        <v>361</v>
      </c>
      <c r="I22" s="13">
        <v>43033.265451388892</v>
      </c>
      <c r="J22" s="7">
        <v>0</v>
      </c>
      <c r="K22" s="89" t="str">
        <f>IF(ISEVEN(B22),(B22-1)&amp;"/"&amp;B22,B22&amp;"/"&amp;(B22+1))</f>
        <v>4045/4046</v>
      </c>
      <c r="L22" s="185" t="str">
        <f>VLOOKUP(A22,'Trips&amp;Operators'!$C$1:$G$99911,5,FALSE)</f>
        <v>DAVIS WENDY</v>
      </c>
      <c r="M22" s="6">
        <f>I22-F22</f>
        <v>2.7766203704231884E-2</v>
      </c>
      <c r="N22" s="7">
        <f>24*60*SUM($M22:$M22)</f>
        <v>39.983333334093913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-25T04:30:30-0600',mode:absolute,to:'2017-10-25T07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23.298400000000001</v>
      </c>
      <c r="Z22" s="204">
        <f>RIGHT(H22,LEN(H22)-4)/10000</f>
        <v>1.5800000000000002E-2</v>
      </c>
      <c r="AA22" s="204">
        <f>ABS(Z22-Y22)</f>
        <v>23.282600000000002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/stypes="app*4045*20171025*"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110-25 --locoid 4045 --swversion DE.1.0.9.0 --startMP 204:232984 --initTime 2017-10-25T05:30:30 --startdatetime 2017-10-25T05:42:16 --delay 50 --endMP 204:158 --enddatetime 2017-10-25T06:22:15 --enforcementcount 0 &gt;&gt;%USERPROFILE%\Documents\GitHub\eaglep3-reporting\EC\2017-10-25-refined-times.txt</v>
      </c>
      <c r="AI22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{"issue":{"subject":"","project_id":79,"tracker_id":40,"status_id":1,"priority_id":2,"assigned_to_id":338,"start_date":"2017-10-25","description":"","custom_fields":[{"id":1,"name":"Subdivision","value":"EC"},{"id":4,"name":"Milepost","value":"0.0158"},{"id":17,"name":"Train ID","value":"110-25"},{"id":16,"name":"Locomotive ID","value":"4045"},{"id":130,"name":"Impact","value":""},{"id":150,"name":"Time of Event (Mountain Time)","value":"06:22:15"},{"id":151,"name":"Denver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4045 --day 2017-10-25</v>
      </c>
      <c r="AN22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-25T04:30:30-0600',mode:absolute,to:'2017-10-25T07:22:15-0600'))&amp;_a=(columns:!('Message%20ID',Summary),filters:!(),index:'emp_*',interval:auto,query:(query_string:(analyze_wildcard:!t,query:'%22rtdc.l.rtdc.4045%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681</v>
      </c>
      <c r="B23" s="7">
        <v>4030</v>
      </c>
      <c r="C23" s="21" t="s">
        <v>194</v>
      </c>
      <c r="D23" s="21" t="s">
        <v>338</v>
      </c>
      <c r="E23" s="13">
        <v>43033.203541666669</v>
      </c>
      <c r="F23" s="13">
        <v>43033.20857638889</v>
      </c>
      <c r="G23" s="7">
        <v>245</v>
      </c>
      <c r="H23" s="21" t="s">
        <v>545</v>
      </c>
      <c r="I23" s="13">
        <v>43033.236215277779</v>
      </c>
      <c r="J23" s="7">
        <v>0</v>
      </c>
      <c r="K23" s="89" t="str">
        <f>IF(ISEVEN(B23),(B23-1)&amp;"/"&amp;B23,B23&amp;"/"&amp;(B23+1))</f>
        <v>4029/4030</v>
      </c>
      <c r="L23" s="185" t="str">
        <f>VLOOKUP(A23,'Trips&amp;Operators'!$C$1:$G$99911,5,FALSE)</f>
        <v>BONDS REYNALDO</v>
      </c>
      <c r="M23" s="6">
        <f>I23-F23</f>
        <v>2.7638888888759539E-2</v>
      </c>
      <c r="N23" s="7">
        <f>24*60*SUM($M23:$M23)</f>
        <v>39.799999999813735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-25T03:53:06-0600',mode:absolute,to:'2017-10-25T06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4.53E-2</v>
      </c>
      <c r="Z23" s="204">
        <f>RIGHT(H23,LEN(H23)-4)/10000</f>
        <v>23.331</v>
      </c>
      <c r="AA23" s="204">
        <f>ABS(Z23-Y23)</f>
        <v>23.285699999999999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/stypes="app*4030*20171025*"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111-25 --locoid 4030 --swversion DE.1.0.9.0 --startMP 204:453 --initTime 2017-10-25T04:53:06 --startdatetime 2017-10-25T05:00:21 --delay 245 --endMP 204:233310 --enddatetime 2017-10-25T05:40:09 --enforcementcount 0 &gt;&gt;%USERPROFILE%\Documents\GitHub\eaglep3-reporting\EC\2017-10-25-refined-times.txt</v>
      </c>
      <c r="AI23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{"issue":{"subject":"","project_id":79,"tracker_id":40,"status_id":1,"priority_id":2,"assigned_to_id":338,"start_date":"2017-10-25","description":"","custom_fields":[{"id":1,"name":"Subdivision","value":"EC"},{"id":4,"name":"Milepost","value":"23.331"},{"id":17,"name":"Train ID","value":"111-25"},{"id":16,"name":"Locomotive ID","value":"4030"},{"id":130,"name":"Impact","value":""},{"id":150,"name":"Time of Event (Mountain Time)","value":"05:40:09"},{"id":151,"name":"Denver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4030 --day 2017-10-25</v>
      </c>
      <c r="AN23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-25T03:53:06-0600',mode:absolute,to:'2017-10-25T06:40:09-0600'))&amp;_a=(columns:!('Message%20ID',Summary),filters:!(),index:'emp_*',interval:auto,query:(query_string:(analyze_wildcard:!t,query:'%22rtdc.l.rtdc.4030%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627</v>
      </c>
      <c r="B24" s="7">
        <v>4029</v>
      </c>
      <c r="C24" s="21" t="s">
        <v>194</v>
      </c>
      <c r="D24" s="21" t="s">
        <v>603</v>
      </c>
      <c r="E24" s="13">
        <v>43033.24459490741</v>
      </c>
      <c r="F24" s="13">
        <v>43033.248159722221</v>
      </c>
      <c r="G24" s="7">
        <v>61</v>
      </c>
      <c r="H24" s="21" t="s">
        <v>400</v>
      </c>
      <c r="I24" s="13">
        <v>43033.27553240741</v>
      </c>
      <c r="J24" s="7">
        <v>0</v>
      </c>
      <c r="K24" s="89" t="str">
        <f>IF(ISEVEN(B24),(B24-1)&amp;"/"&amp;B24,B24&amp;"/"&amp;(B24+1))</f>
        <v>4029/4030</v>
      </c>
      <c r="L24" s="185" t="str">
        <f>VLOOKUP(A24,'Trips&amp;Operators'!$C$1:$G$99911,5,FALSE)</f>
        <v>BONDS REYNALDO</v>
      </c>
      <c r="M24" s="6">
        <f>I24-F24</f>
        <v>2.7372685188311152E-2</v>
      </c>
      <c r="N24" s="7">
        <f>24*60*SUM($M24:$M24)</f>
        <v>39.416666671168059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-25T04:52:13-0600',mode:absolute,to:'2017-10-25T07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23.2987</v>
      </c>
      <c r="Z24" s="204">
        <f>RIGHT(H24,LEN(H24)-4)/10000</f>
        <v>1.41E-2</v>
      </c>
      <c r="AA24" s="204">
        <f>ABS(Z24-Y24)</f>
        <v>23.284600000000001</v>
      </c>
      <c r="AB24" s="54" t="str">
        <f>VLOOKUP(A24,Enforcements!$C$7:$K$11,8,0)</f>
        <v>Bulletin (2)</v>
      </c>
      <c r="AC24" s="51" t="str">
        <f>VLOOKUP(A24,Enforcements!$C$7:$E$11,3,0)</f>
        <v>GRADE CROSSING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/stypes="app*4029*20171025*"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112-25 --locoid 4029 --swversion DE.1.0.9.0 --startMP 204:232987 --initTime 2017-10-25T05:52:13 --startdatetime 2017-10-25T05:57:21 --delay 61 --endMP 204:141 --enddatetime 2017-10-25T06:36:46 --enforcementcount 0 &gt;&gt;%USERPROFILE%\Documents\GitHub\eaglep3-reporting\EC\2017-10-25-refined-times.txt</v>
      </c>
      <c r="AI24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{"issue":{"subject":"","project_id":79,"tracker_id":40,"status_id":1,"priority_id":2,"assigned_to_id":338,"start_date":"2017-10-25","description":"","custom_fields":[{"id":1,"name":"Subdivision","value":"EC"},{"id":4,"name":"Milepost","value":"0.0141"},{"id":17,"name":"Train ID","value":"112-25"},{"id":16,"name":"Locomotive ID","value":"4029"},{"id":130,"name":"Impact","value":""},{"id":150,"name":"Time of Event (Mountain Time)","value":"06:36:46"},{"id":151,"name":"Denver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4029 --day 2017-10-25</v>
      </c>
      <c r="AN24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-25T04:52:13-0600',mode:absolute,to:'2017-10-25T07:36:46-0600'))&amp;_a=(columns:!('Message%20ID',Summary),filters:!(),index:'emp_*',interval:auto,query:(query_string:(analyze_wildcard:!t,query:'%22rtdc.l.rtdc.4029%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684</v>
      </c>
      <c r="B25" s="7">
        <v>4006</v>
      </c>
      <c r="C25" s="21" t="s">
        <v>194</v>
      </c>
      <c r="D25" s="21" t="s">
        <v>353</v>
      </c>
      <c r="E25" s="13">
        <v>43033.217083333337</v>
      </c>
      <c r="F25" s="13">
        <v>43033.219097222223</v>
      </c>
      <c r="G25" s="7">
        <v>65</v>
      </c>
      <c r="H25" s="21" t="s">
        <v>880</v>
      </c>
      <c r="I25" s="13">
        <v>43033.244490740741</v>
      </c>
      <c r="J25" s="7">
        <v>0</v>
      </c>
      <c r="K25" s="89" t="str">
        <f>IF(ISEVEN(B25),(B25-1)&amp;"/"&amp;B25,B25&amp;"/"&amp;(B25+1))</f>
        <v>4005/4006</v>
      </c>
      <c r="L25" s="185" t="str">
        <f>VLOOKUP(A25,'Trips&amp;Operators'!$C$1:$G$99911,5,FALSE)</f>
        <v>STARKS ANGELINA</v>
      </c>
      <c r="M25" s="6">
        <f>I25-F25</f>
        <v>2.5393518517375924E-2</v>
      </c>
      <c r="N25" s="7">
        <f>24*60*SUM($M25:$M25)</f>
        <v>36.56666666502133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-25T04:12:36-0600',mode:absolute,to:'2017-10-25T06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4.58E-2</v>
      </c>
      <c r="Z25" s="204">
        <f>RIGHT(H25,LEN(H25)-4)/10000</f>
        <v>23.3307</v>
      </c>
      <c r="AA25" s="204">
        <f>ABS(Z25-Y25)</f>
        <v>23.2849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/stypes="app*4006*20171025*"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113-25 --locoid 4006 --swversion DE.1.0.9.0 --startMP 204:458 --initTime 2017-10-25T05:12:36 --startdatetime 2017-10-25T05:15:30 --delay 65 --endMP 204:233307 --enddatetime 2017-10-25T05:52:04 --enforcementcount 0 &gt;&gt;%USERPROFILE%\Documents\GitHub\eaglep3-reporting\EC\2017-10-25-refined-times.txt</v>
      </c>
      <c r="AI25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{"issue":{"subject":"","project_id":79,"tracker_id":40,"status_id":1,"priority_id":2,"assigned_to_id":338,"start_date":"2017-10-25","description":"","custom_fields":[{"id":1,"name":"Subdivision","value":"EC"},{"id":4,"name":"Milepost","value":"23.3307"},{"id":17,"name":"Train ID","value":"113-25"},{"id":16,"name":"Locomotive ID","value":"4006"},{"id":130,"name":"Impact","value":""},{"id":150,"name":"Time of Event (Mountain Time)","value":"05:52:04"},{"id":151,"name":"Denver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4006 --day 2017-10-25</v>
      </c>
      <c r="AN25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-25T04:12:36-0600',mode:absolute,to:'2017-10-25T06:52:04-0600'))&amp;_a=(columns:!('Message%20ID',Summary),filters:!(),index:'emp_*',interval:auto,query:(query_string:(analyze_wildcard:!t,query:'%22rtdc.l.rtdc.4006%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697</v>
      </c>
      <c r="B26" s="7">
        <v>4005</v>
      </c>
      <c r="C26" s="21" t="s">
        <v>194</v>
      </c>
      <c r="D26" s="21" t="s">
        <v>549</v>
      </c>
      <c r="E26" s="13">
        <v>43033.248043981483</v>
      </c>
      <c r="F26" s="13">
        <v>43033.258518518516</v>
      </c>
      <c r="G26" s="7">
        <v>73</v>
      </c>
      <c r="H26" s="21" t="s">
        <v>399</v>
      </c>
      <c r="I26" s="13">
        <v>43033.285868055558</v>
      </c>
      <c r="J26" s="7">
        <v>0</v>
      </c>
      <c r="K26" s="89" t="str">
        <f>IF(ISEVEN(B26),(B26-1)&amp;"/"&amp;B26,B26&amp;"/"&amp;(B26+1))</f>
        <v>4005/4006</v>
      </c>
      <c r="L26" s="185" t="str">
        <f>VLOOKUP(A26,'Trips&amp;Operators'!$C$1:$G$99911,5,FALSE)</f>
        <v>STARKS ANGELINA</v>
      </c>
      <c r="M26" s="6">
        <f>I26-F26</f>
        <v>2.7349537042027805E-2</v>
      </c>
      <c r="N26" s="7">
        <f>24*60*SUM($M26:$M26)</f>
        <v>39.383333340520039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-25T04:57:11-0600',mode:absolute,to:'2017-10-25T07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23.297699999999999</v>
      </c>
      <c r="Z26" s="204">
        <f>RIGHT(H26,LEN(H26)-4)/10000</f>
        <v>1.3599999999999999E-2</v>
      </c>
      <c r="AA26" s="204">
        <f>ABS(Z26-Y26)</f>
        <v>23.284099999999999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/stypes="app*4005*20171025*"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114-25 --locoid 4005 --swversion DE.1.0.9.0 --startMP 204:232977 --initTime 2017-10-25T05:57:11 --startdatetime 2017-10-25T06:12:16 --delay 73 --endMP 204:136 --enddatetime 2017-10-25T06:51:39 --enforcementcount 0 &gt;&gt;%USERPROFILE%\Documents\GitHub\eaglep3-reporting\EC\2017-10-25-refined-times.txt</v>
      </c>
      <c r="AI26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{"issue":{"subject":"","project_id":79,"tracker_id":40,"status_id":1,"priority_id":2,"assigned_to_id":338,"start_date":"2017-10-25","description":"","custom_fields":[{"id":1,"name":"Subdivision","value":"EC"},{"id":4,"name":"Milepost","value":"0.0136"},{"id":17,"name":"Train ID","value":"114-25"},{"id":16,"name":"Locomotive ID","value":"4005"},{"id":130,"name":"Impact","value":""},{"id":150,"name":"Time of Event (Mountain Time)","value":"06:51:39"},{"id":151,"name":"Denver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4005 --day 2017-10-25</v>
      </c>
      <c r="AN26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-25T04:57:11-0600',mode:absolute,to:'2017-10-25T07:51:39-0600'))&amp;_a=(columns:!('Message%20ID',Summary),filters:!(),index:'emp_*',interval:auto,query:(query_string:(analyze_wildcard:!t,query:'%22rtdc.l.rtdc.4005%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689</v>
      </c>
      <c r="B27" s="7">
        <v>4050</v>
      </c>
      <c r="C27" s="21" t="s">
        <v>194</v>
      </c>
      <c r="D27" s="21" t="s">
        <v>398</v>
      </c>
      <c r="E27" s="13">
        <v>43033.226331018515</v>
      </c>
      <c r="F27" s="13">
        <v>43033.229363425926</v>
      </c>
      <c r="G27" s="7">
        <v>52</v>
      </c>
      <c r="H27" s="21" t="s">
        <v>878</v>
      </c>
      <c r="I27" s="13">
        <v>43033.255833333336</v>
      </c>
      <c r="J27" s="7">
        <v>0</v>
      </c>
      <c r="K27" s="89" t="str">
        <f>IF(ISEVEN(B27),(B27-1)&amp;"/"&amp;B27,B27&amp;"/"&amp;(B27+1))</f>
        <v>4049/4050</v>
      </c>
      <c r="L27" s="185" t="str">
        <f>VLOOKUP(A27,'Trips&amp;Operators'!$C$1:$G$99911,5,FALSE)</f>
        <v>THOMPSON LESTER</v>
      </c>
      <c r="M27" s="6">
        <f>I27-F27</f>
        <v>2.6469907410501037E-2</v>
      </c>
      <c r="N27" s="7">
        <f>24*60*SUM($M27:$M27)</f>
        <v>38.116666671121493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-25T04:25:55-0600',mode:absolute,to:'2017-10-25T07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4.3999999999999997E-2</v>
      </c>
      <c r="Z27" s="204">
        <f>RIGHT(H27,LEN(H27)-4)/10000</f>
        <v>23.3293</v>
      </c>
      <c r="AA27" s="204">
        <f>ABS(Z27-Y27)</f>
        <v>23.285299999999999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/stypes="app*4050*20171025*"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115-25 --locoid 4050 --swversion DE.1.0.9.0 --startMP 204:440 --initTime 2017-10-25T05:25:55 --startdatetime 2017-10-25T05:30:17 --delay 52 --endMP 204:233293 --enddatetime 2017-10-25T06:08:24 --enforcementcount 0 &gt;&gt;%USERPROFILE%\Documents\GitHub\eaglep3-reporting\EC\2017-10-25-refined-times.txt</v>
      </c>
      <c r="AI27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{"issue":{"subject":"","project_id":79,"tracker_id":40,"status_id":1,"priority_id":2,"assigned_to_id":338,"start_date":"2017-10-25","description":"","custom_fields":[{"id":1,"name":"Subdivision","value":"EC"},{"id":4,"name":"Milepost","value":"23.3293"},{"id":17,"name":"Train ID","value":"115-25"},{"id":16,"name":"Locomotive ID","value":"4050"},{"id":130,"name":"Impact","value":""},{"id":150,"name":"Time of Event (Mountain Time)","value":"06:08:24"},{"id":151,"name":"Denver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4050 --day 2017-10-25</v>
      </c>
      <c r="AN27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-25T04:25:55-0600',mode:absolute,to:'2017-10-25T07:08:24-0600'))&amp;_a=(columns:!('Message%20ID',Summary),filters:!(),index:'emp_*',interval:auto,query:(query_string:(analyze_wildcard:!t,query:'%22rtdc.l.rtdc.4050%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701</v>
      </c>
      <c r="B28" s="7">
        <v>4049</v>
      </c>
      <c r="C28" s="21" t="s">
        <v>194</v>
      </c>
      <c r="D28" s="21" t="s">
        <v>579</v>
      </c>
      <c r="E28" s="13">
        <v>43033.265902777777</v>
      </c>
      <c r="F28" s="13">
        <v>43033.268969907411</v>
      </c>
      <c r="G28" s="7">
        <v>107</v>
      </c>
      <c r="H28" s="21" t="s">
        <v>399</v>
      </c>
      <c r="I28" s="13">
        <v>43033.296527777777</v>
      </c>
      <c r="J28" s="7">
        <v>0</v>
      </c>
      <c r="K28" s="89" t="str">
        <f>IF(ISEVEN(B28),(B28-1)&amp;"/"&amp;B28,B28&amp;"/"&amp;(B28+1))</f>
        <v>4049/4050</v>
      </c>
      <c r="L28" s="185" t="str">
        <f>VLOOKUP(A28,'Trips&amp;Operators'!$C$1:$G$99911,5,FALSE)</f>
        <v>THOMPSON LESTER</v>
      </c>
      <c r="M28" s="6">
        <f>I28-F28</f>
        <v>2.7557870365853887E-2</v>
      </c>
      <c r="N28" s="7">
        <f>24*60*SUM($M28:$M28)</f>
        <v>39.683333326829597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-25T05:22:54-0600',mode:absolute,to:'2017-10-25T08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23.297599999999999</v>
      </c>
      <c r="Z28" s="204">
        <f>RIGHT(H28,LEN(H28)-4)/10000</f>
        <v>1.3599999999999999E-2</v>
      </c>
      <c r="AA28" s="204">
        <f>ABS(Z28-Y28)</f>
        <v>23.283999999999999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/stypes="app*4049*20171025*"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116-25 --locoid 4049 --swversion DE.1.0.9.0 --startMP 204:232976 --initTime 2017-10-25T06:22:54 --startdatetime 2017-10-25T06:27:19 --delay 107 --endMP 204:136 --enddatetime 2017-10-25T07:07:00 --enforcementcount 0 &gt;&gt;%USERPROFILE%\Documents\GitHub\eaglep3-reporting\EC\2017-10-25-refined-times.txt</v>
      </c>
      <c r="AI28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{"issue":{"subject":"","project_id":79,"tracker_id":40,"status_id":1,"priority_id":2,"assigned_to_id":338,"start_date":"2017-10-25","description":"","custom_fields":[{"id":1,"name":"Subdivision","value":"EC"},{"id":4,"name":"Milepost","value":"0.0136"},{"id":17,"name":"Train ID","value":"116-25"},{"id":16,"name":"Locomotive ID","value":"4049"},{"id":130,"name":"Impact","value":""},{"id":150,"name":"Time of Event (Mountain Time)","value":"07:07:00"},{"id":151,"name":"Denver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4049 --day 2017-10-25</v>
      </c>
      <c r="AN28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-25T05:22:54-0600',mode:absolute,to:'2017-10-25T08:07:00-0600'))&amp;_a=(columns:!('Message%20ID',Summary),filters:!(),index:'emp_*',interval:auto,query:(query_string:(analyze_wildcard:!t,query:'%22rtdc.l.rtdc.4049%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692</v>
      </c>
      <c r="B29" s="7">
        <v>4008</v>
      </c>
      <c r="C29" s="21" t="s">
        <v>194</v>
      </c>
      <c r="D29" s="21" t="s">
        <v>344</v>
      </c>
      <c r="E29" s="13">
        <v>43033.235844907409</v>
      </c>
      <c r="F29" s="13">
        <v>43033.239745370367</v>
      </c>
      <c r="G29" s="7">
        <v>69</v>
      </c>
      <c r="H29" s="21" t="s">
        <v>881</v>
      </c>
      <c r="I29" s="13">
        <v>43033.264710648145</v>
      </c>
      <c r="J29" s="7">
        <v>0</v>
      </c>
      <c r="K29" s="89" t="str">
        <f>IF(ISEVEN(B29),(B29-1)&amp;"/"&amp;B29,B29&amp;"/"&amp;(B29+1))</f>
        <v>4007/4008</v>
      </c>
      <c r="L29" s="185" t="str">
        <f>VLOOKUP(A29,'Trips&amp;Operators'!$C$1:$G$99911,5,FALSE)</f>
        <v>FORTUNATO FRANK</v>
      </c>
      <c r="M29" s="6">
        <f>I29-F29</f>
        <v>2.4965277778392192E-2</v>
      </c>
      <c r="N29" s="7">
        <f>24*60*SUM($M29:$M29)</f>
        <v>35.950000000884756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-25T04:39:37-0600',mode:absolute,to:'2017-10-25T07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4.5499999999999999E-2</v>
      </c>
      <c r="Z29" s="204">
        <f>RIGHT(H29,LEN(H29)-4)/10000</f>
        <v>23.3324</v>
      </c>
      <c r="AA29" s="204">
        <f>ABS(Z29-Y29)</f>
        <v>23.286899999999999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/stypes="app*4008*20171025*"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117-25 --locoid 4008 --swversion DE.1.0.9.0 --startMP 204:455 --initTime 2017-10-25T05:39:37 --startdatetime 2017-10-25T05:45:14 --delay 69 --endMP 204:233324 --enddatetime 2017-10-25T06:21:11 --enforcementcount 0 &gt;&gt;%USERPROFILE%\Documents\GitHub\eaglep3-reporting\EC\2017-10-25-refined-times.txt</v>
      </c>
      <c r="AI29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{"issue":{"subject":"","project_id":79,"tracker_id":40,"status_id":1,"priority_id":2,"assigned_to_id":338,"start_date":"2017-10-25","description":"","custom_fields":[{"id":1,"name":"Subdivision","value":"EC"},{"id":4,"name":"Milepost","value":"23.3324"},{"id":17,"name":"Train ID","value":"117-25"},{"id":16,"name":"Locomotive ID","value":"4008"},{"id":130,"name":"Impact","value":""},{"id":150,"name":"Time of Event (Mountain Time)","value":"06:21:11"},{"id":151,"name":"Denver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4008 --day 2017-10-25</v>
      </c>
      <c r="AN29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-25T04:39:37-0600',mode:absolute,to:'2017-10-25T07:21:11-0600'))&amp;_a=(columns:!('Message%20ID',Summary),filters:!(),index:'emp_*',interval:auto,query:(query_string:(analyze_wildcard:!t,query:'%22rtdc.l.rtdc.4008%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700</v>
      </c>
      <c r="B30" s="7">
        <v>4007</v>
      </c>
      <c r="C30" s="21" t="s">
        <v>194</v>
      </c>
      <c r="D30" s="21" t="s">
        <v>589</v>
      </c>
      <c r="E30" s="13">
        <v>43033.266018518516</v>
      </c>
      <c r="F30" s="13">
        <v>43033.279537037037</v>
      </c>
      <c r="G30" s="7">
        <v>65</v>
      </c>
      <c r="H30" s="21" t="s">
        <v>337</v>
      </c>
      <c r="I30" s="13">
        <v>43033.306400462963</v>
      </c>
      <c r="J30" s="7">
        <v>0</v>
      </c>
      <c r="K30" s="89" t="str">
        <f>IF(ISEVEN(B30),(B30-1)&amp;"/"&amp;B30,B30&amp;"/"&amp;(B30+1))</f>
        <v>4007/4008</v>
      </c>
      <c r="L30" s="185" t="str">
        <f>VLOOKUP(A30,'Trips&amp;Operators'!$C$1:$G$99911,5,FALSE)</f>
        <v>FORTUNATO FRANK</v>
      </c>
      <c r="M30" s="6">
        <f>I30-F30</f>
        <v>2.6863425926421769E-2</v>
      </c>
      <c r="N30" s="7">
        <f>24*60*SUM($M30:$M30)</f>
        <v>38.683333334047347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-25T05:23:04-0600',mode:absolute,to:'2017-10-25T08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23.298200000000001</v>
      </c>
      <c r="Z30" s="204">
        <f>RIGHT(H30,LEN(H30)-4)/10000</f>
        <v>1.43E-2</v>
      </c>
      <c r="AA30" s="204">
        <f>ABS(Z30-Y30)</f>
        <v>23.283900000000003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/stypes="app*4007*20171025*"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118-25 --locoid 4007 --swversion DE.1.0.9.0 --startMP 204:232982 --initTime 2017-10-25T06:23:04 --startdatetime 2017-10-25T06:42:32 --delay 65 --endMP 204:143 --enddatetime 2017-10-25T07:21:13 --enforcementcount 0 &gt;&gt;%USERPROFILE%\Documents\GitHub\eaglep3-reporting\EC\2017-10-25-refined-times.txt</v>
      </c>
      <c r="AI30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{"issue":{"subject":"","project_id":79,"tracker_id":40,"status_id":1,"priority_id":2,"assigned_to_id":338,"start_date":"2017-10-25","description":"","custom_fields":[{"id":1,"name":"Subdivision","value":"EC"},{"id":4,"name":"Milepost","value":"0.0143"},{"id":17,"name":"Train ID","value":"118-25"},{"id":16,"name":"Locomotive ID","value":"4007"},{"id":130,"name":"Impact","value":""},{"id":150,"name":"Time of Event (Mountain Time)","value":"07:21:13"},{"id":151,"name":"Denver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4007 --day 2017-10-25</v>
      </c>
      <c r="AN30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-25T05:23:04-0600',mode:absolute,to:'2017-10-25T08:21:13-0600'))&amp;_a=(columns:!('Message%20ID',Summary),filters:!(),index:'emp_*',interval:auto,query:(query_string:(analyze_wildcard:!t,query:'%22rtdc.l.rtdc.4007%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696</v>
      </c>
      <c r="B31" s="7">
        <v>4018</v>
      </c>
      <c r="C31" s="21" t="s">
        <v>194</v>
      </c>
      <c r="D31" s="21" t="s">
        <v>392</v>
      </c>
      <c r="E31" s="13">
        <v>43033.243819444448</v>
      </c>
      <c r="F31" s="13">
        <v>43033.250173611108</v>
      </c>
      <c r="G31" s="7">
        <v>59</v>
      </c>
      <c r="H31" s="21" t="s">
        <v>403</v>
      </c>
      <c r="I31" s="13">
        <v>43033.274606481478</v>
      </c>
      <c r="J31" s="7">
        <v>0</v>
      </c>
      <c r="K31" s="89" t="str">
        <f>IF(ISEVEN(B31),(B31-1)&amp;"/"&amp;B31,B31&amp;"/"&amp;(B31+1))</f>
        <v>4017/4018</v>
      </c>
      <c r="L31" s="185" t="str">
        <f>VLOOKUP(A31,'Trips&amp;Operators'!$C$1:$G$99911,5,FALSE)</f>
        <v>YORK EDGAR</v>
      </c>
      <c r="M31" s="6">
        <f>I31-F31</f>
        <v>2.4432870370219462E-2</v>
      </c>
      <c r="N31" s="7">
        <f>24*60*SUM($M31:$M31)</f>
        <v>35.183333333116025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-25T04:51:06-0600',mode:absolute,to:'2017-10-25T07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4.6199999999999998E-2</v>
      </c>
      <c r="Z31" s="204">
        <f>RIGHT(H31,LEN(H31)-4)/10000</f>
        <v>23.329699999999999</v>
      </c>
      <c r="AA31" s="204">
        <f>ABS(Z31-Y31)</f>
        <v>23.2835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/stypes="app*4018*20171025*"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119-25 --locoid 4018 --swversion DE.1.0.9.0 --startMP 204:462 --initTime 2017-10-25T05:51:06 --startdatetime 2017-10-25T06:00:15 --delay 59 --endMP 204:233297 --enddatetime 2017-10-25T06:35:26 --enforcementcount 0 &gt;&gt;%USERPROFILE%\Documents\GitHub\eaglep3-reporting\EC\2017-10-25-refined-times.txt</v>
      </c>
      <c r="AI31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{"issue":{"subject":"","project_id":79,"tracker_id":40,"status_id":1,"priority_id":2,"assigned_to_id":338,"start_date":"2017-10-25","description":"","custom_fields":[{"id":1,"name":"Subdivision","value":"EC"},{"id":4,"name":"Milepost","value":"23.3297"},{"id":17,"name":"Train ID","value":"119-25"},{"id":16,"name":"Locomotive ID","value":"4018"},{"id":130,"name":"Impact","value":""},{"id":150,"name":"Time of Event (Mountain Time)","value":"06:35:26"},{"id":151,"name":"Denver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4018 --day 2017-10-25</v>
      </c>
      <c r="AN31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-25T04:51:06-0600',mode:absolute,to:'2017-10-25T07:35:26-0600'))&amp;_a=(columns:!('Message%20ID',Summary),filters:!(),index:'emp_*',interval:auto,query:(query_string:(analyze_wildcard:!t,query:'%22rtdc.l.rtdc.4018%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704</v>
      </c>
      <c r="B32" s="7">
        <v>4017</v>
      </c>
      <c r="C32" s="21" t="s">
        <v>194</v>
      </c>
      <c r="D32" s="21" t="s">
        <v>579</v>
      </c>
      <c r="E32" s="13">
        <v>43033.275567129633</v>
      </c>
      <c r="F32" s="13">
        <v>43033.289976851855</v>
      </c>
      <c r="G32" s="7">
        <v>44</v>
      </c>
      <c r="H32" s="21" t="s">
        <v>354</v>
      </c>
      <c r="I32" s="13">
        <v>43033.315798611111</v>
      </c>
      <c r="J32" s="7">
        <v>0</v>
      </c>
      <c r="K32" s="89" t="str">
        <f>IF(ISEVEN(B32),(B32-1)&amp;"/"&amp;B32,B32&amp;"/"&amp;(B32+1))</f>
        <v>4017/4018</v>
      </c>
      <c r="L32" s="185" t="str">
        <f>VLOOKUP(A32,'Trips&amp;Operators'!$C$1:$G$99911,5,FALSE)</f>
        <v>YORK EDGAR</v>
      </c>
      <c r="M32" s="6">
        <f>I32-F32</f>
        <v>2.5821759256359655E-2</v>
      </c>
      <c r="N32" s="7">
        <f>24*60*SUM($M32:$M32)</f>
        <v>37.183333329157904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-25T05:36:49-0600',mode:absolute,to:'2017-10-25T08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23.297599999999999</v>
      </c>
      <c r="Z32" s="204">
        <f>RIGHT(H32,LEN(H32)-4)/10000</f>
        <v>1.52E-2</v>
      </c>
      <c r="AA32" s="204">
        <f>ABS(Z32-Y32)</f>
        <v>23.282399999999999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/stypes="app*4017*20171025*"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120-25 --locoid 4017 --swversion DE.1.0.9.0 --startMP 204:232976 --initTime 2017-10-25T06:36:49 --startdatetime 2017-10-25T06:57:34 --delay 44 --endMP 204:152 --enddatetime 2017-10-25T07:34:45 --enforcementcount 0 &gt;&gt;%USERPROFILE%\Documents\GitHub\eaglep3-reporting\EC\2017-10-25-refined-times.txt</v>
      </c>
      <c r="AI32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{"issue":{"subject":"","project_id":79,"tracker_id":40,"status_id":1,"priority_id":2,"assigned_to_id":338,"start_date":"2017-10-25","description":"","custom_fields":[{"id":1,"name":"Subdivision","value":"EC"},{"id":4,"name":"Milepost","value":"0.0152"},{"id":17,"name":"Train ID","value":"120-25"},{"id":16,"name":"Locomotive ID","value":"4017"},{"id":130,"name":"Impact","value":""},{"id":150,"name":"Time of Event (Mountain Time)","value":"07:34:45"},{"id":151,"name":"Denver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4017 --day 2017-10-25</v>
      </c>
      <c r="AN32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-25T05:36:49-0600',mode:absolute,to:'2017-10-25T08:34:45-0600'))&amp;_a=(columns:!('Message%20ID',Summary),filters:!(),index:'emp_*',interval:auto,query:(query_string:(analyze_wildcard:!t,query:'%22rtdc.l.rtdc.4017%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699</v>
      </c>
      <c r="B33" s="7">
        <v>4036</v>
      </c>
      <c r="C33" s="21" t="s">
        <v>194</v>
      </c>
      <c r="D33" s="21" t="s">
        <v>591</v>
      </c>
      <c r="E33" s="13">
        <v>43033.256863425922</v>
      </c>
      <c r="F33" s="13">
        <v>43033.260601851849</v>
      </c>
      <c r="G33" s="7">
        <v>59</v>
      </c>
      <c r="H33" s="21" t="s">
        <v>433</v>
      </c>
      <c r="I33" s="13">
        <v>43033.285115740742</v>
      </c>
      <c r="J33" s="7">
        <v>0</v>
      </c>
      <c r="K33" s="89" t="str">
        <f>IF(ISEVEN(B33),(B33-1)&amp;"/"&amp;B33,B33&amp;"/"&amp;(B33+1))</f>
        <v>4035/4036</v>
      </c>
      <c r="L33" s="185" t="str">
        <f>VLOOKUP(A33,'Trips&amp;Operators'!$C$1:$G$99911,5,FALSE)</f>
        <v>PAGE MARCUS</v>
      </c>
      <c r="M33" s="6">
        <f>I33-F33</f>
        <v>2.4513888893125113E-2</v>
      </c>
      <c r="N33" s="7">
        <f>24*60*SUM($M33:$M33)</f>
        <v>35.300000006100163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-25T05:09:53-0600',mode:absolute,to:'2017-10-25T07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4.4400000000000002E-2</v>
      </c>
      <c r="Z33" s="204">
        <f>RIGHT(H33,LEN(H33)-4)/10000</f>
        <v>23.3309</v>
      </c>
      <c r="AA33" s="204">
        <f>ABS(Z33-Y33)</f>
        <v>23.2865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/stypes="app*4036*20171025*"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121-25 --locoid 4036 --swversion DE.1.0.9.0 --startMP 204:444 --initTime 2017-10-25T06:09:53 --startdatetime 2017-10-25T06:15:16 --delay 59 --endMP 204:233309 --enddatetime 2017-10-25T06:50:34 --enforcementcount 0 &gt;&gt;%USERPROFILE%\Documents\GitHub\eaglep3-reporting\EC\2017-10-25-refined-times.txt</v>
      </c>
      <c r="AI33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{"issue":{"subject":"","project_id":79,"tracker_id":40,"status_id":1,"priority_id":2,"assigned_to_id":338,"start_date":"2017-10-25","description":"","custom_fields":[{"id":1,"name":"Subdivision","value":"EC"},{"id":4,"name":"Milepost","value":"23.3309"},{"id":17,"name":"Train ID","value":"121-25"},{"id":16,"name":"Locomotive ID","value":"4036"},{"id":130,"name":"Impact","value":""},{"id":150,"name":"Time of Event (Mountain Time)","value":"06:50:34"},{"id":151,"name":"Denver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4036 --day 2017-10-25</v>
      </c>
      <c r="AN33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-25T05:09:53-0600',mode:absolute,to:'2017-10-25T07:50:34-0600'))&amp;_a=(columns:!('Message%20ID',Summary),filters:!(),index:'emp_*',interval:auto,query:(query_string:(analyze_wildcard:!t,query:'%22rtdc.l.rtdc.4036%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708</v>
      </c>
      <c r="B34" s="7">
        <v>4035</v>
      </c>
      <c r="C34" s="21" t="s">
        <v>194</v>
      </c>
      <c r="D34" s="21" t="s">
        <v>435</v>
      </c>
      <c r="E34" s="13">
        <v>43033.29582175926</v>
      </c>
      <c r="F34" s="13">
        <v>43033.300173611111</v>
      </c>
      <c r="G34" s="7">
        <v>50</v>
      </c>
      <c r="H34" s="21" t="s">
        <v>397</v>
      </c>
      <c r="I34" s="13">
        <v>43033.327245370368</v>
      </c>
      <c r="J34" s="7">
        <v>0</v>
      </c>
      <c r="K34" s="89" t="str">
        <f>IF(ISEVEN(B34),(B34-1)&amp;"/"&amp;B34,B34&amp;"/"&amp;(B34+1))</f>
        <v>4035/4036</v>
      </c>
      <c r="L34" s="185" t="str">
        <f>VLOOKUP(A34,'Trips&amp;Operators'!$C$1:$G$99911,5,FALSE)</f>
        <v>PAGE MARCUS</v>
      </c>
      <c r="M34" s="6">
        <f>I34-F34</f>
        <v>2.7071759257523809E-2</v>
      </c>
      <c r="N34" s="7">
        <f>24*60*SUM($M34:$M34)</f>
        <v>38.983333330834284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-25T06:05:59-0600',mode:absolute,to:'2017-10-25T08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23.298400000000001</v>
      </c>
      <c r="Z34" s="204">
        <f>RIGHT(H34,LEN(H34)-4)/10000</f>
        <v>1.38E-2</v>
      </c>
      <c r="AA34" s="204">
        <f>ABS(Z34-Y34)</f>
        <v>23.284600000000001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/stypes="app*4035*20171025*"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122-25 --locoid 4035 --swversion DE.1.0.9.0 --startMP 204:232984 --initTime 2017-10-25T07:05:59 --startdatetime 2017-10-25T07:12:15 --delay 50 --endMP 204:138 --enddatetime 2017-10-25T07:51:14 --enforcementcount 0 &gt;&gt;%USERPROFILE%\Documents\GitHub\eaglep3-reporting\EC\2017-10-25-refined-times.txt</v>
      </c>
      <c r="AI34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{"issue":{"subject":"","project_id":79,"tracker_id":40,"status_id":1,"priority_id":2,"assigned_to_id":338,"start_date":"2017-10-25","description":"","custom_fields":[{"id":1,"name":"Subdivision","value":"EC"},{"id":4,"name":"Milepost","value":"0.0138"},{"id":17,"name":"Train ID","value":"122-25"},{"id":16,"name":"Locomotive ID","value":"4035"},{"id":130,"name":"Impact","value":""},{"id":150,"name":"Time of Event (Mountain Time)","value":"07:51:14"},{"id":151,"name":"Denver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4035 --day 2017-10-25</v>
      </c>
      <c r="AN34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-25T06:05:59-0600',mode:absolute,to:'2017-10-25T08:51:14-0600'))&amp;_a=(columns:!('Message%20ID',Summary),filters:!(),index:'emp_*',interval:auto,query:(query_string:(analyze_wildcard:!t,query:'%22rtdc.l.rtdc.4035%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703</v>
      </c>
      <c r="B35" s="7">
        <v>4046</v>
      </c>
      <c r="C35" s="21" t="s">
        <v>194</v>
      </c>
      <c r="D35" s="21" t="s">
        <v>365</v>
      </c>
      <c r="E35" s="13">
        <v>43033.267627314817</v>
      </c>
      <c r="F35" s="13">
        <v>43033.271006944444</v>
      </c>
      <c r="G35" s="7">
        <v>61</v>
      </c>
      <c r="H35" s="21" t="s">
        <v>520</v>
      </c>
      <c r="I35" s="13">
        <v>43033.296701388892</v>
      </c>
      <c r="J35" s="7">
        <v>0</v>
      </c>
      <c r="K35" s="89" t="str">
        <f>IF(ISEVEN(B35),(B35-1)&amp;"/"&amp;B35,B35&amp;"/"&amp;(B35+1))</f>
        <v>4045/4046</v>
      </c>
      <c r="L35" s="185" t="str">
        <f>VLOOKUP(A35,'Trips&amp;Operators'!$C$1:$G$99911,5,FALSE)</f>
        <v>DAVIS WENDY</v>
      </c>
      <c r="M35" s="6">
        <f>I35-F35</f>
        <v>2.5694444448163267E-2</v>
      </c>
      <c r="N35" s="7">
        <f>24*60*SUM($M35:$M35)</f>
        <v>37.000000005355105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-25T05:25:23-0600',mode:absolute,to:'2017-10-25T08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4.7100000000000003E-2</v>
      </c>
      <c r="Z35" s="204">
        <f>RIGHT(H35,LEN(H35)-4)/10000</f>
        <v>23.3325</v>
      </c>
      <c r="AA35" s="204">
        <f>ABS(Z35-Y35)</f>
        <v>23.285399999999999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/stypes="app*4046*20171025*"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123-25 --locoid 4046 --swversion DE.1.0.9.0 --startMP 204:471 --initTime 2017-10-25T06:25:23 --startdatetime 2017-10-25T06:30:15 --delay 61 --endMP 204:233325 --enddatetime 2017-10-25T07:07:15 --enforcementcount 0 &gt;&gt;%USERPROFILE%\Documents\GitHub\eaglep3-reporting\EC\2017-10-25-refined-times.txt</v>
      </c>
      <c r="AI35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{"issue":{"subject":"","project_id":79,"tracker_id":40,"status_id":1,"priority_id":2,"assigned_to_id":338,"start_date":"2017-10-25","description":"","custom_fields":[{"id":1,"name":"Subdivision","value":"EC"},{"id":4,"name":"Milepost","value":"23.3325"},{"id":17,"name":"Train ID","value":"123-25"},{"id":16,"name":"Locomotive ID","value":"4046"},{"id":130,"name":"Impact","value":""},{"id":150,"name":"Time of Event (Mountain Time)","value":"07:07:15"},{"id":151,"name":"Denver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4046 --day 2017-10-25</v>
      </c>
      <c r="AN35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-25T05:25:23-0600',mode:absolute,to:'2017-10-25T08:07:15-0600'))&amp;_a=(columns:!('Message%20ID',Summary),filters:!(),index:'emp_*',interval:auto,query:(query_string:(analyze_wildcard:!t,query:'%22rtdc.l.rtdc.4046%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633</v>
      </c>
      <c r="B36" s="7">
        <v>4045</v>
      </c>
      <c r="C36" s="21" t="s">
        <v>194</v>
      </c>
      <c r="D36" s="21" t="s">
        <v>389</v>
      </c>
      <c r="E36" s="13">
        <v>43033.301863425928</v>
      </c>
      <c r="F36" s="13">
        <v>43033.310856481483</v>
      </c>
      <c r="G36" s="7">
        <v>55</v>
      </c>
      <c r="H36" s="21" t="s">
        <v>882</v>
      </c>
      <c r="I36" s="13">
        <v>43033.340671296297</v>
      </c>
      <c r="J36" s="7">
        <v>0</v>
      </c>
      <c r="K36" s="89" t="str">
        <f>IF(ISEVEN(B36),(B36-1)&amp;"/"&amp;B36,B36&amp;"/"&amp;(B36+1))</f>
        <v>4045/4046</v>
      </c>
      <c r="L36" s="185" t="str">
        <f>VLOOKUP(A36,'Trips&amp;Operators'!$C$1:$G$99911,5,FALSE)</f>
        <v>DAVIS WENDY</v>
      </c>
      <c r="M36" s="6">
        <f>I36-F36</f>
        <v>2.9814814814017154E-2</v>
      </c>
      <c r="N36" s="7">
        <f>24*60*SUM($M36:$M36)</f>
        <v>42.933333332184702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-25T06:14:41-0600',mode:absolute,to:'2017-10-25T09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23.299399999999999</v>
      </c>
      <c r="Z36" s="204">
        <f>RIGHT(H36,LEN(H36)-4)/10000</f>
        <v>1.67E-2</v>
      </c>
      <c r="AA36" s="204">
        <f>ABS(Z36-Y36)</f>
        <v>23.282699999999998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/stypes="app*4045*20171025*"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124-25 --locoid 4045 --swversion DE.1.0.9.0 --startMP 204:232994 --initTime 2017-10-25T07:14:41 --startdatetime 2017-10-25T07:27:38 --delay 55 --endMP 204:167 --enddatetime 2017-10-25T08:10:34 --enforcementcount 0 &gt;&gt;%USERPROFILE%\Documents\GitHub\eaglep3-reporting\EC\2017-10-25-refined-times.txt</v>
      </c>
      <c r="AI36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{"issue":{"subject":"","project_id":79,"tracker_id":40,"status_id":1,"priority_id":2,"assigned_to_id":338,"start_date":"2017-10-25","description":"","custom_fields":[{"id":1,"name":"Subdivision","value":"EC"},{"id":4,"name":"Milepost","value":"0.0167"},{"id":17,"name":"Train ID","value":"124-25"},{"id":16,"name":"Locomotive ID","value":"4045"},{"id":130,"name":"Impact","value":""},{"id":150,"name":"Time of Event (Mountain Time)","value":"08:10:34"},{"id":151,"name":"Denver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4045 --day 2017-10-25</v>
      </c>
      <c r="AN36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-25T06:14:41-0600',mode:absolute,to:'2017-10-25T09:10:34-0600'))&amp;_a=(columns:!('Message%20ID',Summary),filters:!(),index:'emp_*',interval:auto,query:(query_string:(analyze_wildcard:!t,query:'%22rtdc.l.rtdc.4045%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705</v>
      </c>
      <c r="B37" s="7">
        <v>4030</v>
      </c>
      <c r="C37" s="21" t="s">
        <v>194</v>
      </c>
      <c r="D37" s="21" t="s">
        <v>883</v>
      </c>
      <c r="E37" s="13">
        <v>43033.277199074073</v>
      </c>
      <c r="F37" s="13">
        <v>43033.281493055554</v>
      </c>
      <c r="G37" s="7">
        <v>48</v>
      </c>
      <c r="H37" s="21" t="s">
        <v>546</v>
      </c>
      <c r="I37" s="13">
        <v>43033.306620370371</v>
      </c>
      <c r="J37" s="7">
        <v>0</v>
      </c>
      <c r="K37" s="89" t="str">
        <f>IF(ISEVEN(B37),(B37-1)&amp;"/"&amp;B37,B37&amp;"/"&amp;(B37+1))</f>
        <v>4029/4030</v>
      </c>
      <c r="L37" s="185" t="str">
        <f>VLOOKUP(A37,'Trips&amp;Operators'!$C$1:$G$99911,5,FALSE)</f>
        <v>BONDS REYNALDO</v>
      </c>
      <c r="M37" s="6">
        <f>I37-F37</f>
        <v>2.5127314816927537E-2</v>
      </c>
      <c r="N37" s="7">
        <f>24*60*SUM($M37:$M37)</f>
        <v>36.183333336375654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-25T05:39:10-0600',mode:absolute,to:'2017-10-25T08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4.3299999999999998E-2</v>
      </c>
      <c r="Z37" s="204">
        <f>RIGHT(H37,LEN(H37)-4)/10000</f>
        <v>23.330300000000001</v>
      </c>
      <c r="AA37" s="204">
        <f>ABS(Z37-Y37)</f>
        <v>23.287000000000003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/stypes="app*4030*20171025*"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125-25 --locoid 4030 --swversion DE.1.0.9.0 --startMP 204:433 --initTime 2017-10-25T06:39:10 --startdatetime 2017-10-25T06:45:21 --delay 48 --endMP 204:233303 --enddatetime 2017-10-25T07:21:32 --enforcementcount 0 &gt;&gt;%USERPROFILE%\Documents\GitHub\eaglep3-reporting\EC\2017-10-25-refined-times.txt</v>
      </c>
      <c r="AI37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{"issue":{"subject":"","project_id":79,"tracker_id":40,"status_id":1,"priority_id":2,"assigned_to_id":338,"start_date":"2017-10-25","description":"","custom_fields":[{"id":1,"name":"Subdivision","value":"EC"},{"id":4,"name":"Milepost","value":"23.3303"},{"id":17,"name":"Train ID","value":"125-25"},{"id":16,"name":"Locomotive ID","value":"4030"},{"id":130,"name":"Impact","value":""},{"id":150,"name":"Time of Event (Mountain Time)","value":"07:21:32"},{"id":151,"name":"Denver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4030 --day 2017-10-25</v>
      </c>
      <c r="AN37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-25T05:39:10-0600',mode:absolute,to:'2017-10-25T08:21:32-0600'))&amp;_a=(columns:!('Message%20ID',Summary),filters:!(),index:'emp_*',interval:auto,query:(query_string:(analyze_wildcard:!t,query:'%22rtdc.l.rtdc.4030%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634</v>
      </c>
      <c r="B38" s="7">
        <v>4029</v>
      </c>
      <c r="C38" s="21" t="s">
        <v>194</v>
      </c>
      <c r="D38" s="21" t="s">
        <v>434</v>
      </c>
      <c r="E38" s="13">
        <v>43033.31722222222</v>
      </c>
      <c r="F38" s="13">
        <v>43033.343807870369</v>
      </c>
      <c r="G38" s="7">
        <v>69</v>
      </c>
      <c r="H38" s="21" t="s">
        <v>884</v>
      </c>
      <c r="I38" s="13">
        <v>43033.350370370368</v>
      </c>
      <c r="J38" s="7">
        <v>0</v>
      </c>
      <c r="K38" s="89" t="str">
        <f>IF(ISEVEN(B38),(B38-1)&amp;"/"&amp;B38,B38&amp;"/"&amp;(B38+1))</f>
        <v>4029/4030</v>
      </c>
      <c r="L38" s="185" t="str">
        <f>VLOOKUP(A38,'Trips&amp;Operators'!$C$1:$G$99911,5,FALSE)</f>
        <v>BONDS REYNALDO</v>
      </c>
      <c r="M38" s="6">
        <f>I38-F38</f>
        <v>6.5624999988358468E-3</v>
      </c>
      <c r="N38" s="7"/>
      <c r="O38" s="7"/>
      <c r="P38" s="7">
        <f>24*60*SUM($M38:$M38)</f>
        <v>9.4499999983236194</v>
      </c>
      <c r="Q38" s="22"/>
      <c r="R38" s="174" t="s">
        <v>401</v>
      </c>
      <c r="S38" s="221">
        <f>1/IF(AG38="EC",12,1)*SUM(U38:U39)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9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-25T06:36:48-0600',mode:absolute,to:'2017-10-25T09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8" s="204" t="str">
        <f>IF(AA38&lt;VLOOKUP(AG38,Variables!$AC$3:$AD$8,2,FALSE),"Y","N")</f>
        <v>Y</v>
      </c>
      <c r="X38" s="204">
        <f>VALUE(LEFT(AD38,4))-VALUE(LEFT(AD37,4))</f>
        <v>1</v>
      </c>
      <c r="Y38" s="204">
        <f>RIGHT(D38,LEN(D38)-4)/10000</f>
        <v>23.2986</v>
      </c>
      <c r="Z38" s="204">
        <f>RIGHT(H38,LEN(H38)-4)/10000</f>
        <v>3.8677000000000001</v>
      </c>
      <c r="AA38" s="204">
        <f>ABS(Z38-Y38)</f>
        <v>19.430900000000001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/stypes="app*4029*20171025*"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126-25 --locoid 4029 --swversion DE.1.0.9.0 --startMP 204:232986 --initTime 2017-10-25T07:36:48 --startdatetime 2017-10-25T08:15:05 --delay 69 --endMP 204:38677 --enddatetime 2017-10-25T08:24:32 --enforcementcount 0 &gt;&gt;%USERPROFILE%\Documents\GitHub\eaglep3-reporting\EC\2017-10-25-refined-times.txt</v>
      </c>
      <c r="AI38" s="96" t="str">
        <f t="shared" si="6"/>
        <v>echo {"issue":{"subject":"Wi-MAX data drop","project_id":79,"tracker_id":40,"status_id":1,"priority_id":2,"assigned_to_id":338,"start_date":"2017-10-25","description":"","custom_fields":[{"id":1,"name":"Subdivision","value":"EC"},{"id":4,"name":"Milepost","value":"3.8677"},{"id":17,"name":"Train ID","value":"126-25"},{"id":16,"name":"Locomotive ID","value":"4029"},{"id":130,"name":"Impact","value":""},{"id":150,"name":"Time of Event (Mountain Time)","value":"08:24:32"},{"id":151,"name":"Denver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4029 --day 2017-10-25</v>
      </c>
      <c r="AN38" s="151" t="str">
        <f t="shared" si="8"/>
        <v>echo {"issue":{"subject":"Wi-MAX data drop","project_id":30,"tracker_id":4,"status_id":1,"priority_id":1,"assigned_to_id":10,"start_date":"2017-10-25","description":"","custom_fields":[{"id":30,"name":"Category","value":"Issue"},{"id":3,"name":"Functional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-25T06:36:48-0600',mode:absolute,to:'2017-10-25T09:24:32-0600'))&amp;_a=(columns:!('Message%20ID',Summary),filters:!(),index:'emp_*',interval:auto,query:(query_string:(analyze_wildcard:!t,query:'%22rtdc.l.rtdc.4029%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634</v>
      </c>
      <c r="B39" s="7">
        <v>4029</v>
      </c>
      <c r="C39" s="21" t="s">
        <v>194</v>
      </c>
      <c r="D39" s="21" t="s">
        <v>885</v>
      </c>
      <c r="E39" s="13">
        <v>43033.342685185184</v>
      </c>
      <c r="F39" s="13">
        <v>43033.343807870369</v>
      </c>
      <c r="G39" s="7">
        <v>58</v>
      </c>
      <c r="H39" s="21" t="s">
        <v>335</v>
      </c>
      <c r="I39" s="13">
        <v>43033.350370370368</v>
      </c>
      <c r="J39" s="7">
        <v>0</v>
      </c>
      <c r="K39" s="89" t="str">
        <f>IF(ISEVEN(B39),(B39-1)&amp;"/"&amp;B39,B39&amp;"/"&amp;(B39+1))</f>
        <v>4029/4030</v>
      </c>
      <c r="L39" s="185" t="str">
        <f>VLOOKUP(A39,'Trips&amp;Operators'!$C$1:$G$99911,5,FALSE)</f>
        <v>BONDS REYNALDO</v>
      </c>
      <c r="M39" s="6">
        <f>I39-F39</f>
        <v>6.5624999988358468E-3</v>
      </c>
      <c r="N39" s="7"/>
      <c r="O39" s="7"/>
      <c r="P39" s="7"/>
      <c r="Q39" s="22"/>
      <c r="R39" s="174"/>
      <c r="S39" s="221"/>
      <c r="T39" s="174" t="str">
        <f>IF(ISEVEN(LEFT(AD39,4)),"Southbound","NorthBound")</f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3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-25T07:13:28-0600',mode:absolute,to:'2017-10-25T09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9" s="204" t="str">
        <f>IF(AA39&lt;VLOOKUP(AG39,Variables!$AC$3:$AD$8,2,FALSE),"Y","N")</f>
        <v>Y</v>
      </c>
      <c r="X39" s="204">
        <f>VALUE(LEFT(AD39,4))-VALUE(LEFT(AD38,4))</f>
        <v>0</v>
      </c>
      <c r="Y39" s="204">
        <f>RIGHT(D39,LEN(D39)-4)/10000</f>
        <v>3.6781000000000001</v>
      </c>
      <c r="Z39" s="204">
        <f>RIGHT(H39,LEN(H39)-4)/10000</f>
        <v>1.4999999999999999E-2</v>
      </c>
      <c r="AA39" s="204">
        <f>ABS(Z39-Y39)</f>
        <v>3.6631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126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/stypes="app*4029*20171025*" /stext=" 14:.+((SYSTEM_STATE.+slice.+state.+changed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126-25 --locoid 4029 --swversion DE.1.0.9.0 --startMP 204:36781 --initTime 2017-10-25T08:13:28 --startdatetime 2017-10-25T08:15:05 --delay 58 --endMP 204:150 --enddatetime 2017-10-25T08:24:32 --enforcementcount 0 &gt;&gt;%USERPROFILE%\Documents\GitHub\eaglep3-reporting\EC\2017-10-25-refined-times.txt</v>
      </c>
      <c r="AI39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{"issue":{"subject":"","project_id":79,"tracker_id":40,"status_id":1,"priority_id":2,"assigned_to_id":338,"start_date":"2017-10-25","description":"","custom_fields":[{"id":1,"name":"Subdivision","value":"EC"},{"id":4,"name":"Milepost","value":"0.015"},{"id":17,"name":"Train ID","value":"126-25"},{"id":16,"name":"Locomotive ID","value":"4029"},{"id":130,"name":"Impact","value":""},{"id":150,"name":"Time of Event (Mountain Time)","value":"08:24:32"},{"id":151,"name":"Denver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4029 --day 2017-10-25</v>
      </c>
      <c r="AN39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-25T07:13:28-0600',mode:absolute,to:'2017-10-25T09:24:32-0600'))&amp;_a=(columns:!('Message%20ID',Summary),filters:!(),index:'emp_*',interval:auto,query:(query_string:(analyze_wildcard:!t,query:'%22rtdc.l.rtdc.4029%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706</v>
      </c>
      <c r="B40" s="7">
        <v>4006</v>
      </c>
      <c r="C40" s="21" t="s">
        <v>194</v>
      </c>
      <c r="D40" s="21" t="s">
        <v>353</v>
      </c>
      <c r="E40" s="13">
        <v>43033.287847222222</v>
      </c>
      <c r="F40" s="13">
        <v>43033.291828703703</v>
      </c>
      <c r="G40" s="7">
        <v>78</v>
      </c>
      <c r="H40" s="21" t="s">
        <v>545</v>
      </c>
      <c r="I40" s="13">
        <v>43033.317499999997</v>
      </c>
      <c r="J40" s="7">
        <v>0</v>
      </c>
      <c r="K40" s="89" t="str">
        <f>IF(ISEVEN(B40),(B40-1)&amp;"/"&amp;B40,B40&amp;"/"&amp;(B40+1))</f>
        <v>4005/4006</v>
      </c>
      <c r="L40" s="185" t="str">
        <f>VLOOKUP(A40,'Trips&amp;Operators'!$C$1:$G$99911,5,FALSE)</f>
        <v>YANAI IAN</v>
      </c>
      <c r="M40" s="6">
        <f>I40-F40</f>
        <v>2.5671296294603962E-2</v>
      </c>
      <c r="N40" s="7">
        <f>24*60*SUM($M40:$M40)</f>
        <v>36.966666664229706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-25T05:54:30-0600',mode:absolute,to:'2017-10-25T08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4.58E-2</v>
      </c>
      <c r="Z40" s="204">
        <f>RIGHT(H40,LEN(H40)-4)/10000</f>
        <v>23.331</v>
      </c>
      <c r="AA40" s="204">
        <f>ABS(Z40-Y40)</f>
        <v>23.2852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127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/stypes="app*4006*20171025*" /stext=" 13:.+((SYSTEM_STATE.+slice.+state.+changed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127-25 --locoid 4006 --swversion DE.1.0.9.0 --startMP 204:458 --initTime 2017-10-25T06:54:30 --startdatetime 2017-10-25T07:00:14 --delay 78 --endMP 204:233310 --enddatetime 2017-10-25T07:37:12 --enforcementcount 0 &gt;&gt;%USERPROFILE%\Documents\GitHub\eaglep3-reporting\EC\2017-10-25-refined-times.txt</v>
      </c>
      <c r="AI40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{"issue":{"subject":"","project_id":79,"tracker_id":40,"status_id":1,"priority_id":2,"assigned_to_id":338,"start_date":"2017-10-25","description":"","custom_fields":[{"id":1,"name":"Subdivision","value":"EC"},{"id":4,"name":"Milepost","value":"23.331"},{"id":17,"name":"Train ID","value":"127-25"},{"id":16,"name":"Locomotive ID","value":"4006"},{"id":130,"name":"Impact","value":""},{"id":150,"name":"Time of Event (Mountain Time)","value":"07:37:12"},{"id":151,"name":"Denver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4006 --day 2017-10-25</v>
      </c>
      <c r="AN40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-25T05:54:30-0600',mode:absolute,to:'2017-10-25T08:37:12-0600'))&amp;_a=(columns:!('Message%20ID',Summary),filters:!(),index:'emp_*',interval:auto,query:(query_string:(analyze_wildcard:!t,query:'%22rtdc.l.rtdc.4006%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714</v>
      </c>
      <c r="B41" s="7">
        <v>4005</v>
      </c>
      <c r="C41" s="21" t="s">
        <v>194</v>
      </c>
      <c r="D41" s="21" t="s">
        <v>593</v>
      </c>
      <c r="E41" s="13">
        <v>43033.318518518521</v>
      </c>
      <c r="F41" s="13">
        <v>43033.33152777778</v>
      </c>
      <c r="G41" s="7">
        <v>72</v>
      </c>
      <c r="H41" s="21" t="s">
        <v>548</v>
      </c>
      <c r="I41" s="13">
        <v>43033.357928240737</v>
      </c>
      <c r="J41" s="7">
        <v>0</v>
      </c>
      <c r="K41" s="89" t="str">
        <f>IF(ISEVEN(B41),(B41-1)&amp;"/"&amp;B41,B41&amp;"/"&amp;(B41+1))</f>
        <v>4005/4006</v>
      </c>
      <c r="L41" s="185" t="str">
        <f>VLOOKUP(A41,'Trips&amp;Operators'!$C$1:$G$99911,5,FALSE)</f>
        <v>YANAI IAN</v>
      </c>
      <c r="M41" s="6">
        <f>I41-F41</f>
        <v>2.640046295709908E-2</v>
      </c>
      <c r="N41" s="7">
        <f>24*60*SUM($M41:$M41)</f>
        <v>38.016666658222675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-25T06:38:40-0600',mode:absolute,to:'2017-10-25T09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23.3</v>
      </c>
      <c r="Z41" s="204">
        <f>RIGHT(H41,LEN(H41)-4)/10000</f>
        <v>1.6E-2</v>
      </c>
      <c r="AA41" s="204">
        <f>ABS(Z41-Y41)</f>
        <v>23.284000000000002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128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/stypes="app*4005*20171025*" /stext=" 14:.+((SYSTEM_STATE.+slice.+state.+changed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128-25 --locoid 4005 --swversion DE.1.0.9.0 --startMP 204:233000 --initTime 2017-10-25T07:38:40 --startdatetime 2017-10-25T07:57:24 --delay 72 --endMP 204:160 --enddatetime 2017-10-25T08:35:25 --enforcementcount 0 &gt;&gt;%USERPROFILE%\Documents\GitHub\eaglep3-reporting\EC\2017-10-25-refined-times.txt</v>
      </c>
      <c r="AI41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{"issue":{"subject":"","project_id":79,"tracker_id":40,"status_id":1,"priority_id":2,"assigned_to_id":338,"start_date":"2017-10-25","description":"","custom_fields":[{"id":1,"name":"Subdivision","value":"EC"},{"id":4,"name":"Milepost","value":"0.016"},{"id":17,"name":"Train ID","value":"128-25"},{"id":16,"name":"Locomotive ID","value":"4005"},{"id":130,"name":"Impact","value":""},{"id":150,"name":"Time of Event (Mountain Time)","value":"08:35:25"},{"id":151,"name":"Denver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4005 --day 2017-10-25</v>
      </c>
      <c r="AN41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-25T06:38:40-0600',mode:absolute,to:'2017-10-25T09:35:25-0600'))&amp;_a=(columns:!('Message%20ID',Summary),filters:!(),index:'emp_*',interval:auto,query:(query_string:(analyze_wildcard:!t,query:'%22rtdc.l.rtdc.4005%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709</v>
      </c>
      <c r="B42" s="7">
        <v>4050</v>
      </c>
      <c r="C42" s="21" t="s">
        <v>194</v>
      </c>
      <c r="D42" s="21" t="s">
        <v>391</v>
      </c>
      <c r="E42" s="13">
        <v>43033.30027777778</v>
      </c>
      <c r="F42" s="13">
        <v>43033.30232638889</v>
      </c>
      <c r="G42" s="7">
        <v>50</v>
      </c>
      <c r="H42" s="21" t="s">
        <v>546</v>
      </c>
      <c r="I42" s="13">
        <v>43033.327581018515</v>
      </c>
      <c r="J42" s="7">
        <v>0</v>
      </c>
      <c r="K42" s="89" t="str">
        <f>IF(ISEVEN(B42),(B42-1)&amp;"/"&amp;B42,B42&amp;"/"&amp;(B42+1))</f>
        <v>4049/4050</v>
      </c>
      <c r="L42" s="185" t="str">
        <f>VLOOKUP(A42,'Trips&amp;Operators'!$C$1:$G$99911,5,FALSE)</f>
        <v>THOMPSON LESTER</v>
      </c>
      <c r="M42" s="6">
        <f>I42-F42</f>
        <v>2.5254629625123926E-2</v>
      </c>
      <c r="N42" s="7">
        <f>24*60*SUM($M42:$M42)</f>
        <v>36.366666660178453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-25T06:12:24-0600',mode:absolute,to:'2017-10-25T08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4.4200000000000003E-2</v>
      </c>
      <c r="Z42" s="204">
        <f>RIGHT(H42,LEN(H42)-4)/10000</f>
        <v>23.330300000000001</v>
      </c>
      <c r="AA42" s="204">
        <f>ABS(Z42-Y42)</f>
        <v>23.286100000000001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129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/stypes="app*4050*20171025*" /stext=" 13:.+((SYSTEM_STATE.+slice.+state.+changed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129-25 --locoid 4050 --swversion DE.1.0.9.0 --startMP 204:442 --initTime 2017-10-25T07:12:24 --startdatetime 2017-10-25T07:15:21 --delay 50 --endMP 204:233303 --enddatetime 2017-10-25T07:51:43 --enforcementcount 0 &gt;&gt;%USERPROFILE%\Documents\GitHub\eaglep3-reporting\EC\2017-10-25-refined-times.txt</v>
      </c>
      <c r="AI42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{"issue":{"subject":"","project_id":79,"tracker_id":40,"status_id":1,"priority_id":2,"assigned_to_id":338,"start_date":"2017-10-25","description":"","custom_fields":[{"id":1,"name":"Subdivision","value":"EC"},{"id":4,"name":"Milepost","value":"23.3303"},{"id":17,"name":"Train ID","value":"129-25"},{"id":16,"name":"Locomotive ID","value":"4050"},{"id":130,"name":"Impact","value":""},{"id":150,"name":"Time of Event (Mountain Time)","value":"07:51:43"},{"id":151,"name":"Denver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4050 --day 2017-10-25</v>
      </c>
      <c r="AN42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-25T06:12:24-0600',mode:absolute,to:'2017-10-25T08:51:43-0600'))&amp;_a=(columns:!('Message%20ID',Summary),filters:!(),index:'emp_*',interval:auto,query:(query_string:(analyze_wildcard:!t,query:'%22rtdc.l.rtdc.4050%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718</v>
      </c>
      <c r="B43" s="7">
        <v>4049</v>
      </c>
      <c r="C43" s="21" t="s">
        <v>194</v>
      </c>
      <c r="D43" s="21" t="s">
        <v>886</v>
      </c>
      <c r="E43" s="13">
        <v>43033.339479166665</v>
      </c>
      <c r="F43" s="13">
        <v>43033.341898148145</v>
      </c>
      <c r="G43" s="7">
        <v>59</v>
      </c>
      <c r="H43" s="21" t="s">
        <v>355</v>
      </c>
      <c r="I43" s="13">
        <v>43033.369502314818</v>
      </c>
      <c r="J43" s="7">
        <v>0</v>
      </c>
      <c r="K43" s="89" t="str">
        <f>IF(ISEVEN(B43),(B43-1)&amp;"/"&amp;B43,B43&amp;"/"&amp;(B43+1))</f>
        <v>4049/4050</v>
      </c>
      <c r="L43" s="185" t="str">
        <f>VLOOKUP(A43,'Trips&amp;Operators'!$C$1:$G$99911,5,FALSE)</f>
        <v>THOMPSON LESTER</v>
      </c>
      <c r="M43" s="6">
        <f>I43-F43</f>
        <v>2.7604166672972497E-2</v>
      </c>
      <c r="N43" s="7">
        <f>24*60*SUM($M43:$M43)</f>
        <v>39.750000009080395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-25T07:08:51-0600',mode:absolute,to:'2017-10-25T09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23.296500000000002</v>
      </c>
      <c r="Z43" s="204">
        <f>RIGHT(H43,LEN(H43)-4)/10000</f>
        <v>1.4500000000000001E-2</v>
      </c>
      <c r="AA43" s="204">
        <f>ABS(Z43-Y43)</f>
        <v>23.282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130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/stypes="app*4049*20171025*"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130-25 --locoid 4049 --swversion DE.1.0.9.0 --startMP 204:232965 --initTime 2017-10-25T08:08:51 --startdatetime 2017-10-25T08:12:20 --delay 59 --endMP 204:145 --enddatetime 2017-10-25T08:52:05 --enforcementcount 0 &gt;&gt;%USERPROFILE%\Documents\GitHub\eaglep3-reporting\EC\2017-10-25-refined-times.txt</v>
      </c>
      <c r="AI43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{"issue":{"subject":"","project_id":79,"tracker_id":40,"status_id":1,"priority_id":2,"assigned_to_id":338,"start_date":"2017-10-25","description":"","custom_fields":[{"id":1,"name":"Subdivision","value":"EC"},{"id":4,"name":"Milepost","value":"0.0145"},{"id":17,"name":"Train ID","value":"130-25"},{"id":16,"name":"Locomotive ID","value":"4049"},{"id":130,"name":"Impact","value":""},{"id":150,"name":"Time of Event (Mountain Time)","value":"08:52:05"},{"id":151,"name":"Denver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4049 --day 2017-10-25</v>
      </c>
      <c r="AN43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-25T07:08:51-0600',mode:absolute,to:'2017-10-25T09:52:05-0600'))&amp;_a=(columns:!('Message%20ID',Summary),filters:!(),index:'emp_*',interval:auto,query:(query_string:(analyze_wildcard:!t,query:'%22rtdc.l.rtdc.4049%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710</v>
      </c>
      <c r="B44" s="7">
        <v>4008</v>
      </c>
      <c r="C44" s="21" t="s">
        <v>194</v>
      </c>
      <c r="D44" s="21" t="s">
        <v>344</v>
      </c>
      <c r="E44" s="13">
        <v>43033.307800925926</v>
      </c>
      <c r="F44" s="13">
        <v>43033.312685185185</v>
      </c>
      <c r="G44" s="7">
        <v>56</v>
      </c>
      <c r="H44" s="21" t="s">
        <v>588</v>
      </c>
      <c r="I44" s="13">
        <v>43033.338321759256</v>
      </c>
      <c r="J44" s="7">
        <v>0</v>
      </c>
      <c r="K44" s="89" t="str">
        <f>IF(ISEVEN(B44),(B44-1)&amp;"/"&amp;B44,B44&amp;"/"&amp;(B44+1))</f>
        <v>4007/4008</v>
      </c>
      <c r="L44" s="185" t="str">
        <f>VLOOKUP(A44,'Trips&amp;Operators'!$C$1:$G$99911,5,FALSE)</f>
        <v>FORTUNATO FRANK</v>
      </c>
      <c r="M44" s="6">
        <f>I44-F44</f>
        <v>2.5636574071540963E-2</v>
      </c>
      <c r="N44" s="7">
        <f>24*60*SUM($M44:$M44)</f>
        <v>36.916666663018987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-25T06:23:14-0600',mode:absolute,to:'2017-10-25T09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4.5499999999999999E-2</v>
      </c>
      <c r="Z44" s="204">
        <f>RIGHT(H44,LEN(H44)-4)/10000</f>
        <v>23.330200000000001</v>
      </c>
      <c r="AA44" s="204">
        <f>ABS(Z44-Y44)</f>
        <v>23.284700000000001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/stypes="app*4008*20171025*" /stext=" 14:.+((SYSTEM_STATE.+slice.+state.+changed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131-25 --locoid 4008 --swversion DE.1.0.9.0 --startMP 204:455 --initTime 2017-10-25T07:23:14 --startdatetime 2017-10-25T07:30:16 --delay 56 --endMP 204:233302 --enddatetime 2017-10-25T08:07:11 --enforcementcount 0 &gt;&gt;%USERPROFILE%\Documents\GitHub\eaglep3-reporting\EC\2017-10-25-refined-times.txt</v>
      </c>
      <c r="AI44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{"issue":{"subject":"","project_id":79,"tracker_id":40,"status_id":1,"priority_id":2,"assigned_to_id":338,"start_date":"2017-10-25","description":"","custom_fields":[{"id":1,"name":"Subdivision","value":"EC"},{"id":4,"name":"Milepost","value":"23.3302"},{"id":17,"name":"Train ID","value":"131-25"},{"id":16,"name":"Locomotive ID","value":"4008"},{"id":130,"name":"Impact","value":""},{"id":150,"name":"Time of Event (Mountain Time)","value":"08:07:11"},{"id":151,"name":"Denver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4008 --day 2017-10-25</v>
      </c>
      <c r="AN44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-25T06:23:14-0600',mode:absolute,to:'2017-10-25T09:07:11-0600'))&amp;_a=(columns:!('Message%20ID',Summary),filters:!(),index:'emp_*',interval:auto,query:(query_string:(analyze_wildcard:!t,query:'%22rtdc.l.rtdc.4008%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636</v>
      </c>
      <c r="B45" s="7">
        <v>4007</v>
      </c>
      <c r="C45" s="21" t="s">
        <v>194</v>
      </c>
      <c r="D45" s="21" t="s">
        <v>524</v>
      </c>
      <c r="E45" s="13">
        <v>43033.339629629627</v>
      </c>
      <c r="F45" s="13">
        <v>43033.352268518516</v>
      </c>
      <c r="G45" s="7">
        <v>57</v>
      </c>
      <c r="H45" s="21" t="s">
        <v>397</v>
      </c>
      <c r="I45" s="13">
        <v>43033.379895833335</v>
      </c>
      <c r="J45" s="7">
        <v>0</v>
      </c>
      <c r="K45" s="89" t="str">
        <f>IF(ISEVEN(B45),(B45-1)&amp;"/"&amp;B45,B45&amp;"/"&amp;(B45+1))</f>
        <v>4007/4008</v>
      </c>
      <c r="L45" s="185" t="str">
        <f>VLOOKUP(A45,'Trips&amp;Operators'!$C$1:$G$99911,5,FALSE)</f>
        <v>FORTUNATO FRANK</v>
      </c>
      <c r="M45" s="6">
        <f>I45-F45</f>
        <v>2.7627314819255844E-2</v>
      </c>
      <c r="N45" s="7">
        <f>24*60*SUM($M45:$M45)</f>
        <v>39.783333339728415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-25T07:09:04-0600',mode:absolute,to:'2017-10-25T10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23.300599999999999</v>
      </c>
      <c r="Z45" s="204">
        <f>RIGHT(H45,LEN(H45)-4)/10000</f>
        <v>1.38E-2</v>
      </c>
      <c r="AA45" s="204">
        <f>ABS(Z45-Y45)</f>
        <v>23.286799999999999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/stypes="app*4007*20171025*" /stext=" 15:.+((SYSTEM_STATE.+slice.+state.+changed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132-25 --locoid 4007 --swversion DE.1.0.9.0 --startMP 204:233006 --initTime 2017-10-25T08:09:04 --startdatetime 2017-10-25T08:27:16 --delay 57 --endMP 204:138 --enddatetime 2017-10-25T09:07:03 --enforcementcount 0 &gt;&gt;%USERPROFILE%\Documents\GitHub\eaglep3-reporting\EC\2017-10-25-refined-times.txt</v>
      </c>
      <c r="AI45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{"issue":{"subject":"","project_id":79,"tracker_id":40,"status_id":1,"priority_id":2,"assigned_to_id":338,"start_date":"2017-10-25","description":"","custom_fields":[{"id":1,"name":"Subdivision","value":"EC"},{"id":4,"name":"Milepost","value":"0.0138"},{"id":17,"name":"Train ID","value":"132-25"},{"id":16,"name":"Locomotive ID","value":"4007"},{"id":130,"name":"Impact","value":""},{"id":150,"name":"Time of Event (Mountain Time)","value":"09:07:03"},{"id":151,"name":"Denver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4007 --day 2017-10-25</v>
      </c>
      <c r="AN45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-25T07:09:04-0600',mode:absolute,to:'2017-10-25T10:07:03-0600'))&amp;_a=(columns:!('Message%20ID',Summary),filters:!(),index:'emp_*',interval:auto,query:(query_string:(analyze_wildcard:!t,query:'%22rtdc.l.rtdc.4007%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713</v>
      </c>
      <c r="B46" s="7">
        <v>4018</v>
      </c>
      <c r="C46" s="21" t="s">
        <v>194</v>
      </c>
      <c r="D46" s="21" t="s">
        <v>365</v>
      </c>
      <c r="E46" s="13">
        <v>43033.31763888889</v>
      </c>
      <c r="F46" s="13">
        <v>43033.323449074072</v>
      </c>
      <c r="G46" s="7">
        <v>192</v>
      </c>
      <c r="H46" s="21" t="s">
        <v>433</v>
      </c>
      <c r="I46" s="13">
        <v>43033.346967592595</v>
      </c>
      <c r="J46" s="7">
        <v>0</v>
      </c>
      <c r="K46" s="89" t="str">
        <f>IF(ISEVEN(B46),(B46-1)&amp;"/"&amp;B46,B46&amp;"/"&amp;(B46+1))</f>
        <v>4017/4018</v>
      </c>
      <c r="L46" s="185" t="str">
        <f>VLOOKUP(A46,'Trips&amp;Operators'!$C$1:$G$99911,5,FALSE)</f>
        <v>YORK EDGAR</v>
      </c>
      <c r="M46" s="6">
        <f>I46-F46</f>
        <v>2.3518518522905651E-2</v>
      </c>
      <c r="N46" s="7">
        <f>24*60*SUM($M46:$M46)</f>
        <v>33.866666672984138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-25T06:37:24-0600',mode:absolute,to:'2017-10-25T09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4.7100000000000003E-2</v>
      </c>
      <c r="Z46" s="204">
        <f>RIGHT(H46,LEN(H46)-4)/10000</f>
        <v>23.3309</v>
      </c>
      <c r="AA46" s="204">
        <f>ABS(Z46-Y46)</f>
        <v>23.283799999999999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/stypes="app*4018*20171025*" /stext=" 14:.+((SYSTEM_STATE.+slice.+state.+changed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133-25 --locoid 4018 --swversion DE.1.0.9.0 --startMP 204:471 --initTime 2017-10-25T07:37:24 --startdatetime 2017-10-25T07:45:46 --delay 192 --endMP 204:233309 --enddatetime 2017-10-25T08:19:38 --enforcementcount 0 &gt;&gt;%USERPROFILE%\Documents\GitHub\eaglep3-reporting\EC\2017-10-25-refined-times.txt</v>
      </c>
      <c r="AI46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{"issue":{"subject":"","project_id":79,"tracker_id":40,"status_id":1,"priority_id":2,"assigned_to_id":338,"start_date":"2017-10-25","description":"","custom_fields":[{"id":1,"name":"Subdivision","value":"EC"},{"id":4,"name":"Milepost","value":"23.3309"},{"id":17,"name":"Train ID","value":"133-25"},{"id":16,"name":"Locomotive ID","value":"4018"},{"id":130,"name":"Impact","value":""},{"id":150,"name":"Time of Event (Mountain Time)","value":"08:19:38"},{"id":151,"name":"Denver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4018 --day 2017-10-25</v>
      </c>
      <c r="AN46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-25T06:37:24-0600',mode:absolute,to:'2017-10-25T09:19:38-0600'))&amp;_a=(columns:!('Message%20ID',Summary),filters:!(),index:'emp_*',interval:auto,query:(query_string:(analyze_wildcard:!t,query:'%22rtdc.l.rtdc.4018%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719</v>
      </c>
      <c r="B47" s="7">
        <v>4017</v>
      </c>
      <c r="C47" s="21" t="s">
        <v>194</v>
      </c>
      <c r="D47" s="21" t="s">
        <v>887</v>
      </c>
      <c r="E47" s="13">
        <v>43033.34778935185</v>
      </c>
      <c r="F47" s="13">
        <v>43033.363506944443</v>
      </c>
      <c r="G47" s="7">
        <v>62</v>
      </c>
      <c r="H47" s="21" t="s">
        <v>339</v>
      </c>
      <c r="I47" s="13">
        <v>43033.39025462963</v>
      </c>
      <c r="J47" s="7">
        <v>0</v>
      </c>
      <c r="K47" s="89" t="str">
        <f>IF(ISEVEN(B47),(B47-1)&amp;"/"&amp;B47,B47&amp;"/"&amp;(B47+1))</f>
        <v>4017/4018</v>
      </c>
      <c r="L47" s="185" t="str">
        <f>VLOOKUP(A47,'Trips&amp;Operators'!$C$1:$G$99911,5,FALSE)</f>
        <v>YORK EDGAR</v>
      </c>
      <c r="M47" s="6">
        <f>I47-F47</f>
        <v>2.6747685187729076E-2</v>
      </c>
      <c r="N47" s="7">
        <f>24*60*SUM($M47:$M47)</f>
        <v>38.516666670329869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-25T07:20:49-0600',mode:absolute,to:'2017-10-25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23.300699999999999</v>
      </c>
      <c r="Z47" s="204">
        <f>RIGHT(H47,LEN(H47)-4)/10000</f>
        <v>1.47E-2</v>
      </c>
      <c r="AA47" s="204">
        <f>ABS(Z47-Y47)</f>
        <v>23.285999999999998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/stypes="app*4017*20171025*" /stext=" 15:.+((SYSTEM_STATE.+slice.+state.+changed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134-25 --locoid 4017 --swversion DE.1.0.9.0 --startMP 204:233007 --initTime 2017-10-25T08:20:49 --startdatetime 2017-10-25T08:43:27 --delay 62 --endMP 204:147 --enddatetime 2017-10-25T09:21:58 --enforcementcount 0 &gt;&gt;%USERPROFILE%\Documents\GitHub\eaglep3-reporting\EC\2017-10-25-refined-times.txt</v>
      </c>
      <c r="AI47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{"issue":{"subject":"","project_id":79,"tracker_id":40,"status_id":1,"priority_id":2,"assigned_to_id":338,"start_date":"2017-10-25","description":"","custom_fields":[{"id":1,"name":"Subdivision","value":"EC"},{"id":4,"name":"Milepost","value":"0.0147"},{"id":17,"name":"Train ID","value":"134-25"},{"id":16,"name":"Locomotive ID","value":"4017"},{"id":130,"name":"Impact","value":""},{"id":150,"name":"Time of Event (Mountain Time)","value":"09:21:58"},{"id":151,"name":"Denver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4017 --day 2017-10-25</v>
      </c>
      <c r="AN47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-25T07:20:49-0600',mode:absolute,to:'2017-10-25T10:21:58-0600'))&amp;_a=(columns:!('Message%20ID',Summary),filters:!(),index:'emp_*',interval:auto,query:(query_string:(analyze_wildcard:!t,query:'%22rtdc.l.rtdc.4017%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715</v>
      </c>
      <c r="B48" s="7">
        <v>4036</v>
      </c>
      <c r="C48" s="21" t="s">
        <v>194</v>
      </c>
      <c r="D48" s="21" t="s">
        <v>505</v>
      </c>
      <c r="E48" s="13">
        <v>43033.331192129626</v>
      </c>
      <c r="F48" s="13">
        <v>43033.333518518521</v>
      </c>
      <c r="G48" s="7">
        <v>62</v>
      </c>
      <c r="H48" s="21" t="s">
        <v>520</v>
      </c>
      <c r="I48" s="13">
        <v>43033.358217592591</v>
      </c>
      <c r="J48" s="7">
        <v>0</v>
      </c>
      <c r="K48" s="89" t="str">
        <f>IF(ISEVEN(B48),(B48-1)&amp;"/"&amp;B48,B48&amp;"/"&amp;(B48+1))</f>
        <v>4035/4036</v>
      </c>
      <c r="L48" s="185" t="str">
        <f>VLOOKUP(A48,'Trips&amp;Operators'!$C$1:$G$99911,5,FALSE)</f>
        <v>PAGE MARCUS</v>
      </c>
      <c r="M48" s="6">
        <f>I48-F48</f>
        <v>2.4699074070667848E-2</v>
      </c>
      <c r="N48" s="7">
        <f>24*60*SUM($M48:$M48)</f>
        <v>35.566666661761701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-25T06:56:55-0600',mode:absolute,to:'2017-10-25T09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4.4900000000000002E-2</v>
      </c>
      <c r="Z48" s="204">
        <f>RIGHT(H48,LEN(H48)-4)/10000</f>
        <v>23.3325</v>
      </c>
      <c r="AA48" s="204">
        <f>ABS(Z48-Y48)</f>
        <v>23.287600000000001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/stypes="app*4036*20171025*" /stext=" 14:.+((SYSTEM_STATE.+slice.+state.+changed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135-25 --locoid 4036 --swversion DE.1.0.9.0 --startMP 204:449 --initTime 2017-10-25T07:56:55 --startdatetime 2017-10-25T08:00:16 --delay 62 --endMP 204:233325 --enddatetime 2017-10-25T08:35:50 --enforcementcount 0 &gt;&gt;%USERPROFILE%\Documents\GitHub\eaglep3-reporting\EC\2017-10-25-refined-times.txt</v>
      </c>
      <c r="AI48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{"issue":{"subject":"","project_id":79,"tracker_id":40,"status_id":1,"priority_id":2,"assigned_to_id":338,"start_date":"2017-10-25","description":"","custom_fields":[{"id":1,"name":"Subdivision","value":"EC"},{"id":4,"name":"Milepost","value":"23.3325"},{"id":17,"name":"Train ID","value":"135-25"},{"id":16,"name":"Locomotive ID","value":"4036"},{"id":130,"name":"Impact","value":""},{"id":150,"name":"Time of Event (Mountain Time)","value":"08:35:50"},{"id":151,"name":"Denver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4036 --day 2017-10-25</v>
      </c>
      <c r="AN48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-25T06:56:55-0600',mode:absolute,to:'2017-10-25T09:35:50-0600'))&amp;_a=(columns:!('Message%20ID',Summary),filters:!(),index:'emp_*',interval:auto,query:(query_string:(analyze_wildcard:!t,query:'%22rtdc.l.rtdc.4036%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725</v>
      </c>
      <c r="B49" s="7">
        <v>4035</v>
      </c>
      <c r="C49" s="21" t="s">
        <v>194</v>
      </c>
      <c r="D49" s="21" t="s">
        <v>522</v>
      </c>
      <c r="E49" s="13">
        <v>43033.368460648147</v>
      </c>
      <c r="F49" s="13">
        <v>43033.373113425929</v>
      </c>
      <c r="G49" s="7">
        <v>70</v>
      </c>
      <c r="H49" s="21" t="s">
        <v>397</v>
      </c>
      <c r="I49" s="13">
        <v>43033.399814814817</v>
      </c>
      <c r="J49" s="7">
        <v>0</v>
      </c>
      <c r="K49" s="89" t="str">
        <f>IF(ISEVEN(B49),(B49-1)&amp;"/"&amp;B49,B49&amp;"/"&amp;(B49+1))</f>
        <v>4035/4036</v>
      </c>
      <c r="L49" s="185" t="str">
        <f>VLOOKUP(A49,'Trips&amp;Operators'!$C$1:$G$99911,5,FALSE)</f>
        <v>PAGE MARCUS</v>
      </c>
      <c r="M49" s="6">
        <f>I49-F49</f>
        <v>2.6701388887886424E-2</v>
      </c>
      <c r="N49" s="7">
        <f>24*60*SUM($M49:$M49)</f>
        <v>38.44999999855645</v>
      </c>
      <c r="O49" s="7"/>
      <c r="P49" s="7"/>
      <c r="Q49" s="22"/>
      <c r="R49" s="174" t="s">
        <v>1111</v>
      </c>
      <c r="S49" s="221">
        <f>1/IF(AG49="EC",12,1)*SUM(U49:U49)</f>
        <v>1</v>
      </c>
      <c r="T49" s="174" t="str">
        <f>IF(ISEVEN(LEFT(AD49,4)),"Southbound","NorthBound")</f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-25T07:50:35-0600',mode:absolute,to:'2017-10-25T10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23.3004</v>
      </c>
      <c r="Z49" s="204">
        <f>RIGHT(H49,LEN(H49)-4)/10000</f>
        <v>1.38E-2</v>
      </c>
      <c r="AA49" s="204">
        <f>ABS(Z49-Y49)</f>
        <v>23.2866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/stypes="app*4035*20171025*"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136-25 --locoid 4035 --swversion DE.1.0.9.0 --startMP 204:233004 --initTime 2017-10-25T08:50:35 --startdatetime 2017-10-25T08:57:17 --delay 70 --endMP 204:138 --enddatetime 2017-10-25T09:35:44 --enforcementcount 0 &gt;&gt;%USERPROFILE%\Documents\GitHub\eaglep3-reporting\EC\2017-10-25-refined-times.txt</v>
      </c>
      <c r="AI49" s="96" t="str">
        <f t="shared" si="6"/>
        <v>echo {"issue":{"subject":"Unhealthy crossing banner for Chambers after station stop at 40th","project_id":79,"tracker_id":40,"status_id":1,"priority_id":2,"assigned_to_id":338,"start_date":"2017-10-25","description":"","custom_fields":[{"id":1,"name":"Subdivision","value":"EC"},{"id":4,"name":"Milepost","value":"0.0138"},{"id":17,"name":"Train ID","value":"136-25"},{"id":16,"name":"Locomotive ID","value":"4035"},{"id":130,"name":"Impact","value":""},{"id":150,"name":"Time of Event (Mountain Time)","value":"09:35:44"},{"id":151,"name":"Denver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4035 --day 2017-10-25</v>
      </c>
      <c r="AN49" s="151" t="str">
        <f t="shared" si="8"/>
        <v>echo {"issue":{"subject":"Unhealthy crossing banner for Chambers after station stop at 40th","project_id":30,"tracker_id":4,"status_id":1,"priority_id":1,"assigned_to_id":10,"start_date":"2017-10-25","description":"","custom_fields":[{"id":30,"name":"Category","value":"Issue"},{"id":3,"name":"Functional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-25T07:50:35-0600',mode:absolute,to:'2017-10-25T10:35:44-0600'))&amp;_a=(columns:!('Message%20ID',Summary),filters:!(),index:'emp_*',interval:auto,query:(query_string:(analyze_wildcard:!t,query:'%22rtdc.l.rtdc.4035%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635</v>
      </c>
      <c r="B50" s="7">
        <v>4046</v>
      </c>
      <c r="C50" s="21" t="s">
        <v>194</v>
      </c>
      <c r="D50" s="21" t="s">
        <v>888</v>
      </c>
      <c r="E50" s="13">
        <v>43033.341874999998</v>
      </c>
      <c r="F50" s="13">
        <v>43033.344756944447</v>
      </c>
      <c r="G50" s="7">
        <v>66</v>
      </c>
      <c r="H50" s="21" t="s">
        <v>403</v>
      </c>
      <c r="I50" s="13">
        <v>43033.370567129627</v>
      </c>
      <c r="J50" s="7">
        <v>0</v>
      </c>
      <c r="K50" s="89" t="str">
        <f>IF(ISEVEN(B50),(B50-1)&amp;"/"&amp;B50,B50&amp;"/"&amp;(B50+1))</f>
        <v>4045/4046</v>
      </c>
      <c r="L50" s="185" t="str">
        <f>VLOOKUP(A50,'Trips&amp;Operators'!$C$1:$G$99911,5,FALSE)</f>
        <v>STRICKLAND EVAN</v>
      </c>
      <c r="M50" s="6">
        <f>I50-F50</f>
        <v>2.5810185179580003E-2</v>
      </c>
      <c r="N50" s="7">
        <f>24*60*SUM($M50:$M50)</f>
        <v>37.166666658595204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-25T07:12:18-0600',mode:absolute,to:'2017-10-25T09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4.9299999999999997E-2</v>
      </c>
      <c r="Z50" s="204">
        <f>RIGHT(H50,LEN(H50)-4)/10000</f>
        <v>23.329699999999999</v>
      </c>
      <c r="AA50" s="204">
        <f>ABS(Z50-Y50)</f>
        <v>23.2804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/stypes="app*4046*20171025*" /stext=" 14:.+((SYSTEM_STATE.+slice.+state.+changed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137-25 --locoid 4046 --swversion DE.1.0.9.0 --startMP 204:493 --initTime 2017-10-25T08:12:18 --startdatetime 2017-10-25T08:16:27 --delay 66 --endMP 204:233297 --enddatetime 2017-10-25T08:53:37 --enforcementcount 0 &gt;&gt;%USERPROFILE%\Documents\GitHub\eaglep3-reporting\EC\2017-10-25-refined-times.txt</v>
      </c>
      <c r="AI50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{"issue":{"subject":"","project_id":79,"tracker_id":40,"status_id":1,"priority_id":2,"assigned_to_id":338,"start_date":"2017-10-25","description":"","custom_fields":[{"id":1,"name":"Subdivision","value":"EC"},{"id":4,"name":"Milepost","value":"23.3297"},{"id":17,"name":"Train ID","value":"137-25"},{"id":16,"name":"Locomotive ID","value":"4046"},{"id":130,"name":"Impact","value":""},{"id":150,"name":"Time of Event (Mountain Time)","value":"08:53:37"},{"id":151,"name":"Denver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4046 --day 2017-10-25</v>
      </c>
      <c r="AN50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-25T07:12:18-0600',mode:absolute,to:'2017-10-25T09:53:37-0600'))&amp;_a=(columns:!('Message%20ID',Summary),filters:!(),index:'emp_*',interval:auto,query:(query_string:(analyze_wildcard:!t,query:'%22rtdc.l.rtdc.4046%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726</v>
      </c>
      <c r="B51" s="7">
        <v>4045</v>
      </c>
      <c r="C51" s="21" t="s">
        <v>194</v>
      </c>
      <c r="D51" s="21" t="s">
        <v>581</v>
      </c>
      <c r="E51" s="13">
        <v>43033.372245370374</v>
      </c>
      <c r="F51" s="13">
        <v>43033.383750000001</v>
      </c>
      <c r="G51" s="7">
        <v>70</v>
      </c>
      <c r="H51" s="21" t="s">
        <v>336</v>
      </c>
      <c r="I51" s="13">
        <v>43033.411365740743</v>
      </c>
      <c r="J51" s="7">
        <v>0</v>
      </c>
      <c r="K51" s="89" t="str">
        <f>IF(ISEVEN(B51),(B51-1)&amp;"/"&amp;B51,B51&amp;"/"&amp;(B51+1))</f>
        <v>4045/4046</v>
      </c>
      <c r="L51" s="185" t="str">
        <f>VLOOKUP(A51,'Trips&amp;Operators'!$C$1:$G$99911,5,FALSE)</f>
        <v>STRICKLAND EVAN</v>
      </c>
      <c r="M51" s="6">
        <f>I51-F51</f>
        <v>2.7615740742476191E-2</v>
      </c>
      <c r="N51" s="7">
        <f>24*60*SUM($M51:$M51)</f>
        <v>39.766666669165716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-25T07:56:02-0600',mode:absolute,to:'2017-10-25T10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23.299199999999999</v>
      </c>
      <c r="Z51" s="204">
        <f>RIGHT(H51,LEN(H51)-4)/10000</f>
        <v>1.49E-2</v>
      </c>
      <c r="AA51" s="204">
        <f>ABS(Z51-Y51)</f>
        <v>23.284299999999998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/stypes="app*4045*20171025*"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138-25 --locoid 4045 --swversion DE.1.0.9.0 --startMP 204:232992 --initTime 2017-10-25T08:56:02 --startdatetime 2017-10-25T09:12:36 --delay 70 --endMP 204:149 --enddatetime 2017-10-25T09:52:22 --enforcementcount 0 &gt;&gt;%USERPROFILE%\Documents\GitHub\eaglep3-reporting\EC\2017-10-25-refined-times.txt</v>
      </c>
      <c r="AI51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{"issue":{"subject":"","project_id":79,"tracker_id":40,"status_id":1,"priority_id":2,"assigned_to_id":338,"start_date":"2017-10-25","description":"","custom_fields":[{"id":1,"name":"Subdivision","value":"EC"},{"id":4,"name":"Milepost","value":"0.0149"},{"id":17,"name":"Train ID","value":"138-25"},{"id":16,"name":"Locomotive ID","value":"4045"},{"id":130,"name":"Impact","value":""},{"id":150,"name":"Time of Event (Mountain Time)","value":"09:52:22"},{"id":151,"name":"Denver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4045 --day 2017-10-25</v>
      </c>
      <c r="AN51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-25T07:56:02-0600',mode:absolute,to:'2017-10-25T10:52:22-0600'))&amp;_a=(columns:!('Message%20ID',Summary),filters:!(),index:'emp_*',interval:auto,query:(query_string:(analyze_wildcard:!t,query:'%22rtdc.l.rtdc.4045%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638</v>
      </c>
      <c r="B52" s="7">
        <v>4030</v>
      </c>
      <c r="C52" s="21" t="s">
        <v>194</v>
      </c>
      <c r="D52" s="21" t="s">
        <v>591</v>
      </c>
      <c r="E52" s="13">
        <v>43033.351793981485</v>
      </c>
      <c r="F52" s="13">
        <v>43033.354895833334</v>
      </c>
      <c r="G52" s="7">
        <v>53</v>
      </c>
      <c r="H52" s="21" t="s">
        <v>889</v>
      </c>
      <c r="I52" s="13">
        <v>43033.38008101852</v>
      </c>
      <c r="J52" s="7">
        <v>0</v>
      </c>
      <c r="K52" s="89" t="str">
        <f>IF(ISEVEN(B52),(B52-1)&amp;"/"&amp;B52,B52&amp;"/"&amp;(B52+1))</f>
        <v>4029/4030</v>
      </c>
      <c r="L52" s="185" t="str">
        <f>VLOOKUP(A52,'Trips&amp;Operators'!$C$1:$G$99911,5,FALSE)</f>
        <v>BONDS REYNALDO</v>
      </c>
      <c r="M52" s="6">
        <f>I52-F52</f>
        <v>2.5185185186273884E-2</v>
      </c>
      <c r="N52" s="7">
        <f>24*60*SUM($M52:$M52)</f>
        <v>36.266666668234393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-25T07:26:35-0600',mode:absolute,to:'2017-10-25T10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4.4400000000000002E-2</v>
      </c>
      <c r="Z52" s="204">
        <f>RIGHT(H52,LEN(H52)-4)/10000</f>
        <v>23.334</v>
      </c>
      <c r="AA52" s="204">
        <f>ABS(Z52-Y52)</f>
        <v>23.2896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/stypes="app*4030*20171025*" /stext=" 15:.+((SYSTEM_STATE.+slice.+state.+changed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139-25 --locoid 4030 --swversion DE.1.0.9.0 --startMP 204:444 --initTime 2017-10-25T08:26:35 --startdatetime 2017-10-25T08:31:03 --delay 53 --endMP 204:233340 --enddatetime 2017-10-25T09:07:19 --enforcementcount 0 &gt;&gt;%USERPROFILE%\Documents\GitHub\eaglep3-reporting\EC\2017-10-25-refined-times.txt</v>
      </c>
      <c r="AI52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{"issue":{"subject":"","project_id":79,"tracker_id":40,"status_id":1,"priority_id":2,"assigned_to_id":338,"start_date":"2017-10-25","description":"","custom_fields":[{"id":1,"name":"Subdivision","value":"EC"},{"id":4,"name":"Milepost","value":"23.334"},{"id":17,"name":"Train ID","value":"139-25"},{"id":16,"name":"Locomotive ID","value":"4030"},{"id":130,"name":"Impact","value":""},{"id":150,"name":"Time of Event (Mountain Time)","value":"09:07:19"},{"id":151,"name":"Denver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4030 --day 2017-10-25</v>
      </c>
      <c r="AN52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-25T07:26:35-0600',mode:absolute,to:'2017-10-25T10:07:19-0600'))&amp;_a=(columns:!('Message%20ID',Summary),filters:!(),index:'emp_*',interval:auto,query:(query_string:(analyze_wildcard:!t,query:'%22rtdc.l.rtdc.4030%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729</v>
      </c>
      <c r="B53" s="7">
        <v>4029</v>
      </c>
      <c r="C53" s="21" t="s">
        <v>194</v>
      </c>
      <c r="D53" s="21" t="s">
        <v>890</v>
      </c>
      <c r="E53" s="13">
        <v>43033.389733796299</v>
      </c>
      <c r="F53" s="13">
        <v>43033.39398148148</v>
      </c>
      <c r="G53" s="7">
        <v>68</v>
      </c>
      <c r="H53" s="21" t="s">
        <v>364</v>
      </c>
      <c r="I53" s="13">
        <v>43033.421979166669</v>
      </c>
      <c r="J53" s="7">
        <v>0</v>
      </c>
      <c r="K53" s="89" t="str">
        <f>IF(ISEVEN(B53),(B53-1)&amp;"/"&amp;B53,B53&amp;"/"&amp;(B53+1))</f>
        <v>4029/4030</v>
      </c>
      <c r="L53" s="185" t="str">
        <f>VLOOKUP(A53,'Trips&amp;Operators'!$C$1:$G$99911,5,FALSE)</f>
        <v>BONDS REYNALDO</v>
      </c>
      <c r="M53" s="6">
        <f>I53-F53</f>
        <v>2.7997685188893229E-2</v>
      </c>
      <c r="N53" s="7">
        <f>24*60*SUM($M53:$M53)</f>
        <v>40.316666672006249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-25T08:21:13-0600',mode:absolute,to:'2017-10-25T11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23.300999999999998</v>
      </c>
      <c r="Z53" s="204">
        <f>RIGHT(H53,LEN(H53)-4)/10000</f>
        <v>1.3899999999999999E-2</v>
      </c>
      <c r="AA53" s="204">
        <f>ABS(Z53-Y53)</f>
        <v>23.287099999999999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/stypes="app*4029*20171025*"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140-25 --locoid 4029 --swversion DE.1.0.9.0 --startMP 204:233010 --initTime 2017-10-25T09:21:13 --startdatetime 2017-10-25T09:27:20 --delay 68 --endMP 204:139 --enddatetime 2017-10-25T10:07:39 --enforcementcount 0 &gt;&gt;%USERPROFILE%\Documents\GitHub\eaglep3-reporting\EC\2017-10-25-refined-times.txt</v>
      </c>
      <c r="AI53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{"issue":{"subject":"","project_id":79,"tracker_id":40,"status_id":1,"priority_id":2,"assigned_to_id":338,"start_date":"2017-10-25","description":"","custom_fields":[{"id":1,"name":"Subdivision","value":"EC"},{"id":4,"name":"Milepost","value":"0.0139"},{"id":17,"name":"Train ID","value":"140-25"},{"id":16,"name":"Locomotive ID","value":"4029"},{"id":130,"name":"Impact","value":""},{"id":150,"name":"Time of Event (Mountain Time)","value":"10:07:39"},{"id":151,"name":"Denver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4029 --day 2017-10-25</v>
      </c>
      <c r="AN53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-25T08:21:13-0600',mode:absolute,to:'2017-10-25T11:07:39-0600'))&amp;_a=(columns:!('Message%20ID',Summary),filters:!(),index:'emp_*',interval:auto,query:(query_string:(analyze_wildcard:!t,query:'%22rtdc.l.rtdc.4029%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724</v>
      </c>
      <c r="B54" s="7">
        <v>4006</v>
      </c>
      <c r="C54" s="21" t="s">
        <v>194</v>
      </c>
      <c r="D54" s="21" t="s">
        <v>338</v>
      </c>
      <c r="E54" s="13">
        <v>43033.359502314815</v>
      </c>
      <c r="F54" s="13">
        <v>43033.364814814813</v>
      </c>
      <c r="G54" s="7">
        <v>68</v>
      </c>
      <c r="H54" s="21" t="s">
        <v>891</v>
      </c>
      <c r="I54" s="13">
        <v>43033.389189814814</v>
      </c>
      <c r="J54" s="7">
        <v>0</v>
      </c>
      <c r="K54" s="89" t="str">
        <f>IF(ISEVEN(B54),(B54-1)&amp;"/"&amp;B54,B54&amp;"/"&amp;(B54+1))</f>
        <v>4005/4006</v>
      </c>
      <c r="L54" s="185" t="str">
        <f>VLOOKUP(A54,'Trips&amp;Operators'!$C$1:$G$99911,5,FALSE)</f>
        <v>YANAI IAN</v>
      </c>
      <c r="M54" s="6">
        <f>I54-F54</f>
        <v>2.4375000000873115E-2</v>
      </c>
      <c r="N54" s="7">
        <f>24*60*SUM($M54:$M54)</f>
        <v>35.100000001257285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-25T07:37:41-0600',mode:absolute,to:'2017-10-25T10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4.53E-2</v>
      </c>
      <c r="Z54" s="204">
        <f>RIGHT(H54,LEN(H54)-4)/10000</f>
        <v>23.330500000000001</v>
      </c>
      <c r="AA54" s="204">
        <f>ABS(Z54-Y54)</f>
        <v>23.2852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/stypes="app*4006*20171025*" /stext=" 15:.+((SYSTEM_STATE.+slice.+state.+changed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141-25 --locoid 4006 --swversion DE.1.0.9.0 --startMP 204:453 --initTime 2017-10-25T08:37:41 --startdatetime 2017-10-25T08:45:20 --delay 68 --endMP 204:233305 --enddatetime 2017-10-25T09:20:26 --enforcementcount 0 &gt;&gt;%USERPROFILE%\Documents\GitHub\eaglep3-reporting\EC\2017-10-25-refined-times.txt</v>
      </c>
      <c r="AI54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{"issue":{"subject":"","project_id":79,"tracker_id":40,"status_id":1,"priority_id":2,"assigned_to_id":338,"start_date":"2017-10-25","description":"","custom_fields":[{"id":1,"name":"Subdivision","value":"EC"},{"id":4,"name":"Milepost","value":"23.3305"},{"id":17,"name":"Train ID","value":"141-25"},{"id":16,"name":"Locomotive ID","value":"4006"},{"id":130,"name":"Impact","value":""},{"id":150,"name":"Time of Event (Mountain Time)","value":"09:20:26"},{"id":151,"name":"Denver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4006 --day 2017-10-25</v>
      </c>
      <c r="AN54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-25T07:37:41-0600',mode:absolute,to:'2017-10-25T10:20:26-0600'))&amp;_a=(columns:!('Message%20ID',Summary),filters:!(),index:'emp_*',interval:auto,query:(query_string:(analyze_wildcard:!t,query:'%22rtdc.l.rtdc.4006%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731</v>
      </c>
      <c r="B55" s="7">
        <v>4005</v>
      </c>
      <c r="C55" s="21" t="s">
        <v>194</v>
      </c>
      <c r="D55" s="21" t="s">
        <v>586</v>
      </c>
      <c r="E55" s="13">
        <v>43033.391643518517</v>
      </c>
      <c r="F55" s="13">
        <v>43033.404374999998</v>
      </c>
      <c r="G55" s="7">
        <v>138</v>
      </c>
      <c r="H55" s="21" t="s">
        <v>339</v>
      </c>
      <c r="I55" s="13">
        <v>43033.431064814817</v>
      </c>
      <c r="J55" s="7">
        <v>0</v>
      </c>
      <c r="K55" s="89" t="str">
        <f>IF(ISEVEN(B55),(B55-1)&amp;"/"&amp;B55,B55&amp;"/"&amp;(B55+1))</f>
        <v>4005/4006</v>
      </c>
      <c r="L55" s="185" t="str">
        <f>VLOOKUP(A55,'Trips&amp;Operators'!$C$1:$G$99911,5,FALSE)</f>
        <v>YANAI IAN</v>
      </c>
      <c r="M55" s="6">
        <f>I55-F55</f>
        <v>2.6689814818382729E-2</v>
      </c>
      <c r="N55" s="7">
        <f>24*60*SUM($M55:$M55)</f>
        <v>38.43333333847113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-25T08:23:58-0600',mode:absolute,to:'2017-10-25T11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23.2973</v>
      </c>
      <c r="Z55" s="204">
        <f>RIGHT(H55,LEN(H55)-4)/10000</f>
        <v>1.47E-2</v>
      </c>
      <c r="AA55" s="204">
        <f>ABS(Z55-Y55)</f>
        <v>23.282599999999999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/stypes="app*4005*20171025*" /stext=" 16:.+((SYSTEM_STATE.+slice.+state.+changed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142-25 --locoid 4005 --swversion DE.1.0.9.0 --startMP 204:232973 --initTime 2017-10-25T09:23:58 --startdatetime 2017-10-25T09:42:18 --delay 138 --endMP 204:147 --enddatetime 2017-10-25T10:20:44 --enforcementcount 0 &gt;&gt;%USERPROFILE%\Documents\GitHub\eaglep3-reporting\EC\2017-10-25-refined-times.txt</v>
      </c>
      <c r="AI55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{"issue":{"subject":"","project_id":79,"tracker_id":40,"status_id":1,"priority_id":2,"assigned_to_id":338,"start_date":"2017-10-25","description":"","custom_fields":[{"id":1,"name":"Subdivision","value":"EC"},{"id":4,"name":"Milepost","value":"0.0147"},{"id":17,"name":"Train ID","value":"142-25"},{"id":16,"name":"Locomotive ID","value":"4005"},{"id":130,"name":"Impact","value":""},{"id":150,"name":"Time of Event (Mountain Time)","value":"10:20:44"},{"id":151,"name":"Denver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4005 --day 2017-10-25</v>
      </c>
      <c r="AN55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-25T08:23:58-0600',mode:absolute,to:'2017-10-25T11:20:44-0600'))&amp;_a=(columns:!('Message%20ID',Summary),filters:!(),index:'emp_*',interval:auto,query:(query_string:(analyze_wildcard:!t,query:'%22rtdc.l.rtdc.4005%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727</v>
      </c>
      <c r="B56" s="7">
        <v>4050</v>
      </c>
      <c r="C56" s="21" t="s">
        <v>194</v>
      </c>
      <c r="D56" s="21" t="s">
        <v>338</v>
      </c>
      <c r="E56" s="13">
        <v>43033.372766203705</v>
      </c>
      <c r="F56" s="13">
        <v>43033.375289351854</v>
      </c>
      <c r="G56" s="7">
        <v>49</v>
      </c>
      <c r="H56" s="21" t="s">
        <v>602</v>
      </c>
      <c r="I56" s="13">
        <v>43033.40048611111</v>
      </c>
      <c r="J56" s="7">
        <v>0</v>
      </c>
      <c r="K56" s="89" t="str">
        <f>IF(ISEVEN(B56),(B56-1)&amp;"/"&amp;B56,B56&amp;"/"&amp;(B56+1))</f>
        <v>4049/4050</v>
      </c>
      <c r="L56" s="185" t="str">
        <f>VLOOKUP(A56,'Trips&amp;Operators'!$C$1:$G$99911,5,FALSE)</f>
        <v>THOMPSON LESTER</v>
      </c>
      <c r="M56" s="6">
        <f>I56-F56</f>
        <v>2.5196759255777579E-2</v>
      </c>
      <c r="N56" s="7">
        <f>24*60*SUM($M56:$M56)</f>
        <v>36.283333328319713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-25T07:56:47-0600',mode:absolute,to:'2017-10-25T10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4.53E-2</v>
      </c>
      <c r="Z56" s="204">
        <f>RIGHT(H56,LEN(H56)-4)/10000</f>
        <v>23.318100000000001</v>
      </c>
      <c r="AA56" s="204">
        <f>ABS(Z56-Y56)</f>
        <v>23.2728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/stypes="app*4050*20171025*" /stext=" 15:.+((SYSTEM_STATE.+slice.+state.+changed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143-25 --locoid 4050 --swversion DE.1.0.9.0 --startMP 204:453 --initTime 2017-10-25T08:56:47 --startdatetime 2017-10-25T09:00:25 --delay 49 --endMP 204:233181 --enddatetime 2017-10-25T09:36:42 --enforcementcount 0 &gt;&gt;%USERPROFILE%\Documents\GitHub\eaglep3-reporting\EC\2017-10-25-refined-times.txt</v>
      </c>
      <c r="AI56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{"issue":{"subject":"","project_id":79,"tracker_id":40,"status_id":1,"priority_id":2,"assigned_to_id":338,"start_date":"2017-10-25","description":"","custom_fields":[{"id":1,"name":"Subdivision","value":"EC"},{"id":4,"name":"Milepost","value":"23.3181"},{"id":17,"name":"Train ID","value":"143-25"},{"id":16,"name":"Locomotive ID","value":"4050"},{"id":130,"name":"Impact","value":""},{"id":150,"name":"Time of Event (Mountain Time)","value":"09:36:42"},{"id":151,"name":"Denver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4050 --day 2017-10-25</v>
      </c>
      <c r="AN56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-25T07:56:47-0600',mode:absolute,to:'2017-10-25T10:36:42-0600'))&amp;_a=(columns:!('Message%20ID',Summary),filters:!(),index:'emp_*',interval:auto,query:(query_string:(analyze_wildcard:!t,query:'%22rtdc.l.rtdc.4050%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736</v>
      </c>
      <c r="B57" s="7">
        <v>4049</v>
      </c>
      <c r="C57" s="21" t="s">
        <v>194</v>
      </c>
      <c r="D57" s="21" t="s">
        <v>598</v>
      </c>
      <c r="E57" s="13">
        <v>43033.41138888889</v>
      </c>
      <c r="F57" s="13">
        <v>43033.414907407408</v>
      </c>
      <c r="G57" s="7">
        <v>68</v>
      </c>
      <c r="H57" s="21" t="s">
        <v>336</v>
      </c>
      <c r="I57" s="13">
        <v>43033.442824074074</v>
      </c>
      <c r="J57" s="7">
        <v>0</v>
      </c>
      <c r="K57" s="89" t="str">
        <f>IF(ISEVEN(B57),(B57-1)&amp;"/"&amp;B57,B57&amp;"/"&amp;(B57+1))</f>
        <v>4049/4050</v>
      </c>
      <c r="L57" s="185" t="str">
        <f>VLOOKUP(A57,'Trips&amp;Operators'!$C$1:$G$99911,5,FALSE)</f>
        <v>THOMPSON LESTER</v>
      </c>
      <c r="M57" s="6">
        <f>I57-F57</f>
        <v>2.7916666665987577E-2</v>
      </c>
      <c r="N57" s="7">
        <f>24*60*SUM($M57:$M57)</f>
        <v>40.199999999022111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-25T08:52:24-0600',mode:absolute,to:'2017-10-25T11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23.286200000000001</v>
      </c>
      <c r="Z57" s="204">
        <f>RIGHT(H57,LEN(H57)-4)/10000</f>
        <v>1.49E-2</v>
      </c>
      <c r="AA57" s="204">
        <f>ABS(Z57-Y57)</f>
        <v>23.2713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/stypes="app*4049*20171025*" /stext=" 16:.+((SYSTEM_STATE.+slice.+state.+changed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144-25 --locoid 4049 --swversion DE.1.0.9.0 --startMP 204:232862 --initTime 2017-10-25T09:52:24 --startdatetime 2017-10-25T09:57:28 --delay 68 --endMP 204:149 --enddatetime 2017-10-25T10:37:40 --enforcementcount 0 &gt;&gt;%USERPROFILE%\Documents\GitHub\eaglep3-reporting\EC\2017-10-25-refined-times.txt</v>
      </c>
      <c r="AI57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{"issue":{"subject":"","project_id":79,"tracker_id":40,"status_id":1,"priority_id":2,"assigned_to_id":338,"start_date":"2017-10-25","description":"","custom_fields":[{"id":1,"name":"Subdivision","value":"EC"},{"id":4,"name":"Milepost","value":"0.0149"},{"id":17,"name":"Train ID","value":"144-25"},{"id":16,"name":"Locomotive ID","value":"4049"},{"id":130,"name":"Impact","value":""},{"id":150,"name":"Time of Event (Mountain Time)","value":"10:37:40"},{"id":151,"name":"Denver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4049 --day 2017-10-25</v>
      </c>
      <c r="AN57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-25T08:52:24-0600',mode:absolute,to:'2017-10-25T11:37:40-0600'))&amp;_a=(columns:!('Message%20ID',Summary),filters:!(),index:'emp_*',interval:auto,query:(query_string:(analyze_wildcard:!t,query:'%22rtdc.l.rtdc.4049%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640</v>
      </c>
      <c r="B58" s="7">
        <v>4008</v>
      </c>
      <c r="C58" s="21" t="s">
        <v>194</v>
      </c>
      <c r="D58" s="21" t="s">
        <v>505</v>
      </c>
      <c r="E58" s="13">
        <v>43033.383483796293</v>
      </c>
      <c r="F58" s="13">
        <v>43033.385567129626</v>
      </c>
      <c r="G58" s="7">
        <v>64</v>
      </c>
      <c r="H58" s="21" t="s">
        <v>892</v>
      </c>
      <c r="I58" s="13">
        <v>43033.410127314812</v>
      </c>
      <c r="J58" s="7">
        <v>0</v>
      </c>
      <c r="K58" s="89" t="str">
        <f>IF(ISEVEN(B58),(B58-1)&amp;"/"&amp;B58,B58&amp;"/"&amp;(B58+1))</f>
        <v>4007/4008</v>
      </c>
      <c r="L58" s="185" t="str">
        <f>VLOOKUP(A58,'Trips&amp;Operators'!$C$1:$G$99911,5,FALSE)</f>
        <v>FORTUNATO FRANK</v>
      </c>
      <c r="M58" s="6">
        <f>I58-F58</f>
        <v>2.4560185185691807E-2</v>
      </c>
      <c r="N58" s="7">
        <f>24*60*SUM($M58:$M58)</f>
        <v>35.366666667396203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-25T08:12:13-0600',mode:absolute,to:'2017-10-25T10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4.4900000000000002E-2</v>
      </c>
      <c r="Z58" s="204">
        <f>RIGHT(H58,LEN(H58)-4)/10000</f>
        <v>23.317799999999998</v>
      </c>
      <c r="AA58" s="204">
        <f>ABS(Z58-Y58)</f>
        <v>23.2729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/stypes="app*4008*20171025*" /stext=" 15:.+((SYSTEM_STATE.+slice.+state.+changed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145-25 --locoid 4008 --swversion DE.1.0.9.0 --startMP 204:449 --initTime 2017-10-25T09:12:13 --startdatetime 2017-10-25T09:15:13 --delay 64 --endMP 204:233178 --enddatetime 2017-10-25T09:50:35 --enforcementcount 0 &gt;&gt;%USERPROFILE%\Documents\GitHub\eaglep3-reporting\EC\2017-10-25-refined-times.txt</v>
      </c>
      <c r="AI58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{"issue":{"subject":"","project_id":79,"tracker_id":40,"status_id":1,"priority_id":2,"assigned_to_id":338,"start_date":"2017-10-25","description":"","custom_fields":[{"id":1,"name":"Subdivision","value":"EC"},{"id":4,"name":"Milepost","value":"23.3178"},{"id":17,"name":"Train ID","value":"145-25"},{"id":16,"name":"Locomotive ID","value":"4008"},{"id":130,"name":"Impact","value":""},{"id":150,"name":"Time of Event (Mountain Time)","value":"09:50:35"},{"id":151,"name":"Denver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4008 --day 2017-10-25</v>
      </c>
      <c r="AN58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-25T08:12:13-0600',mode:absolute,to:'2017-10-25T10:50:35-0600'))&amp;_a=(columns:!('Message%20ID',Summary),filters:!(),index:'emp_*',interval:auto,query:(query_string:(analyze_wildcard:!t,query:'%22rtdc.l.rtdc.4008%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738</v>
      </c>
      <c r="B59" s="7">
        <v>4007</v>
      </c>
      <c r="C59" s="21" t="s">
        <v>194</v>
      </c>
      <c r="D59" s="21" t="s">
        <v>893</v>
      </c>
      <c r="E59" s="13">
        <v>43033.413437499999</v>
      </c>
      <c r="F59" s="13">
        <v>43033.425185185188</v>
      </c>
      <c r="G59" s="7">
        <v>51</v>
      </c>
      <c r="H59" s="21" t="s">
        <v>400</v>
      </c>
      <c r="I59" s="13">
        <v>43033.451724537037</v>
      </c>
      <c r="J59" s="7">
        <v>0</v>
      </c>
      <c r="K59" s="89" t="str">
        <f>IF(ISEVEN(B59),(B59-1)&amp;"/"&amp;B59,B59&amp;"/"&amp;(B59+1))</f>
        <v>4007/4008</v>
      </c>
      <c r="L59" s="185" t="str">
        <f>VLOOKUP(A59,'Trips&amp;Operators'!$C$1:$G$99911,5,FALSE)</f>
        <v>FORTUNATO FRANK</v>
      </c>
      <c r="M59" s="6">
        <f>I59-F59</f>
        <v>2.6539351849351078E-2</v>
      </c>
      <c r="N59" s="7">
        <f>24*60*SUM($M59:$M59)</f>
        <v>38.216666663065553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-25T08:55:21-0600',mode:absolute,to:'2017-10-25T11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23.287299999999998</v>
      </c>
      <c r="Z59" s="204">
        <f>RIGHT(H59,LEN(H59)-4)/10000</f>
        <v>1.41E-2</v>
      </c>
      <c r="AA59" s="204">
        <f>ABS(Z59-Y59)</f>
        <v>23.273199999999999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/stypes="app*4007*20171025*"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146-25 --locoid 4007 --swversion DE.1.0.9.0 --startMP 204:232873 --initTime 2017-10-25T09:55:21 --startdatetime 2017-10-25T10:12:16 --delay 51 --endMP 204:141 --enddatetime 2017-10-25T10:50:29 --enforcementcount 0 &gt;&gt;%USERPROFILE%\Documents\GitHub\eaglep3-reporting\EC\2017-10-25-refined-times.txt</v>
      </c>
      <c r="AI59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{"issue":{"subject":"","project_id":79,"tracker_id":40,"status_id":1,"priority_id":2,"assigned_to_id":338,"start_date":"2017-10-25","description":"","custom_fields":[{"id":1,"name":"Subdivision","value":"EC"},{"id":4,"name":"Milepost","value":"0.0141"},{"id":17,"name":"Train ID","value":"146-25"},{"id":16,"name":"Locomotive ID","value":"4007"},{"id":130,"name":"Impact","value":""},{"id":150,"name":"Time of Event (Mountain Time)","value":"10:50:29"},{"id":151,"name":"Denver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4007 --day 2017-10-25</v>
      </c>
      <c r="AN59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-25T08:55:21-0600',mode:absolute,to:'2017-10-25T11:50:29-0600'))&amp;_a=(columns:!('Message%20ID',Summary),filters:!(),index:'emp_*',interval:auto,query:(query_string:(analyze_wildcard:!t,query:'%22rtdc.l.rtdc.4007%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730</v>
      </c>
      <c r="B60" s="7">
        <v>4018</v>
      </c>
      <c r="C60" s="21" t="s">
        <v>194</v>
      </c>
      <c r="D60" s="21" t="s">
        <v>392</v>
      </c>
      <c r="E60" s="13">
        <v>43033.392581018517</v>
      </c>
      <c r="F60" s="13">
        <v>43033.396018518521</v>
      </c>
      <c r="G60" s="7">
        <v>43</v>
      </c>
      <c r="H60" s="21" t="s">
        <v>894</v>
      </c>
      <c r="I60" s="13">
        <v>43033.422650462962</v>
      </c>
      <c r="J60" s="7">
        <v>0</v>
      </c>
      <c r="K60" s="89" t="str">
        <f>IF(ISEVEN(B60),(B60-1)&amp;"/"&amp;B60,B60&amp;"/"&amp;(B60+1))</f>
        <v>4017/4018</v>
      </c>
      <c r="L60" s="185" t="str">
        <f>VLOOKUP(A60,'Trips&amp;Operators'!$C$1:$G$99911,5,FALSE)</f>
        <v>YORK EDGAR</v>
      </c>
      <c r="M60" s="6">
        <f>I60-F60</f>
        <v>2.6631944441760425E-2</v>
      </c>
      <c r="N60" s="7">
        <f>24*60*SUM($M60:$M60)</f>
        <v>38.349999996135011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-25T08:25:19-0600',mode:absolute,to:'2017-10-25T11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4.6199999999999998E-2</v>
      </c>
      <c r="Z60" s="204">
        <f>RIGHT(H60,LEN(H60)-4)/10000</f>
        <v>23.3202</v>
      </c>
      <c r="AA60" s="204">
        <f>ABS(Z60-Y60)</f>
        <v>23.274000000000001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/stypes="app*4018*20171025*" /stext=" 16:.+((SYSTEM_STATE.+slice.+state.+changed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147-25 --locoid 4018 --swversion DE.1.0.9.0 --startMP 204:462 --initTime 2017-10-25T09:25:19 --startdatetime 2017-10-25T09:30:16 --delay 43 --endMP 204:233202 --enddatetime 2017-10-25T10:08:37 --enforcementcount 0 &gt;&gt;%USERPROFILE%\Documents\GitHub\eaglep3-reporting\EC\2017-10-25-refined-times.txt</v>
      </c>
      <c r="AI60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{"issue":{"subject":"","project_id":79,"tracker_id":40,"status_id":1,"priority_id":2,"assigned_to_id":338,"start_date":"2017-10-25","description":"","custom_fields":[{"id":1,"name":"Subdivision","value":"EC"},{"id":4,"name":"Milepost","value":"23.3202"},{"id":17,"name":"Train ID","value":"147-25"},{"id":16,"name":"Locomotive ID","value":"4018"},{"id":130,"name":"Impact","value":""},{"id":150,"name":"Time of Event (Mountain Time)","value":"10:08:37"},{"id":151,"name":"Denver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4018 --day 2017-10-25</v>
      </c>
      <c r="AN60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-25T08:25:19-0600',mode:absolute,to:'2017-10-25T11:08:37-0600'))&amp;_a=(columns:!('Message%20ID',Summary),filters:!(),index:'emp_*',interval:auto,query:(query_string:(analyze_wildcard:!t,query:'%22rtdc.l.rtdc.4018%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741</v>
      </c>
      <c r="B61" s="7">
        <v>4017</v>
      </c>
      <c r="C61" s="21" t="s">
        <v>194</v>
      </c>
      <c r="D61" s="21" t="s">
        <v>895</v>
      </c>
      <c r="E61" s="13">
        <v>43033.428124999999</v>
      </c>
      <c r="F61" s="13">
        <v>43033.435659722221</v>
      </c>
      <c r="G61" s="7">
        <v>47</v>
      </c>
      <c r="H61" s="21" t="s">
        <v>896</v>
      </c>
      <c r="I61" s="13">
        <v>43033.460914351854</v>
      </c>
      <c r="J61" s="7">
        <v>0</v>
      </c>
      <c r="K61" s="89" t="str">
        <f>IF(ISEVEN(B61),(B61-1)&amp;"/"&amp;B61,B61&amp;"/"&amp;(B61+1))</f>
        <v>4017/4018</v>
      </c>
      <c r="L61" s="185" t="str">
        <f>VLOOKUP(A61,'Trips&amp;Operators'!$C$1:$G$99911,5,FALSE)</f>
        <v>YORK EDGAR</v>
      </c>
      <c r="M61" s="6">
        <f>I61-F61</f>
        <v>2.5254629632399883E-2</v>
      </c>
      <c r="N61" s="7">
        <f>24*60*SUM($M61:$M61)</f>
        <v>36.366666670655832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-25T09:16:30-0600',mode:absolute,to:'2017-10-25T12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23.286999999999999</v>
      </c>
      <c r="Z61" s="204">
        <f>RIGHT(H61,LEN(H61)-4)/10000</f>
        <v>3.4500000000000003E-2</v>
      </c>
      <c r="AA61" s="204">
        <f>ABS(Z61-Y61)</f>
        <v>23.252499999999998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/stypes="app*4017*20171025*"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148-25 --locoid 4017 --swversion DE.1.0.9.0 --startMP 204:232870 --initTime 2017-10-25T10:16:30 --startdatetime 2017-10-25T10:27:21 --delay 47 --endMP 204:345 --enddatetime 2017-10-25T11:03:43 --enforcementcount 0 &gt;&gt;%USERPROFILE%\Documents\GitHub\eaglep3-reporting\EC\2017-10-25-refined-times.txt</v>
      </c>
      <c r="AI61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{"issue":{"subject":"","project_id":79,"tracker_id":40,"status_id":1,"priority_id":2,"assigned_to_id":338,"start_date":"2017-10-25","description":"","custom_fields":[{"id":1,"name":"Subdivision","value":"EC"},{"id":4,"name":"Milepost","value":"0.0345"},{"id":17,"name":"Train ID","value":"148-25"},{"id":16,"name":"Locomotive ID","value":"4017"},{"id":130,"name":"Impact","value":""},{"id":150,"name":"Time of Event (Mountain Time)","value":"11:03:43"},{"id":151,"name":"Denver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4017 --day 2017-10-25</v>
      </c>
      <c r="AN61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-25T09:16:30-0600',mode:absolute,to:'2017-10-25T12:03:43-0600'))&amp;_a=(columns:!('Message%20ID',Summary),filters:!(),index:'emp_*',interval:auto,query:(query_string:(analyze_wildcard:!t,query:'%22rtdc.l.rtdc.4017%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733</v>
      </c>
      <c r="B62" s="7">
        <v>4036</v>
      </c>
      <c r="C62" s="21" t="s">
        <v>194</v>
      </c>
      <c r="D62" s="21" t="s">
        <v>542</v>
      </c>
      <c r="E62" s="13">
        <v>43033.401631944442</v>
      </c>
      <c r="F62" s="13">
        <v>43033.406446759262</v>
      </c>
      <c r="G62" s="7">
        <v>62</v>
      </c>
      <c r="H62" s="21" t="s">
        <v>897</v>
      </c>
      <c r="I62" s="13">
        <v>43033.431840277779</v>
      </c>
      <c r="J62" s="7">
        <v>0</v>
      </c>
      <c r="K62" s="89" t="str">
        <f>IF(ISEVEN(B62),(B62-1)&amp;"/"&amp;B62,B62&amp;"/"&amp;(B62+1))</f>
        <v>4035/4036</v>
      </c>
      <c r="L62" s="185" t="str">
        <f>VLOOKUP(A62,'Trips&amp;Operators'!$C$1:$G$99911,5,FALSE)</f>
        <v>PAGE MARCUS</v>
      </c>
      <c r="M62" s="6">
        <f>I62-F62</f>
        <v>2.5393518517375924E-2</v>
      </c>
      <c r="N62" s="7">
        <f>24*60*SUM($M62:$M62)</f>
        <v>36.56666666502133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-25T08:38:21-0600',mode:absolute,to:'2017-10-25T11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4.3700000000000003E-2</v>
      </c>
      <c r="Z62" s="204">
        <f>RIGHT(H62,LEN(H62)-4)/10000</f>
        <v>23.318000000000001</v>
      </c>
      <c r="AA62" s="204">
        <f>ABS(Z62-Y62)</f>
        <v>23.2743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/stypes="app*4036*20171025*" /stext=" 16:.+((SYSTEM_STATE.+slice.+state.+changed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149-25 --locoid 4036 --swversion DE.1.0.9.0 --startMP 204:437 --initTime 2017-10-25T09:38:21 --startdatetime 2017-10-25T09:45:17 --delay 62 --endMP 204:233180 --enddatetime 2017-10-25T10:21:51 --enforcementcount 0 &gt;&gt;%USERPROFILE%\Documents\GitHub\eaglep3-reporting\EC\2017-10-25-refined-times.txt</v>
      </c>
      <c r="AI62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{"issue":{"subject":"","project_id":79,"tracker_id":40,"status_id":1,"priority_id":2,"assigned_to_id":338,"start_date":"2017-10-25","description":"","custom_fields":[{"id":1,"name":"Subdivision","value":"EC"},{"id":4,"name":"Milepost","value":"23.318"},{"id":17,"name":"Train ID","value":"149-25"},{"id":16,"name":"Locomotive ID","value":"4036"},{"id":130,"name":"Impact","value":""},{"id":150,"name":"Time of Event (Mountain Time)","value":"10:21:51"},{"id":151,"name":"Denver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4036 --day 2017-10-25</v>
      </c>
      <c r="AN62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-25T08:38:21-0600',mode:absolute,to:'2017-10-25T11:21:51-0600'))&amp;_a=(columns:!('Message%20ID',Summary),filters:!(),index:'emp_*',interval:auto,query:(query_string:(analyze_wildcard:!t,query:'%22rtdc.l.rtdc.4036%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743</v>
      </c>
      <c r="B63" s="7">
        <v>4035</v>
      </c>
      <c r="C63" s="21" t="s">
        <v>194</v>
      </c>
      <c r="D63" s="21" t="s">
        <v>898</v>
      </c>
      <c r="E63" s="13">
        <v>43033.441122685188</v>
      </c>
      <c r="F63" s="13">
        <v>43033.446018518516</v>
      </c>
      <c r="G63" s="7">
        <v>69</v>
      </c>
      <c r="H63" s="21" t="s">
        <v>544</v>
      </c>
      <c r="I63" s="13">
        <v>43033.47216435185</v>
      </c>
      <c r="J63" s="7">
        <v>0</v>
      </c>
      <c r="K63" s="89" t="str">
        <f>IF(ISEVEN(B63),(B63-1)&amp;"/"&amp;B63,B63&amp;"/"&amp;(B63+1))</f>
        <v>4035/4036</v>
      </c>
      <c r="L63" s="185" t="str">
        <f>VLOOKUP(A63,'Trips&amp;Operators'!$C$1:$G$99911,5,FALSE)</f>
        <v>PAGE MARCUS</v>
      </c>
      <c r="M63" s="6">
        <f>I63-F63</f>
        <v>2.6145833333430346E-2</v>
      </c>
      <c r="N63" s="7">
        <f>24*60*SUM($M63:$M63)</f>
        <v>37.650000000139698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-25T09:35:13-0600',mode:absolute,to:'2017-10-25T12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23.285900000000002</v>
      </c>
      <c r="Z63" s="204">
        <f>RIGHT(H63,LEN(H63)-4)/10000</f>
        <v>1.7600000000000001E-2</v>
      </c>
      <c r="AA63" s="204">
        <f>ABS(Z63-Y63)</f>
        <v>23.2683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/stypes="app*4035*20171025*" /stext=" 17:.+((SYSTEM_STATE.+slice.+state.+changed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150-25 --locoid 4035 --swversion DE.1.0.9.0 --startMP 204:232859 --initTime 2017-10-25T10:35:13 --startdatetime 2017-10-25T10:42:16 --delay 69 --endMP 204:176 --enddatetime 2017-10-25T11:19:55 --enforcementcount 0 &gt;&gt;%USERPROFILE%\Documents\GitHub\eaglep3-reporting\EC\2017-10-25-refined-times.txt</v>
      </c>
      <c r="AI63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{"issue":{"subject":"","project_id":79,"tracker_id":40,"status_id":1,"priority_id":2,"assigned_to_id":338,"start_date":"2017-10-25","description":"","custom_fields":[{"id":1,"name":"Subdivision","value":"EC"},{"id":4,"name":"Milepost","value":"0.0176"},{"id":17,"name":"Train ID","value":"150-25"},{"id":16,"name":"Locomotive ID","value":"4035"},{"id":130,"name":"Impact","value":""},{"id":150,"name":"Time of Event (Mountain Time)","value":"11:19:55"},{"id":151,"name":"Denver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4035 --day 2017-10-25</v>
      </c>
      <c r="AN63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-25T09:35:13-0600',mode:absolute,to:'2017-10-25T12:19:55-0600'))&amp;_a=(columns:!('Message%20ID',Summary),filters:!(),index:'emp_*',interval:auto,query:(query_string:(analyze_wildcard:!t,query:'%22rtdc.l.rtdc.4035%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737</v>
      </c>
      <c r="B64" s="7">
        <v>4046</v>
      </c>
      <c r="C64" s="21" t="s">
        <v>194</v>
      </c>
      <c r="D64" s="21" t="s">
        <v>376</v>
      </c>
      <c r="E64" s="13">
        <v>43033.412847222222</v>
      </c>
      <c r="F64" s="13">
        <v>43033.416828703703</v>
      </c>
      <c r="G64" s="7">
        <v>65</v>
      </c>
      <c r="H64" s="21" t="s">
        <v>521</v>
      </c>
      <c r="I64" s="13">
        <v>43033.442314814813</v>
      </c>
      <c r="J64" s="7">
        <v>0</v>
      </c>
      <c r="K64" s="89" t="str">
        <f>IF(ISEVEN(B64),(B64-1)&amp;"/"&amp;B64,B64&amp;"/"&amp;(B64+1))</f>
        <v>4045/4046</v>
      </c>
      <c r="L64" s="185" t="str">
        <f>VLOOKUP(A64,'Trips&amp;Operators'!$C$1:$G$99911,5,FALSE)</f>
        <v>STRICKLAND EVAN</v>
      </c>
      <c r="M64" s="6">
        <f>I64-F64</f>
        <v>2.548611110978527E-2</v>
      </c>
      <c r="N64" s="7">
        <f>24*60*SUM($M64:$M64)</f>
        <v>36.699999998090789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-25T08:54:30-0600',mode:absolute,to:'2017-10-25T11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4.6699999999999998E-2</v>
      </c>
      <c r="Z64" s="204">
        <f>RIGHT(H64,LEN(H64)-4)/10000</f>
        <v>23.328900000000001</v>
      </c>
      <c r="AA64" s="204">
        <f>ABS(Z64-Y64)</f>
        <v>23.2822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/stypes="app*4046*20171025*" /stext=" 16:.+((SYSTEM_STATE.+slice.+state.+changed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151-25 --locoid 4046 --swversion DE.1.0.9.0 --startMP 204:467 --initTime 2017-10-25T09:54:30 --startdatetime 2017-10-25T10:00:14 --delay 65 --endMP 204:233289 --enddatetime 2017-10-25T10:36:56 --enforcementcount 0 &gt;&gt;%USERPROFILE%\Documents\GitHub\eaglep3-reporting\EC\2017-10-25-refined-times.txt</v>
      </c>
      <c r="AI64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{"issue":{"subject":"","project_id":79,"tracker_id":40,"status_id":1,"priority_id":2,"assigned_to_id":338,"start_date":"2017-10-25","description":"","custom_fields":[{"id":1,"name":"Subdivision","value":"EC"},{"id":4,"name":"Milepost","value":"23.3289"},{"id":17,"name":"Train ID","value":"151-25"},{"id":16,"name":"Locomotive ID","value":"4046"},{"id":130,"name":"Impact","value":""},{"id":150,"name":"Time of Event (Mountain Time)","value":"10:36:56"},{"id":151,"name":"Denver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4046 --day 2017-10-25</v>
      </c>
      <c r="AN64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-25T08:54:30-0600',mode:absolute,to:'2017-10-25T11:36:56-0600'))&amp;_a=(columns:!('Message%20ID',Summary),filters:!(),index:'emp_*',interval:auto,query:(query_string:(analyze_wildcard:!t,query:'%22rtdc.l.rtdc.4046%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745</v>
      </c>
      <c r="B65" s="7">
        <v>4045</v>
      </c>
      <c r="C65" s="21" t="s">
        <v>194</v>
      </c>
      <c r="D65" s="21" t="s">
        <v>899</v>
      </c>
      <c r="E65" s="13">
        <v>43033.447905092595</v>
      </c>
      <c r="F65" s="13">
        <v>43033.456435185188</v>
      </c>
      <c r="G65" s="7">
        <v>106</v>
      </c>
      <c r="H65" s="21" t="s">
        <v>337</v>
      </c>
      <c r="I65" s="13">
        <v>43033.484166666669</v>
      </c>
      <c r="J65" s="7">
        <v>0</v>
      </c>
      <c r="K65" s="89" t="str">
        <f>IF(ISEVEN(B65),(B65-1)&amp;"/"&amp;B65,B65&amp;"/"&amp;(B65+1))</f>
        <v>4045/4046</v>
      </c>
      <c r="L65" s="185" t="str">
        <f>VLOOKUP(A65,'Trips&amp;Operators'!$C$1:$G$99911,5,FALSE)</f>
        <v>STRICKLAND EVAN</v>
      </c>
      <c r="M65" s="6">
        <f>I65-F65</f>
        <v>2.7731481481168885E-2</v>
      </c>
      <c r="N65" s="7">
        <f>24*60*SUM($M65:$M65)</f>
        <v>39.933333332883194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-25T09:44:59-0600',mode:absolute,to:'2017-10-25T12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23.299099999999999</v>
      </c>
      <c r="Z65" s="204">
        <f>RIGHT(H65,LEN(H65)-4)/10000</f>
        <v>1.43E-2</v>
      </c>
      <c r="AA65" s="204">
        <f>ABS(Z65-Y65)</f>
        <v>23.284800000000001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/stypes="app*4045*20171025*" /stext=" 17:.+((SYSTEM_STATE.+slice.+state.+changed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152-25 --locoid 4045 --swversion DE.1.0.9.0 --startMP 204:232991 --initTime 2017-10-25T10:44:59 --startdatetime 2017-10-25T10:57:16 --delay 106 --endMP 204:143 --enddatetime 2017-10-25T11:37:12 --enforcementcount 0 &gt;&gt;%USERPROFILE%\Documents\GitHub\eaglep3-reporting\EC\2017-10-25-refined-times.txt</v>
      </c>
      <c r="AI65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{"issue":{"subject":"","project_id":79,"tracker_id":40,"status_id":1,"priority_id":2,"assigned_to_id":338,"start_date":"2017-10-25","description":"","custom_fields":[{"id":1,"name":"Subdivision","value":"EC"},{"id":4,"name":"Milepost","value":"0.0143"},{"id":17,"name":"Train ID","value":"152-25"},{"id":16,"name":"Locomotive ID","value":"4045"},{"id":130,"name":"Impact","value":""},{"id":150,"name":"Time of Event (Mountain Time)","value":"11:37:12"},{"id":151,"name":"Denver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4045 --day 2017-10-25</v>
      </c>
      <c r="AN65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-25T09:44:59-0600',mode:absolute,to:'2017-10-25T12:37:12-0600'))&amp;_a=(columns:!('Message%20ID',Summary),filters:!(),index:'emp_*',interval:auto,query:(query_string:(analyze_wildcard:!t,query:'%22rtdc.l.rtdc.4045%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740</v>
      </c>
      <c r="B66" s="7">
        <v>4030</v>
      </c>
      <c r="C66" s="21" t="s">
        <v>194</v>
      </c>
      <c r="D66" s="21" t="s">
        <v>900</v>
      </c>
      <c r="E66" s="13">
        <v>43033.424467592595</v>
      </c>
      <c r="F66" s="13">
        <v>43033.427395833336</v>
      </c>
      <c r="G66" s="7">
        <v>75</v>
      </c>
      <c r="H66" s="21" t="s">
        <v>878</v>
      </c>
      <c r="I66" s="13">
        <v>43033.451365740744</v>
      </c>
      <c r="J66" s="7">
        <v>0</v>
      </c>
      <c r="K66" s="89" t="str">
        <f>IF(ISEVEN(B66),(B66-1)&amp;"/"&amp;B66,B66&amp;"/"&amp;(B66+1))</f>
        <v>4029/4030</v>
      </c>
      <c r="L66" s="185" t="str">
        <f>VLOOKUP(A66,'Trips&amp;Operators'!$C$1:$G$99911,5,FALSE)</f>
        <v>LAMAR NEKESHA</v>
      </c>
      <c r="M66" s="6">
        <f>I66-F66</f>
        <v>2.396990740817273E-2</v>
      </c>
      <c r="N66" s="7">
        <f>24*60*SUM($M66:$M66)</f>
        <v>34.516666667768732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-25T09:11:14-0600',mode:absolute,to:'2017-10-25T11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4.1099999999999998E-2</v>
      </c>
      <c r="Z66" s="204">
        <f>RIGHT(H66,LEN(H66)-4)/10000</f>
        <v>23.3293</v>
      </c>
      <c r="AA66" s="204">
        <f>ABS(Z66-Y66)</f>
        <v>23.2882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/stypes="app*4030*20171025*" /stext=" 16:.+((SYSTEM_STATE.+slice.+state.+changed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153-25 --locoid 4030 --swversion DE.1.0.9.0 --startMP 204:411 --initTime 2017-10-25T10:11:14 --startdatetime 2017-10-25T10:15:27 --delay 75 --endMP 204:233293 --enddatetime 2017-10-25T10:49:58 --enforcementcount 0 &gt;&gt;%USERPROFILE%\Documents\GitHub\eaglep3-reporting\EC\2017-10-25-refined-times.txt</v>
      </c>
      <c r="AI66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{"issue":{"subject":"","project_id":79,"tracker_id":40,"status_id":1,"priority_id":2,"assigned_to_id":338,"start_date":"2017-10-25","description":"","custom_fields":[{"id":1,"name":"Subdivision","value":"EC"},{"id":4,"name":"Milepost","value":"23.3293"},{"id":17,"name":"Train ID","value":"153-25"},{"id":16,"name":"Locomotive ID","value":"4030"},{"id":130,"name":"Impact","value":""},{"id":150,"name":"Time of Event (Mountain Time)","value":"10:49:58"},{"id":151,"name":"Denver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4030 --day 2017-10-25</v>
      </c>
      <c r="AN66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-25T09:11:14-0600',mode:absolute,to:'2017-10-25T11:49:58-0600'))&amp;_a=(columns:!('Message%20ID',Summary),filters:!(),index:'emp_*',interval:auto,query:(query_string:(analyze_wildcard:!t,query:'%22rtdc.l.rtdc.4030%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749</v>
      </c>
      <c r="B67" s="7">
        <v>4029</v>
      </c>
      <c r="C67" s="21" t="s">
        <v>194</v>
      </c>
      <c r="D67" s="21" t="s">
        <v>879</v>
      </c>
      <c r="E67" s="13">
        <v>43033.462824074071</v>
      </c>
      <c r="F67" s="13">
        <v>43033.466863425929</v>
      </c>
      <c r="G67" s="7">
        <v>87</v>
      </c>
      <c r="H67" s="21" t="s">
        <v>354</v>
      </c>
      <c r="I67" s="13">
        <v>43033.493101851855</v>
      </c>
      <c r="J67" s="7">
        <v>0</v>
      </c>
      <c r="K67" s="89" t="str">
        <f>IF(ISEVEN(B67),(B67-1)&amp;"/"&amp;B67,B67&amp;"/"&amp;(B67+1))</f>
        <v>4029/4030</v>
      </c>
      <c r="L67" s="185" t="str">
        <f>VLOOKUP(A67,'Trips&amp;Operators'!$C$1:$G$99911,5,FALSE)</f>
        <v>LAMAR NEKESHA</v>
      </c>
      <c r="M67" s="6">
        <f>I67-F67</f>
        <v>2.6238425925839692E-2</v>
      </c>
      <c r="N67" s="7">
        <f>24*60*SUM($M67:$M67)</f>
        <v>37.783333333209157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-25T10:06:28-0600',mode:absolute,to:'2017-10-25T12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23.2971</v>
      </c>
      <c r="Z67" s="204">
        <f>RIGHT(H67,LEN(H67)-4)/10000</f>
        <v>1.52E-2</v>
      </c>
      <c r="AA67" s="204">
        <f>ABS(Z67-Y67)</f>
        <v>23.2819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/stypes="app*4029*20171025*"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154-25 --locoid 4029 --swversion DE.1.0.9.0 --startMP 204:232971 --initTime 2017-10-25T11:06:28 --startdatetime 2017-10-25T11:12:17 --delay 87 --endMP 204:152 --enddatetime 2017-10-25T11:50:04 --enforcementcount 0 &gt;&gt;%USERPROFILE%\Documents\GitHub\eaglep3-reporting\EC\2017-10-25-refined-times.txt</v>
      </c>
      <c r="AI67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{"issue":{"subject":"","project_id":79,"tracker_id":40,"status_id":1,"priority_id":2,"assigned_to_id":338,"start_date":"2017-10-25","description":"","custom_fields":[{"id":1,"name":"Subdivision","value":"EC"},{"id":4,"name":"Milepost","value":"0.0152"},{"id":17,"name":"Train ID","value":"154-25"},{"id":16,"name":"Locomotive ID","value":"4029"},{"id":130,"name":"Impact","value":""},{"id":150,"name":"Time of Event (Mountain Time)","value":"11:50:04"},{"id":151,"name":"Denver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4029 --day 2017-10-25</v>
      </c>
      <c r="AN67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-25T10:06:28-0600',mode:absolute,to:'2017-10-25T12:50:04-0600'))&amp;_a=(columns:!('Message%20ID',Summary),filters:!(),index:'emp_*',interval:auto,query:(query_string:(analyze_wildcard:!t,query:'%22rtdc.l.rtdc.4029%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742</v>
      </c>
      <c r="B68" s="7">
        <v>4006</v>
      </c>
      <c r="C68" s="21" t="s">
        <v>194</v>
      </c>
      <c r="D68" s="21" t="s">
        <v>353</v>
      </c>
      <c r="E68" s="13">
        <v>43033.43246527778</v>
      </c>
      <c r="F68" s="13">
        <v>43033.437731481485</v>
      </c>
      <c r="G68" s="7">
        <v>85</v>
      </c>
      <c r="H68" s="21" t="s">
        <v>901</v>
      </c>
      <c r="I68" s="13">
        <v>43033.462326388886</v>
      </c>
      <c r="J68" s="7">
        <v>0</v>
      </c>
      <c r="K68" s="89" t="str">
        <f>IF(ISEVEN(B68),(B68-1)&amp;"/"&amp;B68,B68&amp;"/"&amp;(B68+1))</f>
        <v>4005/4006</v>
      </c>
      <c r="L68" s="185" t="str">
        <f>VLOOKUP(A68,'Trips&amp;Operators'!$C$1:$G$99911,5,FALSE)</f>
        <v>YANAI IAN</v>
      </c>
      <c r="M68" s="6">
        <f>I68-F68</f>
        <v>2.4594907401478849E-2</v>
      </c>
      <c r="N68" s="7">
        <f>24*60*SUM($M68:$M68)</f>
        <v>35.416666658129543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-25T09:22:45-0600',mode:absolute,to:'2017-10-25T12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4.58E-2</v>
      </c>
      <c r="Z68" s="204">
        <f>RIGHT(H68,LEN(H68)-4)/10000</f>
        <v>23.319299999999998</v>
      </c>
      <c r="AA68" s="204">
        <f>ABS(Z68-Y68)</f>
        <v>23.273499999999999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/stypes="app*4006*20171025*" /stext=" 17:.+((SYSTEM_STATE.+slice.+state.+changed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155-25 --locoid 4006 --swversion DE.1.0.9.0 --startMP 204:458 --initTime 2017-10-25T10:22:45 --startdatetime 2017-10-25T10:30:20 --delay 85 --endMP 204:233193 --enddatetime 2017-10-25T11:05:45 --enforcementcount 0 &gt;&gt;%USERPROFILE%\Documents\GitHub\eaglep3-reporting\EC\2017-10-25-refined-times.txt</v>
      </c>
      <c r="AI68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{"issue":{"subject":"","project_id":79,"tracker_id":40,"status_id":1,"priority_id":2,"assigned_to_id":338,"start_date":"2017-10-25","description":"","custom_fields":[{"id":1,"name":"Subdivision","value":"EC"},{"id":4,"name":"Milepost","value":"23.3193"},{"id":17,"name":"Train ID","value":"155-25"},{"id":16,"name":"Locomotive ID","value":"4006"},{"id":130,"name":"Impact","value":""},{"id":150,"name":"Time of Event (Mountain Time)","value":"11:05:45"},{"id":151,"name":"Denver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4006 --day 2017-10-25</v>
      </c>
      <c r="AN68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-25T09:22:45-0600',mode:absolute,to:'2017-10-25T12:05:45-0600'))&amp;_a=(columns:!('Message%20ID',Summary),filters:!(),index:'emp_*',interval:auto,query:(query_string:(analyze_wildcard:!t,query:'%22rtdc.l.rtdc.4006%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750</v>
      </c>
      <c r="B69" s="7">
        <v>4005</v>
      </c>
      <c r="C69" s="21" t="s">
        <v>194</v>
      </c>
      <c r="D69" s="21" t="s">
        <v>594</v>
      </c>
      <c r="E69" s="13">
        <v>43033.463402777779</v>
      </c>
      <c r="F69" s="13">
        <v>43033.477314814816</v>
      </c>
      <c r="G69" s="7">
        <v>52</v>
      </c>
      <c r="H69" s="21" t="s">
        <v>364</v>
      </c>
      <c r="I69" s="13">
        <v>43033.503159722219</v>
      </c>
      <c r="J69" s="7">
        <v>0</v>
      </c>
      <c r="K69" s="89" t="str">
        <f>IF(ISEVEN(B69),(B69-1)&amp;"/"&amp;B69,B69&amp;"/"&amp;(B69+1))</f>
        <v>4005/4006</v>
      </c>
      <c r="L69" s="185" t="str">
        <f>VLOOKUP(A69,'Trips&amp;Operators'!$C$1:$G$99911,5,FALSE)</f>
        <v>YANAI IAN</v>
      </c>
      <c r="M69" s="6">
        <f>I69-F69</f>
        <v>2.5844907402643003E-2</v>
      </c>
      <c r="N69" s="7">
        <f>24*60*SUM($M69:$M69)</f>
        <v>37.216666659805924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-25T10:07:18-0600',mode:absolute,to:'2017-10-25T13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23.2879</v>
      </c>
      <c r="Z69" s="204">
        <f>RIGHT(H69,LEN(H69)-4)/10000</f>
        <v>1.3899999999999999E-2</v>
      </c>
      <c r="AA69" s="204">
        <f>ABS(Z69-Y69)</f>
        <v>23.274000000000001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/stypes="app*4005*20171025*" /stext=" 18:.+((SYSTEM_STATE.+slice.+state.+changed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156-25 --locoid 4005 --swversion DE.1.0.9.0 --startMP 204:232879 --initTime 2017-10-25T11:07:18 --startdatetime 2017-10-25T11:27:20 --delay 52 --endMP 204:139 --enddatetime 2017-10-25T12:04:33 --enforcementcount 0 &gt;&gt;%USERPROFILE%\Documents\GitHub\eaglep3-reporting\EC\2017-10-25-refined-times.txt</v>
      </c>
      <c r="AI69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{"issue":{"subject":"","project_id":79,"tracker_id":40,"status_id":1,"priority_id":2,"assigned_to_id":338,"start_date":"2017-10-25","description":"","custom_fields":[{"id":1,"name":"Subdivision","value":"EC"},{"id":4,"name":"Milepost","value":"0.0139"},{"id":17,"name":"Train ID","value":"156-25"},{"id":16,"name":"Locomotive ID","value":"4005"},{"id":130,"name":"Impact","value":""},{"id":150,"name":"Time of Event (Mountain Time)","value":"12:04:33"},{"id":151,"name":"Denver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4005 --day 2017-10-25</v>
      </c>
      <c r="AN69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-25T10:07:18-0600',mode:absolute,to:'2017-10-25T13:04:33-0600'))&amp;_a=(columns:!('Message%20ID',Summary),filters:!(),index:'emp_*',interval:auto,query:(query_string:(analyze_wildcard:!t,query:'%22rtdc.l.rtdc.4005%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744</v>
      </c>
      <c r="B70" s="7">
        <v>4050</v>
      </c>
      <c r="C70" s="21" t="s">
        <v>194</v>
      </c>
      <c r="D70" s="21" t="s">
        <v>387</v>
      </c>
      <c r="E70" s="13">
        <v>43033.446076388886</v>
      </c>
      <c r="F70" s="13">
        <v>43033.448391203703</v>
      </c>
      <c r="G70" s="7">
        <v>102</v>
      </c>
      <c r="H70" s="21" t="s">
        <v>902</v>
      </c>
      <c r="I70" s="13">
        <v>43033.473101851851</v>
      </c>
      <c r="J70" s="7">
        <v>0</v>
      </c>
      <c r="K70" s="89" t="str">
        <f>IF(ISEVEN(B70),(B70-1)&amp;"/"&amp;B70,B70&amp;"/"&amp;(B70+1))</f>
        <v>4049/4050</v>
      </c>
      <c r="L70" s="185" t="str">
        <f>VLOOKUP(A70,'Trips&amp;Operators'!$C$1:$G$99911,5,FALSE)</f>
        <v>DAVIS MICHAEL</v>
      </c>
      <c r="M70" s="6">
        <f>I70-F70</f>
        <v>2.47106481474475E-2</v>
      </c>
      <c r="N70" s="7">
        <f>24*60*SUM($M70:$M70)</f>
        <v>35.583333332324401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-25T09:42:21-0600',mode:absolute,to:'2017-10-25T12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4.6399999999999997E-2</v>
      </c>
      <c r="Z70" s="204">
        <f>RIGHT(H70,LEN(H70)-4)/10000</f>
        <v>23.328399999999998</v>
      </c>
      <c r="AA70" s="204">
        <f>ABS(Z70-Y70)</f>
        <v>23.282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/stypes="app*4050*20171025*" /stext=" 17:.+((SYSTEM_STATE.+slice.+state.+changed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157-25 --locoid 4050 --swversion DE.1.0.9.0 --startMP 204:464 --initTime 2017-10-25T10:42:21 --startdatetime 2017-10-25T10:45:41 --delay 102 --endMP 204:233284 --enddatetime 2017-10-25T11:21:16 --enforcementcount 0 &gt;&gt;%USERPROFILE%\Documents\GitHub\eaglep3-reporting\EC\2017-10-25-refined-times.txt</v>
      </c>
      <c r="AI70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{"issue":{"subject":"","project_id":79,"tracker_id":40,"status_id":1,"priority_id":2,"assigned_to_id":338,"start_date":"2017-10-25","description":"","custom_fields":[{"id":1,"name":"Subdivision","value":"EC"},{"id":4,"name":"Milepost","value":"23.3284"},{"id":17,"name":"Train ID","value":"157-25"},{"id":16,"name":"Locomotive ID","value":"4050"},{"id":130,"name":"Impact","value":""},{"id":150,"name":"Time of Event (Mountain Time)","value":"11:21:16"},{"id":151,"name":"Denver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4050 --day 2017-10-25</v>
      </c>
      <c r="AN70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-25T09:42:21-0600',mode:absolute,to:'2017-10-25T12:21:16-0600'))&amp;_a=(columns:!('Message%20ID',Summary),filters:!(),index:'emp_*',interval:auto,query:(query_string:(analyze_wildcard:!t,query:'%22rtdc.l.rtdc.4050%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755</v>
      </c>
      <c r="B71" s="7">
        <v>4049</v>
      </c>
      <c r="C71" s="21" t="s">
        <v>194</v>
      </c>
      <c r="D71" s="21" t="s">
        <v>581</v>
      </c>
      <c r="E71" s="13">
        <v>43033.485520833332</v>
      </c>
      <c r="F71" s="13">
        <v>43033.488136574073</v>
      </c>
      <c r="G71" s="7">
        <v>76</v>
      </c>
      <c r="H71" s="21" t="s">
        <v>544</v>
      </c>
      <c r="I71" s="13">
        <v>43033.516261574077</v>
      </c>
      <c r="J71" s="7">
        <v>0</v>
      </c>
      <c r="K71" s="89" t="str">
        <f>IF(ISEVEN(B71),(B71-1)&amp;"/"&amp;B71,B71&amp;"/"&amp;(B71+1))</f>
        <v>4049/4050</v>
      </c>
      <c r="L71" s="185" t="str">
        <f>VLOOKUP(A71,'Trips&amp;Operators'!$C$1:$G$99911,5,FALSE)</f>
        <v>DAVIS MICHAEL</v>
      </c>
      <c r="M71" s="6">
        <f>I71-F71</f>
        <v>2.8125000004365575E-2</v>
      </c>
      <c r="N71" s="7">
        <f>24*60*SUM($M71:$M71)</f>
        <v>40.500000006286427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-25T10:39:09-0600',mode:absolute,to:'2017-10-25T13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23.299199999999999</v>
      </c>
      <c r="Z71" s="204">
        <f>RIGHT(H71,LEN(H71)-4)/10000</f>
        <v>1.7600000000000001E-2</v>
      </c>
      <c r="AA71" s="204">
        <f>ABS(Z71-Y71)</f>
        <v>23.281599999999997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/stypes="app*4049*20171025*" /stext=" 18:.+((SYSTEM_STATE.+slice.+state.+changed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158-25 --locoid 4049 --swversion DE.1.0.9.0 --startMP 204:232992 --initTime 2017-10-25T11:39:09 --startdatetime 2017-10-25T11:42:55 --delay 76 --endMP 204:176 --enddatetime 2017-10-25T12:23:25 --enforcementcount 0 &gt;&gt;%USERPROFILE%\Documents\GitHub\eaglep3-reporting\EC\2017-10-25-refined-times.txt</v>
      </c>
      <c r="AI71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{"issue":{"subject":"","project_id":79,"tracker_id":40,"status_id":1,"priority_id":2,"assigned_to_id":338,"start_date":"2017-10-25","description":"","custom_fields":[{"id":1,"name":"Subdivision","value":"EC"},{"id":4,"name":"Milepost","value":"0.0176"},{"id":17,"name":"Train ID","value":"158-25"},{"id":16,"name":"Locomotive ID","value":"4049"},{"id":130,"name":"Impact","value":""},{"id":150,"name":"Time of Event (Mountain Time)","value":"12:23:25"},{"id":151,"name":"Denver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4049 --day 2017-10-25</v>
      </c>
      <c r="AN71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-25T10:39:09-0600',mode:absolute,to:'2017-10-25T13:23:25-0600'))&amp;_a=(columns:!('Message%20ID',Summary),filters:!(),index:'emp_*',interval:auto,query:(query_string:(analyze_wildcard:!t,query:'%22rtdc.l.rtdc.4049%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747</v>
      </c>
      <c r="B72" s="7">
        <v>4008</v>
      </c>
      <c r="C72" s="21" t="s">
        <v>194</v>
      </c>
      <c r="D72" s="21" t="s">
        <v>392</v>
      </c>
      <c r="E72" s="13">
        <v>43033.453449074077</v>
      </c>
      <c r="F72" s="13">
        <v>43033.458495370367</v>
      </c>
      <c r="G72" s="7">
        <v>50</v>
      </c>
      <c r="H72" s="21" t="s">
        <v>523</v>
      </c>
      <c r="I72" s="13">
        <v>43033.483310185184</v>
      </c>
      <c r="J72" s="7">
        <v>0</v>
      </c>
      <c r="K72" s="89" t="str">
        <f>IF(ISEVEN(B72),(B72-1)&amp;"/"&amp;B72,B72&amp;"/"&amp;(B72+1))</f>
        <v>4007/4008</v>
      </c>
      <c r="L72" s="185" t="str">
        <f>VLOOKUP(A72,'Trips&amp;Operators'!$C$1:$G$99911,5,FALSE)</f>
        <v>FORTUNATO FRANK</v>
      </c>
      <c r="M72" s="6">
        <f>I72-F72</f>
        <v>2.4814814816636499E-2</v>
      </c>
      <c r="N72" s="7">
        <f>24*60*SUM($M72:$M72)</f>
        <v>35.733333335956559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-25T09:52:58-0600',mode:absolute,to:'2017-10-25T12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4.6199999999999998E-2</v>
      </c>
      <c r="Z72" s="204">
        <f>RIGHT(H72,LEN(H72)-4)/10000</f>
        <v>23.3306</v>
      </c>
      <c r="AA72" s="204">
        <f>ABS(Z72-Y72)</f>
        <v>23.284400000000002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/stypes="app*4008*20171025*" /stext=" 17:.+((SYSTEM_STATE.+slice.+state.+changed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159-25 --locoid 4008 --swversion DE.1.0.9.0 --startMP 204:462 --initTime 2017-10-25T10:52:58 --startdatetime 2017-10-25T11:00:14 --delay 50 --endMP 204:233306 --enddatetime 2017-10-25T11:35:58 --enforcementcount 0 &gt;&gt;%USERPROFILE%\Documents\GitHub\eaglep3-reporting\EC\2017-10-25-refined-times.txt</v>
      </c>
      <c r="AI72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{"issue":{"subject":"","project_id":79,"tracker_id":40,"status_id":1,"priority_id":2,"assigned_to_id":338,"start_date":"2017-10-25","description":"","custom_fields":[{"id":1,"name":"Subdivision","value":"EC"},{"id":4,"name":"Milepost","value":"23.3306"},{"id":17,"name":"Train ID","value":"159-25"},{"id":16,"name":"Locomotive ID","value":"4008"},{"id":130,"name":"Impact","value":""},{"id":150,"name":"Time of Event (Mountain Time)","value":"11:35:58"},{"id":151,"name":"Denver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4008 --day 2017-10-25</v>
      </c>
      <c r="AN72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-25T09:52:58-0600',mode:absolute,to:'2017-10-25T12:35:58-0600'))&amp;_a=(columns:!('Message%20ID',Summary),filters:!(),index:'emp_*',interval:auto,query:(query_string:(analyze_wildcard:!t,query:'%22rtdc.l.rtdc.4008%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647</v>
      </c>
      <c r="B73" s="7">
        <v>4007</v>
      </c>
      <c r="C73" s="21" t="s">
        <v>194</v>
      </c>
      <c r="D73" s="21" t="s">
        <v>393</v>
      </c>
      <c r="E73" s="13">
        <v>43033.48510416667</v>
      </c>
      <c r="F73" s="13">
        <v>43033.498078703706</v>
      </c>
      <c r="G73" s="7">
        <v>53</v>
      </c>
      <c r="H73" s="21" t="s">
        <v>399</v>
      </c>
      <c r="I73" s="13">
        <v>43033.524513888886</v>
      </c>
      <c r="J73" s="7">
        <v>0</v>
      </c>
      <c r="K73" s="89" t="str">
        <f>IF(ISEVEN(B73),(B73-1)&amp;"/"&amp;B73,B73&amp;"/"&amp;(B73+1))</f>
        <v>4007/4008</v>
      </c>
      <c r="L73" s="185" t="str">
        <f>VLOOKUP(A73,'Trips&amp;Operators'!$C$1:$G$99911,5,FALSE)</f>
        <v>FORTUNATO FRANK</v>
      </c>
      <c r="M73" s="6">
        <f>I73-F73</f>
        <v>2.643518518016208E-2</v>
      </c>
      <c r="N73" s="7">
        <f>24*60*SUM($M73:$M73)</f>
        <v>38.066666659433395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-25T10:38:33-0600',mode:absolute,to:'2017-10-25T13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23.2989</v>
      </c>
      <c r="Z73" s="204">
        <f>RIGHT(H73,LEN(H73)-4)/10000</f>
        <v>1.3599999999999999E-2</v>
      </c>
      <c r="AA73" s="204">
        <f>ABS(Z73-Y73)</f>
        <v>23.285299999999999</v>
      </c>
      <c r="AB73" s="54" t="str">
        <f>VLOOKUP(A73,Enforcements!$C$7:$K$11,8,0)</f>
        <v>Bulletin (2)</v>
      </c>
      <c r="AC73" s="51" t="str">
        <f>VLOOKUP(A73,Enforcements!$C$7:$E$11,3,0)</f>
        <v>GRADE CROSSING</v>
      </c>
      <c r="AD73" s="179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/stypes="app*4007*20171025*" /stext=" 18:.+((SYSTEM_STATE.+slice.+state.+changed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160-25 --locoid 4007 --swversion DE.1.0.9.0 --startMP 204:232989 --initTime 2017-10-25T11:38:33 --startdatetime 2017-10-25T11:57:14 --delay 53 --endMP 204:136 --enddatetime 2017-10-25T12:35:18 --enforcementcount 0 &gt;&gt;%USERPROFILE%\Documents\GitHub\eaglep3-reporting\EC\2017-10-25-refined-times.txt</v>
      </c>
      <c r="AI73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{"issue":{"subject":"","project_id":79,"tracker_id":40,"status_id":1,"priority_id":2,"assigned_to_id":338,"start_date":"2017-10-25","description":"","custom_fields":[{"id":1,"name":"Subdivision","value":"EC"},{"id":4,"name":"Milepost","value":"0.0136"},{"id":17,"name":"Train ID","value":"160-25"},{"id":16,"name":"Locomotive ID","value":"4007"},{"id":130,"name":"Impact","value":""},{"id":150,"name":"Time of Event (Mountain Time)","value":"12:35:18"},{"id":151,"name":"Denver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4007 --day 2017-10-25</v>
      </c>
      <c r="AN73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-25T10:38:33-0600',mode:absolute,to:'2017-10-25T13:35:18-0600'))&amp;_a=(columns:!('Message%20ID',Summary),filters:!(),index:'emp_*',interval:auto,query:(query_string:(analyze_wildcard:!t,query:'%22rtdc.l.rtdc.4007%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751</v>
      </c>
      <c r="B74" s="7">
        <v>4018</v>
      </c>
      <c r="C74" s="21" t="s">
        <v>194</v>
      </c>
      <c r="D74" s="21" t="s">
        <v>903</v>
      </c>
      <c r="E74" s="13">
        <v>43033.464745370373</v>
      </c>
      <c r="F74" s="13">
        <v>43033.469027777777</v>
      </c>
      <c r="G74" s="7">
        <v>120</v>
      </c>
      <c r="H74" s="21" t="s">
        <v>580</v>
      </c>
      <c r="I74" s="13">
        <v>43033.49322916667</v>
      </c>
      <c r="J74" s="7">
        <v>0</v>
      </c>
      <c r="K74" s="89" t="str">
        <f>IF(ISEVEN(B74),(B74-1)&amp;"/"&amp;B74,B74&amp;"/"&amp;(B74+1))</f>
        <v>4017/4018</v>
      </c>
      <c r="L74" s="185" t="str">
        <f>VLOOKUP(A74,'Trips&amp;Operators'!$C$1:$G$99911,5,FALSE)</f>
        <v>BRUDER RICHARD</v>
      </c>
      <c r="M74" s="6">
        <f>I74-F74</f>
        <v>2.4201388892834075E-2</v>
      </c>
      <c r="N74" s="7">
        <f>24*60*SUM($M74:$M74)</f>
        <v>34.850000005681068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-25T10:09:14-0600',mode:absolute,to:'2017-10-25T12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6.3100000000000003E-2</v>
      </c>
      <c r="Z74" s="204">
        <f>RIGHT(H74,LEN(H74)-4)/10000</f>
        <v>23.329899999999999</v>
      </c>
      <c r="AA74" s="204">
        <f>ABS(Z74-Y74)</f>
        <v>23.2668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/stypes="app*4018*20171025*" /stext=" 17:.+((SYSTEM_STATE.+slice.+state.+changed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161-25 --locoid 4018 --swversion DE.1.0.9.0 --startMP 204:631 --initTime 2017-10-25T11:09:14 --startdatetime 2017-10-25T11:15:24 --delay 120 --endMP 204:233299 --enddatetime 2017-10-25T11:50:15 --enforcementcount 0 &gt;&gt;%USERPROFILE%\Documents\GitHub\eaglep3-reporting\EC\2017-10-25-refined-times.txt</v>
      </c>
      <c r="AI74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{"issue":{"subject":"","project_id":79,"tracker_id":40,"status_id":1,"priority_id":2,"assigned_to_id":338,"start_date":"2017-10-25","description":"","custom_fields":[{"id":1,"name":"Subdivision","value":"EC"},{"id":4,"name":"Milepost","value":"23.3299"},{"id":17,"name":"Train ID","value":"161-25"},{"id":16,"name":"Locomotive ID","value":"4018"},{"id":130,"name":"Impact","value":""},{"id":150,"name":"Time of Event (Mountain Time)","value":"11:50:15"},{"id":151,"name":"Denver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4018 --day 2017-10-25</v>
      </c>
      <c r="AN74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-25T10:09:14-0600',mode:absolute,to:'2017-10-25T12:50:15-0600'))&amp;_a=(columns:!('Message%20ID',Summary),filters:!(),index:'emp_*',interval:auto,query:(query_string:(analyze_wildcard:!t,query:'%22rtdc.l.rtdc.4018%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760</v>
      </c>
      <c r="B75" s="7">
        <v>4017</v>
      </c>
      <c r="C75" s="21" t="s">
        <v>194</v>
      </c>
      <c r="D75" s="21" t="s">
        <v>413</v>
      </c>
      <c r="E75" s="13">
        <v>43033.505462962959</v>
      </c>
      <c r="F75" s="13">
        <v>43033.508553240739</v>
      </c>
      <c r="G75" s="7">
        <v>100</v>
      </c>
      <c r="H75" s="21" t="s">
        <v>335</v>
      </c>
      <c r="I75" s="13">
        <v>43033.534444444442</v>
      </c>
      <c r="J75" s="7">
        <v>0</v>
      </c>
      <c r="K75" s="89" t="str">
        <f>IF(ISEVEN(B75),(B75-1)&amp;"/"&amp;B75,B75&amp;"/"&amp;(B75+1))</f>
        <v>4017/4018</v>
      </c>
      <c r="L75" s="185" t="str">
        <f>VLOOKUP(A75,'Trips&amp;Operators'!$C$1:$G$99911,5,FALSE)</f>
        <v>BRUDER RICHARD</v>
      </c>
      <c r="M75" s="6">
        <f>I75-F75</f>
        <v>2.5891203702485655E-2</v>
      </c>
      <c r="N75" s="7">
        <f>24*60*SUM($M75:$M75)</f>
        <v>37.283333331579342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-25T11:07:52-0600',mode:absolute,to:'2017-10-25T13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23.297999999999998</v>
      </c>
      <c r="Z75" s="204">
        <f>RIGHT(H75,LEN(H75)-4)/10000</f>
        <v>1.4999999999999999E-2</v>
      </c>
      <c r="AA75" s="204">
        <f>ABS(Z75-Y75)</f>
        <v>23.282999999999998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/stypes="app*4017*20171025*"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162-25 --locoid 4017 --swversion DE.1.0.9.0 --startMP 204:232980 --initTime 2017-10-25T12:07:52 --startdatetime 2017-10-25T12:12:19 --delay 100 --endMP 204:150 --enddatetime 2017-10-25T12:49:36 --enforcementcount 0 &gt;&gt;%USERPROFILE%\Documents\GitHub\eaglep3-reporting\EC\2017-10-25-refined-times.txt</v>
      </c>
      <c r="AI75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{"issue":{"subject":"","project_id":79,"tracker_id":40,"status_id":1,"priority_id":2,"assigned_to_id":338,"start_date":"2017-10-25","description":"","custom_fields":[{"id":1,"name":"Subdivision","value":"EC"},{"id":4,"name":"Milepost","value":"0.015"},{"id":17,"name":"Train ID","value":"162-25"},{"id":16,"name":"Locomotive ID","value":"4017"},{"id":130,"name":"Impact","value":""},{"id":150,"name":"Time of Event (Mountain Time)","value":"12:49:36"},{"id":151,"name":"Denver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4017 --day 2017-10-25</v>
      </c>
      <c r="AN75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-25T11:07:52-0600',mode:absolute,to:'2017-10-25T13:49:36-0600'))&amp;_a=(columns:!('Message%20ID',Summary),filters:!(),index:'emp_*',interval:auto,query:(query_string:(analyze_wildcard:!t,query:'%22rtdc.l.rtdc.4017%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752</v>
      </c>
      <c r="B76" s="7">
        <v>4036</v>
      </c>
      <c r="C76" s="21" t="s">
        <v>194</v>
      </c>
      <c r="D76" s="21" t="s">
        <v>904</v>
      </c>
      <c r="E76" s="13">
        <v>43033.474745370368</v>
      </c>
      <c r="F76" s="13">
        <v>43033.479525462964</v>
      </c>
      <c r="G76" s="7">
        <v>82</v>
      </c>
      <c r="H76" s="21" t="s">
        <v>905</v>
      </c>
      <c r="I76" s="13">
        <v>43033.504837962966</v>
      </c>
      <c r="J76" s="7">
        <v>0</v>
      </c>
      <c r="K76" s="89" t="str">
        <f>IF(ISEVEN(B76),(B76-1)&amp;"/"&amp;B76,B76&amp;"/"&amp;(B76+1))</f>
        <v>4035/4036</v>
      </c>
      <c r="L76" s="185" t="str">
        <f>VLOOKUP(A76,'Trips&amp;Operators'!$C$1:$G$99911,5,FALSE)</f>
        <v>STEWART MICHAEL</v>
      </c>
      <c r="M76" s="6">
        <f>I76-F76</f>
        <v>2.531250000174623E-2</v>
      </c>
      <c r="N76" s="7">
        <f>24*60*SUM($M76:$M76)</f>
        <v>36.450000002514571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-25T10:23:38-0600',mode:absolute,to:'2017-10-25T13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4.8000000000000001E-2</v>
      </c>
      <c r="Z76" s="204">
        <f>RIGHT(H76,LEN(H76)-4)/10000</f>
        <v>23.3247</v>
      </c>
      <c r="AA76" s="204">
        <f>ABS(Z76-Y76)</f>
        <v>23.276700000000002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/stypes="app*4036*20171025*" /stext=" 18:.+((SYSTEM_STATE.+slice.+state.+changed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163-25 --locoid 4036 --swversion DE.1.0.9.0 --startMP 204:480 --initTime 2017-10-25T11:23:38 --startdatetime 2017-10-25T11:30:31 --delay 82 --endMP 204:233247 --enddatetime 2017-10-25T12:06:58 --enforcementcount 0 &gt;&gt;%USERPROFILE%\Documents\GitHub\eaglep3-reporting\EC\2017-10-25-refined-times.txt</v>
      </c>
      <c r="AI76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{"issue":{"subject":"","project_id":79,"tracker_id":40,"status_id":1,"priority_id":2,"assigned_to_id":338,"start_date":"2017-10-25","description":"","custom_fields":[{"id":1,"name":"Subdivision","value":"EC"},{"id":4,"name":"Milepost","value":"23.3247"},{"id":17,"name":"Train ID","value":"163-25"},{"id":16,"name":"Locomotive ID","value":"4036"},{"id":130,"name":"Impact","value":""},{"id":150,"name":"Time of Event (Mountain Time)","value":"12:06:58"},{"id":151,"name":"Denver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4036 --day 2017-10-25</v>
      </c>
      <c r="AN76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-25T10:23:38-0600',mode:absolute,to:'2017-10-25T13:06:58-0600'))&amp;_a=(columns:!('Message%20ID',Summary),filters:!(),index:'emp_*',interval:auto,query:(query_string:(analyze_wildcard:!t,query:'%22rtdc.l.rtdc.4036%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761</v>
      </c>
      <c r="B77" s="7">
        <v>4035</v>
      </c>
      <c r="C77" s="21" t="s">
        <v>194</v>
      </c>
      <c r="D77" s="21" t="s">
        <v>906</v>
      </c>
      <c r="E77" s="13">
        <v>43033.515057870369</v>
      </c>
      <c r="F77" s="13">
        <v>43033.518993055557</v>
      </c>
      <c r="G77" s="7">
        <v>62</v>
      </c>
      <c r="H77" s="21" t="s">
        <v>907</v>
      </c>
      <c r="I77" s="13">
        <v>43033.545277777775</v>
      </c>
      <c r="J77" s="7">
        <v>0</v>
      </c>
      <c r="K77" s="89" t="str">
        <f>IF(ISEVEN(B77),(B77-1)&amp;"/"&amp;B77,B77&amp;"/"&amp;(B77+1))</f>
        <v>4035/4036</v>
      </c>
      <c r="L77" s="185" t="str">
        <f>VLOOKUP(A77,'Trips&amp;Operators'!$C$1:$G$99911,5,FALSE)</f>
        <v>STEWART MICHAEL</v>
      </c>
      <c r="M77" s="6">
        <f>I77-F77</f>
        <v>2.6284722218406387E-2</v>
      </c>
      <c r="N77" s="7">
        <f>24*60*SUM($M77:$M77)</f>
        <v>37.849999994505197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-25T11:21:41-0600',mode:absolute,to:'2017-10-25T14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23.2925</v>
      </c>
      <c r="Z77" s="204">
        <f>RIGHT(H77,LEN(H77)-4)/10000</f>
        <v>2.6499999999999999E-2</v>
      </c>
      <c r="AA77" s="204">
        <f>ABS(Z77-Y77)</f>
        <v>23.266000000000002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/stypes="app*4035*20171025*" /stext=" 19:.+((SYSTEM_STATE.+slice.+state.+changed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164-25 --locoid 4035 --swversion DE.1.0.9.0 --startMP 204:232925 --initTime 2017-10-25T12:21:41 --startdatetime 2017-10-25T12:27:21 --delay 62 --endMP 204:265 --enddatetime 2017-10-25T13:05:12 --enforcementcount 0 &gt;&gt;%USERPROFILE%\Documents\GitHub\eaglep3-reporting\EC\2017-10-25-refined-times.txt</v>
      </c>
      <c r="AI77" s="96" t="str">
        <f t="shared" si="6"/>
        <v>echo {"issue":{"subject":"","project_id":79,"tracker_id":40,"status_id":1,"priority_id":2,"assigned_to_id":338,"start_date":"2017-10-25","description":"","custom_fields":[{"id":1,"name":"Subdivision","value":"EC"},{"id":4,"name":"Milepost","value":"0.0265"},{"id":17,"name":"Train ID","value":"164-25"},{"id":16,"name":"Locomotive ID","value":"4035"},{"id":130,"name":"Impact","value":""},{"id":150,"name":"Time of Event (Mountain Time)","value":"13:05:12"},{"id":151,"name":"Denver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4035 --day 2017-10-25</v>
      </c>
      <c r="AN77" s="151" t="str">
        <f t="shared" si="8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-25T11:21:41-0600',mode:absolute,to:'2017-10-25T14:05:12-0600'))&amp;_a=(columns:!('Message%20ID',Summary),filters:!(),index:'emp_*',interval:auto,query:(query_string:(analyze_wildcard:!t,query:'%22rtdc.l.rtdc.4035%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756</v>
      </c>
      <c r="B78" s="7">
        <v>4046</v>
      </c>
      <c r="C78" s="21" t="s">
        <v>194</v>
      </c>
      <c r="D78" s="21" t="s">
        <v>591</v>
      </c>
      <c r="E78" s="13">
        <v>43033.485509259262</v>
      </c>
      <c r="F78" s="13">
        <v>43033.489756944444</v>
      </c>
      <c r="G78" s="7">
        <v>91</v>
      </c>
      <c r="H78" s="21" t="s">
        <v>908</v>
      </c>
      <c r="I78" s="13">
        <v>43033.513761574075</v>
      </c>
      <c r="J78" s="7">
        <v>0</v>
      </c>
      <c r="K78" s="89" t="str">
        <f>IF(ISEVEN(B78),(B78-1)&amp;"/"&amp;B78,B78&amp;"/"&amp;(B78+1))</f>
        <v>4045/4046</v>
      </c>
      <c r="L78" s="185" t="str">
        <f>VLOOKUP(A78,'Trips&amp;Operators'!$C$1:$G$99911,5,FALSE)</f>
        <v>GUZMAN DANNY</v>
      </c>
      <c r="M78" s="6">
        <f>I78-F78</f>
        <v>2.400462963123573E-2</v>
      </c>
      <c r="N78" s="7">
        <f>24*60*SUM($M78:$M78)</f>
        <v>34.566666668979451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-25T10:39:08-0600',mode:absolute,to:'2017-10-25T13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4.4400000000000002E-2</v>
      </c>
      <c r="Z78" s="204">
        <f>RIGHT(H78,LEN(H78)-4)/10000</f>
        <v>23.325500000000002</v>
      </c>
      <c r="AA78" s="204">
        <f>ABS(Z78-Y78)</f>
        <v>23.281100000000002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/stypes="app*4046*20171025*" /stext=" 18:.+((SYSTEM_STATE.+slice.+state.+changed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2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165-25 --locoid 4046 --swversion DE.1.0.9.0 --startMP 204:444 --initTime 2017-10-25T11:39:08 --startdatetime 2017-10-25T11:45:15 --delay 91 --endMP 204:233255 --enddatetime 2017-10-25T12:19:49 --enforcementcount 0 &gt;&gt;%USERPROFILE%\Documents\GitHub\eaglep3-reporting\EC\2017-10-25-refined-times.txt</v>
      </c>
      <c r="AI78" s="96" t="str">
        <f t="shared" ref="AI78:AI142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{"issue":{"subject":"","project_id":79,"tracker_id":40,"status_id":1,"priority_id":2,"assigned_to_id":338,"start_date":"2017-10-25","description":"","custom_fields":[{"id":1,"name":"Subdivision","value":"EC"},{"id":4,"name":"Milepost","value":"23.3255"},{"id":17,"name":"Train ID","value":"165-25"},{"id":16,"name":"Locomotive ID","value":"4046"},{"id":130,"name":"Impact","value":""},{"id":150,"name":"Time of Event (Mountain Time)","value":"12:19:49"},{"id":151,"name":"Denver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2" si="12">"start /low /b "&amp;dls3logs&amp;" --loco "&amp;B78&amp;" --day "&amp;TEXT(F78,"YYYY-MM-DD")</f>
        <v>start /low /b %USERPROFILE%\Documents\GitHub\eaglep3\Utilities\DownloadLogsFromS3.py --loco 4046 --day 2017-10-25</v>
      </c>
      <c r="AN78" s="151" t="str">
        <f t="shared" ref="AN78:AN142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2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-25T10:39:08-0600',mode:absolute,to:'2017-10-25T13:19:49-0600'))&amp;_a=(columns:!('Message%20ID',Summary),filters:!(),index:'emp_*',interval:auto,query:(query_string:(analyze_wildcard:!t,query:'%22rtdc.l.rtdc.4046%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762</v>
      </c>
      <c r="B79" s="7">
        <v>4045</v>
      </c>
      <c r="C79" s="21" t="s">
        <v>194</v>
      </c>
      <c r="D79" s="21" t="s">
        <v>909</v>
      </c>
      <c r="E79" s="13">
        <v>43033.515150462961</v>
      </c>
      <c r="F79" s="13">
        <v>43033.529374999998</v>
      </c>
      <c r="G79" s="7">
        <v>65</v>
      </c>
      <c r="H79" s="21" t="s">
        <v>910</v>
      </c>
      <c r="I79" s="13">
        <v>43033.555601851855</v>
      </c>
      <c r="J79" s="7">
        <v>0</v>
      </c>
      <c r="K79" s="89" t="str">
        <f>IF(ISEVEN(B79),(B79-1)&amp;"/"&amp;B79,B79&amp;"/"&amp;(B79+1))</f>
        <v>4045/4046</v>
      </c>
      <c r="L79" s="185" t="str">
        <f>VLOOKUP(A79,'Trips&amp;Operators'!$C$1:$G$99911,5,FALSE)</f>
        <v>GUZMAN DANNY</v>
      </c>
      <c r="M79" s="6">
        <f>I79-F79</f>
        <v>2.6226851856335998E-2</v>
      </c>
      <c r="N79" s="7">
        <f>24*60*SUM($M79:$M79)</f>
        <v>37.766666673123837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-25T11:21:49-0600',mode:absolute,to:'2017-10-25T14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23.292899999999999</v>
      </c>
      <c r="Z79" s="204">
        <f>RIGHT(H79,LEN(H79)-4)/10000</f>
        <v>2.3800000000000002E-2</v>
      </c>
      <c r="AA79" s="204">
        <f>ABS(Z79-Y79)</f>
        <v>23.269099999999998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/stypes="app*4045*20171025*" /stext=" 19:.+((SYSTEM_STATE.+slice.+state.+changed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166-25 --locoid 4045 --swversion DE.1.0.9.0 --startMP 204:232929 --initTime 2017-10-25T12:21:49 --startdatetime 2017-10-25T12:42:18 --delay 65 --endMP 204:238 --enddatetime 2017-10-25T13:20:04 --enforcementcount 0 &gt;&gt;%USERPROFILE%\Documents\GitHub\eaglep3-reporting\EC\2017-10-25-refined-times.txt</v>
      </c>
      <c r="AI79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{"issue":{"subject":"","project_id":79,"tracker_id":40,"status_id":1,"priority_id":2,"assigned_to_id":338,"start_date":"2017-10-25","description":"","custom_fields":[{"id":1,"name":"Subdivision","value":"EC"},{"id":4,"name":"Milepost","value":"0.0238"},{"id":17,"name":"Train ID","value":"166-25"},{"id":16,"name":"Locomotive ID","value":"4045"},{"id":130,"name":"Impact","value":""},{"id":150,"name":"Time of Event (Mountain Time)","value":"13:20:04"},{"id":151,"name":"Denver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4045 --day 2017-10-25</v>
      </c>
      <c r="AN79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-10-25T11:21:49-0600',mode:absolute,to:'2017-10-25T14:20:04-0600'))&amp;_a=(columns:!('Message%20ID',Summary),filters:!(),index:'emp_*',interval:auto,query:(query_string:(analyze_wildcard:!t,query:'%22rtdc.l.rtdc.4045%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757</v>
      </c>
      <c r="B80" s="7">
        <v>4030</v>
      </c>
      <c r="C80" s="21" t="s">
        <v>194</v>
      </c>
      <c r="D80" s="21" t="s">
        <v>365</v>
      </c>
      <c r="E80" s="13">
        <v>43033.495219907411</v>
      </c>
      <c r="F80" s="13">
        <v>43033.500173611108</v>
      </c>
      <c r="G80" s="7">
        <v>137</v>
      </c>
      <c r="H80" s="21" t="s">
        <v>911</v>
      </c>
      <c r="I80" s="13">
        <v>43033.525138888886</v>
      </c>
      <c r="J80" s="7">
        <v>0</v>
      </c>
      <c r="K80" s="89" t="str">
        <f>IF(ISEVEN(B80),(B80-1)&amp;"/"&amp;B80,B80&amp;"/"&amp;(B80+1))</f>
        <v>4029/4030</v>
      </c>
      <c r="L80" s="185" t="str">
        <f>VLOOKUP(A80,'Trips&amp;Operators'!$C$1:$G$99911,5,FALSE)</f>
        <v>LEVIN SCOTT</v>
      </c>
      <c r="M80" s="6">
        <f>I80-F80</f>
        <v>2.4965277778392192E-2</v>
      </c>
      <c r="N80" s="7">
        <f>24*60*SUM($M80:$M80)</f>
        <v>35.950000000884756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-25T10:53:07-0600',mode:absolute,to:'2017-10-25T13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4.7100000000000003E-2</v>
      </c>
      <c r="Z80" s="204">
        <f>RIGHT(H80,LEN(H80)-4)/10000</f>
        <v>23.3291</v>
      </c>
      <c r="AA80" s="204">
        <f>ABS(Z80-Y80)</f>
        <v>23.282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/stypes="app*4030*20171025*" /stext=" 18:.+((SYSTEM_STATE.+slice.+state.+changed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167-25 --locoid 4030 --swversion DE.1.0.9.0 --startMP 204:471 --initTime 2017-10-25T11:53:07 --startdatetime 2017-10-25T12:00:15 --delay 137 --endMP 204:233291 --enddatetime 2017-10-25T12:36:12 --enforcementcount 0 &gt;&gt;%USERPROFILE%\Documents\GitHub\eaglep3-reporting\EC\2017-10-25-refined-times.txt</v>
      </c>
      <c r="AI80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{"issue":{"subject":"","project_id":79,"tracker_id":40,"status_id":1,"priority_id":2,"assigned_to_id":338,"start_date":"2017-10-25","description":"","custom_fields":[{"id":1,"name":"Subdivision","value":"EC"},{"id":4,"name":"Milepost","value":"23.3291"},{"id":17,"name":"Train ID","value":"167-25"},{"id":16,"name":"Locomotive ID","value":"4030"},{"id":130,"name":"Impact","value":""},{"id":150,"name":"Time of Event (Mountain Time)","value":"12:36:12"},{"id":151,"name":"Denver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4030 --day 2017-10-25</v>
      </c>
      <c r="AN80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-10-25T10:53:07-0600',mode:absolute,to:'2017-10-25T13:36:12-0600'))&amp;_a=(columns:!('Message%20ID',Summary),filters:!(),index:'emp_*',interval:auto,query:(query_string:(analyze_wildcard:!t,query:'%22rtdc.l.rtdc.4030%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767</v>
      </c>
      <c r="B81" s="7">
        <v>4029</v>
      </c>
      <c r="C81" s="21" t="s">
        <v>194</v>
      </c>
      <c r="D81" s="21" t="s">
        <v>540</v>
      </c>
      <c r="E81" s="13">
        <v>43033.537141203706</v>
      </c>
      <c r="F81" s="13">
        <v>43033.53974537037</v>
      </c>
      <c r="G81" s="7">
        <v>92</v>
      </c>
      <c r="H81" s="21" t="s">
        <v>361</v>
      </c>
      <c r="I81" s="13">
        <v>43033.566168981481</v>
      </c>
      <c r="J81" s="7">
        <v>0</v>
      </c>
      <c r="K81" s="89" t="str">
        <f>IF(ISEVEN(B81),(B81-1)&amp;"/"&amp;B81,B81&amp;"/"&amp;(B81+1))</f>
        <v>4029/4030</v>
      </c>
      <c r="L81" s="185" t="str">
        <f>VLOOKUP(A81,'Trips&amp;Operators'!$C$1:$G$99911,5,FALSE)</f>
        <v>LEVIN SCOTT</v>
      </c>
      <c r="M81" s="6">
        <f>I81-F81</f>
        <v>2.6423611110658385E-2</v>
      </c>
      <c r="N81" s="7">
        <f>24*60*SUM($M81:$M81)</f>
        <v>38.049999999348074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-25T11:53:29-0600',mode:absolute,to:'2017-10-25T14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23.297899999999998</v>
      </c>
      <c r="Z81" s="204">
        <f>RIGHT(H81,LEN(H81)-4)/10000</f>
        <v>1.5800000000000002E-2</v>
      </c>
      <c r="AA81" s="204">
        <f>ABS(Z81-Y81)</f>
        <v>23.2821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/stypes="app*4029*20171025*" /stext=" 19:.+((SYSTEM_STATE.+slice.+state.+changed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168-25 --locoid 4029 --swversion DE.1.0.9.0 --startMP 204:232979 --initTime 2017-10-25T12:53:29 --startdatetime 2017-10-25T12:57:14 --delay 92 --endMP 204:158 --enddatetime 2017-10-25T13:35:17 --enforcementcount 0 &gt;&gt;%USERPROFILE%\Documents\GitHub\eaglep3-reporting\EC\2017-10-25-refined-times.txt</v>
      </c>
      <c r="AI81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{"issue":{"subject":"","project_id":79,"tracker_id":40,"status_id":1,"priority_id":2,"assigned_to_id":338,"start_date":"2017-10-25","description":"","custom_fields":[{"id":1,"name":"Subdivision","value":"EC"},{"id":4,"name":"Milepost","value":"0.0158"},{"id":17,"name":"Train ID","value":"168-25"},{"id":16,"name":"Locomotive ID","value":"4029"},{"id":130,"name":"Impact","value":""},{"id":150,"name":"Time of Event (Mountain Time)","value":"13:35:17"},{"id":151,"name":"Denver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4029 --day 2017-10-25</v>
      </c>
      <c r="AN81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-10-25T11:53:29-0600',mode:absolute,to:'2017-10-25T14:35:17-0600'))&amp;_a=(columns:!('Message%20ID',Summary),filters:!(),index:'emp_*',interval:auto,query:(query_string:(analyze_wildcard:!t,query:'%22rtdc.l.rtdc.4029%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759</v>
      </c>
      <c r="B82" s="7">
        <v>4006</v>
      </c>
      <c r="C82" s="21" t="s">
        <v>194</v>
      </c>
      <c r="D82" s="21" t="s">
        <v>353</v>
      </c>
      <c r="E82" s="13">
        <v>43033.504907407405</v>
      </c>
      <c r="F82" s="13">
        <v>43033.510682870372</v>
      </c>
      <c r="G82" s="7">
        <v>95</v>
      </c>
      <c r="H82" s="21" t="s">
        <v>433</v>
      </c>
      <c r="I82" s="13">
        <v>43033.535636574074</v>
      </c>
      <c r="J82" s="7">
        <v>0</v>
      </c>
      <c r="K82" s="89" t="str">
        <f>IF(ISEVEN(B82),(B82-1)&amp;"/"&amp;B82,B82&amp;"/"&amp;(B82+1))</f>
        <v>4005/4006</v>
      </c>
      <c r="L82" s="185" t="str">
        <f>VLOOKUP(A82,'Trips&amp;Operators'!$C$1:$G$99911,5,FALSE)</f>
        <v>BERLING GARY</v>
      </c>
      <c r="M82" s="6">
        <f>I82-F82</f>
        <v>2.495370370161254E-2</v>
      </c>
      <c r="N82" s="7">
        <f>24*60*SUM($M82:$M82)</f>
        <v>35.933333330322057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-25T11:07:04-0600',mode:absolute,to:'2017-10-25T13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4.58E-2</v>
      </c>
      <c r="Z82" s="204">
        <f>RIGHT(H82,LEN(H82)-4)/10000</f>
        <v>23.3309</v>
      </c>
      <c r="AA82" s="204">
        <f>ABS(Z82-Y82)</f>
        <v>23.2851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/stypes="app*4006*20171025*" /stext=" 18:.+((SYSTEM_STATE.+slice.+state.+changed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169-25 --locoid 4006 --swversion DE.1.0.9.0 --startMP 204:458 --initTime 2017-10-25T12:07:04 --startdatetime 2017-10-25T12:15:23 --delay 95 --endMP 204:233309 --enddatetime 2017-10-25T12:51:19 --enforcementcount 0 &gt;&gt;%USERPROFILE%\Documents\GitHub\eaglep3-reporting\EC\2017-10-25-refined-times.txt</v>
      </c>
      <c r="AI82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{"issue":{"subject":"","project_id":79,"tracker_id":40,"status_id":1,"priority_id":2,"assigned_to_id":338,"start_date":"2017-10-25","description":"","custom_fields":[{"id":1,"name":"Subdivision","value":"EC"},{"id":4,"name":"Milepost","value":"23.3309"},{"id":17,"name":"Train ID","value":"169-25"},{"id":16,"name":"Locomotive ID","value":"4006"},{"id":130,"name":"Impact","value":""},{"id":150,"name":"Time of Event (Mountain Time)","value":"12:51:19"},{"id":151,"name":"Denver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4006 --day 2017-10-25</v>
      </c>
      <c r="AN82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-10-25T11:07:04-0600',mode:absolute,to:'2017-10-25T13:51:19-0600'))&amp;_a=(columns:!('Message%20ID',Summary),filters:!(),index:'emp_*',interval:auto,query:(query_string:(analyze_wildcard:!t,query:'%22rtdc.l.rtdc.4006%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768</v>
      </c>
      <c r="B83" s="7">
        <v>4005</v>
      </c>
      <c r="C83" s="21" t="s">
        <v>194</v>
      </c>
      <c r="D83" s="21" t="s">
        <v>412</v>
      </c>
      <c r="E83" s="13">
        <v>43033.54346064815</v>
      </c>
      <c r="F83" s="13">
        <v>43033.55023148148</v>
      </c>
      <c r="G83" s="7">
        <v>88</v>
      </c>
      <c r="H83" s="21" t="s">
        <v>548</v>
      </c>
      <c r="I83" s="13">
        <v>43033.577534722222</v>
      </c>
      <c r="J83" s="7">
        <v>0</v>
      </c>
      <c r="K83" s="89" t="str">
        <f>IF(ISEVEN(B83),(B83-1)&amp;"/"&amp;B83,B83&amp;"/"&amp;(B83+1))</f>
        <v>4005/4006</v>
      </c>
      <c r="L83" s="185" t="str">
        <f>VLOOKUP(A83,'Trips&amp;Operators'!$C$1:$G$99911,5,FALSE)</f>
        <v>BERLING GARY</v>
      </c>
      <c r="M83" s="6">
        <f>I83-F83</f>
        <v>2.7303240742185153E-2</v>
      </c>
      <c r="N83" s="7">
        <f>24*60*SUM($M83:$M83)</f>
        <v>39.31666666874662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-25T12:02:35-0600',mode:absolute,to:'2017-10-25T14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23.299600000000002</v>
      </c>
      <c r="Z83" s="204">
        <f>RIGHT(H83,LEN(H83)-4)/10000</f>
        <v>1.6E-2</v>
      </c>
      <c r="AA83" s="204">
        <f>ABS(Z83-Y83)</f>
        <v>23.283600000000003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/stypes="app*4005*20171025*"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170-25 --locoid 4005 --swversion DE.1.0.9.0 --startMP 204:232996 --initTime 2017-10-25T13:02:35 --startdatetime 2017-10-25T13:12:20 --delay 88 --endMP 204:160 --enddatetime 2017-10-25T13:51:39 --enforcementcount 0 &gt;&gt;%USERPROFILE%\Documents\GitHub\eaglep3-reporting\EC\2017-10-25-refined-times.txt</v>
      </c>
      <c r="AI83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{"issue":{"subject":"","project_id":79,"tracker_id":40,"status_id":1,"priority_id":2,"assigned_to_id":338,"start_date":"2017-10-25","description":"","custom_fields":[{"id":1,"name":"Subdivision","value":"EC"},{"id":4,"name":"Milepost","value":"0.016"},{"id":17,"name":"Train ID","value":"170-25"},{"id":16,"name":"Locomotive ID","value":"4005"},{"id":130,"name":"Impact","value":""},{"id":150,"name":"Time of Event (Mountain Time)","value":"13:51:39"},{"id":151,"name":"Denver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4005 --day 2017-10-25</v>
      </c>
      <c r="AN83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-10-25T12:02:35-0600',mode:absolute,to:'2017-10-25T14:51:39-0600'))&amp;_a=(columns:!('Message%20ID',Summary),filters:!(),index:'emp_*',interval:auto,query:(query_string:(analyze_wildcard:!t,query:'%22rtdc.l.rtdc.4005%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764</v>
      </c>
      <c r="B84" s="7">
        <v>4050</v>
      </c>
      <c r="C84" s="21" t="s">
        <v>194</v>
      </c>
      <c r="D84" s="21" t="s">
        <v>912</v>
      </c>
      <c r="E84" s="13">
        <v>43033.518553240741</v>
      </c>
      <c r="F84" s="13">
        <v>43033.521249999998</v>
      </c>
      <c r="G84" s="7">
        <v>58</v>
      </c>
      <c r="H84" s="21" t="s">
        <v>913</v>
      </c>
      <c r="I84" s="13">
        <v>43033.546863425923</v>
      </c>
      <c r="J84" s="7">
        <v>0</v>
      </c>
      <c r="K84" s="89" t="str">
        <f>IF(ISEVEN(B84),(B84-1)&amp;"/"&amp;B84,B84&amp;"/"&amp;(B84+1))</f>
        <v>4049/4050</v>
      </c>
      <c r="L84" s="185" t="str">
        <f>VLOOKUP(A84,'Trips&amp;Operators'!$C$1:$G$99911,5,FALSE)</f>
        <v>DAVIS MICHAEL</v>
      </c>
      <c r="M84" s="6">
        <f>I84-F84</f>
        <v>2.5613425925257616E-2</v>
      </c>
      <c r="N84" s="7">
        <f>24*60*SUM($M84:$M84)</f>
        <v>36.883333332370967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-25T11:26:43-0600',mode:absolute,to:'2017-10-25T14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4.82E-2</v>
      </c>
      <c r="Z84" s="204">
        <f>RIGHT(H84,LEN(H84)-4)/10000</f>
        <v>23.331499999999998</v>
      </c>
      <c r="AA84" s="204">
        <f>ABS(Z84-Y84)</f>
        <v>23.283299999999997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/stypes="app*4050*20171025*" /stext=" 19:.+((SYSTEM_STATE.+slice.+state.+changed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171-25 --locoid 4050 --swversion DE.1.0.9.0 --startMP 204:482 --initTime 2017-10-25T12:26:43 --startdatetime 2017-10-25T12:30:36 --delay 58 --endMP 204:233315 --enddatetime 2017-10-25T13:07:29 --enforcementcount 0 &gt;&gt;%USERPROFILE%\Documents\GitHub\eaglep3-reporting\EC\2017-10-25-refined-times.txt</v>
      </c>
      <c r="AI84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{"issue":{"subject":"","project_id":79,"tracker_id":40,"status_id":1,"priority_id":2,"assigned_to_id":338,"start_date":"2017-10-25","description":"","custom_fields":[{"id":1,"name":"Subdivision","value":"EC"},{"id":4,"name":"Milepost","value":"23.3315"},{"id":17,"name":"Train ID","value":"171-25"},{"id":16,"name":"Locomotive ID","value":"4050"},{"id":130,"name":"Impact","value":""},{"id":150,"name":"Time of Event (Mountain Time)","value":"13:07:29"},{"id":151,"name":"Denver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4050 --day 2017-10-25</v>
      </c>
      <c r="AN84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-10-25T11:26:43-0600',mode:absolute,to:'2017-10-25T14:07:29-0600'))&amp;_a=(columns:!('Message%20ID',Summary),filters:!(),index:'emp_*',interval:auto,query:(query_string:(analyze_wildcard:!t,query:'%22rtdc.l.rtdc.4050%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771</v>
      </c>
      <c r="B85" s="7">
        <v>4049</v>
      </c>
      <c r="C85" s="21" t="s">
        <v>194</v>
      </c>
      <c r="D85" s="21" t="s">
        <v>518</v>
      </c>
      <c r="E85" s="13">
        <v>43033.558032407411</v>
      </c>
      <c r="F85" s="13">
        <v>43033.56082175926</v>
      </c>
      <c r="G85" s="7">
        <v>73</v>
      </c>
      <c r="H85" s="21" t="s">
        <v>335</v>
      </c>
      <c r="I85" s="13">
        <v>43033.588472222225</v>
      </c>
      <c r="J85" s="7">
        <v>0</v>
      </c>
      <c r="K85" s="89" t="str">
        <f>IF(ISEVEN(B85),(B85-1)&amp;"/"&amp;B85,B85&amp;"/"&amp;(B85+1))</f>
        <v>4049/4050</v>
      </c>
      <c r="L85" s="185" t="str">
        <f>VLOOKUP(A85,'Trips&amp;Operators'!$C$1:$G$99911,5,FALSE)</f>
        <v>DAVIS MICHAEL</v>
      </c>
      <c r="M85" s="6">
        <f>I85-F85</f>
        <v>2.7650462965539191E-2</v>
      </c>
      <c r="N85" s="7">
        <f>24*60*SUM($M85:$M85)</f>
        <v>39.816666670376435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-25T12:23:34-0600',mode:absolute,to:'2017-10-25T15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23.299299999999999</v>
      </c>
      <c r="Z85" s="204">
        <f>RIGHT(H85,LEN(H85)-4)/10000</f>
        <v>1.4999999999999999E-2</v>
      </c>
      <c r="AA85" s="204">
        <f>ABS(Z85-Y85)</f>
        <v>23.284299999999998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/stypes="app*4049*20171025*" /stext=" 20:.+((SYSTEM_STATE.+slice.+state.+changed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172-25 --locoid 4049 --swversion DE.1.0.9.0 --startMP 204:232993 --initTime 2017-10-25T13:23:34 --startdatetime 2017-10-25T13:27:35 --delay 73 --endMP 204:150 --enddatetime 2017-10-25T14:07:24 --enforcementcount 0 &gt;&gt;%USERPROFILE%\Documents\GitHub\eaglep3-reporting\EC\2017-10-25-refined-times.txt</v>
      </c>
      <c r="AI85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{"issue":{"subject":"","project_id":79,"tracker_id":40,"status_id":1,"priority_id":2,"assigned_to_id":338,"start_date":"2017-10-25","description":"","custom_fields":[{"id":1,"name":"Subdivision","value":"EC"},{"id":4,"name":"Milepost","value":"0.015"},{"id":17,"name":"Train ID","value":"172-25"},{"id":16,"name":"Locomotive ID","value":"4049"},{"id":130,"name":"Impact","value":""},{"id":150,"name":"Time of Event (Mountain Time)","value":"14:07:24"},{"id":151,"name":"Denver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4049 --day 2017-10-25</v>
      </c>
      <c r="AN85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-10-25T12:23:34-0600',mode:absolute,to:'2017-10-25T15:07:24-0600'))&amp;_a=(columns:!('Message%20ID',Summary),filters:!(),index:'emp_*',interval:auto,query:(query_string:(analyze_wildcard:!t,query:'%22rtdc.l.rtdc.4049%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765</v>
      </c>
      <c r="B86" s="7">
        <v>4008</v>
      </c>
      <c r="C86" s="21" t="s">
        <v>194</v>
      </c>
      <c r="D86" s="21" t="s">
        <v>506</v>
      </c>
      <c r="E86" s="13">
        <v>43033.52685185185</v>
      </c>
      <c r="F86" s="13">
        <v>43033.531585648147</v>
      </c>
      <c r="G86" s="7">
        <v>71</v>
      </c>
      <c r="H86" s="21" t="s">
        <v>546</v>
      </c>
      <c r="I86" s="13">
        <v>43033.555486111109</v>
      </c>
      <c r="J86" s="7">
        <v>0</v>
      </c>
      <c r="K86" s="89" t="str">
        <f>IF(ISEVEN(B86),(B86-1)&amp;"/"&amp;B86,B86&amp;"/"&amp;(B86+1))</f>
        <v>4007/4008</v>
      </c>
      <c r="L86" s="185" t="str">
        <f>VLOOKUP(A86,'Trips&amp;Operators'!$C$1:$G$99911,5,FALSE)</f>
        <v>HOLCOMB KAMDEN</v>
      </c>
      <c r="M86" s="6">
        <f>I86-F86</f>
        <v>2.3900462962046731E-2</v>
      </c>
      <c r="N86" s="7">
        <f>24*60*SUM($M86:$M86)</f>
        <v>34.416666665347293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-25T11:38:40-0600',mode:absolute,to:'2017-10-25T14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4.3499999999999997E-2</v>
      </c>
      <c r="Z86" s="204">
        <f>RIGHT(H86,LEN(H86)-4)/10000</f>
        <v>23.330300000000001</v>
      </c>
      <c r="AA86" s="204">
        <f>ABS(Z86-Y86)</f>
        <v>23.286799999999999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/stypes="app*4008*20171025*" /stext=" 19:.+((SYSTEM_STATE.+slice.+state.+changed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173-25 --locoid 4008 --swversion DE.1.0.9.0 --startMP 204:435 --initTime 2017-10-25T12:38:40 --startdatetime 2017-10-25T12:45:29 --delay 71 --endMP 204:233303 --enddatetime 2017-10-25T13:19:54 --enforcementcount 0 &gt;&gt;%USERPROFILE%\Documents\GitHub\eaglep3-reporting\EC\2017-10-25-refined-times.txt</v>
      </c>
      <c r="AI86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{"issue":{"subject":"","project_id":79,"tracker_id":40,"status_id":1,"priority_id":2,"assigned_to_id":338,"start_date":"2017-10-25","description":"","custom_fields":[{"id":1,"name":"Subdivision","value":"EC"},{"id":4,"name":"Milepost","value":"23.3303"},{"id":17,"name":"Train ID","value":"173-25"},{"id":16,"name":"Locomotive ID","value":"4008"},{"id":130,"name":"Impact","value":""},{"id":150,"name":"Time of Event (Mountain Time)","value":"13:19:54"},{"id":151,"name":"Denver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4008 --day 2017-10-25</v>
      </c>
      <c r="AN86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-10-25T11:38:40-0600',mode:absolute,to:'2017-10-25T14:19:54-0600'))&amp;_a=(columns:!('Message%20ID',Summary),filters:!(),index:'emp_*',interval:auto,query:(query_string:(analyze_wildcard:!t,query:'%22rtdc.l.rtdc.4008%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649</v>
      </c>
      <c r="B87" s="7">
        <v>4007</v>
      </c>
      <c r="C87" s="21" t="s">
        <v>194</v>
      </c>
      <c r="D87" s="21" t="s">
        <v>506</v>
      </c>
      <c r="E87" s="13">
        <v>43033.52685185185</v>
      </c>
      <c r="F87" s="13">
        <v>43033.571203703701</v>
      </c>
      <c r="G87" s="7">
        <v>71</v>
      </c>
      <c r="H87" s="21" t="s">
        <v>546</v>
      </c>
      <c r="I87" s="13">
        <v>43033.597395833334</v>
      </c>
      <c r="J87" s="7">
        <v>0</v>
      </c>
      <c r="K87" s="89" t="str">
        <f>IF(ISEVEN(B87),(B87-1)&amp;"/"&amp;B87,B87&amp;"/"&amp;(B87+1))</f>
        <v>4007/4008</v>
      </c>
      <c r="L87" s="185" t="str">
        <f>VLOOKUP(A87,'Trips&amp;Operators'!$C$1:$G$99911,5,FALSE)</f>
        <v>HOLCOMB KAMDEN</v>
      </c>
      <c r="M87" s="6">
        <f>I87-F87</f>
        <v>2.6192129633272998E-2</v>
      </c>
      <c r="N87" s="7">
        <f>24*60*SUM($M87:$M87)</f>
        <v>37.716666671913117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-25T11:38:40-0600',mode:absolute,to:'2017-10-25T15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v>23.299299999999999</v>
      </c>
      <c r="Z87" s="204">
        <v>1.4999999999999999E-2</v>
      </c>
      <c r="AA87" s="204">
        <f>ABS(Z87-Y87)</f>
        <v>23.284299999999998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/stypes="app*4007*20171025*" /stext=" 20:.+((SYSTEM_STATE.+slice.+state.+changed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ref="AH87" si="15"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174-25 --locoid 4007 --swversion DE.1.0.9.0 --startMP 204:435 --initTime 2017-10-25T12:38:40 --startdatetime 2017-10-25T13:42:32 --delay 71 --endMP 204:233303 --enddatetime 2017-10-25T14:20:15 --enforcementcount 0 &gt;&gt;%USERPROFILE%\Documents\GitHub\eaglep3-reporting\EC\2017-10-25-refined-times.txt</v>
      </c>
      <c r="AI87" s="96" t="str">
        <f t="shared" ref="AI87" si="16"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{"issue":{"subject":"","project_id":79,"tracker_id":40,"status_id":1,"priority_id":2,"assigned_to_id":338,"start_date":"2017-10-25","description":"","custom_fields":[{"id":1,"name":"Subdivision","value":"EC"},{"id":4,"name":"Milepost","value":"0.015"},{"id":17,"name":"Train ID","value":"174-25"},{"id":16,"name":"Locomotive ID","value":"4007"},{"id":130,"name":"Impact","value":""},{"id":150,"name":"Time of Event (Mountain Time)","value":"14:20:15"},{"id":151,"name":"Denver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ref="AM87" si="17">"start /low /b "&amp;dls3logs&amp;" --loco "&amp;B87&amp;" --day "&amp;TEXT(F87,"YYYY-MM-DD")</f>
        <v>start /low /b %USERPROFILE%\Documents\GitHub\eaglep3\Utilities\DownloadLogsFromS3.py --loco 4007 --day 2017-10-25</v>
      </c>
      <c r="AN87" s="151" t="str">
        <f t="shared" ref="AN87" si="18">"echo {""issue"":{""subject"":"""&amp;R87&amp;""",""project_id"":30,""tracker_id"":4,""status_id"":"&amp;redmine_status_wcr&amp;",""priority_id"":"&amp;redmine_priority_wcr&amp;",""assigned_to_id"":"&amp;redmine_assignee_wcr&amp;",""start_date"":"""&amp;TEXT(I87-utc_offset/24,"YYYY-mm-dd")&amp;""",""description"":"""&amp;AJ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ref="AO87" si="19"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Message%20ID',Summary),filters:!(),index:'emp_*',interval:auto,query:"&amp;"(query_string:(analyze_wildcard:!t,query:'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-25T11:38:40-0600',mode:absolute,to:'2017-10-25T15:20:15-0600'))&amp;_a=(columns:!('Message%20ID',Summary),filters:!(),index:'emp_*',interval:auto,query:(query_string:(analyze_wildcard:!t,query:'%22rtdc.l.rtdc.4007%22')),sort:!(Time.ISO8601,asc))</v>
      </c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</row>
    <row r="88" spans="1:91" s="1" customFormat="1" x14ac:dyDescent="0.3">
      <c r="A88" s="32" t="s">
        <v>766</v>
      </c>
      <c r="B88" s="7">
        <v>4018</v>
      </c>
      <c r="C88" s="21" t="s">
        <v>194</v>
      </c>
      <c r="D88" s="21" t="s">
        <v>387</v>
      </c>
      <c r="E88" s="13">
        <v>43033.536909722221</v>
      </c>
      <c r="F88" s="13">
        <v>43033.541863425926</v>
      </c>
      <c r="G88" s="7">
        <v>98</v>
      </c>
      <c r="H88" s="21" t="s">
        <v>588</v>
      </c>
      <c r="I88" s="13">
        <v>43033.567743055559</v>
      </c>
      <c r="J88" s="7">
        <v>0</v>
      </c>
      <c r="K88" s="89" t="str">
        <f>IF(ISEVEN(B88),(B88-1)&amp;"/"&amp;B88,B88&amp;"/"&amp;(B88+1))</f>
        <v>4017/4018</v>
      </c>
      <c r="L88" s="185" t="str">
        <f>VLOOKUP(A88,'Trips&amp;Operators'!$C$1:$G$99911,5,FALSE)</f>
        <v>MOSES BRADLEY</v>
      </c>
      <c r="M88" s="6">
        <f>I88-F88</f>
        <v>2.587962963298196E-2</v>
      </c>
      <c r="N88" s="7">
        <f>24*60*SUM($M88:$M88)</f>
        <v>37.266666671494022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-25T11:53:09-0600',mode:absolute,to:'2017-10-25T14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204" t="str">
        <f>IF(AA88&lt;VLOOKUP(AG88,Variables!$AC$3:$AD$8,2,FALSE),"Y","N")</f>
        <v>N</v>
      </c>
      <c r="X88" s="204">
        <f t="shared" ref="X88:X89" si="20">VALUE(LEFT(AD88,4))-VALUE(LEFT(AD87,4))</f>
        <v>1</v>
      </c>
      <c r="Y88" s="204">
        <f>RIGHT(D88,LEN(D88)-4)/10000</f>
        <v>4.6399999999999997E-2</v>
      </c>
      <c r="Z88" s="204">
        <f>RIGHT(H88,LEN(H88)-4)/10000</f>
        <v>23.330200000000001</v>
      </c>
      <c r="AA88" s="204">
        <f>ABS(Z88-Y88)</f>
        <v>23.283800000000003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/stypes="app*4018*20171025*" /stext=" 19:.+((SYSTEM_STATE.+slice.+state.+changed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0"/>
        <v>"%USERPROFILE%\Documents\GitHub\eaglep3\Utilities\RefineRTDCRunTimes.py" --tripid 175-25 --locoid 4018 --swversion DE.1.0.9.0 --startMP 204:464 --initTime 2017-10-25T12:53:09 --startdatetime 2017-10-25T13:00:17 --delay 98 --endMP 204:233302 --enddatetime 2017-10-25T13:37:33 --enforcementcount 0 &gt;&gt;%USERPROFILE%\Documents\GitHub\eaglep3-reporting\EC\2017-10-25-refined-times.txt</v>
      </c>
      <c r="AI88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{"issue":{"subject":"","project_id":79,"tracker_id":40,"status_id":1,"priority_id":2,"assigned_to_id":338,"start_date":"2017-10-25","description":"","custom_fields":[{"id":1,"name":"Subdivision","value":"EC"},{"id":4,"name":"Milepost","value":"23.3302"},{"id":17,"name":"Train ID","value":"175-25"},{"id":16,"name":"Locomotive ID","value":"4018"},{"id":130,"name":"Impact","value":""},{"id":150,"name":"Time of Event (Mountain Time)","value":"13:37:33"},{"id":151,"name":"Denver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2"/>
        <v>start /low /b %USERPROFILE%\Documents\GitHub\eaglep3\Utilities\DownloadLogsFromS3.py --loco 4018 --day 2017-10-25</v>
      </c>
      <c r="AN88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4"/>
        <v>https://d0f6bd738d7f1b3e5a7ca70fe4ff75f0.us-east-1.aws.found.io/app/kibana#/discover/Steve-Slow-Train-Analysis-(2080s-and-2083s)?_g=(refreshInterval:(display:Off,pause:!f,section:0,value:0),time:(from:'2017-10-25T11:53:09-0600',mode:absolute,to:'2017-10-25T14:37:33-0600'))&amp;_a=(columns:!('Message%20ID',Summary),filters:!(),index:'emp_*',interval:auto,query:(query_string:(analyze_wildcard:!t,query:'%22rtdc.l.rtdc.4018%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774</v>
      </c>
      <c r="B89" s="7">
        <v>4017</v>
      </c>
      <c r="C89" s="21" t="s">
        <v>194</v>
      </c>
      <c r="D89" s="21" t="s">
        <v>393</v>
      </c>
      <c r="E89" s="13">
        <v>43033.578402777777</v>
      </c>
      <c r="F89" s="13">
        <v>43033.581446759257</v>
      </c>
      <c r="G89" s="7">
        <v>70</v>
      </c>
      <c r="H89" s="21" t="s">
        <v>337</v>
      </c>
      <c r="I89" s="13">
        <v>43033.608518518522</v>
      </c>
      <c r="J89" s="7">
        <v>0</v>
      </c>
      <c r="K89" s="89" t="str">
        <f>IF(ISEVEN(B89),(B89-1)&amp;"/"&amp;B89,B89&amp;"/"&amp;(B89+1))</f>
        <v>4017/4018</v>
      </c>
      <c r="L89" s="185" t="str">
        <f>VLOOKUP(A89,'Trips&amp;Operators'!$C$1:$G$99911,5,FALSE)</f>
        <v>MOSES BRADLEY</v>
      </c>
      <c r="M89" s="6">
        <f>I89-F89</f>
        <v>2.7071759264799766E-2</v>
      </c>
      <c r="N89" s="7">
        <f>24*60*SUM($M89:$M89)</f>
        <v>38.983333341311663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-25T12:52:54-0600',mode:absolute,to:'2017-10-25T15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204" t="str">
        <f>IF(AA89&lt;VLOOKUP(AG89,Variables!$AC$3:$AD$8,2,FALSE),"Y","N")</f>
        <v>N</v>
      </c>
      <c r="X89" s="204">
        <f t="shared" si="20"/>
        <v>1</v>
      </c>
      <c r="Y89" s="204">
        <f>RIGHT(D89,LEN(D89)-4)/10000</f>
        <v>23.2989</v>
      </c>
      <c r="Z89" s="204">
        <f>RIGHT(H89,LEN(H89)-4)/10000</f>
        <v>1.43E-2</v>
      </c>
      <c r="AA89" s="204">
        <f>ABS(Z89-Y89)</f>
        <v>23.284600000000001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/stypes="app*4017*20171025*" /stext=" 20:.+((SYSTEM_STATE.+slice.+state.+changed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176-25 --locoid 4017 --swversion DE.1.0.9.0 --startMP 204:232989 --initTime 2017-10-25T13:52:54 --startdatetime 2017-10-25T13:57:17 --delay 70 --endMP 204:143 --enddatetime 2017-10-25T14:36:16 --enforcementcount 0 &gt;&gt;%USERPROFILE%\Documents\GitHub\eaglep3-reporting\EC\2017-10-25-refined-times.txt</v>
      </c>
      <c r="AI89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{"issue":{"subject":"","project_id":79,"tracker_id":40,"status_id":1,"priority_id":2,"assigned_to_id":338,"start_date":"2017-10-25","description":"","custom_fields":[{"id":1,"name":"Subdivision","value":"EC"},{"id":4,"name":"Milepost","value":"0.0143"},{"id":17,"name":"Train ID","value":"176-25"},{"id":16,"name":"Locomotive ID","value":"4017"},{"id":130,"name":"Impact","value":""},{"id":150,"name":"Time of Event (Mountain Time)","value":"14:36:16"},{"id":151,"name":"Denver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4017 --day 2017-10-25</v>
      </c>
      <c r="AN89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-10-25T12:52:54-0600',mode:absolute,to:'2017-10-25T15:36:16-0600'))&amp;_a=(columns:!('Message%20ID',Summary),filters:!(),index:'emp_*',interval:auto,query:(query_string:(analyze_wildcard:!t,query:'%22rtdc.l.rtdc.4017%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769</v>
      </c>
      <c r="B90" s="7">
        <v>4036</v>
      </c>
      <c r="C90" s="21" t="s">
        <v>194</v>
      </c>
      <c r="D90" s="21" t="s">
        <v>914</v>
      </c>
      <c r="E90" s="13">
        <v>43033.547627314816</v>
      </c>
      <c r="F90" s="13">
        <v>43033.552453703705</v>
      </c>
      <c r="G90" s="7">
        <v>63</v>
      </c>
      <c r="H90" s="21" t="s">
        <v>541</v>
      </c>
      <c r="I90" s="13">
        <v>43033.576817129629</v>
      </c>
      <c r="J90" s="7">
        <v>0</v>
      </c>
      <c r="K90" s="89" t="str">
        <f>IF(ISEVEN(B90),(B90-1)&amp;"/"&amp;B90,B90&amp;"/"&amp;(B90+1))</f>
        <v>4035/4036</v>
      </c>
      <c r="L90" s="185" t="str">
        <f>VLOOKUP(A90,'Trips&amp;Operators'!$C$1:$G$99911,5,FALSE)</f>
        <v>STEWART MICHAEL</v>
      </c>
      <c r="M90" s="6">
        <f>I90-F90</f>
        <v>2.4363425924093463E-2</v>
      </c>
      <c r="N90" s="7">
        <f>24*60*SUM($M90:$M90)</f>
        <v>35.083333330694586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-25T12:08:35-0600',mode:absolute,to:'2017-10-25T14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5.7700000000000001E-2</v>
      </c>
      <c r="Z90" s="204">
        <f>RIGHT(H90,LEN(H90)-4)/10000</f>
        <v>23.326799999999999</v>
      </c>
      <c r="AA90" s="204">
        <f>ABS(Z90-Y90)</f>
        <v>23.269099999999998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/stypes="app*4036*20171025*" /stext=" 19:.+((SYSTEM_STATE.+slice.+state.+changed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177-25 --locoid 4036 --swversion DE.1.0.9.0 --startMP 204:577 --initTime 2017-10-25T13:08:35 --startdatetime 2017-10-25T13:15:32 --delay 63 --endMP 204:233268 --enddatetime 2017-10-25T13:50:37 --enforcementcount 0 &gt;&gt;%USERPROFILE%\Documents\GitHub\eaglep3-reporting\EC\2017-10-25-refined-times.txt</v>
      </c>
      <c r="AI90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{"issue":{"subject":"","project_id":79,"tracker_id":40,"status_id":1,"priority_id":2,"assigned_to_id":338,"start_date":"2017-10-25","description":"","custom_fields":[{"id":1,"name":"Subdivision","value":"EC"},{"id":4,"name":"Milepost","value":"23.3268"},{"id":17,"name":"Train ID","value":"177-25"},{"id":16,"name":"Locomotive ID","value":"4036"},{"id":130,"name":"Impact","value":""},{"id":150,"name":"Time of Event (Mountain Time)","value":"13:50:37"},{"id":151,"name":"Denver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4036 --day 2017-10-25</v>
      </c>
      <c r="AN90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-10-25T12:08:35-0600',mode:absolute,to:'2017-10-25T14:50:37-0600'))&amp;_a=(columns:!('Message%20ID',Summary),filters:!(),index:'emp_*',interval:auto,query:(query_string:(analyze_wildcard:!t,query:'%22rtdc.l.rtdc.4036%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776</v>
      </c>
      <c r="B91" s="7">
        <v>4035</v>
      </c>
      <c r="C91" s="21" t="s">
        <v>194</v>
      </c>
      <c r="D91" s="21" t="s">
        <v>915</v>
      </c>
      <c r="E91" s="13">
        <v>43033.587199074071</v>
      </c>
      <c r="F91" s="13">
        <v>43033.591909722221</v>
      </c>
      <c r="G91" s="7">
        <v>76</v>
      </c>
      <c r="H91" s="21" t="s">
        <v>916</v>
      </c>
      <c r="I91" s="13">
        <v>43033.619155092594</v>
      </c>
      <c r="J91" s="7">
        <v>0</v>
      </c>
      <c r="K91" s="89" t="str">
        <f>IF(ISEVEN(B91),(B91-1)&amp;"/"&amp;B91,B91&amp;"/"&amp;(B91+1))</f>
        <v>4035/4036</v>
      </c>
      <c r="L91" s="185" t="str">
        <f>VLOOKUP(A91,'Trips&amp;Operators'!$C$1:$G$99911,5,FALSE)</f>
        <v>STEWART MICHAEL</v>
      </c>
      <c r="M91" s="6">
        <f>I91-F91</f>
        <v>2.7245370372838806E-2</v>
      </c>
      <c r="N91" s="7">
        <f>24*60*SUM($M91:$M91)</f>
        <v>39.233333336887881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-25T13:05:34-0600',mode:absolute,to:'2017-10-25T15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23.293800000000001</v>
      </c>
      <c r="Z91" s="204">
        <f>RIGHT(H91,LEN(H91)-4)/10000</f>
        <v>2.63E-2</v>
      </c>
      <c r="AA91" s="204">
        <f>ABS(Z91-Y91)</f>
        <v>23.267500000000002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/stypes="app*4035*20171025*"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178-25 --locoid 4035 --swversion DE.1.0.9.0 --startMP 204:232938 --initTime 2017-10-25T14:05:34 --startdatetime 2017-10-25T14:12:21 --delay 76 --endMP 204:263 --enddatetime 2017-10-25T14:51:35 --enforcementcount 0 &gt;&gt;%USERPROFILE%\Documents\GitHub\eaglep3-reporting\EC\2017-10-25-refined-times.txt</v>
      </c>
      <c r="AI91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{"issue":{"subject":"","project_id":79,"tracker_id":40,"status_id":1,"priority_id":2,"assigned_to_id":338,"start_date":"2017-10-25","description":"","custom_fields":[{"id":1,"name":"Subdivision","value":"EC"},{"id":4,"name":"Milepost","value":"0.0263"},{"id":17,"name":"Train ID","value":"178-25"},{"id":16,"name":"Locomotive ID","value":"4035"},{"id":130,"name":"Impact","value":""},{"id":150,"name":"Time of Event (Mountain Time)","value":"14:51:35"},{"id":151,"name":"Denver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4035 --day 2017-10-25</v>
      </c>
      <c r="AN91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-10-25T13:05:34-0600',mode:absolute,to:'2017-10-25T15:51:35-0600'))&amp;_a=(columns:!('Message%20ID',Summary),filters:!(),index:'emp_*',interval:auto,query:(query_string:(analyze_wildcard:!t,query:'%22rtdc.l.rtdc.4035%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770</v>
      </c>
      <c r="B92" s="7">
        <v>4046</v>
      </c>
      <c r="C92" s="21" t="s">
        <v>194</v>
      </c>
      <c r="D92" s="21" t="s">
        <v>917</v>
      </c>
      <c r="E92" s="13">
        <v>43033.557256944441</v>
      </c>
      <c r="F92" s="13">
        <v>43033.562650462962</v>
      </c>
      <c r="G92" s="7">
        <v>58</v>
      </c>
      <c r="H92" s="21" t="s">
        <v>918</v>
      </c>
      <c r="I92" s="13">
        <v>43033.58699074074</v>
      </c>
      <c r="J92" s="7">
        <v>0</v>
      </c>
      <c r="K92" s="89" t="str">
        <f>IF(ISEVEN(B92),(B92-1)&amp;"/"&amp;B92,B92&amp;"/"&amp;(B92+1))</f>
        <v>4045/4046</v>
      </c>
      <c r="L92" s="185" t="str">
        <f>VLOOKUP(A92,'Trips&amp;Operators'!$C$1:$G$99911,5,FALSE)</f>
        <v>NEWELL JAMES</v>
      </c>
      <c r="M92" s="6">
        <f>I92-F92</f>
        <v>2.4340277777810115E-2</v>
      </c>
      <c r="N92" s="7">
        <f>24*60*SUM($M92:$M92)</f>
        <v>35.050000000046566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-25T12:22:27-0600',mode:absolute,to:'2017-10-25T15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5.62E-2</v>
      </c>
      <c r="Z92" s="204">
        <f>RIGHT(H92,LEN(H92)-4)/10000</f>
        <v>23.324400000000001</v>
      </c>
      <c r="AA92" s="204">
        <f>ABS(Z92-Y92)</f>
        <v>23.2682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/stypes="app*4046*20171025*" /stext=" 20:.+((SYSTEM_STATE.+slice.+state.+changed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179-25 --locoid 4046 --swversion DE.1.0.9.0 --startMP 204:562 --initTime 2017-10-25T13:22:27 --startdatetime 2017-10-25T13:30:13 --delay 58 --endMP 204:233244 --enddatetime 2017-10-25T14:05:16 --enforcementcount 0 &gt;&gt;%USERPROFILE%\Documents\GitHub\eaglep3-reporting\EC\2017-10-25-refined-times.txt</v>
      </c>
      <c r="AI92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{"issue":{"subject":"","project_id":79,"tracker_id":40,"status_id":1,"priority_id":2,"assigned_to_id":338,"start_date":"2017-10-25","description":"","custom_fields":[{"id":1,"name":"Subdivision","value":"EC"},{"id":4,"name":"Milepost","value":"23.3244"},{"id":17,"name":"Train ID","value":"179-25"},{"id":16,"name":"Locomotive ID","value":"4046"},{"id":130,"name":"Impact","value":""},{"id":150,"name":"Time of Event (Mountain Time)","value":"14:05:16"},{"id":151,"name":"Denver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4046 --day 2017-10-25</v>
      </c>
      <c r="AN92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-10-25T12:22:27-0600',mode:absolute,to:'2017-10-25T15:05:16-0600'))&amp;_a=(columns:!('Message%20ID',Summary),filters:!(),index:'emp_*',interval:auto,query:(query_string:(analyze_wildcard:!t,query:'%22rtdc.l.rtdc.4046%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778</v>
      </c>
      <c r="B93" s="7">
        <v>4045</v>
      </c>
      <c r="C93" s="21" t="s">
        <v>194</v>
      </c>
      <c r="D93" s="21" t="s">
        <v>919</v>
      </c>
      <c r="E93" s="13">
        <v>43033.588726851849</v>
      </c>
      <c r="F93" s="13">
        <v>43033.602337962962</v>
      </c>
      <c r="G93" s="7">
        <v>79</v>
      </c>
      <c r="H93" s="21" t="s">
        <v>920</v>
      </c>
      <c r="I93" s="13">
        <v>43033.627916666665</v>
      </c>
      <c r="J93" s="7">
        <v>0</v>
      </c>
      <c r="K93" s="89" t="str">
        <f>IF(ISEVEN(B93),(B93-1)&amp;"/"&amp;B93,B93&amp;"/"&amp;(B93+1))</f>
        <v>4045/4046</v>
      </c>
      <c r="L93" s="185" t="str">
        <f>VLOOKUP(A93,'Trips&amp;Operators'!$C$1:$G$99911,5,FALSE)</f>
        <v>NEWELL JAMES</v>
      </c>
      <c r="M93" s="6">
        <f>I93-F93</f>
        <v>2.5578703702194616E-2</v>
      </c>
      <c r="N93" s="7">
        <f>24*60*SUM($M93:$M93)</f>
        <v>36.833333331160247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-25T13:07:46-0600',mode:absolute,to:'2017-10-25T16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23.293199999999999</v>
      </c>
      <c r="Z93" s="204">
        <f>RIGHT(H93,LEN(H93)-4)/10000</f>
        <v>2.8299999999999999E-2</v>
      </c>
      <c r="AA93" s="204">
        <f>ABS(Z93-Y93)</f>
        <v>23.264899999999997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/stypes="app*4045*20171025*" /stext=" 21:.+((SYSTEM_STATE.+slice.+state.+changed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180-25 --locoid 4045 --swversion DE.1.0.9.0 --startMP 204:232932 --initTime 2017-10-25T14:07:46 --startdatetime 2017-10-25T14:27:22 --delay 79 --endMP 204:283 --enddatetime 2017-10-25T15:04:12 --enforcementcount 0 &gt;&gt;%USERPROFILE%\Documents\GitHub\eaglep3-reporting\EC\2017-10-25-refined-times.txt</v>
      </c>
      <c r="AI93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{"issue":{"subject":"","project_id":79,"tracker_id":40,"status_id":1,"priority_id":2,"assigned_to_id":338,"start_date":"2017-10-25","description":"","custom_fields":[{"id":1,"name":"Subdivision","value":"EC"},{"id":4,"name":"Milepost","value":"0.0283"},{"id":17,"name":"Train ID","value":"180-25"},{"id":16,"name":"Locomotive ID","value":"4045"},{"id":130,"name":"Impact","value":""},{"id":150,"name":"Time of Event (Mountain Time)","value":"15:04:12"},{"id":151,"name":"Denver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4045 --day 2017-10-25</v>
      </c>
      <c r="AN93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-10-25T13:07:46-0600',mode:absolute,to:'2017-10-25T16:04:12-0600'))&amp;_a=(columns:!('Message%20ID',Summary),filters:!(),index:'emp_*',interval:auto,query:(query_string:(analyze_wildcard:!t,query:'%22rtdc.l.rtdc.4045%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773</v>
      </c>
      <c r="B94" s="7">
        <v>4030</v>
      </c>
      <c r="C94" s="21" t="s">
        <v>194</v>
      </c>
      <c r="D94" s="21" t="s">
        <v>377</v>
      </c>
      <c r="E94" s="13">
        <v>43033.570717592593</v>
      </c>
      <c r="F94" s="13">
        <v>43033.573113425926</v>
      </c>
      <c r="G94" s="7">
        <v>86</v>
      </c>
      <c r="H94" s="21" t="s">
        <v>891</v>
      </c>
      <c r="I94" s="13">
        <v>43033.597094907411</v>
      </c>
      <c r="J94" s="7">
        <v>0</v>
      </c>
      <c r="K94" s="89" t="str">
        <f>IF(ISEVEN(B94),(B94-1)&amp;"/"&amp;B94,B94&amp;"/"&amp;(B94+1))</f>
        <v>4029/4030</v>
      </c>
      <c r="L94" s="185" t="str">
        <f>VLOOKUP(A94,'Trips&amp;Operators'!$C$1:$G$99911,5,FALSE)</f>
        <v>LEVIN SCOTT</v>
      </c>
      <c r="M94" s="6">
        <f>I94-F94</f>
        <v>2.3981481484952383E-2</v>
      </c>
      <c r="N94" s="7">
        <f>24*60*SUM($M94:$M94)</f>
        <v>34.533333338331431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-25T12:41:50-0600',mode:absolute,to:'2017-10-25T15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4.7300000000000002E-2</v>
      </c>
      <c r="Z94" s="204">
        <f>RIGHT(H94,LEN(H94)-4)/10000</f>
        <v>23.330500000000001</v>
      </c>
      <c r="AA94" s="204">
        <f>ABS(Z94-Y94)</f>
        <v>23.283200000000001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/stypes="app*4030*20171025*" /stext=" 20:.+((SYSTEM_STATE.+slice.+state.+changed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181-25 --locoid 4030 --swversion DE.1.0.9.0 --startMP 204:473 --initTime 2017-10-25T13:41:50 --startdatetime 2017-10-25T13:45:17 --delay 86 --endMP 204:233305 --enddatetime 2017-10-25T14:19:49 --enforcementcount 0 &gt;&gt;%USERPROFILE%\Documents\GitHub\eaglep3-reporting\EC\2017-10-25-refined-times.txt</v>
      </c>
      <c r="AI94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{"issue":{"subject":"","project_id":79,"tracker_id":40,"status_id":1,"priority_id":2,"assigned_to_id":338,"start_date":"2017-10-25","description":"","custom_fields":[{"id":1,"name":"Subdivision","value":"EC"},{"id":4,"name":"Milepost","value":"23.3305"},{"id":17,"name":"Train ID","value":"181-25"},{"id":16,"name":"Locomotive ID","value":"4030"},{"id":130,"name":"Impact","value":""},{"id":150,"name":"Time of Event (Mountain Time)","value":"14:19:49"},{"id":151,"name":"Denver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4030 --day 2017-10-25</v>
      </c>
      <c r="AN94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-10-25T12:41:50-0600',mode:absolute,to:'2017-10-25T15:19:49-0600'))&amp;_a=(columns:!('Message%20ID',Summary),filters:!(),index:'emp_*',interval:auto,query:(query_string:(analyze_wildcard:!t,query:'%22rtdc.l.rtdc.4030%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781</v>
      </c>
      <c r="B95" s="7">
        <v>4029</v>
      </c>
      <c r="C95" s="21" t="s">
        <v>194</v>
      </c>
      <c r="D95" s="21" t="s">
        <v>435</v>
      </c>
      <c r="E95" s="13">
        <v>43033.601585648146</v>
      </c>
      <c r="F95" s="13">
        <v>43033.61273148148</v>
      </c>
      <c r="G95" s="7">
        <v>69</v>
      </c>
      <c r="H95" s="21" t="s">
        <v>882</v>
      </c>
      <c r="I95" s="13">
        <v>43033.639050925929</v>
      </c>
      <c r="J95" s="7">
        <v>0</v>
      </c>
      <c r="K95" s="89" t="str">
        <f>IF(ISEVEN(B95),(B95-1)&amp;"/"&amp;B95,B95&amp;"/"&amp;(B95+1))</f>
        <v>4029/4030</v>
      </c>
      <c r="L95" s="185" t="str">
        <f>VLOOKUP(A95,'Trips&amp;Operators'!$C$1:$G$99911,5,FALSE)</f>
        <v>LEVIN SCOTT</v>
      </c>
      <c r="M95" s="6">
        <f>I95-F95</f>
        <v>2.6319444448745344E-2</v>
      </c>
      <c r="N95" s="7">
        <f>24*60*SUM($M95:$M95)</f>
        <v>37.900000006193295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-25T13:26:17-0600',mode:absolute,to:'2017-10-25T16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23.298400000000001</v>
      </c>
      <c r="Z95" s="204">
        <f>RIGHT(H95,LEN(H95)-4)/10000</f>
        <v>1.67E-2</v>
      </c>
      <c r="AA95" s="204">
        <f>ABS(Z95-Y95)</f>
        <v>23.281700000000001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/stypes="app*4029*20171025*"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182-25 --locoid 4029 --swversion DE.1.0.9.0 --startMP 204:232984 --initTime 2017-10-25T14:26:17 --startdatetime 2017-10-25T14:42:20 --delay 69 --endMP 204:167 --enddatetime 2017-10-25T15:20:14 --enforcementcount 0 &gt;&gt;%USERPROFILE%\Documents\GitHub\eaglep3-reporting\EC\2017-10-25-refined-times.txt</v>
      </c>
      <c r="AI95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{"issue":{"subject":"","project_id":79,"tracker_id":40,"status_id":1,"priority_id":2,"assigned_to_id":338,"start_date":"2017-10-25","description":"","custom_fields":[{"id":1,"name":"Subdivision","value":"EC"},{"id":4,"name":"Milepost","value":"0.0167"},{"id":17,"name":"Train ID","value":"182-25"},{"id":16,"name":"Locomotive ID","value":"4029"},{"id":130,"name":"Impact","value":""},{"id":150,"name":"Time of Event (Mountain Time)","value":"15:20:14"},{"id":151,"name":"Denver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4029 --day 2017-10-25</v>
      </c>
      <c r="AN95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-10-25T13:26:17-0600',mode:absolute,to:'2017-10-25T16:20:14-0600'))&amp;_a=(columns:!('Message%20ID',Summary),filters:!(),index:'emp_*',interval:auto,query:(query_string:(analyze_wildcard:!t,query:'%22rtdc.l.rtdc.4029%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775</v>
      </c>
      <c r="B96" s="7">
        <v>4006</v>
      </c>
      <c r="C96" s="21" t="s">
        <v>194</v>
      </c>
      <c r="D96" s="21" t="s">
        <v>921</v>
      </c>
      <c r="E96" s="13">
        <v>43033.580613425926</v>
      </c>
      <c r="F96" s="13">
        <v>43033.583564814813</v>
      </c>
      <c r="G96" s="7">
        <v>119</v>
      </c>
      <c r="H96" s="21" t="s">
        <v>922</v>
      </c>
      <c r="I96" s="13">
        <v>43033.608506944445</v>
      </c>
      <c r="J96" s="7">
        <v>0</v>
      </c>
      <c r="K96" s="89" t="str">
        <f>IF(ISEVEN(B96),(B96-1)&amp;"/"&amp;B96,B96&amp;"/"&amp;(B96+1))</f>
        <v>4005/4006</v>
      </c>
      <c r="L96" s="185" t="str">
        <f>VLOOKUP(A96,'Trips&amp;Operators'!$C$1:$G$99911,5,FALSE)</f>
        <v>BERLING GARY</v>
      </c>
      <c r="M96" s="6">
        <f>I96-F96</f>
        <v>2.4942129632108845E-2</v>
      </c>
      <c r="N96" s="7">
        <f>24*60*SUM($M96:$M96)</f>
        <v>35.916666670236737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-25T12:56:05-0600',mode:absolute,to:'2017-10-25T15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4.2700000000000002E-2</v>
      </c>
      <c r="Z96" s="204">
        <f>RIGHT(H96,LEN(H96)-4)/10000</f>
        <v>23.330400000000001</v>
      </c>
      <c r="AA96" s="204">
        <f>ABS(Z96-Y96)</f>
        <v>23.287700000000001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/stypes="app*4006*20171025*" /stext=" 20:.+((SYSTEM_STATE.+slice.+state.+changed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183-25 --locoid 4006 --swversion DE.1.0.9.0 --startMP 204:427 --initTime 2017-10-25T13:56:05 --startdatetime 2017-10-25T14:00:20 --delay 119 --endMP 204:233304 --enddatetime 2017-10-25T14:36:15 --enforcementcount 0 &gt;&gt;%USERPROFILE%\Documents\GitHub\eaglep3-reporting\EC\2017-10-25-refined-times.txt</v>
      </c>
      <c r="AI96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{"issue":{"subject":"","project_id":79,"tracker_id":40,"status_id":1,"priority_id":2,"assigned_to_id":338,"start_date":"2017-10-25","description":"","custom_fields":[{"id":1,"name":"Subdivision","value":"EC"},{"id":4,"name":"Milepost","value":"23.3304"},{"id":17,"name":"Train ID","value":"183-25"},{"id":16,"name":"Locomotive ID","value":"4006"},{"id":130,"name":"Impact","value":""},{"id":150,"name":"Time of Event (Mountain Time)","value":"14:36:15"},{"id":151,"name":"Denver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4006 --day 2017-10-25</v>
      </c>
      <c r="AN96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-10-25T12:56:05-0600',mode:absolute,to:'2017-10-25T15:36:15-0600'))&amp;_a=(columns:!('Message%20ID',Summary),filters:!(),index:'emp_*',interval:auto,query:(query_string:(analyze_wildcard:!t,query:'%22rtdc.l.rtdc.4006%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784</v>
      </c>
      <c r="B97" s="7">
        <v>4005</v>
      </c>
      <c r="C97" s="21" t="s">
        <v>194</v>
      </c>
      <c r="D97" s="21" t="s">
        <v>389</v>
      </c>
      <c r="E97" s="13">
        <v>43033.617905092593</v>
      </c>
      <c r="F97" s="13">
        <v>43033.623067129629</v>
      </c>
      <c r="G97" s="7">
        <v>109</v>
      </c>
      <c r="H97" s="21" t="s">
        <v>336</v>
      </c>
      <c r="I97" s="13">
        <v>43033.650960648149</v>
      </c>
      <c r="J97" s="7">
        <v>0</v>
      </c>
      <c r="K97" s="89" t="str">
        <f>IF(ISEVEN(B97),(B97-1)&amp;"/"&amp;B97,B97&amp;"/"&amp;(B97+1))</f>
        <v>4005/4006</v>
      </c>
      <c r="L97" s="185" t="str">
        <f>VLOOKUP(A97,'Trips&amp;Operators'!$C$1:$G$99911,5,FALSE)</f>
        <v>BERLING GARY</v>
      </c>
      <c r="M97" s="6">
        <f>I97-F97</f>
        <v>2.789351851970423E-2</v>
      </c>
      <c r="N97" s="7">
        <f>24*60*SUM($M97:$M97)</f>
        <v>40.166666668374091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-25T13:49:47-0600',mode:absolute,to:'2017-10-25T16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23.299399999999999</v>
      </c>
      <c r="Z97" s="204">
        <f>RIGHT(H97,LEN(H97)-4)/10000</f>
        <v>1.49E-2</v>
      </c>
      <c r="AA97" s="204">
        <f>ABS(Z97-Y97)</f>
        <v>23.284499999999998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/stypes="app*4005*20171025*"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184-25 --locoid 4005 --swversion DE.1.0.9.0 --startMP 204:232994 --initTime 2017-10-25T14:49:47 --startdatetime 2017-10-25T14:57:13 --delay 109 --endMP 204:149 --enddatetime 2017-10-25T15:37:23 --enforcementcount 0 &gt;&gt;%USERPROFILE%\Documents\GitHub\eaglep3-reporting\EC\2017-10-25-refined-times.txt</v>
      </c>
      <c r="AI97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{"issue":{"subject":"","project_id":79,"tracker_id":40,"status_id":1,"priority_id":2,"assigned_to_id":338,"start_date":"2017-10-25","description":"","custom_fields":[{"id":1,"name":"Subdivision","value":"EC"},{"id":4,"name":"Milepost","value":"0.0149"},{"id":17,"name":"Train ID","value":"184-25"},{"id":16,"name":"Locomotive ID","value":"4005"},{"id":130,"name":"Impact","value":""},{"id":150,"name":"Time of Event (Mountain Time)","value":"15:37:23"},{"id":151,"name":"Denver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4005 --day 2017-10-25</v>
      </c>
      <c r="AN97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-10-25T13:49:47-0600',mode:absolute,to:'2017-10-25T16:37:23-0600'))&amp;_a=(columns:!('Message%20ID',Summary),filters:!(),index:'emp_*',interval:auto,query:(query_string:(analyze_wildcard:!t,query:'%22rtdc.l.rtdc.4005%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779</v>
      </c>
      <c r="B98" s="7">
        <v>4050</v>
      </c>
      <c r="C98" s="21" t="s">
        <v>194</v>
      </c>
      <c r="D98" s="21" t="s">
        <v>338</v>
      </c>
      <c r="E98" s="13">
        <v>43033.590937499997</v>
      </c>
      <c r="F98" s="13">
        <v>43033.594143518516</v>
      </c>
      <c r="G98" s="7">
        <v>68</v>
      </c>
      <c r="H98" s="21" t="s">
        <v>923</v>
      </c>
      <c r="I98" s="13">
        <v>43033.620185185187</v>
      </c>
      <c r="J98" s="7">
        <v>0</v>
      </c>
      <c r="K98" s="89" t="str">
        <f>IF(ISEVEN(B98),(B98-1)&amp;"/"&amp;B98,B98&amp;"/"&amp;(B98+1))</f>
        <v>4049/4050</v>
      </c>
      <c r="L98" s="185" t="str">
        <f>VLOOKUP(A98,'Trips&amp;Operators'!$C$1:$G$99911,5,FALSE)</f>
        <v>DAVIS MICHAEL</v>
      </c>
      <c r="M98" s="6">
        <f>I98-F98</f>
        <v>2.6041666671517305E-2</v>
      </c>
      <c r="N98" s="7">
        <f>24*60*SUM($M98:$M98)</f>
        <v>37.500000006984919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-25T13:10:57-0600',mode:absolute,to:'2017-10-25T15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4.53E-2</v>
      </c>
      <c r="Z98" s="204">
        <f>RIGHT(H98,LEN(H98)-4)/10000</f>
        <v>23.332000000000001</v>
      </c>
      <c r="AA98" s="204">
        <f>ABS(Z98-Y98)</f>
        <v>23.2867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/stypes="app*4050*20171025*" /stext=" 20:.+((SYSTEM_STATE.+slice.+state.+changed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0"/>
        <v>"%USERPROFILE%\Documents\GitHub\eaglep3\Utilities\RefineRTDCRunTimes.py" --tripid 185-25 --locoid 4050 --swversion DE.1.0.9.0 --startMP 204:453 --initTime 2017-10-25T14:10:57 --startdatetime 2017-10-25T14:15:34 --delay 68 --endMP 204:233320 --enddatetime 2017-10-25T14:53:04 --enforcementcount 0 &gt;&gt;%USERPROFILE%\Documents\GitHub\eaglep3-reporting\EC\2017-10-25-refined-times.txt</v>
      </c>
      <c r="AI98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{"issue":{"subject":"","project_id":79,"tracker_id":40,"status_id":1,"priority_id":2,"assigned_to_id":338,"start_date":"2017-10-25","description":"","custom_fields":[{"id":1,"name":"Subdivision","value":"EC"},{"id":4,"name":"Milepost","value":"23.332"},{"id":17,"name":"Train ID","value":"185-25"},{"id":16,"name":"Locomotive ID","value":"4050"},{"id":130,"name":"Impact","value":""},{"id":150,"name":"Time of Event (Mountain Time)","value":"14:53:04"},{"id":151,"name":"Denver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2"/>
        <v>start /low /b %USERPROFILE%\Documents\GitHub\eaglep3\Utilities\DownloadLogsFromS3.py --loco 4050 --day 2017-10-25</v>
      </c>
      <c r="AN98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4"/>
        <v>https://d0f6bd738d7f1b3e5a7ca70fe4ff75f0.us-east-1.aws.found.io/app/kibana#/discover/Steve-Slow-Train-Analysis-(2080s-and-2083s)?_g=(refreshInterval:(display:Off,pause:!f,section:0,value:0),time:(from:'2017-10-25T13:10:57-0600',mode:absolute,to:'2017-10-25T15:53:04-0600'))&amp;_a=(columns:!('Message%20ID',Summary),filters:!(),index:'emp_*',interval:auto,query:(query_string:(analyze_wildcard:!t,query:'%22rtdc.l.rtdc.4050%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653</v>
      </c>
      <c r="B99" s="7">
        <v>4049</v>
      </c>
      <c r="C99" s="21" t="s">
        <v>194</v>
      </c>
      <c r="D99" s="21" t="s">
        <v>416</v>
      </c>
      <c r="E99" s="13">
        <v>43033.630949074075</v>
      </c>
      <c r="F99" s="13">
        <v>43033.633715277778</v>
      </c>
      <c r="G99" s="7">
        <v>64</v>
      </c>
      <c r="H99" s="21" t="s">
        <v>335</v>
      </c>
      <c r="I99" s="13">
        <v>43033.660960648151</v>
      </c>
      <c r="J99" s="7">
        <v>0</v>
      </c>
      <c r="K99" s="89" t="str">
        <f>IF(ISEVEN(B99),(B99-1)&amp;"/"&amp;B99,B99&amp;"/"&amp;(B99+1))</f>
        <v>4049/4050</v>
      </c>
      <c r="L99" s="185" t="str">
        <f>VLOOKUP(A99,'Trips&amp;Operators'!$C$1:$G$99911,5,FALSE)</f>
        <v>DAVIS MICHAEL</v>
      </c>
      <c r="M99" s="6">
        <f>I99-F99</f>
        <v>2.7245370372838806E-2</v>
      </c>
      <c r="N99" s="7">
        <f>24*60*SUM($M99:$M99)</f>
        <v>39.233333336887881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-25T14:08:34-0600',mode:absolute,to:'2017-10-25T16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23.2988</v>
      </c>
      <c r="Z99" s="204">
        <f>RIGHT(H99,LEN(H99)-4)/10000</f>
        <v>1.4999999999999999E-2</v>
      </c>
      <c r="AA99" s="204">
        <f>ABS(Z99-Y99)</f>
        <v>23.283799999999999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/stypes="app*4049*20171025*"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186-25 --locoid 4049 --swversion DE.1.0.9.0 --startMP 204:232988 --initTime 2017-10-25T15:08:34 --startdatetime 2017-10-25T15:12:33 --delay 64 --endMP 204:150 --enddatetime 2017-10-25T15:51:47 --enforcementcount 0 &gt;&gt;%USERPROFILE%\Documents\GitHub\eaglep3-reporting\EC\2017-10-25-refined-times.txt</v>
      </c>
      <c r="AI99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{"issue":{"subject":"","project_id":79,"tracker_id":40,"status_id":1,"priority_id":2,"assigned_to_id":338,"start_date":"2017-10-25","description":"","custom_fields":[{"id":1,"name":"Subdivision","value":"EC"},{"id":4,"name":"Milepost","value":"0.015"},{"id":17,"name":"Train ID","value":"186-25"},{"id":16,"name":"Locomotive ID","value":"4049"},{"id":130,"name":"Impact","value":""},{"id":150,"name":"Time of Event (Mountain Time)","value":"15:51:47"},{"id":151,"name":"Denver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2"/>
        <v>start /low /b %USERPROFILE%\Documents\GitHub\eaglep3\Utilities\DownloadLogsFromS3.py --loco 4049 --day 2017-10-25</v>
      </c>
      <c r="AN99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-10-25T14:08:34-0600',mode:absolute,to:'2017-10-25T16:51:47-0600'))&amp;_a=(columns:!('Message%20ID',Summary),filters:!(),index:'emp_*',interval:auto,query:(query_string:(analyze_wildcard:!t,query:'%22rtdc.l.rtdc.4049%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780</v>
      </c>
      <c r="B100" s="7">
        <v>4008</v>
      </c>
      <c r="C100" s="21" t="s">
        <v>194</v>
      </c>
      <c r="D100" s="21" t="s">
        <v>924</v>
      </c>
      <c r="E100" s="13">
        <v>43033.598680555559</v>
      </c>
      <c r="F100" s="13">
        <v>43033.604351851849</v>
      </c>
      <c r="G100" s="7">
        <v>52</v>
      </c>
      <c r="H100" s="21" t="s">
        <v>913</v>
      </c>
      <c r="I100" s="13">
        <v>43033.629201388889</v>
      </c>
      <c r="J100" s="7">
        <v>0</v>
      </c>
      <c r="K100" s="89" t="str">
        <f>IF(ISEVEN(B100),(B100-1)&amp;"/"&amp;B100,B100&amp;"/"&amp;(B100+1))</f>
        <v>4007/4008</v>
      </c>
      <c r="L100" s="185" t="str">
        <f>VLOOKUP(A100,'Trips&amp;Operators'!$C$1:$G$99911,5,FALSE)</f>
        <v>HOLCOMB KAMDEN</v>
      </c>
      <c r="M100" s="6">
        <f>I100-F100</f>
        <v>2.4849537039699499E-2</v>
      </c>
      <c r="N100" s="7">
        <f>24*60*SUM($M100:$M100)</f>
        <v>35.783333337167278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-25T13:22:06-0600',mode:absolute,to:'2017-10-25T16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4.2900000000000001E-2</v>
      </c>
      <c r="Z100" s="204">
        <f>RIGHT(H100,LEN(H100)-4)/10000</f>
        <v>23.331499999999998</v>
      </c>
      <c r="AA100" s="204">
        <f>ABS(Z100-Y100)</f>
        <v>23.288599999999999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/stypes="app*4008*20171025*" /stext=" 21:.+((SYSTEM_STATE.+slice.+state.+changed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187-25 --locoid 4008 --swversion DE.1.0.9.0 --startMP 204:429 --initTime 2017-10-25T14:22:06 --startdatetime 2017-10-25T14:30:16 --delay 52 --endMP 204:233315 --enddatetime 2017-10-25T15:06:03 --enforcementcount 0 &gt;&gt;%USERPROFILE%\Documents\GitHub\eaglep3-reporting\EC\2017-10-25-refined-times.txt</v>
      </c>
      <c r="AI100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{"issue":{"subject":"","project_id":79,"tracker_id":40,"status_id":1,"priority_id":2,"assigned_to_id":338,"start_date":"2017-10-25","description":"","custom_fields":[{"id":1,"name":"Subdivision","value":"EC"},{"id":4,"name":"Milepost","value":"23.3315"},{"id":17,"name":"Train ID","value":"187-25"},{"id":16,"name":"Locomotive ID","value":"4008"},{"id":130,"name":"Impact","value":""},{"id":150,"name":"Time of Event (Mountain Time)","value":"15:06:03"},{"id":151,"name":"Denver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2"/>
        <v>start /low /b %USERPROFILE%\Documents\GitHub\eaglep3\Utilities\DownloadLogsFromS3.py --loco 4008 --day 2017-10-25</v>
      </c>
      <c r="AN100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-10-25T13:22:06-0600',mode:absolute,to:'2017-10-25T16:06:03-0600'))&amp;_a=(columns:!('Message%20ID',Summary),filters:!(),index:'emp_*',interval:auto,query:(query_string:(analyze_wildcard:!t,query:'%22rtdc.l.rtdc.4008%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789</v>
      </c>
      <c r="B101" s="7">
        <v>4007</v>
      </c>
      <c r="C101" s="21" t="s">
        <v>194</v>
      </c>
      <c r="D101" s="21" t="s">
        <v>890</v>
      </c>
      <c r="E101" s="13">
        <v>43033.641168981485</v>
      </c>
      <c r="F101" s="13">
        <v>43033.643946759257</v>
      </c>
      <c r="G101" s="7">
        <v>48</v>
      </c>
      <c r="H101" s="21" t="s">
        <v>397</v>
      </c>
      <c r="I101" s="13">
        <v>43033.66978009259</v>
      </c>
      <c r="J101" s="7">
        <v>0</v>
      </c>
      <c r="K101" s="89" t="str">
        <f>IF(ISEVEN(B101),(B101-1)&amp;"/"&amp;B101,B101&amp;"/"&amp;(B101+1))</f>
        <v>4007/4008</v>
      </c>
      <c r="L101" s="185" t="str">
        <f>VLOOKUP(A101,'Trips&amp;Operators'!$C$1:$G$99911,5,FALSE)</f>
        <v>HOLCOMB KAMDEN</v>
      </c>
      <c r="M101" s="6">
        <f>I101-F101</f>
        <v>2.5833333333139308E-2</v>
      </c>
      <c r="N101" s="7">
        <f>24*60*SUM($M101:$M101)</f>
        <v>37.199999999720603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-25T14:23:17-0600',mode:absolute,to:'2017-10-25T17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23.300999999999998</v>
      </c>
      <c r="Z101" s="204">
        <f>RIGHT(H101,LEN(H101)-4)/10000</f>
        <v>1.38E-2</v>
      </c>
      <c r="AA101" s="204">
        <f>ABS(Z101-Y101)</f>
        <v>23.287199999999999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/stypes="app*4007*20171025*"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188-25 --locoid 4007 --swversion DE.1.0.9.0 --startMP 204:233010 --initTime 2017-10-25T15:23:17 --startdatetime 2017-10-25T15:27:17 --delay 48 --endMP 204:138 --enddatetime 2017-10-25T16:04:29 --enforcementcount 0 &gt;&gt;%USERPROFILE%\Documents\GitHub\eaglep3-reporting\EC\2017-10-25-refined-times.txt</v>
      </c>
      <c r="AI101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{"issue":{"subject":"","project_id":79,"tracker_id":40,"status_id":1,"priority_id":2,"assigned_to_id":338,"start_date":"2017-10-25","description":"","custom_fields":[{"id":1,"name":"Subdivision","value":"EC"},{"id":4,"name":"Milepost","value":"0.0138"},{"id":17,"name":"Train ID","value":"188-25"},{"id":16,"name":"Locomotive ID","value":"4007"},{"id":130,"name":"Impact","value":""},{"id":150,"name":"Time of Event (Mountain Time)","value":"16:04:29"},{"id":151,"name":"Denver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2"/>
        <v>start /low /b %USERPROFILE%\Documents\GitHub\eaglep3\Utilities\DownloadLogsFromS3.py --loco 4007 --day 2017-10-25</v>
      </c>
      <c r="AN101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-10-25T14:23:17-0600',mode:absolute,to:'2017-10-25T17:04:29-0600'))&amp;_a=(columns:!('Message%20ID',Summary),filters:!(),index:'emp_*',interval:auto,query:(query_string:(analyze_wildcard:!t,query:'%22rtdc.l.rtdc.4007%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32" t="s">
        <v>783</v>
      </c>
      <c r="B102" s="7">
        <v>4018</v>
      </c>
      <c r="C102" s="21" t="s">
        <v>194</v>
      </c>
      <c r="D102" s="21" t="s">
        <v>542</v>
      </c>
      <c r="E102" s="13">
        <v>43033.610543981478</v>
      </c>
      <c r="F102" s="13">
        <v>43033.614745370367</v>
      </c>
      <c r="G102" s="7">
        <v>97</v>
      </c>
      <c r="H102" s="21" t="s">
        <v>925</v>
      </c>
      <c r="I102" s="13">
        <v>43033.639513888891</v>
      </c>
      <c r="J102" s="7">
        <v>0</v>
      </c>
      <c r="K102" s="89" t="str">
        <f>IF(ISEVEN(B102),(B102-1)&amp;"/"&amp;B102,B102&amp;"/"&amp;(B102+1))</f>
        <v>4017/4018</v>
      </c>
      <c r="L102" s="185" t="str">
        <f>VLOOKUP(A102,'Trips&amp;Operators'!$C$1:$G$99911,5,FALSE)</f>
        <v>BRUDER RICHARD</v>
      </c>
      <c r="M102" s="6">
        <f>I102-F102</f>
        <v>2.4768518524069805E-2</v>
      </c>
      <c r="N102" s="7">
        <f>24*60*SUM($M102:$M102)</f>
        <v>35.666666674660519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-25T13:39:11-0600',mode:absolute,to:'2017-10-25T16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4.3700000000000003E-2</v>
      </c>
      <c r="Z102" s="204">
        <f>RIGHT(H102,LEN(H102)-4)/10000</f>
        <v>23.320900000000002</v>
      </c>
      <c r="AA102" s="204">
        <f>ABS(Z102-Y102)</f>
        <v>23.277200000000001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/stypes="app*4018*20171025*" /stext=" 21:.+((SYSTEM_STATE.+slice.+state.+changed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189-25 --locoid 4018 --swversion DE.1.0.9.0 --startMP 204:437 --initTime 2017-10-25T14:39:11 --startdatetime 2017-10-25T14:45:14 --delay 97 --endMP 204:233209 --enddatetime 2017-10-25T15:20:54 --enforcementcount 0 &gt;&gt;%USERPROFILE%\Documents\GitHub\eaglep3-reporting\EC\2017-10-25-refined-times.txt</v>
      </c>
      <c r="AI102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{"issue":{"subject":"","project_id":79,"tracker_id":40,"status_id":1,"priority_id":2,"assigned_to_id":338,"start_date":"2017-10-25","description":"","custom_fields":[{"id":1,"name":"Subdivision","value":"EC"},{"id":4,"name":"Milepost","value":"23.3209"},{"id":17,"name":"Train ID","value":"189-25"},{"id":16,"name":"Locomotive ID","value":"4018"},{"id":130,"name":"Impact","value":""},{"id":150,"name":"Time of Event (Mountain Time)","value":"15:20:54"},{"id":151,"name":"Denver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12"/>
        <v>start /low /b %USERPROFILE%\Documents\GitHub\eaglep3\Utilities\DownloadLogsFromS3.py --loco 4018 --day 2017-10-25</v>
      </c>
      <c r="AN102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-10-25T13:39:11-0600',mode:absolute,to:'2017-10-25T16:20:54-0600'))&amp;_a=(columns:!('Message%20ID',Summary),filters:!(),index:'emp_*',interval:auto,query:(query_string:(analyze_wildcard:!t,query:'%22rtdc.l.rtdc.4018%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32" t="s">
        <v>793</v>
      </c>
      <c r="B103" s="7">
        <v>4017</v>
      </c>
      <c r="C103" s="21" t="s">
        <v>194</v>
      </c>
      <c r="D103" s="21" t="s">
        <v>926</v>
      </c>
      <c r="E103" s="13">
        <v>43033.650972222225</v>
      </c>
      <c r="F103" s="13">
        <v>43033.654305555552</v>
      </c>
      <c r="G103" s="7">
        <v>85</v>
      </c>
      <c r="H103" s="21" t="s">
        <v>927</v>
      </c>
      <c r="I103" s="13">
        <v>43033.679328703707</v>
      </c>
      <c r="J103" s="7">
        <v>0</v>
      </c>
      <c r="K103" s="89" t="str">
        <f>IF(ISEVEN(B103),(B103-1)&amp;"/"&amp;B103,B103&amp;"/"&amp;(B103+1))</f>
        <v>4017/4018</v>
      </c>
      <c r="L103" s="185" t="str">
        <f>VLOOKUP(A103,'Trips&amp;Operators'!$C$1:$G$99911,5,FALSE)</f>
        <v>BRUDER RICHARD</v>
      </c>
      <c r="M103" s="6">
        <f>I103-F103</f>
        <v>2.5023148155014496E-2</v>
      </c>
      <c r="N103" s="7">
        <f>24*60*SUM($M103:$M103)</f>
        <v>36.033333343220875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-25T14:37:24-0600',mode:absolute,to:'2017-10-25T17:18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23.288399999999999</v>
      </c>
      <c r="Z103" s="204">
        <f>RIGHT(H103,LEN(H103)-4)/10000</f>
        <v>3.0300000000000001E-2</v>
      </c>
      <c r="AA103" s="204">
        <f>ABS(Z103-Y103)</f>
        <v>23.258099999999999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/stypes="app*4017*20171025*"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190-25 --locoid 4017 --swversion DE.1.0.9.0 --startMP 204:232884 --initTime 2017-10-25T15:37:24 --startdatetime 2017-10-25T15:42:12 --delay 85 --endMP 204:303 --enddatetime 2017-10-25T16:18:14 --enforcementcount 0 &gt;&gt;%USERPROFILE%\Documents\GitHub\eaglep3-reporting\EC\2017-10-25-refined-times.txt</v>
      </c>
      <c r="AI103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{"issue":{"subject":"","project_id":79,"tracker_id":40,"status_id":1,"priority_id":2,"assigned_to_id":338,"start_date":"2017-10-25","description":"","custom_fields":[{"id":1,"name":"Subdivision","value":"EC"},{"id":4,"name":"Milepost","value":"0.0303"},{"id":17,"name":"Train ID","value":"190-25"},{"id":16,"name":"Locomotive ID","value":"4017"},{"id":130,"name":"Impact","value":""},{"id":150,"name":"Time of Event (Mountain Time)","value":"16:18:14"},{"id":151,"name":"Denver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0"/>
      <c r="AK103" s="47"/>
      <c r="AL103" s="47"/>
      <c r="AM103" s="142" t="str">
        <f t="shared" si="12"/>
        <v>start /low /b %USERPROFILE%\Documents\GitHub\eaglep3\Utilities\DownloadLogsFromS3.py --loco 4017 --day 2017-10-25</v>
      </c>
      <c r="AN103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-10-25T14:37:24-0600',mode:absolute,to:'2017-10-25T17:18:14-0600'))&amp;_a=(columns:!('Message%20ID',Summary),filters:!(),index:'emp_*',interval:auto,query:(query_string:(analyze_wildcard:!t,query:'%22rtdc.l.rtdc.4017%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3">
      <c r="A104" s="32" t="s">
        <v>785</v>
      </c>
      <c r="B104" s="7">
        <v>4036</v>
      </c>
      <c r="C104" s="21" t="s">
        <v>194</v>
      </c>
      <c r="D104" s="21" t="s">
        <v>928</v>
      </c>
      <c r="E104" s="13">
        <v>43033.621539351851</v>
      </c>
      <c r="F104" s="13">
        <v>43033.625243055554</v>
      </c>
      <c r="G104" s="7">
        <v>65</v>
      </c>
      <c r="H104" s="21" t="s">
        <v>929</v>
      </c>
      <c r="I104" s="13">
        <v>43033.649965277778</v>
      </c>
      <c r="J104" s="7">
        <v>0</v>
      </c>
      <c r="K104" s="89" t="str">
        <f>IF(ISEVEN(B104),(B104-1)&amp;"/"&amp;B104,B104&amp;"/"&amp;(B104+1))</f>
        <v>4035/4036</v>
      </c>
      <c r="L104" s="185" t="str">
        <f>VLOOKUP(A104,'Trips&amp;Operators'!$C$1:$G$99911,5,FALSE)</f>
        <v>STEWART MICHAEL</v>
      </c>
      <c r="M104" s="6">
        <f>I104-F104</f>
        <v>2.4722222224227153E-2</v>
      </c>
      <c r="N104" s="7">
        <f>24*60*SUM($M104:$M104)</f>
        <v>35.6000000028871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-25T13:55:01-0600',mode:absolute,to:'2017-10-25T16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5.6399999999999999E-2</v>
      </c>
      <c r="Z104" s="204">
        <f>RIGHT(H104,LEN(H104)-4)/10000</f>
        <v>23.322099999999999</v>
      </c>
      <c r="AA104" s="204">
        <f>ABS(Z104-Y104)</f>
        <v>23.265699999999999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/stypes="app*4036*20171025*" /stext=" 21:.+((SYSTEM_STATE.+slice.+state.+changed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191-25 --locoid 4036 --swversion DE.1.0.9.0 --startMP 204:564 --initTime 2017-10-25T14:55:01 --startdatetime 2017-10-25T15:00:21 --delay 65 --endMP 204:233221 --enddatetime 2017-10-25T15:35:57 --enforcementcount 0 &gt;&gt;%USERPROFILE%\Documents\GitHub\eaglep3-reporting\EC\2017-10-25-refined-times.txt</v>
      </c>
      <c r="AI104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{"issue":{"subject":"","project_id":79,"tracker_id":40,"status_id":1,"priority_id":2,"assigned_to_id":338,"start_date":"2017-10-25","description":"","custom_fields":[{"id":1,"name":"Subdivision","value":"EC"},{"id":4,"name":"Milepost","value":"23.3221"},{"id":17,"name":"Train ID","value":"191-25"},{"id":16,"name":"Locomotive ID","value":"4036"},{"id":130,"name":"Impact","value":""},{"id":150,"name":"Time of Event (Mountain Time)","value":"15:35:57"},{"id":151,"name":"Denver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0"/>
      <c r="AK104" s="47"/>
      <c r="AL104" s="47"/>
      <c r="AM104" s="142" t="str">
        <f t="shared" si="12"/>
        <v>start /low /b %USERPROFILE%\Documents\GitHub\eaglep3\Utilities\DownloadLogsFromS3.py --loco 4036 --day 2017-10-25</v>
      </c>
      <c r="AN104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-10-25T13:55:01-0600',mode:absolute,to:'2017-10-25T16:35:57-0600'))&amp;_a=(columns:!('Message%20ID',Summary),filters:!(),index:'emp_*',interval:auto,query:(query_string:(analyze_wildcard:!t,query:'%22rtdc.l.rtdc.4036%22')),sort:!(Time.ISO8601,asc))</v>
      </c>
    </row>
    <row r="105" spans="1:91" s="20" customFormat="1" x14ac:dyDescent="0.3">
      <c r="A105" s="32" t="s">
        <v>795</v>
      </c>
      <c r="B105" s="7">
        <v>4035</v>
      </c>
      <c r="C105" s="21" t="s">
        <v>194</v>
      </c>
      <c r="D105" s="21" t="s">
        <v>930</v>
      </c>
      <c r="E105" s="13">
        <v>43033.660509259258</v>
      </c>
      <c r="F105" s="13">
        <v>43033.664826388886</v>
      </c>
      <c r="G105" s="7">
        <v>60</v>
      </c>
      <c r="H105" s="21" t="s">
        <v>931</v>
      </c>
      <c r="I105" s="13">
        <v>43033.691354166665</v>
      </c>
      <c r="J105" s="7">
        <v>0</v>
      </c>
      <c r="K105" s="89" t="str">
        <f>IF(ISEVEN(B105),(B105-1)&amp;"/"&amp;B105,B105&amp;"/"&amp;(B105+1))</f>
        <v>4035/4036</v>
      </c>
      <c r="L105" s="185" t="str">
        <f>VLOOKUP(A105,'Trips&amp;Operators'!$C$1:$G$99911,5,FALSE)</f>
        <v>STEWART MICHAEL</v>
      </c>
      <c r="M105" s="6">
        <f>I105-F105</f>
        <v>2.6527777779847383E-2</v>
      </c>
      <c r="N105" s="7">
        <f>24*60*SUM($M105:$M105)</f>
        <v>38.200000002980232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-25T14:51:08-0600',mode:absolute,to:'2017-10-25T17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23.290199999999999</v>
      </c>
      <c r="Z105" s="204">
        <f>RIGHT(H105,LEN(H105)-4)/10000</f>
        <v>2.8899999999999999E-2</v>
      </c>
      <c r="AA105" s="204">
        <f>ABS(Z105-Y105)</f>
        <v>23.261299999999999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/stypes="app*4035*20171025*"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0"/>
        <v>"%USERPROFILE%\Documents\GitHub\eaglep3\Utilities\RefineRTDCRunTimes.py" --tripid 192-25 --locoid 4035 --swversion DE.1.0.9.0 --startMP 204:232902 --initTime 2017-10-25T15:51:08 --startdatetime 2017-10-25T15:57:21 --delay 60 --endMP 204:289 --enddatetime 2017-10-25T16:35:33 --enforcementcount 0 &gt;&gt;%USERPROFILE%\Documents\GitHub\eaglep3-reporting\EC\2017-10-25-refined-times.txt</v>
      </c>
      <c r="AI105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{"issue":{"subject":"","project_id":79,"tracker_id":40,"status_id":1,"priority_id":2,"assigned_to_id":338,"start_date":"2017-10-25","description":"","custom_fields":[{"id":1,"name":"Subdivision","value":"EC"},{"id":4,"name":"Milepost","value":"0.0289"},{"id":17,"name":"Train ID","value":"192-25"},{"id":16,"name":"Locomotive ID","value":"4035"},{"id":130,"name":"Impact","value":""},{"id":150,"name":"Time of Event (Mountain Time)","value":"16:35:33"},{"id":151,"name":"Denver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2"/>
        <v>start /low /b %USERPROFILE%\Documents\GitHub\eaglep3\Utilities\DownloadLogsFromS3.py --loco 4035 --day 2017-10-25</v>
      </c>
      <c r="AN105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4"/>
        <v>https://d0f6bd738d7f1b3e5a7ca70fe4ff75f0.us-east-1.aws.found.io/app/kibana#/discover/Steve-Slow-Train-Analysis-(2080s-and-2083s)?_g=(refreshInterval:(display:Off,pause:!f,section:0,value:0),time:(from:'2017-10-25T14:51:08-0600',mode:absolute,to:'2017-10-25T17:35:33-0600'))&amp;_a=(columns:!('Message%20ID',Summary),filters:!(),index:'emp_*',interval:auto,query:(query_string:(analyze_wildcard:!t,query:'%22rtdc.l.rtdc.4035%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787</v>
      </c>
      <c r="B106" s="7">
        <v>4046</v>
      </c>
      <c r="C106" s="21" t="s">
        <v>194</v>
      </c>
      <c r="D106" s="21" t="s">
        <v>932</v>
      </c>
      <c r="E106" s="13">
        <v>43033.631747685184</v>
      </c>
      <c r="F106" s="13">
        <v>43033.635578703703</v>
      </c>
      <c r="G106" s="7">
        <v>58</v>
      </c>
      <c r="H106" s="21" t="s">
        <v>933</v>
      </c>
      <c r="I106" s="13">
        <v>43033.660370370373</v>
      </c>
      <c r="J106" s="7">
        <v>0</v>
      </c>
      <c r="K106" s="89" t="str">
        <f>IF(ISEVEN(B106),(B106-1)&amp;"/"&amp;B106,B106&amp;"/"&amp;(B106+1))</f>
        <v>4045/4046</v>
      </c>
      <c r="L106" s="185" t="str">
        <f>VLOOKUP(A106,'Trips&amp;Operators'!$C$1:$G$99911,5,FALSE)</f>
        <v>GUZMAN DANNY</v>
      </c>
      <c r="M106" s="6">
        <f>I106-F106</f>
        <v>2.4791666670353152E-2</v>
      </c>
      <c r="N106" s="7">
        <f>24*60*SUM($M106:$M106)</f>
        <v>35.700000005308539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-25T14:09:43-0600',mode:absolute,to:'2017-10-25T16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5.4199999999999998E-2</v>
      </c>
      <c r="Z106" s="204">
        <f>RIGHT(H106,LEN(H106)-4)/10000</f>
        <v>23.327200000000001</v>
      </c>
      <c r="AA106" s="204">
        <f>ABS(Z106-Y106)</f>
        <v>23.273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/stypes="app*4046*20171025*" /stext=" 21:.+((SYSTEM_STATE.+slice.+state.+changed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193-25 --locoid 4046 --swversion DE.1.0.9.0 --startMP 204:542 --initTime 2017-10-25T15:09:43 --startdatetime 2017-10-25T15:15:14 --delay 58 --endMP 204:233272 --enddatetime 2017-10-25T15:50:56 --enforcementcount 0 &gt;&gt;%USERPROFILE%\Documents\GitHub\eaglep3-reporting\EC\2017-10-25-refined-times.txt</v>
      </c>
      <c r="AI106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{"issue":{"subject":"","project_id":79,"tracker_id":40,"status_id":1,"priority_id":2,"assigned_to_id":338,"start_date":"2017-10-25","description":"","custom_fields":[{"id":1,"name":"Subdivision","value":"EC"},{"id":4,"name":"Milepost","value":"23.3272"},{"id":17,"name":"Train ID","value":"193-25"},{"id":16,"name":"Locomotive ID","value":"4046"},{"id":130,"name":"Impact","value":""},{"id":150,"name":"Time of Event (Mountain Time)","value":"15:50:56"},{"id":151,"name":"Denver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4046 --day 2017-10-25</v>
      </c>
      <c r="AN106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-10-25T14:09:43-0600',mode:absolute,to:'2017-10-25T16:50:56-0600'))&amp;_a=(columns:!('Message%20ID',Summary),filters:!(),index:'emp_*',interval:auto,query:(query_string:(analyze_wildcard:!t,query:'%22rtdc.l.rtdc.4046%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801</v>
      </c>
      <c r="B107" s="7">
        <v>4045</v>
      </c>
      <c r="C107" s="21" t="s">
        <v>194</v>
      </c>
      <c r="D107" s="21" t="s">
        <v>915</v>
      </c>
      <c r="E107" s="13">
        <v>43033.669328703705</v>
      </c>
      <c r="F107" s="13">
        <v>43033.675219907411</v>
      </c>
      <c r="G107" s="7">
        <v>73</v>
      </c>
      <c r="H107" s="21" t="s">
        <v>604</v>
      </c>
      <c r="I107" s="13">
        <v>43033.701481481483</v>
      </c>
      <c r="J107" s="7">
        <v>0</v>
      </c>
      <c r="K107" s="89" t="str">
        <f>IF(ISEVEN(B107),(B107-1)&amp;"/"&amp;B107,B107&amp;"/"&amp;(B107+1))</f>
        <v>4045/4046</v>
      </c>
      <c r="L107" s="185" t="str">
        <f>VLOOKUP(A107,'Trips&amp;Operators'!$C$1:$G$99911,5,FALSE)</f>
        <v>GUZMAN DANNY</v>
      </c>
      <c r="M107" s="6">
        <f>I107-F107</f>
        <v>2.626157407212304E-2</v>
      </c>
      <c r="N107" s="7">
        <f>24*60*SUM($M107:$M107)</f>
        <v>37.816666663857177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-25T15:03:50-0600',mode:absolute,to:'2017-10-25T17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23.293800000000001</v>
      </c>
      <c r="Z107" s="204">
        <f>RIGHT(H107,LEN(H107)-4)/10000</f>
        <v>2.58E-2</v>
      </c>
      <c r="AA107" s="204">
        <f>ABS(Z107-Y107)</f>
        <v>23.268000000000001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/stypes="app*4045*20171025*"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0"/>
        <v>"%USERPROFILE%\Documents\GitHub\eaglep3\Utilities\RefineRTDCRunTimes.py" --tripid 194-25 --locoid 4045 --swversion DE.1.0.9.0 --startMP 204:232938 --initTime 2017-10-25T16:03:50 --startdatetime 2017-10-25T16:12:19 --delay 73 --endMP 204:258 --enddatetime 2017-10-25T16:50:08 --enforcementcount 0 &gt;&gt;%USERPROFILE%\Documents\GitHub\eaglep3-reporting\EC\2017-10-25-refined-times.txt</v>
      </c>
      <c r="AI107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{"issue":{"subject":"","project_id":79,"tracker_id":40,"status_id":1,"priority_id":2,"assigned_to_id":338,"start_date":"2017-10-25","description":"","custom_fields":[{"id":1,"name":"Subdivision","value":"EC"},{"id":4,"name":"Milepost","value":"0.0258"},{"id":17,"name":"Train ID","value":"194-25"},{"id":16,"name":"Locomotive ID","value":"4045"},{"id":130,"name":"Impact","value":""},{"id":150,"name":"Time of Event (Mountain Time)","value":"16:50:08"},{"id":151,"name":"Denver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2"/>
        <v>start /low /b %USERPROFILE%\Documents\GitHub\eaglep3\Utilities\DownloadLogsFromS3.py --loco 4045 --day 2017-10-25</v>
      </c>
      <c r="AN107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4"/>
        <v>https://d0f6bd738d7f1b3e5a7ca70fe4ff75f0.us-east-1.aws.found.io/app/kibana#/discover/Steve-Slow-Train-Analysis-(2080s-and-2083s)?_g=(refreshInterval:(display:Off,pause:!f,section:0,value:0),time:(from:'2017-10-25T15:03:50-0600',mode:absolute,to:'2017-10-25T17:50:08-0600'))&amp;_a=(columns:!('Message%20ID',Summary),filters:!(),index:'emp_*',interval:auto,query:(query_string:(analyze_wildcard:!t,query:'%22rtdc.l.rtdc.4045%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790</v>
      </c>
      <c r="B108" s="7">
        <v>4030</v>
      </c>
      <c r="C108" s="21" t="s">
        <v>194</v>
      </c>
      <c r="D108" s="21" t="s">
        <v>519</v>
      </c>
      <c r="E108" s="13">
        <v>43033.643206018518</v>
      </c>
      <c r="F108" s="13">
        <v>43033.646238425928</v>
      </c>
      <c r="G108" s="7">
        <v>62</v>
      </c>
      <c r="H108" s="21" t="s">
        <v>521</v>
      </c>
      <c r="I108" s="13">
        <v>43033.670729166668</v>
      </c>
      <c r="J108" s="7">
        <v>0</v>
      </c>
      <c r="K108" s="89" t="str">
        <f>IF(ISEVEN(B108),(B108-1)&amp;"/"&amp;B108,B108&amp;"/"&amp;(B108+1))</f>
        <v>4029/4030</v>
      </c>
      <c r="L108" s="185" t="str">
        <f>VLOOKUP(A108,'Trips&amp;Operators'!$C$1:$G$99911,5,FALSE)</f>
        <v>LEVIN SCOTT</v>
      </c>
      <c r="M108" s="6">
        <f>I108-F108</f>
        <v>2.4490740739565808E-2</v>
      </c>
      <c r="N108" s="7">
        <f>24*60*SUM($M108:$M108)</f>
        <v>35.266666664974764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-25T14:26:13-0600',mode:absolute,to:'2017-10-25T17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4.7500000000000001E-2</v>
      </c>
      <c r="Z108" s="204">
        <f>RIGHT(H108,LEN(H108)-4)/10000</f>
        <v>23.328900000000001</v>
      </c>
      <c r="AA108" s="204">
        <f>ABS(Z108-Y108)</f>
        <v>23.281400000000001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/stypes="app*4030*20171025*" /stext=" 22:.+((SYSTEM_STATE.+slice.+state.+changed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195-25 --locoid 4030 --swversion DE.1.0.9.0 --startMP 204:475 --initTime 2017-10-25T15:26:13 --startdatetime 2017-10-25T15:30:35 --delay 62 --endMP 204:233289 --enddatetime 2017-10-25T16:05:51 --enforcementcount 0 &gt;&gt;%USERPROFILE%\Documents\GitHub\eaglep3-reporting\EC\2017-10-25-refined-times.txt</v>
      </c>
      <c r="AI108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{"issue":{"subject":"","project_id":79,"tracker_id":40,"status_id":1,"priority_id":2,"assigned_to_id":338,"start_date":"2017-10-25","description":"","custom_fields":[{"id":1,"name":"Subdivision","value":"EC"},{"id":4,"name":"Milepost","value":"23.3289"},{"id":17,"name":"Train ID","value":"195-25"},{"id":16,"name":"Locomotive ID","value":"4030"},{"id":130,"name":"Impact","value":""},{"id":150,"name":"Time of Event (Mountain Time)","value":"16:05:51"},{"id":151,"name":"Denver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4030 --day 2017-10-25</v>
      </c>
      <c r="AN108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-10-25T14:26:13-0600',mode:absolute,to:'2017-10-25T17:05:51-0600'))&amp;_a=(columns:!('Message%20ID',Summary),filters:!(),index:'emp_*',interval:auto,query:(query_string:(analyze_wildcard:!t,query:'%22rtdc.l.rtdc.4030%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803</v>
      </c>
      <c r="B109" s="7">
        <v>4029</v>
      </c>
      <c r="C109" s="21" t="s">
        <v>194</v>
      </c>
      <c r="D109" s="21" t="s">
        <v>584</v>
      </c>
      <c r="E109" s="13">
        <v>43033.680046296293</v>
      </c>
      <c r="F109" s="13">
        <v>43033.685601851852</v>
      </c>
      <c r="G109" s="7">
        <v>59</v>
      </c>
      <c r="H109" s="21" t="s">
        <v>920</v>
      </c>
      <c r="I109" s="13">
        <v>43033.711539351854</v>
      </c>
      <c r="J109" s="7">
        <v>0</v>
      </c>
      <c r="K109" s="89" t="str">
        <f>IF(ISEVEN(B109),(B109-1)&amp;"/"&amp;B109,B109&amp;"/"&amp;(B109+1))</f>
        <v>4029/4030</v>
      </c>
      <c r="L109" s="185" t="str">
        <f>VLOOKUP(A109,'Trips&amp;Operators'!$C$1:$G$99911,5,FALSE)</f>
        <v>LEVIN SCOTT</v>
      </c>
      <c r="M109" s="6">
        <f>I109-F109</f>
        <v>2.5937500002328306E-2</v>
      </c>
      <c r="N109" s="7">
        <f>24*60*SUM($M109:$M109)</f>
        <v>37.350000003352761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-25T15:19:16-0600',mode:absolute,to:'2017-10-25T18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23.2974</v>
      </c>
      <c r="Z109" s="204">
        <f>RIGHT(H109,LEN(H109)-4)/10000</f>
        <v>2.8299999999999999E-2</v>
      </c>
      <c r="AA109" s="204">
        <f>ABS(Z109-Y109)</f>
        <v>23.269099999999998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/stypes="app*4029*20171025*"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196-25 --locoid 4029 --swversion DE.1.0.9.0 --startMP 204:232974 --initTime 2017-10-25T16:19:16 --startdatetime 2017-10-25T16:27:16 --delay 59 --endMP 204:283 --enddatetime 2017-10-25T17:04:37 --enforcementcount 0 &gt;&gt;%USERPROFILE%\Documents\GitHub\eaglep3-reporting\EC\2017-10-25-refined-times.txt</v>
      </c>
      <c r="AI109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{"issue":{"subject":"","project_id":79,"tracker_id":40,"status_id":1,"priority_id":2,"assigned_to_id":338,"start_date":"2017-10-25","description":"","custom_fields":[{"id":1,"name":"Subdivision","value":"EC"},{"id":4,"name":"Milepost","value":"0.0283"},{"id":17,"name":"Train ID","value":"196-25"},{"id":16,"name":"Locomotive ID","value":"4029"},{"id":130,"name":"Impact","value":""},{"id":150,"name":"Time of Event (Mountain Time)","value":"17:04:37"},{"id":151,"name":"Denver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4029 --day 2017-10-25</v>
      </c>
      <c r="AN109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-10-25T15:19:16-0600',mode:absolute,to:'2017-10-25T18:04:37-0600'))&amp;_a=(columns:!('Message%20ID',Summary),filters:!(),index:'emp_*',interval:auto,query:(query_string:(analyze_wildcard:!t,query:'%22rtdc.l.rtdc.4029%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794</v>
      </c>
      <c r="B110" s="7">
        <v>4006</v>
      </c>
      <c r="C110" s="21" t="s">
        <v>194</v>
      </c>
      <c r="D110" s="21" t="s">
        <v>542</v>
      </c>
      <c r="E110" s="13">
        <v>43033.653333333335</v>
      </c>
      <c r="F110" s="13">
        <v>43033.656481481485</v>
      </c>
      <c r="G110" s="7">
        <v>81</v>
      </c>
      <c r="H110" s="21" t="s">
        <v>585</v>
      </c>
      <c r="I110" s="13">
        <v>43033.681805555556</v>
      </c>
      <c r="J110" s="7">
        <v>0</v>
      </c>
      <c r="K110" s="89" t="str">
        <f>IF(ISEVEN(B110),(B110-1)&amp;"/"&amp;B110,B110&amp;"/"&amp;(B110+1))</f>
        <v>4005/4006</v>
      </c>
      <c r="L110" s="185" t="str">
        <f>VLOOKUP(A110,'Trips&amp;Operators'!$C$1:$G$99911,5,FALSE)</f>
        <v>ZEWDU DEREJE</v>
      </c>
      <c r="M110" s="6">
        <f>I110-F110</f>
        <v>2.5324074071249925E-2</v>
      </c>
      <c r="N110" s="7">
        <f>24*60*SUM($M110:$M110)</f>
        <v>36.466666662599891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-25T14:40:48-0600',mode:absolute,to:'2017-10-25T17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4.3700000000000003E-2</v>
      </c>
      <c r="Z110" s="204">
        <f>RIGHT(H110,LEN(H110)-4)/10000</f>
        <v>23.328800000000001</v>
      </c>
      <c r="AA110" s="204">
        <f>ABS(Z110-Y110)</f>
        <v>23.2851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/stypes="app*4006*20171025*"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197-25 --locoid 4006 --swversion DE.1.0.9.0 --startMP 204:437 --initTime 2017-10-25T15:40:48 --startdatetime 2017-10-25T15:45:20 --delay 81 --endMP 204:233288 --enddatetime 2017-10-25T16:21:48 --enforcementcount 0 &gt;&gt;%USERPROFILE%\Documents\GitHub\eaglep3-reporting\EC\2017-10-25-refined-times.txt</v>
      </c>
      <c r="AI110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{"issue":{"subject":"","project_id":79,"tracker_id":40,"status_id":1,"priority_id":2,"assigned_to_id":338,"start_date":"2017-10-25","description":"","custom_fields":[{"id":1,"name":"Subdivision","value":"EC"},{"id":4,"name":"Milepost","value":"23.3288"},{"id":17,"name":"Train ID","value":"197-25"},{"id":16,"name":"Locomotive ID","value":"4006"},{"id":130,"name":"Impact","value":""},{"id":150,"name":"Time of Event (Mountain Time)","value":"16:21:48"},{"id":151,"name":"Denver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4006 --day 2017-10-25</v>
      </c>
      <c r="AN110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-10-25T14:40:48-0600',mode:absolute,to:'2017-10-25T17:21:48-0600'))&amp;_a=(columns:!('Message%20ID',Summary),filters:!(),index:'emp_*',interval:auto,query:(query_string:(analyze_wildcard:!t,query:'%22rtdc.l.rtdc.4006%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808</v>
      </c>
      <c r="B111" s="7">
        <v>4005</v>
      </c>
      <c r="C111" s="21" t="s">
        <v>194</v>
      </c>
      <c r="D111" s="21" t="s">
        <v>934</v>
      </c>
      <c r="E111" s="13">
        <v>43033.689513888887</v>
      </c>
      <c r="F111" s="13">
        <v>43033.696076388886</v>
      </c>
      <c r="G111" s="7">
        <v>124</v>
      </c>
      <c r="H111" s="21" t="s">
        <v>935</v>
      </c>
      <c r="I111" s="13">
        <v>43033.721990740742</v>
      </c>
      <c r="J111" s="7">
        <v>0</v>
      </c>
      <c r="K111" s="89" t="str">
        <f>IF(ISEVEN(B111),(B111-1)&amp;"/"&amp;B111,B111&amp;"/"&amp;(B111+1))</f>
        <v>4005/4006</v>
      </c>
      <c r="L111" s="185" t="str">
        <f>VLOOKUP(A111,'Trips&amp;Operators'!$C$1:$G$99911,5,FALSE)</f>
        <v>ZEWDU DEREJE</v>
      </c>
      <c r="M111" s="6">
        <f>I111-F111</f>
        <v>2.5914351856044959E-2</v>
      </c>
      <c r="N111" s="7">
        <f>24*60*SUM($M111:$M111)</f>
        <v>37.316666672704741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-25T15:32:54-0600',mode:absolute,to:'2017-10-25T18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23.296700000000001</v>
      </c>
      <c r="Z111" s="204">
        <f>RIGHT(H111,LEN(H111)-4)/10000</f>
        <v>2.1100000000000001E-2</v>
      </c>
      <c r="AA111" s="204">
        <f>ABS(Z111-Y111)</f>
        <v>23.275600000000001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/stypes="app*4005*20171025*"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198-25 --locoid 4005 --swversion DE.1.0.9.0 --startMP 204:232967 --initTime 2017-10-25T16:32:54 --startdatetime 2017-10-25T16:42:21 --delay 124 --endMP 204:211 --enddatetime 2017-10-25T17:19:40 --enforcementcount 0 &gt;&gt;%USERPROFILE%\Documents\GitHub\eaglep3-reporting\EC\2017-10-25-refined-times.txt</v>
      </c>
      <c r="AI111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{"issue":{"subject":"","project_id":79,"tracker_id":40,"status_id":1,"priority_id":2,"assigned_to_id":338,"start_date":"2017-10-25","description":"","custom_fields":[{"id":1,"name":"Subdivision","value":"EC"},{"id":4,"name":"Milepost","value":"0.0211"},{"id":17,"name":"Train ID","value":"198-25"},{"id":16,"name":"Locomotive ID","value":"4005"},{"id":130,"name":"Impact","value":""},{"id":150,"name":"Time of Event (Mountain Time)","value":"17:19:40"},{"id":151,"name":"Denver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4005 --day 2017-10-25</v>
      </c>
      <c r="AN111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-10-25T15:32:54-0600',mode:absolute,to:'2017-10-25T18:19:40-0600'))&amp;_a=(columns:!('Message%20ID',Summary),filters:!(),index:'emp_*',interval:auto,query:(query_string:(analyze_wildcard:!t,query:'%22rtdc.l.rtdc.4005%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796</v>
      </c>
      <c r="B112" s="7">
        <v>4050</v>
      </c>
      <c r="C112" s="21" t="s">
        <v>194</v>
      </c>
      <c r="D112" s="21" t="s">
        <v>438</v>
      </c>
      <c r="E112" s="13">
        <v>43033.661932870367</v>
      </c>
      <c r="F112" s="13">
        <v>43033.666886574072</v>
      </c>
      <c r="G112" s="7">
        <v>73</v>
      </c>
      <c r="H112" s="21" t="s">
        <v>520</v>
      </c>
      <c r="I112" s="13">
        <v>43033.690960648149</v>
      </c>
      <c r="J112" s="7">
        <v>0</v>
      </c>
      <c r="K112" s="89" t="str">
        <f>IF(ISEVEN(B112),(B112-1)&amp;"/"&amp;B112,B112&amp;"/"&amp;(B112+1))</f>
        <v>4049/4050</v>
      </c>
      <c r="L112" s="185" t="str">
        <f>VLOOKUP(A112,'Trips&amp;Operators'!$C$1:$G$99911,5,FALSE)</f>
        <v>DELGADO DIANAH</v>
      </c>
      <c r="M112" s="6">
        <f>I112-F112</f>
        <v>2.4074074077361729E-2</v>
      </c>
      <c r="N112" s="7">
        <f>24*60*SUM($M112:$M112)</f>
        <v>34.66666667140089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-25T14:53:11-0600',mode:absolute,to:'2017-10-25T17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4.8399999999999999E-2</v>
      </c>
      <c r="Z112" s="204">
        <f>RIGHT(H112,LEN(H112)-4)/10000</f>
        <v>23.3325</v>
      </c>
      <c r="AA112" s="204">
        <f>ABS(Z112-Y112)</f>
        <v>23.284099999999999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/stypes="app*4050*20171025*"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199-25 --locoid 4050 --swversion DE.1.0.9.0 --startMP 204:484 --initTime 2017-10-25T15:53:11 --startdatetime 2017-10-25T16:00:19 --delay 73 --endMP 204:233325 --enddatetime 2017-10-25T16:34:59 --enforcementcount 0 &gt;&gt;%USERPROFILE%\Documents\GitHub\eaglep3-reporting\EC\2017-10-25-refined-times.txt</v>
      </c>
      <c r="AI112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{"issue":{"subject":"","project_id":79,"tracker_id":40,"status_id":1,"priority_id":2,"assigned_to_id":338,"start_date":"2017-10-25","description":"","custom_fields":[{"id":1,"name":"Subdivision","value":"EC"},{"id":4,"name":"Milepost","value":"23.3325"},{"id":17,"name":"Train ID","value":"199-25"},{"id":16,"name":"Locomotive ID","value":"4050"},{"id":130,"name":"Impact","value":""},{"id":150,"name":"Time of Event (Mountain Time)","value":"16:34:59"},{"id":151,"name":"Denver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4050 --day 2017-10-25</v>
      </c>
      <c r="AN112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-10-25T14:53:11-0600',mode:absolute,to:'2017-10-25T17:34:59-0600'))&amp;_a=(columns:!('Message%20ID',Summary),filters:!(),index:'emp_*',interval:auto,query:(query_string:(analyze_wildcard:!t,query:'%22rtdc.l.rtdc.4050%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811</v>
      </c>
      <c r="B113" s="7">
        <v>4049</v>
      </c>
      <c r="C113" s="21" t="s">
        <v>194</v>
      </c>
      <c r="D113" s="21" t="s">
        <v>936</v>
      </c>
      <c r="E113" s="13">
        <v>43033.693703703706</v>
      </c>
      <c r="F113" s="13">
        <v>43033.706446759257</v>
      </c>
      <c r="G113" s="7">
        <v>75</v>
      </c>
      <c r="H113" s="21" t="s">
        <v>937</v>
      </c>
      <c r="I113" s="13">
        <v>43033.731793981482</v>
      </c>
      <c r="J113" s="7">
        <v>0</v>
      </c>
      <c r="K113" s="89" t="str">
        <f>IF(ISEVEN(B113),(B113-1)&amp;"/"&amp;B113,B113&amp;"/"&amp;(B113+1))</f>
        <v>4049/4050</v>
      </c>
      <c r="L113" s="185" t="str">
        <f>VLOOKUP(A113,'Trips&amp;Operators'!$C$1:$G$99911,5,FALSE)</f>
        <v>DELGADO DIANAH</v>
      </c>
      <c r="M113" s="6">
        <f>I113-F113</f>
        <v>2.5347222224809229E-2</v>
      </c>
      <c r="N113" s="7">
        <f>24*60*SUM($M113:$M113)</f>
        <v>36.50000000372529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-25T15:38:56-0600',mode:absolute,to:'2017-10-25T18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23.300799999999999</v>
      </c>
      <c r="Z113" s="204">
        <f>RIGHT(H113,LEN(H113)-4)/10000</f>
        <v>2.93E-2</v>
      </c>
      <c r="AA113" s="204">
        <f>ABS(Z113-Y113)</f>
        <v>23.2715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/stypes="app*4049*20171025*"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0"/>
        <v>"%USERPROFILE%\Documents\GitHub\eaglep3\Utilities\RefineRTDCRunTimes.py" --tripid 200-25 --locoid 4049 --swversion DE.1.0.9.0 --startMP 204:233008 --initTime 2017-10-25T16:38:56 --startdatetime 2017-10-25T16:57:17 --delay 75 --endMP 204:293 --enddatetime 2017-10-25T17:33:47 --enforcementcount 0 &gt;&gt;%USERPROFILE%\Documents\GitHub\eaglep3-reporting\EC\2017-10-25-refined-times.txt</v>
      </c>
      <c r="AI113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{"issue":{"subject":"","project_id":79,"tracker_id":40,"status_id":1,"priority_id":2,"assigned_to_id":338,"start_date":"2017-10-25","description":"","custom_fields":[{"id":1,"name":"Subdivision","value":"EC"},{"id":4,"name":"Milepost","value":"0.0293"},{"id":17,"name":"Train ID","value":"200-25"},{"id":16,"name":"Locomotive ID","value":"4049"},{"id":130,"name":"Impact","value":""},{"id":150,"name":"Time of Event (Mountain Time)","value":"17:33:47"},{"id":151,"name":"Denver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2"/>
        <v>start /low /b %USERPROFILE%\Documents\GitHub\eaglep3\Utilities\DownloadLogsFromS3.py --loco 4049 --day 2017-10-25</v>
      </c>
      <c r="AN113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4"/>
        <v>https://d0f6bd738d7f1b3e5a7ca70fe4ff75f0.us-east-1.aws.found.io/app/kibana#/discover/Steve-Slow-Train-Analysis-(2080s-and-2083s)?_g=(refreshInterval:(display:Off,pause:!f,section:0,value:0),time:(from:'2017-10-25T15:38:56-0600',mode:absolute,to:'2017-10-25T18:33:47-0600'))&amp;_a=(columns:!('Message%20ID',Summary),filters:!(),index:'emp_*',interval:auto,query:(query_string:(analyze_wildcard:!t,query:'%22rtdc.l.rtdc.4049%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802</v>
      </c>
      <c r="B114" s="7">
        <v>4008</v>
      </c>
      <c r="C114" s="21" t="s">
        <v>194</v>
      </c>
      <c r="D114" s="21" t="s">
        <v>505</v>
      </c>
      <c r="E114" s="13">
        <v>43033.672962962963</v>
      </c>
      <c r="F114" s="13">
        <v>43033.677569444444</v>
      </c>
      <c r="G114" s="7">
        <v>45</v>
      </c>
      <c r="H114" s="21" t="s">
        <v>403</v>
      </c>
      <c r="I114" s="13">
        <v>43033.70175925926</v>
      </c>
      <c r="J114" s="7">
        <v>0</v>
      </c>
      <c r="K114" s="89" t="str">
        <f>IF(ISEVEN(B114),(B114-1)&amp;"/"&amp;B114,B114&amp;"/"&amp;(B114+1))</f>
        <v>4007/4008</v>
      </c>
      <c r="L114" s="185" t="str">
        <f>VLOOKUP(A114,'Trips&amp;Operators'!$C$1:$G$99911,5,FALSE)</f>
        <v>HOLCOMB KAMDEN</v>
      </c>
      <c r="M114" s="6">
        <f>I114-F114</f>
        <v>2.4189814816054422E-2</v>
      </c>
      <c r="N114" s="7">
        <f>24*60*SUM($M114:$M114)</f>
        <v>34.833333335118368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-25T15:09:04-0600',mode:absolute,to:'2017-10-25T17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4.4900000000000002E-2</v>
      </c>
      <c r="Z114" s="204">
        <f>RIGHT(H114,LEN(H114)-4)/10000</f>
        <v>23.329699999999999</v>
      </c>
      <c r="AA114" s="204">
        <f>ABS(Z114-Y114)</f>
        <v>23.284800000000001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/stypes="app*4008*20171025*"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201-25 --locoid 4008 --swversion DE.1.0.9.0 --startMP 204:449 --initTime 2017-10-25T16:09:04 --startdatetime 2017-10-25T16:15:42 --delay 45 --endMP 204:233297 --enddatetime 2017-10-25T16:50:32 --enforcementcount 0 &gt;&gt;%USERPROFILE%\Documents\GitHub\eaglep3-reporting\EC\2017-10-25-refined-times.txt</v>
      </c>
      <c r="AI114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{"issue":{"subject":"","project_id":79,"tracker_id":40,"status_id":1,"priority_id":2,"assigned_to_id":338,"start_date":"2017-10-25","description":"","custom_fields":[{"id":1,"name":"Subdivision","value":"EC"},{"id":4,"name":"Milepost","value":"23.3297"},{"id":17,"name":"Train ID","value":"201-25"},{"id":16,"name":"Locomotive ID","value":"4008"},{"id":130,"name":"Impact","value":""},{"id":150,"name":"Time of Event (Mountain Time)","value":"16:50:32"},{"id":151,"name":"Denver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4008 --day 2017-10-25</v>
      </c>
      <c r="AN114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-10-25T15:09:04-0600',mode:absolute,to:'2017-10-25T17:50:32-0600'))&amp;_a=(columns:!('Message%20ID',Summary),filters:!(),index:'emp_*',interval:auto,query:(query_string:(analyze_wildcard:!t,query:'%22rtdc.l.rtdc.4008%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655</v>
      </c>
      <c r="B115" s="7">
        <v>4007</v>
      </c>
      <c r="C115" s="21" t="s">
        <v>194</v>
      </c>
      <c r="D115" s="21" t="s">
        <v>413</v>
      </c>
      <c r="E115" s="13">
        <v>43033.711863425924</v>
      </c>
      <c r="F115" s="13">
        <v>43033.716979166667</v>
      </c>
      <c r="G115" s="7">
        <v>53</v>
      </c>
      <c r="H115" s="21" t="s">
        <v>355</v>
      </c>
      <c r="I115" s="13">
        <v>43033.743483796294</v>
      </c>
      <c r="J115" s="7">
        <v>0</v>
      </c>
      <c r="K115" s="89" t="str">
        <f>IF(ISEVEN(B115),(B115-1)&amp;"/"&amp;B115,B115&amp;"/"&amp;(B115+1))</f>
        <v>4007/4008</v>
      </c>
      <c r="L115" s="185" t="str">
        <f>VLOOKUP(A115,'Trips&amp;Operators'!$C$1:$G$99911,5,FALSE)</f>
        <v>HOLCOMB KAMDEN</v>
      </c>
      <c r="M115" s="6">
        <f>I115-F115</f>
        <v>2.6504629626288079E-2</v>
      </c>
      <c r="N115" s="7">
        <f>24*60*SUM($M115:$M115)</f>
        <v>38.166666661854833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-25T16:05:05-0600',mode:absolute,to:'2017-10-25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23.297999999999998</v>
      </c>
      <c r="Z115" s="204">
        <f>RIGHT(H115,LEN(H115)-4)/10000</f>
        <v>1.4500000000000001E-2</v>
      </c>
      <c r="AA115" s="204">
        <f>ABS(Z115-Y115)</f>
        <v>23.283499999999997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/stypes="app*4007*20171025*"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202-25 --locoid 4007 --swversion DE.1.0.9.0 --startMP 204:232980 --initTime 2017-10-25T17:05:05 --startdatetime 2017-10-25T17:12:27 --delay 53 --endMP 204:145 --enddatetime 2017-10-25T17:50:37 --enforcementcount 0 &gt;&gt;%USERPROFILE%\Documents\GitHub\eaglep3-reporting\EC\2017-10-25-refined-times.txt</v>
      </c>
      <c r="AI115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{"issue":{"subject":"","project_id":79,"tracker_id":40,"status_id":1,"priority_id":2,"assigned_to_id":338,"start_date":"2017-10-25","description":"","custom_fields":[{"id":1,"name":"Subdivision","value":"EC"},{"id":4,"name":"Milepost","value":"0.0145"},{"id":17,"name":"Train ID","value":"202-25"},{"id":16,"name":"Locomotive ID","value":"4007"},{"id":130,"name":"Impact","value":""},{"id":150,"name":"Time of Event (Mountain Time)","value":"17:50:37"},{"id":151,"name":"Denver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4007 --day 2017-10-25</v>
      </c>
      <c r="AN115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-10-25T16:05:05-0600',mode:absolute,to:'2017-10-25T18:50:37-0600'))&amp;_a=(columns:!('Message%20ID',Summary),filters:!(),index:'emp_*',interval:auto,query:(query_string:(analyze_wildcard:!t,query:'%22rtdc.l.rtdc.4007%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806</v>
      </c>
      <c r="B116" s="7">
        <v>4018</v>
      </c>
      <c r="C116" s="21" t="s">
        <v>194</v>
      </c>
      <c r="D116" s="21" t="s">
        <v>595</v>
      </c>
      <c r="E116" s="13">
        <v>43033.683067129627</v>
      </c>
      <c r="F116" s="13">
        <v>43033.687673611108</v>
      </c>
      <c r="G116" s="7">
        <v>71</v>
      </c>
      <c r="H116" s="21" t="s">
        <v>938</v>
      </c>
      <c r="I116" s="13">
        <v>43033.712395833332</v>
      </c>
      <c r="J116" s="7">
        <v>0</v>
      </c>
      <c r="K116" s="89" t="str">
        <f>IF(ISEVEN(B116),(B116-1)&amp;"/"&amp;B116,B116&amp;"/"&amp;(B116+1))</f>
        <v>4017/4018</v>
      </c>
      <c r="L116" s="185" t="str">
        <f>VLOOKUP(A116,'Trips&amp;Operators'!$C$1:$G$99911,5,FALSE)</f>
        <v>BRUDER RICHARD</v>
      </c>
      <c r="M116" s="6">
        <f>I116-F116</f>
        <v>2.4722222224227153E-2</v>
      </c>
      <c r="N116" s="7">
        <f>24*60*SUM($M116:$M116)</f>
        <v>35.6000000028871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-25T15:23:37-0600',mode:absolute,to:'2017-10-25T18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6.2199999999999998E-2</v>
      </c>
      <c r="Z116" s="204">
        <f>RIGHT(H116,LEN(H116)-4)/10000</f>
        <v>23.321899999999999</v>
      </c>
      <c r="AA116" s="204">
        <f>ABS(Z116-Y116)</f>
        <v>23.259699999999999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/stypes="app*4018*20171025*"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203-25 --locoid 4018 --swversion DE.1.0.9.0 --startMP 204:622 --initTime 2017-10-25T16:23:37 --startdatetime 2017-10-25T16:30:15 --delay 71 --endMP 204:233219 --enddatetime 2017-10-25T17:05:51 --enforcementcount 0 &gt;&gt;%USERPROFILE%\Documents\GitHub\eaglep3-reporting\EC\2017-10-25-refined-times.txt</v>
      </c>
      <c r="AI116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{"issue":{"subject":"","project_id":79,"tracker_id":40,"status_id":1,"priority_id":2,"assigned_to_id":338,"start_date":"2017-10-25","description":"","custom_fields":[{"id":1,"name":"Subdivision","value":"EC"},{"id":4,"name":"Milepost","value":"23.3219"},{"id":17,"name":"Train ID","value":"203-25"},{"id":16,"name":"Locomotive ID","value":"4018"},{"id":130,"name":"Impact","value":""},{"id":150,"name":"Time of Event (Mountain Time)","value":"17:05:51"},{"id":151,"name":"Denver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4018 --day 2017-10-25</v>
      </c>
      <c r="AN116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-10-25T15:23:37-0600',mode:absolute,to:'2017-10-25T18:05:51-0600'))&amp;_a=(columns:!('Message%20ID',Summary),filters:!(),index:'emp_*',interval:auto,query:(query_string:(analyze_wildcard:!t,query:'%22rtdc.l.rtdc.4018%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817</v>
      </c>
      <c r="B117" s="7">
        <v>4017</v>
      </c>
      <c r="C117" s="21" t="s">
        <v>194</v>
      </c>
      <c r="D117" s="21" t="s">
        <v>939</v>
      </c>
      <c r="E117" s="13">
        <v>43033.723993055559</v>
      </c>
      <c r="F117" s="13">
        <v>43033.727233796293</v>
      </c>
      <c r="G117" s="7">
        <v>58</v>
      </c>
      <c r="H117" s="21" t="s">
        <v>940</v>
      </c>
      <c r="I117" s="13">
        <v>43033.753136574072</v>
      </c>
      <c r="J117" s="7">
        <v>0</v>
      </c>
      <c r="K117" s="89" t="str">
        <f>IF(ISEVEN(B117),(B117-1)&amp;"/"&amp;B117,B117&amp;"/"&amp;(B117+1))</f>
        <v>4017/4018</v>
      </c>
      <c r="L117" s="185" t="str">
        <f>VLOOKUP(A117,'Trips&amp;Operators'!$C$1:$G$99911,5,FALSE)</f>
        <v>BRUDER RICHARD</v>
      </c>
      <c r="M117" s="6">
        <f>I117-F117</f>
        <v>2.5902777779265307E-2</v>
      </c>
      <c r="N117" s="7">
        <f>24*60*SUM($M117:$M117)</f>
        <v>37.300000002142042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-25T16:22:33-0600',mode:absolute,to:'2017-10-25T19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23.291699999999999</v>
      </c>
      <c r="Z117" s="204">
        <f>RIGHT(H117,LEN(H117)-4)/10000</f>
        <v>2.5600000000000001E-2</v>
      </c>
      <c r="AA117" s="204">
        <f>ABS(Z117-Y117)</f>
        <v>23.266099999999998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/stypes="app*4017*20171026*"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0"/>
        <v>"%USERPROFILE%\Documents\GitHub\eaglep3\Utilities\RefineRTDCRunTimes.py" --tripid 204-25 --locoid 4017 --swversion DE.1.0.9.0 --startMP 204:232917 --initTime 2017-10-25T17:22:33 --startdatetime 2017-10-25T17:27:13 --delay 58 --endMP 204:256 --enddatetime 2017-10-25T18:04:31 --enforcementcount 0 &gt;&gt;%USERPROFILE%\Documents\GitHub\eaglep3-reporting\EC\2017-10-25-refined-times.txt</v>
      </c>
      <c r="AI117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{"issue":{"subject":"","project_id":79,"tracker_id":40,"status_id":1,"priority_id":2,"assigned_to_id":338,"start_date":"2017-10-25","description":"","custom_fields":[{"id":1,"name":"Subdivision","value":"EC"},{"id":4,"name":"Milepost","value":"0.0256"},{"id":17,"name":"Train ID","value":"204-25"},{"id":16,"name":"Locomotive ID","value":"4017"},{"id":130,"name":"Impact","value":""},{"id":150,"name":"Time of Event (Mountain Time)","value":"18:04:31"},{"id":151,"name":"Denver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2"/>
        <v>start /low /b %USERPROFILE%\Documents\GitHub\eaglep3\Utilities\DownloadLogsFromS3.py --loco 4017 --day 2017-10-25</v>
      </c>
      <c r="AN117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4"/>
        <v>https://d0f6bd738d7f1b3e5a7ca70fe4ff75f0.us-east-1.aws.found.io/app/kibana#/discover/Steve-Slow-Train-Analysis-(2080s-and-2083s)?_g=(refreshInterval:(display:Off,pause:!f,section:0,value:0),time:(from:'2017-10-25T16:22:33-0600',mode:absolute,to:'2017-10-25T19:04:31-0600'))&amp;_a=(columns:!('Message%20ID',Summary),filters:!(),index:'emp_*',interval:auto,query:(query_string:(analyze_wildcard:!t,query:'%22rtdc.l.rtdc.4017%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810</v>
      </c>
      <c r="B118" s="7">
        <v>4036</v>
      </c>
      <c r="C118" s="21" t="s">
        <v>194</v>
      </c>
      <c r="D118" s="21" t="s">
        <v>941</v>
      </c>
      <c r="E118" s="13">
        <v>43033.693101851852</v>
      </c>
      <c r="F118" s="13">
        <v>43033.698136574072</v>
      </c>
      <c r="G118" s="7">
        <v>82</v>
      </c>
      <c r="H118" s="21" t="s">
        <v>942</v>
      </c>
      <c r="I118" s="13">
        <v>43033.723229166666</v>
      </c>
      <c r="J118" s="7">
        <v>0</v>
      </c>
      <c r="K118" s="89" t="str">
        <f>IF(ISEVEN(B118),(B118-1)&amp;"/"&amp;B118,B118&amp;"/"&amp;(B118+1))</f>
        <v>4035/4036</v>
      </c>
      <c r="L118" s="185" t="str">
        <f>VLOOKUP(A118,'Trips&amp;Operators'!$C$1:$G$99911,5,FALSE)</f>
        <v>STEWART MICHAEL</v>
      </c>
      <c r="M118" s="6">
        <f>I118-F118</f>
        <v>2.5092592593864538E-2</v>
      </c>
      <c r="N118" s="7">
        <f>24*60*SUM($M118:$M118)</f>
        <v>36.133333335164934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-25T15:38:04-0600',mode:absolute,to:'2017-10-25T18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6.4100000000000004E-2</v>
      </c>
      <c r="Z118" s="204">
        <f>RIGHT(H118,LEN(H118)-4)/10000</f>
        <v>23.318200000000001</v>
      </c>
      <c r="AA118" s="204">
        <f>ABS(Z118-Y118)</f>
        <v>23.254100000000001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/stypes="app*4036*20171025*"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0"/>
        <v>"%USERPROFILE%\Documents\GitHub\eaglep3\Utilities\RefineRTDCRunTimes.py" --tripid 205-25 --locoid 4036 --swversion DE.1.0.9.0 --startMP 204:641 --initTime 2017-10-25T16:38:04 --startdatetime 2017-10-25T16:45:19 --delay 82 --endMP 204:233182 --enddatetime 2017-10-25T17:21:27 --enforcementcount 0 &gt;&gt;%USERPROFILE%\Documents\GitHub\eaglep3-reporting\EC\2017-10-25-refined-times.txt</v>
      </c>
      <c r="AI118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{"issue":{"subject":"","project_id":79,"tracker_id":40,"status_id":1,"priority_id":2,"assigned_to_id":338,"start_date":"2017-10-25","description":"","custom_fields":[{"id":1,"name":"Subdivision","value":"EC"},{"id":4,"name":"Milepost","value":"23.3182"},{"id":17,"name":"Train ID","value":"205-25"},{"id":16,"name":"Locomotive ID","value":"4036"},{"id":130,"name":"Impact","value":""},{"id":150,"name":"Time of Event (Mountain Time)","value":"17:21:27"},{"id":151,"name":"Denver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2"/>
        <v>start /low /b %USERPROFILE%\Documents\GitHub\eaglep3\Utilities\DownloadLogsFromS3.py --loco 4036 --day 2017-10-25</v>
      </c>
      <c r="AN118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4"/>
        <v>https://d0f6bd738d7f1b3e5a7ca70fe4ff75f0.us-east-1.aws.found.io/app/kibana#/discover/Steve-Slow-Train-Analysis-(2080s-and-2083s)?_g=(refreshInterval:(display:Off,pause:!f,section:0,value:0),time:(from:'2017-10-25T15:38:04-0600',mode:absolute,to:'2017-10-25T18:21:27-0600'))&amp;_a=(columns:!('Message%20ID',Summary),filters:!(),index:'emp_*',interval:auto,query:(query_string:(analyze_wildcard:!t,query:'%22rtdc.l.rtdc.4036%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821</v>
      </c>
      <c r="B119" s="7">
        <v>4035</v>
      </c>
      <c r="C119" s="21" t="s">
        <v>194</v>
      </c>
      <c r="D119" s="21" t="s">
        <v>594</v>
      </c>
      <c r="E119" s="13">
        <v>43033.733101851853</v>
      </c>
      <c r="F119" s="13">
        <v>43033.737719907411</v>
      </c>
      <c r="G119" s="7">
        <v>50</v>
      </c>
      <c r="H119" s="21" t="s">
        <v>943</v>
      </c>
      <c r="I119" s="13">
        <v>43033.765532407408</v>
      </c>
      <c r="J119" s="7">
        <v>0</v>
      </c>
      <c r="K119" s="89" t="str">
        <f>IF(ISEVEN(B119),(B119-1)&amp;"/"&amp;B119,B119&amp;"/"&amp;(B119+1))</f>
        <v>4035/4036</v>
      </c>
      <c r="L119" s="185" t="str">
        <f>VLOOKUP(A119,'Trips&amp;Operators'!$C$1:$G$99911,5,FALSE)</f>
        <v>STEWART MICHAEL</v>
      </c>
      <c r="M119" s="6">
        <f>I119-F119</f>
        <v>2.7812499996798579E-2</v>
      </c>
      <c r="N119" s="7">
        <f>24*60*SUM($M119:$M119)</f>
        <v>40.049999995389953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-25T16:35:40-0600',mode:absolute,to:'2017-10-25T19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23.2879</v>
      </c>
      <c r="Z119" s="204">
        <f>RIGHT(H119,LEN(H119)-4)/10000</f>
        <v>2.9100000000000001E-2</v>
      </c>
      <c r="AA119" s="204">
        <f>ABS(Z119-Y119)</f>
        <v>23.258800000000001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/stypes="app*4035*20171026*"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206-25 --locoid 4035 --swversion DE.1.0.9.0 --startMP 204:232879 --initTime 2017-10-25T17:35:40 --startdatetime 2017-10-25T17:42:19 --delay 50 --endMP 204:291 --enddatetime 2017-10-25T18:22:22 --enforcementcount 0 &gt;&gt;%USERPROFILE%\Documents\GitHub\eaglep3-reporting\EC\2017-10-25-refined-times.txt</v>
      </c>
      <c r="AI119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{"issue":{"subject":"","project_id":79,"tracker_id":40,"status_id":1,"priority_id":2,"assigned_to_id":338,"start_date":"2017-10-25","description":"","custom_fields":[{"id":1,"name":"Subdivision","value":"EC"},{"id":4,"name":"Milepost","value":"0.0291"},{"id":17,"name":"Train ID","value":"206-25"},{"id":16,"name":"Locomotive ID","value":"4035"},{"id":130,"name":"Impact","value":""},{"id":150,"name":"Time of Event (Mountain Time)","value":"18:22:22"},{"id":151,"name":"Denver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4035 --day 2017-10-25</v>
      </c>
      <c r="AN119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-10-25T16:35:40-0600',mode:absolute,to:'2017-10-25T19:22:22-0600'))&amp;_a=(columns:!('Message%20ID',Summary),filters:!(),index:'emp_*',interval:auto,query:(query_string:(analyze_wildcard:!t,query:'%22rtdc.l.rtdc.4035%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812</v>
      </c>
      <c r="B120" s="7">
        <v>4046</v>
      </c>
      <c r="C120" s="21" t="s">
        <v>194</v>
      </c>
      <c r="D120" s="21" t="s">
        <v>928</v>
      </c>
      <c r="E120" s="13">
        <v>43033.703645833331</v>
      </c>
      <c r="F120" s="13">
        <v>43033.708541666667</v>
      </c>
      <c r="G120" s="7">
        <v>47</v>
      </c>
      <c r="H120" s="21" t="s">
        <v>944</v>
      </c>
      <c r="I120" s="13">
        <v>43033.733657407407</v>
      </c>
      <c r="J120" s="7">
        <v>0</v>
      </c>
      <c r="K120" s="89" t="str">
        <f>IF(ISEVEN(B120),(B120-1)&amp;"/"&amp;B120,B120&amp;"/"&amp;(B120+1))</f>
        <v>4045/4046</v>
      </c>
      <c r="L120" s="185" t="str">
        <f>VLOOKUP(A120,'Trips&amp;Operators'!$C$1:$G$99911,5,FALSE)</f>
        <v>GUZMAN DANNY</v>
      </c>
      <c r="M120" s="6">
        <f>I120-F120</f>
        <v>2.5115740740147885E-2</v>
      </c>
      <c r="N120" s="7">
        <f>24*60*SUM($M120:$M120)</f>
        <v>36.166666665812954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-25T15:53:15-0600',mode:absolute,to:'2017-10-25T18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5.6399999999999999E-2</v>
      </c>
      <c r="Z120" s="204">
        <f>RIGHT(H120,LEN(H120)-4)/10000</f>
        <v>23.320599999999999</v>
      </c>
      <c r="AA120" s="204">
        <f>ABS(Z120-Y120)</f>
        <v>23.264199999999999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/stypes="app*4046*20171025*"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207-25 --locoid 4046 --swversion DE.1.0.9.0 --startMP 204:564 --initTime 2017-10-25T16:53:15 --startdatetime 2017-10-25T17:00:18 --delay 47 --endMP 204:233206 --enddatetime 2017-10-25T17:36:28 --enforcementcount 0 &gt;&gt;%USERPROFILE%\Documents\GitHub\eaglep3-reporting\EC\2017-10-25-refined-times.txt</v>
      </c>
      <c r="AI120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{"issue":{"subject":"","project_id":79,"tracker_id":40,"status_id":1,"priority_id":2,"assigned_to_id":338,"start_date":"2017-10-25","description":"","custom_fields":[{"id":1,"name":"Subdivision","value":"EC"},{"id":4,"name":"Milepost","value":"23.3206"},{"id":17,"name":"Train ID","value":"207-25"},{"id":16,"name":"Locomotive ID","value":"4046"},{"id":130,"name":"Impact","value":""},{"id":150,"name":"Time of Event (Mountain Time)","value":"17:36:28"},{"id":151,"name":"Denver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4046 --day 2017-10-25</v>
      </c>
      <c r="AN120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-10-25T15:53:15-0600',mode:absolute,to:'2017-10-25T18:36:28-0600'))&amp;_a=(columns:!('Message%20ID',Summary),filters:!(),index:'emp_*',interval:auto,query:(query_string:(analyze_wildcard:!t,query:'%22rtdc.l.rtdc.4046%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825</v>
      </c>
      <c r="B121" s="7">
        <v>4045</v>
      </c>
      <c r="C121" s="21" t="s">
        <v>194</v>
      </c>
      <c r="D121" s="21" t="s">
        <v>945</v>
      </c>
      <c r="E121" s="13">
        <v>43033.744386574072</v>
      </c>
      <c r="F121" s="13">
        <v>43033.748101851852</v>
      </c>
      <c r="G121" s="7">
        <v>56</v>
      </c>
      <c r="H121" s="21" t="s">
        <v>920</v>
      </c>
      <c r="I121" s="13">
        <v>43033.776655092595</v>
      </c>
      <c r="J121" s="7">
        <v>0</v>
      </c>
      <c r="K121" s="89" t="str">
        <f>IF(ISEVEN(B121),(B121-1)&amp;"/"&amp;B121,B121&amp;"/"&amp;(B121+1))</f>
        <v>4045/4046</v>
      </c>
      <c r="L121" s="185" t="str">
        <f>VLOOKUP(A121,'Trips&amp;Operators'!$C$1:$G$99911,5,FALSE)</f>
        <v>GUZMAN DANNY</v>
      </c>
      <c r="M121" s="6">
        <f>I121-F121</f>
        <v>2.8553240743349306E-2</v>
      </c>
      <c r="N121" s="7">
        <f>24*60*SUM($M121:$M121)</f>
        <v>41.116666670423001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-25T16:51:55-0600',mode:absolute,to:'2017-10-25T19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23.2898</v>
      </c>
      <c r="Z121" s="204">
        <f>RIGHT(H121,LEN(H121)-4)/10000</f>
        <v>2.8299999999999999E-2</v>
      </c>
      <c r="AA121" s="204">
        <f>ABS(Z121-Y121)</f>
        <v>23.261499999999998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/stypes="app*4045*20171026*"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208-25 --locoid 4045 --swversion DE.1.0.9.0 --startMP 204:232898 --initTime 2017-10-25T17:51:55 --startdatetime 2017-10-25T17:57:16 --delay 56 --endMP 204:283 --enddatetime 2017-10-25T18:38:23 --enforcementcount 0 &gt;&gt;%USERPROFILE%\Documents\GitHub\eaglep3-reporting\EC\2017-10-25-refined-times.txt</v>
      </c>
      <c r="AI121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{"issue":{"subject":"","project_id":79,"tracker_id":40,"status_id":1,"priority_id":2,"assigned_to_id":338,"start_date":"2017-10-25","description":"","custom_fields":[{"id":1,"name":"Subdivision","value":"EC"},{"id":4,"name":"Milepost","value":"0.0283"},{"id":17,"name":"Train ID","value":"208-25"},{"id":16,"name":"Locomotive ID","value":"4045"},{"id":130,"name":"Impact","value":""},{"id":150,"name":"Time of Event (Mountain Time)","value":"18:38:23"},{"id":151,"name":"Denver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4045 --day 2017-10-25</v>
      </c>
      <c r="AN121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-10-25T16:51:55-0600',mode:absolute,to:'2017-10-25T19:38:23-0600'))&amp;_a=(columns:!('Message%20ID',Summary),filters:!(),index:'emp_*',interval:auto,query:(query_string:(analyze_wildcard:!t,query:'%22rtdc.l.rtdc.4045%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815</v>
      </c>
      <c r="B122" s="7">
        <v>4030</v>
      </c>
      <c r="C122" s="21" t="s">
        <v>194</v>
      </c>
      <c r="D122" s="21" t="s">
        <v>946</v>
      </c>
      <c r="E122" s="13">
        <v>43033.714618055557</v>
      </c>
      <c r="F122" s="13">
        <v>43033.718935185185</v>
      </c>
      <c r="G122" s="7">
        <v>78</v>
      </c>
      <c r="H122" s="21" t="s">
        <v>901</v>
      </c>
      <c r="I122" s="13">
        <v>43033.744641203702</v>
      </c>
      <c r="J122" s="7">
        <v>0</v>
      </c>
      <c r="K122" s="89" t="str">
        <f>IF(ISEVEN(B122),(B122-1)&amp;"/"&amp;B122,B122&amp;"/"&amp;(B122+1))</f>
        <v>4029/4030</v>
      </c>
      <c r="L122" s="185" t="str">
        <f>VLOOKUP(A122,'Trips&amp;Operators'!$C$1:$G$99911,5,FALSE)</f>
        <v>LEVIN SCOTT</v>
      </c>
      <c r="M122" s="6">
        <f>I122-F122</f>
        <v>2.5706018517666962E-2</v>
      </c>
      <c r="N122" s="7">
        <f>24*60*SUM($M122:$M122)</f>
        <v>37.016666665440425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-25T16:09:03-0600',mode:absolute,to:'2017-10-25T18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6.0100000000000001E-2</v>
      </c>
      <c r="Z122" s="204">
        <f>RIGHT(H122,LEN(H122)-4)/10000</f>
        <v>23.319299999999998</v>
      </c>
      <c r="AA122" s="204">
        <f>ABS(Z122-Y122)</f>
        <v>23.2592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/stypes="app*4030*20171025*"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209-25 --locoid 4030 --swversion DE.1.0.9.0 --startMP 204:601 --initTime 2017-10-25T17:09:03 --startdatetime 2017-10-25T17:15:16 --delay 78 --endMP 204:233193 --enddatetime 2017-10-25T17:52:17 --enforcementcount 0 &gt;&gt;%USERPROFILE%\Documents\GitHub\eaglep3-reporting\EC\2017-10-25-refined-times.txt</v>
      </c>
      <c r="AI122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{"issue":{"subject":"","project_id":79,"tracker_id":40,"status_id":1,"priority_id":2,"assigned_to_id":338,"start_date":"2017-10-25","description":"","custom_fields":[{"id":1,"name":"Subdivision","value":"EC"},{"id":4,"name":"Milepost","value":"23.3193"},{"id":17,"name":"Train ID","value":"209-25"},{"id":16,"name":"Locomotive ID","value":"4030"},{"id":130,"name":"Impact","value":""},{"id":150,"name":"Time of Event (Mountain Time)","value":"17:52:17"},{"id":151,"name":"Denver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4030 --day 2017-10-25</v>
      </c>
      <c r="AN122" s="151" t="str">
        <f t="shared" si="13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-10-25T16:09:03-0600',mode:absolute,to:'2017-10-25T18:52:17-0600'))&amp;_a=(columns:!('Message%20ID',Summary),filters:!(),index:'emp_*',interval:auto,query:(query_string:(analyze_wildcard:!t,query:'%22rtdc.l.rtdc.4030%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828</v>
      </c>
      <c r="B123" s="7">
        <v>4029</v>
      </c>
      <c r="C123" s="21" t="s">
        <v>194</v>
      </c>
      <c r="D123" s="21" t="s">
        <v>947</v>
      </c>
      <c r="E123" s="13">
        <v>43033.74759259259</v>
      </c>
      <c r="F123" s="13">
        <v>43033.75849537037</v>
      </c>
      <c r="G123" s="7">
        <v>67</v>
      </c>
      <c r="H123" s="21" t="s">
        <v>948</v>
      </c>
      <c r="I123" s="13">
        <v>43033.784432870372</v>
      </c>
      <c r="J123" s="7">
        <v>0</v>
      </c>
      <c r="K123" s="89" t="str">
        <f>IF(ISEVEN(B123),(B123-1)&amp;"/"&amp;B123,B123&amp;"/"&amp;(B123+1))</f>
        <v>4029/4030</v>
      </c>
      <c r="L123" s="185" t="str">
        <f>VLOOKUP(A123,'Trips&amp;Operators'!$C$1:$G$99911,5,FALSE)</f>
        <v>LEVIN SCOTT</v>
      </c>
      <c r="M123" s="6">
        <f>I123-F123</f>
        <v>2.5937500002328306E-2</v>
      </c>
      <c r="N123" s="7">
        <f>24*60*SUM($M123:$M123)</f>
        <v>37.350000003352761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-25T16:56:32-0600',mode:absolute,to:'2017-10-25T19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23.286899999999999</v>
      </c>
      <c r="Z123" s="204">
        <f>RIGHT(H123,LEN(H123)-4)/10000</f>
        <v>3.1399999999999997E-2</v>
      </c>
      <c r="AA123" s="204">
        <f>ABS(Z123-Y123)</f>
        <v>23.255499999999998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/stypes="app*4029*20171026*"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210-25 --locoid 4029 --swversion DE.1.0.9.0 --startMP 204:232869 --initTime 2017-10-25T17:56:32 --startdatetime 2017-10-25T18:12:14 --delay 67 --endMP 204:314 --enddatetime 2017-10-25T18:49:35 --enforcementcount 0 &gt;&gt;%USERPROFILE%\Documents\GitHub\eaglep3-reporting\EC\2017-10-25-refined-times.txt</v>
      </c>
      <c r="AI123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{"issue":{"subject":"","project_id":79,"tracker_id":40,"status_id":1,"priority_id":2,"assigned_to_id":338,"start_date":"2017-10-25","description":"","custom_fields":[{"id":1,"name":"Subdivision","value":"EC"},{"id":4,"name":"Milepost","value":"0.0314"},{"id":17,"name":"Train ID","value":"210-25"},{"id":16,"name":"Locomotive ID","value":"4029"},{"id":130,"name":"Impact","value":""},{"id":150,"name":"Time of Event (Mountain Time)","value":"18:49:35"},{"id":151,"name":"Denver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4029 --day 2017-10-25</v>
      </c>
      <c r="AN123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-10-25T16:56:32-0600',mode:absolute,to:'2017-10-25T19:49:35-0600'))&amp;_a=(columns:!('Message%20ID',Summary),filters:!(),index:'emp_*',interval:auto,query:(query_string:(analyze_wildcard:!t,query:'%22rtdc.l.rtdc.4029%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816</v>
      </c>
      <c r="B124" s="7">
        <v>4006</v>
      </c>
      <c r="C124" s="21" t="s">
        <v>194</v>
      </c>
      <c r="D124" s="21" t="s">
        <v>605</v>
      </c>
      <c r="E124" s="13">
        <v>43033.722696759258</v>
      </c>
      <c r="F124" s="13">
        <v>43033.72934027778</v>
      </c>
      <c r="G124" s="7">
        <v>99</v>
      </c>
      <c r="H124" s="21" t="s">
        <v>949</v>
      </c>
      <c r="I124" s="13">
        <v>43033.757650462961</v>
      </c>
      <c r="J124" s="7">
        <v>0</v>
      </c>
      <c r="K124" s="89" t="str">
        <f>IF(ISEVEN(B124),(B124-1)&amp;"/"&amp;B124,B124&amp;"/"&amp;(B124+1))</f>
        <v>4005/4006</v>
      </c>
      <c r="L124" s="185" t="str">
        <f>VLOOKUP(A124,'Trips&amp;Operators'!$C$1:$G$99911,5,FALSE)</f>
        <v>BERLING GARY</v>
      </c>
      <c r="M124" s="6">
        <f>I124-F124</f>
        <v>2.8310185181908309E-2</v>
      </c>
      <c r="N124" s="7">
        <f>24*60*SUM($M124:$M124)</f>
        <v>40.766666661947966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-25T16:20:41-0600',mode:absolute,to:'2017-10-25T19:11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5.0799999999999998E-2</v>
      </c>
      <c r="Z124" s="204">
        <f>RIGHT(H124,LEN(H124)-4)/10000</f>
        <v>23.331700000000001</v>
      </c>
      <c r="AA124" s="204">
        <f>ABS(Z124-Y124)</f>
        <v>23.280900000000003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/stypes="app*4006*20171026*"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0"/>
        <v>"%USERPROFILE%\Documents\GitHub\eaglep3\Utilities\RefineRTDCRunTimes.py" --tripid 211-25 --locoid 4006 --swversion DE.1.0.9.0 --startMP 204:508 --initTime 2017-10-25T17:20:41 --startdatetime 2017-10-25T17:30:15 --delay 99 --endMP 204:233317 --enddatetime 2017-10-25T18:11:01 --enforcementcount 0 &gt;&gt;%USERPROFILE%\Documents\GitHub\eaglep3-reporting\EC\2017-10-25-refined-times.txt</v>
      </c>
      <c r="AI124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{"issue":{"subject":"","project_id":79,"tracker_id":40,"status_id":1,"priority_id":2,"assigned_to_id":338,"start_date":"2017-10-25","description":"","custom_fields":[{"id":1,"name":"Subdivision","value":"EC"},{"id":4,"name":"Milepost","value":"23.3317"},{"id":17,"name":"Train ID","value":"211-25"},{"id":16,"name":"Locomotive ID","value":"4006"},{"id":130,"name":"Impact","value":""},{"id":150,"name":"Time of Event (Mountain Time)","value":"18:11:01"},{"id":151,"name":"Denver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2"/>
        <v>start /low /b %USERPROFILE%\Documents\GitHub\eaglep3\Utilities\DownloadLogsFromS3.py --loco 4006 --day 2017-10-25</v>
      </c>
      <c r="AN124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00:11:01"},{"id":29,"name":"Sharepoint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4"/>
        <v>https://d0f6bd738d7f1b3e5a7ca70fe4ff75f0.us-east-1.aws.found.io/app/kibana#/discover/Steve-Slow-Train-Analysis-(2080s-and-2083s)?_g=(refreshInterval:(display:Off,pause:!f,section:0,value:0),time:(from:'2017-10-25T16:20:41-0600',mode:absolute,to:'2017-10-25T19:11:01-0600'))&amp;_a=(columns:!('Message%20ID',Summary),filters:!(),index:'emp_*',interval:auto,query:(query_string:(analyze_wildcard:!t,query:'%22rtdc.l.rtdc.4006%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660</v>
      </c>
      <c r="B125" s="7">
        <v>4005</v>
      </c>
      <c r="C125" s="21" t="s">
        <v>194</v>
      </c>
      <c r="D125" s="21" t="s">
        <v>389</v>
      </c>
      <c r="E125" s="13">
        <v>43033.764537037037</v>
      </c>
      <c r="F125" s="13">
        <v>43033.769224537034</v>
      </c>
      <c r="G125" s="7">
        <v>80</v>
      </c>
      <c r="H125" s="21" t="s">
        <v>436</v>
      </c>
      <c r="I125" s="13">
        <v>43033.796516203707</v>
      </c>
      <c r="J125" s="7">
        <v>0</v>
      </c>
      <c r="K125" s="89" t="str">
        <f>IF(ISEVEN(B125),(B125-1)&amp;"/"&amp;B125,B125&amp;"/"&amp;(B125+1))</f>
        <v>4005/4006</v>
      </c>
      <c r="L125" s="185" t="str">
        <f>VLOOKUP(A125,'Trips&amp;Operators'!$C$1:$G$99911,5,FALSE)</f>
        <v>BERLING GARY</v>
      </c>
      <c r="M125" s="6">
        <f>I125-F125</f>
        <v>2.7291666672681458E-2</v>
      </c>
      <c r="N125" s="7">
        <f>24*60*SUM($M125:$M125)</f>
        <v>39.3000000086613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-25T17:20:56-0600',mode:absolute,to:'2017-10-25T20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23.299399999999999</v>
      </c>
      <c r="Z125" s="204">
        <f>RIGHT(H125,LEN(H125)-4)/10000</f>
        <v>1.6299999999999999E-2</v>
      </c>
      <c r="AA125" s="204">
        <f>ABS(Z125-Y125)</f>
        <v>23.283099999999997</v>
      </c>
      <c r="AB125" s="54" t="str">
        <f>VLOOKUP(A125,Enforcements!$C$7:$K$11,8,0)</f>
        <v>Bulletin (2)</v>
      </c>
      <c r="AC125" s="51" t="str">
        <f>VLOOKUP(A125,Enforcements!$C$7:$E$11,3,0)</f>
        <v>GRADE CROSSING</v>
      </c>
      <c r="AD125" s="179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/stypes="app*4005*20171026*"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212-25 --locoid 4005 --swversion DE.1.0.9.0 --startMP 204:232994 --initTime 2017-10-25T18:20:56 --startdatetime 2017-10-25T18:27:41 --delay 80 --endMP 204:163 --enddatetime 2017-10-25T19:06:59 --enforcementcount 0 &gt;&gt;%USERPROFILE%\Documents\GitHub\eaglep3-reporting\EC\2017-10-25-refined-times.txt</v>
      </c>
      <c r="AI125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{"issue":{"subject":"","project_id":79,"tracker_id":40,"status_id":1,"priority_id":2,"assigned_to_id":338,"start_date":"2017-10-25","description":"","custom_fields":[{"id":1,"name":"Subdivision","value":"EC"},{"id":4,"name":"Milepost","value":"0.0163"},{"id":17,"name":"Train ID","value":"212-25"},{"id":16,"name":"Locomotive ID","value":"4005"},{"id":130,"name":"Impact","value":""},{"id":150,"name":"Time of Event (Mountain Time)","value":"19:06:59"},{"id":151,"name":"Denver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4005 --day 2017-10-25</v>
      </c>
      <c r="AN125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-10-25T17:20:56-0600',mode:absolute,to:'2017-10-25T20:06:59-0600'))&amp;_a=(columns:!('Message%20ID',Summary),filters:!(),index:'emp_*',interval:auto,query:(query_string:(analyze_wildcard:!t,query:'%22rtdc.l.rtdc.4005%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822</v>
      </c>
      <c r="B126" s="7">
        <v>4050</v>
      </c>
      <c r="C126" s="21" t="s">
        <v>194</v>
      </c>
      <c r="D126" s="21" t="s">
        <v>946</v>
      </c>
      <c r="E126" s="13">
        <v>43033.734814814816</v>
      </c>
      <c r="F126" s="13">
        <v>43033.739895833336</v>
      </c>
      <c r="G126" s="7">
        <v>86</v>
      </c>
      <c r="H126" s="21" t="s">
        <v>543</v>
      </c>
      <c r="I126" s="13">
        <v>43033.765775462962</v>
      </c>
      <c r="J126" s="7">
        <v>0</v>
      </c>
      <c r="K126" s="89" t="str">
        <f>IF(ISEVEN(B126),(B126-1)&amp;"/"&amp;B126,B126&amp;"/"&amp;(B126+1))</f>
        <v>4049/4050</v>
      </c>
      <c r="L126" s="185" t="str">
        <f>VLOOKUP(A126,'Trips&amp;Operators'!$C$1:$G$99911,5,FALSE)</f>
        <v>CUSHING HARRY</v>
      </c>
      <c r="M126" s="6">
        <f>I126-F126</f>
        <v>2.5879629625706002E-2</v>
      </c>
      <c r="N126" s="7">
        <f>24*60*SUM($M126:$M126)</f>
        <v>37.266666661016643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-25T16:38:08-0600',mode:absolute,to:'2017-10-25T19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6.0100000000000001E-2</v>
      </c>
      <c r="Z126" s="204">
        <f>RIGHT(H126,LEN(H126)-4)/10000</f>
        <v>23.327400000000001</v>
      </c>
      <c r="AA126" s="204">
        <f>ABS(Z126-Y126)</f>
        <v>23.267300000000002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/stypes="app*4050*20171026*"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0"/>
        <v>"%USERPROFILE%\Documents\GitHub\eaglep3\Utilities\RefineRTDCRunTimes.py" --tripid 213-25 --locoid 4050 --swversion DE.1.0.9.0 --startMP 204:601 --initTime 2017-10-25T17:38:08 --startdatetime 2017-10-25T17:45:27 --delay 86 --endMP 204:233274 --enddatetime 2017-10-25T18:22:43 --enforcementcount 0 &gt;&gt;%USERPROFILE%\Documents\GitHub\eaglep3-reporting\EC\2017-10-25-refined-times.txt</v>
      </c>
      <c r="AI126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{"issue":{"subject":"","project_id":79,"tracker_id":40,"status_id":1,"priority_id":2,"assigned_to_id":338,"start_date":"2017-10-25","description":"","custom_fields":[{"id":1,"name":"Subdivision","value":"EC"},{"id":4,"name":"Milepost","value":"23.3274"},{"id":17,"name":"Train ID","value":"213-25"},{"id":16,"name":"Locomotive ID","value":"4050"},{"id":130,"name":"Impact","value":""},{"id":150,"name":"Time of Event (Mountain Time)","value":"18:22:43"},{"id":151,"name":"Denver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2"/>
        <v>start /low /b %USERPROFILE%\Documents\GitHub\eaglep3\Utilities\DownloadLogsFromS3.py --loco 4050 --day 2017-10-25</v>
      </c>
      <c r="AN126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4"/>
        <v>https://d0f6bd738d7f1b3e5a7ca70fe4ff75f0.us-east-1.aws.found.io/app/kibana#/discover/Steve-Slow-Train-Analysis-(2080s-and-2083s)?_g=(refreshInterval:(display:Off,pause:!f,section:0,value:0),time:(from:'2017-10-25T16:38:08-0600',mode:absolute,to:'2017-10-25T19:22:43-0600'))&amp;_a=(columns:!('Message%20ID',Summary),filters:!(),index:'emp_*',interval:auto,query:(query_string:(analyze_wildcard:!t,query:'%22rtdc.l.rtdc.4050%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659</v>
      </c>
      <c r="B127" s="7">
        <v>4049</v>
      </c>
      <c r="C127" s="21" t="s">
        <v>194</v>
      </c>
      <c r="D127" s="21" t="s">
        <v>583</v>
      </c>
      <c r="E127" s="13">
        <v>43033.774074074077</v>
      </c>
      <c r="F127" s="13">
        <v>43033.779409722221</v>
      </c>
      <c r="G127" s="7">
        <v>68</v>
      </c>
      <c r="H127" s="21" t="s">
        <v>950</v>
      </c>
      <c r="I127" s="13">
        <v>43033.806631944448</v>
      </c>
      <c r="J127" s="7">
        <v>0</v>
      </c>
      <c r="K127" s="89" t="str">
        <f>IF(ISEVEN(B127),(B127-1)&amp;"/"&amp;B127,B127&amp;"/"&amp;(B127+1))</f>
        <v>4049/4050</v>
      </c>
      <c r="L127" s="185" t="str">
        <f>VLOOKUP(A127,'Trips&amp;Operators'!$C$1:$G$99911,5,FALSE)</f>
        <v>CUSHING HARRY</v>
      </c>
      <c r="M127" s="6">
        <f>I127-F127</f>
        <v>2.7222222226555459E-2</v>
      </c>
      <c r="N127" s="7">
        <f>24*60*SUM($M127:$M127)</f>
        <v>39.200000006239861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-25T17:34:40-0600',mode:absolute,to:'2017-10-25T20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23.296099999999999</v>
      </c>
      <c r="Z127" s="204">
        <f>RIGHT(H127,LEN(H127)-4)/10000</f>
        <v>1.9599999999999999E-2</v>
      </c>
      <c r="AA127" s="204">
        <f>ABS(Z127-Y127)</f>
        <v>23.276499999999999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/stypes="app*4049*20171026*"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214-25 --locoid 4049 --swversion DE.1.0.9.0 --startMP 204:232961 --initTime 2017-10-25T18:34:40 --startdatetime 2017-10-25T18:42:21 --delay 68 --endMP 204:196 --enddatetime 2017-10-25T19:21:33 --enforcementcount 0 &gt;&gt;%USERPROFILE%\Documents\GitHub\eaglep3-reporting\EC\2017-10-25-refined-times.txt</v>
      </c>
      <c r="AI127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{"issue":{"subject":"","project_id":79,"tracker_id":40,"status_id":1,"priority_id":2,"assigned_to_id":338,"start_date":"2017-10-25","description":"","custom_fields":[{"id":1,"name":"Subdivision","value":"EC"},{"id":4,"name":"Milepost","value":"0.0196"},{"id":17,"name":"Train ID","value":"214-25"},{"id":16,"name":"Locomotive ID","value":"4049"},{"id":130,"name":"Impact","value":""},{"id":150,"name":"Time of Event (Mountain Time)","value":"19:21:33"},{"id":151,"name":"Denver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4049 --day 2017-10-25</v>
      </c>
      <c r="AN127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-10-25T17:34:40-0600',mode:absolute,to:'2017-10-25T20:21:33-0600'))&amp;_a=(columns:!('Message%20ID',Summary),filters:!(),index:'emp_*',interval:auto,query:(query_string:(analyze_wildcard:!t,query:'%22rtdc.l.rtdc.4049%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826</v>
      </c>
      <c r="B128" s="7">
        <v>4008</v>
      </c>
      <c r="C128" s="21" t="s">
        <v>194</v>
      </c>
      <c r="D128" s="21" t="s">
        <v>591</v>
      </c>
      <c r="E128" s="13">
        <v>43033.746041666665</v>
      </c>
      <c r="F128" s="13">
        <v>43033.750208333331</v>
      </c>
      <c r="G128" s="7">
        <v>65</v>
      </c>
      <c r="H128" s="21" t="s">
        <v>951</v>
      </c>
      <c r="I128" s="13">
        <v>43033.774814814817</v>
      </c>
      <c r="J128" s="7">
        <v>0</v>
      </c>
      <c r="K128" s="89" t="str">
        <f>IF(ISEVEN(B128),(B128-1)&amp;"/"&amp;B128,B128&amp;"/"&amp;(B128+1))</f>
        <v>4007/4008</v>
      </c>
      <c r="L128" s="185" t="str">
        <f>VLOOKUP(A128,'Trips&amp;Operators'!$C$1:$G$99911,5,FALSE)</f>
        <v>HOLCOMB KAMDEN</v>
      </c>
      <c r="M128" s="6">
        <f>I128-F128</f>
        <v>2.4606481485534459E-2</v>
      </c>
      <c r="N128" s="7">
        <f>24*60*SUM($M128:$M128)</f>
        <v>35.433333339169621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-25T16:54:18-0600',mode:absolute,to:'2017-10-25T19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4.4400000000000002E-2</v>
      </c>
      <c r="Z128" s="204">
        <f>RIGHT(H128,LEN(H128)-4)/10000</f>
        <v>23.311299999999999</v>
      </c>
      <c r="AA128" s="204">
        <f>ABS(Z128-Y128)</f>
        <v>23.2669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/stypes="app*4008*20171026*"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215-25 --locoid 4008 --swversion DE.1.0.9.0 --startMP 204:444 --initTime 2017-10-25T17:54:18 --startdatetime 2017-10-25T18:00:18 --delay 65 --endMP 204:233113 --enddatetime 2017-10-25T18:35:44 --enforcementcount 0 &gt;&gt;%USERPROFILE%\Documents\GitHub\eaglep3-reporting\EC\2017-10-25-refined-times.txt</v>
      </c>
      <c r="AI128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{"issue":{"subject":"","project_id":79,"tracker_id":40,"status_id":1,"priority_id":2,"assigned_to_id":338,"start_date":"2017-10-25","description":"","custom_fields":[{"id":1,"name":"Subdivision","value":"EC"},{"id":4,"name":"Milepost","value":"23.3113"},{"id":17,"name":"Train ID","value":"215-25"},{"id":16,"name":"Locomotive ID","value":"4008"},{"id":130,"name":"Impact","value":""},{"id":150,"name":"Time of Event (Mountain Time)","value":"18:35:44"},{"id":151,"name":"Denver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4008 --day 2017-10-25</v>
      </c>
      <c r="AN128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-10-25T16:54:18-0600',mode:absolute,to:'2017-10-25T19:35:44-0600'))&amp;_a=(columns:!('Message%20ID',Summary),filters:!(),index:'emp_*',interval:auto,query:(query_string:(analyze_wildcard:!t,query:'%22rtdc.l.rtdc.4008%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833</v>
      </c>
      <c r="B129" s="7">
        <v>4007</v>
      </c>
      <c r="C129" s="21" t="s">
        <v>194</v>
      </c>
      <c r="D129" s="21" t="s">
        <v>952</v>
      </c>
      <c r="E129" s="13">
        <v>43033.784375000003</v>
      </c>
      <c r="F129" s="13">
        <v>43033.789814814816</v>
      </c>
      <c r="G129" s="7">
        <v>63</v>
      </c>
      <c r="H129" s="21" t="s">
        <v>600</v>
      </c>
      <c r="I129" s="13">
        <v>43033.817083333335</v>
      </c>
      <c r="J129" s="7">
        <v>0</v>
      </c>
      <c r="K129" s="89" t="str">
        <f>IF(ISEVEN(B129),(B129-1)&amp;"/"&amp;B129,B129&amp;"/"&amp;(B129+1))</f>
        <v>4007/4008</v>
      </c>
      <c r="L129" s="185" t="str">
        <f>VLOOKUP(A129,'Trips&amp;Operators'!$C$1:$G$99911,5,FALSE)</f>
        <v>HOLCOMB KAMDEN</v>
      </c>
      <c r="M129" s="6">
        <f>I129-F129</f>
        <v>2.7268518519122154E-2</v>
      </c>
      <c r="N129" s="7">
        <f>24*60*SUM($M129:$M129)</f>
        <v>39.266666667535901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-25T17:49:30-0600',mode:absolute,to:'2017-10-25T20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23.279800000000002</v>
      </c>
      <c r="Z129" s="204">
        <f>RIGHT(H129,LEN(H129)-4)/10000</f>
        <v>2.29E-2</v>
      </c>
      <c r="AA129" s="204">
        <f>ABS(Z129-Y129)</f>
        <v>23.256900000000002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/stypes="app*4007*20171026*"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0"/>
        <v>"%USERPROFILE%\Documents\GitHub\eaglep3\Utilities\RefineRTDCRunTimes.py" --tripid 216-25 --locoid 4007 --swversion DE.1.0.9.0 --startMP 204:232798 --initTime 2017-10-25T18:49:30 --startdatetime 2017-10-25T18:57:20 --delay 63 --endMP 204:229 --enddatetime 2017-10-25T19:36:36 --enforcementcount 0 &gt;&gt;%USERPROFILE%\Documents\GitHub\eaglep3-reporting\EC\2017-10-25-refined-times.txt</v>
      </c>
      <c r="AI129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{"issue":{"subject":"","project_id":79,"tracker_id":40,"status_id":1,"priority_id":2,"assigned_to_id":338,"start_date":"2017-10-25","description":"","custom_fields":[{"id":1,"name":"Subdivision","value":"EC"},{"id":4,"name":"Milepost","value":"0.0229"},{"id":17,"name":"Train ID","value":"216-25"},{"id":16,"name":"Locomotive ID","value":"4007"},{"id":130,"name":"Impact","value":""},{"id":150,"name":"Time of Event (Mountain Time)","value":"19:36:36"},{"id":151,"name":"Denver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2"/>
        <v>start /low /b %USERPROFILE%\Documents\GitHub\eaglep3\Utilities\DownloadLogsFromS3.py --loco 4007 --day 2017-10-25</v>
      </c>
      <c r="AN129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4"/>
        <v>https://d0f6bd738d7f1b3e5a7ca70fe4ff75f0.us-east-1.aws.found.io/app/kibana#/discover/Steve-Slow-Train-Analysis-(2080s-and-2083s)?_g=(refreshInterval:(display:Off,pause:!f,section:0,value:0),time:(from:'2017-10-25T17:49:30-0600',mode:absolute,to:'2017-10-25T20:36:36-0600'))&amp;_a=(columns:!('Message%20ID',Summary),filters:!(),index:'emp_*',interval:auto,query:(query_string:(analyze_wildcard:!t,query:'%22rtdc.l.rtdc.4007%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830</v>
      </c>
      <c r="B130" s="7">
        <v>4018</v>
      </c>
      <c r="C130" s="21" t="s">
        <v>194</v>
      </c>
      <c r="D130" s="21" t="s">
        <v>928</v>
      </c>
      <c r="E130" s="13">
        <v>43033.756944444445</v>
      </c>
      <c r="F130" s="13">
        <v>43033.760601851849</v>
      </c>
      <c r="G130" s="7">
        <v>84</v>
      </c>
      <c r="H130" s="21" t="s">
        <v>953</v>
      </c>
      <c r="I130" s="13">
        <v>43033.785312499997</v>
      </c>
      <c r="J130" s="7">
        <v>0</v>
      </c>
      <c r="K130" s="89" t="str">
        <f>IF(ISEVEN(B130),(B130-1)&amp;"/"&amp;B130,B130&amp;"/"&amp;(B130+1))</f>
        <v>4017/4018</v>
      </c>
      <c r="L130" s="185" t="str">
        <f>VLOOKUP(A130,'Trips&amp;Operators'!$C$1:$G$99911,5,FALSE)</f>
        <v>LOZA FIDEL</v>
      </c>
      <c r="M130" s="6">
        <f>I130-F130</f>
        <v>2.47106481474475E-2</v>
      </c>
      <c r="N130" s="7">
        <f>24*60*SUM($M130:$M130)</f>
        <v>35.583333332324401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-25T17:10:00-0600',mode:absolute,to:'2017-10-25T19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5.6399999999999999E-2</v>
      </c>
      <c r="Z130" s="204">
        <f>RIGHT(H130,LEN(H130)-4)/10000</f>
        <v>23.319900000000001</v>
      </c>
      <c r="AA130" s="204">
        <f>ABS(Z130-Y130)</f>
        <v>23.263500000000001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/stypes="app*4018*20171026*"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0"/>
        <v>"%USERPROFILE%\Documents\GitHub\eaglep3\Utilities\RefineRTDCRunTimes.py" --tripid 217-25 --locoid 4018 --swversion DE.1.0.9.0 --startMP 204:564 --initTime 2017-10-25T18:10:00 --startdatetime 2017-10-25T18:15:16 --delay 84 --endMP 204:233199 --enddatetime 2017-10-25T18:50:51 --enforcementcount 0 &gt;&gt;%USERPROFILE%\Documents\GitHub\eaglep3-reporting\EC\2017-10-25-refined-times.txt</v>
      </c>
      <c r="AI130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{"issue":{"subject":"","project_id":79,"tracker_id":40,"status_id":1,"priority_id":2,"assigned_to_id":338,"start_date":"2017-10-25","description":"","custom_fields":[{"id":1,"name":"Subdivision","value":"EC"},{"id":4,"name":"Milepost","value":"23.3199"},{"id":17,"name":"Train ID","value":"217-25"},{"id":16,"name":"Locomotive ID","value":"4018"},{"id":130,"name":"Impact","value":""},{"id":150,"name":"Time of Event (Mountain Time)","value":"18:50:51"},{"id":151,"name":"Denver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2"/>
        <v>start /low /b %USERPROFILE%\Documents\GitHub\eaglep3\Utilities\DownloadLogsFromS3.py --loco 4018 --day 2017-10-25</v>
      </c>
      <c r="AN130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4"/>
        <v>https://d0f6bd738d7f1b3e5a7ca70fe4ff75f0.us-east-1.aws.found.io/app/kibana#/discover/Steve-Slow-Train-Analysis-(2080s-and-2083s)?_g=(refreshInterval:(display:Off,pause:!f,section:0,value:0),time:(from:'2017-10-25T17:10:00-0600',mode:absolute,to:'2017-10-25T19:50:51-0600'))&amp;_a=(columns:!('Message%20ID',Summary),filters:!(),index:'emp_*',interval:auto,query:(query_string:(analyze_wildcard:!t,query:'%22rtdc.l.rtdc.4018%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837</v>
      </c>
      <c r="B131" s="7">
        <v>4017</v>
      </c>
      <c r="C131" s="21" t="s">
        <v>194</v>
      </c>
      <c r="D131" s="21" t="s">
        <v>954</v>
      </c>
      <c r="E131" s="13">
        <v>43033.797118055554</v>
      </c>
      <c r="F131" s="13">
        <v>43033.800173611111</v>
      </c>
      <c r="G131" s="7">
        <v>113</v>
      </c>
      <c r="H131" s="21" t="s">
        <v>597</v>
      </c>
      <c r="I131" s="13">
        <v>43033.825486111113</v>
      </c>
      <c r="J131" s="7">
        <v>0</v>
      </c>
      <c r="K131" s="89" t="str">
        <f>IF(ISEVEN(B131),(B131-1)&amp;"/"&amp;B131,B131&amp;"/"&amp;(B131+1))</f>
        <v>4017/4018</v>
      </c>
      <c r="L131" s="185" t="str">
        <f>VLOOKUP(A131,'Trips&amp;Operators'!$C$1:$G$99911,5,FALSE)</f>
        <v>LOZA FIDEL</v>
      </c>
      <c r="M131" s="6">
        <f>I131-F131</f>
        <v>2.531250000174623E-2</v>
      </c>
      <c r="N131" s="7">
        <f>24*60*SUM($M131:$M131)</f>
        <v>36.450000002514571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-25T18:07:51-0600',mode:absolute,to:'2017-10-25T20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23.287700000000001</v>
      </c>
      <c r="Z131" s="204">
        <f>RIGHT(H131,LEN(H131)-4)/10000</f>
        <v>2.1600000000000001E-2</v>
      </c>
      <c r="AA131" s="204">
        <f>ABS(Z131-Y131)</f>
        <v>23.266100000000002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/stypes="app*4017*20171026*"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0"/>
        <v>"%USERPROFILE%\Documents\GitHub\eaglep3\Utilities\RefineRTDCRunTimes.py" --tripid 218-25 --locoid 4017 --swversion DE.1.0.9.0 --startMP 204:232877 --initTime 2017-10-25T19:07:51 --startdatetime 2017-10-25T19:12:15 --delay 113 --endMP 204:216 --enddatetime 2017-10-25T19:48:42 --enforcementcount 0 &gt;&gt;%USERPROFILE%\Documents\GitHub\eaglep3-reporting\EC\2017-10-25-refined-times.txt</v>
      </c>
      <c r="AI131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{"issue":{"subject":"","project_id":79,"tracker_id":40,"status_id":1,"priority_id":2,"assigned_to_id":338,"start_date":"2017-10-25","description":"","custom_fields":[{"id":1,"name":"Subdivision","value":"EC"},{"id":4,"name":"Milepost","value":"0.0216"},{"id":17,"name":"Train ID","value":"218-25"},{"id":16,"name":"Locomotive ID","value":"4017"},{"id":130,"name":"Impact","value":""},{"id":150,"name":"Time of Event (Mountain Time)","value":"19:48:42"},{"id":151,"name":"Denver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2"/>
        <v>start /low /b %USERPROFILE%\Documents\GitHub\eaglep3\Utilities\DownloadLogsFromS3.py --loco 4017 --day 2017-10-25</v>
      </c>
      <c r="AN131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4"/>
        <v>https://d0f6bd738d7f1b3e5a7ca70fe4ff75f0.us-east-1.aws.found.io/app/kibana#/discover/Steve-Slow-Train-Analysis-(2080s-and-2083s)?_g=(refreshInterval:(display:Off,pause:!f,section:0,value:0),time:(from:'2017-10-25T18:07:51-0600',mode:absolute,to:'2017-10-25T20:48:42-0600'))&amp;_a=(columns:!('Message%20ID',Summary),filters:!(),index:'emp_*',interval:auto,query:(query_string:(analyze_wildcard:!t,query:'%22rtdc.l.rtdc.4017%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658</v>
      </c>
      <c r="B132" s="7">
        <v>4036</v>
      </c>
      <c r="C132" s="21" t="s">
        <v>194</v>
      </c>
      <c r="D132" s="21" t="s">
        <v>601</v>
      </c>
      <c r="E132" s="13">
        <v>43033.767164351855</v>
      </c>
      <c r="F132" s="13">
        <v>43033.771018518521</v>
      </c>
      <c r="G132" s="7">
        <v>116</v>
      </c>
      <c r="H132" s="21" t="s">
        <v>550</v>
      </c>
      <c r="I132" s="13">
        <v>43033.796064814815</v>
      </c>
      <c r="J132" s="7">
        <v>0</v>
      </c>
      <c r="K132" s="89" t="str">
        <f>IF(ISEVEN(B132),(B132-1)&amp;"/"&amp;B132,B132&amp;"/"&amp;(B132+1))</f>
        <v>4035/4036</v>
      </c>
      <c r="L132" s="185" t="str">
        <f>VLOOKUP(A132,'Trips&amp;Operators'!$C$1:$G$99911,5,FALSE)</f>
        <v>RESPASS AARON</v>
      </c>
      <c r="M132" s="6">
        <f>I132-F132</f>
        <v>2.5046296294021886E-2</v>
      </c>
      <c r="N132" s="7">
        <f>24*60*SUM($M132:$M132)</f>
        <v>36.066666663391516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-25T17:24:43-0600',mode:absolute,to:'2017-10-25T20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5.8200000000000002E-2</v>
      </c>
      <c r="Z132" s="204">
        <f>RIGHT(H132,LEN(H132)-4)/10000</f>
        <v>23.329799999999999</v>
      </c>
      <c r="AA132" s="204">
        <f>ABS(Z132-Y132)</f>
        <v>23.271599999999999</v>
      </c>
      <c r="AB132" s="54" t="str">
        <f>VLOOKUP(A132,Enforcements!$C$7:$K$11,8,0)</f>
        <v>Bulletin (2)</v>
      </c>
      <c r="AC132" s="51" t="str">
        <f>VLOOKUP(A132,Enforcements!$C$7:$E$11,3,0)</f>
        <v>GRADE CROSSING</v>
      </c>
      <c r="AD132" s="179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/stypes="app*4036*20171026*"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219-25 --locoid 4036 --swversion DE.1.0.9.0 --startMP 204:582 --initTime 2017-10-25T18:24:43 --startdatetime 2017-10-25T18:30:16 --delay 116 --endMP 204:233298 --enddatetime 2017-10-25T19:06:20 --enforcementcount 0 &gt;&gt;%USERPROFILE%\Documents\GitHub\eaglep3-reporting\EC\2017-10-25-refined-times.txt</v>
      </c>
      <c r="AI132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{"issue":{"subject":"","project_id":79,"tracker_id":40,"status_id":1,"priority_id":2,"assigned_to_id":338,"start_date":"2017-10-25","description":"","custom_fields":[{"id":1,"name":"Subdivision","value":"EC"},{"id":4,"name":"Milepost","value":"23.3298"},{"id":17,"name":"Train ID","value":"219-25"},{"id":16,"name":"Locomotive ID","value":"4036"},{"id":130,"name":"Impact","value":""},{"id":150,"name":"Time of Event (Mountain Time)","value":"19:06:20"},{"id":151,"name":"Denver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4036 --day 2017-10-25</v>
      </c>
      <c r="AN132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-10-25T17:24:43-0600',mode:absolute,to:'2017-10-25T20:06:20-0600'))&amp;_a=(columns:!('Message%20ID',Summary),filters:!(),index:'emp_*',interval:auto,query:(query_string:(analyze_wildcard:!t,query:'%22rtdc.l.rtdc.4036%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839</v>
      </c>
      <c r="B133" s="7">
        <v>4035</v>
      </c>
      <c r="C133" s="21" t="s">
        <v>194</v>
      </c>
      <c r="D133" s="21" t="s">
        <v>540</v>
      </c>
      <c r="E133" s="13">
        <v>43033.807013888887</v>
      </c>
      <c r="F133" s="13">
        <v>43033.810682870368</v>
      </c>
      <c r="G133" s="7">
        <v>93</v>
      </c>
      <c r="H133" s="21" t="s">
        <v>955</v>
      </c>
      <c r="I133" s="13">
        <v>43033.83761574074</v>
      </c>
      <c r="J133" s="7">
        <v>0</v>
      </c>
      <c r="K133" s="89" t="str">
        <f>IF(ISEVEN(B133),(B133-1)&amp;"/"&amp;B133,B133&amp;"/"&amp;(B133+1))</f>
        <v>4035/4036</v>
      </c>
      <c r="L133" s="185" t="str">
        <f>VLOOKUP(A133,'Trips&amp;Operators'!$C$1:$G$99911,5,FALSE)</f>
        <v>RESPASS AARON</v>
      </c>
      <c r="M133" s="6">
        <f>I133-F133</f>
        <v>2.6932870372547768E-2</v>
      </c>
      <c r="N133" s="7">
        <f>24*60*SUM($M133:$M133)</f>
        <v>38.783333336468786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-25T18:22:06-0600',mode:absolute,to:'2017-10-25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23.297899999999998</v>
      </c>
      <c r="Z133" s="204">
        <f>RIGHT(H133,LEN(H133)-4)/10000</f>
        <v>2.69E-2</v>
      </c>
      <c r="AA133" s="204">
        <f>ABS(Z133-Y133)</f>
        <v>23.270999999999997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/stypes="app*4035*20171026*"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0"/>
        <v>"%USERPROFILE%\Documents\GitHub\eaglep3\Utilities\RefineRTDCRunTimes.py" --tripid 220-25 --locoid 4035 --swversion DE.1.0.9.0 --startMP 204:232979 --initTime 2017-10-25T19:22:06 --startdatetime 2017-10-25T19:27:23 --delay 93 --endMP 204:269 --enddatetime 2017-10-25T20:06:10 --enforcementcount 0 &gt;&gt;%USERPROFILE%\Documents\GitHub\eaglep3-reporting\EC\2017-10-25-refined-times.txt</v>
      </c>
      <c r="AI133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{"issue":{"subject":"","project_id":79,"tracker_id":40,"status_id":1,"priority_id":2,"assigned_to_id":338,"start_date":"2017-10-25","description":"","custom_fields":[{"id":1,"name":"Subdivision","value":"EC"},{"id":4,"name":"Milepost","value":"0.0269"},{"id":17,"name":"Train ID","value":"220-25"},{"id":16,"name":"Locomotive ID","value":"4035"},{"id":130,"name":"Impact","value":""},{"id":150,"name":"Time of Event (Mountain Time)","value":"20:06:10"},{"id":151,"name":"Denver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2"/>
        <v>start /low /b %USERPROFILE%\Documents\GitHub\eaglep3\Utilities\DownloadLogsFromS3.py --loco 4035 --day 2017-10-25</v>
      </c>
      <c r="AN133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4"/>
        <v>https://d0f6bd738d7f1b3e5a7ca70fe4ff75f0.us-east-1.aws.found.io/app/kibana#/discover/Steve-Slow-Train-Analysis-(2080s-and-2083s)?_g=(refreshInterval:(display:Off,pause:!f,section:0,value:0),time:(from:'2017-10-25T18:22:06-0600',mode:absolute,to:'2017-10-25T21:06:10-0600'))&amp;_a=(columns:!('Message%20ID',Summary),filters:!(),index:'emp_*',interval:auto,query:(query_string:(analyze_wildcard:!t,query:'%22rtdc.l.rtdc.4035%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834</v>
      </c>
      <c r="B134" s="7">
        <v>4030</v>
      </c>
      <c r="C134" s="21" t="s">
        <v>194</v>
      </c>
      <c r="D134" s="21" t="s">
        <v>956</v>
      </c>
      <c r="E134" s="13">
        <v>43033.788715277777</v>
      </c>
      <c r="F134" s="13">
        <v>43033.791886574072</v>
      </c>
      <c r="G134" s="7">
        <v>132</v>
      </c>
      <c r="H134" s="21" t="s">
        <v>922</v>
      </c>
      <c r="I134" s="13">
        <v>43033.816851851851</v>
      </c>
      <c r="J134" s="7">
        <v>0</v>
      </c>
      <c r="K134" s="89" t="str">
        <f>IF(ISEVEN(B134),(B134-1)&amp;"/"&amp;B134,B134&amp;"/"&amp;(B134+1))</f>
        <v>4029/4030</v>
      </c>
      <c r="L134" s="185" t="str">
        <f>VLOOKUP(A134,'Trips&amp;Operators'!$C$1:$G$99911,5,FALSE)</f>
        <v>NICHOLSON WESLEY</v>
      </c>
      <c r="M134" s="6">
        <f>I134-F134</f>
        <v>2.4965277778392192E-2</v>
      </c>
      <c r="N134" s="7">
        <f>24*60*SUM($M134:$M134)</f>
        <v>35.950000000884756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-25T17:55:45-0600',mode:absolute,to:'2017-10-25T20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6.1499999999999999E-2</v>
      </c>
      <c r="Z134" s="204">
        <f>RIGHT(H134,LEN(H134)-4)/10000</f>
        <v>23.330400000000001</v>
      </c>
      <c r="AA134" s="204">
        <f>ABS(Z134-Y134)</f>
        <v>23.268900000000002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/stypes="app*4030*20171026*"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0"/>
        <v>"%USERPROFILE%\Documents\GitHub\eaglep3\Utilities\RefineRTDCRunTimes.py" --tripid 221-25 --locoid 4030 --swversion DE.1.0.9.0 --startMP 204:615 --initTime 2017-10-25T18:55:45 --startdatetime 2017-10-25T19:00:19 --delay 132 --endMP 204:233304 --enddatetime 2017-10-25T19:36:16 --enforcementcount 0 &gt;&gt;%USERPROFILE%\Documents\GitHub\eaglep3-reporting\EC\2017-10-25-refined-times.txt</v>
      </c>
      <c r="AI134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{"issue":{"subject":"","project_id":79,"tracker_id":40,"status_id":1,"priority_id":2,"assigned_to_id":338,"start_date":"2017-10-25","description":"","custom_fields":[{"id":1,"name":"Subdivision","value":"EC"},{"id":4,"name":"Milepost","value":"23.3304"},{"id":17,"name":"Train ID","value":"221-25"},{"id":16,"name":"Locomotive ID","value":"4030"},{"id":130,"name":"Impact","value":""},{"id":150,"name":"Time of Event (Mountain Time)","value":"19:36:16"},{"id":151,"name":"Denver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2"/>
        <v>start /low /b %USERPROFILE%\Documents\GitHub\eaglep3\Utilities\DownloadLogsFromS3.py --loco 4030 --day 2017-10-25</v>
      </c>
      <c r="AN134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4"/>
        <v>https://d0f6bd738d7f1b3e5a7ca70fe4ff75f0.us-east-1.aws.found.io/app/kibana#/discover/Steve-Slow-Train-Analysis-(2080s-and-2083s)?_g=(refreshInterval:(display:Off,pause:!f,section:0,value:0),time:(from:'2017-10-25T17:55:45-0600',mode:absolute,to:'2017-10-25T20:36:16-0600'))&amp;_a=(columns:!('Message%20ID',Summary),filters:!(),index:'emp_*',interval:auto,query:(query_string:(analyze_wildcard:!t,query:'%22rtdc.l.rtdc.4030%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843</v>
      </c>
      <c r="B135" s="7">
        <v>4029</v>
      </c>
      <c r="C135" s="21" t="s">
        <v>194</v>
      </c>
      <c r="D135" s="21" t="s">
        <v>412</v>
      </c>
      <c r="E135" s="13">
        <v>43033.822511574072</v>
      </c>
      <c r="F135" s="13">
        <v>43033.831550925926</v>
      </c>
      <c r="G135" s="7">
        <v>120</v>
      </c>
      <c r="H135" s="21" t="s">
        <v>957</v>
      </c>
      <c r="I135" s="13">
        <v>43033.859722222223</v>
      </c>
      <c r="J135" s="7">
        <v>0</v>
      </c>
      <c r="K135" s="89" t="str">
        <f>IF(ISEVEN(B135),(B135-1)&amp;"/"&amp;B135,B135&amp;"/"&amp;(B135+1))</f>
        <v>4029/4030</v>
      </c>
      <c r="L135" s="185" t="str">
        <f>VLOOKUP(A135,'Trips&amp;Operators'!$C$1:$G$99911,5,FALSE)</f>
        <v>NICHOLSON WESLEY</v>
      </c>
      <c r="M135" s="6">
        <f>I135-F135</f>
        <v>2.8171296296932269E-2</v>
      </c>
      <c r="N135" s="7">
        <f>24*60*SUM($M135:$M135)</f>
        <v>40.566666667582467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-25T18:44:25-0600',mode:absolute,to:'2017-10-25T21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23.299600000000002</v>
      </c>
      <c r="Z135" s="204">
        <f>RIGHT(H135,LEN(H135)-4)/10000</f>
        <v>1.34E-2</v>
      </c>
      <c r="AA135" s="204">
        <f>ABS(Z135-Y135)</f>
        <v>23.286200000000001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/stypes="app*4029*20171026*"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0"/>
        <v>"%USERPROFILE%\Documents\GitHub\eaglep3\Utilities\RefineRTDCRunTimes.py" --tripid 222-25 --locoid 4029 --swversion DE.1.0.9.0 --startMP 204:232996 --initTime 2017-10-25T19:44:25 --startdatetime 2017-10-25T19:57:26 --delay 120 --endMP 204:134 --enddatetime 2017-10-25T20:38:00 --enforcementcount 0 &gt;&gt;%USERPROFILE%\Documents\GitHub\eaglep3-reporting\EC\2017-10-25-refined-times.txt</v>
      </c>
      <c r="AI135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{"issue":{"subject":"","project_id":79,"tracker_id":40,"status_id":1,"priority_id":2,"assigned_to_id":338,"start_date":"2017-10-25","description":"","custom_fields":[{"id":1,"name":"Subdivision","value":"EC"},{"id":4,"name":"Milepost","value":"0.0134"},{"id":17,"name":"Train ID","value":"222-25"},{"id":16,"name":"Locomotive ID","value":"4029"},{"id":130,"name":"Impact","value":""},{"id":150,"name":"Time of Event (Mountain Time)","value":"20:38:00"},{"id":151,"name":"Denver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2"/>
        <v>start /low /b %USERPROFILE%\Documents\GitHub\eaglep3\Utilities\DownloadLogsFromS3.py --loco 4029 --day 2017-10-25</v>
      </c>
      <c r="AN135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02:38:00"},{"id":29,"name":"Sharepoint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4"/>
        <v>https://d0f6bd738d7f1b3e5a7ca70fe4ff75f0.us-east-1.aws.found.io/app/kibana#/discover/Steve-Slow-Train-Analysis-(2080s-and-2083s)?_g=(refreshInterval:(display:Off,pause:!f,section:0,value:0),time:(from:'2017-10-25T18:44:25-0600',mode:absolute,to:'2017-10-25T21:38:00-0600'))&amp;_a=(columns:!('Message%20ID',Summary),filters:!(),index:'emp_*',interval:auto,query:(query_string:(analyze_wildcard:!t,query:'%22rtdc.l.rtdc.4029%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840</v>
      </c>
      <c r="B136" s="7">
        <v>4050</v>
      </c>
      <c r="C136" s="21" t="s">
        <v>194</v>
      </c>
      <c r="D136" s="21" t="s">
        <v>912</v>
      </c>
      <c r="E136" s="13">
        <v>43033.80872685185</v>
      </c>
      <c r="F136" s="13">
        <v>43033.81287037037</v>
      </c>
      <c r="G136" s="7">
        <v>86</v>
      </c>
      <c r="H136" s="21" t="s">
        <v>958</v>
      </c>
      <c r="I136" s="13">
        <v>43033.837442129632</v>
      </c>
      <c r="J136" s="7">
        <v>0</v>
      </c>
      <c r="K136" s="89" t="str">
        <f>IF(ISEVEN(B136),(B136-1)&amp;"/"&amp;B136,B136&amp;"/"&amp;(B136+1))</f>
        <v>4049/4050</v>
      </c>
      <c r="L136" s="185" t="str">
        <f>VLOOKUP(A136,'Trips&amp;Operators'!$C$1:$G$99911,5,FALSE)</f>
        <v>DUNCAN SHEILA</v>
      </c>
      <c r="M136" s="6">
        <f>I136-F136</f>
        <v>2.457175926247146E-2</v>
      </c>
      <c r="N136" s="7">
        <f>24*60*SUM($M136:$M136)</f>
        <v>35.383333337958902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-25T18:24:34-0600',mode:absolute,to:'2017-10-25T21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4.82E-2</v>
      </c>
      <c r="Z136" s="204">
        <f>RIGHT(H136,LEN(H136)-4)/10000</f>
        <v>23.334399999999999</v>
      </c>
      <c r="AA136" s="204">
        <f>ABS(Z136-Y136)</f>
        <v>23.286199999999997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/stypes="app*4050*20171026*"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223-25 --locoid 4050 --swversion DE.1.0.9.0 --startMP 204:482 --initTime 2017-10-25T19:24:34 --startdatetime 2017-10-25T19:30:32 --delay 86 --endMP 204:233344 --enddatetime 2017-10-25T20:05:55 --enforcementcount 0 &gt;&gt;%USERPROFILE%\Documents\GitHub\eaglep3-reporting\EC\2017-10-25-refined-times.txt</v>
      </c>
      <c r="AI136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{"issue":{"subject":"","project_id":79,"tracker_id":40,"status_id":1,"priority_id":2,"assigned_to_id":338,"start_date":"2017-10-25","description":"","custom_fields":[{"id":1,"name":"Subdivision","value":"EC"},{"id":4,"name":"Milepost","value":"23.3344"},{"id":17,"name":"Train ID","value":"223-25"},{"id":16,"name":"Locomotive ID","value":"4050"},{"id":130,"name":"Impact","value":""},{"id":150,"name":"Time of Event (Mountain Time)","value":"20:05:55"},{"id":151,"name":"Denver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4050 --day 2017-10-25</v>
      </c>
      <c r="AN136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-10-25T18:24:34-0600',mode:absolute,to:'2017-10-25T21:05:55-0600'))&amp;_a=(columns:!('Message%20ID',Summary),filters:!(),index:'emp_*',interval:auto,query:(query_string:(analyze_wildcard:!t,query:'%22rtdc.l.rtdc.4050%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661</v>
      </c>
      <c r="B137" s="7">
        <v>4049</v>
      </c>
      <c r="C137" s="21" t="s">
        <v>194</v>
      </c>
      <c r="D137" s="21" t="s">
        <v>890</v>
      </c>
      <c r="E137" s="13">
        <v>43033.848113425927</v>
      </c>
      <c r="F137" s="13">
        <v>43033.85224537037</v>
      </c>
      <c r="G137" s="7">
        <v>70</v>
      </c>
      <c r="H137" s="21" t="s">
        <v>959</v>
      </c>
      <c r="I137" s="13">
        <v>43033.878159722219</v>
      </c>
      <c r="J137" s="7">
        <v>0</v>
      </c>
      <c r="K137" s="89" t="str">
        <f>IF(ISEVEN(B137),(B137-1)&amp;"/"&amp;B137,B137&amp;"/"&amp;(B137+1))</f>
        <v>4049/4050</v>
      </c>
      <c r="L137" s="185" t="str">
        <f>VLOOKUP(A137,'Trips&amp;Operators'!$C$1:$G$99911,5,FALSE)</f>
        <v>DUNCAN SHEILA</v>
      </c>
      <c r="M137" s="6">
        <f>I137-F137</f>
        <v>2.5914351848769002E-2</v>
      </c>
      <c r="N137" s="7">
        <f>24*60*SUM($M137:$M137)</f>
        <v>37.316666662227362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-25T19:21:17-0600',mode:absolute,to:'2017-10-25T22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23.300999999999998</v>
      </c>
      <c r="Z137" s="204">
        <f>RIGHT(H137,LEN(H137)-4)/10000</f>
        <v>2.07E-2</v>
      </c>
      <c r="AA137" s="204">
        <f>ABS(Z137-Y137)</f>
        <v>23.280299999999997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/stypes="app*4049*20171026*"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0"/>
        <v>"%USERPROFILE%\Documents\GitHub\eaglep3\Utilities\RefineRTDCRunTimes.py" --tripid 224-25 --locoid 4049 --swversion DE.1.0.9.0 --startMP 204:233010 --initTime 2017-10-25T20:21:17 --startdatetime 2017-10-25T20:27:14 --delay 70 --endMP 204:207 --enddatetime 2017-10-25T21:04:33 --enforcementcount 0 &gt;&gt;%USERPROFILE%\Documents\GitHub\eaglep3-reporting\EC\2017-10-25-refined-times.txt</v>
      </c>
      <c r="AI137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{"issue":{"subject":"","project_id":79,"tracker_id":40,"status_id":1,"priority_id":2,"assigned_to_id":338,"start_date":"2017-10-25","description":"","custom_fields":[{"id":1,"name":"Subdivision","value":"EC"},{"id":4,"name":"Milepost","value":"0.0207"},{"id":17,"name":"Train ID","value":"224-25"},{"id":16,"name":"Locomotive ID","value":"4049"},{"id":130,"name":"Impact","value":""},{"id":150,"name":"Time of Event (Mountain Time)","value":"21:04:33"},{"id":151,"name":"Denver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2"/>
        <v>start /low /b %USERPROFILE%\Documents\GitHub\eaglep3\Utilities\DownloadLogsFromS3.py --loco 4049 --day 2017-10-25</v>
      </c>
      <c r="AN137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03:04:33"},{"id":29,"name":"Sharepoint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4"/>
        <v>https://d0f6bd738d7f1b3e5a7ca70fe4ff75f0.us-east-1.aws.found.io/app/kibana#/discover/Steve-Slow-Train-Analysis-(2080s-and-2083s)?_g=(refreshInterval:(display:Off,pause:!f,section:0,value:0),time:(from:'2017-10-25T19:21:17-0600',mode:absolute,to:'2017-10-25T22:04:33-0600'))&amp;_a=(columns:!('Message%20ID',Summary),filters:!(),index:'emp_*',interval:auto,query:(query_string:(analyze_wildcard:!t,query:'%22rtdc.l.rtdc.4049%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844</v>
      </c>
      <c r="B138" s="7">
        <v>4018</v>
      </c>
      <c r="C138" s="21" t="s">
        <v>194</v>
      </c>
      <c r="D138" s="21" t="s">
        <v>960</v>
      </c>
      <c r="E138" s="13">
        <v>43033.832326388889</v>
      </c>
      <c r="F138" s="13">
        <v>43033.833935185183</v>
      </c>
      <c r="G138" s="7">
        <v>59</v>
      </c>
      <c r="H138" s="21" t="s">
        <v>918</v>
      </c>
      <c r="I138" s="13">
        <v>43033.858182870368</v>
      </c>
      <c r="J138" s="7">
        <v>0</v>
      </c>
      <c r="K138" s="89" t="str">
        <f>IF(ISEVEN(B138),(B138-1)&amp;"/"&amp;B138,B138&amp;"/"&amp;(B138+1))</f>
        <v>4017/4018</v>
      </c>
      <c r="L138" s="185" t="str">
        <f>VLOOKUP(A138,'Trips&amp;Operators'!$C$1:$G$99911,5,FALSE)</f>
        <v>LOZA FIDEL</v>
      </c>
      <c r="M138" s="6">
        <f>I138-F138</f>
        <v>2.4247685185400769E-2</v>
      </c>
      <c r="N138" s="7">
        <f>24*60*SUM($M138:$M138)</f>
        <v>34.916666666977108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-25T18:58:33-0600',mode:absolute,to:'2017-10-25T21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5.2400000000000002E-2</v>
      </c>
      <c r="Z138" s="204">
        <f>RIGHT(H138,LEN(H138)-4)/10000</f>
        <v>23.324400000000001</v>
      </c>
      <c r="AA138" s="204">
        <f>ABS(Z138-Y138)</f>
        <v>23.272000000000002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/stypes="app*4018*20171026*"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225-25 --locoid 4018 --swversion DE.1.0.9.0 --startMP 204:524 --initTime 2017-10-25T19:58:33 --startdatetime 2017-10-25T20:00:52 --delay 59 --endMP 204:233244 --enddatetime 2017-10-25T20:35:47 --enforcementcount 0 &gt;&gt;%USERPROFILE%\Documents\GitHub\eaglep3-reporting\EC\2017-10-25-refined-times.txt</v>
      </c>
      <c r="AI138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{"issue":{"subject":"","project_id":79,"tracker_id":40,"status_id":1,"priority_id":2,"assigned_to_id":338,"start_date":"2017-10-25","description":"","custom_fields":[{"id":1,"name":"Subdivision","value":"EC"},{"id":4,"name":"Milepost","value":"23.3244"},{"id":17,"name":"Train ID","value":"225-25"},{"id":16,"name":"Locomotive ID","value":"4018"},{"id":130,"name":"Impact","value":""},{"id":150,"name":"Time of Event (Mountain Time)","value":"20:35:47"},{"id":151,"name":"Denver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4018 --day 2017-10-25</v>
      </c>
      <c r="AN138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02:35:47"},{"id":29,"name":"Sharepoint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-10-25T18:58:33-0600',mode:absolute,to:'2017-10-25T21:35:47-0600'))&amp;_a=(columns:!('Message%20ID',Summary),filters:!(),index:'emp_*',interval:auto,query:(query_string:(analyze_wildcard:!t,query:'%22rtdc.l.rtdc.4018%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849</v>
      </c>
      <c r="B139" s="7">
        <v>4017</v>
      </c>
      <c r="C139" s="21" t="s">
        <v>194</v>
      </c>
      <c r="D139" s="21" t="s">
        <v>961</v>
      </c>
      <c r="E139" s="13">
        <v>43033.87164351852</v>
      </c>
      <c r="F139" s="13">
        <v>43033.873171296298</v>
      </c>
      <c r="G139" s="7">
        <v>52</v>
      </c>
      <c r="H139" s="21" t="s">
        <v>959</v>
      </c>
      <c r="I139" s="13">
        <v>43033.898888888885</v>
      </c>
      <c r="J139" s="7">
        <v>0</v>
      </c>
      <c r="K139" s="89" t="str">
        <f>IF(ISEVEN(B139),(B139-1)&amp;"/"&amp;B139,B139&amp;"/"&amp;(B139+1))</f>
        <v>4017/4018</v>
      </c>
      <c r="L139" s="185" t="str">
        <f>VLOOKUP(A139,'Trips&amp;Operators'!$C$1:$G$99911,5,FALSE)</f>
        <v>LOZA FIDEL</v>
      </c>
      <c r="M139" s="6">
        <f>I139-F139</f>
        <v>2.5717592587170657E-2</v>
      </c>
      <c r="N139" s="7">
        <f>24*60*SUM($M139:$M139)</f>
        <v>37.033333325525746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-25T19:55:10-0600',mode:absolute,to:'2017-10-25T22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23.2926</v>
      </c>
      <c r="Z139" s="204">
        <f>RIGHT(H139,LEN(H139)-4)/10000</f>
        <v>2.07E-2</v>
      </c>
      <c r="AA139" s="204">
        <f>ABS(Z139-Y139)</f>
        <v>23.271899999999999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/stypes="app*4017*20171026*"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0"/>
        <v>"%USERPROFILE%\Documents\GitHub\eaglep3\Utilities\RefineRTDCRunTimes.py" --tripid 226-25 --locoid 4017 --swversion DE.1.0.9.0 --startMP 204:232926 --initTime 2017-10-25T20:55:10 --startdatetime 2017-10-25T20:57:22 --delay 52 --endMP 204:207 --enddatetime 2017-10-25T21:34:24 --enforcementcount 0 &gt;&gt;%USERPROFILE%\Documents\GitHub\eaglep3-reporting\EC\2017-10-25-refined-times.txt</v>
      </c>
      <c r="AI139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{"issue":{"subject":"","project_id":79,"tracker_id":40,"status_id":1,"priority_id":2,"assigned_to_id":338,"start_date":"2017-10-25","description":"","custom_fields":[{"id":1,"name":"Subdivision","value":"EC"},{"id":4,"name":"Milepost","value":"0.0207"},{"id":17,"name":"Train ID","value":"226-25"},{"id":16,"name":"Locomotive ID","value":"4017"},{"id":130,"name":"Impact","value":""},{"id":150,"name":"Time of Event (Mountain Time)","value":"21:34:24"},{"id":151,"name":"Denver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2"/>
        <v>start /low /b %USERPROFILE%\Documents\GitHub\eaglep3\Utilities\DownloadLogsFromS3.py --loco 4017 --day 2017-10-25</v>
      </c>
      <c r="AN139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03:34:24"},{"id":29,"name":"Sharepoint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4"/>
        <v>https://d0f6bd738d7f1b3e5a7ca70fe4ff75f0.us-east-1.aws.found.io/app/kibana#/discover/Steve-Slow-Train-Analysis-(2080s-and-2083s)?_g=(refreshInterval:(display:Off,pause:!f,section:0,value:0),time:(from:'2017-10-25T19:55:10-0600',mode:absolute,to:'2017-10-25T22:34:24-0600'))&amp;_a=(columns:!('Message%20ID',Summary),filters:!(),index:'emp_*',interval:auto,query:(query_string:(analyze_wildcard:!t,query:'%22rtdc.l.rtdc.4017%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846</v>
      </c>
      <c r="B140" s="7">
        <v>4036</v>
      </c>
      <c r="C140" s="21" t="s">
        <v>194</v>
      </c>
      <c r="D140" s="21" t="s">
        <v>928</v>
      </c>
      <c r="E140" s="13">
        <v>43033.851678240739</v>
      </c>
      <c r="F140" s="13">
        <v>43033.854456018518</v>
      </c>
      <c r="G140" s="7">
        <v>83</v>
      </c>
      <c r="H140" s="21" t="s">
        <v>962</v>
      </c>
      <c r="I140" s="13">
        <v>43033.879305555558</v>
      </c>
      <c r="J140" s="7">
        <v>0</v>
      </c>
      <c r="K140" s="89" t="str">
        <f>IF(ISEVEN(B140),(B140-1)&amp;"/"&amp;B140,B140&amp;"/"&amp;(B140+1))</f>
        <v>4035/4036</v>
      </c>
      <c r="L140" s="185" t="str">
        <f>VLOOKUP(A140,'Trips&amp;Operators'!$C$1:$G$99911,5,FALSE)</f>
        <v>ANDERS STEVEN</v>
      </c>
      <c r="M140" s="6">
        <f>I140-F140</f>
        <v>2.4849537039699499E-2</v>
      </c>
      <c r="N140" s="7">
        <f>24*60*SUM($M140:$M140)</f>
        <v>35.783333337167278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-25T19:26:25-0600',mode:absolute,to:'2017-10-25T22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5.6399999999999999E-2</v>
      </c>
      <c r="Z140" s="204">
        <f>RIGHT(H140,LEN(H140)-4)/10000</f>
        <v>23.319500000000001</v>
      </c>
      <c r="AA140" s="204">
        <f>ABS(Z140-Y140)</f>
        <v>23.263100000000001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/stypes="app*4036*20171026*"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0"/>
        <v>"%USERPROFILE%\Documents\GitHub\eaglep3\Utilities\RefineRTDCRunTimes.py" --tripid 227-25 --locoid 4036 --swversion DE.1.0.9.0 --startMP 204:564 --initTime 2017-10-25T20:26:25 --startdatetime 2017-10-25T20:30:25 --delay 83 --endMP 204:233195 --enddatetime 2017-10-25T21:06:12 --enforcementcount 0 &gt;&gt;%USERPROFILE%\Documents\GitHub\eaglep3-reporting\EC\2017-10-25-refined-times.txt</v>
      </c>
      <c r="AI140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{"issue":{"subject":"","project_id":79,"tracker_id":40,"status_id":1,"priority_id":2,"assigned_to_id":338,"start_date":"2017-10-25","description":"","custom_fields":[{"id":1,"name":"Subdivision","value":"EC"},{"id":4,"name":"Milepost","value":"23.3195"},{"id":17,"name":"Train ID","value":"227-25"},{"id":16,"name":"Locomotive ID","value":"4036"},{"id":130,"name":"Impact","value":""},{"id":150,"name":"Time of Event (Mountain Time)","value":"21:06:12"},{"id":151,"name":"Denver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2"/>
        <v>start /low /b %USERPROFILE%\Documents\GitHub\eaglep3\Utilities\DownloadLogsFromS3.py --loco 4036 --day 2017-10-25</v>
      </c>
      <c r="AN140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03:06:12"},{"id":29,"name":"Sharepoint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4"/>
        <v>https://d0f6bd738d7f1b3e5a7ca70fe4ff75f0.us-east-1.aws.found.io/app/kibana#/discover/Steve-Slow-Train-Analysis-(2080s-and-2083s)?_g=(refreshInterval:(display:Off,pause:!f,section:0,value:0),time:(from:'2017-10-25T19:26:25-0600',mode:absolute,to:'2017-10-25T22:06:12-0600'))&amp;_a=(columns:!('Message%20ID',Summary),filters:!(),index:'emp_*',interval:auto,query:(query_string:(analyze_wildcard:!t,query:'%22rtdc.l.rtdc.4036%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852</v>
      </c>
      <c r="B141" s="7">
        <v>4035</v>
      </c>
      <c r="C141" s="21" t="s">
        <v>194</v>
      </c>
      <c r="D141" s="21" t="s">
        <v>895</v>
      </c>
      <c r="E141" s="13">
        <v>43033.8827662037</v>
      </c>
      <c r="F141" s="13">
        <v>43033.894085648149</v>
      </c>
      <c r="G141" s="7">
        <v>61</v>
      </c>
      <c r="H141" s="21" t="s">
        <v>963</v>
      </c>
      <c r="I141" s="13">
        <v>43033.920613425929</v>
      </c>
      <c r="J141" s="7">
        <v>0</v>
      </c>
      <c r="K141" s="89" t="str">
        <f>IF(ISEVEN(B141),(B141-1)&amp;"/"&amp;B141,B141&amp;"/"&amp;(B141+1))</f>
        <v>4035/4036</v>
      </c>
      <c r="L141" s="185" t="str">
        <f>VLOOKUP(A141,'Trips&amp;Operators'!$C$1:$G$99911,5,FALSE)</f>
        <v>ANDERS STEVEN</v>
      </c>
      <c r="M141" s="6">
        <f>I141-F141</f>
        <v>2.6527777779847383E-2</v>
      </c>
      <c r="N141" s="7">
        <f>24*60*SUM($M141:$M141)</f>
        <v>38.200000002980232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-25T20:11:11-0600',mode:absolute,to:'2017-10-25T23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23.286999999999999</v>
      </c>
      <c r="Z141" s="204">
        <f>RIGHT(H141,LEN(H141)-4)/10000</f>
        <v>2.3599999999999999E-2</v>
      </c>
      <c r="AA141" s="204">
        <f>ABS(Z141-Y141)</f>
        <v>23.263400000000001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/stypes="app*4035*20171026*" /stext=" 04:.+((SYSTEM_STATE.+slice.+state.+changed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0"/>
        <v>"%USERPROFILE%\Documents\GitHub\eaglep3\Utilities\RefineRTDCRunTimes.py" --tripid 228-25 --locoid 4035 --swversion DE.1.0.9.0 --startMP 204:232870 --initTime 2017-10-25T21:11:11 --startdatetime 2017-10-25T21:27:29 --delay 61 --endMP 204:236 --enddatetime 2017-10-25T22:05:41 --enforcementcount 0 &gt;&gt;%USERPROFILE%\Documents\GitHub\eaglep3-reporting\EC\2017-10-25-refined-times.txt</v>
      </c>
      <c r="AI141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{"issue":{"subject":"","project_id":79,"tracker_id":40,"status_id":1,"priority_id":2,"assigned_to_id":338,"start_date":"2017-10-25","description":"","custom_fields":[{"id":1,"name":"Subdivision","value":"EC"},{"id":4,"name":"Milepost","value":"0.0236"},{"id":17,"name":"Train ID","value":"228-25"},{"id":16,"name":"Locomotive ID","value":"4035"},{"id":130,"name":"Impact","value":""},{"id":150,"name":"Time of Event (Mountain Time)","value":"22:05:41"},{"id":151,"name":"Denver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2"/>
        <v>start /low /b %USERPROFILE%\Documents\GitHub\eaglep3\Utilities\DownloadLogsFromS3.py --loco 4035 --day 2017-10-25</v>
      </c>
      <c r="AN141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04:05:41"},{"id":29,"name":"Sharepoint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4"/>
        <v>https://d0f6bd738d7f1b3e5a7ca70fe4ff75f0.us-east-1.aws.found.io/app/kibana#/discover/Steve-Slow-Train-Analysis-(2080s-and-2083s)?_g=(refreshInterval:(display:Off,pause:!f,section:0,value:0),time:(from:'2017-10-25T20:11:11-0600',mode:absolute,to:'2017-10-25T23:05:41-0600'))&amp;_a=(columns:!('Message%20ID',Summary),filters:!(),index:'emp_*',interval:auto,query:(query_string:(analyze_wildcard:!t,query:'%22rtdc.l.rtdc.4035%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848</v>
      </c>
      <c r="B142" s="7">
        <v>4030</v>
      </c>
      <c r="C142" s="21" t="s">
        <v>194</v>
      </c>
      <c r="D142" s="21" t="s">
        <v>344</v>
      </c>
      <c r="E142" s="13">
        <v>43033.864351851851</v>
      </c>
      <c r="F142" s="13">
        <v>43033.875219907408</v>
      </c>
      <c r="G142" s="7">
        <v>57</v>
      </c>
      <c r="H142" s="21" t="s">
        <v>541</v>
      </c>
      <c r="I142" s="13">
        <v>43033.900138888886</v>
      </c>
      <c r="J142" s="7">
        <v>0</v>
      </c>
      <c r="K142" s="89" t="str">
        <f>IF(ISEVEN(B142),(B142-1)&amp;"/"&amp;B142,B142&amp;"/"&amp;(B142+1))</f>
        <v>4029/4030</v>
      </c>
      <c r="L142" s="185" t="str">
        <f>VLOOKUP(A142,'Trips&amp;Operators'!$C$1:$G$99911,5,FALSE)</f>
        <v>NICHOLSON WESLEY</v>
      </c>
      <c r="M142" s="6">
        <f>I142-F142</f>
        <v>2.491898147854954E-2</v>
      </c>
      <c r="N142" s="7">
        <f>24*60*SUM($M142:$M142)</f>
        <v>35.883333329111338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-25T19:44:40-0600',mode:absolute,to:'2017-10-25T22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4.5499999999999999E-2</v>
      </c>
      <c r="Z142" s="204">
        <f>RIGHT(H142,LEN(H142)-4)/10000</f>
        <v>23.326799999999999</v>
      </c>
      <c r="AA142" s="204">
        <f>ABS(Z142-Y142)</f>
        <v>23.281299999999998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/stypes="app*4030*20171026*"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0"/>
        <v>"%USERPROFILE%\Documents\GitHub\eaglep3\Utilities\RefineRTDCRunTimes.py" --tripid 229-25 --locoid 4030 --swversion DE.1.0.9.0 --startMP 204:455 --initTime 2017-10-25T20:44:40 --startdatetime 2017-10-25T21:00:19 --delay 57 --endMP 204:233268 --enddatetime 2017-10-25T21:36:12 --enforcementcount 0 &gt;&gt;%USERPROFILE%\Documents\GitHub\eaglep3-reporting\EC\2017-10-25-refined-times.txt</v>
      </c>
      <c r="AI142" s="96" t="str">
        <f t="shared" si="11"/>
        <v>echo {"issue":{"subject":"","project_id":79,"tracker_id":40,"status_id":1,"priority_id":2,"assigned_to_id":338,"start_date":"2017-10-25","description":"","custom_fields":[{"id":1,"name":"Subdivision","value":"EC"},{"id":4,"name":"Milepost","value":"23.3268"},{"id":17,"name":"Train ID","value":"229-25"},{"id":16,"name":"Locomotive ID","value":"4030"},{"id":130,"name":"Impact","value":""},{"id":150,"name":"Time of Event (Mountain Time)","value":"21:36:12"},{"id":151,"name":"Denver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2"/>
        <v>start /low /b %USERPROFILE%\Documents\GitHub\eaglep3\Utilities\DownloadLogsFromS3.py --loco 4030 --day 2017-10-25</v>
      </c>
      <c r="AN142" s="151" t="str">
        <f t="shared" si="13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4"/>
        <v>https://d0f6bd738d7f1b3e5a7ca70fe4ff75f0.us-east-1.aws.found.io/app/kibana#/discover/Steve-Slow-Train-Analysis-(2080s-and-2083s)?_g=(refreshInterval:(display:Off,pause:!f,section:0,value:0),time:(from:'2017-10-25T19:44:40-0600',mode:absolute,to:'2017-10-25T22:36:12-0600'))&amp;_a=(columns:!('Message%20ID',Summary),filters:!(),index:'emp_*',interval:auto,query:(query_string:(analyze_wildcard:!t,query:'%22rtdc.l.rtdc.4030%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855</v>
      </c>
      <c r="B143" s="7">
        <v>4029</v>
      </c>
      <c r="C143" s="21" t="s">
        <v>194</v>
      </c>
      <c r="D143" s="21" t="s">
        <v>899</v>
      </c>
      <c r="E143" s="13">
        <v>43033.902858796297</v>
      </c>
      <c r="F143" s="13">
        <v>43033.914826388886</v>
      </c>
      <c r="G143" s="7">
        <v>111</v>
      </c>
      <c r="H143" s="21" t="s">
        <v>336</v>
      </c>
      <c r="I143" s="13">
        <v>43033.94226851852</v>
      </c>
      <c r="J143" s="7">
        <v>0</v>
      </c>
      <c r="K143" s="89" t="str">
        <f>IF(ISEVEN(B143),(B143-1)&amp;"/"&amp;B143,B143&amp;"/"&amp;(B143+1))</f>
        <v>4029/4030</v>
      </c>
      <c r="L143" s="185" t="str">
        <f>VLOOKUP(A143,'Trips&amp;Operators'!$C$1:$G$99911,5,FALSE)</f>
        <v>NICHOLSON WESLEY</v>
      </c>
      <c r="M143" s="6">
        <f>I143-F143</f>
        <v>2.7442129634437151E-2</v>
      </c>
      <c r="N143" s="7">
        <f>24*60*SUM($M143:$M143)</f>
        <v>39.516666673589498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-25T20:40:07-0600',mode:absolute,to:'2017-10-25T23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23.299099999999999</v>
      </c>
      <c r="Z143" s="204">
        <f>RIGHT(H143,LEN(H143)-4)/10000</f>
        <v>1.49E-2</v>
      </c>
      <c r="AA143" s="204">
        <f>ABS(Z143-Y143)</f>
        <v>23.284199999999998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/stypes="app*4029*20171026*"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ref="AH143:AH207" si="2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230-25 --locoid 4029 --swversion DE.1.0.9.0 --startMP 204:232991 --initTime 2017-10-25T21:40:07 --startdatetime 2017-10-25T21:57:21 --delay 111 --endMP 204:149 --enddatetime 2017-10-25T22:36:52 --enforcementcount 0 &gt;&gt;%USERPROFILE%\Documents\GitHub\eaglep3-reporting\EC\2017-10-25-refined-times.txt</v>
      </c>
      <c r="AI143" s="96" t="str">
        <f t="shared" ref="AI143:AI207" si="22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{"issue":{"subject":"","project_id":79,"tracker_id":40,"status_id":1,"priority_id":2,"assigned_to_id":338,"start_date":"2017-10-25","description":"","custom_fields":[{"id":1,"name":"Subdivision","value":"EC"},{"id":4,"name":"Milepost","value":"0.0149"},{"id":17,"name":"Train ID","value":"230-25"},{"id":16,"name":"Locomotive ID","value":"4029"},{"id":130,"name":"Impact","value":""},{"id":150,"name":"Time of Event (Mountain Time)","value":"22:36:52"},{"id":151,"name":"Denver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07" si="23">"start /low /b "&amp;dls3logs&amp;" --loco "&amp;B143&amp;" --day "&amp;TEXT(F143,"YYYY-MM-DD")</f>
        <v>start /low /b %USERPROFILE%\Documents\GitHub\eaglep3\Utilities\DownloadLogsFromS3.py --loco 4029 --day 2017-10-25</v>
      </c>
      <c r="AN143" s="151" t="str">
        <f t="shared" ref="AN143:AN207" si="24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7" si="25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-25T20:40:07-0600',mode:absolute,to:'2017-10-25T23:36:52-0600'))&amp;_a=(columns:!('Message%20ID',Summary),filters:!(),index:'emp_*',interval:auto,query:(query_string:(analyze_wildcard:!t,query:'%22rtdc.l.rtdc.4029%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851</v>
      </c>
      <c r="B144" s="7">
        <v>4050</v>
      </c>
      <c r="C144" s="21" t="s">
        <v>194</v>
      </c>
      <c r="D144" s="21" t="s">
        <v>964</v>
      </c>
      <c r="E144" s="13">
        <v>43033.882071759261</v>
      </c>
      <c r="F144" s="13">
        <v>43033.896064814813</v>
      </c>
      <c r="G144" s="7">
        <v>43</v>
      </c>
      <c r="H144" s="21" t="s">
        <v>539</v>
      </c>
      <c r="I144" s="13">
        <v>43033.921122685184</v>
      </c>
      <c r="J144" s="7">
        <v>0</v>
      </c>
      <c r="K144" s="89" t="str">
        <f>IF(ISEVEN(B144),(B144-1)&amp;"/"&amp;B144,B144&amp;"/"&amp;(B144+1))</f>
        <v>4049/4050</v>
      </c>
      <c r="L144" s="185" t="str">
        <f>VLOOKUP(A144,'Trips&amp;Operators'!$C$1:$G$99911,5,FALSE)</f>
        <v>DUNCAN SHEILA</v>
      </c>
      <c r="M144" s="6">
        <f>I144-F144</f>
        <v>2.5057870370801538E-2</v>
      </c>
      <c r="N144" s="7">
        <f>24*60*SUM($M144:$M144)</f>
        <v>36.083333333954215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-25T20:10:11-0600',mode:absolute,to:'2017-10-25T23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5.1900000000000002E-2</v>
      </c>
      <c r="Z144" s="204">
        <f>RIGHT(H144,LEN(H144)-4)/10000</f>
        <v>23.328700000000001</v>
      </c>
      <c r="AA144" s="204">
        <f>ABS(Z144-Y144)</f>
        <v>23.276800000000001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/stypes="app*4050*20171026*"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21"/>
        <v>"%USERPROFILE%\Documents\GitHub\eaglep3\Utilities\RefineRTDCRunTimes.py" --tripid 231-25 --locoid 4050 --swversion DE.1.0.9.0 --startMP 204:519 --initTime 2017-10-25T21:10:11 --startdatetime 2017-10-25T21:30:20 --delay 43 --endMP 204:233287 --enddatetime 2017-10-25T22:06:25 --enforcementcount 0 &gt;&gt;%USERPROFILE%\Documents\GitHub\eaglep3-reporting\EC\2017-10-25-refined-times.txt</v>
      </c>
      <c r="AI144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{"issue":{"subject":"","project_id":79,"tracker_id":40,"status_id":1,"priority_id":2,"assigned_to_id":338,"start_date":"2017-10-25","description":"","custom_fields":[{"id":1,"name":"Subdivision","value":"EC"},{"id":4,"name":"Milepost","value":"23.3287"},{"id":17,"name":"Train ID","value":"231-25"},{"id":16,"name":"Locomotive ID","value":"4050"},{"id":130,"name":"Impact","value":""},{"id":150,"name":"Time of Event (Mountain Time)","value":"22:06:25"},{"id":151,"name":"Denver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23"/>
        <v>start /low /b %USERPROFILE%\Documents\GitHub\eaglep3\Utilities\DownloadLogsFromS3.py --loco 4050 --day 2017-10-25</v>
      </c>
      <c r="AN144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04:06:25"},{"id":29,"name":"Sharepoint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25"/>
        <v>https://d0f6bd738d7f1b3e5a7ca70fe4ff75f0.us-east-1.aws.found.io/app/kibana#/discover/Steve-Slow-Train-Analysis-(2080s-and-2083s)?_g=(refreshInterval:(display:Off,pause:!f,section:0,value:0),time:(from:'2017-10-25T20:10:11-0600',mode:absolute,to:'2017-10-25T23:06:25-0600'))&amp;_a=(columns:!('Message%20ID',Summary),filters:!(),index:'emp_*',interval:auto,query:(query_string:(analyze_wildcard:!t,query:'%22rtdc.l.rtdc.4050%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662</v>
      </c>
      <c r="B145" s="7">
        <v>4049</v>
      </c>
      <c r="C145" s="21" t="s">
        <v>194</v>
      </c>
      <c r="D145" s="21" t="s">
        <v>540</v>
      </c>
      <c r="E145" s="13">
        <v>43033.924074074072</v>
      </c>
      <c r="F145" s="13">
        <v>43033.935590277775</v>
      </c>
      <c r="G145" s="7">
        <v>69</v>
      </c>
      <c r="H145" s="21" t="s">
        <v>965</v>
      </c>
      <c r="I145" s="13">
        <v>43033.962557870371</v>
      </c>
      <c r="J145" s="7">
        <v>0</v>
      </c>
      <c r="K145" s="89" t="str">
        <f>IF(ISEVEN(B145),(B145-1)&amp;"/"&amp;B145,B145&amp;"/"&amp;(B145+1))</f>
        <v>4049/4050</v>
      </c>
      <c r="L145" s="185" t="str">
        <f>VLOOKUP(A145,'Trips&amp;Operators'!$C$1:$G$99911,5,FALSE)</f>
        <v>DUNCAN SHEILA</v>
      </c>
      <c r="M145" s="6">
        <f>I145-F145</f>
        <v>2.6967592595610768E-2</v>
      </c>
      <c r="N145" s="7">
        <f>24*60*SUM($M145:$M145)</f>
        <v>38.833333337679505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-25T21:10:40-0600',mode:absolute,to:'2017-10-26T00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23.297899999999998</v>
      </c>
      <c r="Z145" s="204">
        <f>RIGHT(H145,LEN(H145)-4)/10000</f>
        <v>2.01E-2</v>
      </c>
      <c r="AA145" s="204">
        <f>ABS(Z145-Y145)</f>
        <v>23.277799999999999</v>
      </c>
      <c r="AB145" s="54" t="str">
        <f>VLOOKUP(A145,Enforcements!$C$7:$K$11,8,0)</f>
        <v>Bulletin (2)</v>
      </c>
      <c r="AC145" s="51" t="str">
        <f>VLOOKUP(A145,Enforcements!$C$7:$E$11,3,0)</f>
        <v>GRADE CROSSING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/stypes="app*4049*20171026*"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1"/>
        <v>"%USERPROFILE%\Documents\GitHub\eaglep3\Utilities\RefineRTDCRunTimes.py" --tripid 232-25 --locoid 4049 --swversion DE.1.0.9.0 --startMP 204:232979 --initTime 2017-10-25T22:10:40 --startdatetime 2017-10-25T22:27:15 --delay 69 --endMP 204:201 --enddatetime 2017-10-25T23:06:05 --enforcementcount 0 &gt;&gt;%USERPROFILE%\Documents\GitHub\eaglep3-reporting\EC\2017-10-25-refined-times.txt</v>
      </c>
      <c r="AI145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{"issue":{"subject":"","project_id":79,"tracker_id":40,"status_id":1,"priority_id":2,"assigned_to_id":338,"start_date":"2017-10-25","description":"","custom_fields":[{"id":1,"name":"Subdivision","value":"EC"},{"id":4,"name":"Milepost","value":"0.0201"},{"id":17,"name":"Train ID","value":"232-25"},{"id":16,"name":"Locomotive ID","value":"4049"},{"id":130,"name":"Impact","value":""},{"id":150,"name":"Time of Event (Mountain Time)","value":"23:06:05"},{"id":151,"name":"Denver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23"/>
        <v>start /low /b %USERPROFILE%\Documents\GitHub\eaglep3\Utilities\DownloadLogsFromS3.py --loco 4049 --day 2017-10-25</v>
      </c>
      <c r="AN145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05:06:05"},{"id":29,"name":"Sharepoint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25"/>
        <v>https://d0f6bd738d7f1b3e5a7ca70fe4ff75f0.us-east-1.aws.found.io/app/kibana#/discover/Steve-Slow-Train-Analysis-(2080s-and-2083s)?_g=(refreshInterval:(display:Off,pause:!f,section:0,value:0),time:(from:'2017-10-25T21:10:40-0600',mode:absolute,to:'2017-10-26T00:06:05-0600'))&amp;_a=(columns:!('Message%20ID',Summary),filters:!(),index:'emp_*',interval:auto,query:(query_string:(analyze_wildcard:!t,query:'%22rtdc.l.rtdc.4049%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854</v>
      </c>
      <c r="B146" s="7">
        <v>4018</v>
      </c>
      <c r="C146" s="21" t="s">
        <v>194</v>
      </c>
      <c r="D146" s="21" t="s">
        <v>966</v>
      </c>
      <c r="E146" s="13">
        <v>43033.901805555557</v>
      </c>
      <c r="F146" s="13">
        <v>43033.916851851849</v>
      </c>
      <c r="G146" s="7">
        <v>60</v>
      </c>
      <c r="H146" s="21" t="s">
        <v>967</v>
      </c>
      <c r="I146" s="13">
        <v>43033.941087962965</v>
      </c>
      <c r="J146" s="7">
        <v>0</v>
      </c>
      <c r="K146" s="89" t="str">
        <f>IF(ISEVEN(B146),(B146-1)&amp;"/"&amp;B146,B146&amp;"/"&amp;(B146+1))</f>
        <v>4017/4018</v>
      </c>
      <c r="L146" s="185" t="str">
        <f>VLOOKUP(A146,'Trips&amp;Operators'!$C$1:$G$99911,5,FALSE)</f>
        <v>LOZA FIDEL</v>
      </c>
      <c r="M146" s="6">
        <f>I146-F146</f>
        <v>2.4236111115897074E-2</v>
      </c>
      <c r="N146" s="7">
        <f>24*60*SUM($M146:$M146)</f>
        <v>34.900000006891787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-25T20:38:36-0600',mode:absolute,to:'2017-10-25T23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5.33E-2</v>
      </c>
      <c r="Z146" s="204">
        <f>RIGHT(H146,LEN(H146)-4)/10000</f>
        <v>23.3232</v>
      </c>
      <c r="AA146" s="204">
        <f>ABS(Z146-Y146)</f>
        <v>23.2699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 &amp; 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/stypes="app*4018*20171026*"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1"/>
        <v>"%USERPROFILE%\Documents\GitHub\eaglep3\Utilities\RefineRTDCRunTimes.py" --tripid 233-25 --locoid 4018 --swversion DE.1.0.9.0 --startMP 204:533 --initTime 2017-10-25T21:38:36 --startdatetime 2017-10-25T22:00:16 --delay 60 --endMP 204:233232 --enddatetime 2017-10-25T22:35:10 --enforcementcount 0 &gt;&gt;%USERPROFILE%\Documents\GitHub\eaglep3-reporting\EC\2017-10-25-refined-times.txt</v>
      </c>
      <c r="AI146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{"issue":{"subject":"","project_id":79,"tracker_id":40,"status_id":1,"priority_id":2,"assigned_to_id":338,"start_date":"2017-10-25","description":"","custom_fields":[{"id":1,"name":"Subdivision","value":"EC"},{"id":4,"name":"Milepost","value":"23.3232"},{"id":17,"name":"Train ID","value":"233-25"},{"id":16,"name":"Locomotive ID","value":"4018"},{"id":130,"name":"Impact","value":""},{"id":150,"name":"Time of Event (Mountain Time)","value":"22:35:10"},{"id":151,"name":"Denver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23"/>
        <v>start /low /b %USERPROFILE%\Documents\GitHub\eaglep3\Utilities\DownloadLogsFromS3.py --loco 4018 --day 2017-10-25</v>
      </c>
      <c r="AN146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04:35:10"},{"id":29,"name":"Sharepoint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25"/>
        <v>https://d0f6bd738d7f1b3e5a7ca70fe4ff75f0.us-east-1.aws.found.io/app/kibana#/discover/Steve-Slow-Train-Analysis-(2080s-and-2083s)?_g=(refreshInterval:(display:Off,pause:!f,section:0,value:0),time:(from:'2017-10-25T20:38:36-0600',mode:absolute,to:'2017-10-25T23:35:10-0600'))&amp;_a=(columns:!('Message%20ID',Summary),filters:!(),index:'emp_*',interval:auto,query:(query_string:(analyze_wildcard:!t,query:'%22rtdc.l.rtdc.4018%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860</v>
      </c>
      <c r="B147" s="7">
        <v>4017</v>
      </c>
      <c r="C147" s="21" t="s">
        <v>194</v>
      </c>
      <c r="D147" s="21" t="s">
        <v>930</v>
      </c>
      <c r="E147" s="13">
        <v>43033.952627314815</v>
      </c>
      <c r="F147" s="13">
        <v>43033.956585648149</v>
      </c>
      <c r="G147" s="7">
        <v>71</v>
      </c>
      <c r="H147" s="21" t="s">
        <v>968</v>
      </c>
      <c r="I147" s="13">
        <v>43033.982233796298</v>
      </c>
      <c r="J147" s="7">
        <v>0</v>
      </c>
      <c r="K147" s="89" t="str">
        <f>IF(ISEVEN(B147),(B147-1)&amp;"/"&amp;B147,B147&amp;"/"&amp;(B147+1))</f>
        <v>4017/4018</v>
      </c>
      <c r="L147" s="185" t="str">
        <f>VLOOKUP(A147,'Trips&amp;Operators'!$C$1:$G$99911,5,FALSE)</f>
        <v>LOZA FIDEL</v>
      </c>
      <c r="M147" s="6">
        <f>I147-F147</f>
        <v>2.5648148148320615E-2</v>
      </c>
      <c r="N147" s="7">
        <f>24*60*SUM($M147:$M147)</f>
        <v>36.933333333581686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-25T21:51:47-0600',mode:absolute,to:'2017-10-26T00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23.290199999999999</v>
      </c>
      <c r="Z147" s="204">
        <f>RIGHT(H147,LEN(H147)-4)/10000</f>
        <v>2.2499999999999999E-2</v>
      </c>
      <c r="AA147" s="204">
        <f>ABS(Z147-Y147)</f>
        <v>23.267699999999998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 &amp; 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/stypes="app*4017*20171026*"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1"/>
        <v>"%USERPROFILE%\Documents\GitHub\eaglep3\Utilities\RefineRTDCRunTimes.py" --tripid 234-25 --locoid 4017 --swversion DE.1.0.9.0 --startMP 204:232902 --initTime 2017-10-25T22:51:47 --startdatetime 2017-10-25T22:57:29 --delay 71 --endMP 204:225 --enddatetime 2017-10-25T23:34:25 --enforcementcount 0 &gt;&gt;%USERPROFILE%\Documents\GitHub\eaglep3-reporting\EC\2017-10-25-refined-times.txt</v>
      </c>
      <c r="AI147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{"issue":{"subject":"","project_id":79,"tracker_id":40,"status_id":1,"priority_id":2,"assigned_to_id":338,"start_date":"2017-10-25","description":"","custom_fields":[{"id":1,"name":"Subdivision","value":"EC"},{"id":4,"name":"Milepost","value":"0.0225"},{"id":17,"name":"Train ID","value":"234-25"},{"id":16,"name":"Locomotive ID","value":"4017"},{"id":130,"name":"Impact","value":""},{"id":150,"name":"Time of Event (Mountain Time)","value":"23:34:25"},{"id":151,"name":"Denver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23"/>
        <v>start /low /b %USERPROFILE%\Documents\GitHub\eaglep3\Utilities\DownloadLogsFromS3.py --loco 4017 --day 2017-10-25</v>
      </c>
      <c r="AN147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05:34:25"},{"id":29,"name":"Sharepoint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25"/>
        <v>https://d0f6bd738d7f1b3e5a7ca70fe4ff75f0.us-east-1.aws.found.io/app/kibana#/discover/Steve-Slow-Train-Analysis-(2080s-and-2083s)?_g=(refreshInterval:(display:Off,pause:!f,section:0,value:0),time:(from:'2017-10-25T21:51:47-0600',mode:absolute,to:'2017-10-26T00:34:25-0600'))&amp;_a=(columns:!('Message%20ID',Summary),filters:!(),index:'emp_*',interval:auto,query:(query_string:(analyze_wildcard:!t,query:'%22rtdc.l.rtdc.4017%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858</v>
      </c>
      <c r="B148" s="7">
        <v>4036</v>
      </c>
      <c r="C148" s="21" t="s">
        <v>194</v>
      </c>
      <c r="D148" s="21" t="s">
        <v>969</v>
      </c>
      <c r="E148" s="13">
        <v>43033.934791666667</v>
      </c>
      <c r="F148" s="13">
        <v>43033.9378125</v>
      </c>
      <c r="G148" s="7">
        <v>81</v>
      </c>
      <c r="H148" s="21" t="s">
        <v>599</v>
      </c>
      <c r="I148" s="13">
        <v>43033.962453703702</v>
      </c>
      <c r="J148" s="7">
        <v>0</v>
      </c>
      <c r="K148" s="89" t="str">
        <f>IF(ISEVEN(B148),(B148-1)&amp;"/"&amp;B148,B148&amp;"/"&amp;(B148+1))</f>
        <v>4035/4036</v>
      </c>
      <c r="L148" s="185" t="str">
        <f>VLOOKUP(A148,'Trips&amp;Operators'!$C$1:$G$99911,5,FALSE)</f>
        <v>ANDERS STEVEN</v>
      </c>
      <c r="M148" s="6">
        <f>I148-F148</f>
        <v>2.4641203701321501E-2</v>
      </c>
      <c r="N148" s="7">
        <f>24*60*SUM($M148:$M148)</f>
        <v>35.483333329902962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-25T21:26:06-0600',mode:absolute,to:'2017-10-26T00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5.6000000000000001E-2</v>
      </c>
      <c r="Z148" s="204">
        <f>RIGHT(H148,LEN(H148)-4)/10000</f>
        <v>23.317</v>
      </c>
      <c r="AA148" s="204">
        <f>ABS(Z148-Y148)</f>
        <v>23.260999999999999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/stypes="app*4036*20171026*"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21"/>
        <v>"%USERPROFILE%\Documents\GitHub\eaglep3\Utilities\RefineRTDCRunTimes.py" --tripid 235-25 --locoid 4036 --swversion DE.1.0.9.0 --startMP 204:560 --initTime 2017-10-25T22:26:06 --startdatetime 2017-10-25T22:30:27 --delay 81 --endMP 204:233170 --enddatetime 2017-10-25T23:05:56 --enforcementcount 0 &gt;&gt;%USERPROFILE%\Documents\GitHub\eaglep3-reporting\EC\2017-10-25-refined-times.txt</v>
      </c>
      <c r="AI148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{"issue":{"subject":"","project_id":79,"tracker_id":40,"status_id":1,"priority_id":2,"assigned_to_id":338,"start_date":"2017-10-25","description":"","custom_fields":[{"id":1,"name":"Subdivision","value":"EC"},{"id":4,"name":"Milepost","value":"23.317"},{"id":17,"name":"Train ID","value":"235-25"},{"id":16,"name":"Locomotive ID","value":"4036"},{"id":130,"name":"Impact","value":""},{"id":150,"name":"Time of Event (Mountain Time)","value":"23:05:56"},{"id":151,"name":"Denver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23"/>
        <v>start /low /b %USERPROFILE%\Documents\GitHub\eaglep3\Utilities\DownloadLogsFromS3.py --loco 4036 --day 2017-10-25</v>
      </c>
      <c r="AN148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05:05:56"},{"id":29,"name":"Sharepoint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25"/>
        <v>https://d0f6bd738d7f1b3e5a7ca70fe4ff75f0.us-east-1.aws.found.io/app/kibana#/discover/Steve-Slow-Train-Analysis-(2080s-and-2083s)?_g=(refreshInterval:(display:Off,pause:!f,section:0,value:0),time:(from:'2017-10-25T21:26:06-0600',mode:absolute,to:'2017-10-26T00:05:56-0600'))&amp;_a=(columns:!('Message%20ID',Summary),filters:!(),index:'emp_*',interval:auto,query:(query_string:(analyze_wildcard:!t,query:'%22rtdc.l.rtdc.4036%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863</v>
      </c>
      <c r="B149" s="7">
        <v>4035</v>
      </c>
      <c r="C149" s="21" t="s">
        <v>194</v>
      </c>
      <c r="D149" s="21" t="s">
        <v>970</v>
      </c>
      <c r="E149" s="13">
        <v>43033.967303240737</v>
      </c>
      <c r="F149" s="13">
        <v>43033.977314814816</v>
      </c>
      <c r="G149" s="7">
        <v>62</v>
      </c>
      <c r="H149" s="21" t="s">
        <v>971</v>
      </c>
      <c r="I149" s="13">
        <v>43034.004120370373</v>
      </c>
      <c r="J149" s="7">
        <v>0</v>
      </c>
      <c r="K149" s="89" t="str">
        <f>IF(ISEVEN(B149),(B149-1)&amp;"/"&amp;B149,B149&amp;"/"&amp;(B149+1))</f>
        <v>4035/4036</v>
      </c>
      <c r="L149" s="185" t="str">
        <f>VLOOKUP(A149,'Trips&amp;Operators'!$C$1:$G$99911,5,FALSE)</f>
        <v>ANDERS STEVEN</v>
      </c>
      <c r="M149" s="6">
        <f>I149-F149</f>
        <v>2.6805555557075422E-2</v>
      </c>
      <c r="N149" s="7">
        <f>24*60*SUM($M149:$M149)</f>
        <v>38.600000002188608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-25T22:12:55-0600',mode:absolute,to:'2017-10-26T01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23.2881</v>
      </c>
      <c r="Z149" s="204">
        <f>RIGHT(H149,LEN(H149)-4)/10000</f>
        <v>2.52E-2</v>
      </c>
      <c r="AA149" s="204">
        <f>ABS(Z149-Y149)</f>
        <v>23.262899999999998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/stypes="app*4035*20171026*" /stext=" 06:.+((SYSTEM_STATE.+slice.+state.+changed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1"/>
        <v>"%USERPROFILE%\Documents\GitHub\eaglep3\Utilities\RefineRTDCRunTimes.py" --tripid 236-25 --locoid 4035 --swversion DE.1.0.9.0 --startMP 204:232881 --initTime 2017-10-25T23:12:55 --startdatetime 2017-10-25T23:27:20 --delay 62 --endMP 204:252 --enddatetime 2017-10-26T00:05:56 --enforcementcount 0 &gt;&gt;%USERPROFILE%\Documents\GitHub\eaglep3-reporting\EC\2017-10-25-refined-times.txt</v>
      </c>
      <c r="AI149" s="96" t="str">
        <f t="shared" si="22"/>
        <v>echo {"issue":{"subject":"","project_id":79,"tracker_id":40,"status_id":1,"priority_id":2,"assigned_to_id":338,"start_date":"2017-10-26","description":"","custom_fields":[{"id":1,"name":"Subdivision","value":"EC"},{"id":4,"name":"Milepost","value":"0.0252"},{"id":17,"name":"Train ID","value":"236-25"},{"id":16,"name":"Locomotive ID","value":"4035"},{"id":130,"name":"Impact","value":""},{"id":150,"name":"Time of Event (Mountain Time)","value":"00:05:56"},{"id":151,"name":"Denver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23"/>
        <v>start /low /b %USERPROFILE%\Documents\GitHub\eaglep3\Utilities\DownloadLogsFromS3.py --loco 4035 --day 2017-10-25</v>
      </c>
      <c r="AN149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06:05:56"},{"id":29,"name":"Sharepoint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25"/>
        <v>https://d0f6bd738d7f1b3e5a7ca70fe4ff75f0.us-east-1.aws.found.io/app/kibana#/discover/Steve-Slow-Train-Analysis-(2080s-and-2083s)?_g=(refreshInterval:(display:Off,pause:!f,section:0,value:0),time:(from:'2017-10-25T22:12:55-0600',mode:absolute,to:'2017-10-26T01:05:56-0600'))&amp;_a=(columns:!('Message%20ID',Summary),filters:!(),index:'emp_*',interval:auto,query:(query_string:(analyze_wildcard:!t,query:'%22rtdc.l.rtdc.4035%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859</v>
      </c>
      <c r="B150" s="7">
        <v>4030</v>
      </c>
      <c r="C150" s="21" t="s">
        <v>194</v>
      </c>
      <c r="D150" s="21" t="s">
        <v>368</v>
      </c>
      <c r="E150" s="13">
        <v>43033.949965277781</v>
      </c>
      <c r="F150" s="13">
        <v>43033.95857638889</v>
      </c>
      <c r="G150" s="7">
        <v>68</v>
      </c>
      <c r="H150" s="21" t="s">
        <v>972</v>
      </c>
      <c r="I150" s="13">
        <v>43033.984467592592</v>
      </c>
      <c r="J150" s="7">
        <v>0</v>
      </c>
      <c r="K150" s="89" t="str">
        <f>IF(ISEVEN(B150),(B150-1)&amp;"/"&amp;B150,B150&amp;"/"&amp;(B150+1))</f>
        <v>4029/4030</v>
      </c>
      <c r="L150" s="185" t="str">
        <f>VLOOKUP(A150,'Trips&amp;Operators'!$C$1:$G$99911,5,FALSE)</f>
        <v>NICHOLSON WESLEY</v>
      </c>
      <c r="M150" s="6">
        <f>I150-F150</f>
        <v>2.5891203702485655E-2</v>
      </c>
      <c r="N150" s="7">
        <f>24*60*SUM($M150:$M150)</f>
        <v>37.283333331579342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-25T21:47:57-0600',mode:absolute,to:'2017-10-26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4.4699999999999997E-2</v>
      </c>
      <c r="Z150" s="204">
        <f>RIGHT(H150,LEN(H150)-4)/10000</f>
        <v>23.335899999999999</v>
      </c>
      <c r="AA150" s="204">
        <f>ABS(Z150-Y150)</f>
        <v>23.2912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/stypes="app*4030*20171026*"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21"/>
        <v>"%USERPROFILE%\Documents\GitHub\eaglep3\Utilities\RefineRTDCRunTimes.py" --tripid 237-25 --locoid 4030 --swversion DE.1.0.9.0 --startMP 204:447 --initTime 2017-10-25T22:47:57 --startdatetime 2017-10-25T23:00:21 --delay 68 --endMP 204:233359 --enddatetime 2017-10-25T23:37:38 --enforcementcount 0 &gt;&gt;%USERPROFILE%\Documents\GitHub\eaglep3-reporting\EC\2017-10-25-refined-times.txt</v>
      </c>
      <c r="AI150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{"issue":{"subject":"","project_id":79,"tracker_id":40,"status_id":1,"priority_id":2,"assigned_to_id":338,"start_date":"2017-10-25","description":"","custom_fields":[{"id":1,"name":"Subdivision","value":"EC"},{"id":4,"name":"Milepost","value":"23.3359"},{"id":17,"name":"Train ID","value":"237-25"},{"id":16,"name":"Locomotive ID","value":"4030"},{"id":130,"name":"Impact","value":""},{"id":150,"name":"Time of Event (Mountain Time)","value":"23:37:38"},{"id":151,"name":"Denver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23"/>
        <v>start /low /b %USERPROFILE%\Documents\GitHub\eaglep3\Utilities\DownloadLogsFromS3.py --loco 4030 --day 2017-10-25</v>
      </c>
      <c r="AN150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25"/>
        <v>https://d0f6bd738d7f1b3e5a7ca70fe4ff75f0.us-east-1.aws.found.io/app/kibana#/discover/Steve-Slow-Train-Analysis-(2080s-and-2083s)?_g=(refreshInterval:(display:Off,pause:!f,section:0,value:0),time:(from:'2017-10-25T21:47:57-0600',mode:absolute,to:'2017-10-26T00:37:38-0600'))&amp;_a=(columns:!('Message%20ID',Summary),filters:!(),index:'emp_*',interval:auto,query:(query_string:(analyze_wildcard:!t,query:'%22rtdc.l.rtdc.4030%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865</v>
      </c>
      <c r="B151" s="7">
        <v>4029</v>
      </c>
      <c r="C151" s="21" t="s">
        <v>194</v>
      </c>
      <c r="D151" s="21" t="s">
        <v>603</v>
      </c>
      <c r="E151" s="13">
        <v>43033.994120370371</v>
      </c>
      <c r="F151" s="13">
        <v>43033.998298611114</v>
      </c>
      <c r="G151" s="7">
        <v>65</v>
      </c>
      <c r="H151" s="21" t="s">
        <v>337</v>
      </c>
      <c r="I151" s="13">
        <v>43034.02553240741</v>
      </c>
      <c r="J151" s="7">
        <v>0</v>
      </c>
      <c r="K151" s="89" t="str">
        <f>IF(ISEVEN(B151),(B151-1)&amp;"/"&amp;B151,B151&amp;"/"&amp;(B151+1))</f>
        <v>4029/4030</v>
      </c>
      <c r="L151" s="185" t="str">
        <f>VLOOKUP(A151,'Trips&amp;Operators'!$C$1:$G$99911,5,FALSE)</f>
        <v>NICHOLSON WESLEY</v>
      </c>
      <c r="M151" s="6">
        <f>I151-F151</f>
        <v>2.7233796296059154E-2</v>
      </c>
      <c r="N151" s="7">
        <f>24*60*SUM($M151:$M151)</f>
        <v>39.216666666325182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-25T22:51:32-0600',mode:absolute,to:'2017-10-26T01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23.2987</v>
      </c>
      <c r="Z151" s="204">
        <f>RIGHT(H151,LEN(H151)-4)/10000</f>
        <v>1.43E-2</v>
      </c>
      <c r="AA151" s="204">
        <f>ABS(Z151-Y151)</f>
        <v>23.284400000000002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/stypes="app*4029*20171026*"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21"/>
        <v>"%USERPROFILE%\Documents\GitHub\eaglep3\Utilities\RefineRTDCRunTimes.py" --tripid 238-25 --locoid 4029 --swversion DE.1.0.9.0 --startMP 204:232987 --initTime 2017-10-25T23:51:32 --startdatetime 2017-10-25T23:57:33 --delay 65 --endMP 204:143 --enddatetime 2017-10-26T00:36:46 --enforcementcount 0 &gt;&gt;%USERPROFILE%\Documents\GitHub\eaglep3-reporting\EC\2017-10-25-refined-times.txt</v>
      </c>
      <c r="AI151" s="96" t="str">
        <f t="shared" si="22"/>
        <v>echo {"issue":{"subject":"","project_id":79,"tracker_id":40,"status_id":1,"priority_id":2,"assigned_to_id":338,"start_date":"2017-10-26","description":"","custom_fields":[{"id":1,"name":"Subdivision","value":"EC"},{"id":4,"name":"Milepost","value":"0.0143"},{"id":17,"name":"Train ID","value":"238-25"},{"id":16,"name":"Locomotive ID","value":"4029"},{"id":130,"name":"Impact","value":""},{"id":150,"name":"Time of Event (Mountain Time)","value":"00:36:46"},{"id":151,"name":"Denver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23"/>
        <v>start /low /b %USERPROFILE%\Documents\GitHub\eaglep3\Utilities\DownloadLogsFromS3.py --loco 4029 --day 2017-10-25</v>
      </c>
      <c r="AN151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06:36:46"},{"id":29,"name":"Sharepoint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25"/>
        <v>https://d0f6bd738d7f1b3e5a7ca70fe4ff75f0.us-east-1.aws.found.io/app/kibana#/discover/Steve-Slow-Train-Analysis-(2080s-and-2083s)?_g=(refreshInterval:(display:Off,pause:!f,section:0,value:0),time:(from:'2017-10-25T22:51:32-0600',mode:absolute,to:'2017-10-26T01:36:46-0600'))&amp;_a=(columns:!('Message%20ID',Summary),filters:!(),index:'emp_*',interval:auto,query:(query_string:(analyze_wildcard:!t,query:'%22rtdc.l.rtdc.4029%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862</v>
      </c>
      <c r="B152" s="7">
        <v>4050</v>
      </c>
      <c r="C152" s="21" t="s">
        <v>194</v>
      </c>
      <c r="D152" s="21" t="s">
        <v>973</v>
      </c>
      <c r="E152" s="13">
        <v>43033.965243055558</v>
      </c>
      <c r="F152" s="13">
        <v>43033.979328703703</v>
      </c>
      <c r="G152" s="7">
        <v>88</v>
      </c>
      <c r="H152" s="21" t="s">
        <v>962</v>
      </c>
      <c r="I152" s="13">
        <v>43034.003564814811</v>
      </c>
      <c r="J152" s="7">
        <v>0</v>
      </c>
      <c r="K152" s="89" t="str">
        <f>IF(ISEVEN(B152),(B152-1)&amp;"/"&amp;B152,B152&amp;"/"&amp;(B152+1))</f>
        <v>4049/4050</v>
      </c>
      <c r="L152" s="185" t="str">
        <f>VLOOKUP(A152,'Trips&amp;Operators'!$C$1:$G$99911,5,FALSE)</f>
        <v>MCREYNOLDS KYLE</v>
      </c>
      <c r="M152" s="6">
        <f>I152-F152</f>
        <v>2.4236111108621117E-2</v>
      </c>
      <c r="N152" s="7">
        <f>24*60*SUM($M152:$M152)</f>
        <v>34.899999996414408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-25T22:09:57-0600',mode:absolute,to:'2017-10-26T01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5.1299999999999998E-2</v>
      </c>
      <c r="Z152" s="204">
        <f>RIGHT(H152,LEN(H152)-4)/10000</f>
        <v>23.319500000000001</v>
      </c>
      <c r="AA152" s="204">
        <f>ABS(Z152-Y152)</f>
        <v>23.2682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 &amp; 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/stypes="app*4050*20171026*"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21"/>
        <v>"%USERPROFILE%\Documents\GitHub\eaglep3\Utilities\RefineRTDCRunTimes.py" --tripid 239-25 --locoid 4050 --swversion DE.1.0.9.0 --startMP 204:513 --initTime 2017-10-25T23:09:57 --startdatetime 2017-10-25T23:30:14 --delay 88 --endMP 204:233195 --enddatetime 2017-10-26T00:05:08 --enforcementcount 0 &gt;&gt;%USERPROFILE%\Documents\GitHub\eaglep3-reporting\EC\2017-10-25-refined-times.txt</v>
      </c>
      <c r="AI152" s="96" t="str">
        <f t="shared" si="22"/>
        <v>echo {"issue":{"subject":"","project_id":79,"tracker_id":40,"status_id":1,"priority_id":2,"assigned_to_id":338,"start_date":"2017-10-26","description":"","custom_fields":[{"id":1,"name":"Subdivision","value":"EC"},{"id":4,"name":"Milepost","value":"23.3195"},{"id":17,"name":"Train ID","value":"239-25"},{"id":16,"name":"Locomotive ID","value":"4050"},{"id":130,"name":"Impact","value":""},{"id":150,"name":"Time of Event (Mountain Time)","value":"00:05:08"},{"id":151,"name":"Denver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23"/>
        <v>start /low /b %USERPROFILE%\Documents\GitHub\eaglep3\Utilities\DownloadLogsFromS3.py --loco 4050 --day 2017-10-25</v>
      </c>
      <c r="AN152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06:05:08"},{"id":29,"name":"Sharepoint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25"/>
        <v>https://d0f6bd738d7f1b3e5a7ca70fe4ff75f0.us-east-1.aws.found.io/app/kibana#/discover/Steve-Slow-Train-Analysis-(2080s-and-2083s)?_g=(refreshInterval:(display:Off,pause:!f,section:0,value:0),time:(from:'2017-10-25T22:09:57-0600',mode:absolute,to:'2017-10-26T01:05:08-0600'))&amp;_a=(columns:!('Message%20ID',Summary),filters:!(),index:'emp_*',interval:auto,query:(query_string:(analyze_wildcard:!t,query:'%22rtdc.l.rtdc.4050%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867</v>
      </c>
      <c r="B153" s="7">
        <v>4049</v>
      </c>
      <c r="C153" s="21" t="s">
        <v>194</v>
      </c>
      <c r="D153" s="21" t="s">
        <v>974</v>
      </c>
      <c r="E153" s="13">
        <v>43034.009872685187</v>
      </c>
      <c r="F153" s="13">
        <v>43034.018900462965</v>
      </c>
      <c r="G153" s="7">
        <v>150</v>
      </c>
      <c r="H153" s="21" t="s">
        <v>975</v>
      </c>
      <c r="I153" s="13">
        <v>43034.045358796298</v>
      </c>
      <c r="J153" s="7">
        <v>0</v>
      </c>
      <c r="K153" s="89" t="str">
        <f>IF(ISEVEN(B153),(B153-1)&amp;"/"&amp;B153,B153&amp;"/"&amp;(B153+1))</f>
        <v>4049/4050</v>
      </c>
      <c r="L153" s="185" t="str">
        <f>VLOOKUP(A153,'Trips&amp;Operators'!$C$1:$G$99911,5,FALSE)</f>
        <v>MCREYNOLDS KYLE</v>
      </c>
      <c r="M153" s="6">
        <f>I153-F153</f>
        <v>2.6458333333721384E-2</v>
      </c>
      <c r="N153" s="7">
        <f>24*60*SUM($M153:$M153)</f>
        <v>38.100000000558794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-25T23:14:13-0600',mode:absolute,to:'2017-10-26T02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23.287500000000001</v>
      </c>
      <c r="Z153" s="204">
        <f>RIGHT(H153,LEN(H153)-4)/10000</f>
        <v>1.5100000000000001E-2</v>
      </c>
      <c r="AA153" s="204">
        <f>ABS(Z153-Y153)</f>
        <v>23.272400000000001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 &amp; aws s3 cp s3://rtdc.mdm.uploadarchive.raw/RTDC4049/ "%USERPROFILE%\AppData\Local\Temp\OnboardLogs"\RTDC4049\2017-10-27 --exclude "*" --recursive --include "*20171027*" &amp; "%USERPROFILE%\Documents\GitHub\mrs-test-scripts\Headless Mode &amp; Sideloading\WalkAndUnGZ.bat" "%USERPROFILE%\AppData\Local\Temp\OnboardLogs"\RTDC4049\2017-10-27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/stypes="app*4049*20171026*" /stext=" 07:.+((SYSTEM_STATE.+slice.+state.+changed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21"/>
        <v>"%USERPROFILE%\Documents\GitHub\eaglep3\Utilities\RefineRTDCRunTimes.py" --tripid 240-25 --locoid 4049 --swversion DE.1.0.9.0 --startMP 204:232875 --initTime 2017-10-26T00:14:13 --startdatetime 2017-10-26T00:27:13 --delay 150 --endMP 204:151 --enddatetime 2017-10-26T01:05:19 --enforcementcount 0 &gt;&gt;%USERPROFILE%\Documents\GitHub\eaglep3-reporting\EC\2017-10-25-refined-times.txt</v>
      </c>
      <c r="AI153" s="96" t="str">
        <f t="shared" si="22"/>
        <v>echo {"issue":{"subject":"","project_id":79,"tracker_id":40,"status_id":1,"priority_id":2,"assigned_to_id":338,"start_date":"2017-10-26","description":"","custom_fields":[{"id":1,"name":"Subdivision","value":"EC"},{"id":4,"name":"Milepost","value":"0.0151"},{"id":17,"name":"Train ID","value":"240-25"},{"id":16,"name":"Locomotive ID","value":"4049"},{"id":130,"name":"Impact","value":""},{"id":150,"name":"Time of Event (Mountain Time)","value":"01:05:19"},{"id":151,"name":"Denver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23"/>
        <v>start /low /b %USERPROFILE%\Documents\GitHub\eaglep3\Utilities\DownloadLogsFromS3.py --loco 4049 --day 2017-10-26</v>
      </c>
      <c r="AN153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07:05:19"},{"id":29,"name":"Sharepoint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25"/>
        <v>https://d0f6bd738d7f1b3e5a7ca70fe4ff75f0.us-east-1.aws.found.io/app/kibana#/discover/Steve-Slow-Train-Analysis-(2080s-and-2083s)?_g=(refreshInterval:(display:Off,pause:!f,section:0,value:0),time:(from:'2017-10-25T23:14:13-0600',mode:absolute,to:'2017-10-26T02:05:19-0600'))&amp;_a=(columns:!('Message%20ID',Summary),filters:!(),index:'emp_*',interval:auto,query:(query_string:(analyze_wildcard:!t,query:'%22rtdc.l.rtdc.4049%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866</v>
      </c>
      <c r="B154" s="7">
        <v>4018</v>
      </c>
      <c r="C154" s="21" t="s">
        <v>194</v>
      </c>
      <c r="D154" s="21" t="s">
        <v>976</v>
      </c>
      <c r="E154" s="13">
        <v>43033.998252314814</v>
      </c>
      <c r="F154" s="13">
        <v>43034.000254629631</v>
      </c>
      <c r="G154" s="7">
        <v>65</v>
      </c>
      <c r="H154" s="21" t="s">
        <v>517</v>
      </c>
      <c r="I154" s="13">
        <v>43034.024212962962</v>
      </c>
      <c r="J154" s="7">
        <v>0</v>
      </c>
      <c r="K154" s="89" t="str">
        <f>IF(ISEVEN(B154),(B154-1)&amp;"/"&amp;B154,B154&amp;"/"&amp;(B154+1))</f>
        <v>4017/4018</v>
      </c>
      <c r="L154" s="185" t="str">
        <f>VLOOKUP(A154,'Trips&amp;Operators'!$C$1:$G$99911,5,FALSE)</f>
        <v>LOZA FIDEL</v>
      </c>
      <c r="M154" s="6">
        <f>I154-F154</f>
        <v>2.3958333331393078E-2</v>
      </c>
      <c r="N154" s="7">
        <f>24*60*SUM($M154:$M154)</f>
        <v>34.499999997206032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-25T22:57:29-0600',mode:absolute,to:'2017-10-26T01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5.2900000000000003E-2</v>
      </c>
      <c r="Z154" s="204">
        <f>RIGHT(H154,LEN(H154)-4)/10000</f>
        <v>23.327000000000002</v>
      </c>
      <c r="AA154" s="204">
        <f>ABS(Z154-Y154)</f>
        <v>23.274100000000001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 &amp; 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/stypes="app*4018*20171026*" /stext=" 06:.+((SYSTEM_STATE.+slice.+state.+changed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21"/>
        <v>"%USERPROFILE%\Documents\GitHub\eaglep3\Utilities\RefineRTDCRunTimes.py" --tripid 241-25 --locoid 4018 --swversion DE.1.0.9.0 --startMP 204:529 --initTime 2017-10-25T23:57:29 --startdatetime 2017-10-26T00:00:22 --delay 65 --endMP 204:233270 --enddatetime 2017-10-26T00:34:52 --enforcementcount 0 &gt;&gt;%USERPROFILE%\Documents\GitHub\eaglep3-reporting\EC\2017-10-25-refined-times.txt</v>
      </c>
      <c r="AI154" s="96" t="str">
        <f t="shared" si="22"/>
        <v>echo {"issue":{"subject":"","project_id":79,"tracker_id":40,"status_id":1,"priority_id":2,"assigned_to_id":338,"start_date":"2017-10-26","description":"","custom_fields":[{"id":1,"name":"Subdivision","value":"EC"},{"id":4,"name":"Milepost","value":"23.327"},{"id":17,"name":"Train ID","value":"241-25"},{"id":16,"name":"Locomotive ID","value":"4018"},{"id":130,"name":"Impact","value":""},{"id":150,"name":"Time of Event (Mountain Time)","value":"00:34:52"},{"id":151,"name":"Denver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23"/>
        <v>start /low /b %USERPROFILE%\Documents\GitHub\eaglep3\Utilities\DownloadLogsFromS3.py --loco 4018 --day 2017-10-26</v>
      </c>
      <c r="AN154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06:34:52"},{"id":29,"name":"Sharepoint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25"/>
        <v>https://d0f6bd738d7f1b3e5a7ca70fe4ff75f0.us-east-1.aws.found.io/app/kibana#/discover/Steve-Slow-Train-Analysis-(2080s-and-2083s)?_g=(refreshInterval:(display:Off,pause:!f,section:0,value:0),time:(from:'2017-10-25T22:57:29-0600',mode:absolute,to:'2017-10-26T01:34:52-0600'))&amp;_a=(columns:!('Message%20ID',Summary),filters:!(),index:'emp_*',interval:auto,query:(query_string:(analyze_wildcard:!t,query:'%22rtdc.l.rtdc.4018%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869</v>
      </c>
      <c r="B155" s="7">
        <v>4017</v>
      </c>
      <c r="C155" s="21" t="s">
        <v>194</v>
      </c>
      <c r="D155" s="21" t="s">
        <v>977</v>
      </c>
      <c r="E155" s="13">
        <v>43034.037418981483</v>
      </c>
      <c r="F155" s="13">
        <v>43034.039756944447</v>
      </c>
      <c r="G155" s="7">
        <v>71</v>
      </c>
      <c r="H155" s="21" t="s">
        <v>336</v>
      </c>
      <c r="I155" s="13">
        <v>43034.067106481481</v>
      </c>
      <c r="J155" s="7">
        <v>0</v>
      </c>
      <c r="K155" s="89" t="str">
        <f>IF(ISEVEN(B155),(B155-1)&amp;"/"&amp;B155,B155&amp;"/"&amp;(B155+1))</f>
        <v>4017/4018</v>
      </c>
      <c r="L155" s="185" t="str">
        <f>VLOOKUP(A155,'Trips&amp;Operators'!$C$1:$G$99911,5,FALSE)</f>
        <v>LOZA FIDEL</v>
      </c>
      <c r="M155" s="6">
        <f>I155-F155</f>
        <v>2.7349537034751847E-2</v>
      </c>
      <c r="N155" s="7">
        <f>24*60*SUM($M155:$M155)</f>
        <v>39.38333333004266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-25T23:53:53-0600',mode:absolute,to:'2017-10-26T02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23.294499999999999</v>
      </c>
      <c r="Z155" s="204">
        <f>RIGHT(H155,LEN(H155)-4)/10000</f>
        <v>1.49E-2</v>
      </c>
      <c r="AA155" s="204">
        <f>ABS(Z155-Y155)</f>
        <v>23.279599999999999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s3://rtdc.mdm.uploadarchive.raw/RTDC4017/ "%USERPROFILE%\AppData\Local\Temp\OnboardLogs"\RTDC4017\2017-10-26 --exclude "*" --recursive --include "*20171026*" &amp; "%USERPROFILE%\Documents\GitHub\mrs-test-scripts\Headless Mode &amp; Sideloading\WalkAndUnGZ.bat" "%USERPROFILE%\AppData\Local\Temp\OnboardLogs"\RTDC4017\2017-10-26 &amp; aws s3 cp s3://rtdc.mdm.uploadarchive.raw/RTDC4017/ "%USERPROFILE%\AppData\Local\Temp\OnboardLogs"\RTDC4017\2017-10-27 --exclude "*" --recursive --include "*20171027*" &amp; "%USERPROFILE%\Documents\GitHub\mrs-test-scripts\Headless Mode &amp; Sideloading\WalkAndUnGZ.bat" "%USERPROFILE%\AppData\Local\Temp\OnboardLogs"\RTDC4017\2017-10-27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/stypes="app*4017*20171026*"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21"/>
        <v>"%USERPROFILE%\Documents\GitHub\eaglep3\Utilities\RefineRTDCRunTimes.py" --tripid 242-25 --locoid 4017 --swversion DE.1.0.9.0 --startMP 204:232945 --initTime 2017-10-26T00:53:53 --startdatetime 2017-10-26T00:57:15 --delay 71 --endMP 204:149 --enddatetime 2017-10-26T01:36:38 --enforcementcount 0 &gt;&gt;%USERPROFILE%\Documents\GitHub\eaglep3-reporting\EC\2017-10-25-refined-times.txt</v>
      </c>
      <c r="AI155" s="96" t="str">
        <f t="shared" si="22"/>
        <v>echo {"issue":{"subject":"","project_id":79,"tracker_id":40,"status_id":1,"priority_id":2,"assigned_to_id":338,"start_date":"2017-10-26","description":"","custom_fields":[{"id":1,"name":"Subdivision","value":"EC"},{"id":4,"name":"Milepost","value":"0.0149"},{"id":17,"name":"Train ID","value":"242-25"},{"id":16,"name":"Locomotive ID","value":"4017"},{"id":130,"name":"Impact","value":""},{"id":150,"name":"Time of Event (Mountain Time)","value":"01:36:38"},{"id":151,"name":"Denver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23"/>
        <v>start /low /b %USERPROFILE%\Documents\GitHub\eaglep3\Utilities\DownloadLogsFromS3.py --loco 4017 --day 2017-10-26</v>
      </c>
      <c r="AN155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07:36:38"},{"id":29,"name":"Sharepoint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25"/>
        <v>https://d0f6bd738d7f1b3e5a7ca70fe4ff75f0.us-east-1.aws.found.io/app/kibana#/discover/Steve-Slow-Train-Analysis-(2080s-and-2083s)?_g=(refreshInterval:(display:Off,pause:!f,section:0,value:0),time:(from:'2017-10-25T23:53:53-0600',mode:absolute,to:'2017-10-26T02:36:38-0600'))&amp;_a=(columns:!('Message%20ID',Summary),filters:!(),index:'emp_*',interval:auto,query:(query_string:(analyze_wildcard:!t,query:'%22rtdc.l.rtdc.4017%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868</v>
      </c>
      <c r="B156" s="7">
        <v>4036</v>
      </c>
      <c r="C156" s="21" t="s">
        <v>194</v>
      </c>
      <c r="D156" s="21" t="s">
        <v>596</v>
      </c>
      <c r="E156" s="13">
        <v>43034.018703703703</v>
      </c>
      <c r="F156" s="13">
        <v>43034.021365740744</v>
      </c>
      <c r="G156" s="7">
        <v>54</v>
      </c>
      <c r="H156" s="21" t="s">
        <v>901</v>
      </c>
      <c r="I156" s="13">
        <v>43034.04546296296</v>
      </c>
      <c r="J156" s="7">
        <v>0</v>
      </c>
      <c r="K156" s="89" t="str">
        <f>IF(ISEVEN(B156),(B156-1)&amp;"/"&amp;B156,B156&amp;"/"&amp;(B156+1))</f>
        <v>4035/4036</v>
      </c>
      <c r="L156" s="185" t="str">
        <f>VLOOKUP(A156,'Trips&amp;Operators'!$C$1:$G$99911,5,FALSE)</f>
        <v>ANDERS STEVEN</v>
      </c>
      <c r="M156" s="6">
        <f>I156-F156</f>
        <v>2.4097222216369119E-2</v>
      </c>
      <c r="N156" s="7">
        <f>24*60*SUM($M156:$M156)</f>
        <v>34.699999991571531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-25T23:26:56-0600',mode:absolute,to:'2017-10-26T02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5.4600000000000003E-2</v>
      </c>
      <c r="Z156" s="204">
        <f>RIGHT(H156,LEN(H156)-4)/10000</f>
        <v>23.319299999999998</v>
      </c>
      <c r="AA156" s="204">
        <f>ABS(Z156-Y156)</f>
        <v>23.264699999999998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 &amp; 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/stypes="app*4036*20171026*"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21"/>
        <v>"%USERPROFILE%\Documents\GitHub\eaglep3\Utilities\RefineRTDCRunTimes.py" --tripid 243-25 --locoid 4036 --swversion DE.1.0.9.0 --startMP 204:546 --initTime 2017-10-26T00:26:56 --startdatetime 2017-10-26T00:30:46 --delay 54 --endMP 204:233193 --enddatetime 2017-10-26T01:05:28 --enforcementcount 0 &gt;&gt;%USERPROFILE%\Documents\GitHub\eaglep3-reporting\EC\2017-10-25-refined-times.txt</v>
      </c>
      <c r="AI156" s="96" t="str">
        <f t="shared" si="22"/>
        <v>echo {"issue":{"subject":"","project_id":79,"tracker_id":40,"status_id":1,"priority_id":2,"assigned_to_id":338,"start_date":"2017-10-26","description":"","custom_fields":[{"id":1,"name":"Subdivision","value":"EC"},{"id":4,"name":"Milepost","value":"23.3193"},{"id":17,"name":"Train ID","value":"243-25"},{"id":16,"name":"Locomotive ID","value":"4036"},{"id":130,"name":"Impact","value":""},{"id":150,"name":"Time of Event (Mountain Time)","value":"01:05:28"},{"id":151,"name":"Denver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23"/>
        <v>start /low /b %USERPROFILE%\Documents\GitHub\eaglep3\Utilities\DownloadLogsFromS3.py --loco 4036 --day 2017-10-26</v>
      </c>
      <c r="AN156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07:05:28"},{"id":29,"name":"Sharepoint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25"/>
        <v>https://d0f6bd738d7f1b3e5a7ca70fe4ff75f0.us-east-1.aws.found.io/app/kibana#/discover/Steve-Slow-Train-Analysis-(2080s-and-2083s)?_g=(refreshInterval:(display:Off,pause:!f,section:0,value:0),time:(from:'2017-10-25T23:26:56-0600',mode:absolute,to:'2017-10-26T02:05:28-0600'))&amp;_a=(columns:!('Message%20ID',Summary),filters:!(),index:'emp_*',interval:auto,query:(query_string:(analyze_wildcard:!t,query:'%22rtdc.l.rtdc.4036%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870</v>
      </c>
      <c r="B157" s="7">
        <v>4035</v>
      </c>
      <c r="C157" s="21" t="s">
        <v>194</v>
      </c>
      <c r="D157" s="21" t="s">
        <v>596</v>
      </c>
      <c r="E157" s="13">
        <v>43034.018703703703</v>
      </c>
      <c r="F157" s="13">
        <v>43034.060717592591</v>
      </c>
      <c r="G157" s="7">
        <v>54</v>
      </c>
      <c r="H157" s="21" t="s">
        <v>901</v>
      </c>
      <c r="I157" s="13">
        <v>43034.087465277778</v>
      </c>
      <c r="J157" s="7">
        <v>0</v>
      </c>
      <c r="K157" s="89" t="str">
        <f>IF(ISEVEN(B157),(B157-1)&amp;"/"&amp;B157,B157&amp;"/"&amp;(B157+1))</f>
        <v>4035/4036</v>
      </c>
      <c r="L157" s="185" t="str">
        <f>VLOOKUP(A157,'Trips&amp;Operators'!$C$1:$G$99911,5,FALSE)</f>
        <v>ANDERS STEVEN</v>
      </c>
      <c r="M157" s="6">
        <f>I157-F157</f>
        <v>2.6747685187729076E-2</v>
      </c>
      <c r="N157" s="7">
        <f>24*60*SUM($M157:$M157)</f>
        <v>38.516666670329869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-25T23:26:56-0600',mode:absolute,to:'2017-10-26T03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7" s="204" t="str">
        <f>IF(AA157&lt;VLOOKUP(AG157,Variables!$AC$3:$AD$8,2,FALSE),"Y","N")</f>
        <v>N</v>
      </c>
      <c r="X157" s="204">
        <f t="shared" ref="X157:X159" si="26">VALUE(LEFT(AD157,4))-VALUE(LEFT(AD156,4))</f>
        <v>1</v>
      </c>
      <c r="Y157" s="204">
        <v>23.294499999999999</v>
      </c>
      <c r="Z157" s="204">
        <v>1.49E-2</v>
      </c>
      <c r="AA157" s="204">
        <f>ABS(Z157-Y157)</f>
        <v>23.279599999999999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 &amp; aws s3 cp s3://rtdc.mdm.uploadarchive.raw/RTDC4035/ "%USERPROFILE%\AppData\Local\Temp\OnboardLogs"\RTDC4035\2017-10-27 --exclude "*" --recursive --include "*20171027*" &amp; "%USERPROFILE%\Documents\GitHub\mrs-test-scripts\Headless Mode &amp; Sideloading\WalkAndUnGZ.bat" "%USERPROFILE%\AppData\Local\Temp\OnboardLogs"\RTDC4035\2017-10-27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/stypes="app*4035*20171026*"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ref="AH157" si="27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244-25 --locoid 4035 --swversion DE.1.0.9.0 --startMP 204:546 --initTime 2017-10-26T00:26:56 --startdatetime 2017-10-26T01:27:26 --delay 54 --endMP 204:233193 --enddatetime 2017-10-26T02:05:57 --enforcementcount 0 &gt;&gt;%USERPROFILE%\Documents\GitHub\eaglep3-reporting\EC\2017-10-25-refined-times.txt</v>
      </c>
      <c r="AI157" s="96" t="str">
        <f t="shared" ref="AI157" si="28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{"issue":{"subject":"","project_id":79,"tracker_id":40,"status_id":1,"priority_id":2,"assigned_to_id":338,"start_date":"2017-10-26","description":"","custom_fields":[{"id":1,"name":"Subdivision","value":"EC"},{"id":4,"name":"Milepost","value":"0.0149"},{"id":17,"name":"Train ID","value":"244-25"},{"id":16,"name":"Locomotive ID","value":"4035"},{"id":130,"name":"Impact","value":""},{"id":150,"name":"Time of Event (Mountain Time)","value":"02:05:57"},{"id":151,"name":"Denver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ref="AM157" si="29">"start /low /b "&amp;dls3logs&amp;" --loco "&amp;B157&amp;" --day "&amp;TEXT(F157,"YYYY-MM-DD")</f>
        <v>start /low /b %USERPROFILE%\Documents\GitHub\eaglep3\Utilities\DownloadLogsFromS3.py --loco 4035 --day 2017-10-26</v>
      </c>
      <c r="AN157" s="151" t="str">
        <f t="shared" ref="AN157" si="30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08:05:57"},{"id":29,"name":"Sharepoint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ref="AO157" si="31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-25T23:26:56-0600',mode:absolute,to:'2017-10-26T03:05:57-0600'))&amp;_a=(columns:!('Message%20ID',Summary),filters:!(),index:'emp_*',interval:auto,query:(query_string:(analyze_wildcard:!t,query:'%22rtdc.l.rtdc.4035%22')),sort:!(Time.ISO8601,asc))</v>
      </c>
    </row>
    <row r="158" spans="1:91" s="20" customFormat="1" x14ac:dyDescent="0.3">
      <c r="A158" s="32" t="s">
        <v>624</v>
      </c>
      <c r="B158" s="7">
        <v>4023</v>
      </c>
      <c r="C158" s="21" t="s">
        <v>194</v>
      </c>
      <c r="D158" s="21" t="s">
        <v>1032</v>
      </c>
      <c r="E158" s="13">
        <v>43033.214814814812</v>
      </c>
      <c r="F158" s="13">
        <v>43033.216550925928</v>
      </c>
      <c r="G158" s="7">
        <v>68</v>
      </c>
      <c r="H158" s="21" t="s">
        <v>1033</v>
      </c>
      <c r="I158" s="13">
        <v>43033.225752314815</v>
      </c>
      <c r="J158" s="7">
        <v>0</v>
      </c>
      <c r="K158" s="89" t="str">
        <f>IF(ISEVEN(B158),(B158-1)&amp;"/"&amp;B158,B158&amp;"/"&amp;(B158+1))</f>
        <v>4023/4024</v>
      </c>
      <c r="L158" s="185" t="str">
        <f>VLOOKUP(A158,'Trips&amp;Operators'!$C$1:$G$99911,5,FALSE)</f>
        <v>LAMAR NEKESHA</v>
      </c>
      <c r="M158" s="6">
        <f>I158-F158</f>
        <v>9.2013888861401938E-3</v>
      </c>
      <c r="N158" s="7">
        <f>24*60*SUM($M158:$M158)</f>
        <v>13.249999996041879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-25T04:09:20-0600',mode:absolute,to:'2017-10-25T06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8" s="204" t="str">
        <f>IF(AA158&lt;VLOOKUP(AG158,Variables!$AC$3:$AD$8,2,FALSE),"Y","N")</f>
        <v>N</v>
      </c>
      <c r="X158" s="204">
        <f t="shared" si="26"/>
        <v>556</v>
      </c>
      <c r="Y158" s="204">
        <f>RIGHT(D158,LEN(D158)-4)/10000</f>
        <v>5.8638000000000003</v>
      </c>
      <c r="Z158" s="204">
        <f>RIGHT(H158,LEN(H158)-4)/10000</f>
        <v>6.9599999999999995E-2</v>
      </c>
      <c r="AA158" s="204">
        <f>ABS(Z158-Y158)</f>
        <v>5.7942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/stypes="app*4023*20171025*" /stext=" 11:.+((SYSTEM_STATE.+slice.+state.+changed )|(ment ac)|(multiple cpu faults)|(system.+state.+changed )|(\[timeout)|(PRM\|1\|D)|(kpr)|(kdp)|(train st.+moving)|(\|lc)|(penalty))"</v>
      </c>
      <c r="AG158" s="182" t="str">
        <f>DetSubdiv(A158)</f>
        <v>NW</v>
      </c>
      <c r="AH158" s="78" t="str">
        <f t="shared" si="21"/>
        <v>"%USERPROFILE%\Documents\GitHub\eaglep3\Utilities\RefineRTDCRunTimes.py" --tripid 800-25 --locoid 4023 --swversion DE.1.0.9.0 --startMP 300:58638 --initTime 2017-10-25T05:09:20 --startdatetime 2017-10-25T05:11:50 --delay 68 --endMP 204:696 --enddatetime 2017-10-25T05:25:05 --enforcementcount 0 &gt;&gt;%USERPROFILE%\Documents\GitHub\eaglep3-reporting\EC\2017-10-25-refined-times.txt</v>
      </c>
      <c r="AI158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{"issue":{"subject":"","project_id":79,"tracker_id":40,"status_id":1,"priority_id":2,"assigned_to_id":338,"start_date":"2017-10-25","description":"","custom_fields":[{"id":1,"name":"Subdivision","value":"NW"},{"id":4,"name":"Milepost","value":"0.0696"},{"id":17,"name":"Train ID","value":"800-25"},{"id":16,"name":"Locomotive ID","value":"4023"},{"id":130,"name":"Impact","value":""},{"id":150,"name":"Time of Event (Mountain Time)","value":"05:25:05"},{"id":151,"name":"Denver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3"/>
        <v>start /low /b %USERPROFILE%\Documents\GitHub\eaglep3\Utilities\DownloadLogsFromS3.py --loco 4023 --day 2017-10-25</v>
      </c>
      <c r="AN158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25"/>
        <v>https://d0f6bd738d7f1b3e5a7ca70fe4ff75f0.us-east-1.aws.found.io/app/kibana#/discover/Steve-Slow-Train-Analysis-(2080s-and-2083s)?_g=(refreshInterval:(display:Off,pause:!f,section:0,value:0),time:(from:'2017-10-25T04:09:20-0600',mode:absolute,to:'2017-10-25T06:25:05-0600'))&amp;_a=(columns:!('Message%20ID',Summary),filters:!(),index:'emp_*',interval:auto,query:(query_string:(analyze_wildcard:!t,query:'%22rtdc.l.rtdc.4023%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691</v>
      </c>
      <c r="B159" s="7">
        <v>4024</v>
      </c>
      <c r="C159" s="21" t="s">
        <v>194</v>
      </c>
      <c r="D159" s="21" t="s">
        <v>1034</v>
      </c>
      <c r="E159" s="13">
        <v>43033.230543981481</v>
      </c>
      <c r="F159" s="13">
        <v>43033.235590277778</v>
      </c>
      <c r="G159" s="7">
        <v>63</v>
      </c>
      <c r="H159" s="21" t="s">
        <v>611</v>
      </c>
      <c r="I159" s="13">
        <v>43033.244976851849</v>
      </c>
      <c r="J159" s="7">
        <v>0</v>
      </c>
      <c r="K159" s="89" t="str">
        <f>IF(ISEVEN(B159),(B159-1)&amp;"/"&amp;B159,B159&amp;"/"&amp;(B159+1))</f>
        <v>4023/4024</v>
      </c>
      <c r="L159" s="185" t="str">
        <f>VLOOKUP(A159,'Trips&amp;Operators'!$C$1:$G$99911,5,FALSE)</f>
        <v>LAMAR NEKESHA</v>
      </c>
      <c r="M159" s="6">
        <f>I159-F159</f>
        <v>9.3865740709588863E-3</v>
      </c>
      <c r="N159" s="7">
        <f>24*60*SUM($M159:$M159)</f>
        <v>13.516666662180796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-25T04:31:59-0600',mode:absolute,to:'2017-10-25T06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9" s="204" t="str">
        <f>IF(AA159&lt;VLOOKUP(AG159,Variables!$AC$3:$AD$8,2,FALSE),"Y","N")</f>
        <v>N</v>
      </c>
      <c r="X159" s="204">
        <f t="shared" si="26"/>
        <v>1</v>
      </c>
      <c r="Y159" s="204">
        <f>RIGHT(D159,LEN(D159)-4)/10000</f>
        <v>9.74E-2</v>
      </c>
      <c r="Z159" s="204">
        <f>RIGHT(H159,LEN(H159)-4)/10000</f>
        <v>5.8986000000000001</v>
      </c>
      <c r="AA159" s="204">
        <f>ABS(Z159-Y159)</f>
        <v>5.8011999999999997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/stypes="app*4024*20171025*"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21"/>
        <v>"%USERPROFILE%\Documents\GitHub\eaglep3\Utilities\RefineRTDCRunTimes.py" --tripid 801-25 --locoid 4024 --swversion DE.1.0.9.0 --startMP 204:974 --initTime 2017-10-25T05:31:59 --startdatetime 2017-10-25T05:39:15 --delay 63 --endMP 300:58986 --enddatetime 2017-10-25T05:52:46 --enforcementcount 0 &gt;&gt;%USERPROFILE%\Documents\GitHub\eaglep3-reporting\EC\2017-10-25-refined-times.txt</v>
      </c>
      <c r="AI159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{"issue":{"subject":"","project_id":79,"tracker_id":40,"status_id":1,"priority_id":2,"assigned_to_id":338,"start_date":"2017-10-25","description":"","custom_fields":[{"id":1,"name":"Subdivision","value":"NW"},{"id":4,"name":"Milepost","value":"5.8986"},{"id":17,"name":"Train ID","value":"801-25"},{"id":16,"name":"Locomotive ID","value":"4024"},{"id":130,"name":"Impact","value":""},{"id":150,"name":"Time of Event (Mountain Time)","value":"05:52:46"},{"id":151,"name":"Denver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3"/>
        <v>start /low /b %USERPROFILE%\Documents\GitHub\eaglep3\Utilities\DownloadLogsFromS3.py --loco 4024 --day 2017-10-25</v>
      </c>
      <c r="AN159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25"/>
        <v>https://d0f6bd738d7f1b3e5a7ca70fe4ff75f0.us-east-1.aws.found.io/app/kibana#/discover/Steve-Slow-Train-Analysis-(2080s-and-2083s)?_g=(refreshInterval:(display:Off,pause:!f,section:0,value:0),time:(from:'2017-10-25T04:31:59-0600',mode:absolute,to:'2017-10-25T06:52:46-0600'))&amp;_a=(columns:!('Message%20ID',Summary),filters:!(),index:'emp_*',interval:auto,query:(query_string:(analyze_wildcard:!t,query:'%22rtdc.l.rtdc.4024%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628</v>
      </c>
      <c r="B160" s="7">
        <v>4023</v>
      </c>
      <c r="C160" s="21" t="s">
        <v>194</v>
      </c>
      <c r="D160" s="21" t="s">
        <v>1035</v>
      </c>
      <c r="E160" s="13">
        <v>43033.246307870373</v>
      </c>
      <c r="F160" s="13">
        <v>43033.259004629632</v>
      </c>
      <c r="G160" s="7">
        <v>53</v>
      </c>
      <c r="H160" s="21" t="s">
        <v>1036</v>
      </c>
      <c r="I160" s="13">
        <v>43033.267407407409</v>
      </c>
      <c r="J160" s="7">
        <v>0</v>
      </c>
      <c r="K160" s="89" t="str">
        <f>IF(ISEVEN(B160),(B160-1)&amp;"/"&amp;B160,B160&amp;"/"&amp;(B160+1))</f>
        <v>4023/4024</v>
      </c>
      <c r="L160" s="185" t="str">
        <f>VLOOKUP(A160,'Trips&amp;Operators'!$C$1:$G$99911,5,FALSE)</f>
        <v>LAMAR NEKESHA</v>
      </c>
      <c r="M160" s="6">
        <f>I160-F160</f>
        <v>8.4027777775190771E-3</v>
      </c>
      <c r="N160" s="7">
        <f>24*60*SUM($M160:$M160)</f>
        <v>12.099999999627471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-25T04:54:41-0600',mode:absolute,to:'2017-10-25T07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5.8659999999999997</v>
      </c>
      <c r="Z160" s="204">
        <f>RIGHT(H160,LEN(H160)-4)/10000</f>
        <v>6.8699999999999997E-2</v>
      </c>
      <c r="AA160" s="204">
        <f>ABS(Z160-Y160)</f>
        <v>5.7972999999999999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/stypes="app*4023*20171025*"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21"/>
        <v>"%USERPROFILE%\Documents\GitHub\eaglep3\Utilities\RefineRTDCRunTimes.py" --tripid 802-25 --locoid 4023 --swversion DE.1.0.9.0 --startMP 300:58660 --initTime 2017-10-25T05:54:41 --startdatetime 2017-10-25T06:12:58 --delay 53 --endMP 204:687 --enddatetime 2017-10-25T06:25:04 --enforcementcount 0 &gt;&gt;%USERPROFILE%\Documents\GitHub\eaglep3-reporting\EC\2017-10-25-refined-times.txt</v>
      </c>
      <c r="AI160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{"issue":{"subject":"","project_id":79,"tracker_id":40,"status_id":1,"priority_id":2,"assigned_to_id":338,"start_date":"2017-10-25","description":"","custom_fields":[{"id":1,"name":"Subdivision","value":"NW"},{"id":4,"name":"Milepost","value":"0.0687"},{"id":17,"name":"Train ID","value":"802-25"},{"id":16,"name":"Locomotive ID","value":"4023"},{"id":130,"name":"Impact","value":""},{"id":150,"name":"Time of Event (Mountain Time)","value":"06:25:04"},{"id":151,"name":"Denver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23"/>
        <v>start /low /b %USERPROFILE%\Documents\GitHub\eaglep3\Utilities\DownloadLogsFromS3.py --loco 4023 --day 2017-10-25</v>
      </c>
      <c r="AN160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25"/>
        <v>https://d0f6bd738d7f1b3e5a7ca70fe4ff75f0.us-east-1.aws.found.io/app/kibana#/discover/Steve-Slow-Train-Analysis-(2080s-and-2083s)?_g=(refreshInterval:(display:Off,pause:!f,section:0,value:0),time:(from:'2017-10-25T04:54:41-0600',mode:absolute,to:'2017-10-25T07:25:04-0600'))&amp;_a=(columns:!('Message%20ID',Summary),filters:!(),index:'emp_*',interval:auto,query:(query_string:(analyze_wildcard:!t,query:'%22rtdc.l.rtdc.4023%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698</v>
      </c>
      <c r="B161" s="7">
        <v>4052</v>
      </c>
      <c r="C161" s="21" t="s">
        <v>194</v>
      </c>
      <c r="D161" s="21" t="s">
        <v>1037</v>
      </c>
      <c r="E161" s="13">
        <v>43033.251006944447</v>
      </c>
      <c r="F161" s="13">
        <v>43033.25644675926</v>
      </c>
      <c r="G161" s="7">
        <v>74</v>
      </c>
      <c r="H161" s="21" t="s">
        <v>1038</v>
      </c>
      <c r="I161" s="13">
        <v>43033.266238425924</v>
      </c>
      <c r="J161" s="7">
        <v>0</v>
      </c>
      <c r="K161" s="89" t="str">
        <f>IF(ISEVEN(B161),(B161-1)&amp;"/"&amp;B161,B161&amp;"/"&amp;(B161+1))</f>
        <v>4051/4052</v>
      </c>
      <c r="L161" s="185" t="str">
        <f>VLOOKUP(A161,'Trips&amp;Operators'!$C$1:$G$99911,5,FALSE)</f>
        <v>GEBRETEKLE DAGNEW</v>
      </c>
      <c r="M161" s="6">
        <f>I161-F161</f>
        <v>9.7916666636592709E-3</v>
      </c>
      <c r="N161" s="7">
        <f>24*60*SUM($M161:$M161)</f>
        <v>14.09999999566935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-25T05:01:27-0600',mode:absolute,to:'2017-10-25T07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9.7100000000000006E-2</v>
      </c>
      <c r="Z161" s="204">
        <f>RIGHT(H161,LEN(H161)-4)/10000</f>
        <v>5.8975999999999997</v>
      </c>
      <c r="AA161" s="204">
        <f>ABS(Z161-Y161)</f>
        <v>5.8004999999999995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/stypes="app*4052*20171025*"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21"/>
        <v>"%USERPROFILE%\Documents\GitHub\eaglep3\Utilities\RefineRTDCRunTimes.py" --tripid 803-25 --locoid 4052 --swversion DE.1.0.9.0 --startMP 204:971 --initTime 2017-10-25T06:01:27 --startdatetime 2017-10-25T06:09:17 --delay 74 --endMP 300:58976 --enddatetime 2017-10-25T06:23:23 --enforcementcount 0 &gt;&gt;%USERPROFILE%\Documents\GitHub\eaglep3-reporting\EC\2017-10-25-refined-times.txt</v>
      </c>
      <c r="AI161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{"issue":{"subject":"","project_id":79,"tracker_id":40,"status_id":1,"priority_id":2,"assigned_to_id":338,"start_date":"2017-10-25","description":"","custom_fields":[{"id":1,"name":"Subdivision","value":"NW"},{"id":4,"name":"Milepost","value":"5.8976"},{"id":17,"name":"Train ID","value":"803-25"},{"id":16,"name":"Locomotive ID","value":"4052"},{"id":130,"name":"Impact","value":""},{"id":150,"name":"Time of Event (Mountain Time)","value":"06:23:23"},{"id":151,"name":"Denver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3"/>
        <v>start /low /b %USERPROFILE%\Documents\GitHub\eaglep3\Utilities\DownloadLogsFromS3.py --loco 4052 --day 2017-10-25</v>
      </c>
      <c r="AN161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25"/>
        <v>https://d0f6bd738d7f1b3e5a7ca70fe4ff75f0.us-east-1.aws.found.io/app/kibana#/discover/Steve-Slow-Train-Analysis-(2080s-and-2083s)?_g=(refreshInterval:(display:Off,pause:!f,section:0,value:0),time:(from:'2017-10-25T05:01:27-0600',mode:absolute,to:'2017-10-25T07:23:23-0600'))&amp;_a=(columns:!('Message%20ID',Summary),filters:!(),index:'emp_*',interval:auto,query:(query_string:(analyze_wildcard:!t,query:'%22rtdc.l.rtdc.4052%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702</v>
      </c>
      <c r="B162" s="7">
        <v>4051</v>
      </c>
      <c r="C162" s="21" t="s">
        <v>194</v>
      </c>
      <c r="D162" s="21" t="s">
        <v>612</v>
      </c>
      <c r="E162" s="13">
        <v>43033.267511574071</v>
      </c>
      <c r="F162" s="13">
        <v>43033.280092592591</v>
      </c>
      <c r="G162" s="7">
        <v>58</v>
      </c>
      <c r="H162" s="21" t="s">
        <v>1039</v>
      </c>
      <c r="I162" s="13">
        <v>43033.288240740738</v>
      </c>
      <c r="J162" s="7">
        <v>0</v>
      </c>
      <c r="K162" s="89" t="str">
        <f>IF(ISEVEN(B162),(B162-1)&amp;"/"&amp;B162,B162&amp;"/"&amp;(B162+1))</f>
        <v>4051/4052</v>
      </c>
      <c r="L162" s="185" t="str">
        <f>VLOOKUP(A162,'Trips&amp;Operators'!$C$1:$G$99911,5,FALSE)</f>
        <v>GEBRETEKLE DAGNEW</v>
      </c>
      <c r="M162" s="6">
        <f>I162-F162</f>
        <v>8.1481481465743855E-3</v>
      </c>
      <c r="N162" s="7">
        <f>24*60*SUM($M162:$M162)</f>
        <v>11.733333331067115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-25T05:25:13-0600',mode:absolute,to:'2017-10-25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5.8673000000000002</v>
      </c>
      <c r="Z162" s="204">
        <f>RIGHT(H162,LEN(H162)-4)/10000</f>
        <v>6.9900000000000004E-2</v>
      </c>
      <c r="AA162" s="204">
        <f>ABS(Z162-Y162)</f>
        <v>5.7974000000000006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/stypes="app*4051*20171025*"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21"/>
        <v>"%USERPROFILE%\Documents\GitHub\eaglep3\Utilities\RefineRTDCRunTimes.py" --tripid 804-25 --locoid 4051 --swversion DE.1.0.9.0 --startMP 300:58673 --initTime 2017-10-25T06:25:13 --startdatetime 2017-10-25T06:43:20 --delay 58 --endMP 204:699 --enddatetime 2017-10-25T06:55:04 --enforcementcount 0 &gt;&gt;%USERPROFILE%\Documents\GitHub\eaglep3-reporting\EC\2017-10-25-refined-times.txt</v>
      </c>
      <c r="AI162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{"issue":{"subject":"","project_id":79,"tracker_id":40,"status_id":1,"priority_id":2,"assigned_to_id":338,"start_date":"2017-10-25","description":"","custom_fields":[{"id":1,"name":"Subdivision","value":"NW"},{"id":4,"name":"Milepost","value":"0.0699"},{"id":17,"name":"Train ID","value":"804-25"},{"id":16,"name":"Locomotive ID","value":"4051"},{"id":130,"name":"Impact","value":""},{"id":150,"name":"Time of Event (Mountain Time)","value":"06:55:04"},{"id":151,"name":"Denver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3"/>
        <v>start /low /b %USERPROFILE%\Documents\GitHub\eaglep3\Utilities\DownloadLogsFromS3.py --loco 4051 --day 2017-10-25</v>
      </c>
      <c r="AN162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25"/>
        <v>https://d0f6bd738d7f1b3e5a7ca70fe4ff75f0.us-east-1.aws.found.io/app/kibana#/discover/Steve-Slow-Train-Analysis-(2080s-and-2083s)?_g=(refreshInterval:(display:Off,pause:!f,section:0,value:0),time:(from:'2017-10-25T05:25:13-0600',mode:absolute,to:'2017-10-25T07:55:04-0600'))&amp;_a=(columns:!('Message%20ID',Summary),filters:!(),index:'emp_*',interval:auto,query:(query_string:(analyze_wildcard:!t,query:'%22rtdc.l.rtdc.4051%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629</v>
      </c>
      <c r="B163" s="7">
        <v>4024</v>
      </c>
      <c r="C163" s="21" t="s">
        <v>194</v>
      </c>
      <c r="D163" s="21" t="s">
        <v>1040</v>
      </c>
      <c r="E163" s="13">
        <v>43033.275185185186</v>
      </c>
      <c r="F163" s="13">
        <v>43033.277268518519</v>
      </c>
      <c r="G163" s="7">
        <v>58</v>
      </c>
      <c r="H163" s="21" t="s">
        <v>1041</v>
      </c>
      <c r="I163" s="13">
        <v>43033.288240740738</v>
      </c>
      <c r="J163" s="7">
        <v>0</v>
      </c>
      <c r="K163" s="89" t="str">
        <f>IF(ISEVEN(B163),(B163-1)&amp;"/"&amp;B163,B163&amp;"/"&amp;(B163+1))</f>
        <v>4023/4024</v>
      </c>
      <c r="L163" s="185" t="str">
        <f>VLOOKUP(A163,'Trips&amp;Operators'!$C$1:$G$99911,5,FALSE)</f>
        <v>LAMAR NEKESHA</v>
      </c>
      <c r="M163" s="6">
        <f>I163-F163</f>
        <v>1.0972222218697425E-2</v>
      </c>
      <c r="N163" s="7">
        <f>24*60*SUM($M163:$M163)</f>
        <v>15.799999994924292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-25T05:36:16-0600',mode:absolute,to:'2017-10-25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9.69E-2</v>
      </c>
      <c r="Z163" s="204">
        <f>RIGHT(H163,LEN(H163)-4)/10000</f>
        <v>5.8997000000000002</v>
      </c>
      <c r="AA163" s="204">
        <f>ABS(Z163-Y163)</f>
        <v>5.8028000000000004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/stypes="app*4024*20171025*"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21"/>
        <v>"%USERPROFILE%\Documents\GitHub\eaglep3\Utilities\RefineRTDCRunTimes.py" --tripid 805-25 --locoid 4024 --swversion DE.1.0.9.0 --startMP 204:969 --initTime 2017-10-25T06:36:16 --startdatetime 2017-10-25T06:39:16 --delay 58 --endMP 300:58997 --enddatetime 2017-10-25T06:55:04 --enforcementcount 0 &gt;&gt;%USERPROFILE%\Documents\GitHub\eaglep3-reporting\EC\2017-10-25-refined-times.txt</v>
      </c>
      <c r="AI163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{"issue":{"subject":"","project_id":79,"tracker_id":40,"status_id":1,"priority_id":2,"assigned_to_id":338,"start_date":"2017-10-25","description":"","custom_fields":[{"id":1,"name":"Subdivision","value":"NW"},{"id":4,"name":"Milepost","value":"5.8997"},{"id":17,"name":"Train ID","value":"805-25"},{"id":16,"name":"Locomotive ID","value":"4024"},{"id":130,"name":"Impact","value":""},{"id":150,"name":"Time of Event (Mountain Time)","value":"06:55:04"},{"id":151,"name":"Denver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3"/>
        <v>start /low /b %USERPROFILE%\Documents\GitHub\eaglep3\Utilities\DownloadLogsFromS3.py --loco 4024 --day 2017-10-25</v>
      </c>
      <c r="AN163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25"/>
        <v>https://d0f6bd738d7f1b3e5a7ca70fe4ff75f0.us-east-1.aws.found.io/app/kibana#/discover/Steve-Slow-Train-Analysis-(2080s-and-2083s)?_g=(refreshInterval:(display:Off,pause:!f,section:0,value:0),time:(from:'2017-10-25T05:36:16-0600',mode:absolute,to:'2017-10-25T07:55:04-0600'))&amp;_a=(columns:!('Message%20ID',Summary),filters:!(),index:'emp_*',interval:auto,query:(query_string:(analyze_wildcard:!t,query:'%22rtdc.l.rtdc.4024%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707</v>
      </c>
      <c r="B164" s="7">
        <v>4023</v>
      </c>
      <c r="C164" s="21" t="s">
        <v>194</v>
      </c>
      <c r="D164" s="21" t="s">
        <v>1042</v>
      </c>
      <c r="E164" s="13">
        <v>43033.290844907409</v>
      </c>
      <c r="F164" s="13">
        <v>43033.300185185188</v>
      </c>
      <c r="G164" s="7">
        <v>49</v>
      </c>
      <c r="H164" s="21" t="s">
        <v>1043</v>
      </c>
      <c r="I164" s="13">
        <v>43033.308900462966</v>
      </c>
      <c r="J164" s="7">
        <v>0</v>
      </c>
      <c r="K164" s="89" t="str">
        <f>IF(ISEVEN(B164),(B164-1)&amp;"/"&amp;B164,B164&amp;"/"&amp;(B164+1))</f>
        <v>4023/4024</v>
      </c>
      <c r="L164" s="185" t="str">
        <f>VLOOKUP(A164,'Trips&amp;Operators'!$C$1:$G$99911,5,FALSE)</f>
        <v>LAMAR NEKESHA</v>
      </c>
      <c r="M164" s="6">
        <f>I164-F164</f>
        <v>8.7152777778101154E-3</v>
      </c>
      <c r="N164" s="7">
        <f>24*60*SUM($M164:$M164)</f>
        <v>12.550000000046566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-25T05:58:49-0600',mode:absolute,to:'2017-10-25T08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5.8689999999999998</v>
      </c>
      <c r="Z164" s="204">
        <f>RIGHT(H164,LEN(H164)-4)/10000</f>
        <v>6.9400000000000003E-2</v>
      </c>
      <c r="AA164" s="204">
        <f>ABS(Z164-Y164)</f>
        <v>5.7995999999999999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/stypes="app*4023*20171025*" /stext=" 13:.+((SYSTEM_STATE.+slice.+state.+changed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1"/>
        <v>"%USERPROFILE%\Documents\GitHub\eaglep3\Utilities\RefineRTDCRunTimes.py" --tripid 806-25 --locoid 4023 --swversion DE.1.0.9.0 --startMP 300:58690 --initTime 2017-10-25T06:58:49 --startdatetime 2017-10-25T07:12:16 --delay 49 --endMP 204:694 --enddatetime 2017-10-25T07:24:49 --enforcementcount 0 &gt;&gt;%USERPROFILE%\Documents\GitHub\eaglep3-reporting\EC\2017-10-25-refined-times.txt</v>
      </c>
      <c r="AI164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{"issue":{"subject":"","project_id":79,"tracker_id":40,"status_id":1,"priority_id":2,"assigned_to_id":338,"start_date":"2017-10-25","description":"","custom_fields":[{"id":1,"name":"Subdivision","value":"NW"},{"id":4,"name":"Milepost","value":"0.0694"},{"id":17,"name":"Train ID","value":"806-25"},{"id":16,"name":"Locomotive ID","value":"4023"},{"id":130,"name":"Impact","value":""},{"id":150,"name":"Time of Event (Mountain Time)","value":"07:24:49"},{"id":151,"name":"Denver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3"/>
        <v>start /low /b %USERPROFILE%\Documents\GitHub\eaglep3\Utilities\DownloadLogsFromS3.py --loco 4023 --day 2017-10-25</v>
      </c>
      <c r="AN164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25"/>
        <v>https://d0f6bd738d7f1b3e5a7ca70fe4ff75f0.us-east-1.aws.found.io/app/kibana#/discover/Steve-Slow-Train-Analysis-(2080s-and-2083s)?_g=(refreshInterval:(display:Off,pause:!f,section:0,value:0),time:(from:'2017-10-25T05:58:49-0600',mode:absolute,to:'2017-10-25T08:24:49-0600'))&amp;_a=(columns:!('Message%20ID',Summary),filters:!(),index:'emp_*',interval:auto,query:(query_string:(analyze_wildcard:!t,query:'%22rtdc.l.rtdc.4023%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631</v>
      </c>
      <c r="B165" s="7">
        <v>4052</v>
      </c>
      <c r="C165" s="21" t="s">
        <v>194</v>
      </c>
      <c r="D165" s="21" t="s">
        <v>1044</v>
      </c>
      <c r="E165" s="13">
        <v>43033.290995370371</v>
      </c>
      <c r="F165" s="13">
        <v>43033.300474537034</v>
      </c>
      <c r="G165" s="7">
        <v>86</v>
      </c>
      <c r="H165" s="21" t="s">
        <v>1045</v>
      </c>
      <c r="I165" s="13">
        <v>43033.309050925927</v>
      </c>
      <c r="J165" s="7">
        <v>0</v>
      </c>
      <c r="K165" s="89" t="str">
        <f>IF(ISEVEN(B165),(B165-1)&amp;"/"&amp;B165,B165&amp;"/"&amp;(B165+1))</f>
        <v>4051/4052</v>
      </c>
      <c r="L165" s="185" t="str">
        <f>VLOOKUP(A165,'Trips&amp;Operators'!$C$1:$G$99911,5,FALSE)</f>
        <v>GEBRETEKLE DAGNEW</v>
      </c>
      <c r="M165" s="6">
        <f>I165-F165</f>
        <v>8.5763888928340748E-3</v>
      </c>
      <c r="N165" s="7">
        <f>24*60*SUM($M165:$M165)</f>
        <v>12.350000005681068</v>
      </c>
      <c r="O165" s="7"/>
      <c r="P165" s="7"/>
      <c r="Q165" s="22"/>
      <c r="R165" s="174"/>
      <c r="S165" s="221">
        <f>1/IF(AG165="EC",12,1)*SUM(U165:U166)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-25T05:59:02-0600',mode:absolute,to:'2017-10-25T08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5" s="204" t="str">
        <f>IF(AA165&lt;VLOOKUP(AG165,Variables!$AC$3:$AD$8,2,FALSE),"Y","N")</f>
        <v>Y</v>
      </c>
      <c r="X165" s="204">
        <f>VALUE(LEFT(AD165,4))-VALUE(LEFT(AD164,4))</f>
        <v>1</v>
      </c>
      <c r="Y165" s="204">
        <f>RIGHT(D165,LEN(D165)-4)/10000</f>
        <v>9.9900000000000003E-2</v>
      </c>
      <c r="Z165" s="204">
        <f>RIGHT(H165,LEN(H165)-4)/10000</f>
        <v>0.1956</v>
      </c>
      <c r="AA165" s="204">
        <f>ABS(Z165-Y165)</f>
        <v>9.5699999999999993E-2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/stypes="app*4052*20171025*"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1"/>
        <v>"%USERPROFILE%\Documents\GitHub\eaglep3\Utilities\RefineRTDCRunTimes.py" --tripid 807-25 --locoid 4052 --swversion DE.1.0.9.0 --startMP 204:999 --initTime 2017-10-25T06:59:02 --startdatetime 2017-10-25T07:12:41 --delay 86 --endMP 204:1956 --enddatetime 2017-10-25T07:25:02 --enforcementcount 0 &gt;&gt;%USERPROFILE%\Documents\GitHub\eaglep3-reporting\EC\2017-10-25-refined-times.txt</v>
      </c>
      <c r="AI165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{"issue":{"subject":"","project_id":79,"tracker_id":40,"status_id":1,"priority_id":2,"assigned_to_id":338,"start_date":"2017-10-25","description":"","custom_fields":[{"id":1,"name":"Subdivision","value":"NW"},{"id":4,"name":"Milepost","value":"0.1956"},{"id":17,"name":"Train ID","value":"807-25"},{"id":16,"name":"Locomotive ID","value":"4052"},{"id":130,"name":"Impact","value":""},{"id":150,"name":"Time of Event (Mountain Time)","value":"07:25:02"},{"id":151,"name":"Denver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3"/>
        <v>start /low /b %USERPROFILE%\Documents\GitHub\eaglep3\Utilities\DownloadLogsFromS3.py --loco 4052 --day 2017-10-25</v>
      </c>
      <c r="AN165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25"/>
        <v>https://d0f6bd738d7f1b3e5a7ca70fe4ff75f0.us-east-1.aws.found.io/app/kibana#/discover/Steve-Slow-Train-Analysis-(2080s-and-2083s)?_g=(refreshInterval:(display:Off,pause:!f,section:0,value:0),time:(from:'2017-10-25T05:59:02-0600',mode:absolute,to:'2017-10-25T08:25:02-0600'))&amp;_a=(columns:!('Message%20ID',Summary),filters:!(),index:'emp_*',interval:auto,query:(query_string:(analyze_wildcard:!t,query:'%22rtdc.l.rtdc.4052%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631</v>
      </c>
      <c r="B166" s="7">
        <v>4052</v>
      </c>
      <c r="C166" s="21" t="s">
        <v>194</v>
      </c>
      <c r="D166" s="21" t="s">
        <v>1046</v>
      </c>
      <c r="E166" s="13">
        <v>43033.299340277779</v>
      </c>
      <c r="F166" s="13">
        <v>43033.300474537034</v>
      </c>
      <c r="G166" s="7">
        <v>53</v>
      </c>
      <c r="H166" s="21" t="s">
        <v>1047</v>
      </c>
      <c r="I166" s="13">
        <v>43033.309050925927</v>
      </c>
      <c r="J166" s="7">
        <v>0</v>
      </c>
      <c r="K166" s="89" t="str">
        <f>IF(ISEVEN(B166),(B166-1)&amp;"/"&amp;B166,B166&amp;"/"&amp;(B166+1))</f>
        <v>4051/4052</v>
      </c>
      <c r="L166" s="185" t="str">
        <f>VLOOKUP(A166,'Trips&amp;Operators'!$C$1:$G$99911,5,FALSE)</f>
        <v>GEBRETEKLE DAGNEW</v>
      </c>
      <c r="M166" s="6">
        <f>I166-F166</f>
        <v>8.5763888928340748E-3</v>
      </c>
      <c r="N166" s="7"/>
      <c r="O166" s="7"/>
      <c r="P166" s="7"/>
      <c r="Q166" s="22"/>
      <c r="R166" s="174"/>
      <c r="S166" s="221"/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-25T06:11:03-0600',mode:absolute,to:'2017-10-25T08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0</v>
      </c>
      <c r="Y166" s="204">
        <f>RIGHT(D166,LEN(D166)-4)/10000</f>
        <v>0.2235</v>
      </c>
      <c r="Z166" s="204">
        <f>RIGHT(H166,LEN(H166)-4)/10000</f>
        <v>5.8956</v>
      </c>
      <c r="AA166" s="204">
        <f>ABS(Z166-Y166)</f>
        <v>5.6721000000000004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/stypes="app*4052*20171025*"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1"/>
        <v>"%USERPROFILE%\Documents\GitHub\eaglep3\Utilities\RefineRTDCRunTimes.py" --tripid 807-25 --locoid 4052 --swversion DE.1.0.9.0 --startMP 204:2235 --initTime 2017-10-25T07:11:03 --startdatetime 2017-10-25T07:12:41 --delay 53 --endMP 300:58956 --enddatetime 2017-10-25T07:25:02 --enforcementcount 0 &gt;&gt;%USERPROFILE%\Documents\GitHub\eaglep3-reporting\EC\2017-10-25-refined-times.txt</v>
      </c>
      <c r="AI166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{"issue":{"subject":"","project_id":79,"tracker_id":40,"status_id":1,"priority_id":2,"assigned_to_id":338,"start_date":"2017-10-25","description":"","custom_fields":[{"id":1,"name":"Subdivision","value":"NW"},{"id":4,"name":"Milepost","value":"5.8956"},{"id":17,"name":"Train ID","value":"807-25"},{"id":16,"name":"Locomotive ID","value":"4052"},{"id":130,"name":"Impact","value":""},{"id":150,"name":"Time of Event (Mountain Time)","value":"07:25:02"},{"id":151,"name":"Denver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3"/>
        <v>start /low /b %USERPROFILE%\Documents\GitHub\eaglep3\Utilities\DownloadLogsFromS3.py --loco 4052 --day 2017-10-25</v>
      </c>
      <c r="AN166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25"/>
        <v>https://d0f6bd738d7f1b3e5a7ca70fe4ff75f0.us-east-1.aws.found.io/app/kibana#/discover/Steve-Slow-Train-Analysis-(2080s-and-2083s)?_g=(refreshInterval:(display:Off,pause:!f,section:0,value:0),time:(from:'2017-10-25T06:11:03-0600',mode:absolute,to:'2017-10-25T08:25:02-0600'))&amp;_a=(columns:!('Message%20ID',Summary),filters:!(),index:'emp_*',interval:auto,query:(query_string:(analyze_wildcard:!t,query:'%22rtdc.l.rtdc.4052%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711</v>
      </c>
      <c r="B167" s="7">
        <v>4051</v>
      </c>
      <c r="C167" s="21" t="s">
        <v>194</v>
      </c>
      <c r="D167" s="21" t="s">
        <v>555</v>
      </c>
      <c r="E167" s="13">
        <v>43033.311226851853</v>
      </c>
      <c r="F167" s="13">
        <v>43033.321620370371</v>
      </c>
      <c r="G167" s="7">
        <v>57</v>
      </c>
      <c r="H167" s="21" t="s">
        <v>1048</v>
      </c>
      <c r="I167" s="13">
        <v>43033.329780092594</v>
      </c>
      <c r="J167" s="7">
        <v>0</v>
      </c>
      <c r="K167" s="89" t="str">
        <f>IF(ISEVEN(B167),(B167-1)&amp;"/"&amp;B167,B167&amp;"/"&amp;(B167+1))</f>
        <v>4051/4052</v>
      </c>
      <c r="L167" s="185" t="str">
        <f>VLOOKUP(A167,'Trips&amp;Operators'!$C$1:$G$99911,5,FALSE)</f>
        <v>GEBRETEKLE DAGNEW</v>
      </c>
      <c r="M167" s="6">
        <f>I167-F167</f>
        <v>8.1597222233540379E-3</v>
      </c>
      <c r="N167" s="7">
        <f>24*60*SUM($M167:$M167)</f>
        <v>11.750000001629815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-25T06:28:10-0600',mode:absolute,to:'2017-10-25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5.8630000000000004</v>
      </c>
      <c r="Z167" s="204">
        <f>RIGHT(H167,LEN(H167)-4)/10000</f>
        <v>7.2599999999999998E-2</v>
      </c>
      <c r="AA167" s="204">
        <f>ABS(Z167-Y167)</f>
        <v>5.7904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/stypes="app*4051*20171025*"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1"/>
        <v>"%USERPROFILE%\Documents\GitHub\eaglep3\Utilities\RefineRTDCRunTimes.py" --tripid 808-25 --locoid 4051 --swversion DE.1.0.9.0 --startMP 300:58630 --initTime 2017-10-25T07:28:10 --startdatetime 2017-10-25T07:43:08 --delay 57 --endMP 204:726 --enddatetime 2017-10-25T07:54:53 --enforcementcount 0 &gt;&gt;%USERPROFILE%\Documents\GitHub\eaglep3-reporting\EC\2017-10-25-refined-times.txt</v>
      </c>
      <c r="AI167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{"issue":{"subject":"","project_id":79,"tracker_id":40,"status_id":1,"priority_id":2,"assigned_to_id":338,"start_date":"2017-10-25","description":"","custom_fields":[{"id":1,"name":"Subdivision","value":"NW"},{"id":4,"name":"Milepost","value":"0.0726"},{"id":17,"name":"Train ID","value":"808-25"},{"id":16,"name":"Locomotive ID","value":"4051"},{"id":130,"name":"Impact","value":""},{"id":150,"name":"Time of Event (Mountain Time)","value":"07:54:53"},{"id":151,"name":"Denver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3"/>
        <v>start /low /b %USERPROFILE%\Documents\GitHub\eaglep3\Utilities\DownloadLogsFromS3.py --loco 4051 --day 2017-10-25</v>
      </c>
      <c r="AN167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25"/>
        <v>https://d0f6bd738d7f1b3e5a7ca70fe4ff75f0.us-east-1.aws.found.io/app/kibana#/discover/Steve-Slow-Train-Analysis-(2080s-and-2083s)?_g=(refreshInterval:(display:Off,pause:!f,section:0,value:0),time:(from:'2017-10-25T06:28:10-0600',mode:absolute,to:'2017-10-25T08:54:53-0600'))&amp;_a=(columns:!('Message%20ID',Summary),filters:!(),index:'emp_*',interval:auto,query:(query_string:(analyze_wildcard:!t,query:'%22rtdc.l.rtdc.4051%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712</v>
      </c>
      <c r="B168" s="7">
        <v>4024</v>
      </c>
      <c r="C168" s="21" t="s">
        <v>194</v>
      </c>
      <c r="D168" s="21" t="s">
        <v>615</v>
      </c>
      <c r="E168" s="13">
        <v>43033.315150462964</v>
      </c>
      <c r="F168" s="13">
        <v>43033.319502314815</v>
      </c>
      <c r="G168" s="7">
        <v>56</v>
      </c>
      <c r="H168" s="21" t="s">
        <v>1047</v>
      </c>
      <c r="I168" s="13">
        <v>43033.330613425926</v>
      </c>
      <c r="J168" s="7">
        <v>0</v>
      </c>
      <c r="K168" s="89" t="str">
        <f>IF(ISEVEN(B168),(B168-1)&amp;"/"&amp;B168,B168&amp;"/"&amp;(B168+1))</f>
        <v>4023/4024</v>
      </c>
      <c r="L168" s="185" t="str">
        <f>VLOOKUP(A168,'Trips&amp;Operators'!$C$1:$G$99911,5,FALSE)</f>
        <v>LAMAR NEKESHA</v>
      </c>
      <c r="M168" s="6">
        <f>I168-F168</f>
        <v>1.1111111110949423E-2</v>
      </c>
      <c r="N168" s="7">
        <f>24*60*SUM($M168:$M168)</f>
        <v>15.999999999767169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-25T06:33:49-0600',mode:absolute,to:'2017-10-25T08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9.6500000000000002E-2</v>
      </c>
      <c r="Z168" s="204">
        <f>RIGHT(H168,LEN(H168)-4)/10000</f>
        <v>5.8956</v>
      </c>
      <c r="AA168" s="204">
        <f>ABS(Z168-Y168)</f>
        <v>5.7991000000000001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/stypes="app*4024*20171025*" /stext=" 13:.+((SYSTEM_STATE.+slice.+state.+changed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1"/>
        <v>"%USERPROFILE%\Documents\GitHub\eaglep3\Utilities\RefineRTDCRunTimes.py" --tripid 809-25 --locoid 4024 --swversion DE.1.0.9.0 --startMP 204:965 --initTime 2017-10-25T07:33:49 --startdatetime 2017-10-25T07:40:05 --delay 56 --endMP 300:58956 --enddatetime 2017-10-25T07:56:05 --enforcementcount 0 &gt;&gt;%USERPROFILE%\Documents\GitHub\eaglep3-reporting\EC\2017-10-25-refined-times.txt</v>
      </c>
      <c r="AI168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{"issue":{"subject":"","project_id":79,"tracker_id":40,"status_id":1,"priority_id":2,"assigned_to_id":338,"start_date":"2017-10-25","description":"","custom_fields":[{"id":1,"name":"Subdivision","value":"NW"},{"id":4,"name":"Milepost","value":"5.8956"},{"id":17,"name":"Train ID","value":"809-25"},{"id":16,"name":"Locomotive ID","value":"4024"},{"id":130,"name":"Impact","value":""},{"id":150,"name":"Time of Event (Mountain Time)","value":"07:56:05"},{"id":151,"name":"Denver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3"/>
        <v>start /low /b %USERPROFILE%\Documents\GitHub\eaglep3\Utilities\DownloadLogsFromS3.py --loco 4024 --day 2017-10-25</v>
      </c>
      <c r="AN168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13:56:05"},{"id":29,"name":"Sharepoint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25"/>
        <v>https://d0f6bd738d7f1b3e5a7ca70fe4ff75f0.us-east-1.aws.found.io/app/kibana#/discover/Steve-Slow-Train-Analysis-(2080s-and-2083s)?_g=(refreshInterval:(display:Off,pause:!f,section:0,value:0),time:(from:'2017-10-25T06:33:49-0600',mode:absolute,to:'2017-10-25T08:56:05-0600'))&amp;_a=(columns:!('Message%20ID',Summary),filters:!(),index:'emp_*',interval:auto,query:(query_string:(analyze_wildcard:!t,query:'%22rtdc.l.rtdc.4024%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716</v>
      </c>
      <c r="B169" s="7">
        <v>4023</v>
      </c>
      <c r="C169" s="21" t="s">
        <v>194</v>
      </c>
      <c r="D169" s="21" t="s">
        <v>1049</v>
      </c>
      <c r="E169" s="13">
        <v>43033.331817129627</v>
      </c>
      <c r="F169" s="13">
        <v>43033.342557870368</v>
      </c>
      <c r="G169" s="7">
        <v>54</v>
      </c>
      <c r="H169" s="21" t="s">
        <v>1050</v>
      </c>
      <c r="I169" s="13">
        <v>43033.350706018522</v>
      </c>
      <c r="J169" s="7">
        <v>0</v>
      </c>
      <c r="K169" s="89" t="str">
        <f>IF(ISEVEN(B169),(B169-1)&amp;"/"&amp;B169,B169&amp;"/"&amp;(B169+1))</f>
        <v>4023/4024</v>
      </c>
      <c r="L169" s="185" t="str">
        <f>VLOOKUP(A169,'Trips&amp;Operators'!$C$1:$G$99911,5,FALSE)</f>
        <v>LAMAR NEKESHA</v>
      </c>
      <c r="M169" s="6">
        <f>I169-F169</f>
        <v>8.1481481538503431E-3</v>
      </c>
      <c r="N169" s="7">
        <f>24*60*SUM($M169:$M169)</f>
        <v>11.733333341544494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-25T06:57:49-0600',mode:absolute,to:'2017-10-25T09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5.8640999999999996</v>
      </c>
      <c r="Z169" s="204">
        <f>RIGHT(H169,LEN(H169)-4)/10000</f>
        <v>6.7699999999999996E-2</v>
      </c>
      <c r="AA169" s="204">
        <f>ABS(Z169-Y169)</f>
        <v>5.7963999999999993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/stypes="app*4023*20171025*"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1"/>
        <v>"%USERPROFILE%\Documents\GitHub\eaglep3\Utilities\RefineRTDCRunTimes.py" --tripid 810-25 --locoid 4023 --swversion DE.1.0.9.0 --startMP 300:58641 --initTime 2017-10-25T07:57:49 --startdatetime 2017-10-25T08:13:17 --delay 54 --endMP 204:677 --enddatetime 2017-10-25T08:25:01 --enforcementcount 0 &gt;&gt;%USERPROFILE%\Documents\GitHub\eaglep3-reporting\EC\2017-10-25-refined-times.txt</v>
      </c>
      <c r="AI169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{"issue":{"subject":"","project_id":79,"tracker_id":40,"status_id":1,"priority_id":2,"assigned_to_id":338,"start_date":"2017-10-25","description":"","custom_fields":[{"id":1,"name":"Subdivision","value":"NW"},{"id":4,"name":"Milepost","value":"0.0677"},{"id":17,"name":"Train ID","value":"810-25"},{"id":16,"name":"Locomotive ID","value":"4023"},{"id":130,"name":"Impact","value":""},{"id":150,"name":"Time of Event (Mountain Time)","value":"08:25:01"},{"id":151,"name":"Denver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3"/>
        <v>start /low /b %USERPROFILE%\Documents\GitHub\eaglep3\Utilities\DownloadLogsFromS3.py --loco 4023 --day 2017-10-25</v>
      </c>
      <c r="AN169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25"/>
        <v>https://d0f6bd738d7f1b3e5a7ca70fe4ff75f0.us-east-1.aws.found.io/app/kibana#/discover/Steve-Slow-Train-Analysis-(2080s-and-2083s)?_g=(refreshInterval:(display:Off,pause:!f,section:0,value:0),time:(from:'2017-10-25T06:57:49-0600',mode:absolute,to:'2017-10-25T09:25:01-0600'))&amp;_a=(columns:!('Message%20ID',Summary),filters:!(),index:'emp_*',interval:auto,query:(query_string:(analyze_wildcard:!t,query:'%22rtdc.l.rtdc.4023%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717</v>
      </c>
      <c r="B170" s="7">
        <v>4052</v>
      </c>
      <c r="C170" s="21" t="s">
        <v>194</v>
      </c>
      <c r="D170" s="21" t="s">
        <v>1051</v>
      </c>
      <c r="E170" s="13">
        <v>43033.332025462965</v>
      </c>
      <c r="F170" s="13">
        <v>43033.339768518519</v>
      </c>
      <c r="G170" s="7">
        <v>51</v>
      </c>
      <c r="H170" s="21" t="s">
        <v>1052</v>
      </c>
      <c r="I170" s="13">
        <v>43033.349490740744</v>
      </c>
      <c r="J170" s="7">
        <v>0</v>
      </c>
      <c r="K170" s="89" t="str">
        <f>IF(ISEVEN(B170),(B170-1)&amp;"/"&amp;B170,B170&amp;"/"&amp;(B170+1))</f>
        <v>4051/4052</v>
      </c>
      <c r="L170" s="185" t="str">
        <f>VLOOKUP(A170,'Trips&amp;Operators'!$C$1:$G$99911,5,FALSE)</f>
        <v>GEBRETEKLE DAGNEW</v>
      </c>
      <c r="M170" s="6">
        <f>I170-F170</f>
        <v>9.7222222248092294E-3</v>
      </c>
      <c r="N170" s="7">
        <f>24*60*SUM($M170:$M170)</f>
        <v>14.00000000372529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-25T06:58:07-0600',mode:absolute,to:'2017-10-25T09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9.9299999999999999E-2</v>
      </c>
      <c r="Z170" s="204">
        <f>RIGHT(H170,LEN(H170)-4)/10000</f>
        <v>5.8968999999999996</v>
      </c>
      <c r="AA170" s="204">
        <f>ABS(Z170-Y170)</f>
        <v>5.7975999999999992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/stypes="app*4052*20171025*"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1"/>
        <v>"%USERPROFILE%\Documents\GitHub\eaglep3\Utilities\RefineRTDCRunTimes.py" --tripid 811-25 --locoid 4052 --swversion DE.1.0.9.0 --startMP 204:993 --initTime 2017-10-25T07:58:07 --startdatetime 2017-10-25T08:09:16 --delay 51 --endMP 300:58969 --enddatetime 2017-10-25T08:23:16 --enforcementcount 0 &gt;&gt;%USERPROFILE%\Documents\GitHub\eaglep3-reporting\EC\2017-10-25-refined-times.txt</v>
      </c>
      <c r="AI170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{"issue":{"subject":"","project_id":79,"tracker_id":40,"status_id":1,"priority_id":2,"assigned_to_id":338,"start_date":"2017-10-25","description":"","custom_fields":[{"id":1,"name":"Subdivision","value":"NW"},{"id":4,"name":"Milepost","value":"5.8969"},{"id":17,"name":"Train ID","value":"811-25"},{"id":16,"name":"Locomotive ID","value":"4052"},{"id":130,"name":"Impact","value":""},{"id":150,"name":"Time of Event (Mountain Time)","value":"08:23:16"},{"id":151,"name":"Denver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3"/>
        <v>start /low /b %USERPROFILE%\Documents\GitHub\eaglep3\Utilities\DownloadLogsFromS3.py --loco 4052 --day 2017-10-25</v>
      </c>
      <c r="AN170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25"/>
        <v>https://d0f6bd738d7f1b3e5a7ca70fe4ff75f0.us-east-1.aws.found.io/app/kibana#/discover/Steve-Slow-Train-Analysis-(2080s-and-2083s)?_g=(refreshInterval:(display:Off,pause:!f,section:0,value:0),time:(from:'2017-10-25T06:58:07-0600',mode:absolute,to:'2017-10-25T09:23:16-0600'))&amp;_a=(columns:!('Message%20ID',Summary),filters:!(),index:'emp_*',interval:auto,query:(query_string:(analyze_wildcard:!t,query:'%22rtdc.l.rtdc.4052%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720</v>
      </c>
      <c r="B171" s="7">
        <v>4051</v>
      </c>
      <c r="C171" s="21" t="s">
        <v>194</v>
      </c>
      <c r="D171" s="21" t="s">
        <v>607</v>
      </c>
      <c r="E171" s="13">
        <v>43033.351319444446</v>
      </c>
      <c r="F171" s="13">
        <v>43033.362824074073</v>
      </c>
      <c r="G171" s="7">
        <v>56</v>
      </c>
      <c r="H171" s="21" t="s">
        <v>1053</v>
      </c>
      <c r="I171" s="13">
        <v>43033.371249999997</v>
      </c>
      <c r="J171" s="7">
        <v>0</v>
      </c>
      <c r="K171" s="89" t="str">
        <f>IF(ISEVEN(B171),(B171-1)&amp;"/"&amp;B171,B171&amp;"/"&amp;(B171+1))</f>
        <v>4051/4052</v>
      </c>
      <c r="L171" s="185" t="str">
        <f>VLOOKUP(A171,'Trips&amp;Operators'!$C$1:$G$99911,5,FALSE)</f>
        <v>GEBRETEKLE DAGNEW</v>
      </c>
      <c r="M171" s="6">
        <f>I171-F171</f>
        <v>8.4259259238024242E-3</v>
      </c>
      <c r="N171" s="7">
        <f>24*60*SUM($M171:$M171)</f>
        <v>12.133333330275491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-25T07:25:54-0600',mode:absolute,to:'2017-10-25T09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5.8647</v>
      </c>
      <c r="Z171" s="204">
        <f>RIGHT(H171,LEN(H171)-4)/10000</f>
        <v>7.0999999999999994E-2</v>
      </c>
      <c r="AA171" s="204">
        <f>ABS(Z171-Y171)</f>
        <v>5.7937000000000003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/stypes="app*4051*20171025*"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1"/>
        <v>"%USERPROFILE%\Documents\GitHub\eaglep3\Utilities\RefineRTDCRunTimes.py" --tripid 812-25 --locoid 4051 --swversion DE.1.0.9.0 --startMP 300:58647 --initTime 2017-10-25T08:25:54 --startdatetime 2017-10-25T08:42:28 --delay 56 --endMP 204:710 --enddatetime 2017-10-25T08:54:36 --enforcementcount 0 &gt;&gt;%USERPROFILE%\Documents\GitHub\eaglep3-reporting\EC\2017-10-25-refined-times.txt</v>
      </c>
      <c r="AI171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{"issue":{"subject":"","project_id":79,"tracker_id":40,"status_id":1,"priority_id":2,"assigned_to_id":338,"start_date":"2017-10-25","description":"","custom_fields":[{"id":1,"name":"Subdivision","value":"NW"},{"id":4,"name":"Milepost","value":"0.071"},{"id":17,"name":"Train ID","value":"812-25"},{"id":16,"name":"Locomotive ID","value":"4051"},{"id":130,"name":"Impact","value":""},{"id":150,"name":"Time of Event (Mountain Time)","value":"08:54:36"},{"id":151,"name":"Denver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3"/>
        <v>start /low /b %USERPROFILE%\Documents\GitHub\eaglep3\Utilities\DownloadLogsFromS3.py --loco 4051 --day 2017-10-25</v>
      </c>
      <c r="AN171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25"/>
        <v>https://d0f6bd738d7f1b3e5a7ca70fe4ff75f0.us-east-1.aws.found.io/app/kibana#/discover/Steve-Slow-Train-Analysis-(2080s-and-2083s)?_g=(refreshInterval:(display:Off,pause:!f,section:0,value:0),time:(from:'2017-10-25T07:25:54-0600',mode:absolute,to:'2017-10-25T09:54:36-0600'))&amp;_a=(columns:!('Message%20ID',Summary),filters:!(),index:'emp_*',interval:auto,query:(query_string:(analyze_wildcard:!t,query:'%22rtdc.l.rtdc.4051%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728</v>
      </c>
      <c r="B172" s="7">
        <v>4052</v>
      </c>
      <c r="C172" s="21" t="s">
        <v>194</v>
      </c>
      <c r="D172" s="21" t="s">
        <v>1054</v>
      </c>
      <c r="E172" s="13">
        <v>43033.373761574076</v>
      </c>
      <c r="F172" s="13">
        <v>43033.381435185183</v>
      </c>
      <c r="G172" s="7">
        <v>71</v>
      </c>
      <c r="H172" s="21" t="s">
        <v>1055</v>
      </c>
      <c r="I172" s="13">
        <v>43033.390879629631</v>
      </c>
      <c r="J172" s="7">
        <v>0</v>
      </c>
      <c r="K172" s="89" t="str">
        <f>IF(ISEVEN(B172),(B172-1)&amp;"/"&amp;B172,B172&amp;"/"&amp;(B172+1))</f>
        <v>4051/4052</v>
      </c>
      <c r="L172" s="185" t="str">
        <f>VLOOKUP(A172,'Trips&amp;Operators'!$C$1:$G$99911,5,FALSE)</f>
        <v>GEBRETEKLE DAGNEW</v>
      </c>
      <c r="M172" s="6">
        <f>I172-F172</f>
        <v>9.4444444475811906E-3</v>
      </c>
      <c r="N172" s="7">
        <f>24*60*SUM($M172:$M172)</f>
        <v>13.600000004516914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-25T07:58:13-0600',mode:absolute,to:'2017-10-25T10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0.1009</v>
      </c>
      <c r="Z172" s="204">
        <f>RIGHT(H172,LEN(H172)-4)/10000</f>
        <v>5.8964999999999996</v>
      </c>
      <c r="AA172" s="204">
        <f>ABS(Z172-Y172)</f>
        <v>5.7955999999999994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/stypes="app*4052*20171025*"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1"/>
        <v>"%USERPROFILE%\Documents\GitHub\eaglep3\Utilities\RefineRTDCRunTimes.py" --tripid 813-25 --locoid 4052 --swversion DE.1.0.9.0 --startMP 204:1009 --initTime 2017-10-25T08:58:13 --startdatetime 2017-10-25T09:09:16 --delay 71 --endMP 300:58965 --enddatetime 2017-10-25T09:22:52 --enforcementcount 0 &gt;&gt;%USERPROFILE%\Documents\GitHub\eaglep3-reporting\EC\2017-10-25-refined-times.txt</v>
      </c>
      <c r="AI172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{"issue":{"subject":"","project_id":79,"tracker_id":40,"status_id":1,"priority_id":2,"assigned_to_id":338,"start_date":"2017-10-25","description":"","custom_fields":[{"id":1,"name":"Subdivision","value":"NW"},{"id":4,"name":"Milepost","value":"5.8965"},{"id":17,"name":"Train ID","value":"813-25"},{"id":16,"name":"Locomotive ID","value":"4052"},{"id":130,"name":"Impact","value":""},{"id":150,"name":"Time of Event (Mountain Time)","value":"09:22:52"},{"id":151,"name":"Denver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3"/>
        <v>start /low /b %USERPROFILE%\Documents\GitHub\eaglep3\Utilities\DownloadLogsFromS3.py --loco 4052 --day 2017-10-25</v>
      </c>
      <c r="AN172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25"/>
        <v>https://d0f6bd738d7f1b3e5a7ca70fe4ff75f0.us-east-1.aws.found.io/app/kibana#/discover/Steve-Slow-Train-Analysis-(2080s-and-2083s)?_g=(refreshInterval:(display:Off,pause:!f,section:0,value:0),time:(from:'2017-10-25T07:58:13-0600',mode:absolute,to:'2017-10-25T10:22:52-0600'))&amp;_a=(columns:!('Message%20ID',Summary),filters:!(),index:'emp_*',interval:auto,query:(query_string:(analyze_wildcard:!t,query:'%22rtdc.l.rtdc.4052%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732</v>
      </c>
      <c r="B173" s="7">
        <v>4051</v>
      </c>
      <c r="C173" s="21" t="s">
        <v>194</v>
      </c>
      <c r="D173" s="21" t="s">
        <v>1056</v>
      </c>
      <c r="E173" s="13">
        <v>43033.392442129632</v>
      </c>
      <c r="F173" s="13">
        <v>43033.404467592591</v>
      </c>
      <c r="G173" s="7">
        <v>74</v>
      </c>
      <c r="H173" s="21" t="s">
        <v>1057</v>
      </c>
      <c r="I173" s="13">
        <v>43033.412893518522</v>
      </c>
      <c r="J173" s="7">
        <v>0</v>
      </c>
      <c r="K173" s="89" t="str">
        <f>IF(ISEVEN(B173),(B173-1)&amp;"/"&amp;B173,B173&amp;"/"&amp;(B173+1))</f>
        <v>4051/4052</v>
      </c>
      <c r="L173" s="185" t="str">
        <f>VLOOKUP(A173,'Trips&amp;Operators'!$C$1:$G$99911,5,FALSE)</f>
        <v>GEBRETEKLE DAGNEW</v>
      </c>
      <c r="M173" s="6">
        <f>I173-F173</f>
        <v>8.4259259310783818E-3</v>
      </c>
      <c r="N173" s="7">
        <f>24*60*SUM($M173:$M173)</f>
        <v>12.13333334075287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-25T08:25:07-0600',mode:absolute,to:'2017-10-25T10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5.8639999999999999</v>
      </c>
      <c r="Z173" s="204">
        <f>RIGHT(H173,LEN(H173)-4)/10000</f>
        <v>7.1900000000000006E-2</v>
      </c>
      <c r="AA173" s="204">
        <f>ABS(Z173-Y173)</f>
        <v>5.7920999999999996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/stypes="app*4051*20171025*" /stext=" 15:.+((SYSTEM_STATE.+slice.+state.+changed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1"/>
        <v>"%USERPROFILE%\Documents\GitHub\eaglep3\Utilities\RefineRTDCRunTimes.py" --tripid 814-25 --locoid 4051 --swversion DE.1.0.9.0 --startMP 300:58640 --initTime 2017-10-25T09:25:07 --startdatetime 2017-10-25T09:42:26 --delay 74 --endMP 204:719 --enddatetime 2017-10-25T09:54:34 --enforcementcount 0 &gt;&gt;%USERPROFILE%\Documents\GitHub\eaglep3-reporting\EC\2017-10-25-refined-times.txt</v>
      </c>
      <c r="AI173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{"issue":{"subject":"","project_id":79,"tracker_id":40,"status_id":1,"priority_id":2,"assigned_to_id":338,"start_date":"2017-10-25","description":"","custom_fields":[{"id":1,"name":"Subdivision","value":"NW"},{"id":4,"name":"Milepost","value":"0.0719"},{"id":17,"name":"Train ID","value":"814-25"},{"id":16,"name":"Locomotive ID","value":"4051"},{"id":130,"name":"Impact","value":""},{"id":150,"name":"Time of Event (Mountain Time)","value":"09:54:34"},{"id":151,"name":"Denver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3"/>
        <v>start /low /b %USERPROFILE%\Documents\GitHub\eaglep3\Utilities\DownloadLogsFromS3.py --loco 4051 --day 2017-10-25</v>
      </c>
      <c r="AN173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25"/>
        <v>https://d0f6bd738d7f1b3e5a7ca70fe4ff75f0.us-east-1.aws.found.io/app/kibana#/discover/Steve-Slow-Train-Analysis-(2080s-and-2083s)?_g=(refreshInterval:(display:Off,pause:!f,section:0,value:0),time:(from:'2017-10-25T08:25:07-0600',mode:absolute,to:'2017-10-25T10:54:34-0600'))&amp;_a=(columns:!('Message%20ID',Summary),filters:!(),index:'emp_*',interval:auto,query:(query_string:(analyze_wildcard:!t,query:'%22rtdc.l.rtdc.4051%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739</v>
      </c>
      <c r="B174" s="7">
        <v>4052</v>
      </c>
      <c r="C174" s="21" t="s">
        <v>194</v>
      </c>
      <c r="D174" s="21" t="s">
        <v>1058</v>
      </c>
      <c r="E174" s="13">
        <v>43033.416192129633</v>
      </c>
      <c r="F174" s="13">
        <v>43033.423483796294</v>
      </c>
      <c r="G174" s="7">
        <v>57</v>
      </c>
      <c r="H174" s="21" t="s">
        <v>609</v>
      </c>
      <c r="I174" s="13">
        <v>43033.432453703703</v>
      </c>
      <c r="J174" s="7">
        <v>0</v>
      </c>
      <c r="K174" s="89" t="str">
        <f>IF(ISEVEN(B174),(B174-1)&amp;"/"&amp;B174,B174&amp;"/"&amp;(B174+1))</f>
        <v>4051/4052</v>
      </c>
      <c r="L174" s="185" t="str">
        <f>VLOOKUP(A174,'Trips&amp;Operators'!$C$1:$G$99911,5,FALSE)</f>
        <v>GEBRETEKLE DAGNEW</v>
      </c>
      <c r="M174" s="6">
        <f>I174-F174</f>
        <v>8.969907408754807E-3</v>
      </c>
      <c r="N174" s="7">
        <f>24*60*SUM($M174:$M174)</f>
        <v>12.916666668606922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-25T08:59:19-0600',mode:absolute,to:'2017-10-25T11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0.1007</v>
      </c>
      <c r="Z174" s="204">
        <f>RIGHT(H174,LEN(H174)-4)/10000</f>
        <v>5.8973000000000004</v>
      </c>
      <c r="AA174" s="204">
        <f>ABS(Z174-Y174)</f>
        <v>5.7966000000000006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/stypes="app*4052*20171025*" /stext=" 16:.+((SYSTEM_STATE.+slice.+state.+changed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1"/>
        <v>"%USERPROFILE%\Documents\GitHub\eaglep3\Utilities\RefineRTDCRunTimes.py" --tripid 815-25 --locoid 4052 --swversion DE.1.0.9.0 --startMP 204:1007 --initTime 2017-10-25T09:59:19 --startdatetime 2017-10-25T10:09:49 --delay 57 --endMP 300:58973 --enddatetime 2017-10-25T10:22:44 --enforcementcount 0 &gt;&gt;%USERPROFILE%\Documents\GitHub\eaglep3-reporting\EC\2017-10-25-refined-times.txt</v>
      </c>
      <c r="AI174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{"issue":{"subject":"","project_id":79,"tracker_id":40,"status_id":1,"priority_id":2,"assigned_to_id":338,"start_date":"2017-10-25","description":"","custom_fields":[{"id":1,"name":"Subdivision","value":"NW"},{"id":4,"name":"Milepost","value":"5.8973"},{"id":17,"name":"Train ID","value":"815-25"},{"id":16,"name":"Locomotive ID","value":"4052"},{"id":130,"name":"Impact","value":""},{"id":150,"name":"Time of Event (Mountain Time)","value":"10:22:44"},{"id":151,"name":"Denver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3"/>
        <v>start /low /b %USERPROFILE%\Documents\GitHub\eaglep3\Utilities\DownloadLogsFromS3.py --loco 4052 --day 2017-10-25</v>
      </c>
      <c r="AN174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25"/>
        <v>https://d0f6bd738d7f1b3e5a7ca70fe4ff75f0.us-east-1.aws.found.io/app/kibana#/discover/Steve-Slow-Train-Analysis-(2080s-and-2083s)?_g=(refreshInterval:(display:Off,pause:!f,section:0,value:0),time:(from:'2017-10-25T08:59:19-0600',mode:absolute,to:'2017-10-25T11:22:44-0600'))&amp;_a=(columns:!('Message%20ID',Summary),filters:!(),index:'emp_*',interval:auto,query:(query_string:(analyze_wildcard:!t,query:'%22rtdc.l.rtdc.4052%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645</v>
      </c>
      <c r="B175" s="7">
        <v>4051</v>
      </c>
      <c r="C175" s="21" t="s">
        <v>194</v>
      </c>
      <c r="D175" s="21" t="s">
        <v>1035</v>
      </c>
      <c r="E175" s="13">
        <v>43033.433576388888</v>
      </c>
      <c r="F175" s="13">
        <v>43033.446643518517</v>
      </c>
      <c r="G175" s="7">
        <v>56</v>
      </c>
      <c r="H175" s="21" t="s">
        <v>1048</v>
      </c>
      <c r="I175" s="13">
        <v>43033.455358796295</v>
      </c>
      <c r="J175" s="7">
        <v>0</v>
      </c>
      <c r="K175" s="89" t="str">
        <f>IF(ISEVEN(B175),(B175-1)&amp;"/"&amp;B175,B175&amp;"/"&amp;(B175+1))</f>
        <v>4051/4052</v>
      </c>
      <c r="L175" s="185" t="str">
        <f>VLOOKUP(A175,'Trips&amp;Operators'!$C$1:$G$99911,5,FALSE)</f>
        <v>GEBRETEKLE DAGNEW</v>
      </c>
      <c r="M175" s="6">
        <f>I175-F175</f>
        <v>8.7152777778101154E-3</v>
      </c>
      <c r="N175" s="7">
        <f>24*60*SUM($M175:$M175)</f>
        <v>12.550000000046566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-25T09:24:21-0600',mode:absolute,to:'2017-10-25T11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5.8659999999999997</v>
      </c>
      <c r="Z175" s="204">
        <f>RIGHT(H175,LEN(H175)-4)/10000</f>
        <v>7.2599999999999998E-2</v>
      </c>
      <c r="AA175" s="204">
        <f>ABS(Z175-Y175)</f>
        <v>5.7934000000000001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/stypes="app*4051*20171025*" /stext=" 16:.+((SYSTEM_STATE.+slice.+state.+changed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1"/>
        <v>"%USERPROFILE%\Documents\GitHub\eaglep3\Utilities\RefineRTDCRunTimes.py" --tripid 816-25 --locoid 4051 --swversion DE.1.0.9.0 --startMP 300:58660 --initTime 2017-10-25T10:24:21 --startdatetime 2017-10-25T10:43:10 --delay 56 --endMP 204:726 --enddatetime 2017-10-25T10:55:43 --enforcementcount 0 &gt;&gt;%USERPROFILE%\Documents\GitHub\eaglep3-reporting\EC\2017-10-25-refined-times.txt</v>
      </c>
      <c r="AI175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{"issue":{"subject":"","project_id":79,"tracker_id":40,"status_id":1,"priority_id":2,"assigned_to_id":338,"start_date":"2017-10-25","description":"","custom_fields":[{"id":1,"name":"Subdivision","value":"NW"},{"id":4,"name":"Milepost","value":"0.0726"},{"id":17,"name":"Train ID","value":"816-25"},{"id":16,"name":"Locomotive ID","value":"4051"},{"id":130,"name":"Impact","value":""},{"id":150,"name":"Time of Event (Mountain Time)","value":"10:55:43"},{"id":151,"name":"Denver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3"/>
        <v>start /low /b %USERPROFILE%\Documents\GitHub\eaglep3\Utilities\DownloadLogsFromS3.py --loco 4051 --day 2017-10-25</v>
      </c>
      <c r="AN175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25"/>
        <v>https://d0f6bd738d7f1b3e5a7ca70fe4ff75f0.us-east-1.aws.found.io/app/kibana#/discover/Steve-Slow-Train-Analysis-(2080s-and-2083s)?_g=(refreshInterval:(display:Off,pause:!f,section:0,value:0),time:(from:'2017-10-25T09:24:21-0600',mode:absolute,to:'2017-10-25T11:55:43-0600'))&amp;_a=(columns:!('Message%20ID',Summary),filters:!(),index:'emp_*',interval:auto,query:(query_string:(analyze_wildcard:!t,query:'%22rtdc.l.rtdc.4051%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748</v>
      </c>
      <c r="B176" s="7">
        <v>4052</v>
      </c>
      <c r="C176" s="21" t="s">
        <v>194</v>
      </c>
      <c r="D176" s="21" t="s">
        <v>1059</v>
      </c>
      <c r="E176" s="13">
        <v>43033.459050925929</v>
      </c>
      <c r="F176" s="13">
        <v>43033.464895833335</v>
      </c>
      <c r="G176" s="7">
        <v>53</v>
      </c>
      <c r="H176" s="21" t="s">
        <v>616</v>
      </c>
      <c r="I176" s="13">
        <v>43033.474282407406</v>
      </c>
      <c r="J176" s="7">
        <v>0</v>
      </c>
      <c r="K176" s="89" t="str">
        <f>IF(ISEVEN(B176),(B176-1)&amp;"/"&amp;B176,B176&amp;"/"&amp;(B176+1))</f>
        <v>4051/4052</v>
      </c>
      <c r="L176" s="185" t="str">
        <f>VLOOKUP(A176,'Trips&amp;Operators'!$C$1:$G$99911,5,FALSE)</f>
        <v>GEBRETEKLE DAGNEW</v>
      </c>
      <c r="M176" s="6">
        <f>I176-F176</f>
        <v>9.3865740709588863E-3</v>
      </c>
      <c r="N176" s="7">
        <f>24*60*SUM($M176:$M176)</f>
        <v>13.516666662180796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-25T10:01:02-0600',mode:absolute,to:'2017-10-25T12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0.1014</v>
      </c>
      <c r="Z176" s="204">
        <f>RIGHT(H176,LEN(H176)-4)/10000</f>
        <v>5.8963000000000001</v>
      </c>
      <c r="AA176" s="204">
        <f>ABS(Z176-Y176)</f>
        <v>5.7949000000000002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/stypes="app*4052*20171025*" /stext=" 17:.+((SYSTEM_STATE.+slice.+state.+changed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1"/>
        <v>"%USERPROFILE%\Documents\GitHub\eaglep3\Utilities\RefineRTDCRunTimes.py" --tripid 817-25 --locoid 4052 --swversion DE.1.0.9.0 --startMP 204:1014 --initTime 2017-10-25T11:01:02 --startdatetime 2017-10-25T11:09:27 --delay 53 --endMP 300:58963 --enddatetime 2017-10-25T11:22:58 --enforcementcount 0 &gt;&gt;%USERPROFILE%\Documents\GitHub\eaglep3-reporting\EC\2017-10-25-refined-times.txt</v>
      </c>
      <c r="AI176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{"issue":{"subject":"","project_id":79,"tracker_id":40,"status_id":1,"priority_id":2,"assigned_to_id":338,"start_date":"2017-10-25","description":"","custom_fields":[{"id":1,"name":"Subdivision","value":"NW"},{"id":4,"name":"Milepost","value":"5.8963"},{"id":17,"name":"Train ID","value":"817-25"},{"id":16,"name":"Locomotive ID","value":"4052"},{"id":130,"name":"Impact","value":""},{"id":150,"name":"Time of Event (Mountain Time)","value":"11:22:58"},{"id":151,"name":"Denver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23"/>
        <v>start /low /b %USERPROFILE%\Documents\GitHub\eaglep3\Utilities\DownloadLogsFromS3.py --loco 4052 --day 2017-10-25</v>
      </c>
      <c r="AN176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25"/>
        <v>https://d0f6bd738d7f1b3e5a7ca70fe4ff75f0.us-east-1.aws.found.io/app/kibana#/discover/Steve-Slow-Train-Analysis-(2080s-and-2083s)?_g=(refreshInterval:(display:Off,pause:!f,section:0,value:0),time:(from:'2017-10-25T10:01:02-0600',mode:absolute,to:'2017-10-25T12:22:58-0600'))&amp;_a=(columns:!('Message%20ID',Summary),filters:!(),index:'emp_*',interval:auto,query:(query_string:(analyze_wildcard:!t,query:'%22rtdc.l.rtdc.4052%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753</v>
      </c>
      <c r="B177" s="7">
        <v>4051</v>
      </c>
      <c r="C177" s="21" t="s">
        <v>194</v>
      </c>
      <c r="D177" s="21" t="s">
        <v>607</v>
      </c>
      <c r="E177" s="13">
        <v>43033.475648148145</v>
      </c>
      <c r="F177" s="13">
        <v>43033.488344907404</v>
      </c>
      <c r="G177" s="7">
        <v>51</v>
      </c>
      <c r="H177" s="21" t="s">
        <v>1060</v>
      </c>
      <c r="I177" s="13">
        <v>43033.496412037035</v>
      </c>
      <c r="J177" s="7">
        <v>0</v>
      </c>
      <c r="K177" s="89" t="str">
        <f>IF(ISEVEN(B177),(B177-1)&amp;"/"&amp;B177,B177&amp;"/"&amp;(B177+1))</f>
        <v>4051/4052</v>
      </c>
      <c r="L177" s="185" t="str">
        <f>VLOOKUP(A177,'Trips&amp;Operators'!$C$1:$G$99911,5,FALSE)</f>
        <v>GEBRETEKLE DAGNEW</v>
      </c>
      <c r="M177" s="6">
        <f>I177-F177</f>
        <v>8.0671296309446916E-3</v>
      </c>
      <c r="N177" s="7">
        <f>24*60*SUM($M177:$M177)</f>
        <v>11.616666668560356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-25T10:24:56-0600',mode:absolute,to:'2017-10-25T12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5.8647</v>
      </c>
      <c r="Z177" s="204">
        <f>RIGHT(H177,LEN(H177)-4)/10000</f>
        <v>7.3599999999999999E-2</v>
      </c>
      <c r="AA177" s="204">
        <f>ABS(Z177-Y177)</f>
        <v>5.7911000000000001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/stypes="app*4051*20171025*" /stext=" 17:.+((SYSTEM_STATE.+slice.+state.+changed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21"/>
        <v>"%USERPROFILE%\Documents\GitHub\eaglep3\Utilities\RefineRTDCRunTimes.py" --tripid 818-25 --locoid 4051 --swversion DE.1.0.9.0 --startMP 300:58647 --initTime 2017-10-25T11:24:56 --startdatetime 2017-10-25T11:43:13 --delay 51 --endMP 204:736 --enddatetime 2017-10-25T11:54:50 --enforcementcount 0 &gt;&gt;%USERPROFILE%\Documents\GitHub\eaglep3-reporting\EC\2017-10-25-refined-times.txt</v>
      </c>
      <c r="AI177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{"issue":{"subject":"","project_id":79,"tracker_id":40,"status_id":1,"priority_id":2,"assigned_to_id":338,"start_date":"2017-10-25","description":"","custom_fields":[{"id":1,"name":"Subdivision","value":"NW"},{"id":4,"name":"Milepost","value":"0.0736"},{"id":17,"name":"Train ID","value":"818-25"},{"id":16,"name":"Locomotive ID","value":"4051"},{"id":130,"name":"Impact","value":""},{"id":150,"name":"Time of Event (Mountain Time)","value":"11:54:50"},{"id":151,"name":"Denver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23"/>
        <v>start /low /b %USERPROFILE%\Documents\GitHub\eaglep3\Utilities\DownloadLogsFromS3.py --loco 4051 --day 2017-10-25</v>
      </c>
      <c r="AN177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25"/>
        <v>https://d0f6bd738d7f1b3e5a7ca70fe4ff75f0.us-east-1.aws.found.io/app/kibana#/discover/Steve-Slow-Train-Analysis-(2080s-and-2083s)?_g=(refreshInterval:(display:Off,pause:!f,section:0,value:0),time:(from:'2017-10-25T10:24:56-0600',mode:absolute,to:'2017-10-25T12:54:50-0600'))&amp;_a=(columns:!('Message%20ID',Summary),filters:!(),index:'emp_*',interval:auto,query:(query_string:(analyze_wildcard:!t,query:'%22rtdc.l.rtdc.4051%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758</v>
      </c>
      <c r="B178" s="7">
        <v>4052</v>
      </c>
      <c r="C178" s="21" t="s">
        <v>194</v>
      </c>
      <c r="D178" s="21" t="s">
        <v>1061</v>
      </c>
      <c r="E178" s="13">
        <v>43033.498749999999</v>
      </c>
      <c r="F178" s="13">
        <v>43033.506793981483</v>
      </c>
      <c r="G178" s="7">
        <v>50</v>
      </c>
      <c r="H178" s="21" t="s">
        <v>1062</v>
      </c>
      <c r="I178" s="13">
        <v>43033.516087962962</v>
      </c>
      <c r="J178" s="7">
        <v>0</v>
      </c>
      <c r="K178" s="89" t="str">
        <f>IF(ISEVEN(B178),(B178-1)&amp;"/"&amp;B178,B178&amp;"/"&amp;(B178+1))</f>
        <v>4051/4052</v>
      </c>
      <c r="L178" s="185" t="str">
        <f>VLOOKUP(A178,'Trips&amp;Operators'!$C$1:$G$99911,5,FALSE)</f>
        <v>GEBRETEKLE DAGNEW</v>
      </c>
      <c r="M178" s="6">
        <f>I178-F178</f>
        <v>9.29398147854954E-3</v>
      </c>
      <c r="N178" s="7">
        <f>24*60*SUM($M178:$M178)</f>
        <v>13.383333329111338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-25T10:58:12-0600',mode:absolute,to:'2017-10-25T13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0.1053</v>
      </c>
      <c r="Z178" s="204">
        <f>RIGHT(H178,LEN(H178)-4)/10000</f>
        <v>5.8971</v>
      </c>
      <c r="AA178" s="204">
        <f>ABS(Z178-Y178)</f>
        <v>5.7918000000000003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/stypes="app*4052*20171025*" /stext=" 18:.+((SYSTEM_STATE.+slice.+state.+changed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1"/>
        <v>"%USERPROFILE%\Documents\GitHub\eaglep3\Utilities\RefineRTDCRunTimes.py" --tripid 819-25 --locoid 4052 --swversion DE.1.0.9.0 --startMP 204:1053 --initTime 2017-10-25T11:58:12 --startdatetime 2017-10-25T12:09:47 --delay 50 --endMP 300:58971 --enddatetime 2017-10-25T12:23:10 --enforcementcount 0 &gt;&gt;%USERPROFILE%\Documents\GitHub\eaglep3-reporting\EC\2017-10-25-refined-times.txt</v>
      </c>
      <c r="AI178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{"issue":{"subject":"","project_id":79,"tracker_id":40,"status_id":1,"priority_id":2,"assigned_to_id":338,"start_date":"2017-10-25","description":"","custom_fields":[{"id":1,"name":"Subdivision","value":"NW"},{"id":4,"name":"Milepost","value":"5.8971"},{"id":17,"name":"Train ID","value":"819-25"},{"id":16,"name":"Locomotive ID","value":"4052"},{"id":130,"name":"Impact","value":""},{"id":150,"name":"Time of Event (Mountain Time)","value":"12:23:10"},{"id":151,"name":"Denver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3"/>
        <v>start /low /b %USERPROFILE%\Documents\GitHub\eaglep3\Utilities\DownloadLogsFromS3.py --loco 4052 --day 2017-10-25</v>
      </c>
      <c r="AN178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25"/>
        <v>https://d0f6bd738d7f1b3e5a7ca70fe4ff75f0.us-east-1.aws.found.io/app/kibana#/discover/Steve-Slow-Train-Analysis-(2080s-and-2083s)?_g=(refreshInterval:(display:Off,pause:!f,section:0,value:0),time:(from:'2017-10-25T10:58:12-0600',mode:absolute,to:'2017-10-25T13:23:10-0600'))&amp;_a=(columns:!('Message%20ID',Summary),filters:!(),index:'emp_*',interval:auto,query:(query_string:(analyze_wildcard:!t,query:'%22rtdc.l.rtdc.4052%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763</v>
      </c>
      <c r="B179" s="7">
        <v>4051</v>
      </c>
      <c r="C179" s="21" t="s">
        <v>194</v>
      </c>
      <c r="D179" s="21" t="s">
        <v>607</v>
      </c>
      <c r="E179" s="13">
        <v>43033.51767361111</v>
      </c>
      <c r="F179" s="13">
        <v>43033.529699074075</v>
      </c>
      <c r="G179" s="7">
        <v>60</v>
      </c>
      <c r="H179" s="21" t="s">
        <v>1039</v>
      </c>
      <c r="I179" s="13">
        <v>43033.537800925929</v>
      </c>
      <c r="J179" s="7">
        <v>0</v>
      </c>
      <c r="K179" s="89" t="str">
        <f>IF(ISEVEN(B179),(B179-1)&amp;"/"&amp;B179,B179&amp;"/"&amp;(B179+1))</f>
        <v>4051/4052</v>
      </c>
      <c r="L179" s="185" t="str">
        <f>VLOOKUP(A179,'Trips&amp;Operators'!$C$1:$G$99911,5,FALSE)</f>
        <v>GEBRETEKLE DAGNEW</v>
      </c>
      <c r="M179" s="6">
        <f>I179-F179</f>
        <v>8.1018518540076911E-3</v>
      </c>
      <c r="N179" s="7">
        <f>24*60*SUM($M179:$M179)</f>
        <v>11.666666669771075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-25T11:25:27-0600',mode:absolute,to:'2017-10-25T13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5.8647</v>
      </c>
      <c r="Z179" s="204">
        <f>RIGHT(H179,LEN(H179)-4)/10000</f>
        <v>6.9900000000000004E-2</v>
      </c>
      <c r="AA179" s="204">
        <f>ABS(Z179-Y179)</f>
        <v>5.7948000000000004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/stypes="app*4051*20171025*" /stext=" 18:.+((SYSTEM_STATE.+slice.+state.+changed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1"/>
        <v>"%USERPROFILE%\Documents\GitHub\eaglep3\Utilities\RefineRTDCRunTimes.py" --tripid 820-25 --locoid 4051 --swversion DE.1.0.9.0 --startMP 300:58647 --initTime 2017-10-25T12:25:27 --startdatetime 2017-10-25T12:42:46 --delay 60 --endMP 204:699 --enddatetime 2017-10-25T12:54:26 --enforcementcount 0 &gt;&gt;%USERPROFILE%\Documents\GitHub\eaglep3-reporting\EC\2017-10-25-refined-times.txt</v>
      </c>
      <c r="AI179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{"issue":{"subject":"","project_id":79,"tracker_id":40,"status_id":1,"priority_id":2,"assigned_to_id":338,"start_date":"2017-10-25","description":"","custom_fields":[{"id":1,"name":"Subdivision","value":"NW"},{"id":4,"name":"Milepost","value":"0.0699"},{"id":17,"name":"Train ID","value":"820-25"},{"id":16,"name":"Locomotive ID","value":"4051"},{"id":130,"name":"Impact","value":""},{"id":150,"name":"Time of Event (Mountain Time)","value":"12:54:26"},{"id":151,"name":"Denver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3"/>
        <v>start /low /b %USERPROFILE%\Documents\GitHub\eaglep3\Utilities\DownloadLogsFromS3.py --loco 4051 --day 2017-10-25</v>
      </c>
      <c r="AN179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25"/>
        <v>https://d0f6bd738d7f1b3e5a7ca70fe4ff75f0.us-east-1.aws.found.io/app/kibana#/discover/Steve-Slow-Train-Analysis-(2080s-and-2083s)?_g=(refreshInterval:(display:Off,pause:!f,section:0,value:0),time:(from:'2017-10-25T11:25:27-0600',mode:absolute,to:'2017-10-25T13:54:26-0600'))&amp;_a=(columns:!('Message%20ID',Summary),filters:!(),index:'emp_*',interval:auto,query:(query_string:(analyze_wildcard:!t,query:'%22rtdc.l.rtdc.4051%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648</v>
      </c>
      <c r="B180" s="7">
        <v>4052</v>
      </c>
      <c r="C180" s="21" t="s">
        <v>194</v>
      </c>
      <c r="D180" s="21" t="s">
        <v>1063</v>
      </c>
      <c r="E180" s="13">
        <v>43033.549340277779</v>
      </c>
      <c r="F180" s="13">
        <v>43033.550370370373</v>
      </c>
      <c r="G180" s="7">
        <v>39</v>
      </c>
      <c r="H180" s="21" t="s">
        <v>1047</v>
      </c>
      <c r="I180" s="13">
        <v>43033.559988425928</v>
      </c>
      <c r="J180" s="7">
        <v>0</v>
      </c>
      <c r="K180" s="89" t="str">
        <f>IF(ISEVEN(B180),(B180-1)&amp;"/"&amp;B180,B180&amp;"/"&amp;(B180+1))</f>
        <v>4051/4052</v>
      </c>
      <c r="L180" s="185" t="str">
        <f>VLOOKUP(A180,'Trips&amp;Operators'!$C$1:$G$99911,5,FALSE)</f>
        <v>LEVERE CRAIG</v>
      </c>
      <c r="M180" s="6">
        <f>I180-F180</f>
        <v>9.6180555556202307E-3</v>
      </c>
      <c r="N180" s="7">
        <f>24*60*SUM($M180:$M180)</f>
        <v>13.850000000093132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-25T12:11:03-0600',mode:absolute,to:'2017-10-25T14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0.1908</v>
      </c>
      <c r="Z180" s="204">
        <f>RIGHT(H180,LEN(H180)-4)/10000</f>
        <v>5.8956</v>
      </c>
      <c r="AA180" s="204">
        <f>ABS(Z180-Y180)</f>
        <v>5.7047999999999996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/stypes="app*4052*20171025*" /stext=" 19:.+((SYSTEM_STATE.+slice.+state.+changed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1"/>
        <v>"%USERPROFILE%\Documents\GitHub\eaglep3\Utilities\RefineRTDCRunTimes.py" --tripid 821-25 --locoid 4052 --swversion DE.1.0.9.0 --startMP 204:1908 --initTime 2017-10-25T13:11:03 --startdatetime 2017-10-25T13:12:32 --delay 39 --endMP 300:58956 --enddatetime 2017-10-25T13:26:23 --enforcementcount 0 &gt;&gt;%USERPROFILE%\Documents\GitHub\eaglep3-reporting\EC\2017-10-25-refined-times.txt</v>
      </c>
      <c r="AI180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{"issue":{"subject":"","project_id":79,"tracker_id":40,"status_id":1,"priority_id":2,"assigned_to_id":338,"start_date":"2017-10-25","description":"","custom_fields":[{"id":1,"name":"Subdivision","value":"NW"},{"id":4,"name":"Milepost","value":"5.8956"},{"id":17,"name":"Train ID","value":"821-25"},{"id":16,"name":"Locomotive ID","value":"4052"},{"id":130,"name":"Impact","value":""},{"id":150,"name":"Time of Event (Mountain Time)","value":"13:26:23"},{"id":151,"name":"Denver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3"/>
        <v>start /low /b %USERPROFILE%\Documents\GitHub\eaglep3\Utilities\DownloadLogsFromS3.py --loco 4052 --day 2017-10-25</v>
      </c>
      <c r="AN180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25"/>
        <v>https://d0f6bd738d7f1b3e5a7ca70fe4ff75f0.us-east-1.aws.found.io/app/kibana#/discover/Steve-Slow-Train-Analysis-(2080s-and-2083s)?_g=(refreshInterval:(display:Off,pause:!f,section:0,value:0),time:(from:'2017-10-25T12:11:03-0600',mode:absolute,to:'2017-10-25T14:26:23-0600'))&amp;_a=(columns:!('Message%20ID',Summary),filters:!(),index:'emp_*',interval:auto,query:(query_string:(analyze_wildcard:!t,query:'%22rtdc.l.rtdc.4052%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648</v>
      </c>
      <c r="B181" s="7">
        <v>4052</v>
      </c>
      <c r="C181" s="21" t="s">
        <v>194</v>
      </c>
      <c r="D181" s="21" t="s">
        <v>1064</v>
      </c>
      <c r="E181" s="13">
        <v>43033.543379629627</v>
      </c>
      <c r="F181" s="13">
        <v>43033.550370370373</v>
      </c>
      <c r="G181" s="7">
        <v>166</v>
      </c>
      <c r="H181" s="21" t="s">
        <v>1065</v>
      </c>
      <c r="I181" s="13">
        <v>43033.559988425928</v>
      </c>
      <c r="J181" s="7">
        <v>0</v>
      </c>
      <c r="K181" s="89" t="str">
        <f>IF(ISEVEN(B181),(B181-1)&amp;"/"&amp;B181,B181&amp;"/"&amp;(B181+1))</f>
        <v>4051/4052</v>
      </c>
      <c r="L181" s="185" t="str">
        <f>VLOOKUP(A181,'Trips&amp;Operators'!$C$1:$G$99911,5,FALSE)</f>
        <v>LEVERE CRAIG</v>
      </c>
      <c r="M181" s="6">
        <f>I181-F181</f>
        <v>9.6180555556202307E-3</v>
      </c>
      <c r="N181" s="7"/>
      <c r="O181" s="7"/>
      <c r="P181" s="7"/>
      <c r="Q181" s="22"/>
      <c r="R181" s="174"/>
      <c r="S181" s="221"/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-25T12:02:28-0600',mode:absolute,to:'2017-10-25T14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1" s="204" t="str">
        <f>IF(AA181&lt;VLOOKUP(AG181,Variables!$AC$3:$AD$8,2,FALSE),"Y","N")</f>
        <v>Y</v>
      </c>
      <c r="X181" s="204">
        <f>VALUE(LEFT(AD181,4))-VALUE(LEFT(AD180,4))</f>
        <v>0</v>
      </c>
      <c r="Y181" s="204">
        <f>RIGHT(D181,LEN(D181)-4)/10000</f>
        <v>0.1021</v>
      </c>
      <c r="Z181" s="204">
        <f>RIGHT(H181,LEN(H181)-4)/10000</f>
        <v>0.19120000000000001</v>
      </c>
      <c r="AA181" s="204">
        <f>ABS(Z181-Y181)</f>
        <v>8.9100000000000013E-2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821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/stypes="app*4052*20171025*" /stext=" 19:.+((SYSTEM_STATE.+slice.+state.+changed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21"/>
        <v>"%USERPROFILE%\Documents\GitHub\eaglep3\Utilities\RefineRTDCRunTimes.py" --tripid 821-25 --locoid 4052 --swversion DE.1.0.9.0 --startMP 204:1021 --initTime 2017-10-25T13:02:28 --startdatetime 2017-10-25T13:12:32 --delay 166 --endMP 204:1912 --enddatetime 2017-10-25T13:26:23 --enforcementcount 0 &gt;&gt;%USERPROFILE%\Documents\GitHub\eaglep3-reporting\EC\2017-10-25-refined-times.txt</v>
      </c>
      <c r="AI181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{"issue":{"subject":"","project_id":79,"tracker_id":40,"status_id":1,"priority_id":2,"assigned_to_id":338,"start_date":"2017-10-25","description":"","custom_fields":[{"id":1,"name":"Subdivision","value":"NW"},{"id":4,"name":"Milepost","value":"0.1912"},{"id":17,"name":"Train ID","value":"821-25"},{"id":16,"name":"Locomotive ID","value":"4052"},{"id":130,"name":"Impact","value":""},{"id":150,"name":"Time of Event (Mountain Time)","value":"13:26:23"},{"id":151,"name":"Denver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23"/>
        <v>start /low /b %USERPROFILE%\Documents\GitHub\eaglep3\Utilities\DownloadLogsFromS3.py --loco 4052 --day 2017-10-25</v>
      </c>
      <c r="AN181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25"/>
        <v>https://d0f6bd738d7f1b3e5a7ca70fe4ff75f0.us-east-1.aws.found.io/app/kibana#/discover/Steve-Slow-Train-Analysis-(2080s-and-2083s)?_g=(refreshInterval:(display:Off,pause:!f,section:0,value:0),time:(from:'2017-10-25T12:02:28-0600',mode:absolute,to:'2017-10-25T14:26:23-0600'))&amp;_a=(columns:!('Message%20ID',Summary),filters:!(),index:'emp_*',interval:auto,query:(query_string:(analyze_wildcard:!t,query:'%22rtdc.l.rtdc.4052%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772</v>
      </c>
      <c r="B182" s="7">
        <v>4051</v>
      </c>
      <c r="C182" s="21" t="s">
        <v>194</v>
      </c>
      <c r="D182" s="21" t="s">
        <v>1049</v>
      </c>
      <c r="E182" s="13">
        <v>43033.564710648148</v>
      </c>
      <c r="F182" s="13">
        <v>43033.571597222224</v>
      </c>
      <c r="G182" s="7">
        <v>82</v>
      </c>
      <c r="H182" s="21" t="s">
        <v>1050</v>
      </c>
      <c r="I182" s="13">
        <v>43033.580833333333</v>
      </c>
      <c r="J182" s="7">
        <v>0</v>
      </c>
      <c r="K182" s="89" t="str">
        <f>IF(ISEVEN(B182),(B182-1)&amp;"/"&amp;B182,B182&amp;"/"&amp;(B182+1))</f>
        <v>4051/4052</v>
      </c>
      <c r="L182" s="185" t="str">
        <f>VLOOKUP(A182,'Trips&amp;Operators'!$C$1:$G$99911,5,FALSE)</f>
        <v>LEVERE CRAIG</v>
      </c>
      <c r="M182" s="6">
        <f>I182-F182</f>
        <v>9.2361111092031933E-3</v>
      </c>
      <c r="N182" s="7">
        <f>24*60*SUM($M182:$M182)</f>
        <v>13.299999997252598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-25T12:33:11-0600',mode:absolute,to:'2017-10-25T14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5.8640999999999996</v>
      </c>
      <c r="Z182" s="204">
        <f>RIGHT(H182,LEN(H182)-4)/10000</f>
        <v>6.7699999999999996E-2</v>
      </c>
      <c r="AA182" s="204">
        <f>ABS(Z182-Y182)</f>
        <v>5.7963999999999993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822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/stypes="app*4051*20171025*" /stext=" 19:.+((SYSTEM_STATE.+slice.+state.+changed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21"/>
        <v>"%USERPROFILE%\Documents\GitHub\eaglep3\Utilities\RefineRTDCRunTimes.py" --tripid 822-25 --locoid 4051 --swversion DE.1.0.9.0 --startMP 300:58641 --initTime 2017-10-25T13:33:11 --startdatetime 2017-10-25T13:43:06 --delay 82 --endMP 204:677 --enddatetime 2017-10-25T13:56:24 --enforcementcount 0 &gt;&gt;%USERPROFILE%\Documents\GitHub\eaglep3-reporting\EC\2017-10-25-refined-times.txt</v>
      </c>
      <c r="AI182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{"issue":{"subject":"","project_id":79,"tracker_id":40,"status_id":1,"priority_id":2,"assigned_to_id":338,"start_date":"2017-10-25","description":"","custom_fields":[{"id":1,"name":"Subdivision","value":"NW"},{"id":4,"name":"Milepost","value":"0.0677"},{"id":17,"name":"Train ID","value":"822-25"},{"id":16,"name":"Locomotive ID","value":"4051"},{"id":130,"name":"Impact","value":""},{"id":150,"name":"Time of Event (Mountain Time)","value":"13:56:24"},{"id":151,"name":"Denver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23"/>
        <v>start /low /b %USERPROFILE%\Documents\GitHub\eaglep3\Utilities\DownloadLogsFromS3.py --loco 4051 --day 2017-10-25</v>
      </c>
      <c r="AN182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25"/>
        <v>https://d0f6bd738d7f1b3e5a7ca70fe4ff75f0.us-east-1.aws.found.io/app/kibana#/discover/Steve-Slow-Train-Analysis-(2080s-and-2083s)?_g=(refreshInterval:(display:Off,pause:!f,section:0,value:0),time:(from:'2017-10-25T12:33:11-0600',mode:absolute,to:'2017-10-25T14:56:24-0600'))&amp;_a=(columns:!('Message%20ID',Summary),filters:!(),index:'emp_*',interval:auto,query:(query_string:(analyze_wildcard:!t,query:'%22rtdc.l.rtdc.4051%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777</v>
      </c>
      <c r="B183" s="7">
        <v>4052</v>
      </c>
      <c r="C183" s="21" t="s">
        <v>194</v>
      </c>
      <c r="D183" s="21" t="s">
        <v>1066</v>
      </c>
      <c r="E183" s="13">
        <v>43033.587916666664</v>
      </c>
      <c r="F183" s="13">
        <v>43033.589837962965</v>
      </c>
      <c r="G183" s="7">
        <v>59</v>
      </c>
      <c r="H183" s="21" t="s">
        <v>1067</v>
      </c>
      <c r="I183" s="13">
        <v>43033.600601851853</v>
      </c>
      <c r="J183" s="7">
        <v>0</v>
      </c>
      <c r="K183" s="89" t="str">
        <f>IF(ISEVEN(B183),(B183-1)&amp;"/"&amp;B183,B183&amp;"/"&amp;(B183+1))</f>
        <v>4051/4052</v>
      </c>
      <c r="L183" s="185" t="str">
        <f>VLOOKUP(A183,'Trips&amp;Operators'!$C$1:$G$99911,5,FALSE)</f>
        <v>LEVERE CRAIG</v>
      </c>
      <c r="M183" s="6">
        <f>I183-F183</f>
        <v>1.0763888887595385E-2</v>
      </c>
      <c r="N183" s="7">
        <f>24*60*SUM($M183:$M183)</f>
        <v>15.499999998137355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-25T13:06:36-0600',mode:absolute,to:'2017-10-25T15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9.8299999999999998E-2</v>
      </c>
      <c r="Z183" s="204">
        <f>RIGHT(H183,LEN(H183)-4)/10000</f>
        <v>5.8959999999999999</v>
      </c>
      <c r="AA183" s="204">
        <f>ABS(Z183-Y183)</f>
        <v>5.7976999999999999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823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/stypes="app*4052*20171025*" /stext=" 20:.+((SYSTEM_STATE.+slice.+state.+changed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1"/>
        <v>"%USERPROFILE%\Documents\GitHub\eaglep3\Utilities\RefineRTDCRunTimes.py" --tripid 823-25 --locoid 4052 --swversion DE.1.0.9.0 --startMP 204:983 --initTime 2017-10-25T14:06:36 --startdatetime 2017-10-25T14:09:22 --delay 59 --endMP 300:58960 --enddatetime 2017-10-25T14:24:52 --enforcementcount 0 &gt;&gt;%USERPROFILE%\Documents\GitHub\eaglep3-reporting\EC\2017-10-25-refined-times.txt</v>
      </c>
      <c r="AI183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{"issue":{"subject":"","project_id":79,"tracker_id":40,"status_id":1,"priority_id":2,"assigned_to_id":338,"start_date":"2017-10-25","description":"","custom_fields":[{"id":1,"name":"Subdivision","value":"NW"},{"id":4,"name":"Milepost","value":"5.896"},{"id":17,"name":"Train ID","value":"823-25"},{"id":16,"name":"Locomotive ID","value":"4052"},{"id":130,"name":"Impact","value":""},{"id":150,"name":"Time of Event (Mountain Time)","value":"14:24:52"},{"id":151,"name":"Denver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3"/>
        <v>start /low /b %USERPROFILE%\Documents\GitHub\eaglep3\Utilities\DownloadLogsFromS3.py --loco 4052 --day 2017-10-25</v>
      </c>
      <c r="AN183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25"/>
        <v>https://d0f6bd738d7f1b3e5a7ca70fe4ff75f0.us-east-1.aws.found.io/app/kibana#/discover/Steve-Slow-Train-Analysis-(2080s-and-2083s)?_g=(refreshInterval:(display:Off,pause:!f,section:0,value:0),time:(from:'2017-10-25T13:06:36-0600',mode:absolute,to:'2017-10-25T15:24:52-0600'))&amp;_a=(columns:!('Message%20ID',Summary),filters:!(),index:'emp_*',interval:auto,query:(query_string:(analyze_wildcard:!t,query:'%22rtdc.l.rtdc.4052%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782</v>
      </c>
      <c r="B184" s="7">
        <v>4051</v>
      </c>
      <c r="C184" s="21" t="s">
        <v>194</v>
      </c>
      <c r="D184" s="21" t="s">
        <v>617</v>
      </c>
      <c r="E184" s="13">
        <v>43033.602326388886</v>
      </c>
      <c r="F184" s="13">
        <v>43033.613263888888</v>
      </c>
      <c r="G184" s="7">
        <v>63</v>
      </c>
      <c r="H184" s="21" t="s">
        <v>1068</v>
      </c>
      <c r="I184" s="13">
        <v>43033.622152777774</v>
      </c>
      <c r="J184" s="7">
        <v>0</v>
      </c>
      <c r="K184" s="89" t="str">
        <f>IF(ISEVEN(B184),(B184-1)&amp;"/"&amp;B184,B184&amp;"/"&amp;(B184+1))</f>
        <v>4051/4052</v>
      </c>
      <c r="L184" s="185" t="str">
        <f>VLOOKUP(A184,'Trips&amp;Operators'!$C$1:$G$99911,5,FALSE)</f>
        <v>LEVERE CRAIG</v>
      </c>
      <c r="M184" s="6">
        <f>I184-F184</f>
        <v>8.8888888858491555E-3</v>
      </c>
      <c r="N184" s="7">
        <f>24*60*SUM($M184:$M184)</f>
        <v>12.799999995622784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-25T13:27:21-0600',mode:absolute,to:'2017-10-25T15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5.8643000000000001</v>
      </c>
      <c r="Z184" s="204">
        <f>RIGHT(H184,LEN(H184)-4)/10000</f>
        <v>6.9800000000000001E-2</v>
      </c>
      <c r="AA184" s="204">
        <f>ABS(Z184-Y184)</f>
        <v>5.7945000000000002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824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/stypes="app*4051*20171025*" /stext=" 20:.+((SYSTEM_STATE.+slice.+state.+changed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1"/>
        <v>"%USERPROFILE%\Documents\GitHub\eaglep3\Utilities\RefineRTDCRunTimes.py" --tripid 824-25 --locoid 4051 --swversion DE.1.0.9.0 --startMP 300:58643 --initTime 2017-10-25T14:27:21 --startdatetime 2017-10-25T14:43:06 --delay 63 --endMP 204:698 --enddatetime 2017-10-25T14:55:54 --enforcementcount 0 &gt;&gt;%USERPROFILE%\Documents\GitHub\eaglep3-reporting\EC\2017-10-25-refined-times.txt</v>
      </c>
      <c r="AI184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{"issue":{"subject":"","project_id":79,"tracker_id":40,"status_id":1,"priority_id":2,"assigned_to_id":338,"start_date":"2017-10-25","description":"","custom_fields":[{"id":1,"name":"Subdivision","value":"NW"},{"id":4,"name":"Milepost","value":"0.0698"},{"id":17,"name":"Train ID","value":"824-25"},{"id":16,"name":"Locomotive ID","value":"4051"},{"id":130,"name":"Impact","value":""},{"id":150,"name":"Time of Event (Mountain Time)","value":"14:55:54"},{"id":151,"name":"Denver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3"/>
        <v>start /low /b %USERPROFILE%\Documents\GitHub\eaglep3\Utilities\DownloadLogsFromS3.py --loco 4051 --day 2017-10-25</v>
      </c>
      <c r="AN184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25"/>
        <v>https://d0f6bd738d7f1b3e5a7ca70fe4ff75f0.us-east-1.aws.found.io/app/kibana#/discover/Steve-Slow-Train-Analysis-(2080s-and-2083s)?_g=(refreshInterval:(display:Off,pause:!f,section:0,value:0),time:(from:'2017-10-25T13:27:21-0600',mode:absolute,to:'2017-10-25T15:55:54-0600'))&amp;_a=(columns:!('Message%20ID',Summary),filters:!(),index:'emp_*',interval:auto,query:(query_string:(analyze_wildcard:!t,query:'%22rtdc.l.rtdc.4051%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786</v>
      </c>
      <c r="B185" s="7">
        <v>4052</v>
      </c>
      <c r="C185" s="21" t="s">
        <v>194</v>
      </c>
      <c r="D185" s="21" t="s">
        <v>1069</v>
      </c>
      <c r="E185" s="13">
        <v>43033.626782407409</v>
      </c>
      <c r="F185" s="13">
        <v>43033.631458333337</v>
      </c>
      <c r="G185" s="7">
        <v>83</v>
      </c>
      <c r="H185" s="21" t="s">
        <v>1062</v>
      </c>
      <c r="I185" s="13">
        <v>43033.641805555555</v>
      </c>
      <c r="J185" s="7">
        <v>0</v>
      </c>
      <c r="K185" s="89" t="str">
        <f>IF(ISEVEN(B185),(B185-1)&amp;"/"&amp;B185,B185&amp;"/"&amp;(B185+1))</f>
        <v>4051/4052</v>
      </c>
      <c r="L185" s="185" t="str">
        <f>VLOOKUP(A185,'Trips&amp;Operators'!$C$1:$G$99911,5,FALSE)</f>
        <v>LEVERE CRAIG</v>
      </c>
      <c r="M185" s="6">
        <f>I185-F185</f>
        <v>1.0347222218115348E-2</v>
      </c>
      <c r="N185" s="7">
        <f>24*60*SUM($M185:$M185)</f>
        <v>14.899999994086102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-25T14:02:34-0600',mode:absolute,to:'2017-10-25T16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9.8500000000000004E-2</v>
      </c>
      <c r="Z185" s="204">
        <f>RIGHT(H185,LEN(H185)-4)/10000</f>
        <v>5.8971</v>
      </c>
      <c r="AA185" s="204">
        <f>ABS(Z185-Y185)</f>
        <v>5.7986000000000004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825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/stypes="app*4052*20171025*"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1"/>
        <v>"%USERPROFILE%\Documents\GitHub\eaglep3\Utilities\RefineRTDCRunTimes.py" --tripid 825-25 --locoid 4052 --swversion DE.1.0.9.0 --startMP 204:985 --initTime 2017-10-25T15:02:34 --startdatetime 2017-10-25T15:09:18 --delay 83 --endMP 300:58971 --enddatetime 2017-10-25T15:24:12 --enforcementcount 0 &gt;&gt;%USERPROFILE%\Documents\GitHub\eaglep3-reporting\EC\2017-10-25-refined-times.txt</v>
      </c>
      <c r="AI185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{"issue":{"subject":"","project_id":79,"tracker_id":40,"status_id":1,"priority_id":2,"assigned_to_id":338,"start_date":"2017-10-25","description":"","custom_fields":[{"id":1,"name":"Subdivision","value":"NW"},{"id":4,"name":"Milepost","value":"5.8971"},{"id":17,"name":"Train ID","value":"825-25"},{"id":16,"name":"Locomotive ID","value":"4052"},{"id":130,"name":"Impact","value":""},{"id":150,"name":"Time of Event (Mountain Time)","value":"15:24:12"},{"id":151,"name":"Denver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3"/>
        <v>start /low /b %USERPROFILE%\Documents\GitHub\eaglep3\Utilities\DownloadLogsFromS3.py --loco 4052 --day 2017-10-25</v>
      </c>
      <c r="AN185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25"/>
        <v>https://d0f6bd738d7f1b3e5a7ca70fe4ff75f0.us-east-1.aws.found.io/app/kibana#/discover/Steve-Slow-Train-Analysis-(2080s-and-2083s)?_g=(refreshInterval:(display:Off,pause:!f,section:0,value:0),time:(from:'2017-10-25T14:02:34-0600',mode:absolute,to:'2017-10-25T16:24:12-0600'))&amp;_a=(columns:!('Message%20ID',Summary),filters:!(),index:'emp_*',interval:auto,query:(query_string:(analyze_wildcard:!t,query:'%22rtdc.l.rtdc.4052%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791</v>
      </c>
      <c r="B186" s="7">
        <v>4051</v>
      </c>
      <c r="C186" s="21" t="s">
        <v>194</v>
      </c>
      <c r="D186" s="21" t="s">
        <v>608</v>
      </c>
      <c r="E186" s="13">
        <v>43033.643368055556</v>
      </c>
      <c r="F186" s="13">
        <v>43033.654560185183</v>
      </c>
      <c r="G186" s="7">
        <v>65</v>
      </c>
      <c r="H186" s="21" t="s">
        <v>1043</v>
      </c>
      <c r="I186" s="13">
        <v>43033.663761574076</v>
      </c>
      <c r="J186" s="7">
        <v>0</v>
      </c>
      <c r="K186" s="89" t="str">
        <f>IF(ISEVEN(B186),(B186-1)&amp;"/"&amp;B186,B186&amp;"/"&amp;(B186+1))</f>
        <v>4051/4052</v>
      </c>
      <c r="L186" s="185" t="str">
        <f>VLOOKUP(A186,'Trips&amp;Operators'!$C$1:$G$99911,5,FALSE)</f>
        <v>LEVERE CRAIG</v>
      </c>
      <c r="M186" s="6">
        <f>I186-F186</f>
        <v>9.2013888934161514E-3</v>
      </c>
      <c r="N186" s="7">
        <f>24*60*SUM($M186:$M186)</f>
        <v>13.250000006519258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-25T14:26:27-0600',mode:absolute,to:'2017-10-25T16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5.8653000000000004</v>
      </c>
      <c r="Z186" s="204">
        <f>RIGHT(H186,LEN(H186)-4)/10000</f>
        <v>6.9400000000000003E-2</v>
      </c>
      <c r="AA186" s="204">
        <f>ABS(Z186-Y186)</f>
        <v>5.7959000000000005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826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/stypes="app*4051*20171025*"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21"/>
        <v>"%USERPROFILE%\Documents\GitHub\eaglep3\Utilities\RefineRTDCRunTimes.py" --tripid 826-25 --locoid 4051 --swversion DE.1.0.9.0 --startMP 300:58653 --initTime 2017-10-25T15:26:27 --startdatetime 2017-10-25T15:42:34 --delay 65 --endMP 204:694 --enddatetime 2017-10-25T15:55:49 --enforcementcount 0 &gt;&gt;%USERPROFILE%\Documents\GitHub\eaglep3-reporting\EC\2017-10-25-refined-times.txt</v>
      </c>
      <c r="AI186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{"issue":{"subject":"","project_id":79,"tracker_id":40,"status_id":1,"priority_id":2,"assigned_to_id":338,"start_date":"2017-10-25","description":"","custom_fields":[{"id":1,"name":"Subdivision","value":"NW"},{"id":4,"name":"Milepost","value":"0.0694"},{"id":17,"name":"Train ID","value":"826-25"},{"id":16,"name":"Locomotive ID","value":"4051"},{"id":130,"name":"Impact","value":""},{"id":150,"name":"Time of Event (Mountain Time)","value":"15:55:49"},{"id":151,"name":"Denver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23"/>
        <v>start /low /b %USERPROFILE%\Documents\GitHub\eaglep3\Utilities\DownloadLogsFromS3.py --loco 4051 --day 2017-10-25</v>
      </c>
      <c r="AN186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25"/>
        <v>https://d0f6bd738d7f1b3e5a7ca70fe4ff75f0.us-east-1.aws.found.io/app/kibana#/discover/Steve-Slow-Train-Analysis-(2080s-and-2083s)?_g=(refreshInterval:(display:Off,pause:!f,section:0,value:0),time:(from:'2017-10-25T14:26:27-0600',mode:absolute,to:'2017-10-25T16:55:49-0600'))&amp;_a=(columns:!('Message%20ID',Summary),filters:!(),index:'emp_*',interval:auto,query:(query_string:(analyze_wildcard:!t,query:'%22rtdc.l.rtdc.4051%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792</v>
      </c>
      <c r="B187" s="7">
        <v>4024</v>
      </c>
      <c r="C187" s="21" t="s">
        <v>194</v>
      </c>
      <c r="D187" s="21" t="s">
        <v>551</v>
      </c>
      <c r="E187" s="13">
        <v>43033.650011574071</v>
      </c>
      <c r="F187" s="13">
        <v>43033.652384259258</v>
      </c>
      <c r="G187" s="7">
        <v>70</v>
      </c>
      <c r="H187" s="21" t="s">
        <v>1070</v>
      </c>
      <c r="I187" s="13">
        <v>43033.663090277776</v>
      </c>
      <c r="J187" s="7">
        <v>0</v>
      </c>
      <c r="K187" s="89" t="str">
        <f>IF(ISEVEN(B187),(B187-1)&amp;"/"&amp;B187,B187&amp;"/"&amp;(B187+1))</f>
        <v>4023/4024</v>
      </c>
      <c r="L187" s="185" t="str">
        <f>VLOOKUP(A187,'Trips&amp;Operators'!$C$1:$G$99911,5,FALSE)</f>
        <v>STAMBAUGH JAMES</v>
      </c>
      <c r="M187" s="6">
        <f>I187-F187</f>
        <v>1.0706018518249039E-2</v>
      </c>
      <c r="N187" s="7">
        <f>24*60*SUM($M187:$M187)</f>
        <v>15.416666666278616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-25T14:36:01-0600',mode:absolute,to:'2017-10-25T16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9.6000000000000002E-2</v>
      </c>
      <c r="Z187" s="204">
        <f>RIGHT(H187,LEN(H187)-4)/10000</f>
        <v>5.8936999999999999</v>
      </c>
      <c r="AA187" s="204">
        <f>ABS(Z187-Y187)</f>
        <v>5.7976999999999999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827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/stypes="app*4024*20171025*" /stext=" 21:.+((SYSTEM_STATE.+slice.+state.+changed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1"/>
        <v>"%USERPROFILE%\Documents\GitHub\eaglep3\Utilities\RefineRTDCRunTimes.py" --tripid 827-25 --locoid 4024 --swversion DE.1.0.9.0 --startMP 204:960 --initTime 2017-10-25T15:36:01 --startdatetime 2017-10-25T15:39:26 --delay 70 --endMP 300:58937 --enddatetime 2017-10-25T15:54:51 --enforcementcount 0 &gt;&gt;%USERPROFILE%\Documents\GitHub\eaglep3-reporting\EC\2017-10-25-refined-times.txt</v>
      </c>
      <c r="AI187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{"issue":{"subject":"","project_id":79,"tracker_id":40,"status_id":1,"priority_id":2,"assigned_to_id":338,"start_date":"2017-10-25","description":"","custom_fields":[{"id":1,"name":"Subdivision","value":"NW"},{"id":4,"name":"Milepost","value":"5.8937"},{"id":17,"name":"Train ID","value":"827-25"},{"id":16,"name":"Locomotive ID","value":"4024"},{"id":130,"name":"Impact","value":""},{"id":150,"name":"Time of Event (Mountain Time)","value":"15:54:51"},{"id":151,"name":"Denver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3"/>
        <v>start /low /b %USERPROFILE%\Documents\GitHub\eaglep3\Utilities\DownloadLogsFromS3.py --loco 4024 --day 2017-10-25</v>
      </c>
      <c r="AN187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25"/>
        <v>https://d0f6bd738d7f1b3e5a7ca70fe4ff75f0.us-east-1.aws.found.io/app/kibana#/discover/Steve-Slow-Train-Analysis-(2080s-and-2083s)?_g=(refreshInterval:(display:Off,pause:!f,section:0,value:0),time:(from:'2017-10-25T14:36:01-0600',mode:absolute,to:'2017-10-25T16:54:51-0600'))&amp;_a=(columns:!('Message%20ID',Summary),filters:!(),index:'emp_*',interval:auto,query:(query_string:(analyze_wildcard:!t,query:'%22rtdc.l.rtdc.4024%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799</v>
      </c>
      <c r="B188" s="7">
        <v>4023</v>
      </c>
      <c r="C188" s="21" t="s">
        <v>194</v>
      </c>
      <c r="D188" s="21" t="s">
        <v>555</v>
      </c>
      <c r="E188" s="13">
        <v>43033.664039351854</v>
      </c>
      <c r="F188" s="13">
        <v>43033.675763888888</v>
      </c>
      <c r="G188" s="7">
        <v>55</v>
      </c>
      <c r="H188" s="21" t="s">
        <v>1050</v>
      </c>
      <c r="I188" s="13">
        <v>43033.683518518519</v>
      </c>
      <c r="J188" s="7">
        <v>0</v>
      </c>
      <c r="K188" s="89" t="str">
        <f>IF(ISEVEN(B188),(B188-1)&amp;"/"&amp;B188,B188&amp;"/"&amp;(B188+1))</f>
        <v>4023/4024</v>
      </c>
      <c r="L188" s="185" t="str">
        <f>VLOOKUP(A188,'Trips&amp;Operators'!$C$1:$G$99911,5,FALSE)</f>
        <v>STAMBAUGH JAMES</v>
      </c>
      <c r="M188" s="6">
        <f>I188-F188</f>
        <v>7.7546296306536533E-3</v>
      </c>
      <c r="N188" s="7">
        <f>24*60*SUM($M188:$M188)</f>
        <v>11.166666668141261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-25T14:56:13-0600',mode:absolute,to:'2017-10-25T17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5.8630000000000004</v>
      </c>
      <c r="Z188" s="204">
        <f>RIGHT(H188,LEN(H188)-4)/10000</f>
        <v>6.7699999999999996E-2</v>
      </c>
      <c r="AA188" s="204">
        <f>ABS(Z188-Y188)</f>
        <v>5.7953000000000001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828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/stypes="app*4023*20171025*"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21"/>
        <v>"%USERPROFILE%\Documents\GitHub\eaglep3\Utilities\RefineRTDCRunTimes.py" --tripid 828-25 --locoid 4023 --swversion DE.1.0.9.0 --startMP 300:58630 --initTime 2017-10-25T15:56:13 --startdatetime 2017-10-25T16:13:06 --delay 55 --endMP 204:677 --enddatetime 2017-10-25T16:24:16 --enforcementcount 0 &gt;&gt;%USERPROFILE%\Documents\GitHub\eaglep3-reporting\EC\2017-10-25-refined-times.txt</v>
      </c>
      <c r="AI188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{"issue":{"subject":"","project_id":79,"tracker_id":40,"status_id":1,"priority_id":2,"assigned_to_id":338,"start_date":"2017-10-25","description":"","custom_fields":[{"id":1,"name":"Subdivision","value":"NW"},{"id":4,"name":"Milepost","value":"0.0677"},{"id":17,"name":"Train ID","value":"828-25"},{"id":16,"name":"Locomotive ID","value":"4023"},{"id":130,"name":"Impact","value":""},{"id":150,"name":"Time of Event (Mountain Time)","value":"16:24:16"},{"id":151,"name":"Denver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23"/>
        <v>start /low /b %USERPROFILE%\Documents\GitHub\eaglep3\Utilities\DownloadLogsFromS3.py --loco 4023 --day 2017-10-25</v>
      </c>
      <c r="AN188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25"/>
        <v>https://d0f6bd738d7f1b3e5a7ca70fe4ff75f0.us-east-1.aws.found.io/app/kibana#/discover/Steve-Slow-Train-Analysis-(2080s-and-2083s)?_g=(refreshInterval:(display:Off,pause:!f,section:0,value:0),time:(from:'2017-10-25T14:56:13-0600',mode:absolute,to:'2017-10-25T17:24:16-0600'))&amp;_a=(columns:!('Message%20ID',Summary),filters:!(),index:'emp_*',interval:auto,query:(query_string:(analyze_wildcard:!t,query:'%22rtdc.l.rtdc.4023%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800</v>
      </c>
      <c r="B189" s="7">
        <v>4052</v>
      </c>
      <c r="C189" s="21" t="s">
        <v>194</v>
      </c>
      <c r="D189" s="21" t="s">
        <v>1071</v>
      </c>
      <c r="E189" s="13">
        <v>43033.66883101852</v>
      </c>
      <c r="F189" s="13">
        <v>43033.673113425924</v>
      </c>
      <c r="G189" s="7">
        <v>63</v>
      </c>
      <c r="H189" s="21" t="s">
        <v>609</v>
      </c>
      <c r="I189" s="13">
        <v>43033.684756944444</v>
      </c>
      <c r="J189" s="7">
        <v>0</v>
      </c>
      <c r="K189" s="89" t="str">
        <f>IF(ISEVEN(B189),(B189-1)&amp;"/"&amp;B189,B189&amp;"/"&amp;(B189+1))</f>
        <v>4051/4052</v>
      </c>
      <c r="L189" s="185" t="str">
        <f>VLOOKUP(A189,'Trips&amp;Operators'!$C$1:$G$99911,5,FALSE)</f>
        <v>LEVERE CRAIG</v>
      </c>
      <c r="M189" s="6">
        <f>I189-F189</f>
        <v>1.1643518519122154E-2</v>
      </c>
      <c r="N189" s="7">
        <f>24*60*SUM($M189:$M189)</f>
        <v>16.766666667535901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-25T15:03:07-0600',mode:absolute,to:'2017-10-25T17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9.8100000000000007E-2</v>
      </c>
      <c r="Z189" s="204">
        <f>RIGHT(H189,LEN(H189)-4)/10000</f>
        <v>5.8973000000000004</v>
      </c>
      <c r="AA189" s="204">
        <f>ABS(Z189-Y189)</f>
        <v>5.7992000000000008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829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/stypes="app*4052*20171025*"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21"/>
        <v>"%USERPROFILE%\Documents\GitHub\eaglep3\Utilities\RefineRTDCRunTimes.py" --tripid 829-25 --locoid 4052 --swversion DE.1.0.9.0 --startMP 204:981 --initTime 2017-10-25T16:03:07 --startdatetime 2017-10-25T16:09:17 --delay 63 --endMP 300:58973 --enddatetime 2017-10-25T16:26:03 --enforcementcount 0 &gt;&gt;%USERPROFILE%\Documents\GitHub\eaglep3-reporting\EC\2017-10-25-refined-times.txt</v>
      </c>
      <c r="AI189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{"issue":{"subject":"","project_id":79,"tracker_id":40,"status_id":1,"priority_id":2,"assigned_to_id":338,"start_date":"2017-10-25","description":"","custom_fields":[{"id":1,"name":"Subdivision","value":"NW"},{"id":4,"name":"Milepost","value":"5.8973"},{"id":17,"name":"Train ID","value":"829-25"},{"id":16,"name":"Locomotive ID","value":"4052"},{"id":130,"name":"Impact","value":""},{"id":150,"name":"Time of Event (Mountain Time)","value":"16:26:03"},{"id":151,"name":"Denver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23"/>
        <v>start /low /b %USERPROFILE%\Documents\GitHub\eaglep3\Utilities\DownloadLogsFromS3.py --loco 4052 --day 2017-10-25</v>
      </c>
      <c r="AN189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25"/>
        <v>https://d0f6bd738d7f1b3e5a7ca70fe4ff75f0.us-east-1.aws.found.io/app/kibana#/discover/Steve-Slow-Train-Analysis-(2080s-and-2083s)?_g=(refreshInterval:(display:Off,pause:!f,section:0,value:0),time:(from:'2017-10-25T15:03:07-0600',mode:absolute,to:'2017-10-25T17:26:03-0600'))&amp;_a=(columns:!('Message%20ID',Summary),filters:!(),index:'emp_*',interval:auto,query:(query_string:(analyze_wildcard:!t,query:'%22rtdc.l.rtdc.4052%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807</v>
      </c>
      <c r="B190" s="7">
        <v>4051</v>
      </c>
      <c r="C190" s="21" t="s">
        <v>194</v>
      </c>
      <c r="D190" s="21" t="s">
        <v>614</v>
      </c>
      <c r="E190" s="13">
        <v>43033.687210648146</v>
      </c>
      <c r="F190" s="13">
        <v>43033.696342592593</v>
      </c>
      <c r="G190" s="7">
        <v>63</v>
      </c>
      <c r="H190" s="21" t="s">
        <v>1043</v>
      </c>
      <c r="I190" s="13">
        <v>43033.705300925925</v>
      </c>
      <c r="J190" s="7">
        <v>0</v>
      </c>
      <c r="K190" s="89" t="str">
        <f>IF(ISEVEN(B190),(B190-1)&amp;"/"&amp;B190,B190&amp;"/"&amp;(B190+1))</f>
        <v>4051/4052</v>
      </c>
      <c r="L190" s="185" t="str">
        <f>VLOOKUP(A190,'Trips&amp;Operators'!$C$1:$G$99911,5,FALSE)</f>
        <v>LEVERE CRAIG</v>
      </c>
      <c r="M190" s="6">
        <f>I190-F190</f>
        <v>8.9583333319751546E-3</v>
      </c>
      <c r="N190" s="7">
        <f>24*60*SUM($M190:$M190)</f>
        <v>12.899999998044223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-25T15:29:35-0600',mode:absolute,to:'2017-10-25T17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5.8651</v>
      </c>
      <c r="Z190" s="204">
        <f>RIGHT(H190,LEN(H190)-4)/10000</f>
        <v>6.9400000000000003E-2</v>
      </c>
      <c r="AA190" s="204">
        <f>ABS(Z190-Y190)</f>
        <v>5.7957000000000001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830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/stypes="app*4051*20171025*"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21"/>
        <v>"%USERPROFILE%\Documents\GitHub\eaglep3\Utilities\RefineRTDCRunTimes.py" --tripid 830-25 --locoid 4051 --swversion DE.1.0.9.0 --startMP 300:58651 --initTime 2017-10-25T16:29:35 --startdatetime 2017-10-25T16:42:44 --delay 63 --endMP 204:694 --enddatetime 2017-10-25T16:55:38 --enforcementcount 0 &gt;&gt;%USERPROFILE%\Documents\GitHub\eaglep3-reporting\EC\2017-10-25-refined-times.txt</v>
      </c>
      <c r="AI190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{"issue":{"subject":"","project_id":79,"tracker_id":40,"status_id":1,"priority_id":2,"assigned_to_id":338,"start_date":"2017-10-25","description":"","custom_fields":[{"id":1,"name":"Subdivision","value":"NW"},{"id":4,"name":"Milepost","value":"0.0694"},{"id":17,"name":"Train ID","value":"830-25"},{"id":16,"name":"Locomotive ID","value":"4051"},{"id":130,"name":"Impact","value":""},{"id":150,"name":"Time of Event (Mountain Time)","value":"16:55:38"},{"id":151,"name":"Denver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23"/>
        <v>start /low /b %USERPROFILE%\Documents\GitHub\eaglep3\Utilities\DownloadLogsFromS3.py --loco 4051 --day 2017-10-25</v>
      </c>
      <c r="AN190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25"/>
        <v>https://d0f6bd738d7f1b3e5a7ca70fe4ff75f0.us-east-1.aws.found.io/app/kibana#/discover/Steve-Slow-Train-Analysis-(2080s-and-2083s)?_g=(refreshInterval:(display:Off,pause:!f,section:0,value:0),time:(from:'2017-10-25T15:29:35-0600',mode:absolute,to:'2017-10-25T17:55:38-0600'))&amp;_a=(columns:!('Message%20ID',Summary),filters:!(),index:'emp_*',interval:auto,query:(query_string:(analyze_wildcard:!t,query:'%22rtdc.l.rtdc.4051%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809</v>
      </c>
      <c r="B191" s="7">
        <v>4024</v>
      </c>
      <c r="C191" s="21" t="s">
        <v>194</v>
      </c>
      <c r="D191" s="21" t="s">
        <v>615</v>
      </c>
      <c r="E191" s="13">
        <v>43033.691620370373</v>
      </c>
      <c r="F191" s="13">
        <v>43033.694108796299</v>
      </c>
      <c r="G191" s="7">
        <v>47</v>
      </c>
      <c r="H191" s="21" t="s">
        <v>1072</v>
      </c>
      <c r="I191" s="13">
        <v>43033.704351851855</v>
      </c>
      <c r="J191" s="7">
        <v>0</v>
      </c>
      <c r="K191" s="89" t="str">
        <f>IF(ISEVEN(B191),(B191-1)&amp;"/"&amp;B191,B191&amp;"/"&amp;(B191+1))</f>
        <v>4023/4024</v>
      </c>
      <c r="L191" s="185" t="str">
        <f>VLOOKUP(A191,'Trips&amp;Operators'!$C$1:$G$99911,5,FALSE)</f>
        <v>STAMBAUGH JAMES</v>
      </c>
      <c r="M191" s="6">
        <f>I191-F191</f>
        <v>1.0243055556202307E-2</v>
      </c>
      <c r="N191" s="7">
        <f>24*60*SUM($M191:$M191)</f>
        <v>14.750000000931323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-25T15:35:56-0600',mode:absolute,to:'2017-10-25T17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9.6500000000000002E-2</v>
      </c>
      <c r="Z191" s="204">
        <f>RIGHT(H191,LEN(H191)-4)/10000</f>
        <v>5.8954000000000004</v>
      </c>
      <c r="AA191" s="204">
        <f>ABS(Z191-Y191)</f>
        <v>5.7989000000000006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831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/stypes="app*4024*20171025*" /stext=" 22:.+((SYSTEM_STATE.+slice.+state.+changed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21"/>
        <v>"%USERPROFILE%\Documents\GitHub\eaglep3\Utilities\RefineRTDCRunTimes.py" --tripid 831-25 --locoid 4024 --swversion DE.1.0.9.0 --startMP 204:965 --initTime 2017-10-25T16:35:56 --startdatetime 2017-10-25T16:39:31 --delay 47 --endMP 300:58954 --enddatetime 2017-10-25T16:54:16 --enforcementcount 0 &gt;&gt;%USERPROFILE%\Documents\GitHub\eaglep3-reporting\EC\2017-10-25-refined-times.txt</v>
      </c>
      <c r="AI191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{"issue":{"subject":"","project_id":79,"tracker_id":40,"status_id":1,"priority_id":2,"assigned_to_id":338,"start_date":"2017-10-25","description":"","custom_fields":[{"id":1,"name":"Subdivision","value":"NW"},{"id":4,"name":"Milepost","value":"5.8954"},{"id":17,"name":"Train ID","value":"831-25"},{"id":16,"name":"Locomotive ID","value":"4024"},{"id":130,"name":"Impact","value":""},{"id":150,"name":"Time of Event (Mountain Time)","value":"16:54:16"},{"id":151,"name":"Denver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23"/>
        <v>start /low /b %USERPROFILE%\Documents\GitHub\eaglep3\Utilities\DownloadLogsFromS3.py --loco 4024 --day 2017-10-25</v>
      </c>
      <c r="AN191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25"/>
        <v>https://d0f6bd738d7f1b3e5a7ca70fe4ff75f0.us-east-1.aws.found.io/app/kibana#/discover/Steve-Slow-Train-Analysis-(2080s-and-2083s)?_g=(refreshInterval:(display:Off,pause:!f,section:0,value:0),time:(from:'2017-10-25T15:35:56-0600',mode:absolute,to:'2017-10-25T17:54:16-0600'))&amp;_a=(columns:!('Message%20ID',Summary),filters:!(),index:'emp_*',interval:auto,query:(query_string:(analyze_wildcard:!t,query:'%22rtdc.l.rtdc.4024%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813</v>
      </c>
      <c r="B192" s="7">
        <v>4023</v>
      </c>
      <c r="C192" s="21" t="s">
        <v>194</v>
      </c>
      <c r="D192" s="21" t="s">
        <v>1073</v>
      </c>
      <c r="E192" s="13">
        <v>43033.70516203704</v>
      </c>
      <c r="F192" s="13">
        <v>43033.717442129629</v>
      </c>
      <c r="G192" s="7">
        <v>63</v>
      </c>
      <c r="H192" s="21" t="s">
        <v>1074</v>
      </c>
      <c r="I192" s="13">
        <v>43033.725787037038</v>
      </c>
      <c r="J192" s="7">
        <v>0</v>
      </c>
      <c r="K192" s="89" t="str">
        <f>IF(ISEVEN(B192),(B192-1)&amp;"/"&amp;B192,B192&amp;"/"&amp;(B192+1))</f>
        <v>4023/4024</v>
      </c>
      <c r="L192" s="185" t="str">
        <f>VLOOKUP(A192,'Trips&amp;Operators'!$C$1:$G$99911,5,FALSE)</f>
        <v>STAMBAUGH JAMES</v>
      </c>
      <c r="M192" s="6">
        <f>I192-F192</f>
        <v>8.3449074081727304E-3</v>
      </c>
      <c r="N192" s="7">
        <f>24*60*SUM($M192:$M192)</f>
        <v>12.016666667768732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-25T15:55:26-0600',mode:absolute,to:'2017-10-25T18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5.8644999999999996</v>
      </c>
      <c r="Z192" s="204">
        <f>RIGHT(H192,LEN(H192)-4)/10000</f>
        <v>6.8400000000000002E-2</v>
      </c>
      <c r="AA192" s="204">
        <f>ABS(Z192-Y192)</f>
        <v>5.7961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832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/stypes="app*4023*20171025*"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1"/>
        <v>"%USERPROFILE%\Documents\GitHub\eaglep3\Utilities\RefineRTDCRunTimes.py" --tripid 832-25 --locoid 4023 --swversion DE.1.0.9.0 --startMP 300:58645 --initTime 2017-10-25T16:55:26 --startdatetime 2017-10-25T17:13:07 --delay 63 --endMP 204:684 --enddatetime 2017-10-25T17:25:08 --enforcementcount 0 &gt;&gt;%USERPROFILE%\Documents\GitHub\eaglep3-reporting\EC\2017-10-25-refined-times.txt</v>
      </c>
      <c r="AI192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{"issue":{"subject":"","project_id":79,"tracker_id":40,"status_id":1,"priority_id":2,"assigned_to_id":338,"start_date":"2017-10-25","description":"","custom_fields":[{"id":1,"name":"Subdivision","value":"NW"},{"id":4,"name":"Milepost","value":"0.0684"},{"id":17,"name":"Train ID","value":"832-25"},{"id":16,"name":"Locomotive ID","value":"4023"},{"id":130,"name":"Impact","value":""},{"id":150,"name":"Time of Event (Mountain Time)","value":"17:25:08"},{"id":151,"name":"Denver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3"/>
        <v>start /low /b %USERPROFILE%\Documents\GitHub\eaglep3\Utilities\DownloadLogsFromS3.py --loco 4023 --day 2017-10-25</v>
      </c>
      <c r="AN192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25"/>
        <v>https://d0f6bd738d7f1b3e5a7ca70fe4ff75f0.us-east-1.aws.found.io/app/kibana#/discover/Steve-Slow-Train-Analysis-(2080s-and-2083s)?_g=(refreshInterval:(display:Off,pause:!f,section:0,value:0),time:(from:'2017-10-25T15:55:26-0600',mode:absolute,to:'2017-10-25T18:25:08-0600'))&amp;_a=(columns:!('Message%20ID',Summary),filters:!(),index:'emp_*',interval:auto,query:(query_string:(analyze_wildcard:!t,query:'%22rtdc.l.rtdc.4023%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814</v>
      </c>
      <c r="B193" s="7">
        <v>4052</v>
      </c>
      <c r="C193" s="21" t="s">
        <v>194</v>
      </c>
      <c r="D193" s="21" t="s">
        <v>1037</v>
      </c>
      <c r="E193" s="13">
        <v>43033.710115740738</v>
      </c>
      <c r="F193" s="13">
        <v>43033.714791666665</v>
      </c>
      <c r="G193" s="7">
        <v>81</v>
      </c>
      <c r="H193" s="21" t="s">
        <v>552</v>
      </c>
      <c r="I193" s="13">
        <v>43033.726064814815</v>
      </c>
      <c r="J193" s="7">
        <v>0</v>
      </c>
      <c r="K193" s="89" t="str">
        <f>IF(ISEVEN(B193),(B193-1)&amp;"/"&amp;B193,B193&amp;"/"&amp;(B193+1))</f>
        <v>4051/4052</v>
      </c>
      <c r="L193" s="185" t="str">
        <f>VLOOKUP(A193,'Trips&amp;Operators'!$C$1:$G$99911,5,FALSE)</f>
        <v>LEVERE CRAIG</v>
      </c>
      <c r="M193" s="6">
        <f>I193-F193</f>
        <v>1.1273148149484769E-2</v>
      </c>
      <c r="N193" s="7">
        <f>24*60*SUM($M193:$M193)</f>
        <v>16.233333335258067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-25T16:02:34-0600',mode:absolute,to:'2017-10-25T18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9.7100000000000006E-2</v>
      </c>
      <c r="Z193" s="204">
        <f>RIGHT(H193,LEN(H193)-4)/10000</f>
        <v>5.8930999999999996</v>
      </c>
      <c r="AA193" s="204">
        <f>ABS(Z193-Y193)</f>
        <v>5.7959999999999994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833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/stypes="app*4052*20171025*"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1"/>
        <v>"%USERPROFILE%\Documents\GitHub\eaglep3\Utilities\RefineRTDCRunTimes.py" --tripid 833-25 --locoid 4052 --swversion DE.1.0.9.0 --startMP 204:971 --initTime 2017-10-25T17:02:34 --startdatetime 2017-10-25T17:09:18 --delay 81 --endMP 300:58931 --enddatetime 2017-10-25T17:25:32 --enforcementcount 0 &gt;&gt;%USERPROFILE%\Documents\GitHub\eaglep3-reporting\EC\2017-10-25-refined-times.txt</v>
      </c>
      <c r="AI193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{"issue":{"subject":"","project_id":79,"tracker_id":40,"status_id":1,"priority_id":2,"assigned_to_id":338,"start_date":"2017-10-25","description":"","custom_fields":[{"id":1,"name":"Subdivision","value":"NW"},{"id":4,"name":"Milepost","value":"5.8931"},{"id":17,"name":"Train ID","value":"833-25"},{"id":16,"name":"Locomotive ID","value":"4052"},{"id":130,"name":"Impact","value":""},{"id":150,"name":"Time of Event (Mountain Time)","value":"17:25:32"},{"id":151,"name":"Denver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3"/>
        <v>start /low /b %USERPROFILE%\Documents\GitHub\eaglep3\Utilities\DownloadLogsFromS3.py --loco 4052 --day 2017-10-25</v>
      </c>
      <c r="AN193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25"/>
        <v>https://d0f6bd738d7f1b3e5a7ca70fe4ff75f0.us-east-1.aws.found.io/app/kibana#/discover/Steve-Slow-Train-Analysis-(2080s-and-2083s)?_g=(refreshInterval:(display:Off,pause:!f,section:0,value:0),time:(from:'2017-10-25T16:02:34-0600',mode:absolute,to:'2017-10-25T18:25:32-0600'))&amp;_a=(columns:!('Message%20ID',Summary),filters:!(),index:'emp_*',interval:auto,query:(query_string:(analyze_wildcard:!t,query:'%22rtdc.l.rtdc.4052%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820</v>
      </c>
      <c r="B194" s="7">
        <v>4051</v>
      </c>
      <c r="C194" s="21" t="s">
        <v>194</v>
      </c>
      <c r="D194" s="21" t="s">
        <v>556</v>
      </c>
      <c r="E194" s="13">
        <v>43033.727812500001</v>
      </c>
      <c r="F194" s="13">
        <v>43033.73814814815</v>
      </c>
      <c r="G194" s="7">
        <v>75</v>
      </c>
      <c r="H194" s="21" t="s">
        <v>1033</v>
      </c>
      <c r="I194" s="13">
        <v>43033.747534722221</v>
      </c>
      <c r="J194" s="7">
        <v>0</v>
      </c>
      <c r="K194" s="89" t="str">
        <f>IF(ISEVEN(B194),(B194-1)&amp;"/"&amp;B194,B194&amp;"/"&amp;(B194+1))</f>
        <v>4051/4052</v>
      </c>
      <c r="L194" s="185" t="str">
        <f>VLOOKUP(A194,'Trips&amp;Operators'!$C$1:$G$99911,5,FALSE)</f>
        <v>LEVERE CRAIG</v>
      </c>
      <c r="M194" s="6">
        <f>I194-F194</f>
        <v>9.3865740709588863E-3</v>
      </c>
      <c r="N194" s="7">
        <f>24*60*SUM($M194:$M194)</f>
        <v>13.516666662180796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-25T16:28:03-0600',mode:absolute,to:'2017-10-25T18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5.8616999999999999</v>
      </c>
      <c r="Z194" s="204">
        <f>RIGHT(H194,LEN(H194)-4)/10000</f>
        <v>6.9599999999999995E-2</v>
      </c>
      <c r="AA194" s="204">
        <f>ABS(Z194-Y194)</f>
        <v>5.7920999999999996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834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/stypes="app*4051*20171025*"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21"/>
        <v>"%USERPROFILE%\Documents\GitHub\eaglep3\Utilities\RefineRTDCRunTimes.py" --tripid 834-25 --locoid 4051 --swversion DE.1.0.9.0 --startMP 300:58617 --initTime 2017-10-25T17:28:03 --startdatetime 2017-10-25T17:42:56 --delay 75 --endMP 204:696 --enddatetime 2017-10-25T17:56:27 --enforcementcount 0 &gt;&gt;%USERPROFILE%\Documents\GitHub\eaglep3-reporting\EC\2017-10-25-refined-times.txt</v>
      </c>
      <c r="AI194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{"issue":{"subject":"","project_id":79,"tracker_id":40,"status_id":1,"priority_id":2,"assigned_to_id":338,"start_date":"2017-10-25","description":"","custom_fields":[{"id":1,"name":"Subdivision","value":"NW"},{"id":4,"name":"Milepost","value":"0.0696"},{"id":17,"name":"Train ID","value":"834-25"},{"id":16,"name":"Locomotive ID","value":"4051"},{"id":130,"name":"Impact","value":""},{"id":150,"name":"Time of Event (Mountain Time)","value":"17:56:27"},{"id":151,"name":"Denver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23"/>
        <v>start /low /b %USERPROFILE%\Documents\GitHub\eaglep3\Utilities\DownloadLogsFromS3.py --loco 4051 --day 2017-10-25</v>
      </c>
      <c r="AN194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25"/>
        <v>https://d0f6bd738d7f1b3e5a7ca70fe4ff75f0.us-east-1.aws.found.io/app/kibana#/discover/Steve-Slow-Train-Analysis-(2080s-and-2083s)?_g=(refreshInterval:(display:Off,pause:!f,section:0,value:0),time:(from:'2017-10-25T16:28:03-0600',mode:absolute,to:'2017-10-25T18:56:27-0600'))&amp;_a=(columns:!('Message%20ID',Summary),filters:!(),index:'emp_*',interval:auto,query:(query_string:(analyze_wildcard:!t,query:'%22rtdc.l.rtdc.4051%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656</v>
      </c>
      <c r="B195" s="7">
        <v>4024</v>
      </c>
      <c r="C195" s="21" t="s">
        <v>194</v>
      </c>
      <c r="D195" s="21" t="s">
        <v>1075</v>
      </c>
      <c r="E195" s="13">
        <v>43033.732997685183</v>
      </c>
      <c r="F195" s="13">
        <v>43033.735914351855</v>
      </c>
      <c r="G195" s="7">
        <v>78</v>
      </c>
      <c r="H195" s="21" t="s">
        <v>618</v>
      </c>
      <c r="I195" s="13">
        <v>43033.746342592596</v>
      </c>
      <c r="J195" s="7">
        <v>0</v>
      </c>
      <c r="K195" s="89" t="str">
        <f>IF(ISEVEN(B195),(B195-1)&amp;"/"&amp;B195,B195&amp;"/"&amp;(B195+1))</f>
        <v>4023/4024</v>
      </c>
      <c r="L195" s="185" t="str">
        <f>VLOOKUP(A195,'Trips&amp;Operators'!$C$1:$G$99911,5,FALSE)</f>
        <v>STAMBAUGH JAMES</v>
      </c>
      <c r="M195" s="6">
        <f>I195-F195</f>
        <v>1.0428240741021E-2</v>
      </c>
      <c r="N195" s="7">
        <f>24*60*SUM($M195:$M195)</f>
        <v>15.01666666707024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-25T16:35:31-0600',mode:absolute,to:'2017-10-25T18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9.7199999999999995E-2</v>
      </c>
      <c r="Z195" s="204">
        <f>RIGHT(H195,LEN(H195)-4)/10000</f>
        <v>5.8967000000000001</v>
      </c>
      <c r="AA195" s="204">
        <f>ABS(Z195-Y195)</f>
        <v>5.7995000000000001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835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/stypes="app*4024*20171025*" /stext=" 23:.+((SYSTEM_STATE.+slice.+state.+changed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21"/>
        <v>"%USERPROFILE%\Documents\GitHub\eaglep3\Utilities\RefineRTDCRunTimes.py" --tripid 835-25 --locoid 4024 --swversion DE.1.0.9.0 --startMP 204:972 --initTime 2017-10-25T17:35:31 --startdatetime 2017-10-25T17:39:43 --delay 78 --endMP 300:58967 --enddatetime 2017-10-25T17:54:44 --enforcementcount 0 &gt;&gt;%USERPROFILE%\Documents\GitHub\eaglep3-reporting\EC\2017-10-25-refined-times.txt</v>
      </c>
      <c r="AI195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{"issue":{"subject":"","project_id":79,"tracker_id":40,"status_id":1,"priority_id":2,"assigned_to_id":338,"start_date":"2017-10-25","description":"","custom_fields":[{"id":1,"name":"Subdivision","value":"NW"},{"id":4,"name":"Milepost","value":"5.8967"},{"id":17,"name":"Train ID","value":"835-25"},{"id":16,"name":"Locomotive ID","value":"4024"},{"id":130,"name":"Impact","value":""},{"id":150,"name":"Time of Event (Mountain Time)","value":"17:54:44"},{"id":151,"name":"Denver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23"/>
        <v>start /low /b %USERPROFILE%\Documents\GitHub\eaglep3\Utilities\DownloadLogsFromS3.py --loco 4024 --day 2017-10-25</v>
      </c>
      <c r="AN195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25"/>
        <v>https://d0f6bd738d7f1b3e5a7ca70fe4ff75f0.us-east-1.aws.found.io/app/kibana#/discover/Steve-Slow-Train-Analysis-(2080s-and-2083s)?_g=(refreshInterval:(display:Off,pause:!f,section:0,value:0),time:(from:'2017-10-25T16:35:31-0600',mode:absolute,to:'2017-10-25T18:54:44-0600'))&amp;_a=(columns:!('Message%20ID',Summary),filters:!(),index:'emp_*',interval:auto,query:(query_string:(analyze_wildcard:!t,query:'%22rtdc.l.rtdc.4024%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827</v>
      </c>
      <c r="B196" s="7">
        <v>4023</v>
      </c>
      <c r="C196" s="21" t="s">
        <v>194</v>
      </c>
      <c r="D196" s="21" t="s">
        <v>613</v>
      </c>
      <c r="E196" s="13">
        <v>43033.74722222222</v>
      </c>
      <c r="F196" s="13">
        <v>43033.759131944447</v>
      </c>
      <c r="G196" s="7">
        <v>61</v>
      </c>
      <c r="H196" s="21" t="s">
        <v>1076</v>
      </c>
      <c r="I196" s="13">
        <v>43033.767384259256</v>
      </c>
      <c r="J196" s="7">
        <v>0</v>
      </c>
      <c r="K196" s="89" t="str">
        <f>IF(ISEVEN(B196),(B196-1)&amp;"/"&amp;B196,B196&amp;"/"&amp;(B196+1))</f>
        <v>4023/4024</v>
      </c>
      <c r="L196" s="185" t="str">
        <f>VLOOKUP(A196,'Trips&amp;Operators'!$C$1:$G$99911,5,FALSE)</f>
        <v>STAMBAUGH JAMES</v>
      </c>
      <c r="M196" s="6">
        <f>I196-F196</f>
        <v>8.2523148084874265E-3</v>
      </c>
      <c r="N196" s="7">
        <f>24*60*SUM($M196:$M196)</f>
        <v>11.883333324221894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-25T16:56:00-0600',mode:absolute,to:'2017-10-25T19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5.8655999999999997</v>
      </c>
      <c r="Z196" s="204">
        <f>RIGHT(H196,LEN(H196)-4)/10000</f>
        <v>6.7500000000000004E-2</v>
      </c>
      <c r="AA196" s="204">
        <f>ABS(Z196-Y196)</f>
        <v>5.7980999999999998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836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/stypes="app*4023*20171026*"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21"/>
        <v>"%USERPROFILE%\Documents\GitHub\eaglep3\Utilities\RefineRTDCRunTimes.py" --tripid 836-25 --locoid 4023 --swversion DE.1.0.9.0 --startMP 300:58656 --initTime 2017-10-25T17:56:00 --startdatetime 2017-10-25T18:13:09 --delay 61 --endMP 204:675 --enddatetime 2017-10-25T18:25:02 --enforcementcount 0 &gt;&gt;%USERPROFILE%\Documents\GitHub\eaglep3-reporting\EC\2017-10-25-refined-times.txt</v>
      </c>
      <c r="AI196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{"issue":{"subject":"","project_id":79,"tracker_id":40,"status_id":1,"priority_id":2,"assigned_to_id":338,"start_date":"2017-10-25","description":"","custom_fields":[{"id":1,"name":"Subdivision","value":"NW"},{"id":4,"name":"Milepost","value":"0.0675"},{"id":17,"name":"Train ID","value":"836-25"},{"id":16,"name":"Locomotive ID","value":"4023"},{"id":130,"name":"Impact","value":""},{"id":150,"name":"Time of Event (Mountain Time)","value":"18:25:02"},{"id":151,"name":"Denver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23"/>
        <v>start /low /b %USERPROFILE%\Documents\GitHub\eaglep3\Utilities\DownloadLogsFromS3.py --loco 4023 --day 2017-10-25</v>
      </c>
      <c r="AN196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25"/>
        <v>https://d0f6bd738d7f1b3e5a7ca70fe4ff75f0.us-east-1.aws.found.io/app/kibana#/discover/Steve-Slow-Train-Analysis-(2080s-and-2083s)?_g=(refreshInterval:(display:Off,pause:!f,section:0,value:0),time:(from:'2017-10-25T16:56:00-0600',mode:absolute,to:'2017-10-25T19:25:02-0600'))&amp;_a=(columns:!('Message%20ID',Summary),filters:!(),index:'emp_*',interval:auto,query:(query_string:(analyze_wildcard:!t,query:'%22rtdc.l.rtdc.4023%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829</v>
      </c>
      <c r="B197" s="7">
        <v>4052</v>
      </c>
      <c r="C197" s="21" t="s">
        <v>194</v>
      </c>
      <c r="D197" s="21" t="s">
        <v>1077</v>
      </c>
      <c r="E197" s="13">
        <v>43033.751226851855</v>
      </c>
      <c r="F197" s="13">
        <v>43033.756608796299</v>
      </c>
      <c r="G197" s="7">
        <v>59</v>
      </c>
      <c r="H197" s="21" t="s">
        <v>616</v>
      </c>
      <c r="I197" s="13">
        <v>43033.768182870372</v>
      </c>
      <c r="J197" s="7">
        <v>0</v>
      </c>
      <c r="K197" s="89" t="str">
        <f>IF(ISEVEN(B197),(B197-1)&amp;"/"&amp;B197,B197&amp;"/"&amp;(B197+1))</f>
        <v>4051/4052</v>
      </c>
      <c r="L197" s="185" t="str">
        <f>VLOOKUP(A197,'Trips&amp;Operators'!$C$1:$G$99911,5,FALSE)</f>
        <v>LEVERE CRAIG</v>
      </c>
      <c r="M197" s="6">
        <f>I197-F197</f>
        <v>1.1574074072996154E-2</v>
      </c>
      <c r="N197" s="7">
        <f>24*60*SUM($M197:$M197)</f>
        <v>16.666666665114462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-25T17:01:46-0600',mode:absolute,to:'2017-10-25T19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9.7900000000000001E-2</v>
      </c>
      <c r="Z197" s="204">
        <f>RIGHT(H197,LEN(H197)-4)/10000</f>
        <v>5.8963000000000001</v>
      </c>
      <c r="AA197" s="204">
        <f>ABS(Z197-Y197)</f>
        <v>5.7984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837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/stypes="app*4052*20171026*"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21"/>
        <v>"%USERPROFILE%\Documents\GitHub\eaglep3\Utilities\RefineRTDCRunTimes.py" --tripid 837-25 --locoid 4052 --swversion DE.1.0.9.0 --startMP 204:979 --initTime 2017-10-25T18:01:46 --startdatetime 2017-10-25T18:09:31 --delay 59 --endMP 300:58963 --enddatetime 2017-10-25T18:26:11 --enforcementcount 0 &gt;&gt;%USERPROFILE%\Documents\GitHub\eaglep3-reporting\EC\2017-10-25-refined-times.txt</v>
      </c>
      <c r="AI197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{"issue":{"subject":"","project_id":79,"tracker_id":40,"status_id":1,"priority_id":2,"assigned_to_id":338,"start_date":"2017-10-25","description":"","custom_fields":[{"id":1,"name":"Subdivision","value":"NW"},{"id":4,"name":"Milepost","value":"5.8963"},{"id":17,"name":"Train ID","value":"837-25"},{"id":16,"name":"Locomotive ID","value":"4052"},{"id":130,"name":"Impact","value":""},{"id":150,"name":"Time of Event (Mountain Time)","value":"18:26:11"},{"id":151,"name":"Denver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3"/>
        <v>start /low /b %USERPROFILE%\Documents\GitHub\eaglep3\Utilities\DownloadLogsFromS3.py --loco 4052 --day 2017-10-25</v>
      </c>
      <c r="AN197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25"/>
        <v>https://d0f6bd738d7f1b3e5a7ca70fe4ff75f0.us-east-1.aws.found.io/app/kibana#/discover/Steve-Slow-Train-Analysis-(2080s-and-2083s)?_g=(refreshInterval:(display:Off,pause:!f,section:0,value:0),time:(from:'2017-10-25T17:01:46-0600',mode:absolute,to:'2017-10-25T19:26:11-0600'))&amp;_a=(columns:!('Message%20ID',Summary),filters:!(),index:'emp_*',interval:auto,query:(query_string:(analyze_wildcard:!t,query:'%22rtdc.l.rtdc.4052%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831</v>
      </c>
      <c r="B198" s="7">
        <v>4051</v>
      </c>
      <c r="C198" s="21" t="s">
        <v>194</v>
      </c>
      <c r="D198" s="21" t="s">
        <v>617</v>
      </c>
      <c r="E198" s="13">
        <v>43033.769814814812</v>
      </c>
      <c r="F198" s="13">
        <v>43033.779618055552</v>
      </c>
      <c r="G198" s="7">
        <v>70</v>
      </c>
      <c r="H198" s="21" t="s">
        <v>1039</v>
      </c>
      <c r="I198" s="13">
        <v>43033.790509259263</v>
      </c>
      <c r="J198" s="7">
        <v>0</v>
      </c>
      <c r="K198" s="89" t="str">
        <f>IF(ISEVEN(B198),(B198-1)&amp;"/"&amp;B198,B198&amp;"/"&amp;(B198+1))</f>
        <v>4051/4052</v>
      </c>
      <c r="L198" s="185" t="str">
        <f>VLOOKUP(A198,'Trips&amp;Operators'!$C$1:$G$99911,5,FALSE)</f>
        <v>LEVERE CRAIG</v>
      </c>
      <c r="M198" s="6">
        <f>I198-F198</f>
        <v>1.0891203710343689E-2</v>
      </c>
      <c r="N198" s="7">
        <f>24*60*SUM($M198:$M198)</f>
        <v>15.683333342894912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-25T17:28:32-0600',mode:absolute,to:'2017-10-25T19:58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5.8643000000000001</v>
      </c>
      <c r="Z198" s="204">
        <f>RIGHT(H198,LEN(H198)-4)/10000</f>
        <v>6.9900000000000004E-2</v>
      </c>
      <c r="AA198" s="204">
        <f>ABS(Z198-Y198)</f>
        <v>5.7944000000000004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838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/stypes="app*4051*20171026*"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21"/>
        <v>"%USERPROFILE%\Documents\GitHub\eaglep3\Utilities\RefineRTDCRunTimes.py" --tripid 838-25 --locoid 4051 --swversion DE.1.0.9.0 --startMP 300:58643 --initTime 2017-10-25T18:28:32 --startdatetime 2017-10-25T18:42:39 --delay 70 --endMP 204:699 --enddatetime 2017-10-25T18:58:20 --enforcementcount 0 &gt;&gt;%USERPROFILE%\Documents\GitHub\eaglep3-reporting\EC\2017-10-25-refined-times.txt</v>
      </c>
      <c r="AI198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{"issue":{"subject":"","project_id":79,"tracker_id":40,"status_id":1,"priority_id":2,"assigned_to_id":338,"start_date":"2017-10-25","description":"","custom_fields":[{"id":1,"name":"Subdivision","value":"NW"},{"id":4,"name":"Milepost","value":"0.0699"},{"id":17,"name":"Train ID","value":"838-25"},{"id":16,"name":"Locomotive ID","value":"4051"},{"id":130,"name":"Impact","value":""},{"id":150,"name":"Time of Event (Mountain Time)","value":"18:58:20"},{"id":151,"name":"Denver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23"/>
        <v>start /low /b %USERPROFILE%\Documents\GitHub\eaglep3\Utilities\DownloadLogsFromS3.py --loco 4051 --day 2017-10-25</v>
      </c>
      <c r="AN198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00:58:20"},{"id":29,"name":"Sharepoint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25"/>
        <v>https://d0f6bd738d7f1b3e5a7ca70fe4ff75f0.us-east-1.aws.found.io/app/kibana#/discover/Steve-Slow-Train-Analysis-(2080s-and-2083s)?_g=(refreshInterval:(display:Off,pause:!f,section:0,value:0),time:(from:'2017-10-25T17:28:32-0600',mode:absolute,to:'2017-10-25T19:58:20-0600'))&amp;_a=(columns:!('Message%20ID',Summary),filters:!(),index:'emp_*',interval:auto,query:(query_string:(analyze_wildcard:!t,query:'%22rtdc.l.rtdc.4051%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657</v>
      </c>
      <c r="B199" s="7">
        <v>4024</v>
      </c>
      <c r="C199" s="21" t="s">
        <v>194</v>
      </c>
      <c r="D199" s="21" t="s">
        <v>1078</v>
      </c>
      <c r="E199" s="13">
        <v>43033.774004629631</v>
      </c>
      <c r="F199" s="13">
        <v>43033.779374999998</v>
      </c>
      <c r="G199" s="7">
        <v>66</v>
      </c>
      <c r="H199" s="21" t="s">
        <v>1079</v>
      </c>
      <c r="I199" s="13">
        <v>43033.788854166669</v>
      </c>
      <c r="J199" s="7">
        <v>0</v>
      </c>
      <c r="K199" s="89" t="str">
        <f>IF(ISEVEN(B199),(B199-1)&amp;"/"&amp;B199,B199&amp;"/"&amp;(B199+1))</f>
        <v>4023/4024</v>
      </c>
      <c r="L199" s="185" t="str">
        <f>VLOOKUP(A199,'Trips&amp;Operators'!$C$1:$G$99911,5,FALSE)</f>
        <v>STAMBAUGH JAMES</v>
      </c>
      <c r="M199" s="6">
        <f>I199-F199</f>
        <v>9.4791666706441902E-3</v>
      </c>
      <c r="N199" s="7"/>
      <c r="O199" s="7"/>
      <c r="P199" s="7"/>
      <c r="Q199" s="22"/>
      <c r="R199" s="174"/>
      <c r="S199" s="221"/>
      <c r="T199" s="174" t="str">
        <f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-25T17:34:34-0600',mode:absolute,to:'2017-10-25T19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9" s="204" t="str">
        <f>IF(AA199&lt;VLOOKUP(AG199,Variables!$AC$3:$AD$8,2,FALSE),"Y","N")</f>
        <v>Y</v>
      </c>
      <c r="X199" s="204">
        <f>VALUE(LEFT(AD199,4))-VALUE(LEFT(AD198,4))</f>
        <v>1</v>
      </c>
      <c r="Y199" s="204">
        <f>RIGHT(D199,LEN(D199)-4)/10000</f>
        <v>9.9000000000000005E-2</v>
      </c>
      <c r="Z199" s="204">
        <f>RIGHT(H199,LEN(H199)-4)/10000</f>
        <v>0.1827</v>
      </c>
      <c r="AA199" s="204">
        <f>ABS(Z199-Y199)</f>
        <v>8.3699999999999997E-2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839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/stypes="app*4024*20171026*" /stext=" 00:.+((SYSTEM_STATE.+slice.+state.+changed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21"/>
        <v>"%USERPROFILE%\Documents\GitHub\eaglep3\Utilities\RefineRTDCRunTimes.py" --tripid 839-25 --locoid 4024 --swversion DE.1.0.9.0 --startMP 204:990 --initTime 2017-10-25T18:34:34 --startdatetime 2017-10-25T18:42:18 --delay 66 --endMP 204:1827 --enddatetime 2017-10-25T18:55:57 --enforcementcount 0 &gt;&gt;%USERPROFILE%\Documents\GitHub\eaglep3-reporting\EC\2017-10-25-refined-times.txt</v>
      </c>
      <c r="AI199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{"issue":{"subject":"","project_id":79,"tracker_id":40,"status_id":1,"priority_id":2,"assigned_to_id":338,"start_date":"2017-10-25","description":"","custom_fields":[{"id":1,"name":"Subdivision","value":"NW"},{"id":4,"name":"Milepost","value":"0.1827"},{"id":17,"name":"Train ID","value":"839-25"},{"id":16,"name":"Locomotive ID","value":"4024"},{"id":130,"name":"Impact","value":""},{"id":150,"name":"Time of Event (Mountain Time)","value":"18:55:57"},{"id":151,"name":"Denver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3"/>
        <v>start /low /b %USERPROFILE%\Documents\GitHub\eaglep3\Utilities\DownloadLogsFromS3.py --loco 4024 --day 2017-10-25</v>
      </c>
      <c r="AN199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25"/>
        <v>https://d0f6bd738d7f1b3e5a7ca70fe4ff75f0.us-east-1.aws.found.io/app/kibana#/discover/Steve-Slow-Train-Analysis-(2080s-and-2083s)?_g=(refreshInterval:(display:Off,pause:!f,section:0,value:0),time:(from:'2017-10-25T17:34:34-0600',mode:absolute,to:'2017-10-25T19:55:57-0600'))&amp;_a=(columns:!('Message%20ID',Summary),filters:!(),index:'emp_*',interval:auto,query:(query_string:(analyze_wildcard:!t,query:'%22rtdc.l.rtdc.4024%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657</v>
      </c>
      <c r="B200" s="7">
        <v>4024</v>
      </c>
      <c r="C200" s="21" t="s">
        <v>194</v>
      </c>
      <c r="D200" s="21" t="s">
        <v>1080</v>
      </c>
      <c r="E200" s="13">
        <v>43033.77851851852</v>
      </c>
      <c r="F200" s="13">
        <v>43033.779374999998</v>
      </c>
      <c r="G200" s="7">
        <v>45</v>
      </c>
      <c r="H200" s="21" t="s">
        <v>1081</v>
      </c>
      <c r="I200" s="13">
        <v>43033.788854166669</v>
      </c>
      <c r="J200" s="7">
        <v>0</v>
      </c>
      <c r="K200" s="89" t="str">
        <f>IF(ISEVEN(B200),(B200-1)&amp;"/"&amp;B200,B200&amp;"/"&amp;(B200+1))</f>
        <v>4023/4024</v>
      </c>
      <c r="L200" s="185" t="str">
        <f>VLOOKUP(A200,'Trips&amp;Operators'!$C$1:$G$99911,5,FALSE)</f>
        <v>STAMBAUGH JAMES</v>
      </c>
      <c r="M200" s="6">
        <f>I200-F200</f>
        <v>9.4791666706441902E-3</v>
      </c>
      <c r="N200" s="7">
        <f>24*60*SUM($M200:$M200)</f>
        <v>13.650000005727634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-25T17:41:04-0600',mode:absolute,to:'2017-10-25T19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0</v>
      </c>
      <c r="Y200" s="204">
        <f>RIGHT(D200,LEN(D200)-4)/10000</f>
        <v>0.18290000000000001</v>
      </c>
      <c r="Z200" s="204">
        <f>RIGHT(H200,LEN(H200)-4)/10000</f>
        <v>5.8945999999999996</v>
      </c>
      <c r="AA200" s="204">
        <f>ABS(Z200-Y200)</f>
        <v>5.7116999999999996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839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/stypes="app*4024*20171026*" /stext=" 00:.+((SYSTEM_STATE.+slice.+state.+changed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21"/>
        <v>"%USERPROFILE%\Documents\GitHub\eaglep3\Utilities\RefineRTDCRunTimes.py" --tripid 839-25 --locoid 4024 --swversion DE.1.0.9.0 --startMP 204:1829 --initTime 2017-10-25T18:41:04 --startdatetime 2017-10-25T18:42:18 --delay 45 --endMP 300:58946 --enddatetime 2017-10-25T18:55:57 --enforcementcount 0 &gt;&gt;%USERPROFILE%\Documents\GitHub\eaglep3-reporting\EC\2017-10-25-refined-times.txt</v>
      </c>
      <c r="AI200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{"issue":{"subject":"","project_id":79,"tracker_id":40,"status_id":1,"priority_id":2,"assigned_to_id":338,"start_date":"2017-10-25","description":"","custom_fields":[{"id":1,"name":"Subdivision","value":"NW"},{"id":4,"name":"Milepost","value":"5.8946"},{"id":17,"name":"Train ID","value":"839-25"},{"id":16,"name":"Locomotive ID","value":"4024"},{"id":130,"name":"Impact","value":""},{"id":150,"name":"Time of Event (Mountain Time)","value":"18:55:57"},{"id":151,"name":"Denver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23"/>
        <v>start /low /b %USERPROFILE%\Documents\GitHub\eaglep3\Utilities\DownloadLogsFromS3.py --loco 4024 --day 2017-10-25</v>
      </c>
      <c r="AN200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25"/>
        <v>https://d0f6bd738d7f1b3e5a7ca70fe4ff75f0.us-east-1.aws.found.io/app/kibana#/discover/Steve-Slow-Train-Analysis-(2080s-and-2083s)?_g=(refreshInterval:(display:Off,pause:!f,section:0,value:0),time:(from:'2017-10-25T17:41:04-0600',mode:absolute,to:'2017-10-25T19:55:57-0600'))&amp;_a=(columns:!('Message%20ID',Summary),filters:!(),index:'emp_*',interval:auto,query:(query_string:(analyze_wildcard:!t,query:'%22rtdc.l.rtdc.4024%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841</v>
      </c>
      <c r="B201" s="7">
        <v>4051</v>
      </c>
      <c r="C201" s="21" t="s">
        <v>194</v>
      </c>
      <c r="D201" s="21" t="s">
        <v>556</v>
      </c>
      <c r="E201" s="13">
        <v>43033.810555555552</v>
      </c>
      <c r="F201" s="13">
        <v>43033.821805555555</v>
      </c>
      <c r="G201" s="7">
        <v>73</v>
      </c>
      <c r="H201" s="21" t="s">
        <v>1036</v>
      </c>
      <c r="I201" s="13">
        <v>43033.830937500003</v>
      </c>
      <c r="J201" s="7">
        <v>0</v>
      </c>
      <c r="K201" s="89" t="str">
        <f>IF(ISEVEN(B201),(B201-1)&amp;"/"&amp;B201,B201&amp;"/"&amp;(B201+1))</f>
        <v>4051/4052</v>
      </c>
      <c r="L201" s="185" t="str">
        <f>VLOOKUP(A201,'Trips&amp;Operators'!$C$1:$G$99911,5,FALSE)</f>
        <v>LEVERE CRAIG</v>
      </c>
      <c r="M201" s="6">
        <f>I201-F201</f>
        <v>9.1319444472901523E-3</v>
      </c>
      <c r="N201" s="7">
        <f>24*60*SUM($M201:$M201)</f>
        <v>13.150000004097819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-25T18:27:12-0600',mode:absolute,to:'2017-10-25T20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5.8616999999999999</v>
      </c>
      <c r="Z201" s="204">
        <f>RIGHT(H201,LEN(H201)-4)/10000</f>
        <v>6.8699999999999997E-2</v>
      </c>
      <c r="AA201" s="204">
        <f>ABS(Z201-Y201)</f>
        <v>5.7930000000000001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840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/stypes="app*4051*20171026*" /stext=" 01:.+((SYSTEM_STATE.+slice.+state.+changed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21"/>
        <v>"%USERPROFILE%\Documents\GitHub\eaglep3\Utilities\RefineRTDCRunTimes.py" --tripid 840-25 --locoid 4051 --swversion DE.1.0.9.0 --startMP 300:58617 --initTime 2017-10-25T19:27:12 --startdatetime 2017-10-25T19:43:24 --delay 73 --endMP 204:687 --enddatetime 2017-10-25T19:56:33 --enforcementcount 0 &gt;&gt;%USERPROFILE%\Documents\GitHub\eaglep3-reporting\EC\2017-10-25-refined-times.txt</v>
      </c>
      <c r="AI201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{"issue":{"subject":"","project_id":79,"tracker_id":40,"status_id":1,"priority_id":2,"assigned_to_id":338,"start_date":"2017-10-25","description":"","custom_fields":[{"id":1,"name":"Subdivision","value":"NW"},{"id":4,"name":"Milepost","value":"0.0687"},{"id":17,"name":"Train ID","value":"840-25"},{"id":16,"name":"Locomotive ID","value":"4051"},{"id":130,"name":"Impact","value":""},{"id":150,"name":"Time of Event (Mountain Time)","value":"19:56:33"},{"id":151,"name":"Denver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23"/>
        <v>start /low /b %USERPROFILE%\Documents\GitHub\eaglep3\Utilities\DownloadLogsFromS3.py --loco 4051 --day 2017-10-25</v>
      </c>
      <c r="AN201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25"/>
        <v>https://d0f6bd738d7f1b3e5a7ca70fe4ff75f0.us-east-1.aws.found.io/app/kibana#/discover/Steve-Slow-Train-Analysis-(2080s-and-2083s)?_g=(refreshInterval:(display:Off,pause:!f,section:0,value:0),time:(from:'2017-10-25T18:27:12-0600',mode:absolute,to:'2017-10-25T20:56:33-0600'))&amp;_a=(columns:!('Message%20ID',Summary),filters:!(),index:'emp_*',interval:auto,query:(query_string:(analyze_wildcard:!t,query:'%22rtdc.l.rtdc.4051%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836</v>
      </c>
      <c r="B202" s="7">
        <v>4052</v>
      </c>
      <c r="C202" s="21" t="s">
        <v>194</v>
      </c>
      <c r="D202" s="21" t="s">
        <v>1082</v>
      </c>
      <c r="E202" s="13">
        <v>43033.795173611114</v>
      </c>
      <c r="F202" s="13">
        <v>43033.798506944448</v>
      </c>
      <c r="G202" s="7">
        <v>70</v>
      </c>
      <c r="H202" s="21" t="s">
        <v>553</v>
      </c>
      <c r="I202" s="13">
        <v>43033.809189814812</v>
      </c>
      <c r="J202" s="7">
        <v>0</v>
      </c>
      <c r="K202" s="89" t="str">
        <f>IF(ISEVEN(B202),(B202-1)&amp;"/"&amp;B202,B202&amp;"/"&amp;(B202+1))</f>
        <v>4051/4052</v>
      </c>
      <c r="L202" s="185" t="str">
        <f>VLOOKUP(A202,'Trips&amp;Operators'!$C$1:$G$99911,5,FALSE)</f>
        <v>LEVERE CRAIG</v>
      </c>
      <c r="M202" s="6">
        <f>I202-F202</f>
        <v>1.0682870364689734E-2</v>
      </c>
      <c r="N202" s="7">
        <f>24*60*SUM($M202:$M202)</f>
        <v>15.383333325153217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-25T18:05:03-0600',mode:absolute,to:'2017-10-25T20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9.8599999999999993E-2</v>
      </c>
      <c r="Z202" s="204">
        <f>RIGHT(H202,LEN(H202)-4)/10000</f>
        <v>5.8943000000000003</v>
      </c>
      <c r="AA202" s="204">
        <f>ABS(Z202-Y202)</f>
        <v>5.7957000000000001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841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/stypes="app*4052*20171026*" /stext=" 01:.+((SYSTEM_STATE.+slice.+state.+changed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21"/>
        <v>"%USERPROFILE%\Documents\GitHub\eaglep3\Utilities\RefineRTDCRunTimes.py" --tripid 841-25 --locoid 4052 --swversion DE.1.0.9.0 --startMP 204:986 --initTime 2017-10-25T19:05:03 --startdatetime 2017-10-25T19:09:51 --delay 70 --endMP 300:58943 --enddatetime 2017-10-25T19:25:14 --enforcementcount 0 &gt;&gt;%USERPROFILE%\Documents\GitHub\eaglep3-reporting\EC\2017-10-25-refined-times.txt</v>
      </c>
      <c r="AI202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{"issue":{"subject":"","project_id":79,"tracker_id":40,"status_id":1,"priority_id":2,"assigned_to_id":338,"start_date":"2017-10-25","description":"","custom_fields":[{"id":1,"name":"Subdivision","value":"NW"},{"id":4,"name":"Milepost","value":"5.8943"},{"id":17,"name":"Train ID","value":"841-25"},{"id":16,"name":"Locomotive ID","value":"4052"},{"id":130,"name":"Impact","value":""},{"id":150,"name":"Time of Event (Mountain Time)","value":"19:25:14"},{"id":151,"name":"Denver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3"/>
        <v>start /low /b %USERPROFILE%\Documents\GitHub\eaglep3\Utilities\DownloadLogsFromS3.py --loco 4052 --day 2017-10-25</v>
      </c>
      <c r="AN202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25"/>
        <v>https://d0f6bd738d7f1b3e5a7ca70fe4ff75f0.us-east-1.aws.found.io/app/kibana#/discover/Steve-Slow-Train-Analysis-(2080s-and-2083s)?_g=(refreshInterval:(display:Off,pause:!f,section:0,value:0),time:(from:'2017-10-25T18:05:03-0600',mode:absolute,to:'2017-10-25T20:25:14-0600'))&amp;_a=(columns:!('Message%20ID',Summary),filters:!(),index:'emp_*',interval:auto,query:(query_string:(analyze_wildcard:!t,query:'%22rtdc.l.rtdc.4052%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847</v>
      </c>
      <c r="B203" s="7">
        <v>4051</v>
      </c>
      <c r="C203" s="21" t="s">
        <v>194</v>
      </c>
      <c r="D203" s="21" t="s">
        <v>608</v>
      </c>
      <c r="E203" s="13">
        <v>43033.852754629632</v>
      </c>
      <c r="F203" s="13">
        <v>43033.863275462965</v>
      </c>
      <c r="G203" s="7">
        <v>58</v>
      </c>
      <c r="H203" s="21" t="s">
        <v>1083</v>
      </c>
      <c r="I203" s="13">
        <v>43033.872800925928</v>
      </c>
      <c r="J203" s="7">
        <v>0</v>
      </c>
      <c r="K203" s="89" t="str">
        <f>IF(ISEVEN(B203),(B203-1)&amp;"/"&amp;B203,B203&amp;"/"&amp;(B203+1))</f>
        <v>4051/4052</v>
      </c>
      <c r="L203" s="185" t="str">
        <f>VLOOKUP(A203,'Trips&amp;Operators'!$C$1:$G$99911,5,FALSE)</f>
        <v>LEVERE CRAIG</v>
      </c>
      <c r="M203" s="6">
        <f>I203-F203</f>
        <v>9.5254629632108845E-3</v>
      </c>
      <c r="N203" s="7">
        <f>24*60*SUM($M203:$M203)</f>
        <v>13.716666667023674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-25T19:27:58-0600',mode:absolute,to:'2017-10-25T21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5.8653000000000004</v>
      </c>
      <c r="Z203" s="204">
        <f>RIGHT(H203,LEN(H203)-4)/10000</f>
        <v>6.8000000000000005E-2</v>
      </c>
      <c r="AA203" s="204">
        <f>ABS(Z203-Y203)</f>
        <v>5.7973000000000008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842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/stypes="app*4051*20171026*" /stext=" 02:.+((SYSTEM_STATE.+slice.+state.+changed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21"/>
        <v>"%USERPROFILE%\Documents\GitHub\eaglep3\Utilities\RefineRTDCRunTimes.py" --tripid 842-25 --locoid 4051 --swversion DE.1.0.9.0 --startMP 300:58653 --initTime 2017-10-25T20:27:58 --startdatetime 2017-10-25T20:43:07 --delay 58 --endMP 204:680 --enddatetime 2017-10-25T20:56:50 --enforcementcount 0 &gt;&gt;%USERPROFILE%\Documents\GitHub\eaglep3-reporting\EC\2017-10-25-refined-times.txt</v>
      </c>
      <c r="AI203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{"issue":{"subject":"","project_id":79,"tracker_id":40,"status_id":1,"priority_id":2,"assigned_to_id":338,"start_date":"2017-10-25","description":"","custom_fields":[{"id":1,"name":"Subdivision","value":"NW"},{"id":4,"name":"Milepost","value":"0.068"},{"id":17,"name":"Train ID","value":"842-25"},{"id":16,"name":"Locomotive ID","value":"4051"},{"id":130,"name":"Impact","value":""},{"id":150,"name":"Time of Event (Mountain Time)","value":"20:56:50"},{"id":151,"name":"Denver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3"/>
        <v>start /low /b %USERPROFILE%\Documents\GitHub\eaglep3\Utilities\DownloadLogsFromS3.py --loco 4051 --day 2017-10-25</v>
      </c>
      <c r="AN203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02:56:50"},{"id":29,"name":"Sharepoint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25"/>
        <v>https://d0f6bd738d7f1b3e5a7ca70fe4ff75f0.us-east-1.aws.found.io/app/kibana#/discover/Steve-Slow-Train-Analysis-(2080s-and-2083s)?_g=(refreshInterval:(display:Off,pause:!f,section:0,value:0),time:(from:'2017-10-25T19:27:58-0600',mode:absolute,to:'2017-10-25T21:56:50-0600'))&amp;_a=(columns:!('Message%20ID',Summary),filters:!(),index:'emp_*',interval:auto,query:(query_string:(analyze_wildcard:!t,query:'%22rtdc.l.rtdc.4051%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845</v>
      </c>
      <c r="B204" s="7">
        <v>4052</v>
      </c>
      <c r="C204" s="21" t="s">
        <v>194</v>
      </c>
      <c r="D204" s="21" t="s">
        <v>1051</v>
      </c>
      <c r="E204" s="13">
        <v>43033.83630787037</v>
      </c>
      <c r="F204" s="13">
        <v>43033.840138888889</v>
      </c>
      <c r="G204" s="7">
        <v>61</v>
      </c>
      <c r="H204" s="21" t="s">
        <v>618</v>
      </c>
      <c r="I204" s="13">
        <v>43033.851215277777</v>
      </c>
      <c r="J204" s="7">
        <v>0</v>
      </c>
      <c r="K204" s="89" t="str">
        <f>IF(ISEVEN(B204),(B204-1)&amp;"/"&amp;B204,B204&amp;"/"&amp;(B204+1))</f>
        <v>4051/4052</v>
      </c>
      <c r="L204" s="185" t="str">
        <f>VLOOKUP(A204,'Trips&amp;Operators'!$C$1:$G$99911,5,FALSE)</f>
        <v>LEVERE CRAIG</v>
      </c>
      <c r="M204" s="6">
        <f>I204-F204</f>
        <v>1.1076388887886424E-2</v>
      </c>
      <c r="N204" s="7">
        <f>24*60*SUM($M204:$M204)</f>
        <v>15.94999999855645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-25T19:04:17-0600',mode:absolute,to:'2017-10-25T21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9.9299999999999999E-2</v>
      </c>
      <c r="Z204" s="204">
        <f>RIGHT(H204,LEN(H204)-4)/10000</f>
        <v>5.8967000000000001</v>
      </c>
      <c r="AA204" s="204">
        <f>ABS(Z204-Y204)</f>
        <v>5.7973999999999997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843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/stypes="app*4052*20171026*" /stext=" 02:.+((SYSTEM_STATE.+slice.+state.+changed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21"/>
        <v>"%USERPROFILE%\Documents\GitHub\eaglep3\Utilities\RefineRTDCRunTimes.py" --tripid 843-25 --locoid 4052 --swversion DE.1.0.9.0 --startMP 204:993 --initTime 2017-10-25T20:04:17 --startdatetime 2017-10-25T20:09:48 --delay 61 --endMP 300:58967 --enddatetime 2017-10-25T20:25:45 --enforcementcount 0 &gt;&gt;%USERPROFILE%\Documents\GitHub\eaglep3-reporting\EC\2017-10-25-refined-times.txt</v>
      </c>
      <c r="AI204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{"issue":{"subject":"","project_id":79,"tracker_id":40,"status_id":1,"priority_id":2,"assigned_to_id":338,"start_date":"2017-10-25","description":"","custom_fields":[{"id":1,"name":"Subdivision","value":"NW"},{"id":4,"name":"Milepost","value":"5.8967"},{"id":17,"name":"Train ID","value":"843-25"},{"id":16,"name":"Locomotive ID","value":"4052"},{"id":130,"name":"Impact","value":""},{"id":150,"name":"Time of Event (Mountain Time)","value":"20:25:45"},{"id":151,"name":"Denver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23"/>
        <v>start /low /b %USERPROFILE%\Documents\GitHub\eaglep3\Utilities\DownloadLogsFromS3.py --loco 4052 --day 2017-10-25</v>
      </c>
      <c r="AN204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02:25:45"},{"id":29,"name":"Sharepoint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25"/>
        <v>https://d0f6bd738d7f1b3e5a7ca70fe4ff75f0.us-east-1.aws.found.io/app/kibana#/discover/Steve-Slow-Train-Analysis-(2080s-and-2083s)?_g=(refreshInterval:(display:Off,pause:!f,section:0,value:0),time:(from:'2017-10-25T19:04:17-0600',mode:absolute,to:'2017-10-25T21:25:45-0600'))&amp;_a=(columns:!('Message%20ID',Summary),filters:!(),index:'emp_*',interval:auto,query:(query_string:(analyze_wildcard:!t,query:'%22rtdc.l.rtdc.4052%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853</v>
      </c>
      <c r="B205" s="7">
        <v>4051</v>
      </c>
      <c r="C205" s="21" t="s">
        <v>194</v>
      </c>
      <c r="D205" s="21" t="s">
        <v>1084</v>
      </c>
      <c r="E205" s="13">
        <v>43033.891377314816</v>
      </c>
      <c r="F205" s="13">
        <v>43033.904988425929</v>
      </c>
      <c r="G205" s="7">
        <v>60</v>
      </c>
      <c r="H205" s="21" t="s">
        <v>903</v>
      </c>
      <c r="I205" s="13">
        <v>43033.912685185183</v>
      </c>
      <c r="J205" s="7">
        <v>0</v>
      </c>
      <c r="K205" s="89" t="str">
        <f>IF(ISEVEN(B205),(B205-1)&amp;"/"&amp;B205,B205&amp;"/"&amp;(B205+1))</f>
        <v>4051/4052</v>
      </c>
      <c r="L205" s="185" t="str">
        <f>VLOOKUP(A205,'Trips&amp;Operators'!$C$1:$G$99911,5,FALSE)</f>
        <v>STAMBAUGH JAMES</v>
      </c>
      <c r="M205" s="6">
        <f>I205-F205</f>
        <v>7.696759254031349E-3</v>
      </c>
      <c r="N205" s="7">
        <f>24*60*SUM($M205:$M205)</f>
        <v>11.083333325805143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-25T20:23:35-0600',mode:absolute,to:'2017-10-25T22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5.8624000000000001</v>
      </c>
      <c r="Z205" s="204">
        <f>RIGHT(H205,LEN(H205)-4)/10000</f>
        <v>6.3100000000000003E-2</v>
      </c>
      <c r="AA205" s="204">
        <f>ABS(Z205-Y205)</f>
        <v>5.7992999999999997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844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/stypes="app*4051*20171026*" /stext=" 03:.+((SYSTEM_STATE.+slice.+state.+changed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21"/>
        <v>"%USERPROFILE%\Documents\GitHub\eaglep3\Utilities\RefineRTDCRunTimes.py" --tripid 844-25 --locoid 4051 --swversion DE.1.0.9.0 --startMP 300:58624 --initTime 2017-10-25T21:23:35 --startdatetime 2017-10-25T21:43:11 --delay 60 --endMP 204:631 --enddatetime 2017-10-25T21:54:16 --enforcementcount 0 &gt;&gt;%USERPROFILE%\Documents\GitHub\eaglep3-reporting\EC\2017-10-25-refined-times.txt</v>
      </c>
      <c r="AI205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{"issue":{"subject":"","project_id":79,"tracker_id":40,"status_id":1,"priority_id":2,"assigned_to_id":338,"start_date":"2017-10-25","description":"","custom_fields":[{"id":1,"name":"Subdivision","value":"NW"},{"id":4,"name":"Milepost","value":"0.0631"},{"id":17,"name":"Train ID","value":"844-25"},{"id":16,"name":"Locomotive ID","value":"4051"},{"id":130,"name":"Impact","value":""},{"id":150,"name":"Time of Event (Mountain Time)","value":"21:54:16"},{"id":151,"name":"Denver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3"/>
        <v>start /low /b %USERPROFILE%\Documents\GitHub\eaglep3\Utilities\DownloadLogsFromS3.py --loco 4051 --day 2017-10-25</v>
      </c>
      <c r="AN205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03:54:16"},{"id":29,"name":"Sharepoint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25"/>
        <v>https://d0f6bd738d7f1b3e5a7ca70fe4ff75f0.us-east-1.aws.found.io/app/kibana#/discover/Steve-Slow-Train-Analysis-(2080s-and-2083s)?_g=(refreshInterval:(display:Off,pause:!f,section:0,value:0),time:(from:'2017-10-25T20:23:35-0600',mode:absolute,to:'2017-10-25T22:54:16-0600'))&amp;_a=(columns:!('Message%20ID',Summary),filters:!(),index:'emp_*',interval:auto,query:(query_string:(analyze_wildcard:!t,query:'%22rtdc.l.rtdc.4051%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850</v>
      </c>
      <c r="B206" s="7">
        <v>4052</v>
      </c>
      <c r="C206" s="21" t="s">
        <v>194</v>
      </c>
      <c r="D206" s="21" t="s">
        <v>1069</v>
      </c>
      <c r="E206" s="13">
        <v>43033.875520833331</v>
      </c>
      <c r="F206" s="13">
        <v>43033.881527777776</v>
      </c>
      <c r="G206" s="7">
        <v>68</v>
      </c>
      <c r="H206" s="21" t="s">
        <v>1085</v>
      </c>
      <c r="I206" s="13">
        <v>43033.890370370369</v>
      </c>
      <c r="J206" s="7">
        <v>0</v>
      </c>
      <c r="K206" s="89" t="str">
        <f>IF(ISEVEN(B206),(B206-1)&amp;"/"&amp;B206,B206&amp;"/"&amp;(B206+1))</f>
        <v>4051/4052</v>
      </c>
      <c r="L206" s="185" t="str">
        <f>VLOOKUP(A206,'Trips&amp;Operators'!$C$1:$G$99911,5,FALSE)</f>
        <v>STAMBAUGH JAMES</v>
      </c>
      <c r="M206" s="6">
        <f>I206-F206</f>
        <v>8.8425925932824612E-3</v>
      </c>
      <c r="N206" s="7">
        <f>24*60*SUM($M206:$M206)</f>
        <v>12.733333334326744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-25T20:00:45-0600',mode:absolute,to:'2017-10-25T22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f>RIGHT(D206,LEN(D206)-4)/10000</f>
        <v>9.8500000000000004E-2</v>
      </c>
      <c r="Z206" s="204">
        <f>RIGHT(H206,LEN(H206)-4)/10000</f>
        <v>5.8944000000000001</v>
      </c>
      <c r="AA206" s="204">
        <f>ABS(Z206-Y206)</f>
        <v>5.7959000000000005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845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/stypes="app*4052*20171026*" /stext=" 03:.+((SYSTEM_STATE.+slice.+state.+changed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21"/>
        <v>"%USERPROFILE%\Documents\GitHub\eaglep3\Utilities\RefineRTDCRunTimes.py" --tripid 845-25 --locoid 4052 --swversion DE.1.0.9.0 --startMP 204:985 --initTime 2017-10-25T21:00:45 --startdatetime 2017-10-25T21:09:24 --delay 68 --endMP 300:58944 --enddatetime 2017-10-25T21:22:08 --enforcementcount 0 &gt;&gt;%USERPROFILE%\Documents\GitHub\eaglep3-reporting\EC\2017-10-25-refined-times.txt</v>
      </c>
      <c r="AI206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{"issue":{"subject":"","project_id":79,"tracker_id":40,"status_id":1,"priority_id":2,"assigned_to_id":338,"start_date":"2017-10-25","description":"","custom_fields":[{"id":1,"name":"Subdivision","value":"NW"},{"id":4,"name":"Milepost","value":"5.8944"},{"id":17,"name":"Train ID","value":"845-25"},{"id":16,"name":"Locomotive ID","value":"4052"},{"id":130,"name":"Impact","value":""},{"id":150,"name":"Time of Event (Mountain Time)","value":"21:22:08"},{"id":151,"name":"Denver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3"/>
        <v>start /low /b %USERPROFILE%\Documents\GitHub\eaglep3\Utilities\DownloadLogsFromS3.py --loco 4052 --day 2017-10-25</v>
      </c>
      <c r="AN206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03:22:08"},{"id":29,"name":"Sharepoint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25"/>
        <v>https://d0f6bd738d7f1b3e5a7ca70fe4ff75f0.us-east-1.aws.found.io/app/kibana#/discover/Steve-Slow-Train-Analysis-(2080s-and-2083s)?_g=(refreshInterval:(display:Off,pause:!f,section:0,value:0),time:(from:'2017-10-25T20:00:45-0600',mode:absolute,to:'2017-10-25T22:22:08-0600'))&amp;_a=(columns:!('Message%20ID',Summary),filters:!(),index:'emp_*',interval:auto,query:(query_string:(analyze_wildcard:!t,query:'%22rtdc.l.rtdc.4052%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857</v>
      </c>
      <c r="B207" s="7">
        <v>4051</v>
      </c>
      <c r="C207" s="21" t="s">
        <v>194</v>
      </c>
      <c r="D207" s="21" t="s">
        <v>1084</v>
      </c>
      <c r="E207" s="13">
        <v>43033.933379629627</v>
      </c>
      <c r="F207" s="13">
        <v>43033.946597222224</v>
      </c>
      <c r="G207" s="7">
        <v>52</v>
      </c>
      <c r="H207" s="21" t="s">
        <v>620</v>
      </c>
      <c r="I207" s="13">
        <v>43033.954097222224</v>
      </c>
      <c r="J207" s="7">
        <v>0</v>
      </c>
      <c r="K207" s="89" t="str">
        <f>IF(ISEVEN(B207),(B207-1)&amp;"/"&amp;B207,B207&amp;"/"&amp;(B207+1))</f>
        <v>4051/4052</v>
      </c>
      <c r="L207" s="185" t="str">
        <f>VLOOKUP(A207,'Trips&amp;Operators'!$C$1:$G$99911,5,FALSE)</f>
        <v>STAMBAUGH JAMES</v>
      </c>
      <c r="M207" s="6">
        <f>I207-F207</f>
        <v>7.4999999997089617E-3</v>
      </c>
      <c r="N207" s="7">
        <f>24*60*SUM($M207:$M207)</f>
        <v>10.799999999580905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-25T21:24:04-0600',mode:absolute,to:'2017-10-25T23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1</v>
      </c>
      <c r="Y207" s="204">
        <f>RIGHT(D207,LEN(D207)-4)/10000</f>
        <v>5.8624000000000001</v>
      </c>
      <c r="Z207" s="204">
        <f>RIGHT(H207,LEN(H207)-4)/10000</f>
        <v>6.6299999999999998E-2</v>
      </c>
      <c r="AA207" s="204">
        <f>ABS(Z207-Y207)</f>
        <v>5.7961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846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/stypes="app*4051*20171026*" /stext=" 04:.+((SYSTEM_STATE.+slice.+state.+changed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si="21"/>
        <v>"%USERPROFILE%\Documents\GitHub\eaglep3\Utilities\RefineRTDCRunTimes.py" --tripid 846-25 --locoid 4051 --swversion DE.1.0.9.0 --startMP 300:58624 --initTime 2017-10-25T22:24:04 --startdatetime 2017-10-25T22:43:06 --delay 52 --endMP 204:663 --enddatetime 2017-10-25T22:53:54 --enforcementcount 0 &gt;&gt;%USERPROFILE%\Documents\GitHub\eaglep3-reporting\EC\2017-10-25-refined-times.txt</v>
      </c>
      <c r="AI207" s="96" t="str">
        <f t="shared" si="22"/>
        <v>echo {"issue":{"subject":"","project_id":79,"tracker_id":40,"status_id":1,"priority_id":2,"assigned_to_id":338,"start_date":"2017-10-25","description":"","custom_fields":[{"id":1,"name":"Subdivision","value":"NW"},{"id":4,"name":"Milepost","value":"0.0663"},{"id":17,"name":"Train ID","value":"846-25"},{"id":16,"name":"Locomotive ID","value":"4051"},{"id":130,"name":"Impact","value":""},{"id":150,"name":"Time of Event (Mountain Time)","value":"22:53:54"},{"id":151,"name":"Denver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23"/>
        <v>start /low /b %USERPROFILE%\Documents\GitHub\eaglep3\Utilities\DownloadLogsFromS3.py --loco 4051 --day 2017-10-25</v>
      </c>
      <c r="AN207" s="151" t="str">
        <f t="shared" si="24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04:53:54"},{"id":29,"name":"Sharepoint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25"/>
        <v>https://d0f6bd738d7f1b3e5a7ca70fe4ff75f0.us-east-1.aws.found.io/app/kibana#/discover/Steve-Slow-Train-Analysis-(2080s-and-2083s)?_g=(refreshInterval:(display:Off,pause:!f,section:0,value:0),time:(from:'2017-10-25T21:24:04-0600',mode:absolute,to:'2017-10-25T23:53:54-0600'))&amp;_a=(columns:!('Message%20ID',Summary),filters:!(),index:'emp_*',interval:auto,query:(query_string:(analyze_wildcard:!t,query:'%22rtdc.l.rtdc.4051%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856</v>
      </c>
      <c r="B208" s="7">
        <v>4052</v>
      </c>
      <c r="C208" s="21" t="s">
        <v>194</v>
      </c>
      <c r="D208" s="21" t="s">
        <v>1086</v>
      </c>
      <c r="E208" s="13">
        <v>43033.921296296299</v>
      </c>
      <c r="F208" s="13">
        <v>43033.923182870371</v>
      </c>
      <c r="G208" s="7">
        <v>63</v>
      </c>
      <c r="H208" s="21" t="s">
        <v>554</v>
      </c>
      <c r="I208" s="13">
        <v>43033.932118055556</v>
      </c>
      <c r="J208" s="7">
        <v>0</v>
      </c>
      <c r="K208" s="89" t="str">
        <f>IF(ISEVEN(B208),(B208-1)&amp;"/"&amp;B208,B208&amp;"/"&amp;(B208+1))</f>
        <v>4051/4052</v>
      </c>
      <c r="L208" s="185" t="str">
        <f>VLOOKUP(A208,'Trips&amp;Operators'!$C$1:$G$99911,5,FALSE)</f>
        <v>STAMBAUGH JAMES</v>
      </c>
      <c r="M208" s="6">
        <f>I208-F208</f>
        <v>8.9351851856918074E-3</v>
      </c>
      <c r="N208" s="7">
        <f>24*60*SUM($M208:$M208)</f>
        <v>12.866666667396203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-25T21:06:40-0600',mode:absolute,to:'2017-10-25T23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8" s="204" t="str">
        <f>IF(AA208&lt;VLOOKUP(AG208,Variables!$AC$3:$AD$8,2,FALSE),"Y","N")</f>
        <v>N</v>
      </c>
      <c r="X208" s="204">
        <f>VALUE(LEFT(AD208,4))-VALUE(LEFT(AD207,4))</f>
        <v>1</v>
      </c>
      <c r="Y208" s="204">
        <f>RIGHT(D208,LEN(D208)-4)/10000</f>
        <v>9.4799999999999995E-2</v>
      </c>
      <c r="Z208" s="204">
        <f>RIGHT(H208,LEN(H208)-4)/10000</f>
        <v>5.8948</v>
      </c>
      <c r="AA208" s="204">
        <f>ABS(Z208-Y208)</f>
        <v>5.8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847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/stypes="app*4052*20171026*" /stext=" 04:.+((SYSTEM_STATE.+slice.+state.+changed )|(ment ac)|(multiple cpu faults)|(system.+state.+changed )|(\[timeout)|(PRM\|1\|D)|(kpr)|(kdp)|(train st.+moving)|(\|lc)|(penalty))"</v>
      </c>
      <c r="AG208" s="182" t="str">
        <f>DetSubdiv(A208)</f>
        <v>NW</v>
      </c>
      <c r="AH208" s="78" t="str">
        <f t="shared" ref="AH208:AH251" si="32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847-25 --locoid 4052 --swversion DE.1.0.9.0 --startMP 204:948 --initTime 2017-10-25T22:06:40 --startdatetime 2017-10-25T22:09:23 --delay 63 --endMP 300:58948 --enddatetime 2017-10-25T22:22:15 --enforcementcount 0 &gt;&gt;%USERPROFILE%\Documents\GitHub\eaglep3-reporting\EC\2017-10-25-refined-times.txt</v>
      </c>
      <c r="AI208" s="96" t="str">
        <f t="shared" ref="AI208:AI251" si="33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{"issue":{"subject":"","project_id":79,"tracker_id":40,"status_id":1,"priority_id":2,"assigned_to_id":338,"start_date":"2017-10-25","description":"","custom_fields":[{"id":1,"name":"Subdivision","value":"NW"},{"id":4,"name":"Milepost","value":"5.8948"},{"id":17,"name":"Train ID","value":"847-25"},{"id":16,"name":"Locomotive ID","value":"4052"},{"id":130,"name":"Impact","value":""},{"id":150,"name":"Time of Event (Mountain Time)","value":"22:22:15"},{"id":151,"name":"Denver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ref="AM208:AM251" si="34">"start /low /b "&amp;dls3logs&amp;" --loco "&amp;B208&amp;" --day "&amp;TEXT(F208,"YYYY-MM-DD")</f>
        <v>start /low /b %USERPROFILE%\Documents\GitHub\eaglep3\Utilities\DownloadLogsFromS3.py --loco 4052 --day 2017-10-25</v>
      </c>
      <c r="AN208" s="151" t="str">
        <f t="shared" ref="AN208:AN251" si="35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04:22:15"},{"id":29,"name":"Sharepoint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ref="AO208:AO251" si="36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-25T21:06:40-0600',mode:absolute,to:'2017-10-25T23:22:15-0600'))&amp;_a=(columns:!('Message%20ID',Summary),filters:!(),index:'emp_*',interval:auto,query:(query_string:(analyze_wildcard:!t,query:'%22rtdc.l.rtdc.4052%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861</v>
      </c>
      <c r="B209" s="7">
        <v>4052</v>
      </c>
      <c r="C209" s="21" t="s">
        <v>194</v>
      </c>
      <c r="D209" s="21" t="s">
        <v>1087</v>
      </c>
      <c r="E209" s="13">
        <v>43033.963055555556</v>
      </c>
      <c r="F209" s="13">
        <v>43033.964837962965</v>
      </c>
      <c r="G209" s="7">
        <v>53</v>
      </c>
      <c r="H209" s="21" t="s">
        <v>1088</v>
      </c>
      <c r="I209" s="13">
        <v>43033.973437499997</v>
      </c>
      <c r="J209" s="7">
        <v>0</v>
      </c>
      <c r="K209" s="89" t="str">
        <f>IF(ISEVEN(B209),(B209-1)&amp;"/"&amp;B209,B209&amp;"/"&amp;(B209+1))</f>
        <v>4051/4052</v>
      </c>
      <c r="L209" s="185" t="str">
        <f>VLOOKUP(A209,'Trips&amp;Operators'!$C$1:$G$99911,5,FALSE)</f>
        <v>STAMBAUGH JAMES</v>
      </c>
      <c r="M209" s="6">
        <f>I209-F209</f>
        <v>8.5995370318414643E-3</v>
      </c>
      <c r="N209" s="7">
        <f>24*60*SUM($M209:$M209)</f>
        <v>12.383333325851709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-25T22:06:48-0600',mode:absolute,to:'2017-10-26T00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9" s="204" t="str">
        <f>IF(AA209&lt;VLOOKUP(AG209,Variables!$AC$3:$AD$8,2,FALSE),"Y","N")</f>
        <v>N</v>
      </c>
      <c r="X209" s="204">
        <f>VALUE(LEFT(AD209,4))-VALUE(LEFT(AD208,4))</f>
        <v>2</v>
      </c>
      <c r="Y209" s="204">
        <f>RIGHT(D209,LEN(D209)-4)/10000</f>
        <v>9.5500000000000002E-2</v>
      </c>
      <c r="Z209" s="204">
        <f>RIGHT(H209,LEN(H209)-4)/10000</f>
        <v>5.8940999999999999</v>
      </c>
      <c r="AA209" s="204">
        <f>ABS(Z209-Y209)</f>
        <v>5.7985999999999995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849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/stypes="app*4052*20171026*" /stext=" 05:.+((SYSTEM_STATE.+slice.+state.+changed )|(ment ac)|(multiple cpu faults)|(system.+state.+changed )|(\[timeout)|(PRM\|1\|D)|(kpr)|(kdp)|(train st.+moving)|(\|lc)|(penalty))"</v>
      </c>
      <c r="AG209" s="182" t="str">
        <f>DetSubdiv(A209)</f>
        <v>NW</v>
      </c>
      <c r="AH209" s="78" t="str">
        <f t="shared" si="32"/>
        <v>"%USERPROFILE%\Documents\GitHub\eaglep3\Utilities\RefineRTDCRunTimes.py" --tripid 849-25 --locoid 4052 --swversion DE.1.0.9.0 --startMP 204:955 --initTime 2017-10-25T23:06:48 --startdatetime 2017-10-25T23:09:22 --delay 53 --endMP 300:58941 --enddatetime 2017-10-25T23:21:45 --enforcementcount 0 &gt;&gt;%USERPROFILE%\Documents\GitHub\eaglep3-reporting\EC\2017-10-25-refined-times.txt</v>
      </c>
      <c r="AI209" s="96" t="str">
        <f t="shared" si="33"/>
        <v>echo {"issue":{"subject":"","project_id":79,"tracker_id":40,"status_id":1,"priority_id":2,"assigned_to_id":338,"start_date":"2017-10-25","description":"","custom_fields":[{"id":1,"name":"Subdivision","value":"NW"},{"id":4,"name":"Milepost","value":"5.8941"},{"id":17,"name":"Train ID","value":"849-25"},{"id":16,"name":"Locomotive ID","value":"4052"},{"id":130,"name":"Impact","value":""},{"id":150,"name":"Time of Event (Mountain Time)","value":"23:21:45"},{"id":151,"name":"Denver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34"/>
        <v>start /low /b %USERPROFILE%\Documents\GitHub\eaglep3\Utilities\DownloadLogsFromS3.py --loco 4052 --day 2017-10-25</v>
      </c>
      <c r="AN209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05:21:45"},{"id":29,"name":"Sharepoint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36"/>
        <v>https://d0f6bd738d7f1b3e5a7ca70fe4ff75f0.us-east-1.aws.found.io/app/kibana#/discover/Steve-Slow-Train-Analysis-(2080s-and-2083s)?_g=(refreshInterval:(display:Off,pause:!f,section:0,value:0),time:(from:'2017-10-25T22:06:48-0600',mode:absolute,to:'2017-10-26T00:21:45-0600'))&amp;_a=(columns:!('Message%20ID',Summary),filters:!(),index:'emp_*',interval:auto,query:(query_string:(analyze_wildcard:!t,query:'%22rtdc.l.rtdc.4052%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664</v>
      </c>
      <c r="B210" s="7">
        <v>4005</v>
      </c>
      <c r="C210" s="21" t="s">
        <v>194</v>
      </c>
      <c r="D210" s="21" t="s">
        <v>978</v>
      </c>
      <c r="E210" s="13">
        <v>43033.121921296297</v>
      </c>
      <c r="F210" s="13">
        <v>43033.126793981479</v>
      </c>
      <c r="G210" s="7">
        <v>295</v>
      </c>
      <c r="H210" s="21" t="s">
        <v>367</v>
      </c>
      <c r="I210" s="13">
        <v>43033.132511574076</v>
      </c>
      <c r="J210" s="7">
        <v>0</v>
      </c>
      <c r="K210" s="89" t="str">
        <f>IF(ISEVEN(B210),(B210-1)&amp;"/"&amp;B210,B210&amp;"/"&amp;(B210+1))</f>
        <v>4005/4006</v>
      </c>
      <c r="L210" s="185" t="str">
        <f>VLOOKUP(A210,'Trips&amp;Operators'!$C$1:$G$99911,5,FALSE)</f>
        <v>BONDS REYNALDO</v>
      </c>
      <c r="M210" s="6">
        <f>I210-F210</f>
        <v>5.7175925976480357E-3</v>
      </c>
      <c r="N210" s="7">
        <f>24*60*SUM($M210:$M210)</f>
        <v>8.2333333406131715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-25T01:55:34-0600',mode:absolute,to:'2017-10-25T04:10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-549</v>
      </c>
      <c r="Y210" s="204">
        <f>RIGHT(D210,LEN(D210)-4)/10000</f>
        <v>2.3376999999999999</v>
      </c>
      <c r="Z210" s="204">
        <f>RIGHT(H210,LEN(H210)-4)/10000</f>
        <v>1.54E-2</v>
      </c>
      <c r="AA210" s="204">
        <f>ABS(Z210-Y210)</f>
        <v>2.3222999999999998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300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/stypes="app*4005*20171025*" /stext=" 09:.+((SYSTEM_STATE.+slice.+state.+changed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32"/>
        <v>"%USERPROFILE%\Documents\GitHub\eaglep3\Utilities\RefineRTDCRunTimes.py" --tripid 300-25 --locoid 4005 --swversion DE.1.0.9.0 --startMP 300:23377 --initTime 2017-10-25T02:55:34 --startdatetime 2017-10-25T03:02:35 --delay 295 --endMP 204:154 --enddatetime 2017-10-25T03:10:49 --enforcementcount 0 &gt;&gt;%USERPROFILE%\Documents\GitHub\eaglep3-reporting\EC\2017-10-25-refined-times.txt</v>
      </c>
      <c r="AI210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{"issue":{"subject":"","project_id":79,"tracker_id":40,"status_id":1,"priority_id":2,"assigned_to_id":338,"start_date":"2017-10-25","description":"","custom_fields":[{"id":1,"name":"Subdivision","value":"Other"},{"id":4,"name":"Milepost","value":"0.0154"},{"id":17,"name":"Train ID","value":"300-25"},{"id":16,"name":"Locomotive ID","value":"4005"},{"id":130,"name":"Impact","value":""},{"id":150,"name":"Time of Event (Mountain Time)","value":"03:10:49"},{"id":151,"name":"Denver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34"/>
        <v>start /low /b %USERPROFILE%\Documents\GitHub\eaglep3\Utilities\DownloadLogsFromS3.py --loco 4005 --day 2017-10-25</v>
      </c>
      <c r="AN210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09:10:49"},{"id":29,"name":"Sharepoint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36"/>
        <v>https://d0f6bd738d7f1b3e5a7ca70fe4ff75f0.us-east-1.aws.found.io/app/kibana#/discover/Steve-Slow-Train-Analysis-(2080s-and-2083s)?_g=(refreshInterval:(display:Off,pause:!f,section:0,value:0),time:(from:'2017-10-25T01:55:34-0600',mode:absolute,to:'2017-10-25T04:10:49-0600'))&amp;_a=(columns:!('Message%20ID',Summary),filters:!(),index:'emp_*',interval:auto,query:(query_string:(analyze_wildcard:!t,query:'%22rtdc.l.rtdc.4005%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832</v>
      </c>
      <c r="B211" s="7">
        <v>4046</v>
      </c>
      <c r="C211" s="21" t="s">
        <v>194</v>
      </c>
      <c r="D211" s="21" t="s">
        <v>979</v>
      </c>
      <c r="E211" s="13">
        <v>43033.778495370374</v>
      </c>
      <c r="F211" s="13">
        <v>43033.780011574076</v>
      </c>
      <c r="G211" s="7">
        <v>64</v>
      </c>
      <c r="H211" s="21" t="s">
        <v>980</v>
      </c>
      <c r="I211" s="13">
        <v>43033.787164351852</v>
      </c>
      <c r="J211" s="7">
        <v>0</v>
      </c>
      <c r="K211" s="89" t="str">
        <f>IF(ISEVEN(B211),(B211-1)&amp;"/"&amp;B211,B211&amp;"/"&amp;(B211+1))</f>
        <v>4045/4046</v>
      </c>
      <c r="L211" s="185" t="str">
        <f>VLOOKUP(A211,'Trips&amp;Operators'!$C$1:$G$99911,5,FALSE)</f>
        <v>GUZMAN DANNY</v>
      </c>
      <c r="M211" s="6">
        <f>I211-F211</f>
        <v>7.1527777763549238E-3</v>
      </c>
      <c r="N211" s="7">
        <f>24*60*SUM($M211:$M211)</f>
        <v>10.29999999795109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-25T17:41:02-0600',mode:absolute,to:'2017-10-25T19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6.2100000000000002E-2</v>
      </c>
      <c r="Z211" s="204">
        <f>RIGHT(H211,LEN(H211)-4)/10000</f>
        <v>2.3304</v>
      </c>
      <c r="AA211" s="204">
        <f>ABS(Z211-Y211)</f>
        <v>2.2683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301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/stypes="app*4046*20171026*" /stext=" 00:.+((SYSTEM_STATE.+slice.+state.+changed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32"/>
        <v>"%USERPROFILE%\Documents\GitHub\eaglep3\Utilities\RefineRTDCRunTimes.py" --tripid 301-25 --locoid 4046 --swversion DE.1.0.9.0 --startMP 204:621 --initTime 2017-10-25T18:41:02 --startdatetime 2017-10-25T18:43:13 --delay 64 --endMP 300:23304 --enddatetime 2017-10-25T18:53:31 --enforcementcount 0 &gt;&gt;%USERPROFILE%\Documents\GitHub\eaglep3-reporting\EC\2017-10-25-refined-times.txt</v>
      </c>
      <c r="AI211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{"issue":{"subject":"","project_id":79,"tracker_id":40,"status_id":1,"priority_id":2,"assigned_to_id":338,"start_date":"2017-10-25","description":"","custom_fields":[{"id":1,"name":"Subdivision","value":"Other"},{"id":4,"name":"Milepost","value":"2.3304"},{"id":17,"name":"Train ID","value":"301-25"},{"id":16,"name":"Locomotive ID","value":"4046"},{"id":130,"name":"Impact","value":""},{"id":150,"name":"Time of Event (Mountain Time)","value":"18:53:31"},{"id":151,"name":"Denver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34"/>
        <v>start /low /b %USERPROFILE%\Documents\GitHub\eaglep3\Utilities\DownloadLogsFromS3.py --loco 4046 --day 2017-10-25</v>
      </c>
      <c r="AN211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36"/>
        <v>https://d0f6bd738d7f1b3e5a7ca70fe4ff75f0.us-east-1.aws.found.io/app/kibana#/discover/Steve-Slow-Train-Analysis-(2080s-and-2083s)?_g=(refreshInterval:(display:Off,pause:!f,section:0,value:0),time:(from:'2017-10-25T17:41:02-0600',mode:absolute,to:'2017-10-25T19:53:31-0600'))&amp;_a=(columns:!('Message%20ID',Summary),filters:!(),index:'emp_*',interval:auto,query:(query_string:(analyze_wildcard:!t,query:'%22rtdc.l.rtdc.4046%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668</v>
      </c>
      <c r="B212" s="7">
        <v>4049</v>
      </c>
      <c r="C212" s="21" t="s">
        <v>194</v>
      </c>
      <c r="D212" s="21" t="s">
        <v>981</v>
      </c>
      <c r="E212" s="13">
        <v>43033.142870370371</v>
      </c>
      <c r="F212" s="13">
        <v>43033.146087962959</v>
      </c>
      <c r="G212" s="7">
        <v>69</v>
      </c>
      <c r="H212" s="21" t="s">
        <v>339</v>
      </c>
      <c r="I212" s="13">
        <v>43033.151967592596</v>
      </c>
      <c r="J212" s="7">
        <v>0</v>
      </c>
      <c r="K212" s="89" t="str">
        <f>IF(ISEVEN(B212),(B212-1)&amp;"/"&amp;B212,B212&amp;"/"&amp;(B212+1))</f>
        <v>4049/4050</v>
      </c>
      <c r="L212" s="185" t="str">
        <f>VLOOKUP(A212,'Trips&amp;Operators'!$C$1:$G$99911,5,FALSE)</f>
        <v>THOMPSON LESTER</v>
      </c>
      <c r="M212" s="6">
        <f>I212-F212</f>
        <v>5.8796296361833811E-3</v>
      </c>
      <c r="N212" s="7">
        <f>24*60*SUM($M212:$M212)</f>
        <v>8.4666666761040688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-25T02:25:44-0600',mode:absolute,to:'2017-10-25T04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2.3525</v>
      </c>
      <c r="Z212" s="204">
        <f>RIGHT(H212,LEN(H212)-4)/10000</f>
        <v>1.47E-2</v>
      </c>
      <c r="AA212" s="204">
        <f>ABS(Z212-Y212)</f>
        <v>2.3378000000000001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302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/stypes="app*4049*20171025*" /stext=" 09:.+((SYSTEM_STATE.+slice.+state.+changed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32"/>
        <v>"%USERPROFILE%\Documents\GitHub\eaglep3\Utilities\RefineRTDCRunTimes.py" --tripid 302-25 --locoid 4049 --swversion DE.1.0.9.0 --startMP 300:23525 --initTime 2017-10-25T03:25:44 --startdatetime 2017-10-25T03:30:22 --delay 69 --endMP 204:147 --enddatetime 2017-10-25T03:38:50 --enforcementcount 0 &gt;&gt;%USERPROFILE%\Documents\GitHub\eaglep3-reporting\EC\2017-10-25-refined-times.txt</v>
      </c>
      <c r="AI212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{"issue":{"subject":"","project_id":79,"tracker_id":40,"status_id":1,"priority_id":2,"assigned_to_id":338,"start_date":"2017-10-25","description":"","custom_fields":[{"id":1,"name":"Subdivision","value":"Other"},{"id":4,"name":"Milepost","value":"0.0147"},{"id":17,"name":"Train ID","value":"302-25"},{"id":16,"name":"Locomotive ID","value":"4049"},{"id":130,"name":"Impact","value":""},{"id":150,"name":"Time of Event (Mountain Time)","value":"03:38:50"},{"id":151,"name":"Denver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34"/>
        <v>start /low /b %USERPROFILE%\Documents\GitHub\eaglep3\Utilities\DownloadLogsFromS3.py --loco 4049 --day 2017-10-25</v>
      </c>
      <c r="AN212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09:38:50"},{"id":29,"name":"Sharepoint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36"/>
        <v>https://d0f6bd738d7f1b3e5a7ca70fe4ff75f0.us-east-1.aws.found.io/app/kibana#/discover/Steve-Slow-Train-Analysis-(2080s-and-2083s)?_g=(refreshInterval:(display:Off,pause:!f,section:0,value:0),time:(from:'2017-10-25T02:25:44-0600',mode:absolute,to:'2017-10-25T04:38:50-0600'))&amp;_a=(columns:!('Message%20ID',Summary),filters:!(),index:'emp_*',interval:auto,query:(query_string:(analyze_wildcard:!t,query:'%22rtdc.l.rtdc.4049%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838</v>
      </c>
      <c r="B213" s="7">
        <v>4006</v>
      </c>
      <c r="C213" s="21" t="s">
        <v>194</v>
      </c>
      <c r="D213" s="21" t="s">
        <v>377</v>
      </c>
      <c r="E213" s="13">
        <v>43033.798715277779</v>
      </c>
      <c r="F213" s="13">
        <v>43033.804594907408</v>
      </c>
      <c r="G213" s="7">
        <v>56</v>
      </c>
      <c r="H213" s="21" t="s">
        <v>394</v>
      </c>
      <c r="I213" s="13">
        <v>43033.810833333337</v>
      </c>
      <c r="J213" s="7">
        <v>0</v>
      </c>
      <c r="K213" s="89" t="str">
        <f>IF(ISEVEN(B213),(B213-1)&amp;"/"&amp;B213,B213&amp;"/"&amp;(B213+1))</f>
        <v>4005/4006</v>
      </c>
      <c r="L213" s="185" t="str">
        <f>VLOOKUP(A213,'Trips&amp;Operators'!$C$1:$G$99911,5,FALSE)</f>
        <v>BERLING GARY</v>
      </c>
      <c r="M213" s="6">
        <f>I213-F213</f>
        <v>6.2384259290411137E-3</v>
      </c>
      <c r="N213" s="7">
        <f>24*60*SUM($M213:$M213)</f>
        <v>8.9833333378192037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-25T18:10:09-0600',mode:absolute,to:'2017-10-25T20:27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4.7300000000000002E-2</v>
      </c>
      <c r="Z213" s="204">
        <f>RIGHT(H213,LEN(H213)-4)/10000</f>
        <v>2.3346</v>
      </c>
      <c r="AA213" s="204">
        <f>ABS(Z213-Y213)</f>
        <v>2.2873000000000001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303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/stypes="app*4006*20171026*" /stext=" 01:.+((SYSTEM_STATE.+slice.+state.+changed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32"/>
        <v>"%USERPROFILE%\Documents\GitHub\eaglep3\Utilities\RefineRTDCRunTimes.py" --tripid 303-25 --locoid 4006 --swversion DE.1.0.9.0 --startMP 204:473 --initTime 2017-10-25T19:10:09 --startdatetime 2017-10-25T19:18:37 --delay 56 --endMP 300:23346 --enddatetime 2017-10-25T19:27:36 --enforcementcount 0 &gt;&gt;%USERPROFILE%\Documents\GitHub\eaglep3-reporting\EC\2017-10-25-refined-times.txt</v>
      </c>
      <c r="AI213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{"issue":{"subject":"","project_id":79,"tracker_id":40,"status_id":1,"priority_id":2,"assigned_to_id":338,"start_date":"2017-10-25","description":"","custom_fields":[{"id":1,"name":"Subdivision","value":"Other"},{"id":4,"name":"Milepost","value":"2.3346"},{"id":17,"name":"Train ID","value":"303-25"},{"id":16,"name":"Locomotive ID","value":"4006"},{"id":130,"name":"Impact","value":""},{"id":150,"name":"Time of Event (Mountain Time)","value":"19:27:36"},{"id":151,"name":"Denver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34"/>
        <v>start /low /b %USERPROFILE%\Documents\GitHub\eaglep3\Utilities\DownloadLogsFromS3.py --loco 4006 --day 2017-10-25</v>
      </c>
      <c r="AN213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01:27:36"},{"id":29,"name":"Sharepoint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36"/>
        <v>https://d0f6bd738d7f1b3e5a7ca70fe4ff75f0.us-east-1.aws.found.io/app/kibana#/discover/Steve-Slow-Train-Analysis-(2080s-and-2083s)?_g=(refreshInterval:(display:Off,pause:!f,section:0,value:0),time:(from:'2017-10-25T18:10:09-0600',mode:absolute,to:'2017-10-25T20:27:36-0600'))&amp;_a=(columns:!('Message%20ID',Summary),filters:!(),index:'emp_*',interval:auto,query:(query_string:(analyze_wildcard:!t,query:'%22rtdc.l.rtdc.4006%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842</v>
      </c>
      <c r="B214" s="7">
        <v>4008</v>
      </c>
      <c r="C214" s="21" t="s">
        <v>194</v>
      </c>
      <c r="D214" s="21" t="s">
        <v>982</v>
      </c>
      <c r="E214" s="13">
        <v>43033.820243055554</v>
      </c>
      <c r="F214" s="13">
        <v>43033.822071759256</v>
      </c>
      <c r="G214" s="7">
        <v>58</v>
      </c>
      <c r="H214" s="21" t="s">
        <v>983</v>
      </c>
      <c r="I214" s="13">
        <v>25568.708333333332</v>
      </c>
      <c r="J214" s="7">
        <v>0</v>
      </c>
      <c r="K214" s="89" t="str">
        <f>IF(ISEVEN(B214),(B214-1)&amp;"/"&amp;B214,B214&amp;"/"&amp;(B214+1))</f>
        <v>4007/4008</v>
      </c>
      <c r="L214" s="185" t="str">
        <f>VLOOKUP(A214,'Trips&amp;Operators'!$C$1:$G$99911,5,FALSE)</f>
        <v>HOLCOMB KAMDEN</v>
      </c>
      <c r="M214" s="6">
        <f>I214-F214</f>
        <v>-17465.113738425924</v>
      </c>
      <c r="N214" s="7">
        <f>24*60*SUM($M214:$M214)</f>
        <v>-25149763.783333331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-25T18:41:09-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2</v>
      </c>
      <c r="Y214" s="204">
        <f>RIGHT(D214,LEN(D214)-4)/10000</f>
        <v>5.3100000000000001E-2</v>
      </c>
      <c r="Z214" s="204">
        <f>RIGHT(H214,LEN(H214)-4)/10000</f>
        <v>2.3296999999999999</v>
      </c>
      <c r="AA214" s="204">
        <f>ABS(Z214-Y214)</f>
        <v>2.2765999999999997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305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/stypes="app*4008*19691231*" /stext=" 23:.+((SYSTEM_STATE.+slice.+state.+changed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32"/>
        <v>"%USERPROFILE%\Documents\GitHub\eaglep3\Utilities\RefineRTDCRunTimes.py" --tripid 305-25 --locoid 4008 --swversion DE.1.0.9.0 --startMP 204:531 --initTime 2017-10-25T19:41:09 --startdatetime 2017-10-25T19:43:47 --delay 58 --endMP 300:23297 --enddatetime 1969-12-31T17:00:00 --enforcementcount 0 &gt;&gt;%USERPROFILE%\Documents\GitHub\eaglep3-reporting\EC\2017-10-25-refined-times.txt</v>
      </c>
      <c r="AI214" s="96" t="str">
        <f t="shared" si="33"/>
        <v>echo {"issue":{"subject":"","project_id":79,"tracker_id":40,"status_id":1,"priority_id":2,"assigned_to_id":338,"start_date":"1969-12-31","description":"","custom_fields":[{"id":1,"name":"Subdivision","value":"Other"},{"id":4,"name":"Milepost","value":"2.3297"},{"id":17,"name":"Train ID","value":"305-25"},{"id":16,"name":"Locomotive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34"/>
        <v>start /low /b %USERPROFILE%\Documents\GitHub\eaglep3\Utilities\DownloadLogsFromS3.py --loco 4008 --day 2017-10-25</v>
      </c>
      <c r="AN214" s="151" t="str">
        <f t="shared" si="3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36"/>
        <v>https://d0f6bd738d7f1b3e5a7ca70fe4ff75f0.us-east-1.aws.found.io/app/kibana#/discover/Steve-Slow-Train-Analysis-(2080s-and-2083s)?_g=(refreshInterval:(display:Off,pause:!f,section:0,value:0),time:(from:'2017-10-25T18:41:09-0600',mode:absolute,to:'1969-12-31T18:00:00-0600'))&amp;_a=(columns:!('Message%20ID',Summary),filters:!(),index:'emp_*',interval:auto,query:(query_string:(analyze_wildcard:!t,query:'%22rtdc.l.rtdc.4008%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670</v>
      </c>
      <c r="B215" s="7">
        <v>4035</v>
      </c>
      <c r="C215" s="21" t="s">
        <v>194</v>
      </c>
      <c r="D215" s="21" t="s">
        <v>984</v>
      </c>
      <c r="E215" s="13">
        <v>43033.172893518517</v>
      </c>
      <c r="F215" s="13">
        <v>43033.177384259259</v>
      </c>
      <c r="G215" s="7">
        <v>72</v>
      </c>
      <c r="H215" s="21" t="s">
        <v>354</v>
      </c>
      <c r="I215" s="13">
        <v>43033.182824074072</v>
      </c>
      <c r="J215" s="7">
        <v>0</v>
      </c>
      <c r="K215" s="89" t="str">
        <f>IF(ISEVEN(B215),(B215-1)&amp;"/"&amp;B215,B215&amp;"/"&amp;(B215+1))</f>
        <v>4035/4036</v>
      </c>
      <c r="L215" s="185" t="str">
        <f>VLOOKUP(A215,'Trips&amp;Operators'!$C$1:$G$99911,5,FALSE)</f>
        <v>PAGE MARCUS</v>
      </c>
      <c r="M215" s="6">
        <f>I215-F215</f>
        <v>5.4398148131440394E-3</v>
      </c>
      <c r="N215" s="7">
        <f>24*60*SUM($M215:$M215)</f>
        <v>7.8333333309274167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-25T03:08:58-0600',mode:absolute,to:'2017-10-25T05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2.3180000000000001</v>
      </c>
      <c r="Z215" s="204">
        <f>RIGHT(H215,LEN(H215)-4)/10000</f>
        <v>1.52E-2</v>
      </c>
      <c r="AA215" s="204">
        <f>ABS(Z215-Y215)</f>
        <v>2.3028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306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 &amp; aws s3 cp s3://rtdc.mdm.uploadarchive.raw/RTDC4035/ "%USERPROFILE%\AppData\Local\Temp\OnboardLogs"\RTDC4035\2017-10-26 --exclude "*" --recursive --include "*20171026*" &amp; "%USERPROFILE%\Documents\GitHub\mrs-test-scripts\Headless Mode &amp; Sideloading\WalkAndUnGZ.bat" "%USERPROFILE%\AppData\Local\Temp\OnboardLogs"\RTDC4035\2017-10-26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/stypes="app*4035*20171025*" /stext=" 10:.+((SYSTEM_STATE.+slice.+state.+changed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32"/>
        <v>"%USERPROFILE%\Documents\GitHub\eaglep3\Utilities\RefineRTDCRunTimes.py" --tripid 306-25 --locoid 4035 --swversion DE.1.0.9.0 --startMP 300:23180 --initTime 2017-10-25T04:08:58 --startdatetime 2017-10-25T04:15:26 --delay 72 --endMP 204:152 --enddatetime 2017-10-25T04:23:16 --enforcementcount 0 &gt;&gt;%USERPROFILE%\Documents\GitHub\eaglep3-reporting\EC\2017-10-25-refined-times.txt</v>
      </c>
      <c r="AI215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{"issue":{"subject":"","project_id":79,"tracker_id":40,"status_id":1,"priority_id":2,"assigned_to_id":338,"start_date":"2017-10-25","description":"","custom_fields":[{"id":1,"name":"Subdivision","value":"Other"},{"id":4,"name":"Milepost","value":"0.0152"},{"id":17,"name":"Train ID","value":"306-25"},{"id":16,"name":"Locomotive ID","value":"4035"},{"id":130,"name":"Impact","value":""},{"id":150,"name":"Time of Event (Mountain Time)","value":"04:23:16"},{"id":151,"name":"Denver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34"/>
        <v>start /low /b %USERPROFILE%\Documents\GitHub\eaglep3\Utilities\DownloadLogsFromS3.py --loco 4035 --day 2017-10-25</v>
      </c>
      <c r="AN215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10:23:16"},{"id":29,"name":"Sharepoint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36"/>
        <v>https://d0f6bd738d7f1b3e5a7ca70fe4ff75f0.us-east-1.aws.found.io/app/kibana#/discover/Steve-Slow-Train-Analysis-(2080s-and-2083s)?_g=(refreshInterval:(display:Off,pause:!f,section:0,value:0),time:(from:'2017-10-25T03:08:58-0600',mode:absolute,to:'2017-10-25T05:23:16-0600'))&amp;_a=(columns:!('Message%20ID',Summary),filters:!(),index:'emp_*',interval:auto,query:(query_string:(analyze_wildcard:!t,query:'%22rtdc.l.rtdc.4035%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871</v>
      </c>
      <c r="B216" s="7">
        <v>4050</v>
      </c>
      <c r="C216" s="21" t="s">
        <v>194</v>
      </c>
      <c r="D216" s="21" t="s">
        <v>392</v>
      </c>
      <c r="E216" s="13">
        <v>43034.048229166663</v>
      </c>
      <c r="F216" s="13">
        <v>43034.049571759257</v>
      </c>
      <c r="G216" s="7">
        <v>71</v>
      </c>
      <c r="H216" s="21" t="s">
        <v>980</v>
      </c>
      <c r="I216" s="13">
        <v>43034.055879629632</v>
      </c>
      <c r="J216" s="7">
        <v>0</v>
      </c>
      <c r="K216" s="89" t="str">
        <f>IF(ISEVEN(B216),(B216-1)&amp;"/"&amp;B216,B216&amp;"/"&amp;(B216+1))</f>
        <v>4049/4050</v>
      </c>
      <c r="L216" s="185" t="str">
        <f>VLOOKUP(A216,'Trips&amp;Operators'!$C$1:$G$99911,5,FALSE)</f>
        <v>LOPES KIMBERLY</v>
      </c>
      <c r="M216" s="6">
        <f>I216-F216</f>
        <v>6.3078703751671128E-3</v>
      </c>
      <c r="N216" s="7">
        <f>24*60*SUM($M216:$M216)</f>
        <v>9.0833333402406424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-26T00:09:27-0600',mode:absolute,to:'2017-10-26T02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4.6199999999999998E-2</v>
      </c>
      <c r="Z216" s="204">
        <f>RIGHT(H216,LEN(H216)-4)/10000</f>
        <v>2.3304</v>
      </c>
      <c r="AA216" s="204">
        <f>ABS(Z216-Y216)</f>
        <v>2.2842000000000002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307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s3://rtdc.mdm.uploadarchive.raw/RTDC4050/ "%USERPROFILE%\AppData\Local\Temp\OnboardLogs"\RTDC4050\2017-10-26 --exclude "*" --recursive --include "*20171026*" &amp; "%USERPROFILE%\Documents\GitHub\mrs-test-scripts\Headless Mode &amp; Sideloading\WalkAndUnGZ.bat" "%USERPROFILE%\AppData\Local\Temp\OnboardLogs"\RTDC4050\2017-10-26 &amp; aws s3 cp s3://rtdc.mdm.uploadarchive.raw/RTDC4050/ "%USERPROFILE%\AppData\Local\Temp\OnboardLogs"\RTDC4050\2017-10-27 --exclude "*" --recursive --include "*20171027*" &amp; "%USERPROFILE%\Documents\GitHub\mrs-test-scripts\Headless Mode &amp; Sideloading\WalkAndUnGZ.bat" "%USERPROFILE%\AppData\Local\Temp\OnboardLogs"\RTDC4050\2017-10-27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/stypes="app*4050*20171026*" /stext=" 07:.+((SYSTEM_STATE.+slice.+state.+changed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32"/>
        <v>"%USERPROFILE%\Documents\GitHub\eaglep3\Utilities\RefineRTDCRunTimes.py" --tripid 307-25 --locoid 4050 --swversion DE.1.0.9.0 --startMP 204:462 --initTime 2017-10-26T01:09:27 --startdatetime 2017-10-26T01:11:23 --delay 71 --endMP 300:23304 --enddatetime 2017-10-26T01:20:28 --enforcementcount 0 &gt;&gt;%USERPROFILE%\Documents\GitHub\eaglep3-reporting\EC\2017-10-25-refined-times.txt</v>
      </c>
      <c r="AI216" s="96" t="str">
        <f t="shared" si="33"/>
        <v>echo {"issue":{"subject":"","project_id":79,"tracker_id":40,"status_id":1,"priority_id":2,"assigned_to_id":338,"start_date":"2017-10-26","description":"","custom_fields":[{"id":1,"name":"Subdivision","value":"Other"},{"id":4,"name":"Milepost","value":"2.3304"},{"id":17,"name":"Train ID","value":"307-25"},{"id":16,"name":"Locomotive ID","value":"4050"},{"id":130,"name":"Impact","value":""},{"id":150,"name":"Time of Event (Mountain Time)","value":"01:20:28"},{"id":151,"name":"Denver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34"/>
        <v>start /low /b %USERPROFILE%\Documents\GitHub\eaglep3\Utilities\DownloadLogsFromS3.py --loco 4050 --day 2017-10-26</v>
      </c>
      <c r="AN216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07:20:28"},{"id":29,"name":"Sharepoint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36"/>
        <v>https://d0f6bd738d7f1b3e5a7ca70fe4ff75f0.us-east-1.aws.found.io/app/kibana#/discover/Steve-Slow-Train-Analysis-(2080s-and-2083s)?_g=(refreshInterval:(display:Off,pause:!f,section:0,value:0),time:(from:'2017-10-26T00:09:27-0600',mode:absolute,to:'2017-10-26T02:20:28-0600'))&amp;_a=(columns:!('Message%20ID',Summary),filters:!(),index:'emp_*',interval:auto,query:(query_string:(analyze_wildcard:!t,query:'%22rtdc.l.rtdc.4050%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674</v>
      </c>
      <c r="B217" s="7">
        <v>4045</v>
      </c>
      <c r="C217" s="21" t="s">
        <v>194</v>
      </c>
      <c r="D217" s="21" t="s">
        <v>985</v>
      </c>
      <c r="E217" s="13">
        <v>43033.179467592592</v>
      </c>
      <c r="F217" s="13">
        <v>43033.184988425928</v>
      </c>
      <c r="G217" s="7">
        <v>131</v>
      </c>
      <c r="H217" s="21" t="s">
        <v>590</v>
      </c>
      <c r="I217" s="13">
        <v>43033.191469907404</v>
      </c>
      <c r="J217" s="7">
        <v>0</v>
      </c>
      <c r="K217" s="89" t="str">
        <f>IF(ISEVEN(B217),(B217-1)&amp;"/"&amp;B217,B217&amp;"/"&amp;(B217+1))</f>
        <v>4045/4046</v>
      </c>
      <c r="L217" s="185" t="str">
        <f>VLOOKUP(A217,'Trips&amp;Operators'!$C$1:$G$99911,5,FALSE)</f>
        <v>DAVIS WENDY</v>
      </c>
      <c r="M217" s="6">
        <f>I217-F217</f>
        <v>6.4814814759301953E-3</v>
      </c>
      <c r="N217" s="7">
        <f>24*60*SUM($M217:$M217)</f>
        <v>9.3333333253394812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-25T03:18:26-0600',mode:absolute,to:'2017-10-25T05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2.2513999999999998</v>
      </c>
      <c r="Z217" s="204">
        <f>RIGHT(H217,LEN(H217)-4)/10000</f>
        <v>1.6500000000000001E-2</v>
      </c>
      <c r="AA217" s="204">
        <f>ABS(Z217-Y217)</f>
        <v>2.2348999999999997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308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/stypes="app*4045*20171025*" /stext=" 10:.+((SYSTEM_STATE.+slice.+state.+changed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32"/>
        <v>"%USERPROFILE%\Documents\GitHub\eaglep3\Utilities\RefineRTDCRunTimes.py" --tripid 308-25 --locoid 4045 --swversion DE.1.0.9.0 --startMP 300:22514 --initTime 2017-10-25T04:18:26 --startdatetime 2017-10-25T04:26:23 --delay 131 --endMP 204:165 --enddatetime 2017-10-25T04:35:43 --enforcementcount 0 &gt;&gt;%USERPROFILE%\Documents\GitHub\eaglep3-reporting\EC\2017-10-25-refined-times.txt</v>
      </c>
      <c r="AI217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{"issue":{"subject":"","project_id":79,"tracker_id":40,"status_id":1,"priority_id":2,"assigned_to_id":338,"start_date":"2017-10-25","description":"","custom_fields":[{"id":1,"name":"Subdivision","value":"Other"},{"id":4,"name":"Milepost","value":"0.0165"},{"id":17,"name":"Train ID","value":"308-25"},{"id":16,"name":"Locomotive ID","value":"4045"},{"id":130,"name":"Impact","value":""},{"id":150,"name":"Time of Event (Mountain Time)","value":"04:35:43"},{"id":151,"name":"Denver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34"/>
        <v>start /low /b %USERPROFILE%\Documents\GitHub\eaglep3\Utilities\DownloadLogsFromS3.py --loco 4045 --day 2017-10-25</v>
      </c>
      <c r="AN217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36"/>
        <v>https://d0f6bd738d7f1b3e5a7ca70fe4ff75f0.us-east-1.aws.found.io/app/kibana#/discover/Steve-Slow-Train-Analysis-(2080s-and-2083s)?_g=(refreshInterval:(display:Off,pause:!f,section:0,value:0),time:(from:'2017-10-25T03:18:26-0600',mode:absolute,to:'2017-10-25T05:35:43-0600'))&amp;_a=(columns:!('Message%20ID',Summary),filters:!(),index:'emp_*',interval:auto,query:(query_string:(analyze_wildcard:!t,query:'%22rtdc.l.rtdc.4045%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872</v>
      </c>
      <c r="B218" s="7">
        <v>4018</v>
      </c>
      <c r="C218" s="21" t="s">
        <v>194</v>
      </c>
      <c r="D218" s="21" t="s">
        <v>360</v>
      </c>
      <c r="E218" s="13">
        <v>43034.069432870368</v>
      </c>
      <c r="F218" s="13">
        <v>43034.071331018517</v>
      </c>
      <c r="G218" s="7">
        <v>55</v>
      </c>
      <c r="H218" s="21" t="s">
        <v>606</v>
      </c>
      <c r="I218" s="13">
        <v>43034.080682870372</v>
      </c>
      <c r="J218" s="7">
        <v>0</v>
      </c>
      <c r="K218" s="89" t="str">
        <f>IF(ISEVEN(B218),(B218-1)&amp;"/"&amp;B218,B218&amp;"/"&amp;(B218+1))</f>
        <v>4017/4018</v>
      </c>
      <c r="L218" s="185" t="str">
        <f>VLOOKUP(A218,'Trips&amp;Operators'!$C$1:$G$99911,5,FALSE)</f>
        <v>LOZA FIDEL</v>
      </c>
      <c r="M218" s="6">
        <f>I218-F218</f>
        <v>9.3518518551718444E-3</v>
      </c>
      <c r="N218" s="7">
        <f>24*60*SUM($M218:$M218)</f>
        <v>13.466666671447456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-26T00:39:59-0600',mode:absolute,to:'2017-10-26T02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4.5999999999999999E-2</v>
      </c>
      <c r="Z218" s="204">
        <f>RIGHT(H218,LEN(H218)-4)/10000</f>
        <v>2.3306</v>
      </c>
      <c r="AA218" s="204">
        <f>ABS(Z218-Y218)</f>
        <v>2.2846000000000002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309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s3://rtdc.mdm.uploadarchive.raw/RTDC4018/ "%USERPROFILE%\AppData\Local\Temp\OnboardLogs"\RTDC4018\2017-10-26 --exclude "*" --recursive --include "*20171026*" &amp; "%USERPROFILE%\Documents\GitHub\mrs-test-scripts\Headless Mode &amp; Sideloading\WalkAndUnGZ.bat" "%USERPROFILE%\AppData\Local\Temp\OnboardLogs"\RTDC4018\2017-10-26 &amp; aws s3 cp s3://rtdc.mdm.uploadarchive.raw/RTDC4018/ "%USERPROFILE%\AppData\Local\Temp\OnboardLogs"\RTDC4018\2017-10-27 --exclude "*" --recursive --include "*20171027*" &amp; "%USERPROFILE%\Documents\GitHub\mrs-test-scripts\Headless Mode &amp; Sideloading\WalkAndUnGZ.bat" "%USERPROFILE%\AppData\Local\Temp\OnboardLogs"\RTDC4018\2017-10-27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/stypes="app*4018*20171026*" /stext=" 07:.+((SYSTEM_STATE.+slice.+state.+changed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32"/>
        <v>"%USERPROFILE%\Documents\GitHub\eaglep3\Utilities\RefineRTDCRunTimes.py" --tripid 309-25 --locoid 4018 --swversion DE.1.0.9.0 --startMP 204:460 --initTime 2017-10-26T01:39:59 --startdatetime 2017-10-26T01:42:43 --delay 55 --endMP 300:23306 --enddatetime 2017-10-26T01:56:11 --enforcementcount 0 &gt;&gt;%USERPROFILE%\Documents\GitHub\eaglep3-reporting\EC\2017-10-25-refined-times.txt</v>
      </c>
      <c r="AI218" s="96" t="str">
        <f t="shared" si="33"/>
        <v>echo {"issue":{"subject":"","project_id":79,"tracker_id":40,"status_id":1,"priority_id":2,"assigned_to_id":338,"start_date":"2017-10-26","description":"","custom_fields":[{"id":1,"name":"Subdivision","value":"Other"},{"id":4,"name":"Milepost","value":"2.3306"},{"id":17,"name":"Train ID","value":"309-25"},{"id":16,"name":"Locomotive ID","value":"4018"},{"id":130,"name":"Impact","value":""},{"id":150,"name":"Time of Event (Mountain Time)","value":"01:56:11"},{"id":151,"name":"Denver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34"/>
        <v>start /low /b %USERPROFILE%\Documents\GitHub\eaglep3\Utilities\DownloadLogsFromS3.py --loco 4018 --day 2017-10-26</v>
      </c>
      <c r="AN218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07:56:11"},{"id":29,"name":"Sharepoint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36"/>
        <v>https://d0f6bd738d7f1b3e5a7ca70fe4ff75f0.us-east-1.aws.found.io/app/kibana#/discover/Steve-Slow-Train-Analysis-(2080s-and-2083s)?_g=(refreshInterval:(display:Off,pause:!f,section:0,value:0),time:(from:'2017-10-26T00:39:59-0600',mode:absolute,to:'2017-10-26T02:56:11-0600'))&amp;_a=(columns:!('Message%20ID',Summary),filters:!(),index:'emp_*',interval:auto,query:(query_string:(analyze_wildcard:!t,query:'%22rtdc.l.rtdc.4018%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873</v>
      </c>
      <c r="B219" s="7">
        <v>4036</v>
      </c>
      <c r="C219" s="21" t="s">
        <v>194</v>
      </c>
      <c r="D219" s="21" t="s">
        <v>986</v>
      </c>
      <c r="E219" s="13">
        <v>43034.089247685188</v>
      </c>
      <c r="F219" s="13">
        <v>43034.090601851851</v>
      </c>
      <c r="G219" s="7">
        <v>52</v>
      </c>
      <c r="H219" s="21" t="s">
        <v>987</v>
      </c>
      <c r="I219" s="13">
        <v>43034.099444444444</v>
      </c>
      <c r="J219" s="7">
        <v>0</v>
      </c>
      <c r="K219" s="89" t="str">
        <f>IF(ISEVEN(B219),(B219-1)&amp;"/"&amp;B219,B219&amp;"/"&amp;(B219+1))</f>
        <v>4035/4036</v>
      </c>
      <c r="L219" s="185" t="str">
        <f>VLOOKUP(A219,'Trips&amp;Operators'!$C$1:$G$99911,5,FALSE)</f>
        <v>ANDERS STEVEN</v>
      </c>
      <c r="M219" s="6">
        <f>I219-F219</f>
        <v>8.8425925932824612E-3</v>
      </c>
      <c r="N219" s="7">
        <f>24*60*SUM($M219:$M219)</f>
        <v>12.733333334326744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-26T01:08:31-0600',mode:absolute,to:'2017-10-26T03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2</v>
      </c>
      <c r="Y219" s="204">
        <f>RIGHT(D219,LEN(D219)-4)/10000</f>
        <v>5.1799999999999999E-2</v>
      </c>
      <c r="Z219" s="204">
        <f>RIGHT(H219,LEN(H219)-4)/10000</f>
        <v>2.3313999999999999</v>
      </c>
      <c r="AA219" s="204">
        <f>ABS(Z219-Y219)</f>
        <v>2.2795999999999998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311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 &amp; aws s3 cp s3://rtdc.mdm.uploadarchive.raw/RTDC4036/ "%USERPROFILE%\AppData\Local\Temp\OnboardLogs"\RTDC4036\2017-10-27 --exclude "*" --recursive --include "*20171027*" &amp; "%USERPROFILE%\Documents\GitHub\mrs-test-scripts\Headless Mode &amp; Sideloading\WalkAndUnGZ.bat" "%USERPROFILE%\AppData\Local\Temp\OnboardLogs"\RTDC4036\2017-10-27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/stypes="app*4036*20171026*" /stext=" 08:.+((SYSTEM_STATE.+slice.+state.+changed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32"/>
        <v>"%USERPROFILE%\Documents\GitHub\eaglep3\Utilities\RefineRTDCRunTimes.py" --tripid 311-25 --locoid 4036 --swversion DE.1.0.9.0 --startMP 204:518 --initTime 2017-10-26T02:08:31 --startdatetime 2017-10-26T02:10:28 --delay 52 --endMP 300:23314 --enddatetime 2017-10-26T02:23:12 --enforcementcount 0 &gt;&gt;%USERPROFILE%\Documents\GitHub\eaglep3-reporting\EC\2017-10-25-refined-times.txt</v>
      </c>
      <c r="AI219" s="96" t="str">
        <f t="shared" si="33"/>
        <v>echo {"issue":{"subject":"","project_id":79,"tracker_id":40,"status_id":1,"priority_id":2,"assigned_to_id":338,"start_date":"2017-10-26","description":"","custom_fields":[{"id":1,"name":"Subdivision","value":"Other"},{"id":4,"name":"Milepost","value":"2.3314"},{"id":17,"name":"Train ID","value":"311-25"},{"id":16,"name":"Locomotive ID","value":"4036"},{"id":130,"name":"Impact","value":""},{"id":150,"name":"Time of Event (Mountain Time)","value":"02:23:12"},{"id":151,"name":"Denver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34"/>
        <v>start /low /b %USERPROFILE%\Documents\GitHub\eaglep3\Utilities\DownloadLogsFromS3.py --loco 4036 --day 2017-10-26</v>
      </c>
      <c r="AN219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36"/>
        <v>https://d0f6bd738d7f1b3e5a7ca70fe4ff75f0.us-east-1.aws.found.io/app/kibana#/discover/Steve-Slow-Train-Analysis-(2080s-and-2083s)?_g=(refreshInterval:(display:Off,pause:!f,section:0,value:0),time:(from:'2017-10-26T01:08:31-0600',mode:absolute,to:'2017-10-26T03:23:12-0600'))&amp;_a=(columns:!('Message%20ID',Summary),filters:!(),index:'emp_*',interval:auto,query:(query_string:(analyze_wildcard:!t,query:'%22rtdc.l.rtdc.4036%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687</v>
      </c>
      <c r="B220" s="7">
        <v>4007</v>
      </c>
      <c r="C220" s="21" t="s">
        <v>194</v>
      </c>
      <c r="D220" s="21" t="s">
        <v>619</v>
      </c>
      <c r="E220" s="13">
        <v>43033.220451388886</v>
      </c>
      <c r="F220" s="13">
        <v>43033.226365740738</v>
      </c>
      <c r="G220" s="7">
        <v>99</v>
      </c>
      <c r="H220" s="21" t="s">
        <v>988</v>
      </c>
      <c r="I220" s="13">
        <v>43033.228807870371</v>
      </c>
      <c r="J220" s="7">
        <v>0</v>
      </c>
      <c r="K220" s="89" t="str">
        <f>IF(ISEVEN(B220),(B220-1)&amp;"/"&amp;B220,B220&amp;"/"&amp;(B220+1))</f>
        <v>4007/4008</v>
      </c>
      <c r="L220" s="185" t="str">
        <f>VLOOKUP(A220,'Trips&amp;Operators'!$C$1:$G$99911,5,FALSE)</f>
        <v>FORTUNATO FRANK</v>
      </c>
      <c r="M220" s="6">
        <f>I220-F220</f>
        <v>2.4421296329819597E-3</v>
      </c>
      <c r="N220" s="7">
        <f>24*60*SUM($M220:$M220)</f>
        <v>3.516666671494022</v>
      </c>
      <c r="O220" s="7"/>
      <c r="P220" s="7"/>
      <c r="Q220" s="22"/>
      <c r="R220" s="174"/>
      <c r="S220" s="221">
        <f>1/IF(AG220="EC",12,1)*SUM(U220:U220)</f>
        <v>0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-25T04:17:27-0600',mode:absolute,to:'2017-10-25T06:29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2.3892000000000002</v>
      </c>
      <c r="Z220" s="204">
        <f>RIGHT(H220,LEN(H220)-4)/10000</f>
        <v>1.9423999999999999</v>
      </c>
      <c r="AA220" s="204">
        <f>ABS(Z220-Y220)</f>
        <v>0.44680000000000031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312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/stypes="app*4007*20171025*" /stext=" 11:.+((SYSTEM_STATE.+slice.+state.+changed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32"/>
        <v>"%USERPROFILE%\Documents\GitHub\eaglep3\Utilities\RefineRTDCRunTimes.py" --tripid 312-25 --locoid 4007 --swversion DE.1.0.9.0 --startMP 300:23892 --initTime 2017-10-25T05:17:27 --startdatetime 2017-10-25T05:25:58 --delay 99 --endMP 300:19424 --enddatetime 2017-10-25T05:29:29 --enforcementcount 0 &gt;&gt;%USERPROFILE%\Documents\GitHub\eaglep3-reporting\EC\2017-10-25-refined-times.txt</v>
      </c>
      <c r="AI220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{"issue":{"subject":"","project_id":79,"tracker_id":40,"status_id":1,"priority_id":2,"assigned_to_id":338,"start_date":"2017-10-25","description":"","custom_fields":[{"id":1,"name":"Subdivision","value":"Other"},{"id":4,"name":"Milepost","value":"1.9424"},{"id":17,"name":"Train ID","value":"312-25"},{"id":16,"name":"Locomotive ID","value":"4007"},{"id":130,"name":"Impact","value":""},{"id":150,"name":"Time of Event (Mountain Time)","value":"05:29:29"},{"id":151,"name":"Denver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34"/>
        <v>start /low /b %USERPROFILE%\Documents\GitHub\eaglep3\Utilities\DownloadLogsFromS3.py --loco 4007 --day 2017-10-25</v>
      </c>
      <c r="AN220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11:29:29"},{"id":29,"name":"Sharepoint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36"/>
        <v>https://d0f6bd738d7f1b3e5a7ca70fe4ff75f0.us-east-1.aws.found.io/app/kibana#/discover/Steve-Slow-Train-Analysis-(2080s-and-2083s)?_g=(refreshInterval:(display:Off,pause:!f,section:0,value:0),time:(from:'2017-10-25T04:17:27-0600',mode:absolute,to:'2017-10-25T06:29:29-0600'))&amp;_a=(columns:!('Message%20ID',Summary),filters:!(),index:'emp_*',interval:auto,query:(query_string:(analyze_wildcard:!t,query:'%22rtdc.l.rtdc.4007%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663</v>
      </c>
      <c r="B221" s="7">
        <v>4030</v>
      </c>
      <c r="C221" s="21" t="s">
        <v>194</v>
      </c>
      <c r="D221" s="21" t="s">
        <v>344</v>
      </c>
      <c r="E221" s="13">
        <v>43034.028344907405</v>
      </c>
      <c r="F221" s="13">
        <v>43034.031122685185</v>
      </c>
      <c r="G221" s="7">
        <v>72</v>
      </c>
      <c r="H221" s="21" t="s">
        <v>606</v>
      </c>
      <c r="I221" s="13">
        <v>43034.042337962965</v>
      </c>
      <c r="J221" s="7">
        <v>0</v>
      </c>
      <c r="K221" s="89" t="str">
        <f>IF(ISEVEN(B221),(B221-1)&amp;"/"&amp;B221,B221&amp;"/"&amp;(B221+1))</f>
        <v>4029/4030</v>
      </c>
      <c r="L221" s="185" t="str">
        <f>VLOOKUP(A221,'Trips&amp;Operators'!$C$1:$G$99911,5,FALSE)</f>
        <v>NICHOLSON WESLEY</v>
      </c>
      <c r="M221" s="6">
        <f>I221-F221</f>
        <v>1.1215277780138422E-2</v>
      </c>
      <c r="N221" s="7">
        <f>24*60*SUM($M221:$M221)</f>
        <v>16.150000003399327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-25T23:40:49-0600',mode:absolute,to:'2017-10-26T02:00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4.5499999999999999E-2</v>
      </c>
      <c r="Z221" s="204">
        <f>RIGHT(H221,LEN(H221)-4)/10000</f>
        <v>2.3306</v>
      </c>
      <c r="AA221" s="204">
        <f>ABS(Z221-Y221)</f>
        <v>2.2850999999999999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313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 &amp; 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/stypes="app*4030*20171026*" /stext=" 07:.+((SYSTEM_STATE.+slice.+state.+changed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32"/>
        <v>"%USERPROFILE%\Documents\GitHub\eaglep3\Utilities\RefineRTDCRunTimes.py" --tripid 313-25 --locoid 4030 --swversion DE.1.0.9.0 --startMP 204:455 --initTime 2017-10-26T00:40:49 --startdatetime 2017-10-26T00:44:49 --delay 72 --endMP 300:23306 --enddatetime 2017-10-26T01:00:58 --enforcementcount 0 &gt;&gt;%USERPROFILE%\Documents\GitHub\eaglep3-reporting\EC\2017-10-25-refined-times.txt</v>
      </c>
      <c r="AI221" s="96" t="str">
        <f t="shared" si="33"/>
        <v>echo {"issue":{"subject":"","project_id":79,"tracker_id":40,"status_id":1,"priority_id":2,"assigned_to_id":338,"start_date":"2017-10-26","description":"","custom_fields":[{"id":1,"name":"Subdivision","value":"Other"},{"id":4,"name":"Milepost","value":"2.3306"},{"id":17,"name":"Train ID","value":"313-25"},{"id":16,"name":"Locomotive ID","value":"4030"},{"id":130,"name":"Impact","value":""},{"id":150,"name":"Time of Event (Mountain Time)","value":"01:00:58"},{"id":151,"name":"Denver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34"/>
        <v>start /low /b %USERPROFILE%\Documents\GitHub\eaglep3\Utilities\DownloadLogsFromS3.py --loco 4030 --day 2017-10-26</v>
      </c>
      <c r="AN221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07:00:58"},{"id":29,"name":"Sharepoint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36"/>
        <v>https://d0f6bd738d7f1b3e5a7ca70fe4ff75f0.us-east-1.aws.found.io/app/kibana#/discover/Steve-Slow-Train-Analysis-(2080s-and-2083s)?_g=(refreshInterval:(display:Off,pause:!f,section:0,value:0),time:(from:'2017-10-25T23:40:49-0600',mode:absolute,to:'2017-10-26T02:00:58-0600'))&amp;_a=(columns:!('Message%20ID',Summary),filters:!(),index:'emp_*',interval:auto,query:(query_string:(analyze_wildcard:!t,query:'%22rtdc.l.rtdc.4030%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680</v>
      </c>
      <c r="B222" s="7">
        <v>4024</v>
      </c>
      <c r="C222" s="21" t="s">
        <v>194</v>
      </c>
      <c r="D222" s="21" t="s">
        <v>1089</v>
      </c>
      <c r="E222" s="13">
        <v>43033.203483796293</v>
      </c>
      <c r="F222" s="13">
        <v>43033.208668981482</v>
      </c>
      <c r="G222" s="7">
        <v>75</v>
      </c>
      <c r="H222" s="21" t="s">
        <v>553</v>
      </c>
      <c r="I222" s="13">
        <v>43033.213680555556</v>
      </c>
      <c r="J222" s="7">
        <v>0</v>
      </c>
      <c r="K222" s="89" t="str">
        <f>IF(ISEVEN(B222),(B222-1)&amp;"/"&amp;B222,B222&amp;"/"&amp;(B222+1))</f>
        <v>4023/4024</v>
      </c>
      <c r="L222" s="185" t="str">
        <f>VLOOKUP(A222,'Trips&amp;Operators'!$C$1:$G$99911,5,FALSE)</f>
        <v>LAMAR NEKESHA</v>
      </c>
      <c r="M222" s="6">
        <f>I222-F222</f>
        <v>5.0115740741603076E-3</v>
      </c>
      <c r="N222" s="7">
        <f>24*60*SUM($M222:$M222)</f>
        <v>7.216666666790843</v>
      </c>
      <c r="O222" s="7"/>
      <c r="P222" s="7"/>
      <c r="Q222" s="22"/>
      <c r="R222" s="174"/>
      <c r="S222" s="221">
        <f>1/IF(AG222="EC",12,1)*SUM(U222:U222)</f>
        <v>0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-25T03:53:01-0600',mode:absolute,to:'2017-10-25T06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588</v>
      </c>
      <c r="Y222" s="204">
        <f>RIGHT(D222,LEN(D222)-4)/10000</f>
        <v>2.9722</v>
      </c>
      <c r="Z222" s="204">
        <f>RIGHT(H222,LEN(H222)-4)/10000</f>
        <v>5.8943000000000003</v>
      </c>
      <c r="AA222" s="204">
        <f>ABS(Z222-Y222)</f>
        <v>2.9221000000000004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901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/stypes="app*4024*20171025*" /stext=" 11:.+((SYSTEM_STATE.+slice.+state.+changed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32"/>
        <v>"%USERPROFILE%\Documents\GitHub\eaglep3\Utilities\RefineRTDCRunTimes.py" --tripid 901-25 --locoid 4024 --swversion DE.1.0.9.0 --startMP 300:29722 --initTime 2017-10-25T04:53:01 --startdatetime 2017-10-25T05:00:29 --delay 75 --endMP 300:58943 --enddatetime 2017-10-25T05:07:42 --enforcementcount 0 &gt;&gt;%USERPROFILE%\Documents\GitHub\eaglep3-reporting\EC\2017-10-25-refined-times.txt</v>
      </c>
      <c r="AI222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{"issue":{"subject":"","project_id":79,"tracker_id":40,"status_id":1,"priority_id":2,"assigned_to_id":338,"start_date":"2017-10-25","description":"","custom_fields":[{"id":1,"name":"Subdivision","value":"Other"},{"id":4,"name":"Milepost","value":"5.8943"},{"id":17,"name":"Train ID","value":"901-25"},{"id":16,"name":"Locomotive ID","value":"4024"},{"id":130,"name":"Impact","value":""},{"id":150,"name":"Time of Event (Mountain Time)","value":"05:07:42"},{"id":151,"name":"Denver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34"/>
        <v>start /low /b %USERPROFILE%\Documents\GitHub\eaglep3\Utilities\DownloadLogsFromS3.py --loco 4024 --day 2017-10-25</v>
      </c>
      <c r="AN222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36"/>
        <v>https://d0f6bd738d7f1b3e5a7ca70fe4ff75f0.us-east-1.aws.found.io/app/kibana#/discover/Steve-Slow-Train-Analysis-(2080s-and-2083s)?_g=(refreshInterval:(display:Off,pause:!f,section:0,value:0),time:(from:'2017-10-25T03:53:01-0600',mode:absolute,to:'2017-10-25T06:07:42-0600'))&amp;_a=(columns:!('Message%20ID',Summary),filters:!(),index:'emp_*',interval:auto,query:(query_string:(analyze_wildcard:!t,query:'%22rtdc.l.rtdc.4024%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693</v>
      </c>
      <c r="B223" s="7">
        <v>4051</v>
      </c>
      <c r="C223" s="21" t="s">
        <v>194</v>
      </c>
      <c r="D223" s="21" t="s">
        <v>1090</v>
      </c>
      <c r="E223" s="13">
        <v>43033.240381944444</v>
      </c>
      <c r="F223" s="13">
        <v>43033.243842592594</v>
      </c>
      <c r="G223" s="7">
        <v>67</v>
      </c>
      <c r="H223" s="21" t="s">
        <v>1091</v>
      </c>
      <c r="I223" s="13">
        <v>43033.24900462963</v>
      </c>
      <c r="J223" s="7">
        <v>0</v>
      </c>
      <c r="K223" s="89" t="str">
        <f>IF(ISEVEN(B223),(B223-1)&amp;"/"&amp;B223,B223&amp;"/"&amp;(B223+1))</f>
        <v>4051/4052</v>
      </c>
      <c r="L223" s="185" t="str">
        <f>VLOOKUP(A223,'Trips&amp;Operators'!$C$1:$G$99911,5,FALSE)</f>
        <v>GEBRETEKLE DAGNEW</v>
      </c>
      <c r="M223" s="6">
        <f>I223-F223</f>
        <v>5.1620370359160006E-3</v>
      </c>
      <c r="N223" s="7">
        <f>24*60*SUM($M223:$M223)</f>
        <v>7.4333333317190409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-25T04:46:09-0600',mode:absolute,to:'2017-10-25T06:58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2.3719999999999999</v>
      </c>
      <c r="Z223" s="204">
        <f>RIGHT(H223,LEN(H223)-4)/10000</f>
        <v>7.1499999999999994E-2</v>
      </c>
      <c r="AA223" s="204">
        <f>ABS(Z223-Y223)</f>
        <v>2.3005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902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/stypes="app*4051*20171025*" /stext=" 11:.+((SYSTEM_STATE.+slice.+state.+changed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32"/>
        <v>"%USERPROFILE%\Documents\GitHub\eaglep3\Utilities\RefineRTDCRunTimes.py" --tripid 902-25 --locoid 4051 --swversion DE.1.0.9.0 --startMP 300:23720 --initTime 2017-10-25T05:46:09 --startdatetime 2017-10-25T05:51:08 --delay 67 --endMP 204:715 --enddatetime 2017-10-25T05:58:34 --enforcementcount 0 &gt;&gt;%USERPROFILE%\Documents\GitHub\eaglep3-reporting\EC\2017-10-25-refined-times.txt</v>
      </c>
      <c r="AI223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{"issue":{"subject":"","project_id":79,"tracker_id":40,"status_id":1,"priority_id":2,"assigned_to_id":338,"start_date":"2017-10-25","description":"","custom_fields":[{"id":1,"name":"Subdivision","value":"Other"},{"id":4,"name":"Milepost","value":"0.0715"},{"id":17,"name":"Train ID","value":"902-25"},{"id":16,"name":"Locomotive ID","value":"4051"},{"id":130,"name":"Impact","value":""},{"id":150,"name":"Time of Event (Mountain Time)","value":"05:58:34"},{"id":151,"name":"Denver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34"/>
        <v>start /low /b %USERPROFILE%\Documents\GitHub\eaglep3\Utilities\DownloadLogsFromS3.py --loco 4051 --day 2017-10-25</v>
      </c>
      <c r="AN223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11:58:34"},{"id":29,"name":"Sharepoint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36"/>
        <v>https://d0f6bd738d7f1b3e5a7ca70fe4ff75f0.us-east-1.aws.found.io/app/kibana#/discover/Steve-Slow-Train-Analysis-(2080s-and-2083s)?_g=(refreshInterval:(display:Off,pause:!f,section:0,value:0),time:(from:'2017-10-25T04:46:09-0600',mode:absolute,to:'2017-10-25T06:58:34-0600'))&amp;_a=(columns:!('Message%20ID',Summary),filters:!(),index:'emp_*',interval:auto,query:(query_string:(analyze_wildcard:!t,query:'%22rtdc.l.rtdc.4051%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721</v>
      </c>
      <c r="B224" s="7">
        <v>4024</v>
      </c>
      <c r="C224" s="21" t="s">
        <v>194</v>
      </c>
      <c r="D224" s="21" t="s">
        <v>1092</v>
      </c>
      <c r="E224" s="13">
        <v>43033.35260416667</v>
      </c>
      <c r="F224" s="13">
        <v>43033.354155092595</v>
      </c>
      <c r="G224" s="7">
        <v>58</v>
      </c>
      <c r="H224" s="21" t="s">
        <v>610</v>
      </c>
      <c r="I224" s="13">
        <v>43033.359212962961</v>
      </c>
      <c r="J224" s="7">
        <v>0</v>
      </c>
      <c r="K224" s="89" t="str">
        <f>IF(ISEVEN(B224),(B224-1)&amp;"/"&amp;B224,B224&amp;"/"&amp;(B224+1))</f>
        <v>4023/4024</v>
      </c>
      <c r="L224" s="185" t="str">
        <f>VLOOKUP(A224,'Trips&amp;Operators'!$C$1:$G$99911,5,FALSE)</f>
        <v>LAMAR NEKESHA</v>
      </c>
      <c r="M224" s="6">
        <f>I224-F224</f>
        <v>5.057870366727002E-3</v>
      </c>
      <c r="N224" s="7">
        <f>24*60*SUM($M224:$M224)</f>
        <v>7.2833333280868828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-25T07:27:45-0600',mode:absolute,to:'2017-10-25T09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9.8799999999999999E-2</v>
      </c>
      <c r="Z224" s="204">
        <f>RIGHT(H224,LEN(H224)-4)/10000</f>
        <v>2.4220000000000002</v>
      </c>
      <c r="AA224" s="204">
        <f>ABS(Z224-Y224)</f>
        <v>2.3231999999999999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903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/stypes="app*4024*20171025*" /stext=" 14:.+((SYSTEM_STATE.+slice.+state.+changed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32"/>
        <v>"%USERPROFILE%\Documents\GitHub\eaglep3\Utilities\RefineRTDCRunTimes.py" --tripid 903-25 --locoid 4024 --swversion DE.1.0.9.0 --startMP 204:988 --initTime 2017-10-25T08:27:45 --startdatetime 2017-10-25T08:29:59 --delay 58 --endMP 300:24220 --enddatetime 2017-10-25T08:37:16 --enforcementcount 0 &gt;&gt;%USERPROFILE%\Documents\GitHub\eaglep3-reporting\EC\2017-10-25-refined-times.txt</v>
      </c>
      <c r="AI224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{"issue":{"subject":"","project_id":79,"tracker_id":40,"status_id":1,"priority_id":2,"assigned_to_id":338,"start_date":"2017-10-25","description":"","custom_fields":[{"id":1,"name":"Subdivision","value":"Other"},{"id":4,"name":"Milepost","value":"2.422"},{"id":17,"name":"Train ID","value":"903-25"},{"id":16,"name":"Locomotive ID","value":"4024"},{"id":130,"name":"Impact","value":""},{"id":150,"name":"Time of Event (Mountain Time)","value":"08:37:16"},{"id":151,"name":"Denver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34"/>
        <v>start /low /b %USERPROFILE%\Documents\GitHub\eaglep3\Utilities\DownloadLogsFromS3.py --loco 4024 --day 2017-10-25</v>
      </c>
      <c r="AN224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14:37:16"},{"id":29,"name":"Sharepoint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36"/>
        <v>https://d0f6bd738d7f1b3e5a7ca70fe4ff75f0.us-east-1.aws.found.io/app/kibana#/discover/Steve-Slow-Train-Analysis-(2080s-and-2083s)?_g=(refreshInterval:(display:Off,pause:!f,section:0,value:0),time:(from:'2017-10-25T07:27:45-0600',mode:absolute,to:'2017-10-25T09:37:16-0600'))&amp;_a=(columns:!('Message%20ID',Summary),filters:!(),index:'emp_*',interval:auto,query:(query_string:(analyze_wildcard:!t,query:'%22rtdc.l.rtdc.4024%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788</v>
      </c>
      <c r="B225" s="7">
        <v>4023</v>
      </c>
      <c r="C225" s="21" t="s">
        <v>194</v>
      </c>
      <c r="D225" s="21" t="s">
        <v>1093</v>
      </c>
      <c r="E225" s="13">
        <v>43033.637013888889</v>
      </c>
      <c r="F225" s="13">
        <v>43033.640185185184</v>
      </c>
      <c r="G225" s="7">
        <v>97</v>
      </c>
      <c r="H225" s="21" t="s">
        <v>1094</v>
      </c>
      <c r="I225" s="13">
        <v>43033.645208333335</v>
      </c>
      <c r="J225" s="7">
        <v>0</v>
      </c>
      <c r="K225" s="89" t="str">
        <f>IF(ISEVEN(B225),(B225-1)&amp;"/"&amp;B225,B225&amp;"/"&amp;(B225+1))</f>
        <v>4023/4024</v>
      </c>
      <c r="L225" s="185" t="str">
        <f>VLOOKUP(A225,'Trips&amp;Operators'!$C$1:$G$99911,5,FALSE)</f>
        <v>STAMBAUGH JAMES</v>
      </c>
      <c r="M225" s="6">
        <f>I225-F225</f>
        <v>5.02314815093996E-3</v>
      </c>
      <c r="N225" s="7">
        <f>24*60*SUM($M225:$M225)</f>
        <v>7.2333333373535424</v>
      </c>
      <c r="O225" s="7"/>
      <c r="P225" s="7"/>
      <c r="Q225" s="22"/>
      <c r="R225" s="174"/>
      <c r="S225" s="221">
        <f>1/IF(AG225="EC",12,1)*SUM(U225:U225)</f>
        <v>1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-25T14:17:18-0600',mode:absolute,to:'2017-10-25T16:29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1</v>
      </c>
      <c r="Y225" s="204">
        <f>RIGHT(D225,LEN(D225)-4)/10000</f>
        <v>2.3700999999999999</v>
      </c>
      <c r="Z225" s="204">
        <f>RIGHT(H225,LEN(H225)-4)/10000</f>
        <v>6.8199999999999997E-2</v>
      </c>
      <c r="AA225" s="204">
        <f>ABS(Z225-Y225)</f>
        <v>2.3018999999999998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904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/stypes="app*4023*20171025*" /stext=" 21:.+((SYSTEM_STATE.+slice.+state.+changed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32"/>
        <v>"%USERPROFILE%\Documents\GitHub\eaglep3\Utilities\RefineRTDCRunTimes.py" --tripid 904-25 --locoid 4023 --swversion DE.1.0.9.0 --startMP 300:23701 --initTime 2017-10-25T15:17:18 --startdatetime 2017-10-25T15:21:52 --delay 97 --endMP 204:682 --enddatetime 2017-10-25T15:29:06 --enforcementcount 0 &gt;&gt;%USERPROFILE%\Documents\GitHub\eaglep3-reporting\EC\2017-10-25-refined-times.txt</v>
      </c>
      <c r="AI225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{"issue":{"subject":"","project_id":79,"tracker_id":40,"status_id":1,"priority_id":2,"assigned_to_id":338,"start_date":"2017-10-25","description":"","custom_fields":[{"id":1,"name":"Subdivision","value":"Other"},{"id":4,"name":"Milepost","value":"0.0682"},{"id":17,"name":"Train ID","value":"904-25"},{"id":16,"name":"Locomotive ID","value":"4023"},{"id":130,"name":"Impact","value":""},{"id":150,"name":"Time of Event (Mountain Time)","value":"15:29:06"},{"id":151,"name":"Denver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34"/>
        <v>start /low /b %USERPROFILE%\Documents\GitHub\eaglep3\Utilities\DownloadLogsFromS3.py --loco 4023 --day 2017-10-25</v>
      </c>
      <c r="AN225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21:29:06"},{"id":29,"name":"Sharepoint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36"/>
        <v>https://d0f6bd738d7f1b3e5a7ca70fe4ff75f0.us-east-1.aws.found.io/app/kibana#/discover/Steve-Slow-Train-Analysis-(2080s-and-2083s)?_g=(refreshInterval:(display:Off,pause:!f,section:0,value:0),time:(from:'2017-10-25T14:17:18-0600',mode:absolute,to:'2017-10-25T16:29:06-0600'))&amp;_a=(columns:!('Message%20ID',Summary),filters:!(),index:'emp_*',interval:auto,query:(query_string:(analyze_wildcard:!t,query:'%22rtdc.l.rtdc.4023%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835</v>
      </c>
      <c r="B226" s="7">
        <v>4023</v>
      </c>
      <c r="C226" s="21" t="s">
        <v>194</v>
      </c>
      <c r="D226" s="21" t="s">
        <v>1084</v>
      </c>
      <c r="E226" s="13">
        <v>43033.789756944447</v>
      </c>
      <c r="F226" s="13">
        <v>43033.79078703704</v>
      </c>
      <c r="G226" s="7">
        <v>51</v>
      </c>
      <c r="H226" s="21" t="s">
        <v>1095</v>
      </c>
      <c r="I226" s="13">
        <v>43033.797430555554</v>
      </c>
      <c r="J226" s="7">
        <v>0</v>
      </c>
      <c r="K226" s="89" t="str">
        <f>IF(ISEVEN(B226),(B226-1)&amp;"/"&amp;B226,B226&amp;"/"&amp;(B226+1))</f>
        <v>4023/4024</v>
      </c>
      <c r="L226" s="185" t="str">
        <f>VLOOKUP(A226,'Trips&amp;Operators'!$C$1:$G$99911,5,FALSE)</f>
        <v>STAMBAUGH JAMES</v>
      </c>
      <c r="M226" s="6">
        <f>I226-F226</f>
        <v>6.6435185144655406E-3</v>
      </c>
      <c r="N226" s="7">
        <f>24*60*SUM($M226:$M226)</f>
        <v>9.5666666608303785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-25T17:57:15-0600',mode:absolute,to:'2017-10-25T20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2</v>
      </c>
      <c r="Y226" s="204">
        <f>RIGHT(D226,LEN(D226)-4)/10000</f>
        <v>5.8624000000000001</v>
      </c>
      <c r="Z226" s="204">
        <f>RIGHT(H226,LEN(H226)-4)/10000</f>
        <v>2.8757000000000001</v>
      </c>
      <c r="AA226" s="204">
        <f>ABS(Z226-Y226)</f>
        <v>2.9866999999999999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906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/stypes="app*4023*20171026*" /stext=" 01:.+((SYSTEM_STATE.+slice.+state.+changed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32"/>
        <v>"%USERPROFILE%\Documents\GitHub\eaglep3\Utilities\RefineRTDCRunTimes.py" --tripid 906-25 --locoid 4023 --swversion DE.1.0.9.0 --startMP 300:58624 --initTime 2017-10-25T18:57:15 --startdatetime 2017-10-25T18:58:44 --delay 51 --endMP 300:28757 --enddatetime 2017-10-25T19:08:18 --enforcementcount 0 &gt;&gt;%USERPROFILE%\Documents\GitHub\eaglep3-reporting\EC\2017-10-25-refined-times.txt</v>
      </c>
      <c r="AI226" s="96" t="str">
        <f t="shared" si="33"/>
        <v>echo {"issue":{"subject":"","project_id":79,"tracker_id":40,"status_id":1,"priority_id":2,"assigned_to_id":338,"start_date":"2017-10-25","description":"","custom_fields":[{"id":1,"name":"Subdivision","value":"Other"},{"id":4,"name":"Milepost","value":"2.8757"},{"id":17,"name":"Train ID","value":"906-25"},{"id":16,"name":"Locomotive ID","value":"4023"},{"id":130,"name":"Impact","value":""},{"id":150,"name":"Time of Event (Mountain Time)","value":"19:08:18"},{"id":151,"name":"Denver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34"/>
        <v>start /low /b %USERPROFILE%\Documents\GitHub\eaglep3\Utilities\DownloadLogsFromS3.py --loco 4023 --day 2017-10-25</v>
      </c>
      <c r="AN226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01:08:18"},{"id":29,"name":"Sharepoint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36"/>
        <v>https://d0f6bd738d7f1b3e5a7ca70fe4ff75f0.us-east-1.aws.found.io/app/kibana#/discover/Steve-Slow-Train-Analysis-(2080s-and-2083s)?_g=(refreshInterval:(display:Off,pause:!f,section:0,value:0),time:(from:'2017-10-25T17:57:15-0600',mode:absolute,to:'2017-10-25T20:08:18-0600'))&amp;_a=(columns:!('Message%20ID',Summary),filters:!(),index:'emp_*',interval:auto,query:(query_string:(analyze_wildcard:!t,query:'%22rtdc.l.rtdc.4023%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666</v>
      </c>
      <c r="B227" s="7">
        <v>4006</v>
      </c>
      <c r="C227" s="21" t="s">
        <v>194</v>
      </c>
      <c r="D227" s="21" t="s">
        <v>437</v>
      </c>
      <c r="E227" s="13">
        <v>43033.139108796298</v>
      </c>
      <c r="F227" s="13">
        <v>43033.140381944446</v>
      </c>
      <c r="G227" s="7">
        <v>61</v>
      </c>
      <c r="H227" s="21" t="s">
        <v>989</v>
      </c>
      <c r="I227" s="13">
        <v>43033.141377314816</v>
      </c>
      <c r="J227" s="7">
        <v>0</v>
      </c>
      <c r="K227" s="89" t="str">
        <f>IF(ISEVEN(B227),(B227-1)&amp;"/"&amp;B227,B227&amp;"/"&amp;(B227+1))</f>
        <v>4005/4006</v>
      </c>
      <c r="L227" s="185" t="str">
        <f>VLOOKUP(A227,'Trips&amp;Operators'!$C$1:$G$99911,5,FALSE)</f>
        <v>STARKS ANGELINA</v>
      </c>
      <c r="M227" s="6">
        <f>I227-F227</f>
        <v>9.9537037021946162E-4</v>
      </c>
      <c r="N227" s="7">
        <f>24*60*SUM($M227:$M227)</f>
        <v>1.4333333331160247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-25T02:20:19-0600',mode:absolute,to:'2017-10-25T04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-855</v>
      </c>
      <c r="Y227" s="204">
        <f>RIGHT(D227,LEN(D227)-4)/10000</f>
        <v>4.6600000000000003E-2</v>
      </c>
      <c r="Z227" s="204">
        <f>RIGHT(H227,LEN(H227)-4)/10000</f>
        <v>0.34489999999999998</v>
      </c>
      <c r="AA227" s="204">
        <f>ABS(Z227-Y227)</f>
        <v>0.29830000000000001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51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/stypes="app*4006*20171025*" /stext=" 09:.+((SYSTEM_STATE.+slice.+state.+changed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32"/>
        <v>"%USERPROFILE%\Documents\GitHub\eaglep3\Utilities\RefineRTDCRunTimes.py" --tripid 51-25 --locoid 4006 --swversion DE.1.0.9.0 --startMP 204:466 --initTime 2017-10-25T03:20:19 --startdatetime 2017-10-25T03:22:09 --delay 61 --endMP 204:3449 --enddatetime 2017-10-25T03:23:35 --enforcementcount 0 &gt;&gt;%USERPROFILE%\Documents\GitHub\eaglep3-reporting\EC\2017-10-25-refined-times.txt</v>
      </c>
      <c r="AI227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0.3449"},{"id":17,"name":"Train ID","value":"51-25"},{"id":16,"name":"Locomotive ID","value":"4006"},{"id":130,"name":"Impact","value":""},{"id":150,"name":"Time of Event (Mountain Time)","value":"03:23:35"},{"id":151,"name":"Denver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34"/>
        <v>start /low /b %USERPROFILE%\Documents\GitHub\eaglep3\Utilities\DownloadLogsFromS3.py --loco 4006 --day 2017-10-25</v>
      </c>
      <c r="AN227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09:23:35"},{"id":29,"name":"Sharepoint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36"/>
        <v>https://d0f6bd738d7f1b3e5a7ca70fe4ff75f0.us-east-1.aws.found.io/app/kibana#/discover/Steve-Slow-Train-Analysis-(2080s-and-2083s)?_g=(refreshInterval:(display:Off,pause:!f,section:0,value:0),time:(from:'2017-10-25T02:20:19-0600',mode:absolute,to:'2017-10-25T04:23:35-0600'))&amp;_a=(columns:!('Message%20ID',Summary),filters:!(),index:'emp_*',interval:auto,query:(query_string:(analyze_wildcard:!t,query:'%22rtdc.l.rtdc.4006%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667</v>
      </c>
      <c r="B228" s="7">
        <v>4005</v>
      </c>
      <c r="C228" s="21" t="s">
        <v>194</v>
      </c>
      <c r="D228" s="21" t="s">
        <v>990</v>
      </c>
      <c r="E228" s="13">
        <v>43033.142083333332</v>
      </c>
      <c r="F228" s="13">
        <v>43033.143379629626</v>
      </c>
      <c r="G228" s="7">
        <v>61</v>
      </c>
      <c r="H228" s="21" t="s">
        <v>991</v>
      </c>
      <c r="I228" s="13">
        <v>43033.144409722219</v>
      </c>
      <c r="J228" s="7">
        <v>0</v>
      </c>
      <c r="K228" s="89" t="str">
        <f>IF(ISEVEN(B228),(B228-1)&amp;"/"&amp;B228,B228&amp;"/"&amp;(B228+1))</f>
        <v>4005/4006</v>
      </c>
      <c r="L228" s="185" t="str">
        <f>VLOOKUP(A228,'Trips&amp;Operators'!$C$1:$G$99911,5,FALSE)</f>
        <v>STARKS ANGELINA</v>
      </c>
      <c r="M228" s="6">
        <f>I228-F228</f>
        <v>1.0300925932824612E-3</v>
      </c>
      <c r="N228" s="7">
        <f>24*60*SUM($M228:$M228)</f>
        <v>1.4833333343267441</v>
      </c>
      <c r="O228" s="7"/>
      <c r="P228" s="7"/>
      <c r="Q228" s="22"/>
      <c r="R228" s="174"/>
      <c r="S228" s="221">
        <f>1/IF(AG228="EC",12,1)*SUM(U228:U228)</f>
        <v>0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-25T02:24:36-0600',mode:absolute,to:'2017-10-25T04:27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0.31119999999999998</v>
      </c>
      <c r="Z228" s="204">
        <f>RIGHT(H228,LEN(H228)-4)/10000</f>
        <v>0.11600000000000001</v>
      </c>
      <c r="AA228" s="204">
        <f>ABS(Z228-Y228)</f>
        <v>0.19519999999999998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52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/stypes="app*4005*20171025*" /stext=" 09:.+((SYSTEM_STATE.+slice.+state.+changed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32"/>
        <v>"%USERPROFILE%\Documents\GitHub\eaglep3\Utilities\RefineRTDCRunTimes.py" --tripid 52-25 --locoid 4005 --swversion DE.1.0.9.0 --startMP 204:3112 --initTime 2017-10-25T03:24:36 --startdatetime 2017-10-25T03:26:28 --delay 61 --endMP 204:1160 --enddatetime 2017-10-25T03:27:57 --enforcementcount 0 &gt;&gt;%USERPROFILE%\Documents\GitHub\eaglep3-reporting\EC\2017-10-25-refined-times.txt</v>
      </c>
      <c r="AI228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0.116"},{"id":17,"name":"Train ID","value":"52-25"},{"id":16,"name":"Locomotive ID","value":"4005"},{"id":130,"name":"Impact","value":""},{"id":150,"name":"Time of Event (Mountain Time)","value":"03:27:57"},{"id":151,"name":"Denver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34"/>
        <v>start /low /b %USERPROFILE%\Documents\GitHub\eaglep3\Utilities\DownloadLogsFromS3.py --loco 4005 --day 2017-10-25</v>
      </c>
      <c r="AN228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09:27:57"},{"id":29,"name":"Sharepoint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36"/>
        <v>https://d0f6bd738d7f1b3e5a7ca70fe4ff75f0.us-east-1.aws.found.io/app/kibana#/discover/Steve-Slow-Train-Analysis-(2080s-and-2083s)?_g=(refreshInterval:(display:Off,pause:!f,section:0,value:0),time:(from:'2017-10-25T02:24:36-0600',mode:absolute,to:'2017-10-25T04:27:57-0600'))&amp;_a=(columns:!('Message%20ID',Summary),filters:!(),index:'emp_*',interval:auto,query:(query_string:(analyze_wildcard:!t,query:'%22rtdc.l.rtdc.4005%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682</v>
      </c>
      <c r="B229" s="7">
        <v>4006</v>
      </c>
      <c r="C229" s="21" t="s">
        <v>194</v>
      </c>
      <c r="D229" s="21" t="s">
        <v>992</v>
      </c>
      <c r="E229" s="13">
        <v>43033.206701388888</v>
      </c>
      <c r="F229" s="13">
        <v>43033.2109837963</v>
      </c>
      <c r="G229" s="7">
        <v>123</v>
      </c>
      <c r="H229" s="21" t="s">
        <v>993</v>
      </c>
      <c r="I229" s="13">
        <v>43033.212002314816</v>
      </c>
      <c r="J229" s="7">
        <v>0</v>
      </c>
      <c r="K229" s="89" t="str">
        <f>IF(ISEVEN(B229),(B229-1)&amp;"/"&amp;B229,B229&amp;"/"&amp;(B229+1))</f>
        <v>4005/4006</v>
      </c>
      <c r="L229" s="185" t="str">
        <f>VLOOKUP(A229,'Trips&amp;Operators'!$C$1:$G$99911,5,FALSE)</f>
        <v>STARKS ANGELINA</v>
      </c>
      <c r="M229" s="6">
        <f>I229-F229</f>
        <v>1.0185185165028088E-3</v>
      </c>
      <c r="N229" s="7">
        <f>24*60*SUM($M229:$M229)</f>
        <v>1.4666666637640446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-25T03:57:39-0600',mode:absolute,to:'2017-10-25T06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0.14860000000000001</v>
      </c>
      <c r="Z229" s="204">
        <f>RIGHT(H229,LEN(H229)-4)/10000</f>
        <v>0.34389999999999998</v>
      </c>
      <c r="AA229" s="204">
        <f>ABS(Z229-Y229)</f>
        <v>0.19529999999999997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53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s3://rtdc.mdm.uploadarchive.raw/RTDC4006/ "%USERPROFILE%\AppData\Local\Temp\OnboardLogs"\RTDC4006\2017-10-25 --exclude "*" --recursive --include "*20171025*" &amp; "%USERPROFILE%\Documents\GitHub\mrs-test-scripts\Headless Mode &amp; Sideloading\WalkAndUnGZ.bat" "%USERPROFILE%\AppData\Local\Temp\OnboardLogs"\RTDC4006\2017-10-25 &amp; aws s3 cp s3://rtdc.mdm.uploadarchive.raw/RTDC4006/ "%USERPROFILE%\AppData\Local\Temp\OnboardLogs"\RTDC4006\2017-10-26 --exclude "*" --recursive --include "*20171026*" &amp; "%USERPROFILE%\Documents\GitHub\mrs-test-scripts\Headless Mode &amp; Sideloading\WalkAndUnGZ.bat" "%USERPROFILE%\AppData\Local\Temp\OnboardLogs"\RTDC4006\2017-10-26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/stypes="app*4006*20171025*" /stext=" 11:.+((SYSTEM_STATE.+slice.+state.+changed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32"/>
        <v>"%USERPROFILE%\Documents\GitHub\eaglep3\Utilities\RefineRTDCRunTimes.py" --tripid 53-25 --locoid 4006 --swversion DE.1.0.9.0 --startMP 204:1486 --initTime 2017-10-25T04:57:39 --startdatetime 2017-10-25T05:03:49 --delay 123 --endMP 204:3439 --enddatetime 2017-10-25T05:05:17 --enforcementcount 0 &gt;&gt;%USERPROFILE%\Documents\GitHub\eaglep3-reporting\EC\2017-10-25-refined-times.txt</v>
      </c>
      <c r="AI229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0.3439"},{"id":17,"name":"Train ID","value":"53-25"},{"id":16,"name":"Locomotive ID","value":"4006"},{"id":130,"name":"Impact","value":""},{"id":150,"name":"Time of Event (Mountain Time)","value":"05:05:17"},{"id":151,"name":"Denver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34"/>
        <v>start /low /b %USERPROFILE%\Documents\GitHub\eaglep3\Utilities\DownloadLogsFromS3.py --loco 4006 --day 2017-10-25</v>
      </c>
      <c r="AN229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36"/>
        <v>https://d0f6bd738d7f1b3e5a7ca70fe4ff75f0.us-east-1.aws.found.io/app/kibana#/discover/Steve-Slow-Train-Analysis-(2080s-and-2083s)?_g=(refreshInterval:(display:Off,pause:!f,section:0,value:0),time:(from:'2017-10-25T03:57:39-0600',mode:absolute,to:'2017-10-25T06:05:17-0600'))&amp;_a=(columns:!('Message%20ID',Summary),filters:!(),index:'emp_*',interval:auto,query:(query_string:(analyze_wildcard:!t,query:'%22rtdc.l.rtdc.4006%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683</v>
      </c>
      <c r="B230" s="7">
        <v>4005</v>
      </c>
      <c r="C230" s="21" t="s">
        <v>194</v>
      </c>
      <c r="D230" s="21" t="s">
        <v>994</v>
      </c>
      <c r="E230" s="13">
        <v>43033.212870370371</v>
      </c>
      <c r="F230" s="13">
        <v>43033.214270833334</v>
      </c>
      <c r="G230" s="7">
        <v>48</v>
      </c>
      <c r="H230" s="21" t="s">
        <v>336</v>
      </c>
      <c r="I230" s="13">
        <v>43033.215914351851</v>
      </c>
      <c r="J230" s="7">
        <v>0</v>
      </c>
      <c r="K230" s="89" t="str">
        <f>IF(ISEVEN(B230),(B230-1)&amp;"/"&amp;B230,B230&amp;"/"&amp;(B230+1))</f>
        <v>4005/4006</v>
      </c>
      <c r="L230" s="185" t="str">
        <f>VLOOKUP(A230,'Trips&amp;Operators'!$C$1:$G$99911,5,FALSE)</f>
        <v>STARKS ANGELINA</v>
      </c>
      <c r="M230" s="6">
        <f>I230-F230</f>
        <v>1.6435185170848854E-3</v>
      </c>
      <c r="N230" s="7">
        <f>24*60*SUM($M230:$M230)</f>
        <v>2.366666664602235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-25T04:06:32-0600',mode:absolute,to:'2017-10-25T06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1</v>
      </c>
      <c r="Y230" s="204">
        <f>RIGHT(D230,LEN(D230)-4)/10000</f>
        <v>0.31190000000000001</v>
      </c>
      <c r="Z230" s="204">
        <f>RIGHT(H230,LEN(H230)-4)/10000</f>
        <v>1.49E-2</v>
      </c>
      <c r="AA230" s="204">
        <f>ABS(Z230-Y230)</f>
        <v>0.29699999999999999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54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/stypes="app*4005*20171025*" /stext=" 11:.+((SYSTEM_STATE.+slice.+state.+changed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32"/>
        <v>"%USERPROFILE%\Documents\GitHub\eaglep3\Utilities\RefineRTDCRunTimes.py" --tripid 54-25 --locoid 4005 --swversion DE.1.0.9.0 --startMP 204:3119 --initTime 2017-10-25T05:06:32 --startdatetime 2017-10-25T05:08:33 --delay 48 --endMP 204:149 --enddatetime 2017-10-25T05:10:55 --enforcementcount 0 &gt;&gt;%USERPROFILE%\Documents\GitHub\eaglep3-reporting\EC\2017-10-25-refined-times.txt</v>
      </c>
      <c r="AI230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0.0149"},{"id":17,"name":"Train ID","value":"54-25"},{"id":16,"name":"Locomotive ID","value":"4005"},{"id":130,"name":"Impact","value":""},{"id":150,"name":"Time of Event (Mountain Time)","value":"05:10:55"},{"id":151,"name":"Denver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34"/>
        <v>start /low /b %USERPROFILE%\Documents\GitHub\eaglep3\Utilities\DownloadLogsFromS3.py --loco 4005 --day 2017-10-25</v>
      </c>
      <c r="AN230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11:10:55"},{"id":29,"name":"Sharepoint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36"/>
        <v>https://d0f6bd738d7f1b3e5a7ca70fe4ff75f0.us-east-1.aws.found.io/app/kibana#/discover/Steve-Slow-Train-Analysis-(2080s-and-2083s)?_g=(refreshInterval:(display:Off,pause:!f,section:0,value:0),time:(from:'2017-10-25T04:06:32-0600',mode:absolute,to:'2017-10-25T06:10:55-0600'))&amp;_a=(columns:!('Message%20ID',Summary),filters:!(),index:'emp_*',interval:auto,query:(query_string:(analyze_wildcard:!t,query:'%22rtdc.l.rtdc.4005%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746</v>
      </c>
      <c r="B231" s="7">
        <v>4057</v>
      </c>
      <c r="C231" s="21" t="s">
        <v>194</v>
      </c>
      <c r="D231" s="21" t="s">
        <v>995</v>
      </c>
      <c r="E231" s="13">
        <v>43033.448125000003</v>
      </c>
      <c r="F231" s="13">
        <v>43033.453194444446</v>
      </c>
      <c r="G231" s="7">
        <v>165</v>
      </c>
      <c r="H231" s="21" t="s">
        <v>996</v>
      </c>
      <c r="I231" s="13">
        <v>43033.458611111113</v>
      </c>
      <c r="J231" s="7">
        <v>0</v>
      </c>
      <c r="K231" s="89" t="str">
        <f>IF(ISEVEN(B231),(B231-1)&amp;"/"&amp;B231,B231&amp;"/"&amp;(B231+1))</f>
        <v>4057/4058</v>
      </c>
      <c r="L231" s="185" t="str">
        <f>VLOOKUP(A231,'Trips&amp;Operators'!$C$1:$G$99911,5,FALSE)</f>
        <v>MOSES BRADLEY</v>
      </c>
      <c r="M231" s="6">
        <f>I231-F231</f>
        <v>5.4166666668606922E-3</v>
      </c>
      <c r="N231" s="7">
        <f>24*60*SUM($M231:$M231)</f>
        <v>7.8000000002793968</v>
      </c>
      <c r="O231" s="7"/>
      <c r="P231" s="7"/>
      <c r="Q231" s="22"/>
      <c r="R231" s="174"/>
      <c r="S231" s="221">
        <f>1/IF(AG231="EC",12,1)*SUM(U231:U231)</f>
        <v>1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-25T09:45:18-0600',mode:absolute,to:'2017-10-25T12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8</v>
      </c>
      <c r="Y231" s="204">
        <f>RIGHT(D231,LEN(D231)-4)/10000</f>
        <v>2.2233999999999998</v>
      </c>
      <c r="Z231" s="204">
        <f>RIGHT(H231,LEN(H231)-4)/10000</f>
        <v>9.2299999999999993E-2</v>
      </c>
      <c r="AA231" s="204">
        <f>ABS(Z231-Y231)</f>
        <v>2.1311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62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 &amp; 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/stypes="app*4057*20171025*" /stext=" 17:.+((SYSTEM_STATE.+slice.+state.+changed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32"/>
        <v>"%USERPROFILE%\Documents\GitHub\eaglep3\Utilities\RefineRTDCRunTimes.py" --tripid 62-25 --locoid 4057 --swversion DE.1.0.9.0 --startMP 300:22234 --initTime 2017-10-25T10:45:18 --startdatetime 2017-10-25T10:52:36 --delay 165 --endMP 204:923 --enddatetime 2017-10-25T11:00:24 --enforcementcount 0 &gt;&gt;%USERPROFILE%\Documents\GitHub\eaglep3-reporting\EC\2017-10-25-refined-times.txt</v>
      </c>
      <c r="AI231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0.0923"},{"id":17,"name":"Train ID","value":"62-25"},{"id":16,"name":"Locomotive ID","value":"4057"},{"id":130,"name":"Impact","value":""},{"id":150,"name":"Time of Event (Mountain Time)","value":"11:00:24"},{"id":151,"name":"Denver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34"/>
        <v>start /low /b %USERPROFILE%\Documents\GitHub\eaglep3\Utilities\DownloadLogsFromS3.py --loco 4057 --day 2017-10-25</v>
      </c>
      <c r="AN231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36"/>
        <v>https://d0f6bd738d7f1b3e5a7ca70fe4ff75f0.us-east-1.aws.found.io/app/kibana#/discover/Steve-Slow-Train-Analysis-(2080s-and-2083s)?_g=(refreshInterval:(display:Off,pause:!f,section:0,value:0),time:(from:'2017-10-25T09:45:18-0600',mode:absolute,to:'2017-10-25T12:00:24-0600'))&amp;_a=(columns:!('Message%20ID',Summary),filters:!(),index:'emp_*',interval:auto,query:(query_string:(analyze_wildcard:!t,query:'%22rtdc.l.rtdc.4057%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754</v>
      </c>
      <c r="B232" s="7">
        <v>4058</v>
      </c>
      <c r="C232" s="21" t="s">
        <v>194</v>
      </c>
      <c r="D232" s="21" t="s">
        <v>997</v>
      </c>
      <c r="E232" s="13">
        <v>43033.479386574072</v>
      </c>
      <c r="F232" s="13">
        <v>43033.480949074074</v>
      </c>
      <c r="G232" s="7">
        <v>61</v>
      </c>
      <c r="H232" s="21" t="s">
        <v>998</v>
      </c>
      <c r="I232" s="13">
        <v>43033.487511574072</v>
      </c>
      <c r="J232" s="7">
        <v>0</v>
      </c>
      <c r="K232" s="89" t="str">
        <f>IF(ISEVEN(B232),(B232-1)&amp;"/"&amp;B232,B232&amp;"/"&amp;(B232+1))</f>
        <v>4057/4058</v>
      </c>
      <c r="L232" s="185" t="str">
        <f>VLOOKUP(A232,'Trips&amp;Operators'!$C$1:$G$99911,5,FALSE)</f>
        <v>BROWN JACOB</v>
      </c>
      <c r="M232" s="6">
        <f>I232-F232</f>
        <v>6.5624999988358468E-3</v>
      </c>
      <c r="N232" s="7">
        <f>24*60*SUM($M232:$M232)</f>
        <v>9.4499999983236194</v>
      </c>
      <c r="O232" s="7"/>
      <c r="P232" s="7"/>
      <c r="Q232" s="22"/>
      <c r="R232" s="174"/>
      <c r="S232" s="221">
        <f>1/IF(AG232="EC",12,1)*SUM(U232:U232)</f>
        <v>1</v>
      </c>
      <c r="T232" s="174" t="str">
        <f>IF(ISEVEN(LEFT(AD232,4)),"Southbound","NorthBound")</f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-25T10:30:19-0600',mode:absolute,to:'2017-10-25T12:42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1</v>
      </c>
      <c r="Y232" s="204">
        <f>RIGHT(D232,LEN(D232)-4)/10000</f>
        <v>0.1246</v>
      </c>
      <c r="Z232" s="204">
        <f>RIGHT(H232,LEN(H232)-4)/10000</f>
        <v>2.4268999999999998</v>
      </c>
      <c r="AA232" s="204">
        <f>ABS(Z232-Y232)</f>
        <v>2.3022999999999998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63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 &amp; 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/stypes="app*4058*20171025*" /stext=" 17:.+((SYSTEM_STATE.+slice.+state.+changed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32"/>
        <v>"%USERPROFILE%\Documents\GitHub\eaglep3\Utilities\RefineRTDCRunTimes.py" --tripid 63-25 --locoid 4058 --swversion DE.1.0.9.0 --startMP 204:1246 --initTime 2017-10-25T11:30:19 --startdatetime 2017-10-25T11:32:34 --delay 61 --endMP 300:24269 --enddatetime 2017-10-25T11:42:01 --enforcementcount 0 &gt;&gt;%USERPROFILE%\Documents\GitHub\eaglep3-reporting\EC\2017-10-25-refined-times.txt</v>
      </c>
      <c r="AI232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2.4269"},{"id":17,"name":"Train ID","value":"63-25"},{"id":16,"name":"Locomotive ID","value":"4058"},{"id":130,"name":"Impact","value":""},{"id":150,"name":"Time of Event (Mountain Time)","value":"11:42:01"},{"id":151,"name":"Denver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34"/>
        <v>start /low /b %USERPROFILE%\Documents\GitHub\eaglep3\Utilities\DownloadLogsFromS3.py --loco 4058 --day 2017-10-25</v>
      </c>
      <c r="AN232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17:42:01"},{"id":29,"name":"Sharepoint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36"/>
        <v>https://d0f6bd738d7f1b3e5a7ca70fe4ff75f0.us-east-1.aws.found.io/app/kibana#/discover/Steve-Slow-Train-Analysis-(2080s-and-2083s)?_g=(refreshInterval:(display:Off,pause:!f,section:0,value:0),time:(from:'2017-10-25T10:30:19-0600',mode:absolute,to:'2017-10-25T12:42:01-0600'))&amp;_a=(columns:!('Message%20ID',Summary),filters:!(),index:'emp_*',interval:auto,query:(query_string:(analyze_wildcard:!t,query:'%22rtdc.l.rtdc.4058%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685</v>
      </c>
      <c r="B233" s="7">
        <v>4066</v>
      </c>
      <c r="C233" s="21" t="s">
        <v>194</v>
      </c>
      <c r="D233" s="21" t="s">
        <v>999</v>
      </c>
      <c r="E233" s="13">
        <v>43033.224398148152</v>
      </c>
      <c r="F233" s="13">
        <v>43033.226631944446</v>
      </c>
      <c r="G233" s="7">
        <v>94</v>
      </c>
      <c r="H233" s="21" t="s">
        <v>606</v>
      </c>
      <c r="I233" s="13">
        <v>43033.263333333336</v>
      </c>
      <c r="J233" s="7">
        <v>0</v>
      </c>
      <c r="K233" s="89" t="str">
        <f>IF(ISEVEN(B233),(B233-1)&amp;"/"&amp;B233,B233&amp;"/"&amp;(B233+1))</f>
        <v>4065/4066</v>
      </c>
      <c r="L233" s="185" t="str">
        <f>VLOOKUP(A233,'Trips&amp;Operators'!$C$1:$G$99911,5,FALSE)</f>
        <v>ROCHA YAOTL</v>
      </c>
      <c r="M233" s="6">
        <f>I233-F233</f>
        <v>3.6701388889923692E-2</v>
      </c>
      <c r="N233" s="7">
        <f>24*60*SUM($M233:$M233)</f>
        <v>52.850000001490116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-25T04:23:08-0600',mode:absolute,to:'2017-10-25T07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3</v>
      </c>
      <c r="Y233" s="204">
        <f>RIGHT(D233,LEN(D233)-4)/10000</f>
        <v>2.2170000000000001</v>
      </c>
      <c r="Z233" s="204">
        <f>RIGHT(H233,LEN(H233)-4)/10000</f>
        <v>2.3306</v>
      </c>
      <c r="AA233" s="204">
        <f>ABS(Z233-Y233)</f>
        <v>0.11359999999999992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66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s3://rtdc.mdm.uploadarchive.raw/RTDC4066/ "%USERPROFILE%\AppData\Local\Temp\OnboardLogs"\RTDC4066\2017-10-25 --exclude "*" --recursive --include "*20171025*" &amp; "%USERPROFILE%\Documents\GitHub\mrs-test-scripts\Headless Mode &amp; Sideloading\WalkAndUnGZ.bat" "%USERPROFILE%\AppData\Local\Temp\OnboardLogs"\RTDC4066\2017-10-25 &amp; aws s3 cp s3://rtdc.mdm.uploadarchive.raw/RTDC4066/ "%USERPROFILE%\AppData\Local\Temp\OnboardLogs"\RTDC4066\2017-10-26 --exclude "*" --recursive --include "*20171026*" &amp; "%USERPROFILE%\Documents\GitHub\mrs-test-scripts\Headless Mode &amp; Sideloading\WalkAndUnGZ.bat" "%USERPROFILE%\AppData\Local\Temp\OnboardLogs"\RTDC4066\2017-10-26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/stypes="app*4066*20171025*" /stext=" 12:.+((SYSTEM_STATE.+slice.+state.+changed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32"/>
        <v>"%USERPROFILE%\Documents\GitHub\eaglep3\Utilities\RefineRTDCRunTimes.py" --tripid 66-25 --locoid 4066 --swversion DE.1.0.9.0 --startMP 300:22170 --initTime 2017-10-25T05:23:08 --startdatetime 2017-10-25T05:26:21 --delay 94 --endMP 300:23306 --enddatetime 2017-10-25T06:19:12 --enforcementcount 0 &gt;&gt;%USERPROFILE%\Documents\GitHub\eaglep3-reporting\EC\2017-10-25-refined-times.txt</v>
      </c>
      <c r="AI233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2.3306"},{"id":17,"name":"Train ID","value":"66-25"},{"id":16,"name":"Locomotive ID","value":"4066"},{"id":130,"name":"Impact","value":""},{"id":150,"name":"Time of Event (Mountain Time)","value":"06:19:12"},{"id":151,"name":"Denver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34"/>
        <v>start /low /b %USERPROFILE%\Documents\GitHub\eaglep3\Utilities\DownloadLogsFromS3.py --loco 4066 --day 2017-10-25</v>
      </c>
      <c r="AN233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12:19:12"},{"id":29,"name":"Sharepoint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36"/>
        <v>https://d0f6bd738d7f1b3e5a7ca70fe4ff75f0.us-east-1.aws.found.io/app/kibana#/discover/Steve-Slow-Train-Analysis-(2080s-and-2083s)?_g=(refreshInterval:(display:Off,pause:!f,section:0,value:0),time:(from:'2017-10-25T04:23:08-0600',mode:absolute,to:'2017-10-25T07:19:12-0600'))&amp;_a=(columns:!('Message%20ID',Summary),filters:!(),index:'emp_*',interval:auto,query:(query_string:(analyze_wildcard:!t,query:'%22rtdc.l.rtdc.4066%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646</v>
      </c>
      <c r="B234" s="7">
        <v>4031</v>
      </c>
      <c r="C234" s="21" t="s">
        <v>194</v>
      </c>
      <c r="D234" s="21" t="s">
        <v>1000</v>
      </c>
      <c r="E234" s="13">
        <v>43033.383553240739</v>
      </c>
      <c r="F234" s="13">
        <v>43033.387013888889</v>
      </c>
      <c r="G234" s="7">
        <v>90</v>
      </c>
      <c r="H234" s="21" t="s">
        <v>1001</v>
      </c>
      <c r="I234" s="13">
        <v>43033.402685185189</v>
      </c>
      <c r="J234" s="7">
        <v>0</v>
      </c>
      <c r="K234" s="89" t="str">
        <f>IF(ISEVEN(B234),(B234-1)&amp;"/"&amp;B234,B234&amp;"/"&amp;(B234+1))</f>
        <v>4031/4032</v>
      </c>
      <c r="L234" s="185" t="str">
        <f>VLOOKUP(A234,'Trips&amp;Operators'!$C$1:$G$99911,5,FALSE)</f>
        <v>HUFFSMITH MONTY</v>
      </c>
      <c r="M234" s="6">
        <f>I234-F234</f>
        <v>1.5671296299842652E-2</v>
      </c>
      <c r="N234" s="7">
        <f>24*60*SUM($M234:$M234)</f>
        <v>22.566666671773419</v>
      </c>
      <c r="O234" s="7"/>
      <c r="P234" s="7"/>
      <c r="Q234" s="22"/>
      <c r="R234" s="174"/>
      <c r="S234" s="221">
        <f>1/IF(AG234="EC",12,1)*SUM(U234:U234)</f>
        <v>0</v>
      </c>
      <c r="T234" s="174" t="str">
        <f>IF(ISEVEN(LEFT(AD234,4)),"Southbound","NorthBound")</f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-25T08:12:19-0600',mode:absolute,to:'2017-10-25T10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4</v>
      </c>
      <c r="Y234" s="204">
        <f>RIGHT(D234,LEN(D234)-4)/10000</f>
        <v>11.219099999999999</v>
      </c>
      <c r="Z234" s="204">
        <f>RIGHT(H234,LEN(H234)-4)/10000</f>
        <v>3.8904999999999998</v>
      </c>
      <c r="AA234" s="204">
        <f>ABS(Z234-Y234)</f>
        <v>7.3285999999999998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70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/stypes="app*4031*20171025*" /stext=" 15:.+((SYSTEM_STATE.+slice.+state.+changed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32"/>
        <v>"%USERPROFILE%\Documents\GitHub\eaglep3\Utilities\RefineRTDCRunTimes.py" --tripid 70-25 --locoid 4031 --swversion DE.1.0.9.0 --startMP 300:112191 --initTime 2017-10-25T09:12:19 --startdatetime 2017-10-25T09:17:18 --delay 90 --endMP 300:38905 --enddatetime 2017-10-25T09:39:52 --enforcementcount 0 &gt;&gt;%USERPROFILE%\Documents\GitHub\eaglep3-reporting\EC\2017-10-25-refined-times.txt</v>
      </c>
      <c r="AI234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3.8905"},{"id":17,"name":"Train ID","value":"70-25"},{"id":16,"name":"Locomotive ID","value":"4031"},{"id":130,"name":"Impact","value":""},{"id":150,"name":"Time of Event (Mountain Time)","value":"09:39:52"},{"id":151,"name":"Denver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34"/>
        <v>start /low /b %USERPROFILE%\Documents\GitHub\eaglep3\Utilities\DownloadLogsFromS3.py --loco 4031 --day 2017-10-25</v>
      </c>
      <c r="AN234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36"/>
        <v>https://d0f6bd738d7f1b3e5a7ca70fe4ff75f0.us-east-1.aws.found.io/app/kibana#/discover/Steve-Slow-Train-Analysis-(2080s-and-2083s)?_g=(refreshInterval:(display:Off,pause:!f,section:0,value:0),time:(from:'2017-10-25T08:12:19-0600',mode:absolute,to:'2017-10-25T10:39:52-0600'))&amp;_a=(columns:!('Message%20ID',Summary),filters:!(),index:'emp_*',interval:auto,query:(query_string:(analyze_wildcard:!t,query:'%22rtdc.l.rtdc.4031%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646</v>
      </c>
      <c r="B235" s="7">
        <v>4031</v>
      </c>
      <c r="C235" s="21" t="s">
        <v>194</v>
      </c>
      <c r="D235" s="21" t="s">
        <v>1002</v>
      </c>
      <c r="E235" s="13">
        <v>43033.462604166663</v>
      </c>
      <c r="F235" s="13">
        <v>43033.467349537037</v>
      </c>
      <c r="G235" s="7">
        <v>69</v>
      </c>
      <c r="H235" s="21" t="s">
        <v>1003</v>
      </c>
      <c r="I235" s="13">
        <v>43033.482314814813</v>
      </c>
      <c r="J235" s="7">
        <v>0</v>
      </c>
      <c r="K235" s="89" t="str">
        <f>IF(ISEVEN(B235),(B235-1)&amp;"/"&amp;B235,B235&amp;"/"&amp;(B235+1))</f>
        <v>4031/4032</v>
      </c>
      <c r="L235" s="185" t="str">
        <f>VLOOKUP(A235,'Trips&amp;Operators'!$C$1:$G$99911,5,FALSE)</f>
        <v>HUFFSMITH MONTY</v>
      </c>
      <c r="M235" s="6">
        <f>I235-F235</f>
        <v>1.4965277776354924E-2</v>
      </c>
      <c r="N235" s="7">
        <f>24*60*SUM($M235:$M235)</f>
        <v>21.54999999795109</v>
      </c>
      <c r="O235" s="7"/>
      <c r="P235" s="7"/>
      <c r="Q235" s="22"/>
      <c r="R235" s="174"/>
      <c r="S235" s="221">
        <f>1/IF(AG235="EC",12,1)*SUM(U235:U235)</f>
        <v>0</v>
      </c>
      <c r="T235" s="174" t="str">
        <f>IF(ISEVEN(LEFT(AD235,4)),"Southbound","NorthBound")</f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-25T10:06:09-0600',mode:absolute,to:'2017-10-25T12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0</v>
      </c>
      <c r="Y235" s="204">
        <f>RIGHT(D235,LEN(D235)-4)/10000</f>
        <v>11.2197</v>
      </c>
      <c r="Z235" s="204">
        <f>RIGHT(H235,LEN(H235)-4)/10000</f>
        <v>3.9218000000000002</v>
      </c>
      <c r="AA235" s="204">
        <f>ABS(Z235-Y235)</f>
        <v>7.2978999999999994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70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/stypes="app*4031*20171025*" /stext=" 17:.+((SYSTEM_STATE.+slice.+state.+changed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32"/>
        <v>"%USERPROFILE%\Documents\GitHub\eaglep3\Utilities\RefineRTDCRunTimes.py" --tripid 70-25 --locoid 4031 --swversion DE.1.0.9.0 --startMP 300:112197 --initTime 2017-10-25T11:06:09 --startdatetime 2017-10-25T11:12:59 --delay 69 --endMP 300:39218 --enddatetime 2017-10-25T11:34:32 --enforcementcount 0 &gt;&gt;%USERPROFILE%\Documents\GitHub\eaglep3-reporting\EC\2017-10-25-refined-times.txt</v>
      </c>
      <c r="AI235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3.9218"},{"id":17,"name":"Train ID","value":"70-25"},{"id":16,"name":"Locomotive ID","value":"4031"},{"id":130,"name":"Impact","value":""},{"id":150,"name":"Time of Event (Mountain Time)","value":"11:34:32"},{"id":151,"name":"Denver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34"/>
        <v>start /low /b %USERPROFILE%\Documents\GitHub\eaglep3\Utilities\DownloadLogsFromS3.py --loco 4031 --day 2017-10-25</v>
      </c>
      <c r="AN235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36"/>
        <v>https://d0f6bd738d7f1b3e5a7ca70fe4ff75f0.us-east-1.aws.found.io/app/kibana#/discover/Steve-Slow-Train-Analysis-(2080s-and-2083s)?_g=(refreshInterval:(display:Off,pause:!f,section:0,value:0),time:(from:'2017-10-25T10:06:09-0600',mode:absolute,to:'2017-10-25T12:34:32-0600'))&amp;_a=(columns:!('Message%20ID',Summary),filters:!(),index:'emp_*',interval:auto,query:(query_string:(analyze_wildcard:!t,query:'%22rtdc.l.rtdc.4031%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639</v>
      </c>
      <c r="B236" s="7">
        <v>4032</v>
      </c>
      <c r="C236" s="21" t="s">
        <v>194</v>
      </c>
      <c r="D236" s="21" t="s">
        <v>1004</v>
      </c>
      <c r="E236" s="13">
        <v>43033.358229166668</v>
      </c>
      <c r="F236" s="13">
        <v>43033.363668981481</v>
      </c>
      <c r="G236" s="7">
        <v>162</v>
      </c>
      <c r="H236" s="21" t="s">
        <v>1005</v>
      </c>
      <c r="I236" s="13">
        <v>43033.380925925929</v>
      </c>
      <c r="J236" s="7">
        <v>0</v>
      </c>
      <c r="K236" s="89" t="str">
        <f>IF(ISEVEN(B236),(B236-1)&amp;"/"&amp;B236,B236&amp;"/"&amp;(B236+1))</f>
        <v>4031/4032</v>
      </c>
      <c r="L236" s="185" t="str">
        <f>VLOOKUP(A236,'Trips&amp;Operators'!$C$1:$G$99911,5,FALSE)</f>
        <v>HUFFSMITH MONTY</v>
      </c>
      <c r="M236" s="6">
        <f>I236-F236</f>
        <v>1.7256944447581191E-2</v>
      </c>
      <c r="N236" s="7">
        <f>24*60*SUM($M236:$M236)</f>
        <v>24.850000004516914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-25T07:35:51-0600',mode:absolute,to:'2017-10-25T10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1</v>
      </c>
      <c r="Y236" s="204">
        <f>RIGHT(D236,LEN(D236)-4)/10000</f>
        <v>2.99</v>
      </c>
      <c r="Z236" s="204">
        <f>RIGHT(H236,LEN(H236)-4)/10000</f>
        <v>11.2515</v>
      </c>
      <c r="AA236" s="204">
        <f>ABS(Z236-Y236)</f>
        <v>8.2614999999999998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71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/stypes="app*4032*20171025*" /stext=" 15:.+((SYSTEM_STATE.+slice.+state.+changed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32"/>
        <v>"%USERPROFILE%\Documents\GitHub\eaglep3\Utilities\RefineRTDCRunTimes.py" --tripid 71-25 --locoid 4032 --swversion DE.1.0.9.0 --startMP 300:29900 --initTime 2017-10-25T08:35:51 --startdatetime 2017-10-25T08:43:41 --delay 162 --endMP 300:112515 --enddatetime 2017-10-25T09:08:32 --enforcementcount 0 &gt;&gt;%USERPROFILE%\Documents\GitHub\eaglep3-reporting\EC\2017-10-25-refined-times.txt</v>
      </c>
      <c r="AI236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11.2515"},{"id":17,"name":"Train ID","value":"71-25"},{"id":16,"name":"Locomotive ID","value":"4032"},{"id":130,"name":"Impact","value":""},{"id":150,"name":"Time of Event (Mountain Time)","value":"09:08:32"},{"id":151,"name":"Denver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34"/>
        <v>start /low /b %USERPROFILE%\Documents\GitHub\eaglep3\Utilities\DownloadLogsFromS3.py --loco 4032 --day 2017-10-25</v>
      </c>
      <c r="AN236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15:08:32"},{"id":29,"name":"Sharepoint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36"/>
        <v>https://d0f6bd738d7f1b3e5a7ca70fe4ff75f0.us-east-1.aws.found.io/app/kibana#/discover/Steve-Slow-Train-Analysis-(2080s-and-2083s)?_g=(refreshInterval:(display:Off,pause:!f,section:0,value:0),time:(from:'2017-10-25T07:35:51-0600',mode:absolute,to:'2017-10-25T10:08:32-0600'))&amp;_a=(columns:!('Message%20ID',Summary),filters:!(),index:'emp_*',interval:auto,query:(query_string:(analyze_wildcard:!t,query:'%22rtdc.l.rtdc.4032%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639</v>
      </c>
      <c r="B237" s="7">
        <v>4032</v>
      </c>
      <c r="C237" s="21" t="s">
        <v>194</v>
      </c>
      <c r="D237" s="21" t="s">
        <v>1006</v>
      </c>
      <c r="E237" s="13">
        <v>43033.4374537037</v>
      </c>
      <c r="F237" s="13">
        <v>43033.440821759257</v>
      </c>
      <c r="G237" s="7">
        <v>95</v>
      </c>
      <c r="H237" s="21" t="s">
        <v>1005</v>
      </c>
      <c r="I237" s="13">
        <v>43033.460798611108</v>
      </c>
      <c r="J237" s="7">
        <v>0</v>
      </c>
      <c r="K237" s="89" t="str">
        <f>IF(ISEVEN(B237),(B237-1)&amp;"/"&amp;B237,B237&amp;"/"&amp;(B237+1))</f>
        <v>4031/4032</v>
      </c>
      <c r="L237" s="185" t="str">
        <f>VLOOKUP(A237,'Trips&amp;Operators'!$C$1:$G$99911,5,FALSE)</f>
        <v>HUFFSMITH MONTY</v>
      </c>
      <c r="M237" s="6">
        <f>I237-F237</f>
        <v>1.9976851850515231E-2</v>
      </c>
      <c r="N237" s="7">
        <f>24*60*SUM($M237:$M237)</f>
        <v>28.766666664741933</v>
      </c>
      <c r="O237" s="7"/>
      <c r="P237" s="7"/>
      <c r="Q237" s="22"/>
      <c r="R237" s="174"/>
      <c r="S237" s="221">
        <f>1/IF(AG237="EC",12,1)*SUM(U237:U237)</f>
        <v>0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-25T09:29:56-0600',mode:absolute,to:'2017-10-25T12:03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0</v>
      </c>
      <c r="Y237" s="204">
        <f>RIGHT(D237,LEN(D237)-4)/10000</f>
        <v>3.9312999999999998</v>
      </c>
      <c r="Z237" s="204">
        <f>RIGHT(H237,LEN(H237)-4)/10000</f>
        <v>11.2515</v>
      </c>
      <c r="AA237" s="204">
        <f>ABS(Z237-Y237)</f>
        <v>7.3201999999999998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71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/stypes="app*4032*20171025*" /stext=" 17:.+((SYSTEM_STATE.+slice.+state.+changed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32"/>
        <v>"%USERPROFILE%\Documents\GitHub\eaglep3\Utilities\RefineRTDCRunTimes.py" --tripid 71-25 --locoid 4032 --swversion DE.1.0.9.0 --startMP 300:39313 --initTime 2017-10-25T10:29:56 --startdatetime 2017-10-25T10:34:47 --delay 95 --endMP 300:112515 --enddatetime 2017-10-25T11:03:33 --enforcementcount 0 &gt;&gt;%USERPROFILE%\Documents\GitHub\eaglep3-reporting\EC\2017-10-25-refined-times.txt</v>
      </c>
      <c r="AI237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11.2515"},{"id":17,"name":"Train ID","value":"71-25"},{"id":16,"name":"Locomotive ID","value":"4032"},{"id":130,"name":"Impact","value":""},{"id":150,"name":"Time of Event (Mountain Time)","value":"11:03:33"},{"id":151,"name":"Denver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34"/>
        <v>start /low /b %USERPROFILE%\Documents\GitHub\eaglep3\Utilities\DownloadLogsFromS3.py --loco 4032 --day 2017-10-25</v>
      </c>
      <c r="AN237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17:03:33"},{"id":29,"name":"Sharepoint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36"/>
        <v>https://d0f6bd738d7f1b3e5a7ca70fe4ff75f0.us-east-1.aws.found.io/app/kibana#/discover/Steve-Slow-Train-Analysis-(2080s-and-2083s)?_g=(refreshInterval:(display:Off,pause:!f,section:0,value:0),time:(from:'2017-10-25T09:29:56-0600',mode:absolute,to:'2017-10-25T12:03:33-0600'))&amp;_a=(columns:!('Message%20ID',Summary),filters:!(),index:'emp_*',interval:auto,query:(query_string:(analyze_wildcard:!t,query:'%22rtdc.l.rtdc.4032%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643</v>
      </c>
      <c r="B238" s="7">
        <v>4031</v>
      </c>
      <c r="C238" s="21" t="s">
        <v>194</v>
      </c>
      <c r="D238" s="21" t="s">
        <v>1007</v>
      </c>
      <c r="E238" s="13">
        <v>43033.420925925922</v>
      </c>
      <c r="F238" s="13">
        <v>43033.423391203702</v>
      </c>
      <c r="G238" s="7">
        <v>110</v>
      </c>
      <c r="H238" s="21" t="s">
        <v>1008</v>
      </c>
      <c r="I238" s="13">
        <v>43033.436516203707</v>
      </c>
      <c r="J238" s="7">
        <v>0</v>
      </c>
      <c r="K238" s="89" t="str">
        <f>IF(ISEVEN(B238),(B238-1)&amp;"/"&amp;B238,B238&amp;"/"&amp;(B238+1))</f>
        <v>4031/4032</v>
      </c>
      <c r="L238" s="185" t="str">
        <f>VLOOKUP(A238,'Trips&amp;Operators'!$C$1:$G$99911,5,FALSE)</f>
        <v>ROMERO CHAD</v>
      </c>
      <c r="M238" s="6">
        <f>I238-F238</f>
        <v>1.3125000004947651E-2</v>
      </c>
      <c r="N238" s="7">
        <f>24*60*SUM($M238:$M238)</f>
        <v>18.900000007124618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-25T09:06:08-0600',mode:absolute,to:'2017-10-25T11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1</v>
      </c>
      <c r="Y238" s="204">
        <f>RIGHT(D238,LEN(D238)-4)/10000</f>
        <v>11.219900000000001</v>
      </c>
      <c r="Z238" s="204">
        <f>RIGHT(H238,LEN(H238)-4)/10000</f>
        <v>3.8946000000000001</v>
      </c>
      <c r="AA238" s="204">
        <f>ABS(Z238-Y238)</f>
        <v>7.3253000000000004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72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/stypes="app*4031*20171025*" /stext=" 16:.+((SYSTEM_STATE.+slice.+state.+changed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32"/>
        <v>"%USERPROFILE%\Documents\GitHub\eaglep3\Utilities\RefineRTDCRunTimes.py" --tripid 72-25 --locoid 4031 --swversion DE.1.0.9.0 --startMP 300:112199 --initTime 2017-10-25T10:06:08 --startdatetime 2017-10-25T10:09:41 --delay 110 --endMP 300:38946 --enddatetime 2017-10-25T10:28:35 --enforcementcount 0 &gt;&gt;%USERPROFILE%\Documents\GitHub\eaglep3-reporting\EC\2017-10-25-refined-times.txt</v>
      </c>
      <c r="AI238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3.8946"},{"id":17,"name":"Train ID","value":"72-25"},{"id":16,"name":"Locomotive ID","value":"4031"},{"id":130,"name":"Impact","value":""},{"id":150,"name":"Time of Event (Mountain Time)","value":"10:28:35"},{"id":151,"name":"Denver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34"/>
        <v>start /low /b %USERPROFILE%\Documents\GitHub\eaglep3\Utilities\DownloadLogsFromS3.py --loco 4031 --day 2017-10-25</v>
      </c>
      <c r="AN238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16:28:35"},{"id":29,"name":"Sharepoint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36"/>
        <v>https://d0f6bd738d7f1b3e5a7ca70fe4ff75f0.us-east-1.aws.found.io/app/kibana#/discover/Steve-Slow-Train-Analysis-(2080s-and-2083s)?_g=(refreshInterval:(display:Off,pause:!f,section:0,value:0),time:(from:'2017-10-25T09:06:08-0600',mode:absolute,to:'2017-10-25T11:28:35-0600'))&amp;_a=(columns:!('Message%20ID',Summary),filters:!(),index:'emp_*',interval:auto,query:(query_string:(analyze_wildcard:!t,query:'%22rtdc.l.rtdc.4031%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643</v>
      </c>
      <c r="B239" s="7">
        <v>4031</v>
      </c>
      <c r="C239" s="21" t="s">
        <v>194</v>
      </c>
      <c r="D239" s="21" t="s">
        <v>1009</v>
      </c>
      <c r="E239" s="13">
        <v>43033.540625000001</v>
      </c>
      <c r="F239" s="13">
        <v>43033.542557870373</v>
      </c>
      <c r="G239" s="7">
        <v>76</v>
      </c>
      <c r="H239" s="21" t="s">
        <v>1010</v>
      </c>
      <c r="I239" s="13">
        <v>43033.559305555558</v>
      </c>
      <c r="J239" s="7">
        <v>0</v>
      </c>
      <c r="K239" s="89" t="str">
        <f>IF(ISEVEN(B239),(B239-1)&amp;"/"&amp;B239,B239&amp;"/"&amp;(B239+1))</f>
        <v>4031/4032</v>
      </c>
      <c r="L239" s="185" t="str">
        <f>VLOOKUP(A239,'Trips&amp;Operators'!$C$1:$G$99911,5,FALSE)</f>
        <v>ROMERO CHAD</v>
      </c>
      <c r="M239" s="6">
        <f>I239-F239</f>
        <v>1.6747685185691807E-2</v>
      </c>
      <c r="N239" s="7">
        <f>24*60*SUM($M239:$M239)</f>
        <v>24.116666667396203</v>
      </c>
      <c r="O239" s="7"/>
      <c r="P239" s="7"/>
      <c r="Q239" s="22"/>
      <c r="R239" s="174"/>
      <c r="S239" s="221">
        <f>1/IF(AG239="EC",12,1)*SUM(U239:U239)</f>
        <v>0</v>
      </c>
      <c r="T239" s="174" t="str">
        <f>IF(ISEVEN(LEFT(AD239,4)),"Southbound","NorthBound")</f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-25T11:58:30-0600',mode:absolute,to:'2017-10-25T14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0</v>
      </c>
      <c r="Y239" s="204">
        <f>RIGHT(D239,LEN(D239)-4)/10000</f>
        <v>11.218500000000001</v>
      </c>
      <c r="Z239" s="204">
        <f>RIGHT(H239,LEN(H239)-4)/10000</f>
        <v>2.8791000000000002</v>
      </c>
      <c r="AA239" s="204">
        <f>ABS(Z239-Y239)</f>
        <v>8.3394000000000013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72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/stypes="app*4031*20171025*" /stext=" 19:.+((SYSTEM_STATE.+slice.+state.+changed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32"/>
        <v>"%USERPROFILE%\Documents\GitHub\eaglep3\Utilities\RefineRTDCRunTimes.py" --tripid 72-25 --locoid 4031 --swversion DE.1.0.9.0 --startMP 300:112185 --initTime 2017-10-25T12:58:30 --startdatetime 2017-10-25T13:01:17 --delay 76 --endMP 300:28791 --enddatetime 2017-10-25T13:25:24 --enforcementcount 0 &gt;&gt;%USERPROFILE%\Documents\GitHub\eaglep3-reporting\EC\2017-10-25-refined-times.txt</v>
      </c>
      <c r="AI239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2.8791"},{"id":17,"name":"Train ID","value":"72-25"},{"id":16,"name":"Locomotive ID","value":"4031"},{"id":130,"name":"Impact","value":""},{"id":150,"name":"Time of Event (Mountain Time)","value":"13:25:24"},{"id":151,"name":"Denver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34"/>
        <v>start /low /b %USERPROFILE%\Documents\GitHub\eaglep3\Utilities\DownloadLogsFromS3.py --loco 4031 --day 2017-10-25</v>
      </c>
      <c r="AN239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36"/>
        <v>https://d0f6bd738d7f1b3e5a7ca70fe4ff75f0.us-east-1.aws.found.io/app/kibana#/discover/Steve-Slow-Train-Analysis-(2080s-and-2083s)?_g=(refreshInterval:(display:Off,pause:!f,section:0,value:0),time:(from:'2017-10-25T11:58:30-0600',mode:absolute,to:'2017-10-25T14:25:24-0600'))&amp;_a=(columns:!('Message%20ID',Summary),filters:!(),index:'emp_*',interval:auto,query:(query_string:(analyze_wildcard:!t,query:'%22rtdc.l.rtdc.4031%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643</v>
      </c>
      <c r="B240" s="7">
        <v>4031</v>
      </c>
      <c r="C240" s="21" t="s">
        <v>194</v>
      </c>
      <c r="D240" s="21" t="s">
        <v>1011</v>
      </c>
      <c r="E240" s="13">
        <v>43033.50640046296</v>
      </c>
      <c r="F240" s="13">
        <v>43033.542557870373</v>
      </c>
      <c r="G240" s="7">
        <v>84</v>
      </c>
      <c r="H240" s="21" t="s">
        <v>1012</v>
      </c>
      <c r="I240" s="13">
        <v>43033.559305555558</v>
      </c>
      <c r="J240" s="7">
        <v>0</v>
      </c>
      <c r="K240" s="89" t="str">
        <f>IF(ISEVEN(B240),(B240-1)&amp;"/"&amp;B240,B240&amp;"/"&amp;(B240+1))</f>
        <v>4031/4032</v>
      </c>
      <c r="L240" s="185" t="str">
        <f>VLOOKUP(A240,'Trips&amp;Operators'!$C$1:$G$99911,5,FALSE)</f>
        <v>ROMERO CHAD</v>
      </c>
      <c r="M240" s="6">
        <f>I240-F240</f>
        <v>1.6747685185691807E-2</v>
      </c>
      <c r="N240" s="7">
        <f>24*60*SUM($M240:$M240)</f>
        <v>24.116666667396203</v>
      </c>
      <c r="O240" s="7"/>
      <c r="P240" s="7"/>
      <c r="Q240" s="22"/>
      <c r="R240" s="174"/>
      <c r="S240" s="221">
        <f>1/IF(AG240="EC",12,1)*SUM(U240:U240)</f>
        <v>0</v>
      </c>
      <c r="T240" s="174" t="str">
        <f>IF(ISEVEN(LEFT(AD240,4)),"Southbound","NorthBound")</f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-10-25T11:09:13-0600',mode:absolute,to:'2017-10-25T14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0</v>
      </c>
      <c r="Y240" s="204">
        <f>RIGHT(D240,LEN(D240)-4)/10000</f>
        <v>11.226000000000001</v>
      </c>
      <c r="Z240" s="204">
        <f>RIGHT(H240,LEN(H240)-4)/10000</f>
        <v>3.8891</v>
      </c>
      <c r="AA240" s="204">
        <f>ABS(Z240-Y240)</f>
        <v>7.3369000000000009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>VALUE(LEFT(A240,LEN(A240)-3))</f>
        <v>72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/stypes="app*4031*20171025*" /stext=" 19:.+((SYSTEM_STATE.+slice.+state.+changed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32"/>
        <v>"%USERPROFILE%\Documents\GitHub\eaglep3\Utilities\RefineRTDCRunTimes.py" --tripid 72-25 --locoid 4031 --swversion DE.1.0.9.0 --startMP 300:112260 --initTime 2017-10-25T12:09:13 --startdatetime 2017-10-25T13:01:17 --delay 84 --endMP 300:38891 --enddatetime 2017-10-25T13:25:24 --enforcementcount 0 &gt;&gt;%USERPROFILE%\Documents\GitHub\eaglep3-reporting\EC\2017-10-25-refined-times.txt</v>
      </c>
      <c r="AI240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3.8891"},{"id":17,"name":"Train ID","value":"72-25"},{"id":16,"name":"Locomotive ID","value":"4031"},{"id":130,"name":"Impact","value":""},{"id":150,"name":"Time of Event (Mountain Time)","value":"13:25:24"},{"id":151,"name":"Denver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34"/>
        <v>start /low /b %USERPROFILE%\Documents\GitHub\eaglep3\Utilities\DownloadLogsFromS3.py --loco 4031 --day 2017-10-25</v>
      </c>
      <c r="AN240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19:25:24"},{"id":29,"name":"Sharepoint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36"/>
        <v>https://d0f6bd738d7f1b3e5a7ca70fe4ff75f0.us-east-1.aws.found.io/app/kibana#/discover/Steve-Slow-Train-Analysis-(2080s-and-2083s)?_g=(refreshInterval:(display:Off,pause:!f,section:0,value:0),time:(from:'2017-10-25T11:09:13-0600',mode:absolute,to:'2017-10-25T14:25:24-0600'))&amp;_a=(columns:!('Message%20ID',Summary),filters:!(),index:'emp_*',interval:auto,query:(query_string:(analyze_wildcard:!t,query:'%22rtdc.l.rtdc.4031%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643</v>
      </c>
      <c r="B241" s="7">
        <v>4031</v>
      </c>
      <c r="C241" s="21" t="s">
        <v>194</v>
      </c>
      <c r="D241" s="21" t="s">
        <v>1013</v>
      </c>
      <c r="E241" s="13">
        <v>43033.73883101852</v>
      </c>
      <c r="F241" s="13">
        <v>43033.744143518517</v>
      </c>
      <c r="G241" s="7">
        <v>79</v>
      </c>
      <c r="H241" s="21" t="s">
        <v>1014</v>
      </c>
      <c r="I241" s="13">
        <v>43033.753333333334</v>
      </c>
      <c r="J241" s="7">
        <v>0</v>
      </c>
      <c r="K241" s="89" t="str">
        <f>IF(ISEVEN(B241),(B241-1)&amp;"/"&amp;B241,B241&amp;"/"&amp;(B241+1))</f>
        <v>4031/4032</v>
      </c>
      <c r="L241" s="185" t="str">
        <f>VLOOKUP(A241,'Trips&amp;Operators'!$C$1:$G$99911,5,FALSE)</f>
        <v>ROMERO CHAD</v>
      </c>
      <c r="M241" s="6">
        <f>I241-F241</f>
        <v>9.189814816636499E-3</v>
      </c>
      <c r="N241" s="7">
        <f>24*60*SUM($M241:$M241)</f>
        <v>13.233333335956559</v>
      </c>
      <c r="O241" s="7"/>
      <c r="P241" s="7"/>
      <c r="Q241" s="22"/>
      <c r="R241" s="174"/>
      <c r="S241" s="221">
        <f>1/IF(AG241="EC",12,1)*SUM(U241:U241)</f>
        <v>1</v>
      </c>
      <c r="T241" s="174" t="str">
        <f>IF(ISEVEN(LEFT(AD241,4)),"Southbound","NorthBound")</f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-10-25T16:43:55-0600',mode:absolute,to:'2017-10-25T19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0</v>
      </c>
      <c r="Y241" s="204">
        <f>RIGHT(D241,LEN(D241)-4)/10000</f>
        <v>2.3631000000000002</v>
      </c>
      <c r="Z241" s="204">
        <f>RIGHT(H241,LEN(H241)-4)/10000</f>
        <v>0.13200000000000001</v>
      </c>
      <c r="AA241" s="204">
        <f>ABS(Z241-Y241)</f>
        <v>2.2311000000000001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>VALUE(LEFT(A241,LEN(A241)-3))</f>
        <v>72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/stypes="app*4031*20171026*" /stext=" 00:.+((SYSTEM_STATE.+slice.+state.+changed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32"/>
        <v>"%USERPROFILE%\Documents\GitHub\eaglep3\Utilities\RefineRTDCRunTimes.py" --tripid 72-25 --locoid 4031 --swversion DE.1.0.9.0 --startMP 300:23631 --initTime 2017-10-25T17:43:55 --startdatetime 2017-10-25T17:51:34 --delay 79 --endMP 204:1320 --enddatetime 2017-10-25T18:04:48 --enforcementcount 0 &gt;&gt;%USERPROFILE%\Documents\GitHub\eaglep3-reporting\EC\2017-10-25-refined-times.txt</v>
      </c>
      <c r="AI241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0.132"},{"id":17,"name":"Train ID","value":"72-25"},{"id":16,"name":"Locomotive ID","value":"4031"},{"id":130,"name":"Impact","value":""},{"id":150,"name":"Time of Event (Mountain Time)","value":"18:04:48"},{"id":151,"name":"Denver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34"/>
        <v>start /low /b %USERPROFILE%\Documents\GitHub\eaglep3\Utilities\DownloadLogsFromS3.py --loco 4031 --day 2017-10-25</v>
      </c>
      <c r="AN241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36"/>
        <v>https://d0f6bd738d7f1b3e5a7ca70fe4ff75f0.us-east-1.aws.found.io/app/kibana#/discover/Steve-Slow-Train-Analysis-(2080s-and-2083s)?_g=(refreshInterval:(display:Off,pause:!f,section:0,value:0),time:(from:'2017-10-25T16:43:55-0600',mode:absolute,to:'2017-10-25T19:04:48-0600'))&amp;_a=(columns:!('Message%20ID',Summary),filters:!(),index:'emp_*',interval:auto,query:(query_string:(analyze_wildcard:!t,query:'%22rtdc.l.rtdc.4031%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641</v>
      </c>
      <c r="B242" s="7">
        <v>4032</v>
      </c>
      <c r="C242" s="21" t="s">
        <v>194</v>
      </c>
      <c r="D242" s="21" t="s">
        <v>1015</v>
      </c>
      <c r="E242" s="13">
        <v>43033.483356481483</v>
      </c>
      <c r="F242" s="13">
        <v>43033.491284722222</v>
      </c>
      <c r="G242" s="7">
        <v>94</v>
      </c>
      <c r="H242" s="21" t="s">
        <v>1016</v>
      </c>
      <c r="I242" s="13">
        <v>43033.50476851852</v>
      </c>
      <c r="J242" s="7">
        <v>0</v>
      </c>
      <c r="K242" s="89" t="str">
        <f>IF(ISEVEN(B242),(B242-1)&amp;"/"&amp;B242,B242&amp;"/"&amp;(B242+1))</f>
        <v>4031/4032</v>
      </c>
      <c r="L242" s="185" t="str">
        <f>VLOOKUP(A242,'Trips&amp;Operators'!$C$1:$G$99911,5,FALSE)</f>
        <v>ROMERO CHAD</v>
      </c>
      <c r="M242" s="6">
        <f>I242-F242</f>
        <v>1.3483796297805384E-2</v>
      </c>
      <c r="N242" s="7">
        <f>24*60*SUM($M242:$M242)</f>
        <v>19.416666668839753</v>
      </c>
      <c r="O242" s="7"/>
      <c r="P242" s="7"/>
      <c r="Q242" s="22"/>
      <c r="R242" s="174"/>
      <c r="S242" s="221">
        <f>1/IF(AG242="EC",12,1)*SUM(U242:U242)</f>
        <v>0</v>
      </c>
      <c r="T242" s="174" t="str">
        <f>IF(ISEVEN(LEFT(AD242,4)),"Southbound","NorthBound")</f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-10-25T10:36:02-0600',mode:absolute,to:'2017-10-25T13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1</v>
      </c>
      <c r="Y242" s="204">
        <f>RIGHT(D242,LEN(D242)-4)/10000</f>
        <v>3.9529999999999998</v>
      </c>
      <c r="Z242" s="204">
        <f>RIGHT(H242,LEN(H242)-4)/10000</f>
        <v>11.2576</v>
      </c>
      <c r="AA242" s="204">
        <f>ABS(Z242-Y242)</f>
        <v>7.3046000000000006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>VALUE(LEFT(A242,LEN(A242)-3))</f>
        <v>73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/stypes="app*4032*20171025*" /stext=" 18:.+((SYSTEM_STATE.+slice.+state.+changed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32"/>
        <v>"%USERPROFILE%\Documents\GitHub\eaglep3\Utilities\RefineRTDCRunTimes.py" --tripid 73-25 --locoid 4032 --swversion DE.1.0.9.0 --startMP 300:39530 --initTime 2017-10-25T11:36:02 --startdatetime 2017-10-25T11:47:27 --delay 94 --endMP 300:112576 --enddatetime 2017-10-25T12:06:52 --enforcementcount 0 &gt;&gt;%USERPROFILE%\Documents\GitHub\eaglep3-reporting\EC\2017-10-25-refined-times.txt</v>
      </c>
      <c r="AI242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11.2576"},{"id":17,"name":"Train ID","value":"73-25"},{"id":16,"name":"Locomotive ID","value":"4032"},{"id":130,"name":"Impact","value":""},{"id":150,"name":"Time of Event (Mountain Time)","value":"12:06:52"},{"id":151,"name":"Denver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34"/>
        <v>start /low /b %USERPROFILE%\Documents\GitHub\eaglep3\Utilities\DownloadLogsFromS3.py --loco 4032 --day 2017-10-25</v>
      </c>
      <c r="AN242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18:06:52"},{"id":29,"name":"Sharepoint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36"/>
        <v>https://d0f6bd738d7f1b3e5a7ca70fe4ff75f0.us-east-1.aws.found.io/app/kibana#/discover/Steve-Slow-Train-Analysis-(2080s-and-2083s)?_g=(refreshInterval:(display:Off,pause:!f,section:0,value:0),time:(from:'2017-10-25T10:36:02-0600',mode:absolute,to:'2017-10-25T13:06:52-0600'))&amp;_a=(columns:!('Message%20ID',Summary),filters:!(),index:'emp_*',interval:auto,query:(query_string:(analyze_wildcard:!t,query:'%22rtdc.l.rtdc.4032%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654</v>
      </c>
      <c r="B243" s="7">
        <v>4032</v>
      </c>
      <c r="C243" s="21" t="s">
        <v>194</v>
      </c>
      <c r="D243" s="21" t="s">
        <v>1017</v>
      </c>
      <c r="E243" s="13">
        <v>43033.562291666669</v>
      </c>
      <c r="F243" s="13">
        <v>43033.569386574076</v>
      </c>
      <c r="G243" s="7">
        <v>328</v>
      </c>
      <c r="H243" s="21" t="s">
        <v>1018</v>
      </c>
      <c r="I243" s="13">
        <v>43033.588506944441</v>
      </c>
      <c r="J243" s="7">
        <v>0</v>
      </c>
      <c r="K243" s="89" t="str">
        <f>IF(ISEVEN(B243),(B243-1)&amp;"/"&amp;B243,B243&amp;"/"&amp;(B243+1))</f>
        <v>4031/4032</v>
      </c>
      <c r="L243" s="185" t="str">
        <f>VLOOKUP(A243,'Trips&amp;Operators'!$C$1:$G$99911,5,FALSE)</f>
        <v>MAGEE KENYA</v>
      </c>
      <c r="M243" s="6">
        <f>I243-F243</f>
        <v>1.912037036527181E-2</v>
      </c>
      <c r="N243" s="7">
        <f>24*60*SUM($M243:$M243)</f>
        <v>27.533333325991407</v>
      </c>
      <c r="O243" s="7"/>
      <c r="P243" s="7"/>
      <c r="Q243" s="22"/>
      <c r="R243" s="174"/>
      <c r="S243" s="221">
        <f>1/IF(AG243="EC",12,1)*SUM(U243:U243)</f>
        <v>0</v>
      </c>
      <c r="T243" s="174" t="str">
        <f>IF(ISEVEN(LEFT(AD243,4)),"Southbound","NorthBound")</f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1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-10-25T12:29:42-0600',mode:absolute,to:'2017-10-25T15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3" s="204" t="str">
        <f>IF(AA243&lt;VLOOKUP(AG243,Variables!$AC$3:$AD$8,2,FALSE),"Y","N")</f>
        <v>Y</v>
      </c>
      <c r="X243" s="204">
        <f>VALUE(LEFT(AD243,4))-VALUE(LEFT(AD242,4))</f>
        <v>2</v>
      </c>
      <c r="Y243" s="204">
        <f>RIGHT(D243,LEN(D243)-4)/10000</f>
        <v>3.1231</v>
      </c>
      <c r="Z243" s="204">
        <f>RIGHT(H243,LEN(H243)-4)/10000</f>
        <v>11.250400000000001</v>
      </c>
      <c r="AA243" s="204">
        <f>ABS(Z243-Y243)</f>
        <v>8.1273000000000017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>VALUE(LEFT(A243,LEN(A243)-3))</f>
        <v>75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/stypes="app*4032*20171025*" /stext=" 20:.+((SYSTEM_STATE.+slice.+state.+changed )|(ment ac)|(multiple cpu faults)|(system.+state.+changed )|(\[timeout)|(PRM\|1\|D)|(kpr)|(kdp)|(train st.+moving)|(\|lc)|(penalty))"</v>
      </c>
      <c r="AG243" s="182" t="str">
        <f>DetSubdiv(A243)</f>
        <v>Shuttle/Test</v>
      </c>
      <c r="AH243" s="78" t="str">
        <f t="shared" si="32"/>
        <v>"%USERPROFILE%\Documents\GitHub\eaglep3\Utilities\RefineRTDCRunTimes.py" --tripid 75-25 --locoid 4032 --swversion DE.1.0.9.0 --startMP 300:31231 --initTime 2017-10-25T13:29:42 --startdatetime 2017-10-25T13:39:55 --delay 328 --endMP 300:112504 --enddatetime 2017-10-25T14:07:27 --enforcementcount 0 &gt;&gt;%USERPROFILE%\Documents\GitHub\eaglep3-reporting\EC\2017-10-25-refined-times.txt</v>
      </c>
      <c r="AI243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11.2504"},{"id":17,"name":"Train ID","value":"75-25"},{"id":16,"name":"Locomotive ID","value":"4032"},{"id":130,"name":"Impact","value":""},{"id":150,"name":"Time of Event (Mountain Time)","value":"14:07:27"},{"id":151,"name":"Denver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34"/>
        <v>start /low /b %USERPROFILE%\Documents\GitHub\eaglep3\Utilities\DownloadLogsFromS3.py --loco 4032 --day 2017-10-25</v>
      </c>
      <c r="AN243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36"/>
        <v>https://d0f6bd738d7f1b3e5a7ca70fe4ff75f0.us-east-1.aws.found.io/app/kibana#/discover/Steve-Slow-Train-Analysis-(2080s-and-2083s)?_g=(refreshInterval:(display:Off,pause:!f,section:0,value:0),time:(from:'2017-10-25T12:29:42-0600',mode:absolute,to:'2017-10-25T15:07:27-0600'))&amp;_a=(columns:!('Message%20ID',Summary),filters:!(),index:'emp_*',interval:auto,query:(query_string:(analyze_wildcard:!t,query:'%22rtdc.l.rtdc.4032%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32" t="s">
        <v>654</v>
      </c>
      <c r="B244" s="7">
        <v>4032</v>
      </c>
      <c r="C244" s="21" t="s">
        <v>194</v>
      </c>
      <c r="D244" s="21" t="s">
        <v>1019</v>
      </c>
      <c r="E244" s="13">
        <v>43033.644594907404</v>
      </c>
      <c r="F244" s="13">
        <v>43033.64607638889</v>
      </c>
      <c r="G244" s="7">
        <v>60</v>
      </c>
      <c r="H244" s="21" t="s">
        <v>1020</v>
      </c>
      <c r="I244" s="13">
        <v>43033.665208333332</v>
      </c>
      <c r="J244" s="7">
        <v>0</v>
      </c>
      <c r="K244" s="89" t="str">
        <f>IF(ISEVEN(B244),(B244-1)&amp;"/"&amp;B244,B244&amp;"/"&amp;(B244+1))</f>
        <v>4031/4032</v>
      </c>
      <c r="L244" s="185" t="str">
        <f>VLOOKUP(A244,'Trips&amp;Operators'!$C$1:$G$99911,5,FALSE)</f>
        <v>MAGEE KENYA</v>
      </c>
      <c r="M244" s="6">
        <f>I244-F244</f>
        <v>1.9131944442051463E-2</v>
      </c>
      <c r="N244" s="7">
        <f>24*60*SUM($M244:$M244)</f>
        <v>27.549999996554106</v>
      </c>
      <c r="O244" s="7"/>
      <c r="P244" s="7"/>
      <c r="Q244" s="22"/>
      <c r="R244" s="174"/>
      <c r="S244" s="221">
        <f>1/IF(AG244="EC",12,1)*SUM(U244:U244)</f>
        <v>0</v>
      </c>
      <c r="T244" s="174" t="str">
        <f>IF(ISEVEN(LEFT(AD244,4)),"Southbound","NorthBound")</f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1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-10-25T14:28:13-0600',mode:absolute,to:'2017-10-25T16:57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4" s="204" t="str">
        <f>IF(AA244&lt;VLOOKUP(AG244,Variables!$AC$3:$AD$8,2,FALSE),"Y","N")</f>
        <v>Y</v>
      </c>
      <c r="X244" s="204">
        <f>VALUE(LEFT(AD244,4))-VALUE(LEFT(AD243,4))</f>
        <v>0</v>
      </c>
      <c r="Y244" s="204">
        <f>RIGHT(D244,LEN(D244)-4)/10000</f>
        <v>3.9508000000000001</v>
      </c>
      <c r="Z244" s="204">
        <f>RIGHT(H244,LEN(H244)-4)/10000</f>
        <v>11.2502</v>
      </c>
      <c r="AA244" s="204">
        <f>ABS(Z244-Y244)</f>
        <v>7.2993999999999994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>VALUE(LEFT(A244,LEN(A244)-3))</f>
        <v>75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/stypes="app*4032*20171025*" /stext=" 21:.+((SYSTEM_STATE.+slice.+state.+changed )|(ment ac)|(multiple cpu faults)|(system.+state.+changed )|(\[timeout)|(PRM\|1\|D)|(kpr)|(kdp)|(train st.+moving)|(\|lc)|(penalty))"</v>
      </c>
      <c r="AG244" s="182" t="str">
        <f>DetSubdiv(A244)</f>
        <v>Shuttle/Test</v>
      </c>
      <c r="AH244" s="78" t="str">
        <f t="shared" si="32"/>
        <v>"%USERPROFILE%\Documents\GitHub\eaglep3\Utilities\RefineRTDCRunTimes.py" --tripid 75-25 --locoid 4032 --swversion DE.1.0.9.0 --startMP 300:39508 --initTime 2017-10-25T15:28:13 --startdatetime 2017-10-25T15:30:21 --delay 60 --endMP 300:112502 --enddatetime 2017-10-25T15:57:54 --enforcementcount 0 &gt;&gt;%USERPROFILE%\Documents\GitHub\eaglep3-reporting\EC\2017-10-25-refined-times.txt</v>
      </c>
      <c r="AI244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11.2502"},{"id":17,"name":"Train ID","value":"75-25"},{"id":16,"name":"Locomotive ID","value":"4032"},{"id":130,"name":"Impact","value":""},{"id":150,"name":"Time of Event (Mountain Time)","value":"15:57:54"},{"id":151,"name":"Denver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34"/>
        <v>start /low /b %USERPROFILE%\Documents\GitHub\eaglep3\Utilities\DownloadLogsFromS3.py --loco 4032 --day 2017-10-25</v>
      </c>
      <c r="AN244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21:57:54"},{"id":29,"name":"Sharepoint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36"/>
        <v>https://d0f6bd738d7f1b3e5a7ca70fe4ff75f0.us-east-1.aws.found.io/app/kibana#/discover/Steve-Slow-Train-Analysis-(2080s-and-2083s)?_g=(refreshInterval:(display:Off,pause:!f,section:0,value:0),time:(from:'2017-10-25T14:28:13-0600',mode:absolute,to:'2017-10-25T16:57:54-0600'))&amp;_a=(columns:!('Message%20ID',Summary),filters:!(),index:'emp_*',interval:auto,query:(query_string:(analyze_wildcard:!t,query:'%22rtdc.l.rtdc.4032%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32" t="s">
        <v>650</v>
      </c>
      <c r="B245" s="7">
        <v>4031</v>
      </c>
      <c r="C245" s="21" t="s">
        <v>194</v>
      </c>
      <c r="D245" s="21" t="s">
        <v>1021</v>
      </c>
      <c r="E245" s="13">
        <v>43033.589618055557</v>
      </c>
      <c r="F245" s="13">
        <v>43033.591631944444</v>
      </c>
      <c r="G245" s="7">
        <v>85</v>
      </c>
      <c r="H245" s="21" t="s">
        <v>1022</v>
      </c>
      <c r="I245" s="13">
        <v>43033.605520833335</v>
      </c>
      <c r="J245" s="7">
        <v>0</v>
      </c>
      <c r="K245" s="89" t="str">
        <f>IF(ISEVEN(B245),(B245-1)&amp;"/"&amp;B245,B245&amp;"/"&amp;(B245+1))</f>
        <v>4031/4032</v>
      </c>
      <c r="L245" s="185" t="str">
        <f>VLOOKUP(A245,'Trips&amp;Operators'!$C$1:$G$99911,5,FALSE)</f>
        <v>MAGEE KENYA</v>
      </c>
      <c r="M245" s="6">
        <f>I245-F245</f>
        <v>1.3888888890505768E-2</v>
      </c>
      <c r="N245" s="7">
        <f>24*60*SUM($M245:$M245)</f>
        <v>20.000000002328306</v>
      </c>
      <c r="O245" s="7"/>
      <c r="P245" s="7"/>
      <c r="Q245" s="22"/>
      <c r="R245" s="174"/>
      <c r="S245" s="221">
        <f>1/IF(AG245="EC",12,1)*SUM(U245:U245)</f>
        <v>0</v>
      </c>
      <c r="T245" s="174" t="str">
        <f>IF(ISEVEN(LEFT(AD245,4)),"Southbound","NorthBound")</f>
        <v>Southbound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1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-10-25T13:09:03-0600',mode:absolute,to:'2017-10-25T15:31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5" s="204" t="str">
        <f>IF(AA245&lt;VLOOKUP(AG245,Variables!$AC$3:$AD$8,2,FALSE),"Y","N")</f>
        <v>Y</v>
      </c>
      <c r="X245" s="204">
        <f>VALUE(LEFT(AD245,4))-VALUE(LEFT(AD244,4))</f>
        <v>1</v>
      </c>
      <c r="Y245" s="204">
        <f>RIGHT(D245,LEN(D245)-4)/10000</f>
        <v>11.218400000000001</v>
      </c>
      <c r="Z245" s="204">
        <f>RIGHT(H245,LEN(H245)-4)/10000</f>
        <v>3.9197000000000002</v>
      </c>
      <c r="AA245" s="204">
        <f>ABS(Z245-Y245)</f>
        <v>7.2987000000000002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>VALUE(LEFT(A245,LEN(A245)-3))</f>
        <v>76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/stypes="app*4031*20171025*" /stext=" 20:.+((SYSTEM_STATE.+slice.+state.+changed )|(ment ac)|(multiple cpu faults)|(system.+state.+changed )|(\[timeout)|(PRM\|1\|D)|(kpr)|(kdp)|(train st.+moving)|(\|lc)|(penalty))"</v>
      </c>
      <c r="AG245" s="182" t="str">
        <f>DetSubdiv(A245)</f>
        <v>Shuttle/Test</v>
      </c>
      <c r="AH245" s="78" t="str">
        <f t="shared" si="32"/>
        <v>"%USERPROFILE%\Documents\GitHub\eaglep3\Utilities\RefineRTDCRunTimes.py" --tripid 76-25 --locoid 4031 --swversion DE.1.0.9.0 --startMP 300:112184 --initTime 2017-10-25T14:09:03 --startdatetime 2017-10-25T14:11:57 --delay 85 --endMP 300:39197 --enddatetime 2017-10-25T14:31:57 --enforcementcount 0 &gt;&gt;%USERPROFILE%\Documents\GitHub\eaglep3-reporting\EC\2017-10-25-refined-times.txt</v>
      </c>
      <c r="AI245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3.9197"},{"id":17,"name":"Train ID","value":"76-25"},{"id":16,"name":"Locomotive ID","value":"4031"},{"id":130,"name":"Impact","value":""},{"id":150,"name":"Time of Event (Mountain Time)","value":"14:31:57"},{"id":151,"name":"Denver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2" t="str">
        <f t="shared" si="34"/>
        <v>start /low /b %USERPROFILE%\Documents\GitHub\eaglep3\Utilities\DownloadLogsFromS3.py --loco 4031 --day 2017-10-25</v>
      </c>
      <c r="AN245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20:31:57"},{"id":29,"name":"Sharepoint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36"/>
        <v>https://d0f6bd738d7f1b3e5a7ca70fe4ff75f0.us-east-1.aws.found.io/app/kibana#/discover/Steve-Slow-Train-Analysis-(2080s-and-2083s)?_g=(refreshInterval:(display:Off,pause:!f,section:0,value:0),time:(from:'2017-10-25T13:09:03-0600',mode:absolute,to:'2017-10-25T15:31:57-0600'))&amp;_a=(columns:!('Message%20ID',Summary),filters:!(),index:'emp_*',interval:auto,query:(query_string:(analyze_wildcard:!t,query:'%22rtdc.l.rtdc.4031%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32" t="s">
        <v>650</v>
      </c>
      <c r="B246" s="7">
        <v>4031</v>
      </c>
      <c r="C246" s="21" t="s">
        <v>194</v>
      </c>
      <c r="D246" s="21" t="s">
        <v>1023</v>
      </c>
      <c r="E246" s="13">
        <v>43033.666006944448</v>
      </c>
      <c r="F246" s="13">
        <v>43033.668483796297</v>
      </c>
      <c r="G246" s="7">
        <v>66</v>
      </c>
      <c r="H246" s="21" t="s">
        <v>1024</v>
      </c>
      <c r="I246" s="13">
        <v>43033.681793981479</v>
      </c>
      <c r="J246" s="7">
        <v>0</v>
      </c>
      <c r="K246" s="89" t="str">
        <f>IF(ISEVEN(B246),(B246-1)&amp;"/"&amp;B246,B246&amp;"/"&amp;(B246+1))</f>
        <v>4031/4032</v>
      </c>
      <c r="L246" s="185" t="str">
        <f>VLOOKUP(A246,'Trips&amp;Operators'!$C$1:$G$99911,5,FALSE)</f>
        <v>MAGEE KENYA</v>
      </c>
      <c r="M246" s="6">
        <f>I246-F246</f>
        <v>1.3310185182490386E-2</v>
      </c>
      <c r="N246" s="7">
        <f>24*60*SUM($M246:$M246)</f>
        <v>19.166666662786156</v>
      </c>
      <c r="O246" s="7"/>
      <c r="P246" s="7"/>
      <c r="Q246" s="22"/>
      <c r="R246" s="174"/>
      <c r="S246" s="221">
        <f>1/IF(AG246="EC",12,1)*SUM(U246:U246)</f>
        <v>0</v>
      </c>
      <c r="T246" s="174" t="str">
        <f>IF(ISEVEN(LEFT(AD246,4)),"Southbound","NorthBound")</f>
        <v>Southbound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1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-10-25T14:59:03-0600',mode:absolute,to:'2017-10-25T17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6" s="204" t="str">
        <f>IF(AA246&lt;VLOOKUP(AG246,Variables!$AC$3:$AD$8,2,FALSE),"Y","N")</f>
        <v>Y</v>
      </c>
      <c r="X246" s="204">
        <f>VALUE(LEFT(AD246,4))-VALUE(LEFT(AD245,4))</f>
        <v>0</v>
      </c>
      <c r="Y246" s="204">
        <f>RIGHT(D246,LEN(D246)-4)/10000</f>
        <v>11.2174</v>
      </c>
      <c r="Z246" s="204">
        <f>RIGHT(H246,LEN(H246)-4)/10000</f>
        <v>3.9216000000000002</v>
      </c>
      <c r="AA246" s="204">
        <f>ABS(Z246-Y246)</f>
        <v>7.2957999999999998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179">
        <f>VALUE(LEFT(A246,LEN(A246)-3))</f>
        <v>76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/stypes="app*4031*20171025*" /stext=" 22:.+((SYSTEM_STATE.+slice.+state.+changed )|(ment ac)|(multiple cpu faults)|(system.+state.+changed )|(\[timeout)|(PRM\|1\|D)|(kpr)|(kdp)|(train st.+moving)|(\|lc)|(penalty))"</v>
      </c>
      <c r="AG246" s="182" t="str">
        <f>DetSubdiv(A246)</f>
        <v>Shuttle/Test</v>
      </c>
      <c r="AH246" s="78" t="str">
        <f t="shared" si="32"/>
        <v>"%USERPROFILE%\Documents\GitHub\eaglep3\Utilities\RefineRTDCRunTimes.py" --tripid 76-25 --locoid 4031 --swversion DE.1.0.9.0 --startMP 300:112174 --initTime 2017-10-25T15:59:03 --startdatetime 2017-10-25T16:02:37 --delay 66 --endMP 300:39216 --enddatetime 2017-10-25T16:21:47 --enforcementcount 0 &gt;&gt;%USERPROFILE%\Documents\GitHub\eaglep3-reporting\EC\2017-10-25-refined-times.txt</v>
      </c>
      <c r="AI246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3.9216"},{"id":17,"name":"Train ID","value":"76-25"},{"id":16,"name":"Locomotive ID","value":"4031"},{"id":130,"name":"Impact","value":""},{"id":150,"name":"Time of Event (Mountain Time)","value":"16:21:47"},{"id":151,"name":"Denver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6" s="47"/>
      <c r="AL246" s="47"/>
      <c r="AM246" s="142" t="str">
        <f t="shared" si="34"/>
        <v>start /low /b %USERPROFILE%\Documents\GitHub\eaglep3\Utilities\DownloadLogsFromS3.py --loco 4031 --day 2017-10-25</v>
      </c>
      <c r="AN246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36"/>
        <v>https://d0f6bd738d7f1b3e5a7ca70fe4ff75f0.us-east-1.aws.found.io/app/kibana#/discover/Steve-Slow-Train-Analysis-(2080s-and-2083s)?_g=(refreshInterval:(display:Off,pause:!f,section:0,value:0),time:(from:'2017-10-25T14:59:03-0600',mode:absolute,to:'2017-10-25T17:21:47-0600'))&amp;_a=(columns:!('Message%20ID',Summary),filters:!(),index:'emp_*',interval:auto,query:(query_string:(analyze_wildcard:!t,query:'%22rtdc.l.rtdc.4031%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 s="32" t="s">
        <v>651</v>
      </c>
      <c r="B247" s="7">
        <v>4032</v>
      </c>
      <c r="C247" s="21" t="s">
        <v>194</v>
      </c>
      <c r="D247" s="21" t="s">
        <v>1025</v>
      </c>
      <c r="E247" s="13">
        <v>43033.682708333334</v>
      </c>
      <c r="F247" s="13">
        <v>43033.686435185184</v>
      </c>
      <c r="G247" s="7">
        <v>251</v>
      </c>
      <c r="H247" s="21" t="s">
        <v>1026</v>
      </c>
      <c r="I247" s="13">
        <v>43033.700254629628</v>
      </c>
      <c r="J247" s="7">
        <v>0</v>
      </c>
      <c r="K247" s="89" t="str">
        <f>IF(ISEVEN(B247),(B247-1)&amp;"/"&amp;B247,B247&amp;"/"&amp;(B247+1))</f>
        <v>4031/4032</v>
      </c>
      <c r="L247" s="185" t="str">
        <f>VLOOKUP(A247,'Trips&amp;Operators'!$C$1:$G$99911,5,FALSE)</f>
        <v>BIRKHOLZ NADINE</v>
      </c>
      <c r="M247" s="6">
        <f>I247-F247</f>
        <v>1.3819444444379769E-2</v>
      </c>
      <c r="N247" s="7">
        <f>24*60*SUM($M247:$M247)</f>
        <v>19.899999999906868</v>
      </c>
      <c r="O247" s="7"/>
      <c r="P247" s="7"/>
      <c r="Q247" s="22"/>
      <c r="R247" s="174"/>
      <c r="S247" s="221">
        <f>1/IF(AG247="EC",12,1)*SUM(U247:U247)</f>
        <v>0</v>
      </c>
      <c r="T247" s="174" t="str">
        <f>IF(ISEVEN(LEFT(AD247,4)),"Southbound","NorthBound")</f>
        <v>NorthBound</v>
      </c>
      <c r="U247" s="198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1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-10-25T15:23:06-0600',mode:absolute,to:'2017-10-25T17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7" s="204" t="str">
        <f>IF(AA247&lt;VLOOKUP(AG247,Variables!$AC$3:$AD$8,2,FALSE),"Y","N")</f>
        <v>Y</v>
      </c>
      <c r="X247" s="204">
        <f>VALUE(LEFT(AD247,4))-VALUE(LEFT(AD246,4))</f>
        <v>1</v>
      </c>
      <c r="Y247" s="204">
        <f>RIGHT(D247,LEN(D247)-4)/10000</f>
        <v>3.9514999999999998</v>
      </c>
      <c r="Z247" s="204">
        <f>RIGHT(H247,LEN(H247)-4)/10000</f>
        <v>11.257999999999999</v>
      </c>
      <c r="AA247" s="204">
        <f>ABS(Z247-Y247)</f>
        <v>7.3064999999999998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179">
        <f>VALUE(LEFT(A247,LEN(A247)-3))</f>
        <v>77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/stypes="app*4032*20171025*" /stext=" 22:.+((SYSTEM_STATE.+slice.+state.+changed )|(ment ac)|(multiple cpu faults)|(system.+state.+changed )|(\[timeout)|(PRM\|1\|D)|(kpr)|(kdp)|(train st.+moving)|(\|lc)|(penalty))"</v>
      </c>
      <c r="AG247" s="182" t="str">
        <f>DetSubdiv(A247)</f>
        <v>Shuttle/Test</v>
      </c>
      <c r="AH247" s="78" t="str">
        <f t="shared" si="32"/>
        <v>"%USERPROFILE%\Documents\GitHub\eaglep3\Utilities\RefineRTDCRunTimes.py" --tripid 77-25 --locoid 4032 --swversion DE.1.0.9.0 --startMP 300:39515 --initTime 2017-10-25T16:23:06 --startdatetime 2017-10-25T16:28:28 --delay 251 --endMP 300:112580 --enddatetime 2017-10-25T16:48:22 --enforcementcount 0 &gt;&gt;%USERPROFILE%\Documents\GitHub\eaglep3-reporting\EC\2017-10-25-refined-times.txt</v>
      </c>
      <c r="AI247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11.258"},{"id":17,"name":"Train ID","value":"77-25"},{"id":16,"name":"Locomotive ID","value":"4032"},{"id":130,"name":"Impact","value":""},{"id":150,"name":"Time of Event (Mountain Time)","value":"16:48:22"},{"id":151,"name":"Denver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47"/>
      <c r="AL247" s="47"/>
      <c r="AM247" s="142" t="str">
        <f t="shared" si="34"/>
        <v>start /low /b %USERPROFILE%\Documents\GitHub\eaglep3\Utilities\DownloadLogsFromS3.py --loco 4032 --day 2017-10-25</v>
      </c>
      <c r="AN247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22:48:22"},{"id":29,"name":"Sharepoint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68" t="str">
        <f t="shared" si="36"/>
        <v>https://d0f6bd738d7f1b3e5a7ca70fe4ff75f0.us-east-1.aws.found.io/app/kibana#/discover/Steve-Slow-Train-Analysis-(2080s-and-2083s)?_g=(refreshInterval:(display:Off,pause:!f,section:0,value:0),time:(from:'2017-10-25T15:23:06-0600',mode:absolute,to:'2017-10-25T17:48:22-0600'))&amp;_a=(columns:!('Message%20ID',Summary),filters:!(),index:'emp_*',interval:auto,query:(query_string:(analyze_wildcard:!t,query:'%22rtdc.l.rtdc.4032%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32" t="s">
        <v>652</v>
      </c>
      <c r="B248" s="7">
        <v>4031</v>
      </c>
      <c r="C248" s="21" t="s">
        <v>194</v>
      </c>
      <c r="D248" s="21" t="s">
        <v>1027</v>
      </c>
      <c r="E248" s="13">
        <v>43033.625844907408</v>
      </c>
      <c r="F248" s="13">
        <v>43033.628796296296</v>
      </c>
      <c r="G248" s="7">
        <v>70</v>
      </c>
      <c r="H248" s="21" t="s">
        <v>1028</v>
      </c>
      <c r="I248" s="13">
        <v>43033.64329861111</v>
      </c>
      <c r="J248" s="7">
        <v>0</v>
      </c>
      <c r="K248" s="89" t="str">
        <f>IF(ISEVEN(B248),(B248-1)&amp;"/"&amp;B248,B248&amp;"/"&amp;(B248+1))</f>
        <v>4031/4032</v>
      </c>
      <c r="L248" s="185" t="str">
        <f>VLOOKUP(A248,'Trips&amp;Operators'!$C$1:$G$99911,5,FALSE)</f>
        <v>BIRKHOLZ NADINE</v>
      </c>
      <c r="M248" s="6">
        <f>I248-F248</f>
        <v>1.4502314814308193E-2</v>
      </c>
      <c r="N248" s="7">
        <f>24*60*SUM($M248:$M248)</f>
        <v>20.883333332603797</v>
      </c>
      <c r="O248" s="7"/>
      <c r="P248" s="7"/>
      <c r="Q248" s="22"/>
      <c r="R248" s="174"/>
      <c r="S248" s="221">
        <f>1/IF(AG248="EC",12,1)*SUM(U248:U248)</f>
        <v>0</v>
      </c>
      <c r="T248" s="174" t="str">
        <f>IF(ISEVEN(LEFT(AD248,4)),"Southbound","NorthBound")</f>
        <v>Southbound</v>
      </c>
      <c r="U248" s="198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1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-10-25T14:01:13-0600',mode:absolute,to:'2017-10-25T16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8" s="204" t="str">
        <f>IF(AA248&lt;VLOOKUP(AG248,Variables!$AC$3:$AD$8,2,FALSE),"Y","N")</f>
        <v>Y</v>
      </c>
      <c r="X248" s="204">
        <f>VALUE(LEFT(AD248,4))-VALUE(LEFT(AD247,4))</f>
        <v>1</v>
      </c>
      <c r="Y248" s="204">
        <f>RIGHT(D248,LEN(D248)-4)/10000</f>
        <v>11.2204</v>
      </c>
      <c r="Z248" s="204">
        <f>RIGHT(H248,LEN(H248)-4)/10000</f>
        <v>3.9156</v>
      </c>
      <c r="AA248" s="204">
        <f>ABS(Z248-Y248)</f>
        <v>7.3048000000000002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179">
        <f>VALUE(LEFT(A248,LEN(A248)-3))</f>
        <v>78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/stypes="app*4031*20171025*" /stext=" 21:.+((SYSTEM_STATE.+slice.+state.+changed )|(ment ac)|(multiple cpu faults)|(system.+state.+changed )|(\[timeout)|(PRM\|1\|D)|(kpr)|(kdp)|(train st.+moving)|(\|lc)|(penalty))"</v>
      </c>
      <c r="AG248" s="182" t="str">
        <f>DetSubdiv(A248)</f>
        <v>Shuttle/Test</v>
      </c>
      <c r="AH248" s="78" t="str">
        <f t="shared" si="32"/>
        <v>"%USERPROFILE%\Documents\GitHub\eaglep3\Utilities\RefineRTDCRunTimes.py" --tripid 78-25 --locoid 4031 --swversion DE.1.0.9.0 --startMP 300:112204 --initTime 2017-10-25T15:01:13 --startdatetime 2017-10-25T15:05:28 --delay 70 --endMP 300:39156 --enddatetime 2017-10-25T15:26:21 --enforcementcount 0 &gt;&gt;%USERPROFILE%\Documents\GitHub\eaglep3-reporting\EC\2017-10-25-refined-times.txt</v>
      </c>
      <c r="AI248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3.9156"},{"id":17,"name":"Train ID","value":"78-25"},{"id":16,"name":"Locomotive ID","value":"4031"},{"id":130,"name":"Impact","value":""},{"id":150,"name":"Time of Event (Mountain Time)","value":"15:26:21"},{"id":151,"name":"Denver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8" s="47"/>
      <c r="AL248" s="47"/>
      <c r="AM248" s="142" t="str">
        <f t="shared" si="34"/>
        <v>start /low /b %USERPROFILE%\Documents\GitHub\eaglep3\Utilities\DownloadLogsFromS3.py --loco 4031 --day 2017-10-25</v>
      </c>
      <c r="AN248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21:26:21"},{"id":29,"name":"Sharepoint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168" t="str">
        <f t="shared" si="36"/>
        <v>https://d0f6bd738d7f1b3e5a7ca70fe4ff75f0.us-east-1.aws.found.io/app/kibana#/discover/Steve-Slow-Train-Analysis-(2080s-and-2083s)?_g=(refreshInterval:(display:Off,pause:!f,section:0,value:0),time:(from:'2017-10-25T14:01:13-0600',mode:absolute,to:'2017-10-25T16:26:21-0600'))&amp;_a=(columns:!('Message%20ID',Summary),filters:!(),index:'emp_*',interval:auto,query:(query_string:(analyze_wildcard:!t,query:'%22rtdc.l.rtdc.4031%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32" t="s">
        <v>652</v>
      </c>
      <c r="B249" s="7">
        <v>4031</v>
      </c>
      <c r="C249" s="21" t="s">
        <v>194</v>
      </c>
      <c r="D249" s="21" t="s">
        <v>1029</v>
      </c>
      <c r="E249" s="13">
        <v>43033.701203703706</v>
      </c>
      <c r="F249" s="13">
        <v>43033.703414351854</v>
      </c>
      <c r="G249" s="7">
        <v>93</v>
      </c>
      <c r="H249" s="21" t="s">
        <v>1030</v>
      </c>
      <c r="I249" s="13">
        <v>43033.72146990741</v>
      </c>
      <c r="J249" s="7">
        <v>0</v>
      </c>
      <c r="K249" s="89" t="str">
        <f>IF(ISEVEN(B249),(B249-1)&amp;"/"&amp;B249,B249&amp;"/"&amp;(B249+1))</f>
        <v>4031/4032</v>
      </c>
      <c r="L249" s="185" t="str">
        <f>VLOOKUP(A249,'Trips&amp;Operators'!$C$1:$G$99911,5,FALSE)</f>
        <v>BIRKHOLZ NADINE</v>
      </c>
      <c r="M249" s="6">
        <f>I249-F249</f>
        <v>1.8055555556202307E-2</v>
      </c>
      <c r="N249" s="7">
        <f>24*60*SUM($M249:$M249)</f>
        <v>26.000000000931323</v>
      </c>
      <c r="O249" s="7"/>
      <c r="P249" s="7"/>
      <c r="Q249" s="22"/>
      <c r="R249" s="174"/>
      <c r="S249" s="221">
        <f>1/IF(AG249="EC",12,1)*SUM(U249:U249)</f>
        <v>0</v>
      </c>
      <c r="T249" s="174" t="str">
        <f>IF(ISEVEN(LEFT(AD249,4)),"Southbound","NorthBound")</f>
        <v>Southbound</v>
      </c>
      <c r="U249" s="198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1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-10-25T15:49:44-0600',mode:absolute,to:'2017-10-25T18:18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9" s="204" t="str">
        <f>IF(AA249&lt;VLOOKUP(AG249,Variables!$AC$3:$AD$8,2,FALSE),"Y","N")</f>
        <v>Y</v>
      </c>
      <c r="X249" s="204">
        <f>VALUE(LEFT(AD249,4))-VALUE(LEFT(AD248,4))</f>
        <v>0</v>
      </c>
      <c r="Y249" s="204">
        <f>RIGHT(D249,LEN(D249)-4)/10000</f>
        <v>11.226900000000001</v>
      </c>
      <c r="Z249" s="204">
        <f>RIGHT(H249,LEN(H249)-4)/10000</f>
        <v>2.8748</v>
      </c>
      <c r="AA249" s="204">
        <f>ABS(Z249-Y249)</f>
        <v>8.3521000000000001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179">
        <f>VALUE(LEFT(A249,LEN(A249)-3))</f>
        <v>78</v>
      </c>
      <c r="AE249" s="77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AF249" s="7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/stypes="app*4031*20171025*" /stext=" 23:.+((SYSTEM_STATE.+slice.+state.+changed )|(ment ac)|(multiple cpu faults)|(system.+state.+changed )|(\[timeout)|(PRM\|1\|D)|(kpr)|(kdp)|(train st.+moving)|(\|lc)|(penalty))"</v>
      </c>
      <c r="AG249" s="182" t="str">
        <f>DetSubdiv(A249)</f>
        <v>Shuttle/Test</v>
      </c>
      <c r="AH249" s="78" t="str">
        <f t="shared" si="32"/>
        <v>"%USERPROFILE%\Documents\GitHub\eaglep3\Utilities\RefineRTDCRunTimes.py" --tripid 78-25 --locoid 4031 --swversion DE.1.0.9.0 --startMP 300:112269 --initTime 2017-10-25T16:49:44 --startdatetime 2017-10-25T16:52:55 --delay 93 --endMP 300:28748 --enddatetime 2017-10-25T17:18:55 --enforcementcount 0 &gt;&gt;%USERPROFILE%\Documents\GitHub\eaglep3-reporting\EC\2017-10-25-refined-times.txt</v>
      </c>
      <c r="AI249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2.8748"},{"id":17,"name":"Train ID","value":"78-25"},{"id":16,"name":"Locomotive ID","value":"4031"},{"id":130,"name":"Impact","value":""},{"id":150,"name":"Time of Event (Mountain Time)","value":"17:18:55"},{"id":151,"name":"Denver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9" s="47"/>
      <c r="AL249" s="47"/>
      <c r="AM249" s="142" t="str">
        <f t="shared" si="34"/>
        <v>start /low /b %USERPROFILE%\Documents\GitHub\eaglep3\Utilities\DownloadLogsFromS3.py --loco 4031 --day 2017-10-25</v>
      </c>
      <c r="AN249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168" t="str">
        <f t="shared" si="36"/>
        <v>https://d0f6bd738d7f1b3e5a7ca70fe4ff75f0.us-east-1.aws.found.io/app/kibana#/discover/Steve-Slow-Train-Analysis-(2080s-and-2083s)?_g=(refreshInterval:(display:Off,pause:!f,section:0,value:0),time:(from:'2017-10-25T15:49:44-0600',mode:absolute,to:'2017-10-25T18:18:55-0600'))&amp;_a=(columns:!('Message%20ID',Summary),filters:!(),index:'emp_*',interval:auto,query:(query_string:(analyze_wildcard:!t,query:'%22rtdc.l.rtdc.4031%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32" t="s">
        <v>805</v>
      </c>
      <c r="B250" s="7">
        <v>4004</v>
      </c>
      <c r="C250" s="21" t="s">
        <v>194</v>
      </c>
      <c r="D250" s="21" t="s">
        <v>992</v>
      </c>
      <c r="E250" s="13">
        <v>43033.680937500001</v>
      </c>
      <c r="F250" s="13">
        <v>43033.683136574073</v>
      </c>
      <c r="G250" s="7">
        <v>112</v>
      </c>
      <c r="H250" s="21" t="s">
        <v>606</v>
      </c>
      <c r="I250" s="13">
        <v>43033.763773148145</v>
      </c>
      <c r="J250" s="7">
        <v>0</v>
      </c>
      <c r="K250" s="89" t="str">
        <f>IF(ISEVEN(B250),(B250-1)&amp;"/"&amp;B250,B250&amp;"/"&amp;(B250+1))</f>
        <v>4003/4004</v>
      </c>
      <c r="L250" s="185" t="str">
        <f>VLOOKUP(A250,'Trips&amp;Operators'!$C$1:$G$99911,5,FALSE)</f>
        <v>NEWELL JAMES</v>
      </c>
      <c r="M250" s="6">
        <f>I250-F250</f>
        <v>8.0636574071832001E-2</v>
      </c>
      <c r="N250" s="7">
        <f>24*60*SUM($M250:$M250)</f>
        <v>116.11666666343808</v>
      </c>
      <c r="O250" s="7"/>
      <c r="P250" s="7"/>
      <c r="Q250" s="22"/>
      <c r="R250" s="174"/>
      <c r="S250" s="221">
        <f>1/IF(AG250="EC",12,1)*SUM(U250:U250)</f>
        <v>1</v>
      </c>
      <c r="T250" s="174" t="str">
        <f>IF(ISEVEN(LEFT(AD250,4)),"Southbound","NorthBound")</f>
        <v>NorthBound</v>
      </c>
      <c r="U250" s="198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1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-10-25T15:20:33-0600',mode:absolute,to:'2017-10-25T19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0" s="204" t="str">
        <f>IF(AA250&lt;VLOOKUP(AG250,Variables!$AC$3:$AD$8,2,FALSE),"Y","N")</f>
        <v>Y</v>
      </c>
      <c r="X250" s="204">
        <f>VALUE(LEFT(AD250,4))-VALUE(LEFT(AD249,4))</f>
        <v>1</v>
      </c>
      <c r="Y250" s="204">
        <f>RIGHT(D250,LEN(D250)-4)/10000</f>
        <v>0.14860000000000001</v>
      </c>
      <c r="Z250" s="204">
        <f>RIGHT(H250,LEN(H250)-4)/10000</f>
        <v>2.3306</v>
      </c>
      <c r="AA250" s="204">
        <f>ABS(Z250-Y250)</f>
        <v>2.1819999999999999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179">
        <f>VALUE(LEFT(A250,LEN(A250)-3))</f>
        <v>79</v>
      </c>
      <c r="AE250" s="77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s3://rtdc.mdm.uploadarchive.raw/RTDC4004/ "%USERPROFILE%\AppData\Local\Temp\OnboardLogs"\RTDC4004\2017-10-25 --exclude "*" --recursive --include "*20171025*" &amp; "%USERPROFILE%\Documents\GitHub\mrs-test-scripts\Headless Mode &amp; Sideloading\WalkAndUnGZ.bat" "%USERPROFILE%\AppData\Local\Temp\OnboardLogs"\RTDC4004\2017-10-25 &amp; aws s3 cp s3://rtdc.mdm.uploadarchive.raw/RTDC4004/ "%USERPROFILE%\AppData\Local\Temp\OnboardLogs"\RTDC4004\2017-10-26 --exclude "*" --recursive --include "*20171026*" &amp; "%USERPROFILE%\Documents\GitHub\mrs-test-scripts\Headless Mode &amp; Sideloading\WalkAndUnGZ.bat" "%USERPROFILE%\AppData\Local\Temp\OnboardLogs"\RTDC4004\2017-10-26</v>
      </c>
      <c r="AF250" s="7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/stypes="app*4004*20171026*" /stext=" 00:.+((SYSTEM_STATE.+slice.+state.+changed )|(ment ac)|(multiple cpu faults)|(system.+state.+changed )|(\[timeout)|(PRM\|1\|D)|(kpr)|(kdp)|(train st.+moving)|(\|lc)|(penalty))"</v>
      </c>
      <c r="AG250" s="182" t="str">
        <f>DetSubdiv(A250)</f>
        <v>Shuttle/Test</v>
      </c>
      <c r="AH250" s="78" t="str">
        <f t="shared" si="32"/>
        <v>"%USERPROFILE%\Documents\GitHub\eaglep3\Utilities\RefineRTDCRunTimes.py" --tripid 79-25 --locoid 4004 --swversion DE.1.0.9.0 --startMP 204:1486 --initTime 2017-10-25T16:20:33 --startdatetime 2017-10-25T16:23:43 --delay 112 --endMP 300:23306 --enddatetime 2017-10-25T18:19:50 --enforcementcount 0 &gt;&gt;%USERPROFILE%\Documents\GitHub\eaglep3-reporting\EC\2017-10-25-refined-times.txt</v>
      </c>
      <c r="AI250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2.3306"},{"id":17,"name":"Train ID","value":"79-25"},{"id":16,"name":"Locomotive ID","value":"4004"},{"id":130,"name":"Impact","value":""},{"id":150,"name":"Time of Event (Mountain Time)","value":"18:19:50"},{"id":151,"name":"Denver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0" s="47"/>
      <c r="AL250" s="47"/>
      <c r="AM250" s="142" t="str">
        <f t="shared" si="34"/>
        <v>start /low /b %USERPROFILE%\Documents\GitHub\eaglep3\Utilities\DownloadLogsFromS3.py --loco 4004 --day 2017-10-25</v>
      </c>
      <c r="AN250" s="151" t="str">
        <f t="shared" si="3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00:19:50"},{"id":29,"name":"Sharepoint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168" t="str">
        <f t="shared" si="36"/>
        <v>https://d0f6bd738d7f1b3e5a7ca70fe4ff75f0.us-east-1.aws.found.io/app/kibana#/discover/Steve-Slow-Train-Analysis-(2080s-and-2083s)?_g=(refreshInterval:(display:Off,pause:!f,section:0,value:0),time:(from:'2017-10-25T15:20:33-0600',mode:absolute,to:'2017-10-25T19:19:50-0600'))&amp;_a=(columns:!('Message%20ID',Summary),filters:!(),index:'emp_*',interval:auto,query:(query_string:(analyze_wildcard:!t,query:'%22rtdc.l.rtdc.4004%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 s="32" t="s">
        <v>819</v>
      </c>
      <c r="B251" s="7">
        <v>4034</v>
      </c>
      <c r="C251" s="21" t="s">
        <v>194</v>
      </c>
      <c r="D251" s="21" t="s">
        <v>1031</v>
      </c>
      <c r="E251" s="13">
        <v>43033.725729166668</v>
      </c>
      <c r="F251" s="13">
        <v>43033.734537037039</v>
      </c>
      <c r="G251" s="7">
        <v>82</v>
      </c>
      <c r="H251" s="21" t="s">
        <v>980</v>
      </c>
      <c r="I251" s="13">
        <v>43033.742430555554</v>
      </c>
      <c r="J251" s="7">
        <v>0</v>
      </c>
      <c r="K251" s="89" t="str">
        <f>IF(ISEVEN(B251),(B251-1)&amp;"/"&amp;B251,B251&amp;"/"&amp;(B251+1))</f>
        <v>4033/4034</v>
      </c>
      <c r="L251" s="185" t="str">
        <f>VLOOKUP(A251,'Trips&amp;Operators'!$C$1:$G$99911,5,FALSE)</f>
        <v>NELSON ARIANE</v>
      </c>
      <c r="M251" s="6">
        <f>I251-F251</f>
        <v>7.8935185156296939E-3</v>
      </c>
      <c r="N251" s="7">
        <f>24*60*SUM($M251:$M251)</f>
        <v>11.366666662506759</v>
      </c>
      <c r="O251" s="7"/>
      <c r="P251" s="7"/>
      <c r="Q251" s="22"/>
      <c r="R251" s="174"/>
      <c r="S251" s="221">
        <f>1/IF(AG251="EC",12,1)*SUM(U251:U251)</f>
        <v>0</v>
      </c>
      <c r="T251" s="174" t="str">
        <f>IF(ISEVEN(LEFT(AD251,4)),"Southbound","NorthBound")</f>
        <v>Southbound</v>
      </c>
      <c r="U251" s="198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16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-10-25T16:25:03-0600',mode:absolute,to:'2017-10-25T18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1" s="204" t="str">
        <f>IF(AA251&lt;VLOOKUP(AG251,Variables!$AC$3:$AD$8,2,FALSE),"Y","N")</f>
        <v>Y</v>
      </c>
      <c r="X251" s="204">
        <f>VALUE(LEFT(AD251,4))-VALUE(LEFT(AD250,4))</f>
        <v>1</v>
      </c>
      <c r="Y251" s="204">
        <f>RIGHT(D251,LEN(D251)-4)/10000</f>
        <v>0.1169</v>
      </c>
      <c r="Z251" s="204">
        <f>RIGHT(H251,LEN(H251)-4)/10000</f>
        <v>2.3304</v>
      </c>
      <c r="AA251" s="204">
        <f>ABS(Z251-Y251)</f>
        <v>2.2134999999999998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179">
        <f>VALUE(LEFT(A251,LEN(A251)-3))</f>
        <v>80</v>
      </c>
      <c r="AE251" s="77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s3://rtdc.mdm.uploadarchive.raw/RTDC4034/ "%USERPROFILE%\AppData\Local\Temp\OnboardLogs"\RTDC4034\2017-10-25 --exclude "*" --recursive --include "*20171025*" &amp; "%USERPROFILE%\Documents\GitHub\mrs-test-scripts\Headless Mode &amp; Sideloading\WalkAndUnGZ.bat" "%USERPROFILE%\AppData\Local\Temp\OnboardLogs"\RTDC4034\2017-10-25 &amp; 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</v>
      </c>
      <c r="AF251" s="7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/stypes="app*4034*20171025*" /stext=" 23:.+((SYSTEM_STATE.+slice.+state.+changed )|(ment ac)|(multiple cpu faults)|(system.+state.+changed )|(\[timeout)|(PRM\|1\|D)|(kpr)|(kdp)|(train st.+moving)|(\|lc)|(penalty))"</v>
      </c>
      <c r="AG251" s="182" t="str">
        <f>DetSubdiv(A251)</f>
        <v>Shuttle/Test</v>
      </c>
      <c r="AH251" s="78" t="str">
        <f t="shared" si="32"/>
        <v>"%USERPROFILE%\Documents\GitHub\eaglep3\Utilities\RefineRTDCRunTimes.py" --tripid 80-25 --locoid 4034 --swversion DE.1.0.9.0 --startMP 204:1169 --initTime 2017-10-25T17:25:03 --startdatetime 2017-10-25T17:37:44 --delay 82 --endMP 300:23304 --enddatetime 2017-10-25T17:49:06 --enforcementcount 0 &gt;&gt;%USERPROFILE%\Documents\GitHub\eaglep3-reporting\EC\2017-10-25-refined-times.txt</v>
      </c>
      <c r="AI251" s="96" t="str">
        <f t="shared" si="33"/>
        <v>echo {"issue":{"subject":"","project_id":79,"tracker_id":40,"status_id":1,"priority_id":2,"assigned_to_id":338,"start_date":"2017-10-25","description":"","custom_fields":[{"id":1,"name":"Subdivision","value":"Shuttle/Test"},{"id":4,"name":"Milepost","value":"2.3304"},{"id":17,"name":"Train ID","value":"80-25"},{"id":16,"name":"Locomotive ID","value":"4034"},{"id":130,"name":"Impact","value":""},{"id":150,"name":"Time of Event (Mountain Time)","value":"17:49:06"},{"id":151,"name":"Denver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1" s="47"/>
      <c r="AL251" s="47"/>
      <c r="AM251" s="142" t="str">
        <f t="shared" si="34"/>
        <v>start /low /b %USERPROFILE%\Documents\GitHub\eaglep3\Utilities\DownloadLogsFromS3.py --loco 4034 --day 2017-10-25</v>
      </c>
      <c r="AN251" s="151" t="str">
        <f t="shared" si="35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23:49:06"},{"id":29,"name":"Sharepoint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168" t="str">
        <f t="shared" si="36"/>
        <v>https://d0f6bd738d7f1b3e5a7ca70fe4ff75f0.us-east-1.aws.found.io/app/kibana#/discover/Steve-Slow-Train-Analysis-(2080s-and-2083s)?_g=(refreshInterval:(display:Off,pause:!f,section:0,value:0),time:(from:'2017-10-25T16:25:03-0600',mode:absolute,to:'2017-10-25T18:49:06-0600'))&amp;_a=(columns:!('Message%20ID',Summary),filters:!(),index:'emp_*',interval:auto,query:(query_string:(analyze_wildcard:!t,query:'%22rtdc.l.rtdc.4034%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4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4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4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4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4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4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</sheetData>
  <autoFilter ref="A12:AG417">
    <sortState ref="A13:AG417">
      <sortCondition ref="AG13:AG251"/>
      <sortCondition ref="AD13:AD251"/>
    </sortState>
  </autoFilter>
  <sortState ref="A13:AN322">
    <sortCondition ref="AG13:AG322"/>
    <sortCondition ref="AD13:AD322"/>
  </sortState>
  <mergeCells count="1">
    <mergeCell ref="A11:P11"/>
  </mergeCells>
  <conditionalFormatting sqref="W11:W12 W423:X1048576 W13:X251">
    <cfRule type="cellIs" dxfId="14" priority="457" operator="equal">
      <formula>"Y"</formula>
    </cfRule>
  </conditionalFormatting>
  <conditionalFormatting sqref="X423:X1048576 X13:X251">
    <cfRule type="cellIs" dxfId="13" priority="440" operator="greaterThan">
      <formula>1</formula>
    </cfRule>
  </conditionalFormatting>
  <conditionalFormatting sqref="X423:X1048576 X12:X251">
    <cfRule type="cellIs" dxfId="12" priority="437" operator="equal">
      <formula>0</formula>
    </cfRule>
  </conditionalFormatting>
  <conditionalFormatting sqref="A13:S251">
    <cfRule type="expression" dxfId="3" priority="431" stopIfTrue="1">
      <formula>$P13&gt;0</formula>
    </cfRule>
    <cfRule type="expression" dxfId="2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Values'!$C$2:$C$15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8" zoomScaleNormal="100" workbookViewId="0">
      <selection activeCell="O47" sqref="O47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COUNTIF($O$7:$O$240,"=Y")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COUNTA($O$7:$O$240)-O2</f>
        <v>42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- 2017-10-25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352</v>
      </c>
      <c r="X6" s="181" t="s">
        <v>345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43033.789965277778</v>
      </c>
      <c r="B7" s="30" t="s">
        <v>418</v>
      </c>
      <c r="C7" s="30" t="s">
        <v>660</v>
      </c>
      <c r="D7" s="30" t="s">
        <v>49</v>
      </c>
      <c r="E7" s="30" t="s">
        <v>185</v>
      </c>
      <c r="F7" s="42">
        <v>0</v>
      </c>
      <c r="G7" s="42">
        <v>199</v>
      </c>
      <c r="H7" s="42">
        <v>33375</v>
      </c>
      <c r="I7" s="42">
        <v>33189</v>
      </c>
      <c r="J7" s="30" t="s">
        <v>186</v>
      </c>
      <c r="K7" s="42">
        <v>33257</v>
      </c>
      <c r="L7" s="131" t="s">
        <v>51</v>
      </c>
      <c r="M7" s="132">
        <f>CONVERT((I7-K7)/10000,"mi","ft")*IF(L7="Increasing Mileposts (1)",-1,1)</f>
        <v>-35.904000000000003</v>
      </c>
      <c r="N7" s="133" t="str">
        <f>VLOOKUP(C7,'Trips&amp;Operators'!$C$1:$G$99911,5,FALSE)</f>
        <v>BERLING GARY</v>
      </c>
      <c r="O7" s="176" t="s">
        <v>178</v>
      </c>
      <c r="P7" s="134" t="s">
        <v>356</v>
      </c>
      <c r="Q7" s="30"/>
      <c r="R7" s="81" t="str">
        <f>VLOOKUP(C7,'Train Runs'!$A$13:$AE$10076,31,0)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S7" s="84" t="str">
        <f>VLOOKUP(C7,'Train Runs'!$A$13:$AE$10076,22,0)</f>
        <v>https://d0f6bd738d7f1b3e5a7ca70fe4ff75f0.us-east-1.aws.found.io/app/kibana#/discover/Steve-Slow-Train-Analysis-(2080s-and-2083s)?_g=(refreshInterval:(display:Off,pause:!f,section:0,value:0),time:(from:'2017-10-25T17:20:56-0600',mode:absolute,to:'2017-10-25T20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/stypes="*4005*201710260*" /stext=" 00:.+((SYSTEM_STATE.+slice.+state.+changed )|(ment ac)|(multiple cpu faults)|(system.+state.+changed )|(\[timeout)|(PRM\|1\|D)|(kpr)|(kdp)|(train st.+moving)|(\|lc)|(penalty))"</v>
      </c>
      <c r="U7" s="9" t="str">
        <f>MID(B7,13,4)</f>
        <v>4005</v>
      </c>
      <c r="V7" s="31">
        <f>A7-utc_offset/24</f>
        <v>43034.039965277778</v>
      </c>
      <c r="W7" s="45" t="str">
        <f>DetSubdiv(C7)</f>
        <v>EC</v>
      </c>
      <c r="X7" s="22">
        <f>VALUE(LEFT(C7,LEN(C7)-3))</f>
        <v>212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Arrival","project_id":79,"tracker_id":40,"status_id":1,"priority_id":2,"assigned_to_id":338,"start_date":"2017-10-25","description":"","custom_fields":[{"id":1,"name":"Subdivision","value":"EC"},{"id":4,"name":"Milepost","value":"3.3257"},{"id":17,"name":"Train ID","value":"212-25"},{"id":16,"name":"Locomotive ID","value":"4005"},{"id":130,"name":"Impact","value":""},{"id":150,"name":"Time of Event (Mountain Time)","value":"18:57:33"},{"id":151,"name":"Denver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/c/Users/stu/AppData/Local/Temp/OnboardLogs/RTDC4005 --include="*4005*201710260*"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"%USERPROFILE%\AppData\Local\Temp\OnboardLogs"\RTDC4005\*4005*201710260* &gt;&gt; 2017-10-25-SliceDisagreementCheck.txt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4005 --day 2017-10-26</v>
      </c>
    </row>
    <row r="8" spans="1:32" s="1" customFormat="1" x14ac:dyDescent="0.3">
      <c r="A8" s="31">
        <v>43033.780069444445</v>
      </c>
      <c r="B8" s="30" t="s">
        <v>558</v>
      </c>
      <c r="C8" s="30" t="s">
        <v>658</v>
      </c>
      <c r="D8" s="30" t="s">
        <v>49</v>
      </c>
      <c r="E8" s="30" t="s">
        <v>185</v>
      </c>
      <c r="F8" s="42">
        <v>470</v>
      </c>
      <c r="G8" s="42">
        <v>532</v>
      </c>
      <c r="H8" s="42">
        <v>62007</v>
      </c>
      <c r="I8" s="42">
        <v>63859</v>
      </c>
      <c r="J8" s="30" t="s">
        <v>186</v>
      </c>
      <c r="K8" s="42">
        <v>63069</v>
      </c>
      <c r="L8" s="131" t="s">
        <v>50</v>
      </c>
      <c r="M8" s="132">
        <f>CONVERT((I8-K8)/10000,"mi","ft")*IF(L8="Increasing Mileposts (1)",-1,1)</f>
        <v>-417.12</v>
      </c>
      <c r="N8" s="133" t="str">
        <f>VLOOKUP(C8,'Trips&amp;Operators'!$C$1:$G$99911,5,FALSE)</f>
        <v>RESPASS AARON</v>
      </c>
      <c r="O8" s="176" t="s">
        <v>178</v>
      </c>
      <c r="P8" s="134" t="s">
        <v>356</v>
      </c>
      <c r="Q8" s="30"/>
      <c r="R8" s="81" t="str">
        <f>VLOOKUP(C8,'Train Runs'!$A$13:$AE$10076,31,0)</f>
        <v>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 &amp; aws s3 cp s3://rtdc.mdm.uploadarchive.raw/RTDC4036/ "%USERPROFILE%\AppData\Local\Temp\OnboardLogs"\RTDC4036\2017-10-26 --exclude "*" --recursive --include "*20171026*" &amp; "%USERPROFILE%\Documents\GitHub\mrs-test-scripts\Headless Mode &amp; Sideloading\WalkAndUnGZ.bat" "%USERPROFILE%\AppData\Local\Temp\OnboardLogs"\RTDC4036\2017-10-26</v>
      </c>
      <c r="S8" s="84" t="str">
        <f>VLOOKUP(C8,'Train Runs'!$A$13:$AE$10076,22,0)</f>
        <v>https://d0f6bd738d7f1b3e5a7ca70fe4ff75f0.us-east-1.aws.found.io/app/kibana#/discover/Steve-Slow-Train-Analysis-(2080s-and-2083s)?_g=(refreshInterval:(display:Off,pause:!f,section:0,value:0),time:(from:'2017-10-25T17:24:43-0600',mode:absolute,to:'2017-10-25T20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/stypes="*4036*201710260*" /stext=" 00:.+((SYSTEM_STATE.+slice.+state.+changed )|(ment ac)|(multiple cpu faults)|(system.+state.+changed )|(\[timeout)|(PRM\|1\|D)|(kpr)|(kdp)|(train st.+moving)|(\|lc)|(penalty))"</v>
      </c>
      <c r="U8" s="9" t="str">
        <f>MID(B8,13,4)</f>
        <v>4036</v>
      </c>
      <c r="V8" s="31">
        <f>A8-utc_offset/24</f>
        <v>43034.030069444445</v>
      </c>
      <c r="W8" s="45" t="str">
        <f>DetSubdiv(C8)</f>
        <v>EC</v>
      </c>
      <c r="X8" s="22">
        <f>VALUE(LEFT(C8,LEN(C8)-3))</f>
        <v>219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Arrival","project_id":79,"tracker_id":40,"status_id":1,"priority_id":2,"assigned_to_id":338,"start_date":"2017-10-25","description":"","custom_fields":[{"id":1,"name":"Subdivision","value":"EC"},{"id":4,"name":"Milepost","value":"6.3069"},{"id":17,"name":"Train ID","value":"219-25"},{"id":16,"name":"Locomotive ID","value":"4036"},{"id":130,"name":"Impact","value":""},{"id":150,"name":"Time of Event (Mountain Time)","value":"18:43:18"},{"id":151,"name":"Denver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/c/Users/stu/AppData/Local/Temp/OnboardLogs/RTDC4036 --include="*4036*201710260*"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"%USERPROFILE%\AppData\Local\Temp\OnboardLogs"\RTDC4036\*4036*201710260* &gt;&gt; 2017-10-25-SliceDisagreementCheck.txt</v>
      </c>
      <c r="AE8" s="145" t="str">
        <f t="shared" ref="AE8:AE52" si="1">"start /low /b "&amp;dls3logs&amp;" --loco "&amp;U8&amp;" --day "&amp;TEXT(V8,"YYYY-MM-DD")</f>
        <v>start /low /b %USERPROFILE%\Documents\GitHub\eaglep3\Utilities\DownloadLogsFromS3.py --loco 4036 --day 2017-10-26</v>
      </c>
    </row>
    <row r="9" spans="1:32" s="1" customFormat="1" x14ac:dyDescent="0.3">
      <c r="A9" s="31">
        <v>43033.26457175926</v>
      </c>
      <c r="B9" s="30" t="s">
        <v>622</v>
      </c>
      <c r="C9" s="30" t="s">
        <v>627</v>
      </c>
      <c r="D9" s="30" t="s">
        <v>49</v>
      </c>
      <c r="E9" s="30" t="s">
        <v>185</v>
      </c>
      <c r="F9" s="42">
        <v>140</v>
      </c>
      <c r="G9" s="42">
        <v>206</v>
      </c>
      <c r="H9" s="42">
        <v>63886</v>
      </c>
      <c r="I9" s="42">
        <v>63504</v>
      </c>
      <c r="J9" s="30" t="s">
        <v>186</v>
      </c>
      <c r="K9" s="42">
        <v>63309</v>
      </c>
      <c r="L9" s="131" t="s">
        <v>51</v>
      </c>
      <c r="M9" s="132">
        <f>CONVERT((I9-K9)/10000,"mi","ft")*IF(L9="Increasing Mileposts (1)",-1,1)</f>
        <v>102.96</v>
      </c>
      <c r="N9" s="133" t="str">
        <f>VLOOKUP(C9,'Trips&amp;Operators'!$C$1:$G$99911,5,FALSE)</f>
        <v>BONDS REYNALDO</v>
      </c>
      <c r="O9" s="176" t="s">
        <v>178</v>
      </c>
      <c r="P9" s="134" t="s">
        <v>356</v>
      </c>
      <c r="Q9" s="30"/>
      <c r="R9" s="81" t="str">
        <f>VLOOKUP(C9,'Train Runs'!$A$13:$AE$10076,31,0)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S9" s="84" t="str">
        <f>VLOOKUP(C9,'Train Runs'!$A$13:$AE$10076,22,0)</f>
        <v>https://d0f6bd738d7f1b3e5a7ca70fe4ff75f0.us-east-1.aws.found.io/app/kibana#/discover/Steve-Slow-Train-Analysis-(2080s-and-2083s)?_g=(refreshInterval:(display:Off,pause:!f,section:0,value:0),time:(from:'2017-10-25T04:52:13-0600',mode:absolute,to:'2017-10-25T07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/stypes="*4029*201710251*" /stext=" 12:.+((SYSTEM_STATE.+slice.+state.+changed )|(ment ac)|(multiple cpu faults)|(system.+state.+changed )|(\[timeout)|(PRM\|1\|D)|(kpr)|(kdp)|(train st.+moving)|(\|lc)|(penalty))"</v>
      </c>
      <c r="U9" s="9" t="str">
        <f>MID(B9,13,4)</f>
        <v>4029</v>
      </c>
      <c r="V9" s="31">
        <f>A9-utc_offset/24</f>
        <v>43033.51457175926</v>
      </c>
      <c r="W9" s="45" t="str">
        <f>DetSubdiv(C9)</f>
        <v>EC</v>
      </c>
      <c r="X9" s="22">
        <f>VALUE(LEFT(C9,LEN(C9)-3))</f>
        <v>112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Arrival","project_id":79,"tracker_id":40,"status_id":1,"priority_id":2,"assigned_to_id":338,"start_date":"2017-10-25","description":"","custom_fields":[{"id":1,"name":"Subdivision","value":"EC"},{"id":4,"name":"Milepost","value":"6.3309"},{"id":17,"name":"Train ID","value":"112-25"},{"id":16,"name":"Locomotive ID","value":"4029"},{"id":130,"name":"Impact","value":""},{"id":150,"name":"Time of Event (Mountain Time)","value":"06:20:59"},{"id":151,"name":"Denver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/c/Users/stu/AppData/Local/Temp/OnboardLogs/RTDC4029 --include="*4029*201710251*"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"%USERPROFILE%\AppData\Local\Temp\OnboardLogs"\RTDC4029\*4029*201710251* &gt;&gt; 2017-10-25-SliceDisagreementCheck.txt</v>
      </c>
      <c r="AE9" s="145" t="str">
        <f t="shared" si="1"/>
        <v>start /low /b %USERPROFILE%\Documents\GitHub\eaglep3\Utilities\DownloadLogsFromS3.py --loco 4029 --day 2017-10-25</v>
      </c>
    </row>
    <row r="10" spans="1:32" s="1" customFormat="1" x14ac:dyDescent="0.3">
      <c r="A10" s="31">
        <v>43033.51421296296</v>
      </c>
      <c r="B10" s="30" t="s">
        <v>419</v>
      </c>
      <c r="C10" s="30" t="s">
        <v>647</v>
      </c>
      <c r="D10" s="30" t="s">
        <v>95</v>
      </c>
      <c r="E10" s="30" t="s">
        <v>185</v>
      </c>
      <c r="F10" s="42">
        <v>170</v>
      </c>
      <c r="G10" s="42">
        <v>220</v>
      </c>
      <c r="H10" s="42">
        <v>63056</v>
      </c>
      <c r="I10" s="42">
        <v>62495</v>
      </c>
      <c r="J10" s="30" t="s">
        <v>186</v>
      </c>
      <c r="K10" s="42">
        <v>63309</v>
      </c>
      <c r="L10" s="131" t="s">
        <v>51</v>
      </c>
      <c r="M10" s="132">
        <f>CONVERT((I10-K10)/10000,"mi","ft")*IF(L10="Increasing Mileposts (1)",-1,1)</f>
        <v>-429.79199999999997</v>
      </c>
      <c r="N10" s="133" t="str">
        <f>VLOOKUP(C10,'Trips&amp;Operators'!$C$1:$G$99911,5,FALSE)</f>
        <v>FORTUNATO FRANK</v>
      </c>
      <c r="O10" s="176" t="s">
        <v>178</v>
      </c>
      <c r="P10" s="134" t="s">
        <v>356</v>
      </c>
      <c r="Q10" s="30"/>
      <c r="R10" s="81" t="str">
        <f>VLOOKUP(C10,'Train Runs'!$A$13:$AE$10076,31,0)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S10" s="84" t="str">
        <f>VLOOKUP(C10,'Train Runs'!$A$13:$AE$10076,22,0)</f>
        <v>https://d0f6bd738d7f1b3e5a7ca70fe4ff75f0.us-east-1.aws.found.io/app/kibana#/discover/Steve-Slow-Train-Analysis-(2080s-and-2083s)?_g=(refreshInterval:(display:Off,pause:!f,section:0,value:0),time:(from:'2017-10-25T10:38:33-0600',mode:absolute,to:'2017-10-25T13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/stypes="*4007*201710251*" /stext=" 18:.+((SYSTEM_STATE.+slice.+state.+changed )|(ment ac)|(multiple cpu faults)|(system.+state.+changed )|(\[timeout)|(PRM\|1\|D)|(kpr)|(kdp)|(train st.+moving)|(\|lc)|(penalty))"</v>
      </c>
      <c r="U10" s="9" t="str">
        <f>MID(B10,13,4)</f>
        <v>4007</v>
      </c>
      <c r="V10" s="31">
        <f>A10-utc_offset/24</f>
        <v>43033.76421296296</v>
      </c>
      <c r="W10" s="45" t="str">
        <f>DetSubdiv(C10)</f>
        <v>EC</v>
      </c>
      <c r="X10" s="22">
        <f>VALUE(LEFT(C10,LEN(C10)-3))</f>
        <v>160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Arrival","project_id":79,"tracker_id":40,"status_id":1,"priority_id":2,"assigned_to_id":338,"start_date":"2017-10-25","description":"","custom_fields":[{"id":1,"name":"Subdivision","value":"EC"},{"id":4,"name":"Milepost","value":"6.3309"},{"id":17,"name":"Train ID","value":"160-25"},{"id":16,"name":"Locomotive ID","value":"4007"},{"id":130,"name":"Impact","value":""},{"id":150,"name":"Time of Event (Mountain Time)","value":"12:20:28"},{"id":151,"name":"Denver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/c/Users/stu/AppData/Local/Temp/OnboardLogs/RTDC4007 --include="*4007*201710251*"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"%USERPROFILE%\AppData\Local\Temp\OnboardLogs"\RTDC4007\*4007*201710251* &gt;&gt; 2017-10-25-SliceDisagreementCheck.txt</v>
      </c>
      <c r="AE10" s="145" t="str">
        <f t="shared" si="1"/>
        <v>start /low /b %USERPROFILE%\Documents\GitHub\eaglep3\Utilities\DownloadLogsFromS3.py --loco 4007 --day 2017-10-25</v>
      </c>
    </row>
    <row r="11" spans="1:32" s="1" customFormat="1" x14ac:dyDescent="0.3">
      <c r="A11" s="31">
        <v>43033.951944444445</v>
      </c>
      <c r="B11" s="30" t="s">
        <v>525</v>
      </c>
      <c r="C11" s="30" t="s">
        <v>662</v>
      </c>
      <c r="D11" s="30" t="s">
        <v>49</v>
      </c>
      <c r="E11" s="30" t="s">
        <v>185</v>
      </c>
      <c r="F11" s="42">
        <v>170</v>
      </c>
      <c r="G11" s="42">
        <v>222</v>
      </c>
      <c r="H11" s="42">
        <v>63639</v>
      </c>
      <c r="I11" s="42">
        <v>63304</v>
      </c>
      <c r="J11" s="30" t="s">
        <v>186</v>
      </c>
      <c r="K11" s="42">
        <v>63309</v>
      </c>
      <c r="L11" s="131" t="s">
        <v>51</v>
      </c>
      <c r="M11" s="132">
        <f>CONVERT((I11-K11)/10000,"mi","ft")*IF(L11="Increasing Mileposts (1)",-1,1)</f>
        <v>-2.64</v>
      </c>
      <c r="N11" s="133" t="str">
        <f>VLOOKUP(C11,'Trips&amp;Operators'!$C$1:$G$99911,5,FALSE)</f>
        <v>DUNCAN SHEILA</v>
      </c>
      <c r="O11" s="176" t="s">
        <v>178</v>
      </c>
      <c r="P11" s="134" t="s">
        <v>356</v>
      </c>
      <c r="Q11" s="30"/>
      <c r="R11" s="81" t="str">
        <f>VLOOKUP(C11,'Train Runs'!$A$13:$AE$10076,31,0)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S11" s="84" t="str">
        <f>VLOOKUP(C11,'Train Runs'!$A$13:$AE$10076,22,0)</f>
        <v>https://d0f6bd738d7f1b3e5a7ca70fe4ff75f0.us-east-1.aws.found.io/app/kibana#/discover/Steve-Slow-Train-Analysis-(2080s-and-2083s)?_g=(refreshInterval:(display:Off,pause:!f,section:0,value:0),time:(from:'2017-10-25T21:10:40-0600',mode:absolute,to:'2017-10-26T00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/stypes="*4049*201710260*" /stext=" 04:.+((SYSTEM_STATE.+slice.+state.+changed )|(ment ac)|(multiple cpu faults)|(system.+state.+changed )|(\[timeout)|(PRM\|1\|D)|(kpr)|(kdp)|(train st.+moving)|(\|lc)|(penalty))"</v>
      </c>
      <c r="U11" s="9" t="str">
        <f>MID(B11,13,4)</f>
        <v>4049</v>
      </c>
      <c r="V11" s="31">
        <f>A11-utc_offset/24</f>
        <v>43034.201944444445</v>
      </c>
      <c r="W11" s="45" t="str">
        <f>DetSubdiv(C11)</f>
        <v>EC</v>
      </c>
      <c r="X11" s="22">
        <f>VALUE(LEFT(C11,LEN(C11)-3))</f>
        <v>232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Arrival","project_id":79,"tracker_id":40,"status_id":1,"priority_id":2,"assigned_to_id":338,"start_date":"2017-10-25","description":"","custom_fields":[{"id":1,"name":"Subdivision","value":"EC"},{"id":4,"name":"Milepost","value":"6.3309"},{"id":17,"name":"Train ID","value":"232-25"},{"id":16,"name":"Locomotive ID","value":"4049"},{"id":130,"name":"Impact","value":""},{"id":150,"name":"Time of Event (Mountain Time)","value":"22:50:48"},{"id":151,"name":"Denver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/c/Users/stu/AppData/Local/Temp/OnboardLogs/RTDC4049 --include="*4049*201710260*"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"%USERPROFILE%\AppData\Local\Temp\OnboardLogs"\RTDC4049\*4049*201710260* &gt;&gt; 2017-10-25-SliceDisagreementCheck.txt</v>
      </c>
      <c r="AE11" s="145" t="str">
        <f t="shared" si="1"/>
        <v>start /low /b %USERPROFILE%\Documents\GitHub\eaglep3\Utilities\DownloadLogsFromS3.py --loco 4049 --day 2017-10-26</v>
      </c>
    </row>
    <row r="12" spans="1:32" x14ac:dyDescent="0.3">
      <c r="A12" s="31">
        <v>43033.359131944446</v>
      </c>
      <c r="B12" s="30" t="s">
        <v>532</v>
      </c>
      <c r="C12" s="30" t="s">
        <v>635</v>
      </c>
      <c r="D12" s="30" t="s">
        <v>49</v>
      </c>
      <c r="E12" s="30" t="s">
        <v>185</v>
      </c>
      <c r="F12" s="42">
        <v>620</v>
      </c>
      <c r="G12" s="42">
        <v>768</v>
      </c>
      <c r="H12" s="42">
        <v>107247</v>
      </c>
      <c r="I12" s="42">
        <v>110440</v>
      </c>
      <c r="J12" s="30" t="s">
        <v>186</v>
      </c>
      <c r="K12" s="42">
        <v>108954</v>
      </c>
      <c r="L12" s="131" t="s">
        <v>50</v>
      </c>
      <c r="M12" s="132">
        <f>CONVERT((I12-K12)/10000,"mi","ft")*IF(L12="Increasing Mileposts (1)",-1,1)</f>
        <v>-784.60799999999995</v>
      </c>
      <c r="N12" s="133" t="str">
        <f>VLOOKUP(C12,'Trips&amp;Operators'!$C$1:$G$99911,5,FALSE)</f>
        <v>STRICKLAND EVAN</v>
      </c>
      <c r="O12" s="176" t="s">
        <v>178</v>
      </c>
      <c r="P12" s="134" t="s">
        <v>356</v>
      </c>
      <c r="Q12" s="30"/>
      <c r="R12" s="81" t="str">
        <f>VLOOKUP(C12,'Train Runs'!$A$13:$AE$10076,31,0)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S12" s="84" t="str">
        <f>VLOOKUP(C12,'Train Runs'!$A$13:$AE$10076,22,0)</f>
        <v>https://d0f6bd738d7f1b3e5a7ca70fe4ff75f0.us-east-1.aws.found.io/app/kibana#/discover/Steve-Slow-Train-Analysis-(2080s-and-2083s)?_g=(refreshInterval:(display:Off,pause:!f,section:0,value:0),time:(from:'2017-10-25T07:12:18-0600',mode:absolute,to:'2017-10-25T09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/stypes="*4046*201710251*" /stext=" 14:.+((SYSTEM_STATE.+slice.+state.+changed )|(ment ac)|(multiple cpu faults)|(system.+state.+changed )|(\[timeout)|(PRM\|1\|D)|(kpr)|(kdp)|(train st.+moving)|(\|lc)|(penalty))"</v>
      </c>
      <c r="U12" s="9" t="str">
        <f>MID(B12,13,4)</f>
        <v>4046</v>
      </c>
      <c r="V12" s="31">
        <f>A12-utc_offset/24</f>
        <v>43033.609131944446</v>
      </c>
      <c r="W12" s="45" t="str">
        <f>DetSubdiv(C12)</f>
        <v>EC</v>
      </c>
      <c r="X12" s="22">
        <f>VALUE(LEFT(C12,LEN(C12)-3))</f>
        <v>137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Arrival","project_id":79,"tracker_id":40,"status_id":1,"priority_id":2,"assigned_to_id":338,"start_date":"2017-10-25","description":"","custom_fields":[{"id":1,"name":"Subdivision","value":"EC"},{"id":4,"name":"Milepost","value":"10.8954"},{"id":17,"name":"Train ID","value":"137-25"},{"id":16,"name":"Locomotive ID","value":"4046"},{"id":130,"name":"Impact","value":""},{"id":150,"name":"Time of Event (Mountain Time)","value":"08:37:09"},{"id":151,"name":"Denver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/c/Users/stu/AppData/Local/Temp/OnboardLogs/RTDC4046 --include="*4046*201710251*"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"%USERPROFILE%\AppData\Local\Temp\OnboardLogs"\RTDC4046\*4046*201710251* &gt;&gt; 2017-10-25-SliceDisagreementCheck.txt</v>
      </c>
      <c r="AE12" s="145" t="str">
        <f t="shared" si="1"/>
        <v>start /low /b %USERPROFILE%\Documents\GitHub\eaglep3\Utilities\DownloadLogsFromS3.py --loco 4046 --day 2017-10-25</v>
      </c>
      <c r="AF12" s="1"/>
    </row>
    <row r="13" spans="1:32" x14ac:dyDescent="0.3">
      <c r="A13" s="31">
        <v>43033.595219907409</v>
      </c>
      <c r="B13" s="30" t="s">
        <v>419</v>
      </c>
      <c r="C13" s="30" t="s">
        <v>649</v>
      </c>
      <c r="D13" s="30" t="s">
        <v>49</v>
      </c>
      <c r="E13" s="30" t="s">
        <v>192</v>
      </c>
      <c r="F13" s="42">
        <v>200</v>
      </c>
      <c r="G13" s="42">
        <v>321</v>
      </c>
      <c r="H13" s="42">
        <v>6875</v>
      </c>
      <c r="I13" s="42">
        <v>6128</v>
      </c>
      <c r="J13" s="30" t="s">
        <v>193</v>
      </c>
      <c r="K13" s="42">
        <v>5457</v>
      </c>
      <c r="L13" s="131" t="s">
        <v>51</v>
      </c>
      <c r="M13" s="132">
        <f>CONVERT((I13-K13)/10000,"mi","ft")*IF(L13="Increasing Mileposts (1)",-1,1)</f>
        <v>354.28800000000007</v>
      </c>
      <c r="N13" s="133" t="str">
        <f>VLOOKUP(C13,'Trips&amp;Operators'!$C$1:$G$99911,5,FALSE)</f>
        <v>HOLCOMB KAMDEN</v>
      </c>
      <c r="O13" s="176" t="s">
        <v>178</v>
      </c>
      <c r="P13" s="134"/>
      <c r="Q13" s="30"/>
      <c r="R13" s="81" t="str">
        <f>VLOOKUP(C13,'Train Runs'!$A$13:$AE$10076,31,0)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S13" s="84" t="str">
        <f>VLOOKUP(C13,'Train Runs'!$A$13:$AE$10076,22,0)</f>
        <v>https://d0f6bd738d7f1b3e5a7ca70fe4ff75f0.us-east-1.aws.found.io/app/kibana#/discover/Steve-Slow-Train-Analysis-(2080s-and-2083s)?_g=(refreshInterval:(display:Off,pause:!f,section:0,value:0),time:(from:'2017-10-25T11:38:40-0600',mode:absolute,to:'2017-10-25T15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/stypes="*4007*201710252*" /stext=" 20:.+((SYSTEM_STATE.+slice.+state.+changed )|(ment ac)|(multiple cpu faults)|(system.+state.+changed )|(\[timeout)|(PRM\|1\|D)|(kpr)|(kdp)|(train st.+moving)|(\|lc)|(penalty))"</v>
      </c>
      <c r="U13" s="9" t="str">
        <f>MID(B13,13,4)</f>
        <v>4007</v>
      </c>
      <c r="V13" s="31">
        <f>A13-utc_offset/24</f>
        <v>43033.845219907409</v>
      </c>
      <c r="W13" s="45" t="str">
        <f>DetSubdiv(C13)</f>
        <v>EC</v>
      </c>
      <c r="X13" s="22">
        <f>VALUE(LEFT(C13,LEN(C13)-3))</f>
        <v>174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{"issue":{"subject":"","project_id":79,"tracker_id":40,"status_id":1,"priority_id":2,"assigned_to_id":338,"start_date":"2017-10-25","description":"","custom_fields":[{"id":1,"name":"Subdivision","value":"EC"},{"id":4,"name":"Milepost","value":"0.5457"},{"id":17,"name":"Train ID","value":"174-25"},{"id":16,"name":"Locomotive ID","value":"4007"},{"id":130,"name":"Impact","value":""},{"id":150,"name":"Time of Event (Mountain Time)","value":"14:17:07"},{"id":151,"name":"Denver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/c/Users/stu/AppData/Local/Temp/OnboardLogs/RTDC4007 --include="*4007*201710252*"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"%USERPROFILE%\AppData\Local\Temp\OnboardLogs"\RTDC4007\*4007*201710252* &gt;&gt; 2017-10-25-SliceDisagreementCheck.txt</v>
      </c>
      <c r="AE13" s="145" t="str">
        <f t="shared" si="1"/>
        <v>start /low /b %USERPROFILE%\Documents\GitHub\eaglep3\Utilities\DownloadLogsFromS3.py --loco 4007 --day 2017-10-25</v>
      </c>
      <c r="AF13" s="1"/>
    </row>
    <row r="14" spans="1:32" x14ac:dyDescent="0.3">
      <c r="A14" s="31">
        <v>43033.388113425928</v>
      </c>
      <c r="B14" s="30" t="s">
        <v>402</v>
      </c>
      <c r="C14" s="30" t="s">
        <v>640</v>
      </c>
      <c r="D14" s="30" t="s">
        <v>49</v>
      </c>
      <c r="E14" s="30" t="s">
        <v>192</v>
      </c>
      <c r="F14" s="42">
        <v>400</v>
      </c>
      <c r="G14" s="42">
        <v>582</v>
      </c>
      <c r="H14" s="42">
        <v>14551</v>
      </c>
      <c r="I14" s="42">
        <v>17813</v>
      </c>
      <c r="J14" s="30" t="s">
        <v>193</v>
      </c>
      <c r="K14" s="42">
        <v>17867</v>
      </c>
      <c r="L14" s="131" t="s">
        <v>50</v>
      </c>
      <c r="M14" s="132">
        <f>CONVERT((I14-K14)/10000,"mi","ft")*IF(L14="Increasing Mileposts (1)",-1,1)</f>
        <v>28.512</v>
      </c>
      <c r="N14" s="133" t="str">
        <f>VLOOKUP(C14,'Trips&amp;Operators'!$C$1:$G$99911,5,FALSE)</f>
        <v>FORTUNATO FRANK</v>
      </c>
      <c r="O14" s="176" t="s">
        <v>178</v>
      </c>
      <c r="P14" s="134"/>
      <c r="Q14" s="30"/>
      <c r="R14" s="81" t="str">
        <f>VLOOKUP(C14,'Train Runs'!$A$13:$AE$10076,31,0)</f>
        <v>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 &amp; aws s3 cp s3://rtdc.mdm.uploadarchive.raw/RTDC4008/ "%USERPROFILE%\AppData\Local\Temp\OnboardLogs"\RTDC4008\2017-10-26 --exclude "*" --recursive --include "*20171026*" &amp; "%USERPROFILE%\Documents\GitHub\mrs-test-scripts\Headless Mode &amp; Sideloading\WalkAndUnGZ.bat" "%USERPROFILE%\AppData\Local\Temp\OnboardLogs"\RTDC4008\2017-10-26</v>
      </c>
      <c r="S14" s="84" t="str">
        <f>VLOOKUP(C14,'Train Runs'!$A$13:$AE$10076,22,0)</f>
        <v>https://d0f6bd738d7f1b3e5a7ca70fe4ff75f0.us-east-1.aws.found.io/app/kibana#/discover/Steve-Slow-Train-Analysis-(2080s-and-2083s)?_g=(refreshInterval:(display:Off,pause:!f,section:0,value:0),time:(from:'2017-10-25T08:12:13-0600',mode:absolute,to:'2017-10-25T10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/stypes="*4008*201710251*" /stext=" 15:.+((SYSTEM_STATE.+slice.+state.+changed )|(ment ac)|(multiple cpu faults)|(system.+state.+changed )|(\[timeout)|(PRM\|1\|D)|(kpr)|(kdp)|(train st.+moving)|(\|lc)|(penalty))"</v>
      </c>
      <c r="U14" s="9" t="str">
        <f>MID(B14,13,4)</f>
        <v>4008</v>
      </c>
      <c r="V14" s="31">
        <f>A14-utc_offset/24</f>
        <v>43033.638113425928</v>
      </c>
      <c r="W14" s="45" t="str">
        <f>DetSubdiv(C14)</f>
        <v>EC</v>
      </c>
      <c r="X14" s="22">
        <f>VALUE(LEFT(C14,LEN(C14)-3))</f>
        <v>145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{"issue":{"subject":"","project_id":79,"tracker_id":40,"status_id":1,"priority_id":2,"assigned_to_id":338,"start_date":"2017-10-25","description":"","custom_fields":[{"id":1,"name":"Subdivision","value":"EC"},{"id":4,"name":"Milepost","value":"1.7867"},{"id":17,"name":"Train ID","value":"145-25"},{"id":16,"name":"Locomotive ID","value":"4008"},{"id":130,"name":"Impact","value":""},{"id":150,"name":"Time of Event (Mountain Time)","value":"09:18:53"},{"id":151,"name":"Denver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/c/Users/stu/AppData/Local/Temp/OnboardLogs/RTDC4008 --include="*4008*201710251*"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"%USERPROFILE%\AppData\Local\Temp\OnboardLogs"\RTDC4008\*4008*201710251* &gt;&gt; 2017-10-25-SliceDisagreementCheck.txt</v>
      </c>
      <c r="AE14" s="145" t="str">
        <f t="shared" si="1"/>
        <v>start /low /b %USERPROFILE%\Documents\GitHub\eaglep3\Utilities\DownloadLogsFromS3.py --loco 4008 --day 2017-10-25</v>
      </c>
      <c r="AF14" s="1"/>
    </row>
    <row r="15" spans="1:32" x14ac:dyDescent="0.3">
      <c r="A15" s="31">
        <v>43033.373148148145</v>
      </c>
      <c r="B15" s="30" t="s">
        <v>419</v>
      </c>
      <c r="C15" s="30" t="s">
        <v>636</v>
      </c>
      <c r="D15" s="30" t="s">
        <v>49</v>
      </c>
      <c r="E15" s="30" t="s">
        <v>192</v>
      </c>
      <c r="F15" s="42">
        <v>200</v>
      </c>
      <c r="G15" s="42">
        <v>271</v>
      </c>
      <c r="H15" s="42">
        <v>31384</v>
      </c>
      <c r="I15" s="42">
        <v>30808</v>
      </c>
      <c r="J15" s="30" t="s">
        <v>193</v>
      </c>
      <c r="K15" s="42">
        <v>30562</v>
      </c>
      <c r="L15" s="131" t="s">
        <v>51</v>
      </c>
      <c r="M15" s="132">
        <f>CONVERT((I15-K15)/10000,"mi","ft")*IF(L15="Increasing Mileposts (1)",-1,1)</f>
        <v>129.88800000000001</v>
      </c>
      <c r="N15" s="133" t="str">
        <f>VLOOKUP(C15,'Trips&amp;Operators'!$C$1:$G$99911,5,FALSE)</f>
        <v>FORTUNATO FRANK</v>
      </c>
      <c r="O15" s="176" t="s">
        <v>178</v>
      </c>
      <c r="P15" s="134"/>
      <c r="Q15" s="30"/>
      <c r="R15" s="81" t="str">
        <f>VLOOKUP(C15,'Train Runs'!$A$13:$AE$10076,31,0)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S15" s="84" t="str">
        <f>VLOOKUP(C15,'Train Runs'!$A$13:$AE$10076,22,0)</f>
        <v>https://d0f6bd738d7f1b3e5a7ca70fe4ff75f0.us-east-1.aws.found.io/app/kibana#/discover/Steve-Slow-Train-Analysis-(2080s-and-2083s)?_g=(refreshInterval:(display:Off,pause:!f,section:0,value:0),time:(from:'2017-10-25T07:09:04-0600',mode:absolute,to:'2017-10-25T10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/stypes="*4007*201710251*" /stext=" 14:.+((SYSTEM_STATE.+slice.+state.+changed )|(ment ac)|(multiple cpu faults)|(system.+state.+changed )|(\[timeout)|(PRM\|1\|D)|(kpr)|(kdp)|(train st.+moving)|(\|lc)|(penalty))"</v>
      </c>
      <c r="U15" s="9" t="str">
        <f>MID(B15,13,4)</f>
        <v>4007</v>
      </c>
      <c r="V15" s="31">
        <f>A15-utc_offset/24</f>
        <v>43033.623148148145</v>
      </c>
      <c r="W15" s="45" t="str">
        <f>DetSubdiv(C15)</f>
        <v>EC</v>
      </c>
      <c r="X15" s="22">
        <f>VALUE(LEFT(C15,LEN(C15)-3))</f>
        <v>132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{"issue":{"subject":"","project_id":79,"tracker_id":40,"status_id":1,"priority_id":2,"assigned_to_id":338,"start_date":"2017-10-25","description":"","custom_fields":[{"id":1,"name":"Subdivision","value":"EC"},{"id":4,"name":"Milepost","value":"3.0562"},{"id":17,"name":"Train ID","value":"132-25"},{"id":16,"name":"Locomotive ID","value":"4007"},{"id":130,"name":"Impact","value":""},{"id":150,"name":"Time of Event (Mountain Time)","value":"08:57:20"},{"id":151,"name":"Denver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/c/Users/stu/AppData/Local/Temp/OnboardLogs/RTDC4007 --include="*4007*201710251*"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"%USERPROFILE%\AppData\Local\Temp\OnboardLogs"\RTDC4007\*4007*201710251* &gt;&gt; 2017-10-25-SliceDisagreementCheck.txt</v>
      </c>
      <c r="AE15" s="145" t="str">
        <f t="shared" si="1"/>
        <v>start /low /b %USERPROFILE%\Documents\GitHub\eaglep3\Utilities\DownloadLogsFromS3.py --loco 4007 --day 2017-10-25</v>
      </c>
      <c r="AF15" s="1"/>
    </row>
    <row r="16" spans="1:32" x14ac:dyDescent="0.3">
      <c r="A16" s="31">
        <v>43033.316620370373</v>
      </c>
      <c r="B16" s="30" t="s">
        <v>632</v>
      </c>
      <c r="C16" s="30" t="s">
        <v>633</v>
      </c>
      <c r="D16" s="30" t="s">
        <v>95</v>
      </c>
      <c r="E16" s="30" t="s">
        <v>192</v>
      </c>
      <c r="F16" s="42">
        <v>700</v>
      </c>
      <c r="G16" s="42">
        <v>750</v>
      </c>
      <c r="H16" s="42">
        <v>179824</v>
      </c>
      <c r="I16" s="42">
        <v>176546</v>
      </c>
      <c r="J16" s="30" t="s">
        <v>193</v>
      </c>
      <c r="K16" s="42">
        <v>183829</v>
      </c>
      <c r="L16" s="131" t="s">
        <v>51</v>
      </c>
      <c r="M16" s="132">
        <f>CONVERT((I16-K16)/10000,"mi","ft")*IF(L16="Increasing Mileposts (1)",-1,1)</f>
        <v>-3845.424</v>
      </c>
      <c r="N16" s="133" t="str">
        <f>VLOOKUP(C16,'Trips&amp;Operators'!$C$1:$G$99911,5,FALSE)</f>
        <v>DAVIS WENDY</v>
      </c>
      <c r="O16" s="176" t="s">
        <v>178</v>
      </c>
      <c r="P16" s="134"/>
      <c r="Q16" s="30"/>
      <c r="R16" s="81" t="str">
        <f>VLOOKUP(C16,'Train Runs'!$A$13:$AE$10076,31,0)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S16" s="84" t="str">
        <f>VLOOKUP(C16,'Train Runs'!$A$13:$AE$10076,22,0)</f>
        <v>https://d0f6bd738d7f1b3e5a7ca70fe4ff75f0.us-east-1.aws.found.io/app/kibana#/discover/Steve-Slow-Train-Analysis-(2080s-and-2083s)?_g=(refreshInterval:(display:Off,pause:!f,section:0,value:0),time:(from:'2017-10-25T06:14:41-0600',mode:absolute,to:'2017-10-25T09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/stypes="*4045*201710251*" /stext=" 13:.+((SYSTEM_STATE.+slice.+state.+changed )|(ment ac)|(multiple cpu faults)|(system.+state.+changed )|(\[timeout)|(PRM\|1\|D)|(kpr)|(kdp)|(train st.+moving)|(\|lc)|(penalty))"</v>
      </c>
      <c r="U16" s="9" t="str">
        <f>MID(B16,13,4)</f>
        <v>4045</v>
      </c>
      <c r="V16" s="31">
        <f>A16-utc_offset/24</f>
        <v>43033.566620370373</v>
      </c>
      <c r="W16" s="45" t="str">
        <f>DetSubdiv(C16)</f>
        <v>EC</v>
      </c>
      <c r="X16" s="22">
        <f>VALUE(LEFT(C16,LEN(C16)-3))</f>
        <v>124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{"issue":{"subject":"","project_id":79,"tracker_id":40,"status_id":1,"priority_id":2,"assigned_to_id":338,"start_date":"2017-10-25","description":"","custom_fields":[{"id":1,"name":"Subdivision","value":"EC"},{"id":4,"name":"Milepost","value":"18.3829"},{"id":17,"name":"Train ID","value":"124-25"},{"id":16,"name":"Locomotive ID","value":"4045"},{"id":130,"name":"Impact","value":""},{"id":150,"name":"Time of Event (Mountain Time)","value":"07:35:56"},{"id":151,"name":"Denver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/c/Users/stu/AppData/Local/Temp/OnboardLogs/RTDC4045 --include="*4045*201710251*"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"%USERPROFILE%\AppData\Local\Temp\OnboardLogs"\RTDC4045\*4045*201710251* &gt;&gt; 2017-10-25-SliceDisagreementCheck.txt</v>
      </c>
      <c r="AE16" s="145" t="str">
        <f t="shared" si="1"/>
        <v>start /low /b %USERPROFILE%\Documents\GitHub\eaglep3\Utilities\DownloadLogsFromS3.py --loco 4045 --day 2017-10-25</v>
      </c>
      <c r="AF16" s="1"/>
    </row>
    <row r="17" spans="1:32" x14ac:dyDescent="0.3">
      <c r="A17" s="31">
        <v>43033.784108796295</v>
      </c>
      <c r="B17" s="30" t="s">
        <v>525</v>
      </c>
      <c r="C17" s="30" t="s">
        <v>659</v>
      </c>
      <c r="D17" s="30" t="s">
        <v>95</v>
      </c>
      <c r="E17" s="30" t="s">
        <v>192</v>
      </c>
      <c r="F17" s="42">
        <v>700</v>
      </c>
      <c r="G17" s="42">
        <v>750</v>
      </c>
      <c r="H17" s="42">
        <v>179295</v>
      </c>
      <c r="I17" s="42">
        <v>175751</v>
      </c>
      <c r="J17" s="30" t="s">
        <v>193</v>
      </c>
      <c r="K17" s="42">
        <v>183829</v>
      </c>
      <c r="L17" s="131" t="s">
        <v>51</v>
      </c>
      <c r="M17" s="132">
        <f>CONVERT((I17-K17)/10000,"mi","ft")*IF(L17="Increasing Mileposts (1)",-1,1)</f>
        <v>-4265.1840000000002</v>
      </c>
      <c r="N17" s="133" t="str">
        <f>VLOOKUP(C17,'Trips&amp;Operators'!$C$1:$G$99911,5,FALSE)</f>
        <v>CUSHING HARRY</v>
      </c>
      <c r="O17" s="176" t="s">
        <v>178</v>
      </c>
      <c r="P17" s="134"/>
      <c r="Q17" s="30"/>
      <c r="R17" s="81" t="str">
        <f>VLOOKUP(C17,'Train Runs'!$A$13:$AE$10076,31,0)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S17" s="84" t="str">
        <f>VLOOKUP(C17,'Train Runs'!$A$13:$AE$10076,22,0)</f>
        <v>https://d0f6bd738d7f1b3e5a7ca70fe4ff75f0.us-east-1.aws.found.io/app/kibana#/discover/Steve-Slow-Train-Analysis-(2080s-and-2083s)?_g=(refreshInterval:(display:Off,pause:!f,section:0,value:0),time:(from:'2017-10-25T17:34:40-0600',mode:absolute,to:'2017-10-25T20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/stypes="*4049*201710260*" /stext=" 00:.+((SYSTEM_STATE.+slice.+state.+changed )|(ment ac)|(multiple cpu faults)|(system.+state.+changed )|(\[timeout)|(PRM\|1\|D)|(kpr)|(kdp)|(train st.+moving)|(\|lc)|(penalty))"</v>
      </c>
      <c r="U17" s="9" t="str">
        <f>MID(B17,13,4)</f>
        <v>4049</v>
      </c>
      <c r="V17" s="31">
        <f>A17-utc_offset/24</f>
        <v>43034.034108796295</v>
      </c>
      <c r="W17" s="45" t="str">
        <f>DetSubdiv(C17)</f>
        <v>EC</v>
      </c>
      <c r="X17" s="22">
        <f>VALUE(LEFT(C17,LEN(C17)-3))</f>
        <v>214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{"issue":{"subject":"","project_id":79,"tracker_id":40,"status_id":1,"priority_id":2,"assigned_to_id":338,"start_date":"2017-10-25","description":"","custom_fields":[{"id":1,"name":"Subdivision","value":"EC"},{"id":4,"name":"Milepost","value":"18.3829"},{"id":17,"name":"Train ID","value":"214-25"},{"id":16,"name":"Locomotive ID","value":"4049"},{"id":130,"name":"Impact","value":""},{"id":150,"name":"Time of Event (Mountain Time)","value":"18:49:07"},{"id":151,"name":"Denver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/c/Users/stu/AppData/Local/Temp/OnboardLogs/RTDC4049 --include="*4049*201710260*"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"%USERPROFILE%\AppData\Local\Temp\OnboardLogs"\RTDC4049\*4049*201710260* &gt;&gt; 2017-10-25-SliceDisagreementCheck.txt</v>
      </c>
      <c r="AE17" s="145" t="str">
        <f t="shared" si="1"/>
        <v>start /low /b %USERPROFILE%\Documents\GitHub\eaglep3\Utilities\DownloadLogsFromS3.py --loco 4049 --day 2017-10-26</v>
      </c>
      <c r="AF17" s="1"/>
    </row>
    <row r="18" spans="1:32" x14ac:dyDescent="0.3">
      <c r="A18" s="31">
        <v>43033.853020833332</v>
      </c>
      <c r="B18" s="30" t="s">
        <v>525</v>
      </c>
      <c r="C18" s="30" t="s">
        <v>661</v>
      </c>
      <c r="D18" s="30" t="s">
        <v>95</v>
      </c>
      <c r="E18" s="30" t="s">
        <v>192</v>
      </c>
      <c r="F18" s="42">
        <v>350</v>
      </c>
      <c r="G18" s="42">
        <v>401</v>
      </c>
      <c r="H18" s="42">
        <v>229822</v>
      </c>
      <c r="I18" s="42">
        <v>228876</v>
      </c>
      <c r="J18" s="30" t="s">
        <v>193</v>
      </c>
      <c r="K18" s="42">
        <v>232107</v>
      </c>
      <c r="L18" s="131" t="s">
        <v>51</v>
      </c>
      <c r="M18" s="132">
        <f>CONVERT((I18-K18)/10000,"mi","ft")*IF(L18="Increasing Mileposts (1)",-1,1)</f>
        <v>-1705.9680000000001</v>
      </c>
      <c r="N18" s="133" t="str">
        <f>VLOOKUP(C18,'Trips&amp;Operators'!$C$1:$G$99911,5,FALSE)</f>
        <v>DUNCAN SHEILA</v>
      </c>
      <c r="O18" s="176" t="s">
        <v>178</v>
      </c>
      <c r="P18" s="134"/>
      <c r="Q18" s="30"/>
      <c r="R18" s="81" t="str">
        <f>VLOOKUP(C18,'Train Runs'!$A$13:$AE$10076,31,0)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S18" s="84" t="str">
        <f>VLOOKUP(C18,'Train Runs'!$A$13:$AE$10076,22,0)</f>
        <v>https://d0f6bd738d7f1b3e5a7ca70fe4ff75f0.us-east-1.aws.found.io/app/kibana#/discover/Steve-Slow-Train-Analysis-(2080s-and-2083s)?_g=(refreshInterval:(display:Off,pause:!f,section:0,value:0),time:(from:'2017-10-25T19:21:17-0600',mode:absolute,to:'2017-10-25T22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/stypes="*4049*201710260*" /stext=" 02:.+((SYSTEM_STATE.+slice.+state.+changed )|(ment ac)|(multiple cpu faults)|(system.+state.+changed )|(\[timeout)|(PRM\|1\|D)|(kpr)|(kdp)|(train st.+moving)|(\|lc)|(penalty))"</v>
      </c>
      <c r="U18" s="9" t="str">
        <f>MID(B18,13,4)</f>
        <v>4049</v>
      </c>
      <c r="V18" s="31">
        <f>A18-utc_offset/24</f>
        <v>43034.103020833332</v>
      </c>
      <c r="W18" s="45" t="str">
        <f>DetSubdiv(C18)</f>
        <v>EC</v>
      </c>
      <c r="X18" s="22">
        <f>VALUE(LEFT(C18,LEN(C18)-3))</f>
        <v>224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{"issue":{"subject":"","project_id":79,"tracker_id":40,"status_id":1,"priority_id":2,"assigned_to_id":338,"start_date":"2017-10-25","description":"","custom_fields":[{"id":1,"name":"Subdivision","value":"EC"},{"id":4,"name":"Milepost","value":"23.2107"},{"id":17,"name":"Train ID","value":"224-25"},{"id":16,"name":"Locomotive ID","value":"4049"},{"id":130,"name":"Impact","value":""},{"id":150,"name":"Time of Event (Mountain Time)","value":"20:28:21"},{"id":151,"name":"Denver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/c/Users/stu/AppData/Local/Temp/OnboardLogs/RTDC4049 --include="*4049*201710260*"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"%USERPROFILE%\AppData\Local\Temp\OnboardLogs"\RTDC4049\*4049*201710260* &gt;&gt; 2017-10-25-SliceDisagreementCheck.txt</v>
      </c>
      <c r="AE18" s="145" t="str">
        <f t="shared" si="1"/>
        <v>start /low /b %USERPROFILE%\Documents\GitHub\eaglep3\Utilities\DownloadLogsFromS3.py --loco 4049 --day 2017-10-26</v>
      </c>
      <c r="AF18" s="1"/>
    </row>
    <row r="19" spans="1:32" x14ac:dyDescent="0.3">
      <c r="A19" s="31">
        <v>43033.340578703705</v>
      </c>
      <c r="B19" s="30" t="s">
        <v>622</v>
      </c>
      <c r="C19" s="30" t="s">
        <v>634</v>
      </c>
      <c r="D19" s="30" t="s">
        <v>49</v>
      </c>
      <c r="E19" s="30" t="s">
        <v>395</v>
      </c>
      <c r="F19" s="42">
        <v>0</v>
      </c>
      <c r="G19" s="42">
        <v>489</v>
      </c>
      <c r="H19" s="42">
        <v>40357</v>
      </c>
      <c r="I19" s="42">
        <v>38642</v>
      </c>
      <c r="J19" s="30" t="s">
        <v>396</v>
      </c>
      <c r="K19" s="42">
        <v>38656</v>
      </c>
      <c r="L19" s="131" t="s">
        <v>51</v>
      </c>
      <c r="M19" s="132">
        <f>CONVERT((I19-K19)/10000,"mi","ft")*IF(L19="Increasing Mileposts (1)",-1,1)</f>
        <v>-7.3920000000000003</v>
      </c>
      <c r="N19" s="133" t="str">
        <f>VLOOKUP(C19,'Trips&amp;Operators'!$C$1:$G$99911,5,FALSE)</f>
        <v>BONDS REYNALDO</v>
      </c>
      <c r="O19" s="176" t="s">
        <v>371</v>
      </c>
      <c r="P19" s="134" t="s">
        <v>401</v>
      </c>
      <c r="Q19" s="30"/>
      <c r="R19" s="81" t="str">
        <f>VLOOKUP(C19,'Train Runs'!$A$13:$AE$10076,31,0)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S19" s="84" t="str">
        <f>VLOOKUP(C19,'Train Runs'!$A$13:$AE$10076,22,0)</f>
        <v>https://d0f6bd738d7f1b3e5a7ca70fe4ff75f0.us-east-1.aws.found.io/app/kibana#/discover/Steve-Slow-Train-Analysis-(2080s-and-2083s)?_g=(refreshInterval:(display:Off,pause:!f,section:0,value:0),time:(from:'2017-10-25T06:36:48-0600',mode:absolute,to:'2017-10-25T09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/stypes="*4029*201710251*" /stext=" 14:.+((SYSTEM_STATE.+slice.+state.+changed )|(ment ac)|(multiple cpu faults)|(system.+state.+changed )|(\[timeout)|(PRM\|1\|D)|(kpr)|(kdp)|(train st.+moving)|(\|lc)|(penalty))"</v>
      </c>
      <c r="U19" s="9" t="str">
        <f>MID(B19,13,4)</f>
        <v>4029</v>
      </c>
      <c r="V19" s="31">
        <f>A19-utc_offset/24</f>
        <v>43033.590578703705</v>
      </c>
      <c r="W19" s="45" t="str">
        <f>DetSubdiv(C19)</f>
        <v>EC</v>
      </c>
      <c r="X19" s="22">
        <f>VALUE(LEFT(C19,LEN(C19)-3))</f>
        <v>126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drop","project_id":79,"tracker_id":40,"status_id":1,"priority_id":2,"assigned_to_id":338,"start_date":"2017-10-25","description":"","custom_fields":[{"id":1,"name":"Subdivision","value":"EC"},{"id":4,"name":"Milepost","value":"3.8656"},{"id":17,"name":"Train ID","value":"126-25"},{"id":16,"name":"Locomotive ID","value":"4029"},{"id":130,"name":"Impact","value":""},{"id":150,"name":"Time of Event (Mountain Time)","value":"08:10:26"},{"id":151,"name":"Denver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/c/Users/stu/AppData/Local/Temp/OnboardLogs/RTDC4029 --include="*4029*201710251*"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"%USERPROFILE%\AppData\Local\Temp\OnboardLogs"\RTDC4029\*4029*201710251* &gt;&gt; 2017-10-25-SliceDisagreementCheck.txt</v>
      </c>
      <c r="AE19" s="145" t="str">
        <f t="shared" si="1"/>
        <v>start /low /b %USERPROFILE%\Documents\GitHub\eaglep3\Utilities\DownloadLogsFromS3.py --loco 4029 --day 2017-10-25</v>
      </c>
      <c r="AF19" s="1"/>
    </row>
    <row r="20" spans="1:32" x14ac:dyDescent="0.3">
      <c r="A20" s="31">
        <v>43033.201886574076</v>
      </c>
      <c r="B20" s="30" t="s">
        <v>622</v>
      </c>
      <c r="C20" s="30" t="s">
        <v>623</v>
      </c>
      <c r="D20" s="30" t="s">
        <v>49</v>
      </c>
      <c r="E20" s="30" t="s">
        <v>179</v>
      </c>
      <c r="F20" s="42">
        <v>0</v>
      </c>
      <c r="G20" s="42">
        <v>46</v>
      </c>
      <c r="H20" s="42">
        <v>158</v>
      </c>
      <c r="I20" s="42">
        <v>116</v>
      </c>
      <c r="J20" s="30" t="s">
        <v>180</v>
      </c>
      <c r="K20" s="42">
        <v>1</v>
      </c>
      <c r="L20" s="131" t="s">
        <v>51</v>
      </c>
      <c r="M20" s="132">
        <f>CONVERT((I20-K20)/10000,"mi","ft")*IF(L20="Increasing Mileposts (1)",-1,1)</f>
        <v>60.72</v>
      </c>
      <c r="N20" s="133" t="str">
        <f>VLOOKUP(C20,'Trips&amp;Operators'!$C$1:$G$99911,5,FALSE)</f>
        <v>BONDS REYNALDO</v>
      </c>
      <c r="O20" s="176" t="s">
        <v>178</v>
      </c>
      <c r="P20" s="134"/>
      <c r="Q20" s="30"/>
      <c r="R20" s="81" t="str">
        <f>VLOOKUP(C20,'Train Runs'!$A$13:$AE$10076,31,0)</f>
        <v>aws s3 cp s3://rtdc.mdm.uploadarchive.raw/RTDC4029/ "%USERPROFILE%\AppData\Local\Temp\OnboardLogs"\RTDC4029\2017-10-25 --exclude "*" --recursive --include "*20171025*" &amp; "%USERPROFILE%\Documents\GitHub\mrs-test-scripts\Headless Mode &amp; Sideloading\WalkAndUnGZ.bat" "%USERPROFILE%\AppData\Local\Temp\OnboardLogs"\RTDC4029\2017-10-25 &amp; aws s3 cp s3://rtdc.mdm.uploadarchive.raw/RTDC4029/ "%USERPROFILE%\AppData\Local\Temp\OnboardLogs"\RTDC4029\2017-10-26 --exclude "*" --recursive --include "*20171026*" &amp; "%USERPROFILE%\Documents\GitHub\mrs-test-scripts\Headless Mode &amp; Sideloading\WalkAndUnGZ.bat" "%USERPROFILE%\AppData\Local\Temp\OnboardLogs"\RTDC4029\2017-10-26</v>
      </c>
      <c r="S20" s="84" t="str">
        <f>VLOOKUP(C20,'Train Runs'!$A$13:$AE$10076,22,0)</f>
        <v>https://d0f6bd738d7f1b3e5a7ca70fe4ff75f0.us-east-1.aws.found.io/app/kibana#/discover/Steve-Slow-Train-Analysis-(2080s-and-2083s)?_g=(refreshInterval:(display:Off,pause:!f,section:0,value:0),time:(from:'2017-10-25T03:07:48-0600',mode:absolute,to:'2017-10-25T05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/stypes="*4029*201710251*" /stext=" 10:.+((SYSTEM_STATE.+slice.+state.+changed )|(ment ac)|(multiple cpu faults)|(system.+state.+changed )|(\[timeout)|(PRM\|1\|D)|(kpr)|(kdp)|(train st.+moving)|(\|lc)|(penalty))"</v>
      </c>
      <c r="U20" s="9" t="str">
        <f>MID(B20,13,4)</f>
        <v>4029</v>
      </c>
      <c r="V20" s="31">
        <f>A20-utc_offset/24</f>
        <v>43033.451886574076</v>
      </c>
      <c r="W20" s="45" t="str">
        <f>DetSubdiv(C20)</f>
        <v>EC</v>
      </c>
      <c r="X20" s="22">
        <f>VALUE(LEFT(C20,LEN(C20)-3))</f>
        <v>102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{"issue":{"subject":"","project_id":79,"tracker_id":40,"status_id":1,"priority_id":2,"assigned_to_id":338,"start_date":"2017-10-25","description":"","custom_fields":[{"id":1,"name":"Subdivision","value":"EC"},{"id":4,"name":"Milepost","value":"0.0001"},{"id":17,"name":"Train ID","value":"102-25"},{"id":16,"name":"Locomotive ID","value":"4029"},{"id":130,"name":"Impact","value":""},{"id":150,"name":"Time of Event (Mountain Time)","value":"04:50:43"},{"id":151,"name":"Denver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/c/Users/stu/AppData/Local/Temp/OnboardLogs/RTDC4029 --include="*4029*201710251*"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"%USERPROFILE%\AppData\Local\Temp\OnboardLogs"\RTDC4029\*4029*201710251* &gt;&gt; 2017-10-25-SliceDisagreementCheck.txt</v>
      </c>
      <c r="AE20" s="145" t="str">
        <f t="shared" si="1"/>
        <v>start /low /b %USERPROFILE%\Documents\GitHub\eaglep3\Utilities\DownloadLogsFromS3.py --loco 4029 --day 2017-10-25</v>
      </c>
      <c r="AF20" s="1"/>
    </row>
    <row r="21" spans="1:32" x14ac:dyDescent="0.3">
      <c r="A21" s="31">
        <v>43033.34065972222</v>
      </c>
      <c r="B21" s="30" t="s">
        <v>632</v>
      </c>
      <c r="C21" s="30" t="s">
        <v>633</v>
      </c>
      <c r="D21" s="30" t="s">
        <v>49</v>
      </c>
      <c r="E21" s="30" t="s">
        <v>179</v>
      </c>
      <c r="F21" s="42">
        <v>0</v>
      </c>
      <c r="G21" s="42">
        <v>45</v>
      </c>
      <c r="H21" s="42">
        <v>212</v>
      </c>
      <c r="I21" s="42">
        <v>145</v>
      </c>
      <c r="J21" s="30" t="s">
        <v>180</v>
      </c>
      <c r="K21" s="42">
        <v>1</v>
      </c>
      <c r="L21" s="131" t="s">
        <v>51</v>
      </c>
      <c r="M21" s="132">
        <f>CONVERT((I21-K21)/10000,"mi","ft")*IF(L21="Increasing Mileposts (1)",-1,1)</f>
        <v>76.031999999999996</v>
      </c>
      <c r="N21" s="133" t="str">
        <f>VLOOKUP(C21,'Trips&amp;Operators'!$C$1:$G$99911,5,FALSE)</f>
        <v>DAVIS WENDY</v>
      </c>
      <c r="O21" s="176" t="s">
        <v>178</v>
      </c>
      <c r="P21" s="134"/>
      <c r="Q21" s="30"/>
      <c r="R21" s="81" t="str">
        <f>VLOOKUP(C21,'Train Runs'!$A$13:$AE$10076,31,0)</f>
        <v>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 &amp; 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</v>
      </c>
      <c r="S21" s="84" t="str">
        <f>VLOOKUP(C21,'Train Runs'!$A$13:$AE$10076,22,0)</f>
        <v>https://d0f6bd738d7f1b3e5a7ca70fe4ff75f0.us-east-1.aws.found.io/app/kibana#/discover/Steve-Slow-Train-Analysis-(2080s-and-2083s)?_g=(refreshInterval:(display:Off,pause:!f,section:0,value:0),time:(from:'2017-10-25T06:14:41-0600',mode:absolute,to:'2017-10-25T09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/stypes="*4045*201710251*" /stext=" 14:.+((SYSTEM_STATE.+slice.+state.+changed )|(ment ac)|(multiple cpu faults)|(system.+state.+changed )|(\[timeout)|(PRM\|1\|D)|(kpr)|(kdp)|(train st.+moving)|(\|lc)|(penalty))"</v>
      </c>
      <c r="U21" s="9" t="str">
        <f>MID(B21,13,4)</f>
        <v>4045</v>
      </c>
      <c r="V21" s="31">
        <f>A21-utc_offset/24</f>
        <v>43033.59065972222</v>
      </c>
      <c r="W21" s="45" t="str">
        <f>DetSubdiv(C21)</f>
        <v>EC</v>
      </c>
      <c r="X21" s="22">
        <f>VALUE(LEFT(C21,LEN(C21)-3))</f>
        <v>124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{"issue":{"subject":"","project_id":79,"tracker_id":40,"status_id":1,"priority_id":2,"assigned_to_id":338,"start_date":"2017-10-25","description":"","custom_fields":[{"id":1,"name":"Subdivision","value":"EC"},{"id":4,"name":"Milepost","value":"0.0001"},{"id":17,"name":"Train ID","value":"124-25"},{"id":16,"name":"Locomotive ID","value":"4045"},{"id":130,"name":"Impact","value":""},{"id":150,"name":"Time of Event (Mountain Time)","value":"08:10:33"},{"id":151,"name":"Denver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/c/Users/stu/AppData/Local/Temp/OnboardLogs/RTDC4045 --include="*4045*201710251*"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"%USERPROFILE%\AppData\Local\Temp\OnboardLogs"\RTDC4045\*4045*201710251* &gt;&gt; 2017-10-25-SliceDisagreementCheck.txt</v>
      </c>
      <c r="AE21" s="145" t="str">
        <f t="shared" si="1"/>
        <v>start /low /b %USERPROFILE%\Documents\GitHub\eaglep3\Utilities\DownloadLogsFromS3.py --loco 4045 --day 2017-10-25</v>
      </c>
      <c r="AF21" s="1"/>
    </row>
    <row r="22" spans="1:32" x14ac:dyDescent="0.3">
      <c r="A22" s="31">
        <v>43033.597395833334</v>
      </c>
      <c r="B22" s="30" t="s">
        <v>419</v>
      </c>
      <c r="C22" s="30" t="s">
        <v>649</v>
      </c>
      <c r="D22" s="30" t="s">
        <v>49</v>
      </c>
      <c r="E22" s="30" t="s">
        <v>179</v>
      </c>
      <c r="F22" s="42">
        <v>0</v>
      </c>
      <c r="G22" s="42">
        <v>67</v>
      </c>
      <c r="H22" s="42">
        <v>178</v>
      </c>
      <c r="I22" s="42">
        <v>99</v>
      </c>
      <c r="J22" s="30" t="s">
        <v>180</v>
      </c>
      <c r="K22" s="42">
        <v>1</v>
      </c>
      <c r="L22" s="131" t="s">
        <v>51</v>
      </c>
      <c r="M22" s="132">
        <f>CONVERT((I22-K22)/10000,"mi","ft")*IF(L22="Increasing Mileposts (1)",-1,1)</f>
        <v>51.744</v>
      </c>
      <c r="N22" s="133" t="str">
        <f>VLOOKUP(C22,'Trips&amp;Operators'!$C$1:$G$99911,5,FALSE)</f>
        <v>HOLCOMB KAMDEN</v>
      </c>
      <c r="O22" s="176" t="s">
        <v>178</v>
      </c>
      <c r="P22" s="134"/>
      <c r="Q22" s="30"/>
      <c r="R22" s="81" t="str">
        <f>VLOOKUP(C22,'Train Runs'!$A$13:$AE$10076,31,0)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S22" s="84" t="str">
        <f>VLOOKUP(C22,'Train Runs'!$A$13:$AE$10076,22,0)</f>
        <v>https://d0f6bd738d7f1b3e5a7ca70fe4ff75f0.us-east-1.aws.found.io/app/kibana#/discover/Steve-Slow-Train-Analysis-(2080s-and-2083s)?_g=(refreshInterval:(display:Off,pause:!f,section:0,value:0),time:(from:'2017-10-25T11:38:40-0600',mode:absolute,to:'2017-10-25T15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/stypes="*4007*201710252*" /stext=" 20:.+((SYSTEM_STATE.+slice.+state.+changed )|(ment ac)|(multiple cpu faults)|(system.+state.+changed )|(\[timeout)|(PRM\|1\|D)|(kpr)|(kdp)|(train st.+moving)|(\|lc)|(penalty))"</v>
      </c>
      <c r="U22" s="9" t="str">
        <f>MID(B22,13,4)</f>
        <v>4007</v>
      </c>
      <c r="V22" s="31">
        <f>A22-utc_offset/24</f>
        <v>43033.847395833334</v>
      </c>
      <c r="W22" s="45" t="str">
        <f>DetSubdiv(C22)</f>
        <v>EC</v>
      </c>
      <c r="X22" s="22">
        <f>VALUE(LEFT(C22,LEN(C22)-3))</f>
        <v>174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{"issue":{"subject":"","project_id":79,"tracker_id":40,"status_id":1,"priority_id":2,"assigned_to_id":338,"start_date":"2017-10-25","description":"","custom_fields":[{"id":1,"name":"Subdivision","value":"EC"},{"id":4,"name":"Milepost","value":"0.0001"},{"id":17,"name":"Train ID","value":"174-25"},{"id":16,"name":"Locomotive ID","value":"4007"},{"id":130,"name":"Impact","value":""},{"id":150,"name":"Time of Event (Mountain Time)","value":"14:20:15"},{"id":151,"name":"Denver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/c/Users/stu/AppData/Local/Temp/OnboardLogs/RTDC4007 --include="*4007*201710252*"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"%USERPROFILE%\AppData\Local\Temp\OnboardLogs"\RTDC4007\*4007*201710252* &gt;&gt; 2017-10-25-SliceDisagreementCheck.txt</v>
      </c>
      <c r="AE22" s="145" t="str">
        <f t="shared" si="1"/>
        <v>start /low /b %USERPROFILE%\Documents\GitHub\eaglep3\Utilities\DownloadLogsFromS3.py --loco 4007 --day 2017-10-25</v>
      </c>
      <c r="AF22" s="1"/>
    </row>
    <row r="23" spans="1:32" x14ac:dyDescent="0.3">
      <c r="A23" s="31">
        <v>43033.66097222222</v>
      </c>
      <c r="B23" s="30" t="s">
        <v>525</v>
      </c>
      <c r="C23" s="30" t="s">
        <v>653</v>
      </c>
      <c r="D23" s="30" t="s">
        <v>49</v>
      </c>
      <c r="E23" s="30" t="s">
        <v>179</v>
      </c>
      <c r="F23" s="42">
        <v>0</v>
      </c>
      <c r="G23" s="42">
        <v>35</v>
      </c>
      <c r="H23" s="42">
        <v>163</v>
      </c>
      <c r="I23" s="42">
        <v>121</v>
      </c>
      <c r="J23" s="30" t="s">
        <v>180</v>
      </c>
      <c r="K23" s="42">
        <v>1</v>
      </c>
      <c r="L23" s="131" t="s">
        <v>51</v>
      </c>
      <c r="M23" s="132">
        <f>CONVERT((I23-K23)/10000,"mi","ft")*IF(L23="Increasing Mileposts (1)",-1,1)</f>
        <v>63.36</v>
      </c>
      <c r="N23" s="133" t="str">
        <f>VLOOKUP(C23,'Trips&amp;Operators'!$C$1:$G$99911,5,FALSE)</f>
        <v>DAVIS MICHAEL</v>
      </c>
      <c r="O23" s="176" t="s">
        <v>178</v>
      </c>
      <c r="P23" s="134"/>
      <c r="Q23" s="30"/>
      <c r="R23" s="81" t="str">
        <f>VLOOKUP(C23,'Train Runs'!$A$13:$AE$10076,31,0)</f>
        <v>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 &amp; 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</v>
      </c>
      <c r="S23" s="84" t="str">
        <f>VLOOKUP(C23,'Train Runs'!$A$13:$AE$10076,22,0)</f>
        <v>https://d0f6bd738d7f1b3e5a7ca70fe4ff75f0.us-east-1.aws.found.io/app/kibana#/discover/Steve-Slow-Train-Analysis-(2080s-and-2083s)?_g=(refreshInterval:(display:Off,pause:!f,section:0,value:0),time:(from:'2017-10-25T14:08:34-0600',mode:absolute,to:'2017-10-25T16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/stypes="*4049*201710252*" /stext=" 21:.+((SYSTEM_STATE.+slice.+state.+changed )|(ment ac)|(multiple cpu faults)|(system.+state.+changed )|(\[timeout)|(PRM\|1\|D)|(kpr)|(kdp)|(train st.+moving)|(\|lc)|(penalty))"</v>
      </c>
      <c r="U23" s="9" t="str">
        <f>MID(B23,13,4)</f>
        <v>4049</v>
      </c>
      <c r="V23" s="31">
        <f>A23-utc_offset/24</f>
        <v>43033.91097222222</v>
      </c>
      <c r="W23" s="45" t="str">
        <f>DetSubdiv(C23)</f>
        <v>EC</v>
      </c>
      <c r="X23" s="22">
        <f>VALUE(LEFT(C23,LEN(C23)-3))</f>
        <v>186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{"issue":{"subject":"","project_id":79,"tracker_id":40,"status_id":1,"priority_id":2,"assigned_to_id":338,"start_date":"2017-10-25","description":"","custom_fields":[{"id":1,"name":"Subdivision","value":"EC"},{"id":4,"name":"Milepost","value":"0.0001"},{"id":17,"name":"Train ID","value":"186-25"},{"id":16,"name":"Locomotive ID","value":"4049"},{"id":130,"name":"Impact","value":""},{"id":150,"name":"Time of Event (Mountain Time)","value":"15:51:48"},{"id":151,"name":"Denver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/c/Users/stu/AppData/Local/Temp/OnboardLogs/RTDC4049 --include="*4049*201710252*"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"%USERPROFILE%\AppData\Local\Temp\OnboardLogs"\RTDC4049\*4049*201710252* &gt;&gt; 2017-10-25-SliceDisagreementCheck.txt</v>
      </c>
      <c r="AE23" s="145" t="str">
        <f t="shared" si="1"/>
        <v>start /low /b %USERPROFILE%\Documents\GitHub\eaglep3\Utilities\DownloadLogsFromS3.py --loco 4049 --day 2017-10-25</v>
      </c>
      <c r="AF23" s="1"/>
    </row>
    <row r="24" spans="1:32" x14ac:dyDescent="0.3">
      <c r="A24" s="31">
        <v>43033.742974537039</v>
      </c>
      <c r="B24" s="30" t="s">
        <v>419</v>
      </c>
      <c r="C24" s="30" t="s">
        <v>655</v>
      </c>
      <c r="D24" s="30" t="s">
        <v>49</v>
      </c>
      <c r="E24" s="30" t="s">
        <v>179</v>
      </c>
      <c r="F24" s="42">
        <v>0</v>
      </c>
      <c r="G24" s="42">
        <v>85</v>
      </c>
      <c r="H24" s="42">
        <v>356</v>
      </c>
      <c r="I24" s="42">
        <v>240</v>
      </c>
      <c r="J24" s="30" t="s">
        <v>180</v>
      </c>
      <c r="K24" s="42">
        <v>1</v>
      </c>
      <c r="L24" s="131" t="s">
        <v>51</v>
      </c>
      <c r="M24" s="132">
        <f>CONVERT((I24-K24)/10000,"mi","ft")*IF(L24="Increasing Mileposts (1)",-1,1)</f>
        <v>126.19199999999999</v>
      </c>
      <c r="N24" s="133" t="str">
        <f>VLOOKUP(C24,'Trips&amp;Operators'!$C$1:$G$99911,5,FALSE)</f>
        <v>HOLCOMB KAMDEN</v>
      </c>
      <c r="O24" s="176" t="s">
        <v>178</v>
      </c>
      <c r="P24" s="134"/>
      <c r="Q24" s="30"/>
      <c r="R24" s="81" t="str">
        <f>VLOOKUP(C24,'Train Runs'!$A$13:$AE$10076,31,0)</f>
        <v>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 &amp; aws s3 cp s3://rtdc.mdm.uploadarchive.raw/RTDC4007/ "%USERPROFILE%\AppData\Local\Temp\OnboardLogs"\RTDC4007\2017-10-26 --exclude "*" --recursive --include "*20171026*" &amp; "%USERPROFILE%\Documents\GitHub\mrs-test-scripts\Headless Mode &amp; Sideloading\WalkAndUnGZ.bat" "%USERPROFILE%\AppData\Local\Temp\OnboardLogs"\RTDC4007\2017-10-26</v>
      </c>
      <c r="S24" s="84" t="str">
        <f>VLOOKUP(C24,'Train Runs'!$A$13:$AE$10076,22,0)</f>
        <v>https://d0f6bd738d7f1b3e5a7ca70fe4ff75f0.us-east-1.aws.found.io/app/kibana#/discover/Steve-Slow-Train-Analysis-(2080s-and-2083s)?_g=(refreshInterval:(display:Off,pause:!f,section:0,value:0),time:(from:'2017-10-25T16:05:05-0600',mode:absolute,to:'2017-10-25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/stypes="*4007*201710252*" /stext=" 23:.+((SYSTEM_STATE.+slice.+state.+changed )|(ment ac)|(multiple cpu faults)|(system.+state.+changed )|(\[timeout)|(PRM\|1\|D)|(kpr)|(kdp)|(train st.+moving)|(\|lc)|(penalty))"</v>
      </c>
      <c r="U24" s="9" t="str">
        <f>MID(B24,13,4)</f>
        <v>4007</v>
      </c>
      <c r="V24" s="31">
        <f>A24-utc_offset/24</f>
        <v>43033.992974537039</v>
      </c>
      <c r="W24" s="45" t="str">
        <f>DetSubdiv(C24)</f>
        <v>EC</v>
      </c>
      <c r="X24" s="22">
        <f>VALUE(LEFT(C24,LEN(C24)-3))</f>
        <v>202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{"issue":{"subject":"","project_id":79,"tracker_id":40,"status_id":1,"priority_id":2,"assigned_to_id":338,"start_date":"2017-10-25","description":"","custom_fields":[{"id":1,"name":"Subdivision","value":"EC"},{"id":4,"name":"Milepost","value":"0.0001"},{"id":17,"name":"Train ID","value":"202-25"},{"id":16,"name":"Locomotive ID","value":"4007"},{"id":130,"name":"Impact","value":""},{"id":150,"name":"Time of Event (Mountain Time)","value":"17:49:53"},{"id":151,"name":"Denver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/c/Users/stu/AppData/Local/Temp/OnboardLogs/RTDC4007 --include="*4007*201710252*"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"%USERPROFILE%\AppData\Local\Temp\OnboardLogs"\RTDC4007\*4007*201710252* &gt;&gt; 2017-10-25-SliceDisagreementCheck.txt</v>
      </c>
      <c r="AE24" s="145" t="str">
        <f t="shared" si="1"/>
        <v>start /low /b %USERPROFILE%\Documents\GitHub\eaglep3\Utilities\DownloadLogsFromS3.py --loco 4007 --day 2017-10-25</v>
      </c>
      <c r="AF24" s="1"/>
    </row>
    <row r="25" spans="1:32" x14ac:dyDescent="0.3">
      <c r="A25" s="31">
        <v>43033.796516203707</v>
      </c>
      <c r="B25" s="30" t="s">
        <v>418</v>
      </c>
      <c r="C25" s="30" t="s">
        <v>660</v>
      </c>
      <c r="D25" s="30" t="s">
        <v>49</v>
      </c>
      <c r="E25" s="30" t="s">
        <v>179</v>
      </c>
      <c r="F25" s="42">
        <v>0</v>
      </c>
      <c r="G25" s="42">
        <v>50</v>
      </c>
      <c r="H25" s="42">
        <v>185</v>
      </c>
      <c r="I25" s="42">
        <v>138</v>
      </c>
      <c r="J25" s="30" t="s">
        <v>180</v>
      </c>
      <c r="K25" s="42">
        <v>1</v>
      </c>
      <c r="L25" s="131" t="s">
        <v>51</v>
      </c>
      <c r="M25" s="132">
        <f>CONVERT((I25-K25)/10000,"mi","ft")*IF(L25="Increasing Mileposts (1)",-1,1)</f>
        <v>72.335999999999999</v>
      </c>
      <c r="N25" s="133" t="str">
        <f>VLOOKUP(C25,'Trips&amp;Operators'!$C$1:$G$99911,5,FALSE)</f>
        <v>BERLING GARY</v>
      </c>
      <c r="O25" s="176" t="s">
        <v>178</v>
      </c>
      <c r="P25" s="134"/>
      <c r="Q25" s="30"/>
      <c r="R25" s="81" t="str">
        <f>VLOOKUP(C25,'Train Runs'!$A$13:$AE$10076,31,0)</f>
        <v>aws s3 cp s3://rtdc.mdm.uploadarchive.raw/RTDC4005/ "%USERPROFILE%\AppData\Local\Temp\OnboardLogs"\RTDC4005\2017-10-25 --exclude "*" --recursive --include "*20171025*" &amp; "%USERPROFILE%\Documents\GitHub\mrs-test-scripts\Headless Mode &amp; Sideloading\WalkAndUnGZ.bat" "%USERPROFILE%\AppData\Local\Temp\OnboardLogs"\RTDC4005\2017-10-25 &amp; aws s3 cp s3://rtdc.mdm.uploadarchive.raw/RTDC4005/ "%USERPROFILE%\AppData\Local\Temp\OnboardLogs"\RTDC4005\2017-10-26 --exclude "*" --recursive --include "*20171026*" &amp; "%USERPROFILE%\Documents\GitHub\mrs-test-scripts\Headless Mode &amp; Sideloading\WalkAndUnGZ.bat" "%USERPROFILE%\AppData\Local\Temp\OnboardLogs"\RTDC4005\2017-10-26</v>
      </c>
      <c r="S25" s="84" t="str">
        <f>VLOOKUP(C25,'Train Runs'!$A$13:$AE$10076,22,0)</f>
        <v>https://d0f6bd738d7f1b3e5a7ca70fe4ff75f0.us-east-1.aws.found.io/app/kibana#/discover/Steve-Slow-Train-Analysis-(2080s-and-2083s)?_g=(refreshInterval:(display:Off,pause:!f,section:0,value:0),time:(from:'2017-10-25T17:20:56-0600',mode:absolute,to:'2017-10-25T20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/stypes="*4005*201710260*" /stext=" 01:.+((SYSTEM_STATE.+slice.+state.+changed )|(ment ac)|(multiple cpu faults)|(system.+state.+changed )|(\[timeout)|(PRM\|1\|D)|(kpr)|(kdp)|(train st.+moving)|(\|lc)|(penalty))"</v>
      </c>
      <c r="U25" s="9" t="str">
        <f>MID(B25,13,4)</f>
        <v>4005</v>
      </c>
      <c r="V25" s="31">
        <f>A25-utc_offset/24</f>
        <v>43034.046516203707</v>
      </c>
      <c r="W25" s="45" t="str">
        <f>DetSubdiv(C25)</f>
        <v>EC</v>
      </c>
      <c r="X25" s="22">
        <f>VALUE(LEFT(C25,LEN(C25)-3))</f>
        <v>212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{"issue":{"subject":"","project_id":79,"tracker_id":40,"status_id":1,"priority_id":2,"assigned_to_id":338,"start_date":"2017-10-25","description":"","custom_fields":[{"id":1,"name":"Subdivision","value":"EC"},{"id":4,"name":"Milepost","value":"0.0001"},{"id":17,"name":"Train ID","value":"212-25"},{"id":16,"name":"Locomotive ID","value":"4005"},{"id":130,"name":"Impact","value":""},{"id":150,"name":"Time of Event (Mountain Time)","value":"19:06:59"},{"id":151,"name":"Denver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/c/Users/stu/AppData/Local/Temp/OnboardLogs/RTDC4005 --include="*4005*201710260*"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"%USERPROFILE%\AppData\Local\Temp\OnboardLogs"\RTDC4005\*4005*201710260* &gt;&gt; 2017-10-25-SliceDisagreementCheck.txt</v>
      </c>
      <c r="AE25" s="145" t="str">
        <f t="shared" si="1"/>
        <v>start /low /b %USERPROFILE%\Documents\GitHub\eaglep3\Utilities\DownloadLogsFromS3.py --loco 4005 --day 2017-10-26</v>
      </c>
      <c r="AF25" s="1"/>
    </row>
    <row r="26" spans="1:32" x14ac:dyDescent="0.3">
      <c r="A26" s="31">
        <v>43033.370567129627</v>
      </c>
      <c r="B26" s="30" t="s">
        <v>532</v>
      </c>
      <c r="C26" s="30" t="s">
        <v>635</v>
      </c>
      <c r="D26" s="30" t="s">
        <v>49</v>
      </c>
      <c r="E26" s="30" t="s">
        <v>179</v>
      </c>
      <c r="F26" s="42">
        <v>0</v>
      </c>
      <c r="G26" s="42">
        <v>120</v>
      </c>
      <c r="H26" s="42">
        <v>232994</v>
      </c>
      <c r="I26" s="42">
        <v>233115</v>
      </c>
      <c r="J26" s="30" t="s">
        <v>180</v>
      </c>
      <c r="K26" s="42">
        <v>233491</v>
      </c>
      <c r="L26" s="131" t="s">
        <v>50</v>
      </c>
      <c r="M26" s="132">
        <f>CONVERT((I26-K26)/10000,"mi","ft")*IF(L26="Increasing Mileposts (1)",-1,1)</f>
        <v>198.52799999999999</v>
      </c>
      <c r="N26" s="133" t="str">
        <f>VLOOKUP(C26,'Trips&amp;Operators'!$C$1:$G$99911,5,FALSE)</f>
        <v>STRICKLAND EVAN</v>
      </c>
      <c r="O26" s="176" t="s">
        <v>178</v>
      </c>
      <c r="P26" s="134"/>
      <c r="Q26" s="30"/>
      <c r="R26" s="81" t="str">
        <f>VLOOKUP(C26,'Train Runs'!$A$13:$AE$10076,31,0)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S26" s="84" t="str">
        <f>VLOOKUP(C26,'Train Runs'!$A$13:$AE$10076,22,0)</f>
        <v>https://d0f6bd738d7f1b3e5a7ca70fe4ff75f0.us-east-1.aws.found.io/app/kibana#/discover/Steve-Slow-Train-Analysis-(2080s-and-2083s)?_g=(refreshInterval:(display:Off,pause:!f,section:0,value:0),time:(from:'2017-10-25T07:12:18-0600',mode:absolute,to:'2017-10-25T09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/stypes="*4046*201710251*" /stext=" 14:.+((SYSTEM_STATE.+slice.+state.+changed )|(ment ac)|(multiple cpu faults)|(system.+state.+changed )|(\[timeout)|(PRM\|1\|D)|(kpr)|(kdp)|(train st.+moving)|(\|lc)|(penalty))"</v>
      </c>
      <c r="U26" s="9" t="str">
        <f>MID(B26,13,4)</f>
        <v>4046</v>
      </c>
      <c r="V26" s="31">
        <f>A26-utc_offset/24</f>
        <v>43033.620567129627</v>
      </c>
      <c r="W26" s="45" t="str">
        <f>DetSubdiv(C26)</f>
        <v>EC</v>
      </c>
      <c r="X26" s="22">
        <f>VALUE(LEFT(C26,LEN(C26)-3))</f>
        <v>137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{"issue":{"subject":"","project_id":79,"tracker_id":40,"status_id":1,"priority_id":2,"assigned_to_id":338,"start_date":"2017-10-25","description":"","custom_fields":[{"id":1,"name":"Subdivision","value":"EC"},{"id":4,"name":"Milepost","value":"23.3491"},{"id":17,"name":"Train ID","value":"137-25"},{"id":16,"name":"Locomotive ID","value":"4046"},{"id":130,"name":"Impact","value":""},{"id":150,"name":"Time of Event (Mountain Time)","value":"08:53:37"},{"id":151,"name":"Denver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/c/Users/stu/AppData/Local/Temp/OnboardLogs/RTDC4046 --include="*4046*201710251*"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"%USERPROFILE%\AppData\Local\Temp\OnboardLogs"\RTDC4046\*4046*201710251* &gt;&gt; 2017-10-25-SliceDisagreementCheck.txt</v>
      </c>
      <c r="AE26" s="145" t="str">
        <f t="shared" si="1"/>
        <v>start /low /b %USERPROFILE%\Documents\GitHub\eaglep3\Utilities\DownloadLogsFromS3.py --loco 4046 --day 2017-10-25</v>
      </c>
      <c r="AF26" s="1"/>
    </row>
    <row r="27" spans="1:32" x14ac:dyDescent="0.3">
      <c r="A27" s="31">
        <v>43033.371064814812</v>
      </c>
      <c r="B27" s="30" t="s">
        <v>532</v>
      </c>
      <c r="C27" s="30" t="s">
        <v>635</v>
      </c>
      <c r="D27" s="30" t="s">
        <v>49</v>
      </c>
      <c r="E27" s="30" t="s">
        <v>179</v>
      </c>
      <c r="F27" s="42">
        <v>0</v>
      </c>
      <c r="G27" s="42">
        <v>49</v>
      </c>
      <c r="H27" s="42">
        <v>233309</v>
      </c>
      <c r="I27" s="42">
        <v>233332</v>
      </c>
      <c r="J27" s="30" t="s">
        <v>180</v>
      </c>
      <c r="K27" s="42">
        <v>233491</v>
      </c>
      <c r="L27" s="131" t="s">
        <v>50</v>
      </c>
      <c r="M27" s="132">
        <f>CONVERT((I27-K27)/10000,"mi","ft")*IF(L27="Increasing Mileposts (1)",-1,1)</f>
        <v>83.951999999999998</v>
      </c>
      <c r="N27" s="133" t="str">
        <f>VLOOKUP(C27,'Trips&amp;Operators'!$C$1:$G$99911,5,FALSE)</f>
        <v>STRICKLAND EVAN</v>
      </c>
      <c r="O27" s="176" t="s">
        <v>178</v>
      </c>
      <c r="P27" s="134"/>
      <c r="Q27" s="30"/>
      <c r="R27" s="81" t="str">
        <f>VLOOKUP(C27,'Train Runs'!$A$13:$AE$10076,31,0)</f>
        <v>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 &amp; 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</v>
      </c>
      <c r="S27" s="84" t="str">
        <f>VLOOKUP(C27,'Train Runs'!$A$13:$AE$10076,22,0)</f>
        <v>https://d0f6bd738d7f1b3e5a7ca70fe4ff75f0.us-east-1.aws.found.io/app/kibana#/discover/Steve-Slow-Train-Analysis-(2080s-and-2083s)?_g=(refreshInterval:(display:Off,pause:!f,section:0,value:0),time:(from:'2017-10-25T07:12:18-0600',mode:absolute,to:'2017-10-25T09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/stypes="*4046*201710251*" /stext=" 14:.+((SYSTEM_STATE.+slice.+state.+changed )|(ment ac)|(multiple cpu faults)|(system.+state.+changed )|(\[timeout)|(PRM\|1\|D)|(kpr)|(kdp)|(train st.+moving)|(\|lc)|(penalty))"</v>
      </c>
      <c r="U27" s="9" t="str">
        <f>MID(B27,13,4)</f>
        <v>4046</v>
      </c>
      <c r="V27" s="31">
        <f>A27-utc_offset/24</f>
        <v>43033.621064814812</v>
      </c>
      <c r="W27" s="45" t="str">
        <f>DetSubdiv(C27)</f>
        <v>EC</v>
      </c>
      <c r="X27" s="22">
        <f>VALUE(LEFT(C27,LEN(C27)-3))</f>
        <v>137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{"issue":{"subject":"","project_id":79,"tracker_id":40,"status_id":1,"priority_id":2,"assigned_to_id":338,"start_date":"2017-10-25","description":"","custom_fields":[{"id":1,"name":"Subdivision","value":"EC"},{"id":4,"name":"Milepost","value":"23.3491"},{"id":17,"name":"Train ID","value":"137-25"},{"id":16,"name":"Locomotive ID","value":"4046"},{"id":130,"name":"Impact","value":""},{"id":150,"name":"Time of Event (Mountain Time)","value":"08:54:20"},{"id":151,"name":"Denver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/c/Users/stu/AppData/Local/Temp/OnboardLogs/RTDC4046 --include="*4046*201710251*"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"%USERPROFILE%\AppData\Local\Temp\OnboardLogs"\RTDC4046\*4046*201710251* &gt;&gt; 2017-10-25-SliceDisagreementCheck.txt</v>
      </c>
      <c r="AE27" s="145" t="str">
        <f t="shared" si="1"/>
        <v>start /low /b %USERPROFILE%\Documents\GitHub\eaglep3\Utilities\DownloadLogsFromS3.py --loco 4046 --day 2017-10-25</v>
      </c>
      <c r="AF27" s="1"/>
    </row>
    <row r="28" spans="1:32" x14ac:dyDescent="0.3">
      <c r="A28" s="31">
        <v>43033.38008101852</v>
      </c>
      <c r="B28" s="30" t="s">
        <v>637</v>
      </c>
      <c r="C28" s="30" t="s">
        <v>638</v>
      </c>
      <c r="D28" s="30" t="s">
        <v>49</v>
      </c>
      <c r="E28" s="30" t="s">
        <v>179</v>
      </c>
      <c r="F28" s="42">
        <v>0</v>
      </c>
      <c r="G28" s="42">
        <v>49</v>
      </c>
      <c r="H28" s="42">
        <v>233340</v>
      </c>
      <c r="I28" s="42">
        <v>233372</v>
      </c>
      <c r="J28" s="30" t="s">
        <v>180</v>
      </c>
      <c r="K28" s="42">
        <v>233491</v>
      </c>
      <c r="L28" s="131" t="s">
        <v>50</v>
      </c>
      <c r="M28" s="132">
        <f>CONVERT((I28-K28)/10000,"mi","ft")*IF(L28="Increasing Mileposts (1)",-1,1)</f>
        <v>62.832000000000001</v>
      </c>
      <c r="N28" s="133" t="str">
        <f>VLOOKUP(C28,'Trips&amp;Operators'!$C$1:$G$99911,5,FALSE)</f>
        <v>BONDS REYNALDO</v>
      </c>
      <c r="O28" s="176" t="s">
        <v>178</v>
      </c>
      <c r="P28" s="134"/>
      <c r="Q28" s="30"/>
      <c r="R28" s="81" t="str">
        <f>VLOOKUP(C28,'Train Runs'!$A$13:$AE$10076,31,0)</f>
        <v>aws s3 cp s3://rtdc.mdm.uploadarchive.raw/RTDC4030/ "%USERPROFILE%\AppData\Local\Temp\OnboardLogs"\RTDC4030\2017-10-25 --exclude "*" --recursive --include "*20171025*" &amp; "%USERPROFILE%\Documents\GitHub\mrs-test-scripts\Headless Mode &amp; Sideloading\WalkAndUnGZ.bat" "%USERPROFILE%\AppData\Local\Temp\OnboardLogs"\RTDC4030\2017-10-25 &amp; 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</v>
      </c>
      <c r="S28" s="84" t="str">
        <f>VLOOKUP(C28,'Train Runs'!$A$13:$AE$10076,22,0)</f>
        <v>https://d0f6bd738d7f1b3e5a7ca70fe4ff75f0.us-east-1.aws.found.io/app/kibana#/discover/Steve-Slow-Train-Analysis-(2080s-and-2083s)?_g=(refreshInterval:(display:Off,pause:!f,section:0,value:0),time:(from:'2017-10-25T07:26:35-0600',mode:absolute,to:'2017-10-25T10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/stypes="*4030*201710251*" /stext=" 15:.+((SYSTEM_STATE.+slice.+state.+changed )|(ment ac)|(multiple cpu faults)|(system.+state.+changed )|(\[timeout)|(PRM\|1\|D)|(kpr)|(kdp)|(train st.+moving)|(\|lc)|(penalty))"</v>
      </c>
      <c r="U28" s="9" t="str">
        <f>MID(B28,13,4)</f>
        <v>4030</v>
      </c>
      <c r="V28" s="31">
        <f>A28-utc_offset/24</f>
        <v>43033.63008101852</v>
      </c>
      <c r="W28" s="45" t="str">
        <f>DetSubdiv(C28)</f>
        <v>EC</v>
      </c>
      <c r="X28" s="22">
        <f>VALUE(LEFT(C28,LEN(C28)-3))</f>
        <v>139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{"issue":{"subject":"","project_id":79,"tracker_id":40,"status_id":1,"priority_id":2,"assigned_to_id":338,"start_date":"2017-10-25","description":"","custom_fields":[{"id":1,"name":"Subdivision","value":"EC"},{"id":4,"name":"Milepost","value":"23.3491"},{"id":17,"name":"Train ID","value":"139-25"},{"id":16,"name":"Locomotive ID","value":"4030"},{"id":130,"name":"Impact","value":""},{"id":150,"name":"Time of Event (Mountain Time)","value":"09:07:19"},{"id":151,"name":"Denver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/c/Users/stu/AppData/Local/Temp/OnboardLogs/RTDC4030 --include="*4030*201710251*"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"%USERPROFILE%\AppData\Local\Temp\OnboardLogs"\RTDC4030\*4030*201710251* &gt;&gt; 2017-10-25-SliceDisagreementCheck.txt</v>
      </c>
      <c r="AE28" s="145" t="str">
        <f t="shared" si="1"/>
        <v>start /low /b %USERPROFILE%\Documents\GitHub\eaglep3\Utilities\DownloadLogsFromS3.py --loco 4030 --day 2017-10-25</v>
      </c>
      <c r="AF28" s="1"/>
    </row>
    <row r="29" spans="1:32" x14ac:dyDescent="0.3">
      <c r="A29" s="31">
        <v>43033.451620370368</v>
      </c>
      <c r="B29" s="30" t="s">
        <v>644</v>
      </c>
      <c r="C29" s="30" t="s">
        <v>645</v>
      </c>
      <c r="D29" s="30" t="s">
        <v>49</v>
      </c>
      <c r="E29" s="30" t="s">
        <v>185</v>
      </c>
      <c r="F29" s="42">
        <v>340</v>
      </c>
      <c r="G29" s="42">
        <v>576</v>
      </c>
      <c r="H29" s="42">
        <v>14421</v>
      </c>
      <c r="I29" s="42">
        <v>12140</v>
      </c>
      <c r="J29" s="30" t="s">
        <v>186</v>
      </c>
      <c r="K29" s="42">
        <v>10988</v>
      </c>
      <c r="L29" s="131" t="s">
        <v>51</v>
      </c>
      <c r="M29" s="132">
        <f>CONVERT((I29-K29)/10000,"mi","ft")*IF(L29="Increasing Mileposts (1)",-1,1)</f>
        <v>608.25599999999997</v>
      </c>
      <c r="N29" s="133" t="str">
        <f>VLOOKUP(C29,'Trips&amp;Operators'!$C$1:$G$99911,5,FALSE)</f>
        <v>GEBRETEKLE DAGNEW</v>
      </c>
      <c r="O29" s="176" t="s">
        <v>178</v>
      </c>
      <c r="P29" s="134" t="s">
        <v>356</v>
      </c>
      <c r="Q29" s="30"/>
      <c r="R29" s="81" t="str">
        <f>VLOOKUP(C29,'Train Runs'!$A$13:$AE$10076,31,0)</f>
        <v>aws s3 cp s3://rtdc.mdm.uploadarchive.raw/RTDC4051/ "%USERPROFILE%\AppData\Local\Temp\OnboardLogs"\RTDC4051\2017-10-25 --exclude "*" --recursive --include "*20171025*" &amp; "%USERPROFILE%\Documents\GitHub\mrs-test-scripts\Headless Mode &amp; Sideloading\WalkAndUnGZ.bat" "%USERPROFILE%\AppData\Local\Temp\OnboardLogs"\RTDC4051\2017-10-25 &amp; aws s3 cp s3://rtdc.mdm.uploadarchive.raw/RTDC4051/ "%USERPROFILE%\AppData\Local\Temp\OnboardLogs"\RTDC4051\2017-10-26 --exclude "*" --recursive --include "*20171026*" &amp; "%USERPROFILE%\Documents\GitHub\mrs-test-scripts\Headless Mode &amp; Sideloading\WalkAndUnGZ.bat" "%USERPROFILE%\AppData\Local\Temp\OnboardLogs"\RTDC4051\2017-10-26</v>
      </c>
      <c r="S29" s="84" t="str">
        <f>VLOOKUP(C29,'Train Runs'!$A$13:$AE$10076,22,0)</f>
        <v>https://d0f6bd738d7f1b3e5a7ca70fe4ff75f0.us-east-1.aws.found.io/app/kibana#/discover/Steve-Slow-Train-Analysis-(2080s-and-2083s)?_g=(refreshInterval:(display:Off,pause:!f,section:0,value:0),time:(from:'2017-10-25T09:24:21-0600',mode:absolute,to:'2017-10-25T11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/stypes="*4051*201710251*" /stext=" 16:.+((SYSTEM_STATE.+slice.+state.+changed )|(ment ac)|(multiple cpu faults)|(system.+state.+changed )|(\[timeout)|(PRM\|1\|D)|(kpr)|(kdp)|(train st.+moving)|(\|lc)|(penalty))"</v>
      </c>
      <c r="U29" s="9" t="str">
        <f>MID(B29,13,4)</f>
        <v>4051</v>
      </c>
      <c r="V29" s="31">
        <f>A29-utc_offset/24</f>
        <v>43033.701620370368</v>
      </c>
      <c r="W29" s="45" t="str">
        <f>DetSubdiv(C29)</f>
        <v>NW</v>
      </c>
      <c r="X29" s="22">
        <f>VALUE(LEFT(C29,LEN(C29)-3))</f>
        <v>816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Arrival","project_id":79,"tracker_id":40,"status_id":1,"priority_id":2,"assigned_to_id":338,"start_date":"2017-10-25","description":"","custom_fields":[{"id":1,"name":"Subdivision","value":"NW"},{"id":4,"name":"Milepost","value":"1.0988"},{"id":17,"name":"Train ID","value":"816-25"},{"id":16,"name":"Locomotive ID","value":"4051"},{"id":130,"name":"Impact","value":""},{"id":150,"name":"Time of Event (Mountain Time)","value":"10:50:20"},{"id":151,"name":"Denver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/c/Users/stu/AppData/Local/Temp/OnboardLogs/RTDC4051 --include="*4051*201710251*"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"%USERPROFILE%\AppData\Local\Temp\OnboardLogs"\RTDC4051\*4051*201710251* &gt;&gt; 2017-10-25-SliceDisagreementCheck.txt</v>
      </c>
      <c r="AE29" s="145" t="str">
        <f t="shared" si="1"/>
        <v>start /low /b %USERPROFILE%\Documents\GitHub\eaglep3\Utilities\DownloadLogsFromS3.py --loco 4051 --day 2017-10-25</v>
      </c>
      <c r="AF29" s="1"/>
    </row>
    <row r="30" spans="1:32" x14ac:dyDescent="0.3">
      <c r="A30" s="31">
        <v>43033.298564814817</v>
      </c>
      <c r="B30" s="30" t="s">
        <v>630</v>
      </c>
      <c r="C30" s="30" t="s">
        <v>631</v>
      </c>
      <c r="D30" s="30" t="s">
        <v>95</v>
      </c>
      <c r="E30" s="30" t="s">
        <v>395</v>
      </c>
      <c r="F30" s="42">
        <v>0</v>
      </c>
      <c r="G30" s="42">
        <v>123</v>
      </c>
      <c r="H30" s="42">
        <v>1859</v>
      </c>
      <c r="I30" s="42">
        <v>1989</v>
      </c>
      <c r="J30" s="30" t="s">
        <v>396</v>
      </c>
      <c r="K30" s="42">
        <v>1725</v>
      </c>
      <c r="L30" s="131" t="s">
        <v>50</v>
      </c>
      <c r="M30" s="132">
        <f>CONVERT((I30-K30)/10000,"mi","ft")*IF(L30="Increasing Mileposts (1)",-1,1)</f>
        <v>-139.392</v>
      </c>
      <c r="N30" s="133" t="str">
        <f>VLOOKUP(C30,'Trips&amp;Operators'!$C$1:$G$99911,5,FALSE)</f>
        <v>GEBRETEKLE DAGNEW</v>
      </c>
      <c r="O30" s="176" t="s">
        <v>371</v>
      </c>
      <c r="P30" s="134" t="s">
        <v>557</v>
      </c>
      <c r="Q30" s="30"/>
      <c r="R30" s="81" t="str">
        <f>VLOOKUP(C30,'Train Runs'!$A$13:$AE$10076,31,0)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S30" s="84" t="str">
        <f>VLOOKUP(C30,'Train Runs'!$A$13:$AE$10076,22,0)</f>
        <v>https://d0f6bd738d7f1b3e5a7ca70fe4ff75f0.us-east-1.aws.found.io/app/kibana#/discover/Steve-Slow-Train-Analysis-(2080s-and-2083s)?_g=(refreshInterval:(display:Off,pause:!f,section:0,value:0),time:(from:'2017-10-25T05:59:02-0600',mode:absolute,to:'2017-10-25T08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/stypes="*4052*201710251*" /stext=" 13:.+((SYSTEM_STATE.+slice.+state.+changed )|(ment ac)|(multiple cpu faults)|(system.+state.+changed )|(\[timeout)|(PRM\|1\|D)|(kpr)|(kdp)|(train st.+moving)|(\|lc)|(penalty))"</v>
      </c>
      <c r="U30" s="9" t="str">
        <f>MID(B30,13,4)</f>
        <v>4052</v>
      </c>
      <c r="V30" s="31">
        <f>A30-utc_offset/24</f>
        <v>43033.548564814817</v>
      </c>
      <c r="W30" s="45" t="str">
        <f>DetSubdiv(C30)</f>
        <v>NW</v>
      </c>
      <c r="X30" s="22">
        <f>VALUE(LEFT(C30,LEN(C30)-3))</f>
        <v>807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DUS","project_id":79,"tracker_id":40,"status_id":1,"priority_id":2,"assigned_to_id":338,"start_date":"2017-10-25","description":"","custom_fields":[{"id":1,"name":"Subdivision","value":"NW"},{"id":4,"name":"Milepost","value":"0.1725"},{"id":17,"name":"Train ID","value":"807-25"},{"id":16,"name":"Locomotive ID","value":"4052"},{"id":130,"name":"Impact","value":""},{"id":150,"name":"Time of Event (Mountain Time)","value":"07:09:56"},{"id":151,"name":"Denver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/c/Users/stu/AppData/Local/Temp/OnboardLogs/RTDC4052 --include="*4052*201710251*"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"%USERPROFILE%\AppData\Local\Temp\OnboardLogs"\RTDC4052\*4052*201710251* &gt;&gt; 2017-10-25-SliceDisagreementCheck.txt</v>
      </c>
      <c r="AE30" s="145" t="str">
        <f t="shared" si="1"/>
        <v>start /low /b %USERPROFILE%\Documents\GitHub\eaglep3\Utilities\DownloadLogsFromS3.py --loco 4052 --day 2017-10-25</v>
      </c>
      <c r="AF30" s="1"/>
    </row>
    <row r="31" spans="1:32" x14ac:dyDescent="0.3">
      <c r="A31" s="31">
        <v>43033.548715277779</v>
      </c>
      <c r="B31" s="30" t="s">
        <v>630</v>
      </c>
      <c r="C31" s="30" t="s">
        <v>648</v>
      </c>
      <c r="D31" s="30" t="s">
        <v>95</v>
      </c>
      <c r="E31" s="30" t="s">
        <v>395</v>
      </c>
      <c r="F31" s="42">
        <v>0</v>
      </c>
      <c r="G31" s="42">
        <v>81</v>
      </c>
      <c r="H31" s="42">
        <v>1861</v>
      </c>
      <c r="I31" s="42">
        <v>1940</v>
      </c>
      <c r="J31" s="30" t="s">
        <v>396</v>
      </c>
      <c r="K31" s="42">
        <v>1725</v>
      </c>
      <c r="L31" s="131" t="s">
        <v>50</v>
      </c>
      <c r="M31" s="132">
        <f>CONVERT((I31-K31)/10000,"mi","ft")*IF(L31="Increasing Mileposts (1)",-1,1)</f>
        <v>-113.52</v>
      </c>
      <c r="N31" s="133" t="str">
        <f>VLOOKUP(C31,'Trips&amp;Operators'!$C$1:$G$99911,5,FALSE)</f>
        <v>LEVERE CRAIG</v>
      </c>
      <c r="O31" s="176" t="s">
        <v>371</v>
      </c>
      <c r="P31" s="134" t="s">
        <v>557</v>
      </c>
      <c r="Q31" s="30"/>
      <c r="R31" s="81" t="str">
        <f>VLOOKUP(C31,'Train Runs'!$A$13:$AE$10076,31,0)</f>
        <v>aws s3 cp s3://rtdc.mdm.uploadarchive.raw/RTDC4052/ "%USERPROFILE%\AppData\Local\Temp\OnboardLogs"\RTDC4052\2017-10-25 --exclude "*" --recursive --include "*20171025*" &amp; "%USERPROFILE%\Documents\GitHub\mrs-test-scripts\Headless Mode &amp; Sideloading\WalkAndUnGZ.bat" "%USERPROFILE%\AppData\Local\Temp\OnboardLogs"\RTDC4052\2017-10-25 &amp; aws s3 cp s3://rtdc.mdm.uploadarchive.raw/RTDC4052/ "%USERPROFILE%\AppData\Local\Temp\OnboardLogs"\RTDC4052\2017-10-26 --exclude "*" --recursive --include "*20171026*" &amp; "%USERPROFILE%\Documents\GitHub\mrs-test-scripts\Headless Mode &amp; Sideloading\WalkAndUnGZ.bat" "%USERPROFILE%\AppData\Local\Temp\OnboardLogs"\RTDC4052\2017-10-26</v>
      </c>
      <c r="S31" s="84" t="str">
        <f>VLOOKUP(C31,'Train Runs'!$A$13:$AE$10076,22,0)</f>
        <v>https://d0f6bd738d7f1b3e5a7ca70fe4ff75f0.us-east-1.aws.found.io/app/kibana#/discover/Steve-Slow-Train-Analysis-(2080s-and-2083s)?_g=(refreshInterval:(display:Off,pause:!f,section:0,value:0),time:(from:'2017-10-25T12:11:03-0600',mode:absolute,to:'2017-10-25T14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/stypes="*4052*201710251*" /stext=" 19:.+((SYSTEM_STATE.+slice.+state.+changed )|(ment ac)|(multiple cpu faults)|(system.+state.+changed )|(\[timeout)|(PRM\|1\|D)|(kpr)|(kdp)|(train st.+moving)|(\|lc)|(penalty))"</v>
      </c>
      <c r="U31" s="9" t="str">
        <f>MID(B31,13,4)</f>
        <v>4052</v>
      </c>
      <c r="V31" s="31">
        <f>A31-utc_offset/24</f>
        <v>43033.798715277779</v>
      </c>
      <c r="W31" s="45" t="str">
        <f>DetSubdiv(C31)</f>
        <v>NW</v>
      </c>
      <c r="X31" s="22">
        <f>VALUE(LEFT(C31,LEN(C31)-3))</f>
        <v>821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DUS","project_id":79,"tracker_id":40,"status_id":1,"priority_id":2,"assigned_to_id":338,"start_date":"2017-10-25","description":"","custom_fields":[{"id":1,"name":"Subdivision","value":"NW"},{"id":4,"name":"Milepost","value":"0.1725"},{"id":17,"name":"Train ID","value":"821-25"},{"id":16,"name":"Locomotive ID","value":"4052"},{"id":130,"name":"Impact","value":""},{"id":150,"name":"Time of Event (Mountain Time)","value":"13:10:09"},{"id":151,"name":"Denver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/c/Users/stu/AppData/Local/Temp/OnboardLogs/RTDC4052 --include="*4052*201710251*"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"%USERPROFILE%\AppData\Local\Temp\OnboardLogs"\RTDC4052\*4052*201710251* &gt;&gt; 2017-10-25-SliceDisagreementCheck.txt</v>
      </c>
      <c r="AE31" s="145" t="str">
        <f t="shared" si="1"/>
        <v>start /low /b %USERPROFILE%\Documents\GitHub\eaglep3\Utilities\DownloadLogsFromS3.py --loco 4052 --day 2017-10-25</v>
      </c>
      <c r="AF31" s="1"/>
    </row>
    <row r="32" spans="1:32" x14ac:dyDescent="0.3">
      <c r="A32" s="31">
        <v>43033.777974537035</v>
      </c>
      <c r="B32" s="30" t="s">
        <v>440</v>
      </c>
      <c r="C32" s="30" t="s">
        <v>657</v>
      </c>
      <c r="D32" s="30" t="s">
        <v>95</v>
      </c>
      <c r="E32" s="30" t="s">
        <v>395</v>
      </c>
      <c r="F32" s="42">
        <v>0</v>
      </c>
      <c r="G32" s="42">
        <v>60</v>
      </c>
      <c r="H32" s="42">
        <v>1808</v>
      </c>
      <c r="I32" s="42">
        <v>1854</v>
      </c>
      <c r="J32" s="30" t="s">
        <v>396</v>
      </c>
      <c r="K32" s="42">
        <v>1725</v>
      </c>
      <c r="L32" s="131" t="s">
        <v>50</v>
      </c>
      <c r="M32" s="132">
        <f>CONVERT((I32-K32)/10000,"mi","ft")*IF(L32="Increasing Mileposts (1)",-1,1)</f>
        <v>-68.111999999999995</v>
      </c>
      <c r="N32" s="133" t="str">
        <f>VLOOKUP(C32,'Trips&amp;Operators'!$C$1:$G$99911,5,FALSE)</f>
        <v>STAMBAUGH JAMES</v>
      </c>
      <c r="O32" s="176" t="s">
        <v>371</v>
      </c>
      <c r="P32" s="134" t="s">
        <v>557</v>
      </c>
      <c r="Q32" s="30"/>
      <c r="R32" s="81" t="str">
        <f>VLOOKUP(C32,'Train Runs'!$A$13:$AE$10076,31,0)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S32" s="84" t="str">
        <f>VLOOKUP(C32,'Train Runs'!$A$13:$AE$10076,22,0)</f>
        <v>https://d0f6bd738d7f1b3e5a7ca70fe4ff75f0.us-east-1.aws.found.io/app/kibana#/discover/Steve-Slow-Train-Analysis-(2080s-and-2083s)?_g=(refreshInterval:(display:Off,pause:!f,section:0,value:0),time:(from:'2017-10-25T17:34:34-0600',mode:absolute,to:'2017-10-25T19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/stypes="*4024*201710260*" /stext=" 00:.+((SYSTEM_STATE.+slice.+state.+changed )|(ment ac)|(multiple cpu faults)|(system.+state.+changed )|(\[timeout)|(PRM\|1\|D)|(kpr)|(kdp)|(train st.+moving)|(\|lc)|(penalty))"</v>
      </c>
      <c r="U32" s="9" t="str">
        <f>MID(B32,13,4)</f>
        <v>4024</v>
      </c>
      <c r="V32" s="31">
        <f>A32-utc_offset/24</f>
        <v>43034.027974537035</v>
      </c>
      <c r="W32" s="45" t="str">
        <f>DetSubdiv(C32)</f>
        <v>NW</v>
      </c>
      <c r="X32" s="22">
        <f>VALUE(LEFT(C32,LEN(C32)-3))</f>
        <v>839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DUS","project_id":79,"tracker_id":40,"status_id":1,"priority_id":2,"assigned_to_id":338,"start_date":"2017-10-25","description":"","custom_fields":[{"id":1,"name":"Subdivision","value":"NW"},{"id":4,"name":"Milepost","value":"0.1725"},{"id":17,"name":"Train ID","value":"839-25"},{"id":16,"name":"Locomotive ID","value":"4024"},{"id":130,"name":"Impact","value":""},{"id":150,"name":"Time of Event (Mountain Time)","value":"18:40:17"},{"id":151,"name":"Denver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/c/Users/stu/AppData/Local/Temp/OnboardLogs/RTDC4024 --include="*4024*201710260*"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"%USERPROFILE%\AppData\Local\Temp\OnboardLogs"\RTDC4024\*4024*201710260* &gt;&gt; 2017-10-25-SliceDisagreementCheck.txt</v>
      </c>
      <c r="AE32" s="145" t="str">
        <f t="shared" si="1"/>
        <v>start /low /b %USERPROFILE%\Documents\GitHub\eaglep3\Utilities\DownloadLogsFromS3.py --loco 4024 --day 2017-10-26</v>
      </c>
      <c r="AF32" s="1"/>
    </row>
    <row r="33" spans="1:32" x14ac:dyDescent="0.3">
      <c r="A33" s="31">
        <v>43033.225752314815</v>
      </c>
      <c r="B33" s="30" t="s">
        <v>441</v>
      </c>
      <c r="C33" s="30" t="s">
        <v>624</v>
      </c>
      <c r="D33" s="30" t="s">
        <v>49</v>
      </c>
      <c r="E33" s="30" t="s">
        <v>179</v>
      </c>
      <c r="F33" s="42">
        <v>0</v>
      </c>
      <c r="G33" s="42">
        <v>37</v>
      </c>
      <c r="H33" s="42">
        <v>701</v>
      </c>
      <c r="I33" s="42">
        <v>668</v>
      </c>
      <c r="J33" s="30" t="s">
        <v>180</v>
      </c>
      <c r="K33" s="42">
        <v>575</v>
      </c>
      <c r="L33" s="131" t="s">
        <v>51</v>
      </c>
      <c r="M33" s="132">
        <f>CONVERT((I33-K33)/10000,"mi","ft")*IF(L33="Increasing Mileposts (1)",-1,1)</f>
        <v>49.103999999999999</v>
      </c>
      <c r="N33" s="133" t="str">
        <f>VLOOKUP(C33,'Trips&amp;Operators'!$C$1:$G$99911,5,FALSE)</f>
        <v>LAMAR NEKESHA</v>
      </c>
      <c r="O33" s="176" t="s">
        <v>178</v>
      </c>
      <c r="P33" s="134"/>
      <c r="Q33" s="30"/>
      <c r="R33" s="81" t="str">
        <f>VLOOKUP(C33,'Train Runs'!$A$13:$AE$10076,31,0)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S33" s="84" t="str">
        <f>VLOOKUP(C33,'Train Runs'!$A$13:$AE$10076,22,0)</f>
        <v>https://d0f6bd738d7f1b3e5a7ca70fe4ff75f0.us-east-1.aws.found.io/app/kibana#/discover/Steve-Slow-Train-Analysis-(2080s-and-2083s)?_g=(refreshInterval:(display:Off,pause:!f,section:0,value:0),time:(from:'2017-10-25T04:09:20-0600',mode:absolute,to:'2017-10-25T06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/stypes="*4023*201710251*" /stext=" 11:.+((SYSTEM_STATE.+slice.+state.+changed )|(ment ac)|(multiple cpu faults)|(system.+state.+changed )|(\[timeout)|(PRM\|1\|D)|(kpr)|(kdp)|(train st.+moving)|(\|lc)|(penalty))"</v>
      </c>
      <c r="U33" s="9" t="str">
        <f>MID(B33,13,4)</f>
        <v>4023</v>
      </c>
      <c r="V33" s="31">
        <f>A33-utc_offset/24</f>
        <v>43033.475752314815</v>
      </c>
      <c r="W33" s="45" t="str">
        <f>DetSubdiv(C33)</f>
        <v>NW</v>
      </c>
      <c r="X33" s="22">
        <f>VALUE(LEFT(C33,LEN(C33)-3))</f>
        <v>800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{"issue":{"subject":"","project_id":79,"tracker_id":40,"status_id":1,"priority_id":2,"assigned_to_id":338,"start_date":"2017-10-25","description":"","custom_fields":[{"id":1,"name":"Subdivision","value":"NW"},{"id":4,"name":"Milepost","value":"0.0575"},{"id":17,"name":"Train ID","value":"800-25"},{"id":16,"name":"Locomotive ID","value":"4023"},{"id":130,"name":"Impact","value":""},{"id":150,"name":"Time of Event (Mountain Time)","value":"05:25:05"},{"id":151,"name":"Denver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/c/Users/stu/AppData/Local/Temp/OnboardLogs/RTDC4023 --include="*4023*201710251*"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"%USERPROFILE%\AppData\Local\Temp\OnboardLogs"\RTDC4023\*4023*201710251* &gt;&gt; 2017-10-25-SliceDisagreementCheck.txt</v>
      </c>
      <c r="AE33" s="145" t="str">
        <f t="shared" si="1"/>
        <v>start /low /b %USERPROFILE%\Documents\GitHub\eaglep3\Utilities\DownloadLogsFromS3.py --loco 4023 --day 2017-10-25</v>
      </c>
      <c r="AF33" s="1"/>
    </row>
    <row r="34" spans="1:32" x14ac:dyDescent="0.3">
      <c r="A34" s="31">
        <v>43033.267407407409</v>
      </c>
      <c r="B34" s="30" t="s">
        <v>441</v>
      </c>
      <c r="C34" s="30" t="s">
        <v>628</v>
      </c>
      <c r="D34" s="30" t="s">
        <v>49</v>
      </c>
      <c r="E34" s="30" t="s">
        <v>179</v>
      </c>
      <c r="F34" s="42">
        <v>0</v>
      </c>
      <c r="G34" s="42">
        <v>35</v>
      </c>
      <c r="H34" s="42">
        <v>678</v>
      </c>
      <c r="I34" s="42">
        <v>657</v>
      </c>
      <c r="J34" s="30" t="s">
        <v>180</v>
      </c>
      <c r="K34" s="42">
        <v>575</v>
      </c>
      <c r="L34" s="131" t="s">
        <v>51</v>
      </c>
      <c r="M34" s="132">
        <f>CONVERT((I34-K34)/10000,"mi","ft")*IF(L34="Increasing Mileposts (1)",-1,1)</f>
        <v>43.296000000000006</v>
      </c>
      <c r="N34" s="133" t="str">
        <f>VLOOKUP(C34,'Trips&amp;Operators'!$C$1:$G$99911,5,FALSE)</f>
        <v>LAMAR NEKESHA</v>
      </c>
      <c r="O34" s="176" t="s">
        <v>178</v>
      </c>
      <c r="P34" s="134"/>
      <c r="Q34" s="30"/>
      <c r="R34" s="81" t="str">
        <f>VLOOKUP(C34,'Train Runs'!$A$13:$AE$10076,31,0)</f>
        <v>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 &amp; 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</v>
      </c>
      <c r="S34" s="84" t="str">
        <f>VLOOKUP(C34,'Train Runs'!$A$13:$AE$10076,22,0)</f>
        <v>https://d0f6bd738d7f1b3e5a7ca70fe4ff75f0.us-east-1.aws.found.io/app/kibana#/discover/Steve-Slow-Train-Analysis-(2080s-and-2083s)?_g=(refreshInterval:(display:Off,pause:!f,section:0,value:0),time:(from:'2017-10-25T04:54:41-0600',mode:absolute,to:'2017-10-25T07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/stypes="*4023*201710251*" /stext=" 12:.+((SYSTEM_STATE.+slice.+state.+changed )|(ment ac)|(multiple cpu faults)|(system.+state.+changed )|(\[timeout)|(PRM\|1\|D)|(kpr)|(kdp)|(train st.+moving)|(\|lc)|(penalty))"</v>
      </c>
      <c r="U34" s="9" t="str">
        <f>MID(B34,13,4)</f>
        <v>4023</v>
      </c>
      <c r="V34" s="31">
        <f>A34-utc_offset/24</f>
        <v>43033.517407407409</v>
      </c>
      <c r="W34" s="45" t="str">
        <f>DetSubdiv(C34)</f>
        <v>NW</v>
      </c>
      <c r="X34" s="22">
        <f>VALUE(LEFT(C34,LEN(C34)-3))</f>
        <v>802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{"issue":{"subject":"","project_id":79,"tracker_id":40,"status_id":1,"priority_id":2,"assigned_to_id":338,"start_date":"2017-10-25","description":"","custom_fields":[{"id":1,"name":"Subdivision","value":"NW"},{"id":4,"name":"Milepost","value":"0.0575"},{"id":17,"name":"Train ID","value":"802-25"},{"id":16,"name":"Locomotive ID","value":"4023"},{"id":130,"name":"Impact","value":""},{"id":150,"name":"Time of Event (Mountain Time)","value":"06:25:04"},{"id":151,"name":"Denver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/c/Users/stu/AppData/Local/Temp/OnboardLogs/RTDC4023 --include="*4023*201710251*"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"%USERPROFILE%\AppData\Local\Temp\OnboardLogs"\RTDC4023\*4023*201710251* &gt;&gt; 2017-10-25-SliceDisagreementCheck.txt</v>
      </c>
      <c r="AE34" s="145" t="str">
        <f t="shared" si="1"/>
        <v>start /low /b %USERPROFILE%\Documents\GitHub\eaglep3\Utilities\DownloadLogsFromS3.py --loco 4023 --day 2017-10-25</v>
      </c>
      <c r="AF34" s="1"/>
    </row>
    <row r="35" spans="1:32" x14ac:dyDescent="0.3">
      <c r="A35" s="31">
        <v>43033.287141203706</v>
      </c>
      <c r="B35" s="30" t="s">
        <v>440</v>
      </c>
      <c r="C35" s="30" t="s">
        <v>629</v>
      </c>
      <c r="D35" s="30" t="s">
        <v>49</v>
      </c>
      <c r="E35" s="30" t="s">
        <v>179</v>
      </c>
      <c r="F35" s="42">
        <v>0</v>
      </c>
      <c r="G35" s="42">
        <v>158</v>
      </c>
      <c r="H35" s="42">
        <v>57944</v>
      </c>
      <c r="I35" s="42">
        <v>58187</v>
      </c>
      <c r="J35" s="30" t="s">
        <v>180</v>
      </c>
      <c r="K35" s="42">
        <v>59048</v>
      </c>
      <c r="L35" s="131" t="s">
        <v>50</v>
      </c>
      <c r="M35" s="132">
        <f>CONVERT((I35-K35)/10000,"mi","ft")*IF(L35="Increasing Mileposts (1)",-1,1)</f>
        <v>454.608</v>
      </c>
      <c r="N35" s="133" t="str">
        <f>VLOOKUP(C35,'Trips&amp;Operators'!$C$1:$G$99911,5,FALSE)</f>
        <v>LAMAR NEKESHA</v>
      </c>
      <c r="O35" s="176" t="s">
        <v>178</v>
      </c>
      <c r="P35" s="134"/>
      <c r="Q35" s="30"/>
      <c r="R35" s="81" t="str">
        <f>VLOOKUP(C35,'Train Runs'!$A$13:$AE$10076,31,0)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S35" s="84" t="str">
        <f>VLOOKUP(C35,'Train Runs'!$A$13:$AE$10076,22,0)</f>
        <v>https://d0f6bd738d7f1b3e5a7ca70fe4ff75f0.us-east-1.aws.found.io/app/kibana#/discover/Steve-Slow-Train-Analysis-(2080s-and-2083s)?_g=(refreshInterval:(display:Off,pause:!f,section:0,value:0),time:(from:'2017-10-25T05:36:16-0600',mode:absolute,to:'2017-10-25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/stypes="*4024*201710251*" /stext=" 12:.+((SYSTEM_STATE.+slice.+state.+changed )|(ment ac)|(multiple cpu faults)|(system.+state.+changed )|(\[timeout)|(PRM\|1\|D)|(kpr)|(kdp)|(train st.+moving)|(\|lc)|(penalty))"</v>
      </c>
      <c r="U35" s="9" t="str">
        <f>MID(B35,13,4)</f>
        <v>4024</v>
      </c>
      <c r="V35" s="31">
        <f>A35-utc_offset/24</f>
        <v>43033.537141203706</v>
      </c>
      <c r="W35" s="45" t="str">
        <f>DetSubdiv(C35)</f>
        <v>NW</v>
      </c>
      <c r="X35" s="22">
        <f>VALUE(LEFT(C35,LEN(C35)-3))</f>
        <v>805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{"issue":{"subject":"","project_id":79,"tracker_id":40,"status_id":1,"priority_id":2,"assigned_to_id":338,"start_date":"2017-10-25","description":"","custom_fields":[{"id":1,"name":"Subdivision","value":"NW"},{"id":4,"name":"Milepost","value":"5.9048"},{"id":17,"name":"Train ID","value":"805-25"},{"id":16,"name":"Locomotive ID","value":"4024"},{"id":130,"name":"Impact","value":""},{"id":150,"name":"Time of Event (Mountain Time)","value":"06:53:29"},{"id":151,"name":"Denver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/c/Users/stu/AppData/Local/Temp/OnboardLogs/RTDC4024 --include="*4024*201710251*"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"%USERPROFILE%\AppData\Local\Temp\OnboardLogs"\RTDC4024\*4024*201710251* &gt;&gt; 2017-10-25-SliceDisagreementCheck.txt</v>
      </c>
      <c r="AE35" s="145" t="str">
        <f t="shared" si="1"/>
        <v>start /low /b %USERPROFILE%\Documents\GitHub\eaglep3\Utilities\DownloadLogsFromS3.py --loco 4024 --day 2017-10-25</v>
      </c>
      <c r="AF35" s="1"/>
    </row>
    <row r="36" spans="1:32" x14ac:dyDescent="0.3">
      <c r="A36" s="31">
        <v>43033.746342592596</v>
      </c>
      <c r="B36" s="30" t="s">
        <v>440</v>
      </c>
      <c r="C36" s="30" t="s">
        <v>656</v>
      </c>
      <c r="D36" s="30" t="s">
        <v>49</v>
      </c>
      <c r="E36" s="30" t="s">
        <v>179</v>
      </c>
      <c r="F36" s="42">
        <v>0</v>
      </c>
      <c r="G36" s="42">
        <v>38</v>
      </c>
      <c r="H36" s="42">
        <v>58988</v>
      </c>
      <c r="I36" s="42">
        <v>58999</v>
      </c>
      <c r="J36" s="30" t="s">
        <v>180</v>
      </c>
      <c r="K36" s="42">
        <v>59048</v>
      </c>
      <c r="L36" s="131" t="s">
        <v>50</v>
      </c>
      <c r="M36" s="132">
        <f>CONVERT((I36-K36)/10000,"mi","ft")*IF(L36="Increasing Mileposts (1)",-1,1)</f>
        <v>25.872</v>
      </c>
      <c r="N36" s="133" t="str">
        <f>VLOOKUP(C36,'Trips&amp;Operators'!$C$1:$G$99911,5,FALSE)</f>
        <v>STAMBAUGH JAMES</v>
      </c>
      <c r="O36" s="176" t="s">
        <v>178</v>
      </c>
      <c r="P36" s="134"/>
      <c r="Q36" s="30"/>
      <c r="R36" s="81" t="str">
        <f>VLOOKUP(C36,'Train Runs'!$A$13:$AE$10076,31,0)</f>
        <v>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 &amp; 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</v>
      </c>
      <c r="S36" s="84" t="str">
        <f>VLOOKUP(C36,'Train Runs'!$A$13:$AE$10076,22,0)</f>
        <v>https://d0f6bd738d7f1b3e5a7ca70fe4ff75f0.us-east-1.aws.found.io/app/kibana#/discover/Steve-Slow-Train-Analysis-(2080s-and-2083s)?_g=(refreshInterval:(display:Off,pause:!f,section:0,value:0),time:(from:'2017-10-25T16:35:31-0600',mode:absolute,to:'2017-10-25T18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/stypes="*4024*201710252*" /stext=" 23:.+((SYSTEM_STATE.+slice.+state.+changed )|(ment ac)|(multiple cpu faults)|(system.+state.+changed )|(\[timeout)|(PRM\|1\|D)|(kpr)|(kdp)|(train st.+moving)|(\|lc)|(penalty))"</v>
      </c>
      <c r="U36" s="9" t="str">
        <f>MID(B36,13,4)</f>
        <v>4024</v>
      </c>
      <c r="V36" s="31">
        <f>A36-utc_offset/24</f>
        <v>43033.996342592596</v>
      </c>
      <c r="W36" s="45" t="str">
        <f>DetSubdiv(C36)</f>
        <v>NW</v>
      </c>
      <c r="X36" s="22">
        <f>VALUE(LEFT(C36,LEN(C36)-3))</f>
        <v>835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{"issue":{"subject":"","project_id":79,"tracker_id":40,"status_id":1,"priority_id":2,"assigned_to_id":338,"start_date":"2017-10-25","description":"","custom_fields":[{"id":1,"name":"Subdivision","value":"NW"},{"id":4,"name":"Milepost","value":"5.9048"},{"id":17,"name":"Train ID","value":"835-25"},{"id":16,"name":"Locomotive ID","value":"4024"},{"id":130,"name":"Impact","value":""},{"id":150,"name":"Time of Event (Mountain Time)","value":"17:54:44"},{"id":151,"name":"Denver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/c/Users/stu/AppData/Local/Temp/OnboardLogs/RTDC4024 --include="*4024*201710252*"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"%USERPROFILE%\AppData\Local\Temp\OnboardLogs"\RTDC4024\*4024*201710252* &gt;&gt; 2017-10-25-SliceDisagreementCheck.txt</v>
      </c>
      <c r="AE36" s="145" t="str">
        <f t="shared" si="1"/>
        <v>start /low /b %USERPROFILE%\Documents\GitHub\eaglep3\Utilities\DownloadLogsFromS3.py --loco 4024 --day 2017-10-25</v>
      </c>
      <c r="AF36" s="1"/>
    </row>
    <row r="37" spans="1:32" x14ac:dyDescent="0.3">
      <c r="A37" s="31">
        <v>43034.033703703702</v>
      </c>
      <c r="B37" s="30" t="s">
        <v>637</v>
      </c>
      <c r="C37" s="30" t="s">
        <v>663</v>
      </c>
      <c r="D37" s="30" t="s">
        <v>49</v>
      </c>
      <c r="E37" s="30" t="s">
        <v>185</v>
      </c>
      <c r="F37" s="42">
        <v>0</v>
      </c>
      <c r="G37" s="42">
        <v>190</v>
      </c>
      <c r="H37" s="42">
        <v>10627</v>
      </c>
      <c r="I37" s="42">
        <v>11016</v>
      </c>
      <c r="J37" s="30" t="s">
        <v>186</v>
      </c>
      <c r="K37" s="42">
        <v>10716</v>
      </c>
      <c r="L37" s="131" t="s">
        <v>50</v>
      </c>
      <c r="M37" s="132">
        <f>CONVERT((I37-K37)/10000,"mi","ft")*IF(L37="Increasing Mileposts (1)",-1,1)</f>
        <v>-158.4</v>
      </c>
      <c r="N37" s="133" t="str">
        <f>VLOOKUP(C37,'Trips&amp;Operators'!$C$1:$G$99911,5,FALSE)</f>
        <v>NICHOLSON WESLEY</v>
      </c>
      <c r="O37" s="176" t="s">
        <v>178</v>
      </c>
      <c r="P37" s="134"/>
      <c r="Q37" s="30"/>
      <c r="R37" s="81" t="str">
        <f>VLOOKUP(C37,'Train Runs'!$A$13:$AE$10076,31,0)</f>
        <v>aws s3 cp s3://rtdc.mdm.uploadarchive.raw/RTDC4030/ "%USERPROFILE%\AppData\Local\Temp\OnboardLogs"\RTDC4030\2017-10-26 --exclude "*" --recursive --include "*20171026*" &amp; "%USERPROFILE%\Documents\GitHub\mrs-test-scripts\Headless Mode &amp; Sideloading\WalkAndUnGZ.bat" "%USERPROFILE%\AppData\Local\Temp\OnboardLogs"\RTDC4030\2017-10-26 &amp; aws s3 cp s3://rtdc.mdm.uploadarchive.raw/RTDC4030/ "%USERPROFILE%\AppData\Local\Temp\OnboardLogs"\RTDC4030\2017-10-27 --exclude "*" --recursive --include "*20171027*" &amp; "%USERPROFILE%\Documents\GitHub\mrs-test-scripts\Headless Mode &amp; Sideloading\WalkAndUnGZ.bat" "%USERPROFILE%\AppData\Local\Temp\OnboardLogs"\RTDC4030\2017-10-27</v>
      </c>
      <c r="S37" s="84" t="str">
        <f>VLOOKUP(C37,'Train Runs'!$A$13:$AE$10076,22,0)</f>
        <v>https://d0f6bd738d7f1b3e5a7ca70fe4ff75f0.us-east-1.aws.found.io/app/kibana#/discover/Steve-Slow-Train-Analysis-(2080s-and-2083s)?_g=(refreshInterval:(display:Off,pause:!f,section:0,value:0),time:(from:'2017-10-25T23:40:49-0600',mode:absolute,to:'2017-10-26T02:00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/stypes="*4030*201710260*" /stext=" 06:.+((SYSTEM_STATE.+slice.+state.+changed )|(ment ac)|(multiple cpu faults)|(system.+state.+changed )|(\[timeout)|(PRM\|1\|D)|(kpr)|(kdp)|(train st.+moving)|(\|lc)|(penalty))"</v>
      </c>
      <c r="U37" s="9" t="str">
        <f>MID(B37,13,4)</f>
        <v>4030</v>
      </c>
      <c r="V37" s="31">
        <f>A37-utc_offset/24</f>
        <v>43034.283703703702</v>
      </c>
      <c r="W37" s="45" t="str">
        <f>DetSubdiv(C37)</f>
        <v>Other</v>
      </c>
      <c r="X37" s="22">
        <f>VALUE(LEFT(C37,LEN(C37)-3))</f>
        <v>313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{"issue":{"subject":"","project_id":79,"tracker_id":40,"status_id":1,"priority_id":2,"assigned_to_id":338,"start_date":"2017-10-26","description":"","custom_fields":[{"id":1,"name":"Subdivision","value":"Other"},{"id":4,"name":"Milepost","value":"1.0716"},{"id":17,"name":"Train ID","value":"313-25"},{"id":16,"name":"Locomotive ID","value":"4030"},{"id":130,"name":"Impact","value":""},{"id":150,"name":"Time of Event (Mountain Time)","value":"00:48:32"},{"id":151,"name":"Denver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/c/Users/stu/AppData/Local/Temp/OnboardLogs/RTDC4030 --include="*4030*201710260*"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"%USERPROFILE%\AppData\Local\Temp\OnboardLogs"\RTDC4030\*4030*201710260* &gt;&gt; 2017-10-25-SliceDisagreementCheck.txt</v>
      </c>
      <c r="AE37" s="145" t="str">
        <f t="shared" si="1"/>
        <v>start /low /b %USERPROFILE%\Documents\GitHub\eaglep3\Utilities\DownloadLogsFromS3.py --loco 4030 --day 2017-10-26</v>
      </c>
      <c r="AF37" s="1"/>
    </row>
    <row r="38" spans="1:32" x14ac:dyDescent="0.3">
      <c r="A38" s="31">
        <v>43033.230023148149</v>
      </c>
      <c r="B38" s="30" t="s">
        <v>625</v>
      </c>
      <c r="C38" s="30" t="s">
        <v>626</v>
      </c>
      <c r="D38" s="30" t="s">
        <v>49</v>
      </c>
      <c r="E38" s="30" t="s">
        <v>395</v>
      </c>
      <c r="F38" s="42">
        <v>0</v>
      </c>
      <c r="G38" s="42">
        <v>27</v>
      </c>
      <c r="H38" s="42">
        <v>24358</v>
      </c>
      <c r="I38" s="42">
        <v>24336</v>
      </c>
      <c r="J38" s="30" t="s">
        <v>396</v>
      </c>
      <c r="K38" s="42">
        <v>24199</v>
      </c>
      <c r="L38" s="131" t="s">
        <v>51</v>
      </c>
      <c r="M38" s="132">
        <f>CONVERT((I38-K38)/10000,"mi","ft")*IF(L38="Increasing Mileposts (1)",-1,1)</f>
        <v>72.335999999999999</v>
      </c>
      <c r="N38" s="133" t="str">
        <f>VLOOKUP(C38,'Trips&amp;Operators'!$C$1:$G$99911,5,FALSE)</f>
        <v>YANAI IAN</v>
      </c>
      <c r="O38" s="176" t="s">
        <v>178</v>
      </c>
      <c r="P38" s="134"/>
      <c r="Q38" s="30"/>
      <c r="R38" s="81" t="e">
        <f>VLOOKUP(C38,'Train Runs'!$A$13:$AE$10076,31,0)</f>
        <v>#N/A</v>
      </c>
      <c r="S38" s="84" t="e">
        <f>VLOOKUP(C38,'Train Runs'!$A$13:$AE$10076,22,0)</f>
        <v>#N/A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/stypes="*4003*201710251*" /stext=" 11:.+((SYSTEM_STATE.+slice.+state.+changed )|(ment ac)|(multiple cpu faults)|(system.+state.+changed )|(\[timeout)|(PRM\|1\|D)|(kpr)|(kdp)|(train st.+moving)|(\|lc)|(penalty))"</v>
      </c>
      <c r="U38" s="9" t="str">
        <f>MID(B38,13,4)</f>
        <v>4003</v>
      </c>
      <c r="V38" s="31">
        <f>A38-utc_offset/24</f>
        <v>43033.480023148149</v>
      </c>
      <c r="W38" s="45" t="str">
        <f>DetSubdiv(C38)</f>
        <v>Other</v>
      </c>
      <c r="X38" s="22">
        <f>VALUE(LEFT(C38,LEN(C38)-3))</f>
        <v>310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{"issue":{"subject":"","project_id":79,"tracker_id":40,"status_id":1,"priority_id":2,"assigned_to_id":338,"start_date":"2017-10-25","description":"","custom_fields":[{"id":1,"name":"Subdivision","value":"Other"},{"id":4,"name":"Milepost","value":"2.4199"},{"id":17,"name":"Train ID","value":"310-25"},{"id":16,"name":"Locomotive ID","value":"4003"},{"id":130,"name":"Impact","value":""},{"id":150,"name":"Time of Event (Mountain Time)","value":"05:31:14"},{"id":151,"name":"Denver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/c/Users/stu/AppData/Local/Temp/OnboardLogs/RTDC4003 --include="*4003*201710251*"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"%USERPROFILE%\AppData\Local\Temp\OnboardLogs"\RTDC4003\*4003*201710251* &gt;&gt; 2017-10-25-SliceDisagreementCheck.txt</v>
      </c>
      <c r="AE38" s="145" t="str">
        <f t="shared" si="1"/>
        <v>start /low /b %USERPROFILE%\Documents\GitHub\eaglep3\Utilities\DownloadLogsFromS3.py --loco 4003 --day 2017-10-25</v>
      </c>
      <c r="AF38" s="1"/>
    </row>
    <row r="39" spans="1:32" x14ac:dyDescent="0.3">
      <c r="A39" s="31">
        <v>43033.174699074072</v>
      </c>
      <c r="B39" s="30" t="s">
        <v>421</v>
      </c>
      <c r="C39" s="30" t="s">
        <v>621</v>
      </c>
      <c r="D39" s="30" t="s">
        <v>49</v>
      </c>
      <c r="E39" s="30" t="s">
        <v>179</v>
      </c>
      <c r="F39" s="42">
        <v>0</v>
      </c>
      <c r="G39" s="42">
        <v>87</v>
      </c>
      <c r="H39" s="42">
        <v>303</v>
      </c>
      <c r="I39" s="42">
        <v>205</v>
      </c>
      <c r="J39" s="30" t="s">
        <v>180</v>
      </c>
      <c r="K39" s="42">
        <v>1</v>
      </c>
      <c r="L39" s="131" t="s">
        <v>51</v>
      </c>
      <c r="M39" s="132">
        <f>CONVERT((I39-K39)/10000,"mi","ft")*IF(L39="Increasing Mileposts (1)",-1,1)</f>
        <v>107.712</v>
      </c>
      <c r="N39" s="133" t="str">
        <f>VLOOKUP(C39,'Trips&amp;Operators'!$C$1:$G$99911,5,FALSE)</f>
        <v>YORK EDGAR</v>
      </c>
      <c r="O39" s="176" t="s">
        <v>178</v>
      </c>
      <c r="P39" s="134"/>
      <c r="Q39" s="30"/>
      <c r="R39" s="81" t="e">
        <f>VLOOKUP(C39,'Train Runs'!$A$13:$AE$10076,31,0)</f>
        <v>#N/A</v>
      </c>
      <c r="S39" s="84" t="e">
        <f>VLOOKUP(C39,'Train Runs'!$A$13:$AE$10076,22,0)</f>
        <v>#N/A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/stypes="*4017*201710251*" /stext=" 10:.+((SYSTEM_STATE.+slice.+state.+changed )|(ment ac)|(multiple cpu faults)|(system.+state.+changed )|(\[timeout)|(PRM\|1\|D)|(kpr)|(kdp)|(train st.+moving)|(\|lc)|(penalty))"</v>
      </c>
      <c r="U39" s="9" t="str">
        <f>MID(B39,13,4)</f>
        <v>4017</v>
      </c>
      <c r="V39" s="31">
        <f>A39-utc_offset/24</f>
        <v>43033.424699074072</v>
      </c>
      <c r="W39" s="45" t="str">
        <f>DetSubdiv(C39)</f>
        <v>Other</v>
      </c>
      <c r="X39" s="22">
        <f>VALUE(LEFT(C39,LEN(C39)-3))</f>
        <v>304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{"issue":{"subject":"","project_id":79,"tracker_id":40,"status_id":1,"priority_id":2,"assigned_to_id":338,"start_date":"2017-10-25","description":"","custom_fields":[{"id":1,"name":"Subdivision","value":"Other"},{"id":4,"name":"Milepost","value":"0.0001"},{"id":17,"name":"Train ID","value":"304-25"},{"id":16,"name":"Locomotive ID","value":"4017"},{"id":130,"name":"Impact","value":""},{"id":150,"name":"Time of Event (Mountain Time)","value":"04:11:34"},{"id":151,"name":"Denver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/c/Users/stu/AppData/Local/Temp/OnboardLogs/RTDC4017 --include="*4017*201710251*"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"%USERPROFILE%\AppData\Local\Temp\OnboardLogs"\RTDC4017\*4017*201710251* &gt;&gt; 2017-10-25-SliceDisagreementCheck.txt</v>
      </c>
      <c r="AE39" s="145" t="str">
        <f t="shared" si="1"/>
        <v>start /low /b %USERPROFILE%\Documents\GitHub\eaglep3\Utilities\DownloadLogsFromS3.py --loco 4017 --day 2017-10-25</v>
      </c>
      <c r="AF39" s="1"/>
    </row>
    <row r="40" spans="1:32" x14ac:dyDescent="0.3">
      <c r="A40" s="31">
        <v>43033.640648148146</v>
      </c>
      <c r="B40" s="30" t="s">
        <v>642</v>
      </c>
      <c r="C40" s="30" t="s">
        <v>652</v>
      </c>
      <c r="D40" s="30" t="s">
        <v>49</v>
      </c>
      <c r="E40" s="30" t="s">
        <v>185</v>
      </c>
      <c r="F40" s="42">
        <v>0</v>
      </c>
      <c r="G40" s="42">
        <v>352</v>
      </c>
      <c r="H40" s="42">
        <v>50958</v>
      </c>
      <c r="I40" s="42">
        <v>50170</v>
      </c>
      <c r="J40" s="30" t="s">
        <v>186</v>
      </c>
      <c r="K40" s="42">
        <v>50566</v>
      </c>
      <c r="L40" s="131" t="s">
        <v>51</v>
      </c>
      <c r="M40" s="132">
        <f>CONVERT((I40-K40)/10000,"mi","ft")*IF(L40="Increasing Mileposts (1)",-1,1)</f>
        <v>-209.08799999999999</v>
      </c>
      <c r="N40" s="133" t="str">
        <f>VLOOKUP(C40,'Trips&amp;Operators'!$C$1:$G$99911,5,FALSE)</f>
        <v>BIRKHOLZ NADINE</v>
      </c>
      <c r="O40" s="176" t="s">
        <v>178</v>
      </c>
      <c r="P40" s="134"/>
      <c r="Q40" s="30"/>
      <c r="R40" s="81" t="str">
        <f>VLOOKUP(C40,'Train Runs'!$A$13:$AE$10076,31,0)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S40" s="84" t="str">
        <f>VLOOKUP(C40,'Train Runs'!$A$13:$AE$10076,22,0)</f>
        <v>https://d0f6bd738d7f1b3e5a7ca70fe4ff75f0.us-east-1.aws.found.io/app/kibana#/discover/Steve-Slow-Train-Analysis-(2080s-and-2083s)?_g=(refreshInterval:(display:Off,pause:!f,section:0,value:0),time:(from:'2017-10-25T14:01:13-0600',mode:absolute,to:'2017-10-25T16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/stypes="*4031*201710252*" /stext=" 21:.+((SYSTEM_STATE.+slice.+state.+changed )|(ment ac)|(multiple cpu faults)|(system.+state.+changed )|(\[timeout)|(PRM\|1\|D)|(kpr)|(kdp)|(train st.+moving)|(\|lc)|(penalty))"</v>
      </c>
      <c r="U40" s="9" t="str">
        <f>MID(B40,13,4)</f>
        <v>4031</v>
      </c>
      <c r="V40" s="31">
        <f>A40-utc_offset/24</f>
        <v>43033.890648148146</v>
      </c>
      <c r="W40" s="45" t="str">
        <f>DetSubdiv(C40)</f>
        <v>Shuttle/Test</v>
      </c>
      <c r="X40" s="22">
        <f>VALUE(LEFT(C40,LEN(C40)-3))</f>
        <v>78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5.0566"},{"id":17,"name":"Train ID","value":"78-25"},{"id":16,"name":"Locomotive ID","value":"4031"},{"id":130,"name":"Impact","value":""},{"id":150,"name":"Time of Event (Mountain Time)","value":"15:22:32"},{"id":151,"name":"Denver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/c/Users/stu/AppData/Local/Temp/OnboardLogs/RTDC4031 --include="*4031*201710252*"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"%USERPROFILE%\AppData\Local\Temp\OnboardLogs"\RTDC4031\*4031*201710252* &gt;&gt; 2017-10-25-SliceDisagreementCheck.txt</v>
      </c>
      <c r="AE40" s="145" t="str">
        <f t="shared" si="1"/>
        <v>start /low /b %USERPROFILE%\Documents\GitHub\eaglep3\Utilities\DownloadLogsFromS3.py --loco 4031 --day 2017-10-25</v>
      </c>
      <c r="AF40" s="1"/>
    </row>
    <row r="41" spans="1:32" x14ac:dyDescent="0.3">
      <c r="A41" s="31">
        <v>43033.641342592593</v>
      </c>
      <c r="B41" s="30" t="s">
        <v>642</v>
      </c>
      <c r="C41" s="30" t="s">
        <v>652</v>
      </c>
      <c r="D41" s="30" t="s">
        <v>49</v>
      </c>
      <c r="E41" s="30" t="s">
        <v>185</v>
      </c>
      <c r="F41" s="42">
        <v>0</v>
      </c>
      <c r="G41" s="42">
        <v>352</v>
      </c>
      <c r="H41" s="42">
        <v>50958</v>
      </c>
      <c r="I41" s="42">
        <v>50020</v>
      </c>
      <c r="J41" s="30" t="s">
        <v>186</v>
      </c>
      <c r="K41" s="42">
        <v>50566</v>
      </c>
      <c r="L41" s="131" t="s">
        <v>51</v>
      </c>
      <c r="M41" s="132">
        <f>CONVERT((I41-K41)/10000,"mi","ft")*IF(L41="Increasing Mileposts (1)",-1,1)</f>
        <v>-288.28800000000001</v>
      </c>
      <c r="N41" s="133" t="str">
        <f>VLOOKUP(C41,'Trips&amp;Operators'!$C$1:$G$99911,5,FALSE)</f>
        <v>BIRKHOLZ NADINE</v>
      </c>
      <c r="O41" s="176" t="s">
        <v>178</v>
      </c>
      <c r="P41" s="134"/>
      <c r="Q41" s="30"/>
      <c r="R41" s="81" t="str">
        <f>VLOOKUP(C41,'Train Runs'!$A$13:$AE$10076,31,0)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S41" s="84" t="str">
        <f>VLOOKUP(C41,'Train Runs'!$A$13:$AE$10076,22,0)</f>
        <v>https://d0f6bd738d7f1b3e5a7ca70fe4ff75f0.us-east-1.aws.found.io/app/kibana#/discover/Steve-Slow-Train-Analysis-(2080s-and-2083s)?_g=(refreshInterval:(display:Off,pause:!f,section:0,value:0),time:(from:'2017-10-25T14:01:13-0600',mode:absolute,to:'2017-10-25T16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/stypes="*4031*201710252*" /stext=" 21:.+((SYSTEM_STATE.+slice.+state.+changed )|(ment ac)|(multiple cpu faults)|(system.+state.+changed )|(\[timeout)|(PRM\|1\|D)|(kpr)|(kdp)|(train st.+moving)|(\|lc)|(penalty))"</v>
      </c>
      <c r="U41" s="9" t="str">
        <f>MID(B41,13,4)</f>
        <v>4031</v>
      </c>
      <c r="V41" s="31">
        <f>A41-utc_offset/24</f>
        <v>43033.891342592593</v>
      </c>
      <c r="W41" s="45" t="str">
        <f>DetSubdiv(C41)</f>
        <v>Shuttle/Test</v>
      </c>
      <c r="X41" s="22">
        <f>VALUE(LEFT(C41,LEN(C41)-3))</f>
        <v>78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5.0566"},{"id":17,"name":"Train ID","value":"78-25"},{"id":16,"name":"Locomotive ID","value":"4031"},{"id":130,"name":"Impact","value":""},{"id":150,"name":"Time of Event (Mountain Time)","value":"15:23:32"},{"id":151,"name":"Denver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/c/Users/stu/AppData/Local/Temp/OnboardLogs/RTDC4031 --include="*4031*201710252*"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"%USERPROFILE%\AppData\Local\Temp\OnboardLogs"\RTDC4031\*4031*201710252* &gt;&gt; 2017-10-25-SliceDisagreementCheck.txt</v>
      </c>
      <c r="AE41" s="145" t="str">
        <f t="shared" si="1"/>
        <v>start /low /b %USERPROFILE%\Documents\GitHub\eaglep3\Utilities\DownloadLogsFromS3.py --loco 4031 --day 2017-10-25</v>
      </c>
      <c r="AF41" s="1"/>
    </row>
    <row r="42" spans="1:32" x14ac:dyDescent="0.3">
      <c r="A42" s="31">
        <v>43033.603645833333</v>
      </c>
      <c r="B42" s="30" t="s">
        <v>642</v>
      </c>
      <c r="C42" s="30" t="s">
        <v>650</v>
      </c>
      <c r="D42" s="30" t="s">
        <v>49</v>
      </c>
      <c r="E42" s="30" t="s">
        <v>192</v>
      </c>
      <c r="F42" s="42">
        <v>300</v>
      </c>
      <c r="G42" s="42">
        <v>360</v>
      </c>
      <c r="H42" s="42">
        <v>48880</v>
      </c>
      <c r="I42" s="42">
        <v>47946</v>
      </c>
      <c r="J42" s="30" t="s">
        <v>193</v>
      </c>
      <c r="K42" s="42">
        <v>47783</v>
      </c>
      <c r="L42" s="131" t="s">
        <v>51</v>
      </c>
      <c r="M42" s="132">
        <f>CONVERT((I42-K42)/10000,"mi","ft")*IF(L42="Increasing Mileposts (1)",-1,1)</f>
        <v>86.063999999999993</v>
      </c>
      <c r="N42" s="133" t="str">
        <f>VLOOKUP(C42,'Trips&amp;Operators'!$C$1:$G$99911,5,FALSE)</f>
        <v>MAGEE KENYA</v>
      </c>
      <c r="O42" s="176" t="s">
        <v>178</v>
      </c>
      <c r="P42" s="134"/>
      <c r="Q42" s="30"/>
      <c r="R42" s="81" t="str">
        <f>VLOOKUP(C42,'Train Runs'!$A$13:$AE$10076,31,0)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S42" s="84" t="str">
        <f>VLOOKUP(C42,'Train Runs'!$A$13:$AE$10076,22,0)</f>
        <v>https://d0f6bd738d7f1b3e5a7ca70fe4ff75f0.us-east-1.aws.found.io/app/kibana#/discover/Steve-Slow-Train-Analysis-(2080s-and-2083s)?_g=(refreshInterval:(display:Off,pause:!f,section:0,value:0),time:(from:'2017-10-25T13:09:03-0600',mode:absolute,to:'2017-10-25T15:31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/stypes="*4031*201710252*" /stext=" 20:.+((SYSTEM_STATE.+slice.+state.+changed )|(ment ac)|(multiple cpu faults)|(system.+state.+changed )|(\[timeout)|(PRM\|1\|D)|(kpr)|(kdp)|(train st.+moving)|(\|lc)|(penalty))"</v>
      </c>
      <c r="U42" s="9" t="str">
        <f>MID(B42,13,4)</f>
        <v>4031</v>
      </c>
      <c r="V42" s="31">
        <f>A42-utc_offset/24</f>
        <v>43033.853645833333</v>
      </c>
      <c r="W42" s="45" t="str">
        <f>DetSubdiv(C42)</f>
        <v>Shuttle/Test</v>
      </c>
      <c r="X42" s="22">
        <f>VALUE(LEFT(C42,LEN(C42)-3))</f>
        <v>76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4.7783"},{"id":17,"name":"Train ID","value":"76-25"},{"id":16,"name":"Locomotive ID","value":"4031"},{"id":130,"name":"Impact","value":""},{"id":150,"name":"Time of Event (Mountain Time)","value":"14:29:15"},{"id":151,"name":"Denver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/c/Users/stu/AppData/Local/Temp/OnboardLogs/RTDC4031 --include="*4031*201710252*"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"%USERPROFILE%\AppData\Local\Temp\OnboardLogs"\RTDC4031\*4031*201710252* &gt;&gt; 2017-10-25-SliceDisagreementCheck.txt</v>
      </c>
      <c r="AE42" s="145" t="str">
        <f t="shared" si="1"/>
        <v>start /low /b %USERPROFILE%\Documents\GitHub\eaglep3\Utilities\DownloadLogsFromS3.py --loco 4031 --day 2017-10-25</v>
      </c>
      <c r="AF42" s="1"/>
    </row>
    <row r="43" spans="1:32" x14ac:dyDescent="0.3">
      <c r="A43" s="31">
        <v>43033.480983796297</v>
      </c>
      <c r="B43" s="30" t="s">
        <v>642</v>
      </c>
      <c r="C43" s="30" t="s">
        <v>646</v>
      </c>
      <c r="D43" s="30" t="s">
        <v>49</v>
      </c>
      <c r="E43" s="30" t="s">
        <v>395</v>
      </c>
      <c r="F43" s="42">
        <v>0</v>
      </c>
      <c r="G43" s="42">
        <v>213</v>
      </c>
      <c r="H43" s="42">
        <v>44865</v>
      </c>
      <c r="I43" s="42">
        <v>44455</v>
      </c>
      <c r="J43" s="30" t="s">
        <v>396</v>
      </c>
      <c r="K43" s="42">
        <v>43961</v>
      </c>
      <c r="L43" s="131" t="s">
        <v>51</v>
      </c>
      <c r="M43" s="132">
        <f>CONVERT((I43-K43)/10000,"mi","ft")*IF(L43="Increasing Mileposts (1)",-1,1)</f>
        <v>260.83199999999999</v>
      </c>
      <c r="N43" s="133" t="str">
        <f>VLOOKUP(C43,'Trips&amp;Operators'!$C$1:$G$99911,5,FALSE)</f>
        <v>HUFFSMITH MONTY</v>
      </c>
      <c r="O43" s="176" t="s">
        <v>178</v>
      </c>
      <c r="P43" s="134"/>
      <c r="Q43" s="30"/>
      <c r="R43" s="81" t="str">
        <f>VLOOKUP(C43,'Train Runs'!$A$13:$AE$10076,31,0)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S43" s="84" t="str">
        <f>VLOOKUP(C43,'Train Runs'!$A$13:$AE$10076,22,0)</f>
        <v>https://d0f6bd738d7f1b3e5a7ca70fe4ff75f0.us-east-1.aws.found.io/app/kibana#/discover/Steve-Slow-Train-Analysis-(2080s-and-2083s)?_g=(refreshInterval:(display:Off,pause:!f,section:0,value:0),time:(from:'2017-10-25T08:12:19-0600',mode:absolute,to:'2017-10-25T10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/stypes="*4031*201710251*" /stext=" 17:.+((SYSTEM_STATE.+slice.+state.+changed )|(ment ac)|(multiple cpu faults)|(system.+state.+changed )|(\[timeout)|(PRM\|1\|D)|(kpr)|(kdp)|(train st.+moving)|(\|lc)|(penalty))"</v>
      </c>
      <c r="U43" s="9" t="str">
        <f>MID(B43,13,4)</f>
        <v>4031</v>
      </c>
      <c r="V43" s="31">
        <f>A43-utc_offset/24</f>
        <v>43033.730983796297</v>
      </c>
      <c r="W43" s="45" t="str">
        <f>DetSubdiv(C43)</f>
        <v>Shuttle/Test</v>
      </c>
      <c r="X43" s="22">
        <f>VALUE(LEFT(C43,LEN(C43)-3))</f>
        <v>70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4.3961"},{"id":17,"name":"Train ID","value":"70-25"},{"id":16,"name":"Locomotive ID","value":"4031"},{"id":130,"name":"Impact","value":""},{"id":150,"name":"Time of Event (Mountain Time)","value":"11:32:37"},{"id":151,"name":"Denver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/c/Users/stu/AppData/Local/Temp/OnboardLogs/RTDC4031 --include="*4031*201710251*"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"%USERPROFILE%\AppData\Local\Temp\OnboardLogs"\RTDC4031\*4031*201710251* &gt;&gt; 2017-10-25-SliceDisagreementCheck.txt</v>
      </c>
      <c r="AE43" s="145" t="str">
        <f t="shared" si="1"/>
        <v>start /low /b %USERPROFILE%\Documents\GitHub\eaglep3\Utilities\DownloadLogsFromS3.py --loco 4031 --day 2017-10-25</v>
      </c>
      <c r="AF43" s="1"/>
    </row>
    <row r="44" spans="1:32" x14ac:dyDescent="0.3">
      <c r="A44" s="31">
        <v>43033.43513888889</v>
      </c>
      <c r="B44" s="30" t="s">
        <v>642</v>
      </c>
      <c r="C44" s="30" t="s">
        <v>643</v>
      </c>
      <c r="D44" s="30" t="s">
        <v>49</v>
      </c>
      <c r="E44" s="30" t="s">
        <v>422</v>
      </c>
      <c r="F44" s="42">
        <v>0</v>
      </c>
      <c r="G44" s="42">
        <v>293</v>
      </c>
      <c r="H44" s="42">
        <v>45319</v>
      </c>
      <c r="I44" s="42">
        <v>44673</v>
      </c>
      <c r="J44" s="30" t="s">
        <v>420</v>
      </c>
      <c r="K44" s="42">
        <v>43961</v>
      </c>
      <c r="L44" s="131" t="s">
        <v>51</v>
      </c>
      <c r="M44" s="132">
        <f>CONVERT((I44-K44)/10000,"mi","ft")*IF(L44="Increasing Mileposts (1)",-1,1)</f>
        <v>375.93599999999998</v>
      </c>
      <c r="N44" s="133" t="str">
        <f>VLOOKUP(C44,'Trips&amp;Operators'!$C$1:$G$99911,5,FALSE)</f>
        <v>ROMERO CHAD</v>
      </c>
      <c r="O44" s="176" t="s">
        <v>178</v>
      </c>
      <c r="P44" s="134"/>
      <c r="Q44" s="30"/>
      <c r="R44" s="81" t="str">
        <f>VLOOKUP(C44,'Train Runs'!$A$13:$AE$10076,31,0)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S44" s="84" t="str">
        <f>VLOOKUP(C44,'Train Runs'!$A$13:$AE$10076,22,0)</f>
        <v>https://d0f6bd738d7f1b3e5a7ca70fe4ff75f0.us-east-1.aws.found.io/app/kibana#/discover/Steve-Slow-Train-Analysis-(2080s-and-2083s)?_g=(refreshInterval:(display:Off,pause:!f,section:0,value:0),time:(from:'2017-10-25T09:06:08-0600',mode:absolute,to:'2017-10-25T11:28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/stypes="*4031*201710251*" /stext=" 16:.+((SYSTEM_STATE.+slice.+state.+changed )|(ment ac)|(multiple cpu faults)|(system.+state.+changed )|(\[timeout)|(PRM\|1\|D)|(kpr)|(kdp)|(train st.+moving)|(\|lc)|(penalty))"</v>
      </c>
      <c r="U44" s="9" t="str">
        <f>MID(B44,13,4)</f>
        <v>4031</v>
      </c>
      <c r="V44" s="31">
        <f>A44-utc_offset/24</f>
        <v>43033.68513888889</v>
      </c>
      <c r="W44" s="45" t="str">
        <f>DetSubdiv(C44)</f>
        <v>Shuttle/Test</v>
      </c>
      <c r="X44" s="22">
        <f>VALUE(LEFT(C44,LEN(C44)-3))</f>
        <v>72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4.3961"},{"id":17,"name":"Train ID","value":"72-25"},{"id":16,"name":"Locomotive ID","value":"4031"},{"id":130,"name":"Impact","value":""},{"id":150,"name":"Time of Event (Mountain Time)","value":"10:26:36"},{"id":151,"name":"Denver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/c/Users/stu/AppData/Local/Temp/OnboardLogs/RTDC4031 --include="*4031*201710251*"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"%USERPROFILE%\AppData\Local\Temp\OnboardLogs"\RTDC4031\*4031*201710251* &gt;&gt; 2017-10-25-SliceDisagreementCheck.txt</v>
      </c>
      <c r="AE44" s="145" t="str">
        <f t="shared" si="1"/>
        <v>start /low /b %USERPROFILE%\Documents\GitHub\eaglep3\Utilities\DownloadLogsFromS3.py --loco 4031 --day 2017-10-25</v>
      </c>
      <c r="AF44" s="1"/>
    </row>
    <row r="45" spans="1:32" x14ac:dyDescent="0.3">
      <c r="A45" s="31">
        <v>43033.477222222224</v>
      </c>
      <c r="B45" s="30" t="s">
        <v>642</v>
      </c>
      <c r="C45" s="30" t="s">
        <v>646</v>
      </c>
      <c r="D45" s="30" t="s">
        <v>49</v>
      </c>
      <c r="E45" s="30" t="s">
        <v>559</v>
      </c>
      <c r="F45" s="42">
        <v>150</v>
      </c>
      <c r="G45" s="42">
        <v>231</v>
      </c>
      <c r="H45" s="42">
        <v>63383</v>
      </c>
      <c r="I45" s="42">
        <v>62945</v>
      </c>
      <c r="J45" s="30" t="s">
        <v>186</v>
      </c>
      <c r="K45" s="42">
        <v>61400</v>
      </c>
      <c r="L45" s="131" t="s">
        <v>51</v>
      </c>
      <c r="M45" s="132">
        <f>CONVERT((I45-K45)/10000,"mi","ft")*IF(L45="Increasing Mileposts (1)",-1,1)</f>
        <v>815.76</v>
      </c>
      <c r="N45" s="133" t="str">
        <f>VLOOKUP(C45,'Trips&amp;Operators'!$C$1:$G$99911,5,FALSE)</f>
        <v>HUFFSMITH MONTY</v>
      </c>
      <c r="O45" s="176" t="s">
        <v>178</v>
      </c>
      <c r="P45" s="134"/>
      <c r="Q45" s="30"/>
      <c r="R45" s="81" t="str">
        <f>VLOOKUP(C45,'Train Runs'!$A$13:$AE$10076,31,0)</f>
        <v>aws s3 cp s3://rtdc.mdm.uploadarchive.raw/RTDC4031/ "%USERPROFILE%\AppData\Local\Temp\OnboardLogs"\RTDC4031\2017-10-25 --exclude "*" --recursive --include "*20171025*" &amp; "%USERPROFILE%\Documents\GitHub\mrs-test-scripts\Headless Mode &amp; Sideloading\WalkAndUnGZ.bat" "%USERPROFILE%\AppData\Local\Temp\OnboardLogs"\RTDC4031\2017-10-25 &amp; aws s3 cp s3://rtdc.mdm.uploadarchive.raw/RTDC4031/ "%USERPROFILE%\AppData\Local\Temp\OnboardLogs"\RTDC4031\2017-10-26 --exclude "*" --recursive --include "*20171026*" &amp; "%USERPROFILE%\Documents\GitHub\mrs-test-scripts\Headless Mode &amp; Sideloading\WalkAndUnGZ.bat" "%USERPROFILE%\AppData\Local\Temp\OnboardLogs"\RTDC4031\2017-10-26</v>
      </c>
      <c r="S45" s="84" t="str">
        <f>VLOOKUP(C45,'Train Runs'!$A$13:$AE$10076,22,0)</f>
        <v>https://d0f6bd738d7f1b3e5a7ca70fe4ff75f0.us-east-1.aws.found.io/app/kibana#/discover/Steve-Slow-Train-Analysis-(2080s-and-2083s)?_g=(refreshInterval:(display:Off,pause:!f,section:0,value:0),time:(from:'2017-10-25T08:12:19-0600',mode:absolute,to:'2017-10-25T10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/stypes="*4031*201710251*" /stext=" 17:.+((SYSTEM_STATE.+slice.+state.+changed )|(ment ac)|(multiple cpu faults)|(system.+state.+changed )|(\[timeout)|(PRM\|1\|D)|(kpr)|(kdp)|(train st.+moving)|(\|lc)|(penalty))"</v>
      </c>
      <c r="U45" s="9" t="str">
        <f>MID(B45,13,4)</f>
        <v>4031</v>
      </c>
      <c r="V45" s="31">
        <f>A45-utc_offset/24</f>
        <v>43033.727222222224</v>
      </c>
      <c r="W45" s="45" t="str">
        <f>DetSubdiv(C45)</f>
        <v>Shuttle/Test</v>
      </c>
      <c r="X45" s="22">
        <f>VALUE(LEFT(C45,LEN(C45)-3))</f>
        <v>70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6.14"},{"id":17,"name":"Train ID","value":"70-25"},{"id":16,"name":"Locomotive ID","value":"4031"},{"id":130,"name":"Impact","value":""},{"id":150,"name":"Time of Event (Mountain Time)","value":"11:27:12"},{"id":151,"name":"Denver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/c/Users/stu/AppData/Local/Temp/OnboardLogs/RTDC4031 --include="*4031*201710251*"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"%USERPROFILE%\AppData\Local\Temp\OnboardLogs"\RTDC4031\*4031*201710251* &gt;&gt; 2017-10-25-SliceDisagreementCheck.txt</v>
      </c>
      <c r="AE45" s="145" t="str">
        <f t="shared" si="1"/>
        <v>start /low /b %USERPROFILE%\Documents\GitHub\eaglep3\Utilities\DownloadLogsFromS3.py --loco 4031 --day 2017-10-25</v>
      </c>
      <c r="AF45" s="1"/>
    </row>
    <row r="46" spans="1:32" x14ac:dyDescent="0.3">
      <c r="A46" s="31">
        <v>43033.381597222222</v>
      </c>
      <c r="B46" s="30" t="s">
        <v>448</v>
      </c>
      <c r="C46" s="30" t="s">
        <v>639</v>
      </c>
      <c r="D46" s="30" t="s">
        <v>95</v>
      </c>
      <c r="E46" s="30" t="s">
        <v>179</v>
      </c>
      <c r="F46" s="42">
        <v>0</v>
      </c>
      <c r="G46" s="42">
        <v>1</v>
      </c>
      <c r="H46" s="42">
        <v>112547</v>
      </c>
      <c r="I46" s="42">
        <v>112547</v>
      </c>
      <c r="J46" s="30" t="s">
        <v>180</v>
      </c>
      <c r="K46" s="42">
        <v>112547</v>
      </c>
      <c r="L46" s="131" t="s">
        <v>50</v>
      </c>
      <c r="M46" s="132">
        <f>CONVERT((I46-K46)/10000,"mi","ft")*IF(L46="Increasing Mileposts (1)",-1,1)</f>
        <v>0</v>
      </c>
      <c r="N46" s="133" t="str">
        <f>VLOOKUP(C46,'Trips&amp;Operators'!$C$1:$G$99911,5,FALSE)</f>
        <v>HUFFSMITH MONTY</v>
      </c>
      <c r="O46" s="176" t="s">
        <v>178</v>
      </c>
      <c r="P46" s="134"/>
      <c r="Q46" s="30"/>
      <c r="R46" s="81" t="str">
        <f>VLOOKUP(C46,'Train Runs'!$A$13:$AE$10076,31,0)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S46" s="84" t="str">
        <f>VLOOKUP(C46,'Train Runs'!$A$13:$AE$10076,22,0)</f>
        <v>https://d0f6bd738d7f1b3e5a7ca70fe4ff75f0.us-east-1.aws.found.io/app/kibana#/discover/Steve-Slow-Train-Analysis-(2080s-and-2083s)?_g=(refreshInterval:(display:Off,pause:!f,section:0,value:0),time:(from:'2017-10-25T07:35:51-0600',mode:absolute,to:'2017-10-25T10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/stypes="*4032*201710251*" /stext=" 15:.+((SYSTEM_STATE.+slice.+state.+changed )|(ment ac)|(multiple cpu faults)|(system.+state.+changed )|(\[timeout)|(PRM\|1\|D)|(kpr)|(kdp)|(train st.+moving)|(\|lc)|(penalty))"</v>
      </c>
      <c r="U46" s="9" t="str">
        <f>MID(B46,13,4)</f>
        <v>4032</v>
      </c>
      <c r="V46" s="31">
        <f>A46-utc_offset/24</f>
        <v>43033.631597222222</v>
      </c>
      <c r="W46" s="45" t="str">
        <f>DetSubdiv(C46)</f>
        <v>Shuttle/Test</v>
      </c>
      <c r="X46" s="22">
        <f>VALUE(LEFT(C46,LEN(C46)-3))</f>
        <v>71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11.2547"},{"id":17,"name":"Train ID","value":"71-25"},{"id":16,"name":"Locomotive ID","value":"4032"},{"id":130,"name":"Impact","value":""},{"id":150,"name":"Time of Event (Mountain Time)","value":"09:09:30"},{"id":151,"name":"Denver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/c/Users/stu/AppData/Local/Temp/OnboardLogs/RTDC4032 --include="*4032*201710251*"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"%USERPROFILE%\AppData\Local\Temp\OnboardLogs"\RTDC4032\*4032*201710251* &gt;&gt; 2017-10-25-SliceDisagreementCheck.txt</v>
      </c>
      <c r="AE46" s="145" t="str">
        <f t="shared" si="1"/>
        <v>start /low /b %USERPROFILE%\Documents\GitHub\eaglep3\Utilities\DownloadLogsFromS3.py --loco 4032 --day 2017-10-25</v>
      </c>
      <c r="AF46" s="1"/>
    </row>
    <row r="47" spans="1:32" x14ac:dyDescent="0.3">
      <c r="A47" s="31">
        <v>43033.381620370368</v>
      </c>
      <c r="B47" s="30" t="s">
        <v>448</v>
      </c>
      <c r="C47" s="30" t="s">
        <v>639</v>
      </c>
      <c r="D47" s="30" t="s">
        <v>95</v>
      </c>
      <c r="E47" s="30" t="s">
        <v>179</v>
      </c>
      <c r="F47" s="42">
        <v>0</v>
      </c>
      <c r="G47" s="42">
        <v>4</v>
      </c>
      <c r="H47" s="42">
        <v>112549</v>
      </c>
      <c r="I47" s="42">
        <v>112549</v>
      </c>
      <c r="J47" s="30" t="s">
        <v>180</v>
      </c>
      <c r="K47" s="42">
        <v>112547</v>
      </c>
      <c r="L47" s="131" t="s">
        <v>50</v>
      </c>
      <c r="M47" s="132">
        <f>CONVERT((I47-K47)/10000,"mi","ft")*IF(L47="Increasing Mileposts (1)",-1,1)</f>
        <v>-1.056</v>
      </c>
      <c r="N47" s="133" t="str">
        <f>VLOOKUP(C47,'Trips&amp;Operators'!$C$1:$G$99911,5,FALSE)</f>
        <v>HUFFSMITH MONTY</v>
      </c>
      <c r="O47" s="176" t="s">
        <v>178</v>
      </c>
      <c r="P47" s="134"/>
      <c r="Q47" s="30"/>
      <c r="R47" s="81" t="str">
        <f>VLOOKUP(C47,'Train Runs'!$A$13:$AE$10076,31,0)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S47" s="84" t="str">
        <f>VLOOKUP(C47,'Train Runs'!$A$13:$AE$10076,22,0)</f>
        <v>https://d0f6bd738d7f1b3e5a7ca70fe4ff75f0.us-east-1.aws.found.io/app/kibana#/discover/Steve-Slow-Train-Analysis-(2080s-and-2083s)?_g=(refreshInterval:(display:Off,pause:!f,section:0,value:0),time:(from:'2017-10-25T07:35:51-0600',mode:absolute,to:'2017-10-25T10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/stypes="*4032*201710251*" /stext=" 15:.+((SYSTEM_STATE.+slice.+state.+changed )|(ment ac)|(multiple cpu faults)|(system.+state.+changed )|(\[timeout)|(PRM\|1\|D)|(kpr)|(kdp)|(train st.+moving)|(\|lc)|(penalty))"</v>
      </c>
      <c r="U47" s="9" t="str">
        <f>MID(B47,13,4)</f>
        <v>4032</v>
      </c>
      <c r="V47" s="31">
        <f>A47-utc_offset/24</f>
        <v>43033.631620370368</v>
      </c>
      <c r="W47" s="45" t="str">
        <f>DetSubdiv(C47)</f>
        <v>Shuttle/Test</v>
      </c>
      <c r="X47" s="22">
        <f>VALUE(LEFT(C47,LEN(C47)-3))</f>
        <v>71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11.2547"},{"id":17,"name":"Train ID","value":"71-25"},{"id":16,"name":"Locomotive ID","value":"4032"},{"id":130,"name":"Impact","value":""},{"id":150,"name":"Time of Event (Mountain Time)","value":"09:09:32"},{"id":151,"name":"Denver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/c/Users/stu/AppData/Local/Temp/OnboardLogs/RTDC4032 --include="*4032*201710251*"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"%USERPROFILE%\AppData\Local\Temp\OnboardLogs"\RTDC4032\*4032*201710251* &gt;&gt; 2017-10-25-SliceDisagreementCheck.txt</v>
      </c>
      <c r="AE47" s="145" t="str">
        <f t="shared" si="1"/>
        <v>start /low /b %USERPROFILE%\Documents\GitHub\eaglep3\Utilities\DownloadLogsFromS3.py --loco 4032 --day 2017-10-25</v>
      </c>
      <c r="AF47" s="1"/>
    </row>
    <row r="48" spans="1:32" x14ac:dyDescent="0.3">
      <c r="A48" s="31">
        <v>43033.42015046296</v>
      </c>
      <c r="B48" s="30" t="s">
        <v>448</v>
      </c>
      <c r="C48" s="30" t="s">
        <v>641</v>
      </c>
      <c r="D48" s="30" t="s">
        <v>95</v>
      </c>
      <c r="E48" s="30" t="s">
        <v>179</v>
      </c>
      <c r="F48" s="42">
        <v>0</v>
      </c>
      <c r="G48" s="42">
        <v>2</v>
      </c>
      <c r="H48" s="42">
        <v>112547</v>
      </c>
      <c r="I48" s="42">
        <v>0</v>
      </c>
      <c r="J48" s="30" t="s">
        <v>180</v>
      </c>
      <c r="K48" s="42">
        <v>112547</v>
      </c>
      <c r="L48" s="131" t="s">
        <v>50</v>
      </c>
      <c r="M48" s="132">
        <f>CONVERT((I48-K48)/10000,"mi","ft")*IF(L48="Increasing Mileposts (1)",-1,1)</f>
        <v>59424.815999999999</v>
      </c>
      <c r="N48" s="133" t="str">
        <f>VLOOKUP(C48,'Trips&amp;Operators'!$C$1:$G$99911,5,FALSE)</f>
        <v>ROMERO CHAD</v>
      </c>
      <c r="O48" s="176" t="s">
        <v>178</v>
      </c>
      <c r="P48" s="134"/>
      <c r="Q48" s="30"/>
      <c r="R48" s="81" t="str">
        <f>VLOOKUP(C48,'Train Runs'!$A$13:$AE$10076,31,0)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S48" s="84" t="str">
        <f>VLOOKUP(C48,'Train Runs'!$A$13:$AE$10076,22,0)</f>
        <v>https://d0f6bd738d7f1b3e5a7ca70fe4ff75f0.us-east-1.aws.found.io/app/kibana#/discover/Steve-Slow-Train-Analysis-(2080s-and-2083s)?_g=(refreshInterval:(display:Off,pause:!f,section:0,value:0),time:(from:'2017-10-25T10:36:02-0600',mode:absolute,to:'2017-10-25T13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/stypes="*4032*201710251*" /stext=" 16:.+((SYSTEM_STATE.+slice.+state.+changed )|(ment ac)|(multiple cpu faults)|(system.+state.+changed )|(\[timeout)|(PRM\|1\|D)|(kpr)|(kdp)|(train st.+moving)|(\|lc)|(penalty))"</v>
      </c>
      <c r="U48" s="9" t="str">
        <f>MID(B48,13,4)</f>
        <v>4032</v>
      </c>
      <c r="V48" s="31">
        <f>A48-utc_offset/24</f>
        <v>43033.67015046296</v>
      </c>
      <c r="W48" s="45" t="str">
        <f>DetSubdiv(C48)</f>
        <v>Shuttle/Test</v>
      </c>
      <c r="X48" s="22">
        <f>VALUE(LEFT(C48,LEN(C48)-3))</f>
        <v>73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11.2547"},{"id":17,"name":"Train ID","value":"73-25"},{"id":16,"name":"Locomotive ID","value":"4032"},{"id":130,"name":"Impact","value":""},{"id":150,"name":"Time of Event (Mountain Time)","value":"10:05:01"},{"id":151,"name":"Denver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/c/Users/stu/AppData/Local/Temp/OnboardLogs/RTDC4032 --include="*4032*201710251*"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"%USERPROFILE%\AppData\Local\Temp\OnboardLogs"\RTDC4032\*4032*201710251* &gt;&gt; 2017-10-25-SliceDisagreementCheck.txt</v>
      </c>
      <c r="AE48" s="145" t="str">
        <f t="shared" si="1"/>
        <v>start /low /b %USERPROFILE%\Documents\GitHub\eaglep3\Utilities\DownloadLogsFromS3.py --loco 4032 --day 2017-10-25</v>
      </c>
      <c r="AF48" s="1"/>
    </row>
    <row r="49" spans="1:32" x14ac:dyDescent="0.3">
      <c r="A49" s="31">
        <v>43033.461215277777</v>
      </c>
      <c r="B49" s="30" t="s">
        <v>448</v>
      </c>
      <c r="C49" s="30" t="s">
        <v>639</v>
      </c>
      <c r="D49" s="30" t="s">
        <v>95</v>
      </c>
      <c r="E49" s="30" t="s">
        <v>179</v>
      </c>
      <c r="F49" s="42">
        <v>0</v>
      </c>
      <c r="G49" s="42">
        <v>3</v>
      </c>
      <c r="H49" s="42">
        <v>112547</v>
      </c>
      <c r="I49" s="42">
        <v>112547</v>
      </c>
      <c r="J49" s="30" t="s">
        <v>180</v>
      </c>
      <c r="K49" s="42">
        <v>112547</v>
      </c>
      <c r="L49" s="131" t="s">
        <v>50</v>
      </c>
      <c r="M49" s="132">
        <f>CONVERT((I49-K49)/10000,"mi","ft")*IF(L49="Increasing Mileposts (1)",-1,1)</f>
        <v>0</v>
      </c>
      <c r="N49" s="133" t="str">
        <f>VLOOKUP(C49,'Trips&amp;Operators'!$C$1:$G$99911,5,FALSE)</f>
        <v>HUFFSMITH MONTY</v>
      </c>
      <c r="O49" s="176" t="s">
        <v>178</v>
      </c>
      <c r="P49" s="134"/>
      <c r="Q49" s="30"/>
      <c r="R49" s="81" t="str">
        <f>VLOOKUP(C49,'Train Runs'!$A$13:$AE$10076,31,0)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S49" s="84" t="str">
        <f>VLOOKUP(C49,'Train Runs'!$A$13:$AE$10076,22,0)</f>
        <v>https://d0f6bd738d7f1b3e5a7ca70fe4ff75f0.us-east-1.aws.found.io/app/kibana#/discover/Steve-Slow-Train-Analysis-(2080s-and-2083s)?_g=(refreshInterval:(display:Off,pause:!f,section:0,value:0),time:(from:'2017-10-25T07:35:51-0600',mode:absolute,to:'2017-10-25T10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/stypes="*4032*201710251*" /stext=" 17:.+((SYSTEM_STATE.+slice.+state.+changed )|(ment ac)|(multiple cpu faults)|(system.+state.+changed )|(\[timeout)|(PRM\|1\|D)|(kpr)|(kdp)|(train st.+moving)|(\|lc)|(penalty))"</v>
      </c>
      <c r="U49" s="9" t="str">
        <f>MID(B49,13,4)</f>
        <v>4032</v>
      </c>
      <c r="V49" s="31">
        <f>A49-utc_offset/24</f>
        <v>43033.711215277777</v>
      </c>
      <c r="W49" s="45" t="str">
        <f>DetSubdiv(C49)</f>
        <v>Shuttle/Test</v>
      </c>
      <c r="X49" s="22">
        <f>VALUE(LEFT(C49,LEN(C49)-3))</f>
        <v>71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11.2547"},{"id":17,"name":"Train ID","value":"71-25"},{"id":16,"name":"Locomotive ID","value":"4032"},{"id":130,"name":"Impact","value":""},{"id":150,"name":"Time of Event (Mountain Time)","value":"11:04:09"},{"id":151,"name":"Denver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/c/Users/stu/AppData/Local/Temp/OnboardLogs/RTDC4032 --include="*4032*201710251*"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"%USERPROFILE%\AppData\Local\Temp\OnboardLogs"\RTDC4032\*4032*201710251* &gt;&gt; 2017-10-25-SliceDisagreementCheck.txt</v>
      </c>
      <c r="AE49" s="145" t="str">
        <f t="shared" si="1"/>
        <v>start /low /b %USERPROFILE%\Documents\GitHub\eaglep3\Utilities\DownloadLogsFromS3.py --loco 4032 --day 2017-10-25</v>
      </c>
      <c r="AF49" s="1"/>
    </row>
    <row r="50" spans="1:32" x14ac:dyDescent="0.3">
      <c r="A50" s="31">
        <v>43033.624606481484</v>
      </c>
      <c r="B50" s="30" t="s">
        <v>448</v>
      </c>
      <c r="C50" s="30" t="s">
        <v>651</v>
      </c>
      <c r="D50" s="30" t="s">
        <v>95</v>
      </c>
      <c r="E50" s="30" t="s">
        <v>179</v>
      </c>
      <c r="F50" s="42">
        <v>0</v>
      </c>
      <c r="G50" s="42">
        <v>4</v>
      </c>
      <c r="H50" s="42">
        <v>112547</v>
      </c>
      <c r="I50" s="42">
        <v>0</v>
      </c>
      <c r="J50" s="30" t="s">
        <v>180</v>
      </c>
      <c r="K50" s="42">
        <v>112547</v>
      </c>
      <c r="L50" s="131" t="s">
        <v>50</v>
      </c>
      <c r="M50" s="132">
        <f>CONVERT((I50-K50)/10000,"mi","ft")*IF(L50="Increasing Mileposts (1)",-1,1)</f>
        <v>59424.815999999999</v>
      </c>
      <c r="N50" s="133" t="str">
        <f>VLOOKUP(C50,'Trips&amp;Operators'!$C$1:$G$99911,5,FALSE)</f>
        <v>BIRKHOLZ NADINE</v>
      </c>
      <c r="O50" s="176" t="s">
        <v>178</v>
      </c>
      <c r="P50" s="134"/>
      <c r="Q50" s="30"/>
      <c r="R50" s="81" t="str">
        <f>VLOOKUP(C50,'Train Runs'!$A$13:$AE$10076,31,0)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S50" s="84" t="str">
        <f>VLOOKUP(C50,'Train Runs'!$A$13:$AE$10076,22,0)</f>
        <v>https://d0f6bd738d7f1b3e5a7ca70fe4ff75f0.us-east-1.aws.found.io/app/kibana#/discover/Steve-Slow-Train-Analysis-(2080s-and-2083s)?_g=(refreshInterval:(display:Off,pause:!f,section:0,value:0),time:(from:'2017-10-25T15:23:06-0600',mode:absolute,to:'2017-10-25T17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/stypes="*4032*201710252*" /stext=" 20:.+((SYSTEM_STATE.+slice.+state.+changed )|(ment ac)|(multiple cpu faults)|(system.+state.+changed )|(\[timeout)|(PRM\|1\|D)|(kpr)|(kdp)|(train st.+moving)|(\|lc)|(penalty))"</v>
      </c>
      <c r="U50" s="9" t="str">
        <f>MID(B50,13,4)</f>
        <v>4032</v>
      </c>
      <c r="V50" s="31">
        <f>A50-utc_offset/24</f>
        <v>43033.874606481484</v>
      </c>
      <c r="W50" s="45" t="str">
        <f>DetSubdiv(C50)</f>
        <v>Shuttle/Test</v>
      </c>
      <c r="X50" s="22">
        <f>VALUE(LEFT(C50,LEN(C50)-3))</f>
        <v>77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11.2547"},{"id":17,"name":"Train ID","value":"77-25"},{"id":16,"name":"Locomotive ID","value":"4032"},{"id":130,"name":"Impact","value":""},{"id":150,"name":"Time of Event (Mountain Time)","value":"14:59:26"},{"id":151,"name":"Denver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0" s="159"/>
      <c r="AA50" s="47"/>
      <c r="AB50" s="47"/>
      <c r="AC50" s="115" t="str">
        <f>"grep -hrE -A400 ""Enforcement Action"" "&amp;"/c/Users/stu/AppData/Local/Temp/OnboardLogs"&amp;"/RTDC"&amp;U50&amp;"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/c/Users/stu/AppData/Local/Temp/OnboardLogs/RTDC4032 --include="*4032*201710252*"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"%USERPROFILE%\AppData\Local\Temp\OnboardLogs"\RTDC4032\*4032*201710252* &gt;&gt; 2017-10-25-SliceDisagreementCheck.txt</v>
      </c>
      <c r="AE50" s="145" t="str">
        <f t="shared" si="1"/>
        <v>start /low /b %USERPROFILE%\Documents\GitHub\eaglep3\Utilities\DownloadLogsFromS3.py --loco 4032 --day 2017-10-25</v>
      </c>
      <c r="AF50" s="1"/>
    </row>
    <row r="51" spans="1:32" x14ac:dyDescent="0.3">
      <c r="A51" s="31">
        <v>43033.665208333332</v>
      </c>
      <c r="B51" s="30" t="s">
        <v>448</v>
      </c>
      <c r="C51" s="30" t="s">
        <v>654</v>
      </c>
      <c r="D51" s="30" t="s">
        <v>49</v>
      </c>
      <c r="E51" s="30" t="s">
        <v>179</v>
      </c>
      <c r="F51" s="42">
        <v>0</v>
      </c>
      <c r="G51" s="42">
        <v>19</v>
      </c>
      <c r="H51" s="42">
        <v>112517</v>
      </c>
      <c r="I51" s="42">
        <v>112534</v>
      </c>
      <c r="J51" s="30" t="s">
        <v>180</v>
      </c>
      <c r="K51" s="42">
        <v>112547</v>
      </c>
      <c r="L51" s="131" t="s">
        <v>50</v>
      </c>
      <c r="M51" s="132">
        <f>CONVERT((I51-K51)/10000,"mi","ft")*IF(L51="Increasing Mileposts (1)",-1,1)</f>
        <v>6.8639999999999999</v>
      </c>
      <c r="N51" s="133" t="str">
        <f>VLOOKUP(C51,'Trips&amp;Operators'!$C$1:$G$99911,5,FALSE)</f>
        <v>MAGEE KENYA</v>
      </c>
      <c r="O51" s="176" t="s">
        <v>178</v>
      </c>
      <c r="P51" s="134"/>
      <c r="Q51" s="30"/>
      <c r="R51" s="81" t="str">
        <f>VLOOKUP(C51,'Train Runs'!$A$13:$AE$10076,31,0)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S51" s="84" t="str">
        <f>VLOOKUP(C51,'Train Runs'!$A$13:$AE$10076,22,0)</f>
        <v>https://d0f6bd738d7f1b3e5a7ca70fe4ff75f0.us-east-1.aws.found.io/app/kibana#/discover/Steve-Slow-Train-Analysis-(2080s-and-2083s)?_g=(refreshInterval:(display:Off,pause:!f,section:0,value:0),time:(from:'2017-10-25T12:29:42-0600',mode:absolute,to:'2017-10-25T15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1" s="86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/stypes="*4032*201710252*" /stext=" 21:.+((SYSTEM_STATE.+slice.+state.+changed )|(ment ac)|(multiple cpu faults)|(system.+state.+changed )|(\[timeout)|(PRM\|1\|D)|(kpr)|(kdp)|(train st.+moving)|(\|lc)|(penalty))"</v>
      </c>
      <c r="U51" s="9" t="str">
        <f>MID(B51,13,4)</f>
        <v>4032</v>
      </c>
      <c r="V51" s="31">
        <f>A51-utc_offset/24</f>
        <v>43033.915208333332</v>
      </c>
      <c r="W51" s="45" t="str">
        <f>DetSubdiv(C51)</f>
        <v>Shuttle/Test</v>
      </c>
      <c r="X51" s="22">
        <f>VALUE(LEFT(C51,LEN(C51)-3))</f>
        <v>75</v>
      </c>
      <c r="Y51" s="96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11.2547"},{"id":17,"name":"Train ID","value":"75-25"},{"id":16,"name":"Locomotive ID","value":"4032"},{"id":130,"name":"Impact","value":""},{"id":150,"name":"Time of Event (Mountain Time)","value":"15:57:54"},{"id":151,"name":"Denver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1" s="159"/>
      <c r="AA51" s="47"/>
      <c r="AB51" s="47"/>
      <c r="AC51" s="115" t="str">
        <f>"grep -hrE -A400 ""Enforcement Action"" "&amp;"/c/Users/stu/AppData/Local/Temp/OnboardLogs"&amp;"/RTDC"&amp;U51&amp;"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/c/Users/stu/AppData/Local/Temp/OnboardLogs/RTDC4032 --include="*4032*201710252*"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"%USERPROFILE%\AppData\Local\Temp\OnboardLogs"\RTDC4032\*4032*201710252* &gt;&gt; 2017-10-25-SliceDisagreementCheck.txt</v>
      </c>
      <c r="AE51" s="145" t="str">
        <f t="shared" si="1"/>
        <v>start /low /b %USERPROFILE%\Documents\GitHub\eaglep3\Utilities\DownloadLogsFromS3.py --loco 4032 --day 2017-10-25</v>
      </c>
      <c r="AF51" s="1"/>
    </row>
    <row r="52" spans="1:32" x14ac:dyDescent="0.3">
      <c r="A52" s="31">
        <v>43033.700428240743</v>
      </c>
      <c r="B52" s="30" t="s">
        <v>448</v>
      </c>
      <c r="C52" s="30" t="s">
        <v>651</v>
      </c>
      <c r="D52" s="30" t="s">
        <v>95</v>
      </c>
      <c r="E52" s="30" t="s">
        <v>179</v>
      </c>
      <c r="F52" s="42">
        <v>0</v>
      </c>
      <c r="G52" s="42">
        <v>4</v>
      </c>
      <c r="H52" s="42">
        <v>112612</v>
      </c>
      <c r="I52" s="42">
        <v>112612</v>
      </c>
      <c r="J52" s="30" t="s">
        <v>180</v>
      </c>
      <c r="K52" s="42">
        <v>112612</v>
      </c>
      <c r="L52" s="131" t="s">
        <v>50</v>
      </c>
      <c r="M52" s="132">
        <f>CONVERT((I52-K52)/10000,"mi","ft")*IF(L52="Increasing Mileposts (1)",-1,1)</f>
        <v>0</v>
      </c>
      <c r="N52" s="133" t="str">
        <f>VLOOKUP(C52,'Trips&amp;Operators'!$C$1:$G$99911,5,FALSE)</f>
        <v>BIRKHOLZ NADINE</v>
      </c>
      <c r="O52" s="176" t="s">
        <v>178</v>
      </c>
      <c r="P52" s="134"/>
      <c r="Q52" s="30"/>
      <c r="R52" s="81" t="str">
        <f>VLOOKUP(C52,'Train Runs'!$A$13:$AE$10076,31,0)</f>
        <v>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 &amp; 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</v>
      </c>
      <c r="S52" s="84" t="str">
        <f>VLOOKUP(C52,'Train Runs'!$A$13:$AE$10076,22,0)</f>
        <v>https://d0f6bd738d7f1b3e5a7ca70fe4ff75f0.us-east-1.aws.found.io/app/kibana#/discover/Steve-Slow-Train-Analysis-(2080s-and-2083s)?_g=(refreshInterval:(display:Off,pause:!f,section:0,value:0),time:(from:'2017-10-25T15:23:06-0600',mode:absolute,to:'2017-10-25T17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2" s="86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/stypes="*4032*201710252*" /stext=" 22:.+((SYSTEM_STATE.+slice.+state.+changed )|(ment ac)|(multiple cpu faults)|(system.+state.+changed )|(\[timeout)|(PRM\|1\|D)|(kpr)|(kdp)|(train st.+moving)|(\|lc)|(penalty))"</v>
      </c>
      <c r="U52" s="9" t="str">
        <f>MID(B52,13,4)</f>
        <v>4032</v>
      </c>
      <c r="V52" s="31">
        <f>A52-utc_offset/24</f>
        <v>43033.950428240743</v>
      </c>
      <c r="W52" s="45" t="str">
        <f>DetSubdiv(C52)</f>
        <v>Shuttle/Test</v>
      </c>
      <c r="X52" s="22">
        <f>VALUE(LEFT(C52,LEN(C52)-3))</f>
        <v>77</v>
      </c>
      <c r="Y52" s="96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-25","description":"","custom_fields":[{"id":1,"name":"Subdivision","value":"Shuttle/Test"},{"id":4,"name":"Milepost","value":"11.2612"},{"id":17,"name":"Train ID","value":"77-25"},{"id":16,"name":"Locomotive ID","value":"4032"},{"id":130,"name":"Impact","value":""},{"id":150,"name":"Time of Event (Mountain Time)","value":"16:48:37"},{"id":151,"name":"Denver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2" s="159"/>
      <c r="AA52" s="47"/>
      <c r="AB52" s="47"/>
      <c r="AC52" s="115" t="str">
        <f>"grep -hrE -A400 ""Enforcement Action"" "&amp;"/c/Users/stu/AppData/Local/Temp/OnboardLogs"&amp;"/RTDC"&amp;U52&amp;" --include=""*"&amp;U52&amp;"*"&amp;TEXT(A52-utc_offset/24,"YYYYMMDD")&amp;LEFT(TEXT(A52-utc_offset/24,"HH"),1)&amp;"*"" | grep -E ""((Enforcement Ac)|(PRM))"" -"</f>
        <v>grep -hrE -A400 "Enforcement Action" /c/Users/stu/AppData/Local/Temp/OnboardLogs/RTDC4032 --include="*4032*201710252*"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"%USERPROFILE%\AppData\Local\Temp\OnboardLogs"\RTDC4032\*4032*201710252* &gt;&gt; 2017-10-25-SliceDisagreementCheck.txt</v>
      </c>
      <c r="AE52" s="145" t="str">
        <f t="shared" si="1"/>
        <v>start /low /b %USERPROFILE%\Documents\GitHub\eaglep3\Utilities\DownloadLogsFromS3.py --loco 4032 --day 2017-10-25</v>
      </c>
      <c r="AF52" s="1"/>
    </row>
    <row r="53" spans="1:32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39">
    <sortState ref="A7:AC52">
      <sortCondition ref="W7:W52"/>
      <sortCondition ref="E7:E52"/>
      <sortCondition ref="K7:K52"/>
      <sortCondition ref="F7:F52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7:O1048576 O7:O52">
    <cfRule type="cellIs" dxfId="7" priority="42" operator="equal">
      <formula>"Y"</formula>
    </cfRule>
  </conditionalFormatting>
  <conditionalFormatting sqref="O2:O3">
    <cfRule type="cellIs" dxfId="6" priority="33" operator="equal">
      <formula>"Y"</formula>
    </cfRule>
  </conditionalFormatting>
  <conditionalFormatting sqref="A7:P52">
    <cfRule type="expression" dxfId="5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2017-10-25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-25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" s="30" t="e">
        <f>VLOOKUP(B3,'Train Runs'!$A$13:$A$100073,1,FALSE)</f>
        <v>#N/A</v>
      </c>
    </row>
    <row r="4" spans="1:10" x14ac:dyDescent="0.3">
      <c r="A4" s="198"/>
      <c r="B4" s="42" t="str">
        <f>A4&amp;"-"&amp;IF(DAY(Variables!$A$2)&lt;10,0,"")&amp;DAY(Variables!$A$2)</f>
        <v>-25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Runs'!$A$13:$A$100073,1,FALSE)</f>
        <v>#N/A</v>
      </c>
    </row>
    <row r="5" spans="1:10" x14ac:dyDescent="0.3">
      <c r="A5" s="198"/>
      <c r="B5" s="42" t="str">
        <f>A5&amp;"-"&amp;IF(DAY(Variables!$A$2)&lt;10,0,"")&amp;DAY(Variables!$A$2)</f>
        <v>-25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Runs'!$A$13:$A$100073,1,FALSE)</f>
        <v>#N/A</v>
      </c>
    </row>
    <row r="6" spans="1:10" x14ac:dyDescent="0.3">
      <c r="A6" s="198"/>
      <c r="B6" s="42" t="str">
        <f>A6&amp;"-"&amp;IF(DAY(Variables!$A$2)&lt;10,0,"")&amp;DAY(Variables!$A$2)</f>
        <v>-25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Runs'!$A$13:$A$100073,1,FALSE)</f>
        <v>#N/A</v>
      </c>
    </row>
    <row r="7" spans="1:10" x14ac:dyDescent="0.3">
      <c r="A7" s="198"/>
      <c r="B7" s="42" t="str">
        <f>A7&amp;"-"&amp;IF(DAY(Variables!$A$2)&lt;10,0,"")&amp;DAY(Variables!$A$2)</f>
        <v>-25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Runs'!$A$13:$A$100073,1,FALSE)</f>
        <v>#N/A</v>
      </c>
    </row>
    <row r="8" spans="1:10" x14ac:dyDescent="0.3">
      <c r="A8" s="198"/>
      <c r="B8" s="42" t="str">
        <f>A8&amp;"-"&amp;IF(DAY(Variables!$A$2)&lt;10,0,"")&amp;DAY(Variables!$A$2)</f>
        <v>-25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Runs'!$A$13:$A$100073,1,FALSE)</f>
        <v>#N/A</v>
      </c>
    </row>
    <row r="9" spans="1:10" x14ac:dyDescent="0.3">
      <c r="A9" s="198"/>
      <c r="B9" s="42" t="str">
        <f>A9&amp;"-"&amp;IF(DAY(Variables!$A$2)&lt;10,0,"")&amp;DAY(Variables!$A$2)</f>
        <v>-25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Runs'!$A$13:$A$100073,1,FALSE)</f>
        <v>#N/A</v>
      </c>
    </row>
    <row r="10" spans="1:10" x14ac:dyDescent="0.3">
      <c r="A10" s="198"/>
      <c r="B10" s="42" t="str">
        <f>A10&amp;"-"&amp;IF(DAY(Variables!$A$2)&lt;10,0,"")&amp;DAY(Variables!$A$2)</f>
        <v>-25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Runs'!$A$13:$A$100073,1,FALSE)</f>
        <v>#N/A</v>
      </c>
    </row>
    <row r="11" spans="1:10" x14ac:dyDescent="0.3">
      <c r="A11" s="198"/>
      <c r="B11" s="42" t="str">
        <f>A11&amp;"-"&amp;IF(DAY(Variables!$A$2)&lt;10,0,"")&amp;DAY(Variables!$A$2)</f>
        <v>-25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Runs'!$A$13:$A$100073,1,FALSE)</f>
        <v>#N/A</v>
      </c>
    </row>
    <row r="12" spans="1:10" x14ac:dyDescent="0.3">
      <c r="A12" s="198"/>
      <c r="B12" s="42" t="str">
        <f>A12&amp;"-"&amp;IF(DAY(Variables!$A$2)&lt;10,0,"")&amp;DAY(Variables!$A$2)</f>
        <v>-25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Runs'!$A$13:$A$100073,1,FALSE)</f>
        <v>#N/A</v>
      </c>
    </row>
    <row r="13" spans="1:10" x14ac:dyDescent="0.3">
      <c r="A13" s="198"/>
      <c r="B13" s="42" t="str">
        <f>A13&amp;"-"&amp;IF(DAY(Variables!$A$2)&lt;10,0,"")&amp;DAY(Variables!$A$2)</f>
        <v>-25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Runs'!$A$13:$A$100073,1,FALSE)</f>
        <v>#N/A</v>
      </c>
    </row>
    <row r="14" spans="1:10" x14ac:dyDescent="0.3">
      <c r="A14" s="198"/>
      <c r="B14" s="42" t="str">
        <f>A14&amp;"-"&amp;IF(DAY(Variables!$A$2)&lt;10,0,"")&amp;DAY(Variables!$A$2)</f>
        <v>-25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Runs'!$A$13:$A$100073,1,FALSE)</f>
        <v>#N/A</v>
      </c>
    </row>
    <row r="15" spans="1:10" x14ac:dyDescent="0.3">
      <c r="A15" s="198"/>
      <c r="B15" s="42" t="str">
        <f>A15&amp;"-"&amp;IF(DAY(Variables!$A$2)&lt;10,0,"")&amp;DAY(Variables!$A$2)</f>
        <v>-25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Runs'!$A$13:$A$100073,1,FALSE)</f>
        <v>#N/A</v>
      </c>
    </row>
    <row r="16" spans="1:10" x14ac:dyDescent="0.3">
      <c r="A16" s="198"/>
      <c r="B16" s="42" t="str">
        <f>A16&amp;"-"&amp;IF(DAY(Variables!$A$2)&lt;10,0,"")&amp;DAY(Variables!$A$2)</f>
        <v>-25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Runs'!$A$13:$A$100073,1,FALSE)</f>
        <v>#N/A</v>
      </c>
    </row>
    <row r="17" spans="1:10" x14ac:dyDescent="0.3">
      <c r="A17" s="198"/>
      <c r="B17" s="42" t="str">
        <f>A17&amp;"-"&amp;IF(DAY(Variables!$A$2)&lt;10,0,"")&amp;DAY(Variables!$A$2)</f>
        <v>-25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Runs'!$A$13:$A$100073,1,FALSE)</f>
        <v>#N/A</v>
      </c>
    </row>
    <row r="18" spans="1:10" x14ac:dyDescent="0.3">
      <c r="A18" s="198"/>
      <c r="B18" s="42" t="str">
        <f>A18&amp;"-"&amp;IF(DAY(Variables!$A$2)&lt;10,0,"")&amp;DAY(Variables!$A$2)</f>
        <v>-25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Runs'!$A$13:$A$100073,1,FALSE)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289" workbookViewId="0">
      <selection sqref="A1:F258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43033.037175925929</v>
      </c>
      <c r="B2" s="20" t="s">
        <v>507</v>
      </c>
      <c r="C2" s="20" t="s">
        <v>574</v>
      </c>
      <c r="D2" s="138">
        <v>2610000</v>
      </c>
      <c r="E2" s="20" t="s">
        <v>537</v>
      </c>
      <c r="F2" s="20" t="s">
        <v>538</v>
      </c>
      <c r="G2" s="8" t="str">
        <f>E2&amp;" "&amp;F2</f>
        <v>MAGEE KENYA</v>
      </c>
      <c r="H2" t="str">
        <f>MID(B2,13,4)</f>
        <v>4025</v>
      </c>
    </row>
    <row r="3" spans="1:8" x14ac:dyDescent="0.3">
      <c r="A3" s="8">
        <v>43033.048541666663</v>
      </c>
      <c r="B3" s="20" t="s">
        <v>508</v>
      </c>
      <c r="C3" s="20" t="s">
        <v>575</v>
      </c>
      <c r="D3" s="138">
        <v>890000</v>
      </c>
      <c r="E3" s="20" t="s">
        <v>357</v>
      </c>
      <c r="F3" s="20" t="s">
        <v>358</v>
      </c>
      <c r="G3" s="8" t="str">
        <f t="shared" ref="G3:G66" si="0">E3&amp;" "&amp;F3</f>
        <v>LOZA FIDEL</v>
      </c>
      <c r="H3" s="20" t="str">
        <f t="shared" ref="H3:H66" si="1">MID(B3,13,4)</f>
        <v>4028</v>
      </c>
    </row>
    <row r="4" spans="1:8" x14ac:dyDescent="0.3">
      <c r="A4" s="8">
        <v>43033.049444444441</v>
      </c>
      <c r="B4" s="20" t="s">
        <v>405</v>
      </c>
      <c r="C4" s="20" t="s">
        <v>576</v>
      </c>
      <c r="D4" s="138">
        <v>3310000</v>
      </c>
      <c r="E4" s="20" t="s">
        <v>374</v>
      </c>
      <c r="F4" s="20" t="s">
        <v>375</v>
      </c>
      <c r="G4" s="8" t="str">
        <f t="shared" si="0"/>
        <v>ANDERS STEVEN</v>
      </c>
      <c r="H4" s="20" t="str">
        <f t="shared" si="1"/>
        <v>4059</v>
      </c>
    </row>
    <row r="5" spans="1:8" x14ac:dyDescent="0.3">
      <c r="A5" s="8">
        <v>43033.058854166666</v>
      </c>
      <c r="B5" s="20" t="s">
        <v>405</v>
      </c>
      <c r="C5" s="20" t="s">
        <v>576</v>
      </c>
      <c r="D5" s="138">
        <v>3310000</v>
      </c>
      <c r="E5" s="20" t="s">
        <v>374</v>
      </c>
      <c r="F5" s="20" t="s">
        <v>375</v>
      </c>
      <c r="G5" s="8" t="str">
        <f t="shared" si="0"/>
        <v>ANDERS STEVEN</v>
      </c>
      <c r="H5" s="20" t="str">
        <f t="shared" si="1"/>
        <v>4059</v>
      </c>
    </row>
    <row r="6" spans="1:8" x14ac:dyDescent="0.3">
      <c r="A6" s="8">
        <v>43033.069594907407</v>
      </c>
      <c r="B6" s="20" t="s">
        <v>510</v>
      </c>
      <c r="C6" s="20" t="s">
        <v>577</v>
      </c>
      <c r="D6" s="138">
        <v>2610000</v>
      </c>
      <c r="E6" s="20" t="s">
        <v>537</v>
      </c>
      <c r="F6" s="20" t="s">
        <v>538</v>
      </c>
      <c r="G6" s="8" t="str">
        <f t="shared" si="0"/>
        <v>MAGEE KENYA</v>
      </c>
      <c r="H6" s="20" t="str">
        <f t="shared" si="1"/>
        <v>4026</v>
      </c>
    </row>
    <row r="7" spans="1:8" x14ac:dyDescent="0.3">
      <c r="A7" s="8">
        <v>43033.089641203704</v>
      </c>
      <c r="B7" s="20" t="s">
        <v>404</v>
      </c>
      <c r="C7" s="20" t="s">
        <v>578</v>
      </c>
      <c r="D7" s="138">
        <v>3310000</v>
      </c>
      <c r="E7" s="20" t="s">
        <v>374</v>
      </c>
      <c r="F7" s="20" t="s">
        <v>375</v>
      </c>
      <c r="G7" s="8" t="str">
        <f t="shared" si="0"/>
        <v>ANDERS STEVEN</v>
      </c>
      <c r="H7" s="20" t="str">
        <f t="shared" si="1"/>
        <v>4060</v>
      </c>
    </row>
    <row r="8" spans="1:8" x14ac:dyDescent="0.3">
      <c r="A8" s="8">
        <v>43033.125127314815</v>
      </c>
      <c r="B8" s="20" t="s">
        <v>418</v>
      </c>
      <c r="C8" s="20" t="s">
        <v>664</v>
      </c>
      <c r="D8" s="138">
        <v>940000</v>
      </c>
      <c r="E8" s="20" t="s">
        <v>530</v>
      </c>
      <c r="F8" s="20" t="s">
        <v>531</v>
      </c>
      <c r="G8" s="8" t="str">
        <f t="shared" si="0"/>
        <v>BONDS REYNALDO</v>
      </c>
      <c r="H8" s="20" t="str">
        <f t="shared" si="1"/>
        <v>4005</v>
      </c>
    </row>
    <row r="9" spans="1:8" ht="15" thickBot="1" x14ac:dyDescent="0.35">
      <c r="A9" s="24">
        <v>43033.135914351849</v>
      </c>
      <c r="B9" s="20" t="s">
        <v>637</v>
      </c>
      <c r="C9" s="20" t="s">
        <v>665</v>
      </c>
      <c r="D9" s="138">
        <v>940000</v>
      </c>
      <c r="E9" s="20" t="s">
        <v>530</v>
      </c>
      <c r="F9" s="20" t="s">
        <v>531</v>
      </c>
      <c r="G9" s="8" t="str">
        <f t="shared" si="0"/>
        <v>BONDS REYNALDO</v>
      </c>
      <c r="H9" s="20" t="str">
        <f t="shared" si="1"/>
        <v>4030</v>
      </c>
    </row>
    <row r="10" spans="1:8" x14ac:dyDescent="0.3">
      <c r="A10" s="8">
        <v>43033.13958333333</v>
      </c>
      <c r="B10" s="20" t="s">
        <v>426</v>
      </c>
      <c r="C10" s="20" t="s">
        <v>666</v>
      </c>
      <c r="D10" s="138">
        <v>1110000</v>
      </c>
      <c r="E10" s="20" t="s">
        <v>528</v>
      </c>
      <c r="F10" s="20" t="s">
        <v>529</v>
      </c>
      <c r="G10" s="8" t="str">
        <f t="shared" si="0"/>
        <v>STARKS ANGELINA</v>
      </c>
      <c r="H10" s="20" t="str">
        <f t="shared" si="1"/>
        <v>4006</v>
      </c>
    </row>
    <row r="11" spans="1:8" x14ac:dyDescent="0.3">
      <c r="A11" s="8">
        <v>43033.142581018517</v>
      </c>
      <c r="B11" s="20" t="s">
        <v>418</v>
      </c>
      <c r="C11" s="20" t="s">
        <v>667</v>
      </c>
      <c r="D11" s="138">
        <v>1110000</v>
      </c>
      <c r="E11" s="20" t="s">
        <v>528</v>
      </c>
      <c r="F11" s="20" t="s">
        <v>529</v>
      </c>
      <c r="G11" s="8" t="str">
        <f t="shared" si="0"/>
        <v>STARKS ANGELINA</v>
      </c>
      <c r="H11" s="20" t="str">
        <f t="shared" si="1"/>
        <v>4005</v>
      </c>
    </row>
    <row r="12" spans="1:8" x14ac:dyDescent="0.3">
      <c r="A12" s="8">
        <v>43033.143449074072</v>
      </c>
      <c r="B12" s="20" t="s">
        <v>525</v>
      </c>
      <c r="C12" s="20" t="s">
        <v>668</v>
      </c>
      <c r="D12" s="138">
        <v>3120000</v>
      </c>
      <c r="E12" s="20" t="s">
        <v>526</v>
      </c>
      <c r="F12" s="20" t="s">
        <v>527</v>
      </c>
      <c r="G12" s="8" t="str">
        <f t="shared" si="0"/>
        <v>THOMPSON LESTER</v>
      </c>
      <c r="H12" s="20" t="str">
        <f t="shared" si="1"/>
        <v>4049</v>
      </c>
    </row>
    <row r="13" spans="1:8" x14ac:dyDescent="0.3">
      <c r="A13" s="8">
        <v>43033.154548611114</v>
      </c>
      <c r="B13" s="20" t="s">
        <v>509</v>
      </c>
      <c r="C13" s="20" t="s">
        <v>669</v>
      </c>
      <c r="D13" s="138">
        <v>3120000</v>
      </c>
      <c r="E13" s="20" t="s">
        <v>526</v>
      </c>
      <c r="F13" s="20" t="s">
        <v>527</v>
      </c>
      <c r="G13" s="8" t="str">
        <f t="shared" si="0"/>
        <v>THOMPSON LESTER</v>
      </c>
      <c r="H13" s="20" t="str">
        <f t="shared" si="1"/>
        <v>4050</v>
      </c>
    </row>
    <row r="14" spans="1:8" x14ac:dyDescent="0.3">
      <c r="A14" s="8">
        <v>43033.167812500003</v>
      </c>
      <c r="B14" s="20" t="s">
        <v>421</v>
      </c>
      <c r="C14" s="20" t="s">
        <v>621</v>
      </c>
      <c r="D14" s="138">
        <v>1830000</v>
      </c>
      <c r="E14" s="20" t="s">
        <v>369</v>
      </c>
      <c r="F14" s="20" t="s">
        <v>370</v>
      </c>
      <c r="G14" s="8" t="str">
        <f t="shared" si="0"/>
        <v>YORK EDGAR</v>
      </c>
      <c r="H14" s="20" t="str">
        <f t="shared" si="1"/>
        <v>4017</v>
      </c>
    </row>
    <row r="15" spans="1:8" x14ac:dyDescent="0.3">
      <c r="A15" s="8">
        <v>43033.169710648152</v>
      </c>
      <c r="B15" s="20" t="s">
        <v>622</v>
      </c>
      <c r="C15" s="20" t="s">
        <v>623</v>
      </c>
      <c r="D15" s="138">
        <v>940000</v>
      </c>
      <c r="E15" s="20" t="s">
        <v>530</v>
      </c>
      <c r="F15" s="20" t="s">
        <v>531</v>
      </c>
      <c r="G15" s="8" t="str">
        <f t="shared" si="0"/>
        <v>BONDS REYNALDO</v>
      </c>
      <c r="H15" s="20" t="str">
        <f t="shared" si="1"/>
        <v>4029</v>
      </c>
    </row>
    <row r="16" spans="1:8" x14ac:dyDescent="0.3">
      <c r="A16" s="8">
        <v>43033.172430555554</v>
      </c>
      <c r="B16" s="20" t="s">
        <v>622</v>
      </c>
      <c r="C16" s="20" t="s">
        <v>623</v>
      </c>
      <c r="D16" s="138">
        <v>940000</v>
      </c>
      <c r="E16" s="20" t="s">
        <v>530</v>
      </c>
      <c r="F16" s="20" t="s">
        <v>531</v>
      </c>
      <c r="G16" s="8" t="str">
        <f t="shared" si="0"/>
        <v>BONDS REYNALDO</v>
      </c>
      <c r="H16" s="20" t="str">
        <f t="shared" si="1"/>
        <v>4029</v>
      </c>
    </row>
    <row r="17" spans="1:8" x14ac:dyDescent="0.3">
      <c r="A17" s="8">
        <v>43033.173483796294</v>
      </c>
      <c r="B17" s="20" t="s">
        <v>564</v>
      </c>
      <c r="C17" s="20" t="s">
        <v>670</v>
      </c>
      <c r="D17" s="138">
        <v>3260000</v>
      </c>
      <c r="E17" s="20" t="s">
        <v>671</v>
      </c>
      <c r="F17" s="20" t="s">
        <v>672</v>
      </c>
      <c r="G17" s="8" t="str">
        <f t="shared" si="0"/>
        <v>PAGE MARCUS</v>
      </c>
      <c r="H17" s="20" t="str">
        <f t="shared" si="1"/>
        <v>4035</v>
      </c>
    </row>
    <row r="18" spans="1:8" x14ac:dyDescent="0.3">
      <c r="A18" s="8">
        <v>43033.17627314815</v>
      </c>
      <c r="B18" s="20" t="s">
        <v>417</v>
      </c>
      <c r="C18" s="20" t="s">
        <v>673</v>
      </c>
      <c r="D18" s="138">
        <v>1830000</v>
      </c>
      <c r="E18" s="20" t="s">
        <v>369</v>
      </c>
      <c r="F18" s="20" t="s">
        <v>370</v>
      </c>
      <c r="G18" s="8" t="str">
        <f t="shared" si="0"/>
        <v>YORK EDGAR</v>
      </c>
      <c r="H18" s="20" t="str">
        <f t="shared" si="1"/>
        <v>4018</v>
      </c>
    </row>
    <row r="19" spans="1:8" x14ac:dyDescent="0.3">
      <c r="A19" s="8">
        <v>43033.18072916667</v>
      </c>
      <c r="B19" s="20" t="s">
        <v>632</v>
      </c>
      <c r="C19" s="20" t="s">
        <v>674</v>
      </c>
      <c r="D19" s="138">
        <v>1990000</v>
      </c>
      <c r="E19" s="20" t="s">
        <v>425</v>
      </c>
      <c r="F19" s="20" t="s">
        <v>675</v>
      </c>
      <c r="G19" s="8" t="str">
        <f t="shared" si="0"/>
        <v>DAVIS WENDY</v>
      </c>
      <c r="H19" s="20" t="str">
        <f t="shared" si="1"/>
        <v>4045</v>
      </c>
    </row>
    <row r="20" spans="1:8" x14ac:dyDescent="0.3">
      <c r="A20" s="8">
        <v>43033.186238425929</v>
      </c>
      <c r="B20" s="20" t="s">
        <v>558</v>
      </c>
      <c r="C20" s="20" t="s">
        <v>676</v>
      </c>
      <c r="D20" s="138">
        <v>3260000</v>
      </c>
      <c r="E20" s="20" t="s">
        <v>671</v>
      </c>
      <c r="F20" s="20" t="s">
        <v>672</v>
      </c>
      <c r="G20" s="8" t="str">
        <f t="shared" si="0"/>
        <v>PAGE MARCUS</v>
      </c>
      <c r="H20" s="20" t="str">
        <f t="shared" si="1"/>
        <v>4036</v>
      </c>
    </row>
    <row r="21" spans="1:8" x14ac:dyDescent="0.3">
      <c r="A21" s="8">
        <v>43033.193159722221</v>
      </c>
      <c r="B21" s="20" t="s">
        <v>525</v>
      </c>
      <c r="C21" s="20" t="s">
        <v>677</v>
      </c>
      <c r="D21" s="138">
        <v>3120000</v>
      </c>
      <c r="E21" s="20" t="s">
        <v>526</v>
      </c>
      <c r="F21" s="20" t="s">
        <v>527</v>
      </c>
      <c r="G21" s="8" t="str">
        <f t="shared" si="0"/>
        <v>THOMPSON LESTER</v>
      </c>
      <c r="H21" s="20" t="str">
        <f t="shared" si="1"/>
        <v>4049</v>
      </c>
    </row>
    <row r="22" spans="1:8" x14ac:dyDescent="0.3">
      <c r="A22" s="26">
        <v>43033.194502314815</v>
      </c>
      <c r="B22" s="20" t="s">
        <v>532</v>
      </c>
      <c r="C22" s="20" t="s">
        <v>678</v>
      </c>
      <c r="D22" s="138">
        <v>1990000</v>
      </c>
      <c r="E22" s="20" t="s">
        <v>425</v>
      </c>
      <c r="F22" s="20" t="s">
        <v>675</v>
      </c>
      <c r="G22" s="8" t="str">
        <f t="shared" si="0"/>
        <v>DAVIS WENDY</v>
      </c>
      <c r="H22" s="20" t="str">
        <f t="shared" si="1"/>
        <v>4046</v>
      </c>
    </row>
    <row r="23" spans="1:8" x14ac:dyDescent="0.3">
      <c r="A23" s="8">
        <v>43033.198449074072</v>
      </c>
      <c r="B23" s="20" t="s">
        <v>383</v>
      </c>
      <c r="C23" s="20" t="s">
        <v>626</v>
      </c>
      <c r="D23" s="138">
        <v>1230000</v>
      </c>
      <c r="E23" s="20" t="s">
        <v>533</v>
      </c>
      <c r="F23" s="20" t="s">
        <v>534</v>
      </c>
      <c r="G23" s="8" t="str">
        <f t="shared" si="0"/>
        <v>YANAI IAN</v>
      </c>
      <c r="H23" s="20" t="str">
        <f t="shared" si="1"/>
        <v>4065</v>
      </c>
    </row>
    <row r="24" spans="1:8" x14ac:dyDescent="0.3">
      <c r="A24" s="8">
        <v>43033.202291666668</v>
      </c>
      <c r="B24" s="20" t="s">
        <v>421</v>
      </c>
      <c r="C24" s="20" t="s">
        <v>679</v>
      </c>
      <c r="D24" s="138">
        <v>1830000</v>
      </c>
      <c r="E24" s="20" t="s">
        <v>369</v>
      </c>
      <c r="F24" s="20" t="s">
        <v>370</v>
      </c>
      <c r="G24" s="8" t="str">
        <f t="shared" si="0"/>
        <v>YORK EDGAR</v>
      </c>
      <c r="H24" s="20" t="str">
        <f t="shared" si="1"/>
        <v>4017</v>
      </c>
    </row>
    <row r="25" spans="1:8" x14ac:dyDescent="0.3">
      <c r="A25" s="8">
        <v>43033.20412037037</v>
      </c>
      <c r="B25" s="20" t="s">
        <v>440</v>
      </c>
      <c r="C25" s="20" t="s">
        <v>680</v>
      </c>
      <c r="D25" s="138">
        <v>3090000</v>
      </c>
      <c r="E25" s="20" t="s">
        <v>511</v>
      </c>
      <c r="F25" s="20" t="s">
        <v>512</v>
      </c>
      <c r="G25" s="8" t="str">
        <f t="shared" si="0"/>
        <v>LAMAR NEKESHA</v>
      </c>
      <c r="H25" s="20" t="str">
        <f t="shared" si="1"/>
        <v>4024</v>
      </c>
    </row>
    <row r="26" spans="1:8" x14ac:dyDescent="0.3">
      <c r="A26" s="8">
        <v>43033.206145833334</v>
      </c>
      <c r="B26" s="20" t="s">
        <v>637</v>
      </c>
      <c r="C26" s="20" t="s">
        <v>681</v>
      </c>
      <c r="D26" s="138">
        <v>940000</v>
      </c>
      <c r="E26" s="20" t="s">
        <v>530</v>
      </c>
      <c r="F26" s="20" t="s">
        <v>531</v>
      </c>
      <c r="G26" s="8" t="str">
        <f t="shared" si="0"/>
        <v>BONDS REYNALDO</v>
      </c>
      <c r="H26" s="20" t="str">
        <f t="shared" si="1"/>
        <v>4030</v>
      </c>
    </row>
    <row r="27" spans="1:8" x14ac:dyDescent="0.3">
      <c r="A27" s="8">
        <v>43033.207916666666</v>
      </c>
      <c r="B27" s="20" t="s">
        <v>426</v>
      </c>
      <c r="C27" s="20" t="s">
        <v>682</v>
      </c>
      <c r="D27" s="138">
        <v>1110000</v>
      </c>
      <c r="E27" s="20" t="s">
        <v>528</v>
      </c>
      <c r="F27" s="20" t="s">
        <v>529</v>
      </c>
      <c r="G27" s="8" t="str">
        <f t="shared" si="0"/>
        <v>STARKS ANGELINA</v>
      </c>
      <c r="H27" s="20" t="str">
        <f t="shared" si="1"/>
        <v>4006</v>
      </c>
    </row>
    <row r="28" spans="1:8" x14ac:dyDescent="0.3">
      <c r="A28" s="8">
        <v>43033.213217592594</v>
      </c>
      <c r="B28" s="20" t="s">
        <v>418</v>
      </c>
      <c r="C28" s="20" t="s">
        <v>683</v>
      </c>
      <c r="D28" s="138">
        <v>1110000</v>
      </c>
      <c r="E28" s="20" t="s">
        <v>528</v>
      </c>
      <c r="F28" s="20" t="s">
        <v>529</v>
      </c>
      <c r="G28" s="8" t="str">
        <f t="shared" si="0"/>
        <v>STARKS ANGELINA</v>
      </c>
      <c r="H28" s="20" t="str">
        <f t="shared" si="1"/>
        <v>4005</v>
      </c>
    </row>
    <row r="29" spans="1:8" x14ac:dyDescent="0.3">
      <c r="A29" s="8">
        <v>43033.215358796297</v>
      </c>
      <c r="B29" s="20" t="s">
        <v>441</v>
      </c>
      <c r="C29" s="20" t="s">
        <v>624</v>
      </c>
      <c r="D29" s="138">
        <v>3090000</v>
      </c>
      <c r="E29" s="20" t="s">
        <v>511</v>
      </c>
      <c r="F29" s="20" t="s">
        <v>512</v>
      </c>
      <c r="G29" s="8" t="str">
        <f t="shared" si="0"/>
        <v>LAMAR NEKESHA</v>
      </c>
      <c r="H29" s="20" t="str">
        <f t="shared" si="1"/>
        <v>4023</v>
      </c>
    </row>
    <row r="30" spans="1:8" x14ac:dyDescent="0.3">
      <c r="A30" s="8">
        <v>43033.217615740738</v>
      </c>
      <c r="B30" s="20" t="s">
        <v>426</v>
      </c>
      <c r="C30" s="20" t="s">
        <v>684</v>
      </c>
      <c r="D30" s="138">
        <v>1110000</v>
      </c>
      <c r="E30" s="20" t="s">
        <v>528</v>
      </c>
      <c r="F30" s="20" t="s">
        <v>529</v>
      </c>
      <c r="G30" s="8" t="str">
        <f t="shared" si="0"/>
        <v>STARKS ANGELINA</v>
      </c>
      <c r="H30" s="20" t="str">
        <f t="shared" si="1"/>
        <v>4006</v>
      </c>
    </row>
    <row r="31" spans="1:8" x14ac:dyDescent="0.3">
      <c r="A31" s="8">
        <v>43033.220324074071</v>
      </c>
      <c r="B31" s="20" t="s">
        <v>383</v>
      </c>
      <c r="C31" s="20" t="s">
        <v>685</v>
      </c>
      <c r="D31" s="138">
        <v>900000</v>
      </c>
      <c r="E31" s="20" t="s">
        <v>560</v>
      </c>
      <c r="F31" s="20" t="s">
        <v>561</v>
      </c>
      <c r="G31" s="8" t="str">
        <f t="shared" si="0"/>
        <v>ROCHA YAOTL</v>
      </c>
      <c r="H31" s="20" t="str">
        <f t="shared" si="1"/>
        <v>4065</v>
      </c>
    </row>
    <row r="32" spans="1:8" x14ac:dyDescent="0.3">
      <c r="A32" s="8">
        <v>43033.220833333333</v>
      </c>
      <c r="B32" s="20" t="s">
        <v>383</v>
      </c>
      <c r="C32" s="20" t="s">
        <v>686</v>
      </c>
      <c r="D32" s="138">
        <v>900000</v>
      </c>
      <c r="E32" s="20" t="s">
        <v>560</v>
      </c>
      <c r="F32" s="20" t="s">
        <v>561</v>
      </c>
      <c r="G32" s="8" t="str">
        <f t="shared" si="0"/>
        <v>ROCHA YAOTL</v>
      </c>
      <c r="H32" s="20" t="str">
        <f t="shared" si="1"/>
        <v>4065</v>
      </c>
    </row>
    <row r="33" spans="1:8" x14ac:dyDescent="0.3">
      <c r="A33" s="8">
        <v>43033.220960648148</v>
      </c>
      <c r="B33" s="20" t="s">
        <v>419</v>
      </c>
      <c r="C33" s="20" t="s">
        <v>687</v>
      </c>
      <c r="D33" s="138">
        <v>3000000</v>
      </c>
      <c r="E33" s="20" t="s">
        <v>565</v>
      </c>
      <c r="F33" s="20" t="s">
        <v>566</v>
      </c>
      <c r="G33" s="8" t="str">
        <f t="shared" si="0"/>
        <v>FORTUNATO FRANK</v>
      </c>
      <c r="H33" s="20" t="str">
        <f t="shared" si="1"/>
        <v>4007</v>
      </c>
    </row>
    <row r="34" spans="1:8" x14ac:dyDescent="0.3">
      <c r="A34" s="8">
        <v>43033.222592592596</v>
      </c>
      <c r="B34" s="20" t="s">
        <v>625</v>
      </c>
      <c r="C34" s="20" t="s">
        <v>626</v>
      </c>
      <c r="D34" s="138">
        <v>1230000</v>
      </c>
      <c r="E34" s="20" t="s">
        <v>533</v>
      </c>
      <c r="F34" s="20" t="s">
        <v>534</v>
      </c>
      <c r="G34" s="8" t="str">
        <f t="shared" si="0"/>
        <v>YANAI IAN</v>
      </c>
      <c r="H34" s="20" t="str">
        <f t="shared" si="1"/>
        <v>4003</v>
      </c>
    </row>
    <row r="35" spans="1:8" x14ac:dyDescent="0.3">
      <c r="A35" s="8">
        <v>43033.222812499997</v>
      </c>
      <c r="B35" s="20" t="s">
        <v>564</v>
      </c>
      <c r="C35" s="20" t="s">
        <v>688</v>
      </c>
      <c r="D35" s="138">
        <v>3260000</v>
      </c>
      <c r="E35" s="20" t="s">
        <v>671</v>
      </c>
      <c r="F35" s="20" t="s">
        <v>672</v>
      </c>
      <c r="G35" s="8" t="str">
        <f t="shared" si="0"/>
        <v>PAGE MARCUS</v>
      </c>
      <c r="H35" s="20" t="str">
        <f t="shared" si="1"/>
        <v>4035</v>
      </c>
    </row>
    <row r="36" spans="1:8" x14ac:dyDescent="0.3">
      <c r="A36" s="8">
        <v>43033.224999999999</v>
      </c>
      <c r="B36" s="20" t="s">
        <v>382</v>
      </c>
      <c r="C36" s="20" t="s">
        <v>685</v>
      </c>
      <c r="D36" s="138">
        <v>900000</v>
      </c>
      <c r="E36" s="20" t="s">
        <v>560</v>
      </c>
      <c r="F36" s="20" t="s">
        <v>561</v>
      </c>
      <c r="G36" s="8" t="str">
        <f t="shared" si="0"/>
        <v>ROCHA YAOTL</v>
      </c>
      <c r="H36" s="20" t="str">
        <f t="shared" si="1"/>
        <v>4066</v>
      </c>
    </row>
    <row r="37" spans="1:8" x14ac:dyDescent="0.3">
      <c r="A37" s="8">
        <v>43033.226724537039</v>
      </c>
      <c r="B37" s="20" t="s">
        <v>509</v>
      </c>
      <c r="C37" s="20" t="s">
        <v>689</v>
      </c>
      <c r="D37" s="138">
        <v>3120000</v>
      </c>
      <c r="E37" s="20" t="s">
        <v>526</v>
      </c>
      <c r="F37" s="20" t="s">
        <v>527</v>
      </c>
      <c r="G37" s="8" t="str">
        <f t="shared" si="0"/>
        <v>THOMPSON LESTER</v>
      </c>
      <c r="H37" s="20" t="str">
        <f t="shared" si="1"/>
        <v>4050</v>
      </c>
    </row>
    <row r="38" spans="1:8" x14ac:dyDescent="0.3">
      <c r="A38" s="8">
        <v>43033.229872685188</v>
      </c>
      <c r="B38" s="20" t="s">
        <v>632</v>
      </c>
      <c r="C38" s="20" t="s">
        <v>690</v>
      </c>
      <c r="D38" s="138">
        <v>1990000</v>
      </c>
      <c r="E38" s="20" t="s">
        <v>425</v>
      </c>
      <c r="F38" s="20" t="s">
        <v>675</v>
      </c>
      <c r="G38" s="8" t="str">
        <f t="shared" si="0"/>
        <v>DAVIS WENDY</v>
      </c>
      <c r="H38" s="20" t="str">
        <f t="shared" si="1"/>
        <v>4045</v>
      </c>
    </row>
    <row r="39" spans="1:8" x14ac:dyDescent="0.3">
      <c r="A39" s="8">
        <v>43033.231053240743</v>
      </c>
      <c r="B39" s="20" t="s">
        <v>440</v>
      </c>
      <c r="C39" s="20" t="s">
        <v>691</v>
      </c>
      <c r="D39" s="138">
        <v>3090000</v>
      </c>
      <c r="E39" s="20" t="s">
        <v>511</v>
      </c>
      <c r="F39" s="20" t="s">
        <v>512</v>
      </c>
      <c r="G39" s="8" t="str">
        <f t="shared" si="0"/>
        <v>LAMAR NEKESHA</v>
      </c>
      <c r="H39" s="20" t="str">
        <f t="shared" si="1"/>
        <v>4024</v>
      </c>
    </row>
    <row r="40" spans="1:8" x14ac:dyDescent="0.3">
      <c r="A40" s="8">
        <v>43033.236377314817</v>
      </c>
      <c r="B40" s="25" t="s">
        <v>402</v>
      </c>
      <c r="C40" s="20" t="s">
        <v>692</v>
      </c>
      <c r="D40" s="138">
        <v>3000000</v>
      </c>
      <c r="E40" s="20" t="s">
        <v>565</v>
      </c>
      <c r="F40" s="20" t="s">
        <v>566</v>
      </c>
      <c r="G40" s="8" t="str">
        <f t="shared" si="0"/>
        <v>FORTUNATO FRANK</v>
      </c>
      <c r="H40" s="20" t="str">
        <f t="shared" si="1"/>
        <v>4008</v>
      </c>
    </row>
    <row r="41" spans="1:8" x14ac:dyDescent="0.3">
      <c r="A41" s="8">
        <v>43033.240925925929</v>
      </c>
      <c r="B41" s="20" t="s">
        <v>644</v>
      </c>
      <c r="C41" s="20" t="s">
        <v>693</v>
      </c>
      <c r="D41" s="138">
        <v>1100000</v>
      </c>
      <c r="E41" s="20" t="s">
        <v>694</v>
      </c>
      <c r="F41" s="20" t="s">
        <v>695</v>
      </c>
      <c r="G41" s="8" t="str">
        <f t="shared" si="0"/>
        <v>GEBRETEKLE DAGNEW</v>
      </c>
      <c r="H41" s="20" t="str">
        <f t="shared" si="1"/>
        <v>4051</v>
      </c>
    </row>
    <row r="42" spans="1:8" x14ac:dyDescent="0.3">
      <c r="A42" s="8">
        <v>43033.244317129633</v>
      </c>
      <c r="B42" s="20" t="s">
        <v>417</v>
      </c>
      <c r="C42" s="20" t="s">
        <v>696</v>
      </c>
      <c r="D42" s="138">
        <v>1830000</v>
      </c>
      <c r="E42" s="20" t="s">
        <v>369</v>
      </c>
      <c r="F42" s="20" t="s">
        <v>370</v>
      </c>
      <c r="G42" s="8" t="str">
        <f t="shared" si="0"/>
        <v>YORK EDGAR</v>
      </c>
      <c r="H42" s="20" t="str">
        <f t="shared" si="1"/>
        <v>4018</v>
      </c>
    </row>
    <row r="43" spans="1:8" x14ac:dyDescent="0.3">
      <c r="A43" s="8">
        <v>43033.245034722226</v>
      </c>
      <c r="B43" s="20" t="s">
        <v>622</v>
      </c>
      <c r="C43" s="20" t="s">
        <v>627</v>
      </c>
      <c r="D43" s="138">
        <v>940000</v>
      </c>
      <c r="E43" s="20" t="s">
        <v>530</v>
      </c>
      <c r="F43" s="20" t="s">
        <v>531</v>
      </c>
      <c r="G43" s="8" t="str">
        <f t="shared" si="0"/>
        <v>BONDS REYNALDO</v>
      </c>
      <c r="H43" s="20" t="str">
        <f t="shared" si="1"/>
        <v>4029</v>
      </c>
    </row>
    <row r="44" spans="1:8" x14ac:dyDescent="0.3">
      <c r="A44" s="8">
        <v>43033.246701388889</v>
      </c>
      <c r="B44" s="20" t="s">
        <v>441</v>
      </c>
      <c r="C44" s="20" t="s">
        <v>628</v>
      </c>
      <c r="D44" s="138">
        <v>3090000</v>
      </c>
      <c r="E44" s="20" t="s">
        <v>511</v>
      </c>
      <c r="F44" s="20" t="s">
        <v>512</v>
      </c>
      <c r="G44" s="8" t="str">
        <f t="shared" si="0"/>
        <v>LAMAR NEKESHA</v>
      </c>
      <c r="H44" s="20" t="str">
        <f t="shared" si="1"/>
        <v>4023</v>
      </c>
    </row>
    <row r="45" spans="1:8" x14ac:dyDescent="0.3">
      <c r="A45" s="8">
        <v>43033.248657407406</v>
      </c>
      <c r="B45" s="20" t="s">
        <v>418</v>
      </c>
      <c r="C45" s="20" t="s">
        <v>697</v>
      </c>
      <c r="D45" s="138">
        <v>1110000</v>
      </c>
      <c r="E45" s="20" t="s">
        <v>528</v>
      </c>
      <c r="F45" s="20" t="s">
        <v>529</v>
      </c>
      <c r="G45" s="8" t="str">
        <f t="shared" si="0"/>
        <v>STARKS ANGELINA</v>
      </c>
      <c r="H45" s="20" t="str">
        <f t="shared" si="1"/>
        <v>4005</v>
      </c>
    </row>
    <row r="46" spans="1:8" x14ac:dyDescent="0.3">
      <c r="A46" s="8">
        <v>43033.251655092594</v>
      </c>
      <c r="B46" s="20" t="s">
        <v>630</v>
      </c>
      <c r="C46" s="20" t="s">
        <v>698</v>
      </c>
      <c r="D46" s="138">
        <v>1100000</v>
      </c>
      <c r="E46" s="20" t="s">
        <v>694</v>
      </c>
      <c r="F46" s="20" t="s">
        <v>695</v>
      </c>
      <c r="G46" s="8" t="str">
        <f t="shared" si="0"/>
        <v>GEBRETEKLE DAGNEW</v>
      </c>
      <c r="H46" s="20" t="str">
        <f t="shared" si="1"/>
        <v>4052</v>
      </c>
    </row>
    <row r="47" spans="1:8" x14ac:dyDescent="0.3">
      <c r="A47" s="8">
        <v>43033.257326388892</v>
      </c>
      <c r="B47" s="20" t="s">
        <v>558</v>
      </c>
      <c r="C47" s="20" t="s">
        <v>699</v>
      </c>
      <c r="D47" s="138">
        <v>3260000</v>
      </c>
      <c r="E47" s="20" t="s">
        <v>671</v>
      </c>
      <c r="F47" s="20" t="s">
        <v>672</v>
      </c>
      <c r="G47" s="8" t="str">
        <f t="shared" si="0"/>
        <v>PAGE MARCUS</v>
      </c>
      <c r="H47" s="20" t="str">
        <f t="shared" si="1"/>
        <v>4036</v>
      </c>
    </row>
    <row r="48" spans="1:8" x14ac:dyDescent="0.3">
      <c r="A48" s="8">
        <v>43033.266550925924</v>
      </c>
      <c r="B48" s="20" t="s">
        <v>419</v>
      </c>
      <c r="C48" s="20" t="s">
        <v>700</v>
      </c>
      <c r="D48" s="138">
        <v>3000000</v>
      </c>
      <c r="E48" s="20" t="s">
        <v>565</v>
      </c>
      <c r="F48" s="20" t="s">
        <v>566</v>
      </c>
      <c r="G48" s="8" t="str">
        <f t="shared" si="0"/>
        <v>FORTUNATO FRANK</v>
      </c>
      <c r="H48" s="20" t="str">
        <f t="shared" si="1"/>
        <v>4007</v>
      </c>
    </row>
    <row r="49" spans="1:8" x14ac:dyDescent="0.3">
      <c r="A49" s="8">
        <v>43033.266863425924</v>
      </c>
      <c r="B49" s="20" t="s">
        <v>525</v>
      </c>
      <c r="C49" s="20" t="s">
        <v>701</v>
      </c>
      <c r="D49" s="138">
        <v>3120000</v>
      </c>
      <c r="E49" s="20" t="s">
        <v>526</v>
      </c>
      <c r="F49" s="20" t="s">
        <v>527</v>
      </c>
      <c r="G49" s="8" t="str">
        <f t="shared" si="0"/>
        <v>THOMPSON LESTER</v>
      </c>
      <c r="H49" s="20" t="str">
        <f t="shared" si="1"/>
        <v>4049</v>
      </c>
    </row>
    <row r="50" spans="1:8" x14ac:dyDescent="0.3">
      <c r="A50" s="8">
        <v>43033.267951388887</v>
      </c>
      <c r="B50" s="20" t="s">
        <v>644</v>
      </c>
      <c r="C50" s="20" t="s">
        <v>702</v>
      </c>
      <c r="D50" s="138">
        <v>1100000</v>
      </c>
      <c r="E50" s="20" t="s">
        <v>694</v>
      </c>
      <c r="F50" s="20" t="s">
        <v>695</v>
      </c>
      <c r="G50" s="8" t="str">
        <f t="shared" si="0"/>
        <v>GEBRETEKLE DAGNEW</v>
      </c>
      <c r="H50" s="20" t="str">
        <f t="shared" si="1"/>
        <v>4051</v>
      </c>
    </row>
    <row r="51" spans="1:8" x14ac:dyDescent="0.3">
      <c r="A51" s="8">
        <v>43033.268125000002</v>
      </c>
      <c r="B51" s="20" t="s">
        <v>532</v>
      </c>
      <c r="C51" s="20" t="s">
        <v>703</v>
      </c>
      <c r="D51" s="138">
        <v>1990000</v>
      </c>
      <c r="E51" s="20" t="s">
        <v>425</v>
      </c>
      <c r="F51" s="20" t="s">
        <v>675</v>
      </c>
      <c r="G51" s="8" t="str">
        <f t="shared" si="0"/>
        <v>DAVIS WENDY</v>
      </c>
      <c r="H51" s="20" t="str">
        <f t="shared" si="1"/>
        <v>4046</v>
      </c>
    </row>
    <row r="52" spans="1:8" x14ac:dyDescent="0.3">
      <c r="A52" s="8">
        <v>43033.27553240741</v>
      </c>
      <c r="B52" s="20" t="s">
        <v>440</v>
      </c>
      <c r="C52" s="20" t="s">
        <v>629</v>
      </c>
      <c r="D52" s="138">
        <v>3090000</v>
      </c>
      <c r="E52" s="20" t="s">
        <v>511</v>
      </c>
      <c r="F52" s="20" t="s">
        <v>512</v>
      </c>
      <c r="G52" s="8" t="str">
        <f t="shared" si="0"/>
        <v>LAMAR NEKESHA</v>
      </c>
      <c r="H52" s="20" t="str">
        <f t="shared" si="1"/>
        <v>4024</v>
      </c>
    </row>
    <row r="53" spans="1:8" x14ac:dyDescent="0.3">
      <c r="A53" s="8">
        <v>43033.275879629633</v>
      </c>
      <c r="B53" s="20" t="s">
        <v>421</v>
      </c>
      <c r="C53" s="20" t="s">
        <v>704</v>
      </c>
      <c r="D53" s="138">
        <v>1830000</v>
      </c>
      <c r="E53" s="20" t="s">
        <v>369</v>
      </c>
      <c r="F53" s="20" t="s">
        <v>370</v>
      </c>
      <c r="G53" s="8" t="str">
        <f t="shared" si="0"/>
        <v>YORK EDGAR</v>
      </c>
      <c r="H53" s="20" t="str">
        <f t="shared" si="1"/>
        <v>4017</v>
      </c>
    </row>
    <row r="54" spans="1:8" x14ac:dyDescent="0.3">
      <c r="A54" s="8">
        <v>43033.27753472222</v>
      </c>
      <c r="B54" s="20" t="s">
        <v>637</v>
      </c>
      <c r="C54" s="20" t="s">
        <v>705</v>
      </c>
      <c r="D54" s="138">
        <v>940000</v>
      </c>
      <c r="E54" s="20" t="s">
        <v>530</v>
      </c>
      <c r="F54" s="20" t="s">
        <v>531</v>
      </c>
      <c r="G54" s="8" t="str">
        <f t="shared" si="0"/>
        <v>BONDS REYNALDO</v>
      </c>
      <c r="H54" s="20" t="str">
        <f t="shared" si="1"/>
        <v>4030</v>
      </c>
    </row>
    <row r="55" spans="1:8" x14ac:dyDescent="0.3">
      <c r="A55" s="8">
        <v>43033.288356481484</v>
      </c>
      <c r="B55" s="20" t="s">
        <v>426</v>
      </c>
      <c r="C55" s="20" t="s">
        <v>706</v>
      </c>
      <c r="D55" s="138">
        <v>1230000</v>
      </c>
      <c r="E55" s="20" t="s">
        <v>533</v>
      </c>
      <c r="F55" s="20" t="s">
        <v>534</v>
      </c>
      <c r="G55" s="8" t="str">
        <f t="shared" si="0"/>
        <v>YANAI IAN</v>
      </c>
      <c r="H55" s="20" t="str">
        <f t="shared" si="1"/>
        <v>4006</v>
      </c>
    </row>
    <row r="56" spans="1:8" x14ac:dyDescent="0.3">
      <c r="A56" s="8">
        <v>43033.291192129633</v>
      </c>
      <c r="B56" s="20" t="s">
        <v>441</v>
      </c>
      <c r="C56" s="20" t="s">
        <v>707</v>
      </c>
      <c r="D56" s="138">
        <v>3090000</v>
      </c>
      <c r="E56" s="20" t="s">
        <v>511</v>
      </c>
      <c r="F56" s="20" t="s">
        <v>512</v>
      </c>
      <c r="G56" s="8" t="str">
        <f t="shared" si="0"/>
        <v>LAMAR NEKESHA</v>
      </c>
      <c r="H56" s="20" t="str">
        <f t="shared" si="1"/>
        <v>4023</v>
      </c>
    </row>
    <row r="57" spans="1:8" x14ac:dyDescent="0.3">
      <c r="A57" s="8">
        <v>43033.291712962964</v>
      </c>
      <c r="B57" s="20" t="s">
        <v>630</v>
      </c>
      <c r="C57" s="20" t="s">
        <v>631</v>
      </c>
      <c r="D57" s="138">
        <v>1100000</v>
      </c>
      <c r="E57" s="20" t="s">
        <v>694</v>
      </c>
      <c r="F57" s="20" t="s">
        <v>695</v>
      </c>
      <c r="G57" s="8" t="str">
        <f t="shared" si="0"/>
        <v>GEBRETEKLE DAGNEW</v>
      </c>
      <c r="H57" s="20" t="str">
        <f t="shared" si="1"/>
        <v>4052</v>
      </c>
    </row>
    <row r="58" spans="1:8" x14ac:dyDescent="0.3">
      <c r="A58" s="8">
        <v>43033.29619212963</v>
      </c>
      <c r="B58" s="20" t="s">
        <v>564</v>
      </c>
      <c r="C58" s="20" t="s">
        <v>708</v>
      </c>
      <c r="D58" s="138">
        <v>3260000</v>
      </c>
      <c r="E58" s="20" t="s">
        <v>671</v>
      </c>
      <c r="F58" s="20" t="s">
        <v>672</v>
      </c>
      <c r="G58" s="8" t="str">
        <f t="shared" si="0"/>
        <v>PAGE MARCUS</v>
      </c>
      <c r="H58" s="20" t="str">
        <f t="shared" si="1"/>
        <v>4035</v>
      </c>
    </row>
    <row r="59" spans="1:8" x14ac:dyDescent="0.3">
      <c r="A59" s="8">
        <v>43033.299745370372</v>
      </c>
      <c r="B59" s="20" t="s">
        <v>630</v>
      </c>
      <c r="C59" s="20" t="s">
        <v>631</v>
      </c>
      <c r="D59" s="138">
        <v>1100000</v>
      </c>
      <c r="E59" s="20" t="s">
        <v>694</v>
      </c>
      <c r="F59" s="20" t="s">
        <v>695</v>
      </c>
      <c r="G59" s="8" t="str">
        <f t="shared" si="0"/>
        <v>GEBRETEKLE DAGNEW</v>
      </c>
      <c r="H59" s="20" t="str">
        <f t="shared" si="1"/>
        <v>4052</v>
      </c>
    </row>
    <row r="60" spans="1:8" x14ac:dyDescent="0.3">
      <c r="A60" s="8">
        <v>43033.300636574073</v>
      </c>
      <c r="B60" s="20" t="s">
        <v>509</v>
      </c>
      <c r="C60" s="20" t="s">
        <v>709</v>
      </c>
      <c r="D60" s="138">
        <v>3120000</v>
      </c>
      <c r="E60" s="20" t="s">
        <v>526</v>
      </c>
      <c r="F60" s="20" t="s">
        <v>527</v>
      </c>
      <c r="G60" s="8" t="str">
        <f t="shared" si="0"/>
        <v>THOMPSON LESTER</v>
      </c>
      <c r="H60" s="20" t="str">
        <f t="shared" si="1"/>
        <v>4050</v>
      </c>
    </row>
    <row r="61" spans="1:8" x14ac:dyDescent="0.3">
      <c r="A61" s="8">
        <v>43033.30228009259</v>
      </c>
      <c r="B61" s="20" t="s">
        <v>632</v>
      </c>
      <c r="C61" s="20" t="s">
        <v>633</v>
      </c>
      <c r="D61" s="138">
        <v>1990000</v>
      </c>
      <c r="E61" s="20" t="s">
        <v>425</v>
      </c>
      <c r="F61" s="20" t="s">
        <v>675</v>
      </c>
      <c r="G61" s="8" t="str">
        <f t="shared" si="0"/>
        <v>DAVIS WENDY</v>
      </c>
      <c r="H61" s="20" t="str">
        <f t="shared" si="1"/>
        <v>4045</v>
      </c>
    </row>
    <row r="62" spans="1:8" x14ac:dyDescent="0.3">
      <c r="A62" s="8">
        <v>43033.308229166665</v>
      </c>
      <c r="B62" s="20" t="s">
        <v>402</v>
      </c>
      <c r="C62" s="20" t="s">
        <v>710</v>
      </c>
      <c r="D62" s="138">
        <v>3000000</v>
      </c>
      <c r="E62" s="20" t="s">
        <v>565</v>
      </c>
      <c r="F62" s="20" t="s">
        <v>566</v>
      </c>
      <c r="G62" s="8" t="str">
        <f t="shared" si="0"/>
        <v>FORTUNATO FRANK</v>
      </c>
      <c r="H62" s="20" t="str">
        <f t="shared" si="1"/>
        <v>4008</v>
      </c>
    </row>
    <row r="63" spans="1:8" x14ac:dyDescent="0.3">
      <c r="A63" s="8">
        <v>43033.311597222222</v>
      </c>
      <c r="B63" s="20" t="s">
        <v>644</v>
      </c>
      <c r="C63" s="20" t="s">
        <v>711</v>
      </c>
      <c r="D63" s="138">
        <v>1100000</v>
      </c>
      <c r="E63" s="20" t="s">
        <v>694</v>
      </c>
      <c r="F63" s="20" t="s">
        <v>695</v>
      </c>
      <c r="G63" s="8" t="str">
        <f t="shared" si="0"/>
        <v>GEBRETEKLE DAGNEW</v>
      </c>
      <c r="H63" s="20" t="str">
        <f t="shared" si="1"/>
        <v>4051</v>
      </c>
    </row>
    <row r="64" spans="1:8" x14ac:dyDescent="0.3">
      <c r="A64" s="26">
        <v>43033.31559027778</v>
      </c>
      <c r="B64" s="20" t="s">
        <v>440</v>
      </c>
      <c r="C64" s="20" t="s">
        <v>712</v>
      </c>
      <c r="D64" s="138">
        <v>3090000</v>
      </c>
      <c r="E64" s="20" t="s">
        <v>511</v>
      </c>
      <c r="F64" s="20" t="s">
        <v>512</v>
      </c>
      <c r="G64" s="8" t="str">
        <f t="shared" si="0"/>
        <v>LAMAR NEKESHA</v>
      </c>
      <c r="H64" s="20" t="str">
        <f t="shared" si="1"/>
        <v>4024</v>
      </c>
    </row>
    <row r="65" spans="1:8" x14ac:dyDescent="0.3">
      <c r="A65" s="8">
        <v>43033.317800925928</v>
      </c>
      <c r="B65" s="20" t="s">
        <v>622</v>
      </c>
      <c r="C65" s="20" t="s">
        <v>634</v>
      </c>
      <c r="D65" s="138">
        <v>940000</v>
      </c>
      <c r="E65" s="20" t="s">
        <v>530</v>
      </c>
      <c r="F65" s="20" t="s">
        <v>531</v>
      </c>
      <c r="G65" s="8" t="str">
        <f t="shared" si="0"/>
        <v>BONDS REYNALDO</v>
      </c>
      <c r="H65" s="20" t="str">
        <f t="shared" si="1"/>
        <v>4029</v>
      </c>
    </row>
    <row r="66" spans="1:8" x14ac:dyDescent="0.3">
      <c r="A66" s="8">
        <v>43033.318240740744</v>
      </c>
      <c r="B66" s="20" t="s">
        <v>417</v>
      </c>
      <c r="C66" s="20" t="s">
        <v>713</v>
      </c>
      <c r="D66" s="138">
        <v>1830000</v>
      </c>
      <c r="E66" s="20" t="s">
        <v>369</v>
      </c>
      <c r="F66" s="20" t="s">
        <v>370</v>
      </c>
      <c r="G66" s="8" t="str">
        <f t="shared" si="0"/>
        <v>YORK EDGAR</v>
      </c>
      <c r="H66" s="20" t="str">
        <f t="shared" si="1"/>
        <v>4018</v>
      </c>
    </row>
    <row r="67" spans="1:8" x14ac:dyDescent="0.3">
      <c r="A67" s="8">
        <v>43033.319155092591</v>
      </c>
      <c r="B67" s="20" t="s">
        <v>418</v>
      </c>
      <c r="C67" s="20" t="s">
        <v>714</v>
      </c>
      <c r="D67" s="138">
        <v>1230000</v>
      </c>
      <c r="E67" s="20" t="s">
        <v>533</v>
      </c>
      <c r="F67" s="20" t="s">
        <v>534</v>
      </c>
      <c r="G67" s="8" t="str">
        <f t="shared" ref="G67:G130" si="2">E67&amp;" "&amp;F67</f>
        <v>YANAI IAN</v>
      </c>
      <c r="H67" s="20" t="str">
        <f t="shared" ref="H67:H130" si="3">MID(B67,13,4)</f>
        <v>4005</v>
      </c>
    </row>
    <row r="68" spans="1:8" x14ac:dyDescent="0.3">
      <c r="A68" s="8">
        <v>43033.331655092596</v>
      </c>
      <c r="B68" s="20" t="s">
        <v>558</v>
      </c>
      <c r="C68" s="20" t="s">
        <v>715</v>
      </c>
      <c r="D68" s="138">
        <v>3260000</v>
      </c>
      <c r="E68" s="20" t="s">
        <v>671</v>
      </c>
      <c r="F68" s="20" t="s">
        <v>672</v>
      </c>
      <c r="G68" s="8" t="str">
        <f t="shared" si="2"/>
        <v>PAGE MARCUS</v>
      </c>
      <c r="H68" s="20" t="str">
        <f t="shared" si="3"/>
        <v>4036</v>
      </c>
    </row>
    <row r="69" spans="1:8" x14ac:dyDescent="0.3">
      <c r="A69" s="8">
        <v>43033.332199074073</v>
      </c>
      <c r="B69" s="20" t="s">
        <v>441</v>
      </c>
      <c r="C69" s="20" t="s">
        <v>716</v>
      </c>
      <c r="D69" s="138">
        <v>3090000</v>
      </c>
      <c r="E69" s="20" t="s">
        <v>511</v>
      </c>
      <c r="F69" s="20" t="s">
        <v>512</v>
      </c>
      <c r="G69" s="8" t="str">
        <f t="shared" si="2"/>
        <v>LAMAR NEKESHA</v>
      </c>
      <c r="H69" s="20" t="str">
        <f t="shared" si="3"/>
        <v>4023</v>
      </c>
    </row>
    <row r="70" spans="1:8" x14ac:dyDescent="0.3">
      <c r="A70" s="8">
        <v>43033.332407407404</v>
      </c>
      <c r="B70" s="20" t="s">
        <v>630</v>
      </c>
      <c r="C70" s="20" t="s">
        <v>717</v>
      </c>
      <c r="D70" s="138">
        <v>1100000</v>
      </c>
      <c r="E70" s="20" t="s">
        <v>694</v>
      </c>
      <c r="F70" s="20" t="s">
        <v>695</v>
      </c>
      <c r="G70" s="8" t="str">
        <f t="shared" si="2"/>
        <v>GEBRETEKLE DAGNEW</v>
      </c>
      <c r="H70" s="20" t="str">
        <f t="shared" si="3"/>
        <v>4052</v>
      </c>
    </row>
    <row r="71" spans="1:8" x14ac:dyDescent="0.3">
      <c r="A71" s="8">
        <v>43033.339953703704</v>
      </c>
      <c r="B71" s="20" t="s">
        <v>525</v>
      </c>
      <c r="C71" s="20" t="s">
        <v>718</v>
      </c>
      <c r="D71" s="138">
        <v>3120000</v>
      </c>
      <c r="E71" s="20" t="s">
        <v>526</v>
      </c>
      <c r="F71" s="20" t="s">
        <v>527</v>
      </c>
      <c r="G71" s="8" t="str">
        <f t="shared" si="2"/>
        <v>THOMPSON LESTER</v>
      </c>
      <c r="H71" s="20" t="str">
        <f t="shared" si="3"/>
        <v>4049</v>
      </c>
    </row>
    <row r="72" spans="1:8" x14ac:dyDescent="0.3">
      <c r="A72" s="8">
        <v>43033.340069444443</v>
      </c>
      <c r="B72" s="20" t="s">
        <v>419</v>
      </c>
      <c r="C72" s="20" t="s">
        <v>636</v>
      </c>
      <c r="D72" s="138">
        <v>3000000</v>
      </c>
      <c r="E72" s="20" t="s">
        <v>565</v>
      </c>
      <c r="F72" s="20" t="s">
        <v>566</v>
      </c>
      <c r="G72" s="8" t="str">
        <f t="shared" si="2"/>
        <v>FORTUNATO FRANK</v>
      </c>
      <c r="H72" s="20" t="str">
        <f t="shared" si="3"/>
        <v>4007</v>
      </c>
    </row>
    <row r="73" spans="1:8" x14ac:dyDescent="0.3">
      <c r="A73" s="8">
        <v>43033.342430555553</v>
      </c>
      <c r="B73" s="20" t="s">
        <v>532</v>
      </c>
      <c r="C73" s="20" t="s">
        <v>635</v>
      </c>
      <c r="D73" s="138">
        <v>1760000</v>
      </c>
      <c r="E73" s="20" t="s">
        <v>562</v>
      </c>
      <c r="F73" s="20" t="s">
        <v>563</v>
      </c>
      <c r="G73" s="8" t="str">
        <f t="shared" si="2"/>
        <v>STRICKLAND EVAN</v>
      </c>
      <c r="H73" s="20" t="str">
        <f t="shared" si="3"/>
        <v>4046</v>
      </c>
    </row>
    <row r="74" spans="1:8" x14ac:dyDescent="0.3">
      <c r="A74" s="8">
        <v>43033.342905092592</v>
      </c>
      <c r="B74" s="20" t="s">
        <v>622</v>
      </c>
      <c r="C74" s="20" t="s">
        <v>634</v>
      </c>
      <c r="D74" s="138">
        <v>940000</v>
      </c>
      <c r="E74" s="20" t="s">
        <v>530</v>
      </c>
      <c r="F74" s="20" t="s">
        <v>531</v>
      </c>
      <c r="G74" s="8" t="str">
        <f t="shared" si="2"/>
        <v>BONDS REYNALDO</v>
      </c>
      <c r="H74" s="20" t="str">
        <f t="shared" si="3"/>
        <v>4029</v>
      </c>
    </row>
    <row r="75" spans="1:8" x14ac:dyDescent="0.3">
      <c r="A75" s="8">
        <v>43033.348194444443</v>
      </c>
      <c r="B75" s="20" t="s">
        <v>421</v>
      </c>
      <c r="C75" s="20" t="s">
        <v>719</v>
      </c>
      <c r="D75" s="138">
        <v>1830000</v>
      </c>
      <c r="E75" s="20" t="s">
        <v>369</v>
      </c>
      <c r="F75" s="20" t="s">
        <v>370</v>
      </c>
      <c r="G75" s="8" t="str">
        <f t="shared" si="2"/>
        <v>YORK EDGAR</v>
      </c>
      <c r="H75" s="20" t="str">
        <f t="shared" si="3"/>
        <v>4017</v>
      </c>
    </row>
    <row r="76" spans="1:8" x14ac:dyDescent="0.3">
      <c r="A76" s="8">
        <v>43033.351747685185</v>
      </c>
      <c r="B76" s="20" t="s">
        <v>644</v>
      </c>
      <c r="C76" s="20" t="s">
        <v>720</v>
      </c>
      <c r="D76" s="138">
        <v>1100000</v>
      </c>
      <c r="E76" s="20" t="s">
        <v>694</v>
      </c>
      <c r="F76" s="20" t="s">
        <v>695</v>
      </c>
      <c r="G76" s="8" t="str">
        <f t="shared" si="2"/>
        <v>GEBRETEKLE DAGNEW</v>
      </c>
      <c r="H76" s="20" t="str">
        <f t="shared" si="3"/>
        <v>4051</v>
      </c>
    </row>
    <row r="77" spans="1:8" x14ac:dyDescent="0.3">
      <c r="A77" s="8">
        <v>43033.352187500001</v>
      </c>
      <c r="B77" s="20" t="s">
        <v>637</v>
      </c>
      <c r="C77" s="20" t="s">
        <v>638</v>
      </c>
      <c r="D77" s="138">
        <v>940000</v>
      </c>
      <c r="E77" s="20" t="s">
        <v>530</v>
      </c>
      <c r="F77" s="20" t="s">
        <v>531</v>
      </c>
      <c r="G77" s="8" t="str">
        <f t="shared" si="2"/>
        <v>BONDS REYNALDO</v>
      </c>
      <c r="H77" s="20" t="str">
        <f t="shared" si="3"/>
        <v>4030</v>
      </c>
    </row>
    <row r="78" spans="1:8" x14ac:dyDescent="0.3">
      <c r="A78" s="8">
        <v>43033.353067129632</v>
      </c>
      <c r="B78" s="20" t="s">
        <v>440</v>
      </c>
      <c r="C78" s="20" t="s">
        <v>721</v>
      </c>
      <c r="D78" s="138">
        <v>3090000</v>
      </c>
      <c r="E78" s="20" t="s">
        <v>511</v>
      </c>
      <c r="F78" s="20" t="s">
        <v>512</v>
      </c>
      <c r="G78" s="8" t="str">
        <f t="shared" si="2"/>
        <v>LAMAR NEKESHA</v>
      </c>
      <c r="H78" s="20" t="str">
        <f t="shared" si="3"/>
        <v>4024</v>
      </c>
    </row>
    <row r="79" spans="1:8" x14ac:dyDescent="0.3">
      <c r="A79" s="8">
        <v>43033.358854166669</v>
      </c>
      <c r="B79" s="20" t="s">
        <v>448</v>
      </c>
      <c r="C79" s="20" t="s">
        <v>639</v>
      </c>
      <c r="D79" s="138">
        <v>3180000</v>
      </c>
      <c r="E79" s="20" t="s">
        <v>722</v>
      </c>
      <c r="F79" s="20" t="s">
        <v>723</v>
      </c>
      <c r="G79" s="8" t="str">
        <f t="shared" si="2"/>
        <v>HUFFSMITH MONTY</v>
      </c>
      <c r="H79" s="20" t="str">
        <f t="shared" si="3"/>
        <v>4032</v>
      </c>
    </row>
    <row r="80" spans="1:8" x14ac:dyDescent="0.3">
      <c r="A80" s="8">
        <v>43033.360034722224</v>
      </c>
      <c r="B80" s="20" t="s">
        <v>426</v>
      </c>
      <c r="C80" s="20" t="s">
        <v>724</v>
      </c>
      <c r="D80" s="138">
        <v>1230000</v>
      </c>
      <c r="E80" s="20" t="s">
        <v>533</v>
      </c>
      <c r="F80" s="20" t="s">
        <v>534</v>
      </c>
      <c r="G80" s="8" t="str">
        <f t="shared" si="2"/>
        <v>YANAI IAN</v>
      </c>
      <c r="H80" s="20" t="str">
        <f t="shared" si="3"/>
        <v>4006</v>
      </c>
    </row>
    <row r="81" spans="1:8" x14ac:dyDescent="0.3">
      <c r="A81" s="8">
        <v>43033.368993055556</v>
      </c>
      <c r="B81" s="20" t="s">
        <v>564</v>
      </c>
      <c r="C81" s="20" t="s">
        <v>725</v>
      </c>
      <c r="D81" s="138">
        <v>3260000</v>
      </c>
      <c r="E81" s="20" t="s">
        <v>671</v>
      </c>
      <c r="F81" s="20" t="s">
        <v>672</v>
      </c>
      <c r="G81" s="8" t="str">
        <f t="shared" si="2"/>
        <v>PAGE MARCUS</v>
      </c>
      <c r="H81" s="20" t="str">
        <f t="shared" si="3"/>
        <v>4035</v>
      </c>
    </row>
    <row r="82" spans="1:8" x14ac:dyDescent="0.3">
      <c r="A82" s="8">
        <v>43033.372835648152</v>
      </c>
      <c r="B82" s="20" t="s">
        <v>632</v>
      </c>
      <c r="C82" s="20" t="s">
        <v>726</v>
      </c>
      <c r="D82" s="138">
        <v>1760000</v>
      </c>
      <c r="E82" s="20" t="s">
        <v>562</v>
      </c>
      <c r="F82" s="20" t="s">
        <v>563</v>
      </c>
      <c r="G82" s="8" t="str">
        <f t="shared" si="2"/>
        <v>STRICKLAND EVAN</v>
      </c>
      <c r="H82" s="20" t="str">
        <f t="shared" si="3"/>
        <v>4045</v>
      </c>
    </row>
    <row r="83" spans="1:8" x14ac:dyDescent="0.3">
      <c r="A83" s="8">
        <v>43033.373124999998</v>
      </c>
      <c r="B83" s="20" t="s">
        <v>509</v>
      </c>
      <c r="C83" s="20" t="s">
        <v>727</v>
      </c>
      <c r="D83" s="138">
        <v>3120000</v>
      </c>
      <c r="E83" s="20" t="s">
        <v>526</v>
      </c>
      <c r="F83" s="20" t="s">
        <v>527</v>
      </c>
      <c r="G83" s="8" t="str">
        <f t="shared" si="2"/>
        <v>THOMPSON LESTER</v>
      </c>
      <c r="H83" s="20" t="str">
        <f t="shared" si="3"/>
        <v>4050</v>
      </c>
    </row>
    <row r="84" spans="1:8" x14ac:dyDescent="0.3">
      <c r="A84" s="8">
        <v>43033.37431712963</v>
      </c>
      <c r="B84" s="20" t="s">
        <v>630</v>
      </c>
      <c r="C84" s="20" t="s">
        <v>728</v>
      </c>
      <c r="D84" s="138">
        <v>1100000</v>
      </c>
      <c r="E84" s="20" t="s">
        <v>694</v>
      </c>
      <c r="F84" s="20" t="s">
        <v>695</v>
      </c>
      <c r="G84" s="8" t="str">
        <f t="shared" si="2"/>
        <v>GEBRETEKLE DAGNEW</v>
      </c>
      <c r="H84" s="20" t="str">
        <f t="shared" si="3"/>
        <v>4052</v>
      </c>
    </row>
    <row r="85" spans="1:8" x14ac:dyDescent="0.3">
      <c r="A85" s="8">
        <v>43033.383993055555</v>
      </c>
      <c r="B85" s="20" t="s">
        <v>402</v>
      </c>
      <c r="C85" s="20" t="s">
        <v>640</v>
      </c>
      <c r="D85" s="138">
        <v>3000000</v>
      </c>
      <c r="E85" s="20" t="s">
        <v>565</v>
      </c>
      <c r="F85" s="20" t="s">
        <v>566</v>
      </c>
      <c r="G85" s="8" t="str">
        <f t="shared" si="2"/>
        <v>FORTUNATO FRANK</v>
      </c>
      <c r="H85" s="20" t="str">
        <f t="shared" si="3"/>
        <v>4008</v>
      </c>
    </row>
    <row r="86" spans="1:8" x14ac:dyDescent="0.3">
      <c r="A86" s="8">
        <v>43033.384270833332</v>
      </c>
      <c r="B86" s="20" t="s">
        <v>642</v>
      </c>
      <c r="C86" s="20" t="s">
        <v>646</v>
      </c>
      <c r="D86" s="138">
        <v>3180000</v>
      </c>
      <c r="E86" s="20" t="s">
        <v>722</v>
      </c>
      <c r="F86" s="20" t="s">
        <v>723</v>
      </c>
      <c r="G86" s="8" t="str">
        <f t="shared" si="2"/>
        <v>HUFFSMITH MONTY</v>
      </c>
      <c r="H86" s="20" t="str">
        <f t="shared" si="3"/>
        <v>4031</v>
      </c>
    </row>
    <row r="87" spans="1:8" x14ac:dyDescent="0.3">
      <c r="A87" s="8">
        <v>43033.390231481484</v>
      </c>
      <c r="B87" s="20" t="s">
        <v>622</v>
      </c>
      <c r="C87" s="20" t="s">
        <v>729</v>
      </c>
      <c r="D87" s="138">
        <v>940000</v>
      </c>
      <c r="E87" s="20" t="s">
        <v>530</v>
      </c>
      <c r="F87" s="20" t="s">
        <v>531</v>
      </c>
      <c r="G87" s="8" t="str">
        <f t="shared" si="2"/>
        <v>BONDS REYNALDO</v>
      </c>
      <c r="H87" s="20" t="str">
        <f t="shared" si="3"/>
        <v>4029</v>
      </c>
    </row>
    <row r="88" spans="1:8" x14ac:dyDescent="0.3">
      <c r="A88" s="8">
        <v>43033.392870370371</v>
      </c>
      <c r="B88" s="20" t="s">
        <v>417</v>
      </c>
      <c r="C88" s="20" t="s">
        <v>730</v>
      </c>
      <c r="D88" s="138">
        <v>1830000</v>
      </c>
      <c r="E88" s="20" t="s">
        <v>369</v>
      </c>
      <c r="F88" s="20" t="s">
        <v>370</v>
      </c>
      <c r="G88" s="8" t="str">
        <f t="shared" si="2"/>
        <v>YORK EDGAR</v>
      </c>
      <c r="H88" s="20" t="str">
        <f t="shared" si="3"/>
        <v>4018</v>
      </c>
    </row>
    <row r="89" spans="1:8" x14ac:dyDescent="0.3">
      <c r="A89" s="8">
        <v>43033.392951388887</v>
      </c>
      <c r="B89" s="20" t="s">
        <v>418</v>
      </c>
      <c r="C89" s="20" t="s">
        <v>731</v>
      </c>
      <c r="D89" s="138">
        <v>1230000</v>
      </c>
      <c r="E89" s="20" t="s">
        <v>533</v>
      </c>
      <c r="F89" s="20" t="s">
        <v>534</v>
      </c>
      <c r="G89" s="8" t="str">
        <f t="shared" si="2"/>
        <v>YANAI IAN</v>
      </c>
      <c r="H89" s="20" t="str">
        <f t="shared" si="3"/>
        <v>4005</v>
      </c>
    </row>
    <row r="90" spans="1:8" x14ac:dyDescent="0.3">
      <c r="A90" s="8">
        <v>43033.393009259256</v>
      </c>
      <c r="B90" s="20" t="s">
        <v>644</v>
      </c>
      <c r="C90" s="20" t="s">
        <v>732</v>
      </c>
      <c r="D90" s="138">
        <v>1100000</v>
      </c>
      <c r="E90" s="20" t="s">
        <v>694</v>
      </c>
      <c r="F90" s="20" t="s">
        <v>695</v>
      </c>
      <c r="G90" s="8" t="str">
        <f t="shared" si="2"/>
        <v>GEBRETEKLE DAGNEW</v>
      </c>
      <c r="H90" s="20" t="str">
        <f t="shared" si="3"/>
        <v>4051</v>
      </c>
    </row>
    <row r="91" spans="1:8" x14ac:dyDescent="0.3">
      <c r="A91" s="8">
        <v>43033.402106481481</v>
      </c>
      <c r="B91" s="20" t="s">
        <v>558</v>
      </c>
      <c r="C91" s="20" t="s">
        <v>733</v>
      </c>
      <c r="D91" s="138">
        <v>3260000</v>
      </c>
      <c r="E91" s="20" t="s">
        <v>671</v>
      </c>
      <c r="F91" s="20" t="s">
        <v>672</v>
      </c>
      <c r="G91" s="8" t="str">
        <f t="shared" si="2"/>
        <v>PAGE MARCUS</v>
      </c>
      <c r="H91" s="20" t="str">
        <f t="shared" si="3"/>
        <v>4036</v>
      </c>
    </row>
    <row r="92" spans="1:8" x14ac:dyDescent="0.3">
      <c r="A92" s="8">
        <v>43033.404421296298</v>
      </c>
      <c r="B92" s="20" t="s">
        <v>448</v>
      </c>
      <c r="C92" s="20" t="s">
        <v>641</v>
      </c>
      <c r="D92" s="138">
        <v>2470000</v>
      </c>
      <c r="E92" s="20" t="s">
        <v>734</v>
      </c>
      <c r="F92" s="20" t="s">
        <v>735</v>
      </c>
      <c r="G92" s="8" t="str">
        <f t="shared" si="2"/>
        <v>ROMERO CHAD</v>
      </c>
      <c r="H92" s="20" t="str">
        <f t="shared" si="3"/>
        <v>4032</v>
      </c>
    </row>
    <row r="93" spans="1:8" x14ac:dyDescent="0.3">
      <c r="A93" s="8">
        <v>43033.41196759259</v>
      </c>
      <c r="B93" s="20" t="s">
        <v>525</v>
      </c>
      <c r="C93" s="20" t="s">
        <v>736</v>
      </c>
      <c r="D93" s="138">
        <v>3120000</v>
      </c>
      <c r="E93" s="20" t="s">
        <v>526</v>
      </c>
      <c r="F93" s="20" t="s">
        <v>527</v>
      </c>
      <c r="G93" s="8" t="str">
        <f t="shared" si="2"/>
        <v>THOMPSON LESTER</v>
      </c>
      <c r="H93" s="20" t="str">
        <f t="shared" si="3"/>
        <v>4049</v>
      </c>
    </row>
    <row r="94" spans="1:8" x14ac:dyDescent="0.3">
      <c r="A94" s="8">
        <v>43033.413368055553</v>
      </c>
      <c r="B94" s="20" t="s">
        <v>532</v>
      </c>
      <c r="C94" s="20" t="s">
        <v>737</v>
      </c>
      <c r="D94" s="138">
        <v>1760000</v>
      </c>
      <c r="E94" s="20" t="s">
        <v>562</v>
      </c>
      <c r="F94" s="20" t="s">
        <v>563</v>
      </c>
      <c r="G94" s="8" t="str">
        <f t="shared" si="2"/>
        <v>STRICKLAND EVAN</v>
      </c>
      <c r="H94" s="20" t="str">
        <f t="shared" si="3"/>
        <v>4046</v>
      </c>
    </row>
    <row r="95" spans="1:8" x14ac:dyDescent="0.3">
      <c r="A95" s="8">
        <v>43033.413807870369</v>
      </c>
      <c r="B95" s="20" t="s">
        <v>419</v>
      </c>
      <c r="C95" s="20" t="s">
        <v>738</v>
      </c>
      <c r="D95" s="138">
        <v>3000000</v>
      </c>
      <c r="E95" s="20" t="s">
        <v>565</v>
      </c>
      <c r="F95" s="20" t="s">
        <v>566</v>
      </c>
      <c r="G95" s="8" t="str">
        <f t="shared" si="2"/>
        <v>FORTUNATO FRANK</v>
      </c>
      <c r="H95" s="20" t="str">
        <f t="shared" si="3"/>
        <v>4007</v>
      </c>
    </row>
    <row r="96" spans="1:8" x14ac:dyDescent="0.3">
      <c r="A96" s="8">
        <v>43033.416643518518</v>
      </c>
      <c r="B96" s="20" t="s">
        <v>630</v>
      </c>
      <c r="C96" s="20" t="s">
        <v>739</v>
      </c>
      <c r="D96" s="138">
        <v>1100000</v>
      </c>
      <c r="E96" s="20" t="s">
        <v>694</v>
      </c>
      <c r="F96" s="20" t="s">
        <v>695</v>
      </c>
      <c r="G96" s="8" t="str">
        <f t="shared" si="2"/>
        <v>GEBRETEKLE DAGNEW</v>
      </c>
      <c r="H96" s="20" t="str">
        <f t="shared" si="3"/>
        <v>4052</v>
      </c>
    </row>
    <row r="97" spans="1:8" x14ac:dyDescent="0.3">
      <c r="A97" s="8">
        <v>43033.421805555554</v>
      </c>
      <c r="B97" s="20" t="s">
        <v>642</v>
      </c>
      <c r="C97" s="20" t="s">
        <v>643</v>
      </c>
      <c r="D97" s="138">
        <v>2470000</v>
      </c>
      <c r="E97" s="20" t="s">
        <v>734</v>
      </c>
      <c r="F97" s="20" t="s">
        <v>735</v>
      </c>
      <c r="G97" s="8" t="str">
        <f t="shared" si="2"/>
        <v>ROMERO CHAD</v>
      </c>
      <c r="H97" s="20" t="str">
        <f t="shared" si="3"/>
        <v>4031</v>
      </c>
    </row>
    <row r="98" spans="1:8" x14ac:dyDescent="0.3">
      <c r="A98" s="8">
        <v>43033.425092592595</v>
      </c>
      <c r="B98" s="20" t="s">
        <v>637</v>
      </c>
      <c r="C98" s="20" t="s">
        <v>740</v>
      </c>
      <c r="D98" s="138">
        <v>3090000</v>
      </c>
      <c r="E98" s="20" t="s">
        <v>511</v>
      </c>
      <c r="F98" s="20" t="s">
        <v>512</v>
      </c>
      <c r="G98" s="8" t="str">
        <f t="shared" si="2"/>
        <v>LAMAR NEKESHA</v>
      </c>
      <c r="H98" s="20" t="str">
        <f t="shared" si="3"/>
        <v>4030</v>
      </c>
    </row>
    <row r="99" spans="1:8" x14ac:dyDescent="0.3">
      <c r="A99" s="8">
        <v>43033.428472222222</v>
      </c>
      <c r="B99" s="20" t="s">
        <v>421</v>
      </c>
      <c r="C99" s="20" t="s">
        <v>741</v>
      </c>
      <c r="D99" s="138">
        <v>1830000</v>
      </c>
      <c r="E99" s="20" t="s">
        <v>369</v>
      </c>
      <c r="F99" s="20" t="s">
        <v>370</v>
      </c>
      <c r="G99" s="8" t="str">
        <f t="shared" si="2"/>
        <v>YORK EDGAR</v>
      </c>
      <c r="H99" s="20" t="str">
        <f t="shared" si="3"/>
        <v>4017</v>
      </c>
    </row>
    <row r="100" spans="1:8" x14ac:dyDescent="0.3">
      <c r="A100" s="8">
        <v>43033.433206018519</v>
      </c>
      <c r="B100" s="20" t="s">
        <v>426</v>
      </c>
      <c r="C100" s="20" t="s">
        <v>742</v>
      </c>
      <c r="D100" s="138">
        <v>1230000</v>
      </c>
      <c r="E100" s="20" t="s">
        <v>533</v>
      </c>
      <c r="F100" s="20" t="s">
        <v>534</v>
      </c>
      <c r="G100" s="8" t="str">
        <f t="shared" si="2"/>
        <v>YANAI IAN</v>
      </c>
      <c r="H100" s="20" t="str">
        <f t="shared" si="3"/>
        <v>4006</v>
      </c>
    </row>
    <row r="101" spans="1:8" x14ac:dyDescent="0.3">
      <c r="A101" s="8">
        <v>43033.433993055558</v>
      </c>
      <c r="B101" s="20" t="s">
        <v>644</v>
      </c>
      <c r="C101" s="20" t="s">
        <v>645</v>
      </c>
      <c r="D101" s="138">
        <v>1100000</v>
      </c>
      <c r="E101" s="20" t="s">
        <v>694</v>
      </c>
      <c r="F101" s="20" t="s">
        <v>695</v>
      </c>
      <c r="G101" s="8" t="str">
        <f t="shared" si="2"/>
        <v>GEBRETEKLE DAGNEW</v>
      </c>
      <c r="H101" s="20" t="str">
        <f t="shared" si="3"/>
        <v>4051</v>
      </c>
    </row>
    <row r="102" spans="1:8" x14ac:dyDescent="0.3">
      <c r="A102" s="8">
        <v>43033.438252314816</v>
      </c>
      <c r="B102" s="20" t="s">
        <v>448</v>
      </c>
      <c r="C102" s="20" t="s">
        <v>639</v>
      </c>
      <c r="D102" s="138">
        <v>3180000</v>
      </c>
      <c r="E102" s="20" t="s">
        <v>722</v>
      </c>
      <c r="F102" s="20" t="s">
        <v>723</v>
      </c>
      <c r="G102" s="8" t="str">
        <f t="shared" si="2"/>
        <v>HUFFSMITH MONTY</v>
      </c>
      <c r="H102" s="20" t="str">
        <f t="shared" si="3"/>
        <v>4032</v>
      </c>
    </row>
    <row r="103" spans="1:8" x14ac:dyDescent="0.3">
      <c r="A103" s="8">
        <v>43033.441689814812</v>
      </c>
      <c r="B103" s="20" t="s">
        <v>564</v>
      </c>
      <c r="C103" s="20" t="s">
        <v>743</v>
      </c>
      <c r="D103" s="138">
        <v>3260000</v>
      </c>
      <c r="E103" s="20" t="s">
        <v>671</v>
      </c>
      <c r="F103" s="20" t="s">
        <v>672</v>
      </c>
      <c r="G103" s="8" t="str">
        <f t="shared" si="2"/>
        <v>PAGE MARCUS</v>
      </c>
      <c r="H103" s="20" t="str">
        <f t="shared" si="3"/>
        <v>4035</v>
      </c>
    </row>
    <row r="104" spans="1:8" x14ac:dyDescent="0.3">
      <c r="A104" s="8">
        <v>43033.446979166663</v>
      </c>
      <c r="B104" s="20" t="s">
        <v>509</v>
      </c>
      <c r="C104" s="20" t="s">
        <v>744</v>
      </c>
      <c r="D104" s="138">
        <v>920000</v>
      </c>
      <c r="E104" s="20" t="s">
        <v>425</v>
      </c>
      <c r="F104" s="20" t="s">
        <v>379</v>
      </c>
      <c r="G104" s="8" t="str">
        <f t="shared" si="2"/>
        <v>DAVIS MICHAEL</v>
      </c>
      <c r="H104" s="20" t="str">
        <f t="shared" si="3"/>
        <v>4050</v>
      </c>
    </row>
    <row r="105" spans="1:8" x14ac:dyDescent="0.3">
      <c r="A105" s="8">
        <v>43033.448888888888</v>
      </c>
      <c r="B105" s="20" t="s">
        <v>632</v>
      </c>
      <c r="C105" s="20" t="s">
        <v>745</v>
      </c>
      <c r="D105" s="138">
        <v>1760000</v>
      </c>
      <c r="E105" s="20" t="s">
        <v>562</v>
      </c>
      <c r="F105" s="20" t="s">
        <v>563</v>
      </c>
      <c r="G105" s="8" t="str">
        <f t="shared" si="2"/>
        <v>STRICKLAND EVAN</v>
      </c>
      <c r="H105" s="20" t="str">
        <f t="shared" si="3"/>
        <v>4045</v>
      </c>
    </row>
    <row r="106" spans="1:8" x14ac:dyDescent="0.3">
      <c r="A106" s="8">
        <v>43033.449618055558</v>
      </c>
      <c r="B106" s="20" t="s">
        <v>442</v>
      </c>
      <c r="C106" s="20" t="s">
        <v>746</v>
      </c>
      <c r="D106" s="138">
        <v>2040000</v>
      </c>
      <c r="E106" s="20" t="s">
        <v>567</v>
      </c>
      <c r="F106" s="20" t="s">
        <v>568</v>
      </c>
      <c r="G106" s="8" t="str">
        <f t="shared" si="2"/>
        <v>MOSES BRADLEY</v>
      </c>
      <c r="H106" s="20" t="str">
        <f t="shared" si="3"/>
        <v>4057</v>
      </c>
    </row>
    <row r="107" spans="1:8" x14ac:dyDescent="0.3">
      <c r="A107" s="8">
        <v>43033.453796296293</v>
      </c>
      <c r="B107" s="20" t="s">
        <v>402</v>
      </c>
      <c r="C107" s="20" t="s">
        <v>747</v>
      </c>
      <c r="D107" s="138">
        <v>3000000</v>
      </c>
      <c r="E107" s="20" t="s">
        <v>565</v>
      </c>
      <c r="F107" s="20" t="s">
        <v>566</v>
      </c>
      <c r="G107" s="8" t="str">
        <f t="shared" si="2"/>
        <v>FORTUNATO FRANK</v>
      </c>
      <c r="H107" s="20" t="str">
        <f t="shared" si="3"/>
        <v>4008</v>
      </c>
    </row>
    <row r="108" spans="1:8" x14ac:dyDescent="0.3">
      <c r="A108" s="8">
        <v>43033.459432870368</v>
      </c>
      <c r="B108" s="20" t="s">
        <v>630</v>
      </c>
      <c r="C108" s="20" t="s">
        <v>748</v>
      </c>
      <c r="D108" s="138">
        <v>1100000</v>
      </c>
      <c r="E108" s="20" t="s">
        <v>694</v>
      </c>
      <c r="F108" s="20" t="s">
        <v>695</v>
      </c>
      <c r="G108" s="8" t="str">
        <f t="shared" si="2"/>
        <v>GEBRETEKLE DAGNEW</v>
      </c>
      <c r="H108" s="20" t="str">
        <f t="shared" si="3"/>
        <v>4052</v>
      </c>
    </row>
    <row r="109" spans="1:8" x14ac:dyDescent="0.3">
      <c r="A109" s="8">
        <v>43033.463067129633</v>
      </c>
      <c r="B109" s="20" t="s">
        <v>642</v>
      </c>
      <c r="C109" s="20" t="s">
        <v>646</v>
      </c>
      <c r="D109" s="138">
        <v>3180000</v>
      </c>
      <c r="E109" s="20" t="s">
        <v>722</v>
      </c>
      <c r="F109" s="20" t="s">
        <v>723</v>
      </c>
      <c r="G109" s="8" t="str">
        <f t="shared" si="2"/>
        <v>HUFFSMITH MONTY</v>
      </c>
      <c r="H109" s="20" t="str">
        <f t="shared" si="3"/>
        <v>4031</v>
      </c>
    </row>
    <row r="110" spans="1:8" x14ac:dyDescent="0.3">
      <c r="A110" s="8">
        <v>43033.463576388887</v>
      </c>
      <c r="B110" s="20" t="s">
        <v>622</v>
      </c>
      <c r="C110" s="20" t="s">
        <v>749</v>
      </c>
      <c r="D110" s="138">
        <v>3090000</v>
      </c>
      <c r="E110" s="20" t="s">
        <v>511</v>
      </c>
      <c r="F110" s="20" t="s">
        <v>512</v>
      </c>
      <c r="G110" s="8" t="str">
        <f t="shared" si="2"/>
        <v>LAMAR NEKESHA</v>
      </c>
      <c r="H110" s="20" t="str">
        <f t="shared" si="3"/>
        <v>4029</v>
      </c>
    </row>
    <row r="111" spans="1:8" x14ac:dyDescent="0.3">
      <c r="A111" s="8">
        <v>43033.463796296295</v>
      </c>
      <c r="B111" s="20" t="s">
        <v>418</v>
      </c>
      <c r="C111" s="20" t="s">
        <v>750</v>
      </c>
      <c r="D111" s="138">
        <v>1230000</v>
      </c>
      <c r="E111" s="20" t="s">
        <v>533</v>
      </c>
      <c r="F111" s="20" t="s">
        <v>534</v>
      </c>
      <c r="G111" s="8" t="str">
        <f t="shared" si="2"/>
        <v>YANAI IAN</v>
      </c>
      <c r="H111" s="20" t="str">
        <f t="shared" si="3"/>
        <v>4005</v>
      </c>
    </row>
    <row r="112" spans="1:8" x14ac:dyDescent="0.3">
      <c r="A112" s="8">
        <v>43033.465902777774</v>
      </c>
      <c r="B112" s="20" t="s">
        <v>417</v>
      </c>
      <c r="C112" s="20" t="s">
        <v>751</v>
      </c>
      <c r="D112" s="138">
        <v>1770000</v>
      </c>
      <c r="E112" s="20" t="s">
        <v>569</v>
      </c>
      <c r="F112" s="20" t="s">
        <v>570</v>
      </c>
      <c r="G112" s="8" t="str">
        <f t="shared" si="2"/>
        <v>BRUDER RICHARD</v>
      </c>
      <c r="H112" s="20" t="str">
        <f t="shared" si="3"/>
        <v>4018</v>
      </c>
    </row>
    <row r="113" spans="1:8" x14ac:dyDescent="0.3">
      <c r="A113" s="8">
        <v>43033.475474537037</v>
      </c>
      <c r="B113" s="20" t="s">
        <v>558</v>
      </c>
      <c r="C113" s="20" t="s">
        <v>752</v>
      </c>
      <c r="D113" s="138">
        <v>880000</v>
      </c>
      <c r="E113" s="20" t="s">
        <v>388</v>
      </c>
      <c r="F113" s="20" t="s">
        <v>379</v>
      </c>
      <c r="G113" s="8" t="str">
        <f t="shared" si="2"/>
        <v>STEWART MICHAEL</v>
      </c>
      <c r="H113" s="20" t="str">
        <f t="shared" si="3"/>
        <v>4036</v>
      </c>
    </row>
    <row r="114" spans="1:8" x14ac:dyDescent="0.3">
      <c r="A114" s="8">
        <v>43033.476018518515</v>
      </c>
      <c r="B114" s="20" t="s">
        <v>644</v>
      </c>
      <c r="C114" s="20" t="s">
        <v>753</v>
      </c>
      <c r="D114" s="138">
        <v>1100000</v>
      </c>
      <c r="E114" s="20" t="s">
        <v>694</v>
      </c>
      <c r="F114" s="20" t="s">
        <v>695</v>
      </c>
      <c r="G114" s="8" t="str">
        <f t="shared" si="2"/>
        <v>GEBRETEKLE DAGNEW</v>
      </c>
      <c r="H114" s="20" t="str">
        <f t="shared" si="3"/>
        <v>4051</v>
      </c>
    </row>
    <row r="115" spans="1:8" x14ac:dyDescent="0.3">
      <c r="A115" s="8">
        <v>43033.479884259257</v>
      </c>
      <c r="B115" s="20" t="s">
        <v>439</v>
      </c>
      <c r="C115" s="20" t="s">
        <v>754</v>
      </c>
      <c r="D115" s="138">
        <v>2270000</v>
      </c>
      <c r="E115" s="20" t="s">
        <v>513</v>
      </c>
      <c r="F115" s="20" t="s">
        <v>514</v>
      </c>
      <c r="G115" s="8" t="str">
        <f t="shared" si="2"/>
        <v>BROWN JACOB</v>
      </c>
      <c r="H115" s="20" t="str">
        <f t="shared" si="3"/>
        <v>4058</v>
      </c>
    </row>
    <row r="116" spans="1:8" x14ac:dyDescent="0.3">
      <c r="A116" s="8">
        <v>43033.484085648146</v>
      </c>
      <c r="B116" s="20" t="s">
        <v>448</v>
      </c>
      <c r="C116" s="20" t="s">
        <v>641</v>
      </c>
      <c r="D116" s="138">
        <v>2470000</v>
      </c>
      <c r="E116" s="20" t="s">
        <v>734</v>
      </c>
      <c r="F116" s="20" t="s">
        <v>735</v>
      </c>
      <c r="G116" s="8" t="str">
        <f t="shared" si="2"/>
        <v>ROMERO CHAD</v>
      </c>
      <c r="H116" s="20" t="str">
        <f t="shared" si="3"/>
        <v>4032</v>
      </c>
    </row>
    <row r="117" spans="1:8" x14ac:dyDescent="0.3">
      <c r="A117" s="8">
        <v>43033.485509259262</v>
      </c>
      <c r="B117" s="20" t="s">
        <v>419</v>
      </c>
      <c r="C117" s="20" t="s">
        <v>647</v>
      </c>
      <c r="D117" s="138">
        <v>3000000</v>
      </c>
      <c r="E117" s="20" t="s">
        <v>565</v>
      </c>
      <c r="F117" s="20" t="s">
        <v>566</v>
      </c>
      <c r="G117" s="8" t="str">
        <f t="shared" si="2"/>
        <v>FORTUNATO FRANK</v>
      </c>
      <c r="H117" s="20" t="str">
        <f t="shared" si="3"/>
        <v>4007</v>
      </c>
    </row>
    <row r="118" spans="1:8" x14ac:dyDescent="0.3">
      <c r="A118" s="8">
        <v>43033.486168981479</v>
      </c>
      <c r="B118" s="20" t="s">
        <v>525</v>
      </c>
      <c r="C118" s="20" t="s">
        <v>755</v>
      </c>
      <c r="D118" s="138">
        <v>920000</v>
      </c>
      <c r="E118" s="20" t="s">
        <v>425</v>
      </c>
      <c r="F118" s="20" t="s">
        <v>379</v>
      </c>
      <c r="G118" s="8" t="str">
        <f t="shared" si="2"/>
        <v>DAVIS MICHAEL</v>
      </c>
      <c r="H118" s="20" t="str">
        <f t="shared" si="3"/>
        <v>4049</v>
      </c>
    </row>
    <row r="119" spans="1:8" x14ac:dyDescent="0.3">
      <c r="A119" s="8">
        <v>43033.486354166664</v>
      </c>
      <c r="B119" s="20" t="s">
        <v>532</v>
      </c>
      <c r="C119" s="20" t="s">
        <v>756</v>
      </c>
      <c r="D119" s="138">
        <v>2970000</v>
      </c>
      <c r="E119" s="20" t="s">
        <v>515</v>
      </c>
      <c r="F119" s="20" t="s">
        <v>516</v>
      </c>
      <c r="G119" s="8" t="str">
        <f t="shared" si="2"/>
        <v>GUZMAN DANNY</v>
      </c>
      <c r="H119" s="20" t="str">
        <f t="shared" si="3"/>
        <v>4046</v>
      </c>
    </row>
    <row r="120" spans="1:8" x14ac:dyDescent="0.3">
      <c r="A120" s="8">
        <v>43033.496481481481</v>
      </c>
      <c r="B120" s="20" t="s">
        <v>637</v>
      </c>
      <c r="C120" s="20" t="s">
        <v>757</v>
      </c>
      <c r="D120" s="138">
        <v>1300000</v>
      </c>
      <c r="E120" s="20" t="s">
        <v>410</v>
      </c>
      <c r="F120" s="20" t="s">
        <v>411</v>
      </c>
      <c r="G120" s="8" t="str">
        <f t="shared" si="2"/>
        <v>LEVIN SCOTT</v>
      </c>
      <c r="H120" s="20" t="str">
        <f t="shared" si="3"/>
        <v>4030</v>
      </c>
    </row>
    <row r="121" spans="1:8" x14ac:dyDescent="0.3">
      <c r="A121" s="8">
        <v>43033.499108796299</v>
      </c>
      <c r="B121" s="20" t="s">
        <v>630</v>
      </c>
      <c r="C121" s="20" t="s">
        <v>758</v>
      </c>
      <c r="D121" s="138">
        <v>1100000</v>
      </c>
      <c r="E121" s="20" t="s">
        <v>694</v>
      </c>
      <c r="F121" s="20" t="s">
        <v>695</v>
      </c>
      <c r="G121" s="8" t="str">
        <f t="shared" si="2"/>
        <v>GEBRETEKLE DAGNEW</v>
      </c>
      <c r="H121" s="20" t="str">
        <f t="shared" si="3"/>
        <v>4052</v>
      </c>
    </row>
    <row r="122" spans="1:8" x14ac:dyDescent="0.3">
      <c r="A122" s="8">
        <v>43033.505752314813</v>
      </c>
      <c r="B122" s="25" t="s">
        <v>426</v>
      </c>
      <c r="C122" s="20" t="s">
        <v>759</v>
      </c>
      <c r="D122" s="138">
        <v>2350000</v>
      </c>
      <c r="E122" s="20" t="s">
        <v>427</v>
      </c>
      <c r="F122" s="20" t="s">
        <v>428</v>
      </c>
      <c r="G122" s="8" t="str">
        <f t="shared" si="2"/>
        <v>BERLING GARY</v>
      </c>
      <c r="H122" s="20" t="str">
        <f t="shared" si="3"/>
        <v>4006</v>
      </c>
    </row>
    <row r="123" spans="1:8" x14ac:dyDescent="0.3">
      <c r="A123" s="8">
        <v>43033.506354166668</v>
      </c>
      <c r="B123" s="20" t="s">
        <v>421</v>
      </c>
      <c r="C123" s="20" t="s">
        <v>760</v>
      </c>
      <c r="D123" s="138">
        <v>1770000</v>
      </c>
      <c r="E123" s="20" t="s">
        <v>569</v>
      </c>
      <c r="F123" s="20" t="s">
        <v>570</v>
      </c>
      <c r="G123" s="8" t="str">
        <f t="shared" si="2"/>
        <v>BRUDER RICHARD</v>
      </c>
      <c r="H123" s="20" t="str">
        <f t="shared" si="3"/>
        <v>4017</v>
      </c>
    </row>
    <row r="124" spans="1:8" x14ac:dyDescent="0.3">
      <c r="A124" s="8">
        <v>43033.506898148145</v>
      </c>
      <c r="B124" s="20" t="s">
        <v>642</v>
      </c>
      <c r="C124" s="20" t="s">
        <v>643</v>
      </c>
      <c r="D124" s="138">
        <v>2470000</v>
      </c>
      <c r="E124" s="20" t="s">
        <v>734</v>
      </c>
      <c r="F124" s="20" t="s">
        <v>735</v>
      </c>
      <c r="G124" s="8" t="str">
        <f t="shared" si="2"/>
        <v>ROMERO CHAD</v>
      </c>
      <c r="H124" s="20" t="str">
        <f t="shared" si="3"/>
        <v>4031</v>
      </c>
    </row>
    <row r="125" spans="1:8" x14ac:dyDescent="0.3">
      <c r="A125" s="8">
        <v>43033.515555555554</v>
      </c>
      <c r="B125" s="20" t="s">
        <v>564</v>
      </c>
      <c r="C125" s="20" t="s">
        <v>761</v>
      </c>
      <c r="D125" s="138">
        <v>880000</v>
      </c>
      <c r="E125" s="20" t="s">
        <v>388</v>
      </c>
      <c r="F125" s="20" t="s">
        <v>379</v>
      </c>
      <c r="G125" s="8" t="str">
        <f t="shared" si="2"/>
        <v>STEWART MICHAEL</v>
      </c>
      <c r="H125" s="20" t="str">
        <f t="shared" si="3"/>
        <v>4035</v>
      </c>
    </row>
    <row r="126" spans="1:8" x14ac:dyDescent="0.3">
      <c r="A126" s="8">
        <v>43033.515682870369</v>
      </c>
      <c r="B126" s="20" t="s">
        <v>632</v>
      </c>
      <c r="C126" s="20" t="s">
        <v>762</v>
      </c>
      <c r="D126" s="138">
        <v>2970000</v>
      </c>
      <c r="E126" s="20" t="s">
        <v>515</v>
      </c>
      <c r="F126" s="20" t="s">
        <v>516</v>
      </c>
      <c r="G126" s="8" t="str">
        <f t="shared" si="2"/>
        <v>GUZMAN DANNY</v>
      </c>
      <c r="H126" s="20" t="str">
        <f t="shared" si="3"/>
        <v>4045</v>
      </c>
    </row>
    <row r="127" spans="1:8" x14ac:dyDescent="0.3">
      <c r="A127" s="8">
        <v>43033.518113425926</v>
      </c>
      <c r="B127" s="20" t="s">
        <v>644</v>
      </c>
      <c r="C127" s="20" t="s">
        <v>763</v>
      </c>
      <c r="D127" s="138">
        <v>1100000</v>
      </c>
      <c r="E127" s="20" t="s">
        <v>694</v>
      </c>
      <c r="F127" s="20" t="s">
        <v>695</v>
      </c>
      <c r="G127" s="8" t="str">
        <f t="shared" si="2"/>
        <v>GEBRETEKLE DAGNEW</v>
      </c>
      <c r="H127" s="20" t="str">
        <f t="shared" si="3"/>
        <v>4051</v>
      </c>
    </row>
    <row r="128" spans="1:8" x14ac:dyDescent="0.3">
      <c r="A128" s="8">
        <v>43033.519004629627</v>
      </c>
      <c r="B128" s="20" t="s">
        <v>509</v>
      </c>
      <c r="C128" s="20" t="s">
        <v>764</v>
      </c>
      <c r="D128" s="138">
        <v>920000</v>
      </c>
      <c r="E128" s="20" t="s">
        <v>425</v>
      </c>
      <c r="F128" s="20" t="s">
        <v>379</v>
      </c>
      <c r="G128" s="8" t="str">
        <f t="shared" si="2"/>
        <v>DAVIS MICHAEL</v>
      </c>
      <c r="H128" s="20" t="str">
        <f t="shared" si="3"/>
        <v>4050</v>
      </c>
    </row>
    <row r="129" spans="1:8" x14ac:dyDescent="0.3">
      <c r="A129" s="8">
        <v>43033.522546296299</v>
      </c>
      <c r="B129" s="20" t="s">
        <v>448</v>
      </c>
      <c r="C129" s="20" t="s">
        <v>639</v>
      </c>
      <c r="D129" s="138">
        <v>3180000</v>
      </c>
      <c r="E129" s="20" t="s">
        <v>722</v>
      </c>
      <c r="F129" s="20" t="s">
        <v>723</v>
      </c>
      <c r="G129" s="8" t="str">
        <f t="shared" si="2"/>
        <v>HUFFSMITH MONTY</v>
      </c>
      <c r="H129" s="20" t="str">
        <f t="shared" si="3"/>
        <v>4032</v>
      </c>
    </row>
    <row r="130" spans="1:8" x14ac:dyDescent="0.3">
      <c r="A130" s="8">
        <v>43033.527453703704</v>
      </c>
      <c r="B130" s="20" t="s">
        <v>402</v>
      </c>
      <c r="C130" s="20" t="s">
        <v>765</v>
      </c>
      <c r="D130" s="138">
        <v>2420000</v>
      </c>
      <c r="E130" s="20" t="s">
        <v>429</v>
      </c>
      <c r="F130" s="20" t="s">
        <v>430</v>
      </c>
      <c r="G130" s="8" t="str">
        <f t="shared" si="2"/>
        <v>HOLCOMB KAMDEN</v>
      </c>
      <c r="H130" s="20" t="str">
        <f t="shared" si="3"/>
        <v>4008</v>
      </c>
    </row>
    <row r="131" spans="1:8" x14ac:dyDescent="0.3">
      <c r="A131" s="8">
        <v>43033.537708333337</v>
      </c>
      <c r="B131" s="20" t="s">
        <v>417</v>
      </c>
      <c r="C131" s="20" t="s">
        <v>766</v>
      </c>
      <c r="D131" s="138">
        <v>2040000</v>
      </c>
      <c r="E131" s="20" t="s">
        <v>567</v>
      </c>
      <c r="F131" s="20" t="s">
        <v>568</v>
      </c>
      <c r="G131" s="8" t="str">
        <f t="shared" ref="G131:G194" si="4">E131&amp;" "&amp;F131</f>
        <v>MOSES BRADLEY</v>
      </c>
      <c r="H131" s="20" t="str">
        <f t="shared" ref="H131:H194" si="5">MID(B131,13,4)</f>
        <v>4018</v>
      </c>
    </row>
    <row r="132" spans="1:8" x14ac:dyDescent="0.3">
      <c r="A132" s="8">
        <v>43033.537951388891</v>
      </c>
      <c r="B132" s="20" t="s">
        <v>622</v>
      </c>
      <c r="C132" s="20" t="s">
        <v>767</v>
      </c>
      <c r="D132" s="138">
        <v>1300000</v>
      </c>
      <c r="E132" s="20" t="s">
        <v>410</v>
      </c>
      <c r="F132" s="20" t="s">
        <v>411</v>
      </c>
      <c r="G132" s="8" t="str">
        <f t="shared" si="4"/>
        <v>LEVIN SCOTT</v>
      </c>
      <c r="H132" s="20" t="str">
        <f t="shared" si="5"/>
        <v>4029</v>
      </c>
    </row>
    <row r="133" spans="1:8" x14ac:dyDescent="0.3">
      <c r="A133" s="8">
        <v>43033.541030092594</v>
      </c>
      <c r="B133" s="20" t="s">
        <v>642</v>
      </c>
      <c r="C133" s="20" t="s">
        <v>643</v>
      </c>
      <c r="D133" s="138">
        <v>2470000</v>
      </c>
      <c r="E133" s="20" t="s">
        <v>734</v>
      </c>
      <c r="F133" s="20" t="s">
        <v>735</v>
      </c>
      <c r="G133" s="8" t="str">
        <f t="shared" si="4"/>
        <v>ROMERO CHAD</v>
      </c>
      <c r="H133" s="20" t="str">
        <f t="shared" si="5"/>
        <v>4031</v>
      </c>
    </row>
    <row r="134" spans="1:8" x14ac:dyDescent="0.3">
      <c r="A134" s="8">
        <v>43033.544270833336</v>
      </c>
      <c r="B134" s="20" t="s">
        <v>418</v>
      </c>
      <c r="C134" s="20" t="s">
        <v>768</v>
      </c>
      <c r="D134" s="138">
        <v>2350000</v>
      </c>
      <c r="E134" s="20" t="s">
        <v>427</v>
      </c>
      <c r="F134" s="20" t="s">
        <v>428</v>
      </c>
      <c r="G134" s="8" t="str">
        <f t="shared" si="4"/>
        <v>BERLING GARY</v>
      </c>
      <c r="H134" s="20" t="str">
        <f t="shared" si="5"/>
        <v>4005</v>
      </c>
    </row>
    <row r="135" spans="1:8" x14ac:dyDescent="0.3">
      <c r="A135" s="8">
        <v>43033.544965277775</v>
      </c>
      <c r="B135" s="20" t="s">
        <v>630</v>
      </c>
      <c r="C135" s="20" t="s">
        <v>648</v>
      </c>
      <c r="D135" s="138">
        <v>1180000</v>
      </c>
      <c r="E135" s="20" t="s">
        <v>408</v>
      </c>
      <c r="F135" s="20" t="s">
        <v>409</v>
      </c>
      <c r="G135" s="8" t="str">
        <f t="shared" si="4"/>
        <v>LEVERE CRAIG</v>
      </c>
      <c r="H135" s="20" t="str">
        <f t="shared" si="5"/>
        <v>4052</v>
      </c>
    </row>
    <row r="136" spans="1:8" x14ac:dyDescent="0.3">
      <c r="A136" s="8">
        <v>43033.548136574071</v>
      </c>
      <c r="B136" s="20" t="s">
        <v>558</v>
      </c>
      <c r="C136" s="20" t="s">
        <v>769</v>
      </c>
      <c r="D136" s="138">
        <v>880000</v>
      </c>
      <c r="E136" s="20" t="s">
        <v>388</v>
      </c>
      <c r="F136" s="20" t="s">
        <v>379</v>
      </c>
      <c r="G136" s="8" t="str">
        <f t="shared" si="4"/>
        <v>STEWART MICHAEL</v>
      </c>
      <c r="H136" s="20" t="str">
        <f t="shared" si="5"/>
        <v>4036</v>
      </c>
    </row>
    <row r="137" spans="1:8" x14ac:dyDescent="0.3">
      <c r="A137" s="8">
        <v>43033.549571759257</v>
      </c>
      <c r="B137" s="20" t="s">
        <v>630</v>
      </c>
      <c r="C137" s="20" t="s">
        <v>648</v>
      </c>
      <c r="D137" s="138">
        <v>1180000</v>
      </c>
      <c r="E137" s="20" t="s">
        <v>408</v>
      </c>
      <c r="F137" s="20" t="s">
        <v>409</v>
      </c>
      <c r="G137" s="8" t="str">
        <f t="shared" si="4"/>
        <v>LEVERE CRAIG</v>
      </c>
      <c r="H137" s="20" t="str">
        <f t="shared" si="5"/>
        <v>4052</v>
      </c>
    </row>
    <row r="138" spans="1:8" x14ac:dyDescent="0.3">
      <c r="A138" s="8">
        <v>43033.557708333334</v>
      </c>
      <c r="B138" s="20" t="s">
        <v>532</v>
      </c>
      <c r="C138" s="20" t="s">
        <v>770</v>
      </c>
      <c r="D138" s="138">
        <v>1810000</v>
      </c>
      <c r="E138" s="20" t="s">
        <v>571</v>
      </c>
      <c r="F138" s="20" t="s">
        <v>359</v>
      </c>
      <c r="G138" s="8" t="str">
        <f t="shared" si="4"/>
        <v>NEWELL JAMES</v>
      </c>
      <c r="H138" s="20" t="str">
        <f t="shared" si="5"/>
        <v>4046</v>
      </c>
    </row>
    <row r="139" spans="1:8" x14ac:dyDescent="0.3">
      <c r="A139" s="8">
        <v>43033.558657407404</v>
      </c>
      <c r="B139" s="20" t="s">
        <v>525</v>
      </c>
      <c r="C139" s="20" t="s">
        <v>771</v>
      </c>
      <c r="D139" s="138">
        <v>920000</v>
      </c>
      <c r="E139" s="20" t="s">
        <v>425</v>
      </c>
      <c r="F139" s="20" t="s">
        <v>379</v>
      </c>
      <c r="G139" s="8" t="str">
        <f t="shared" si="4"/>
        <v>DAVIS MICHAEL</v>
      </c>
      <c r="H139" s="20" t="str">
        <f t="shared" si="5"/>
        <v>4049</v>
      </c>
    </row>
    <row r="140" spans="1:8" x14ac:dyDescent="0.3">
      <c r="A140" s="8">
        <v>43033.565416666665</v>
      </c>
      <c r="B140" s="20" t="s">
        <v>644</v>
      </c>
      <c r="C140" s="20" t="s">
        <v>772</v>
      </c>
      <c r="D140" s="138">
        <v>1180000</v>
      </c>
      <c r="E140" s="20" t="s">
        <v>408</v>
      </c>
      <c r="F140" s="20" t="s">
        <v>409</v>
      </c>
      <c r="G140" s="8" t="str">
        <f t="shared" si="4"/>
        <v>LEVERE CRAIG</v>
      </c>
      <c r="H140" s="20" t="str">
        <f t="shared" si="5"/>
        <v>4051</v>
      </c>
    </row>
    <row r="141" spans="1:8" x14ac:dyDescent="0.3">
      <c r="A141" s="8">
        <v>43033.565879629627</v>
      </c>
      <c r="B141" s="20" t="s">
        <v>448</v>
      </c>
      <c r="C141" s="20" t="s">
        <v>654</v>
      </c>
      <c r="D141" s="138">
        <v>2610000</v>
      </c>
      <c r="E141" s="20" t="s">
        <v>537</v>
      </c>
      <c r="F141" s="20" t="s">
        <v>538</v>
      </c>
      <c r="G141" s="8" t="str">
        <f t="shared" si="4"/>
        <v>MAGEE KENYA</v>
      </c>
      <c r="H141" s="20" t="str">
        <f t="shared" si="5"/>
        <v>4032</v>
      </c>
    </row>
    <row r="142" spans="1:8" x14ac:dyDescent="0.3">
      <c r="A142" s="8">
        <v>43033.568020833336</v>
      </c>
      <c r="B142" s="20" t="s">
        <v>419</v>
      </c>
      <c r="C142" s="20" t="s">
        <v>649</v>
      </c>
      <c r="D142" s="138">
        <v>2420000</v>
      </c>
      <c r="E142" s="20" t="s">
        <v>429</v>
      </c>
      <c r="F142" s="20" t="s">
        <v>430</v>
      </c>
      <c r="G142" s="8" t="str">
        <f t="shared" si="4"/>
        <v>HOLCOMB KAMDEN</v>
      </c>
      <c r="H142" s="20" t="str">
        <f t="shared" si="5"/>
        <v>4007</v>
      </c>
    </row>
    <row r="143" spans="1:8" x14ac:dyDescent="0.3">
      <c r="A143" s="8">
        <v>43033.571296296293</v>
      </c>
      <c r="B143" s="20" t="s">
        <v>637</v>
      </c>
      <c r="C143" s="20" t="s">
        <v>773</v>
      </c>
      <c r="D143" s="138">
        <v>1300000</v>
      </c>
      <c r="E143" s="20" t="s">
        <v>410</v>
      </c>
      <c r="F143" s="20" t="s">
        <v>411</v>
      </c>
      <c r="G143" s="8" t="str">
        <f t="shared" si="4"/>
        <v>LEVIN SCOTT</v>
      </c>
      <c r="H143" s="20" t="str">
        <f t="shared" si="5"/>
        <v>4030</v>
      </c>
    </row>
    <row r="144" spans="1:8" x14ac:dyDescent="0.3">
      <c r="A144" s="8">
        <v>43033.578958333332</v>
      </c>
      <c r="B144" s="20" t="s">
        <v>421</v>
      </c>
      <c r="C144" s="20" t="s">
        <v>774</v>
      </c>
      <c r="D144" s="138">
        <v>2040000</v>
      </c>
      <c r="E144" s="20" t="s">
        <v>567</v>
      </c>
      <c r="F144" s="20" t="s">
        <v>568</v>
      </c>
      <c r="G144" s="8" t="str">
        <f t="shared" si="4"/>
        <v>MOSES BRADLEY</v>
      </c>
      <c r="H144" s="20" t="str">
        <f t="shared" si="5"/>
        <v>4017</v>
      </c>
    </row>
    <row r="145" spans="1:8" x14ac:dyDescent="0.3">
      <c r="A145" s="8">
        <v>43033.581620370373</v>
      </c>
      <c r="B145" s="20" t="s">
        <v>426</v>
      </c>
      <c r="C145" s="20" t="s">
        <v>775</v>
      </c>
      <c r="D145" s="138">
        <v>2350000</v>
      </c>
      <c r="E145" s="20" t="s">
        <v>427</v>
      </c>
      <c r="F145" s="20" t="s">
        <v>428</v>
      </c>
      <c r="G145" s="8" t="str">
        <f t="shared" si="4"/>
        <v>BERLING GARY</v>
      </c>
      <c r="H145" s="20" t="str">
        <f t="shared" si="5"/>
        <v>4006</v>
      </c>
    </row>
    <row r="146" spans="1:8" x14ac:dyDescent="0.3">
      <c r="A146" s="8">
        <v>43033.587777777779</v>
      </c>
      <c r="B146" s="20" t="s">
        <v>564</v>
      </c>
      <c r="C146" s="20" t="s">
        <v>776</v>
      </c>
      <c r="D146" s="138">
        <v>880000</v>
      </c>
      <c r="E146" s="20" t="s">
        <v>388</v>
      </c>
      <c r="F146" s="20" t="s">
        <v>379</v>
      </c>
      <c r="G146" s="8" t="str">
        <f t="shared" si="4"/>
        <v>STEWART MICHAEL</v>
      </c>
      <c r="H146" s="20" t="str">
        <f t="shared" si="5"/>
        <v>4035</v>
      </c>
    </row>
    <row r="147" spans="1:8" x14ac:dyDescent="0.3">
      <c r="A147" s="8">
        <v>43033.588333333333</v>
      </c>
      <c r="B147" s="20" t="s">
        <v>630</v>
      </c>
      <c r="C147" s="20" t="s">
        <v>777</v>
      </c>
      <c r="D147" s="138">
        <v>1180000</v>
      </c>
      <c r="E147" s="20" t="s">
        <v>408</v>
      </c>
      <c r="F147" s="20" t="s">
        <v>409</v>
      </c>
      <c r="G147" s="8" t="str">
        <f t="shared" si="4"/>
        <v>LEVERE CRAIG</v>
      </c>
      <c r="H147" s="20" t="str">
        <f t="shared" si="5"/>
        <v>4052</v>
      </c>
    </row>
    <row r="148" spans="1:8" x14ac:dyDescent="0.3">
      <c r="A148" s="8">
        <v>43033.589328703703</v>
      </c>
      <c r="B148" s="20" t="s">
        <v>632</v>
      </c>
      <c r="C148" s="20" t="s">
        <v>778</v>
      </c>
      <c r="D148" s="138">
        <v>1810000</v>
      </c>
      <c r="E148" s="20" t="s">
        <v>571</v>
      </c>
      <c r="F148" s="20" t="s">
        <v>359</v>
      </c>
      <c r="G148" s="8" t="str">
        <f t="shared" si="4"/>
        <v>NEWELL JAMES</v>
      </c>
      <c r="H148" s="20" t="str">
        <f t="shared" si="5"/>
        <v>4045</v>
      </c>
    </row>
    <row r="149" spans="1:8" x14ac:dyDescent="0.3">
      <c r="A149" s="8">
        <v>43033.590300925927</v>
      </c>
      <c r="B149" s="20" t="s">
        <v>642</v>
      </c>
      <c r="C149" s="20" t="s">
        <v>650</v>
      </c>
      <c r="D149" s="138">
        <v>2610000</v>
      </c>
      <c r="E149" s="20" t="s">
        <v>537</v>
      </c>
      <c r="F149" s="20" t="s">
        <v>538</v>
      </c>
      <c r="G149" s="8" t="str">
        <f t="shared" si="4"/>
        <v>MAGEE KENYA</v>
      </c>
      <c r="H149" s="20" t="str">
        <f t="shared" si="5"/>
        <v>4031</v>
      </c>
    </row>
    <row r="150" spans="1:8" x14ac:dyDescent="0.3">
      <c r="A150" s="8">
        <v>43033.591412037036</v>
      </c>
      <c r="B150" s="20" t="s">
        <v>509</v>
      </c>
      <c r="C150" s="20" t="s">
        <v>779</v>
      </c>
      <c r="D150" s="138">
        <v>920000</v>
      </c>
      <c r="E150" s="20" t="s">
        <v>425</v>
      </c>
      <c r="F150" s="20" t="s">
        <v>379</v>
      </c>
      <c r="G150" s="8" t="str">
        <f t="shared" si="4"/>
        <v>DAVIS MICHAEL</v>
      </c>
      <c r="H150" s="20" t="str">
        <f t="shared" si="5"/>
        <v>4050</v>
      </c>
    </row>
    <row r="151" spans="1:8" x14ac:dyDescent="0.3">
      <c r="A151" s="8">
        <v>43033.599039351851</v>
      </c>
      <c r="B151" s="20" t="s">
        <v>402</v>
      </c>
      <c r="C151" s="20" t="s">
        <v>780</v>
      </c>
      <c r="D151" s="138">
        <v>2420000</v>
      </c>
      <c r="E151" s="20" t="s">
        <v>429</v>
      </c>
      <c r="F151" s="20" t="s">
        <v>430</v>
      </c>
      <c r="G151" s="8" t="str">
        <f t="shared" si="4"/>
        <v>HOLCOMB KAMDEN</v>
      </c>
      <c r="H151" s="20" t="str">
        <f t="shared" si="5"/>
        <v>4008</v>
      </c>
    </row>
    <row r="152" spans="1:8" x14ac:dyDescent="0.3">
      <c r="A152" s="8">
        <v>43033.602175925924</v>
      </c>
      <c r="B152" s="20" t="s">
        <v>622</v>
      </c>
      <c r="C152" s="20" t="s">
        <v>781</v>
      </c>
      <c r="D152" s="138">
        <v>1300000</v>
      </c>
      <c r="E152" s="20" t="s">
        <v>410</v>
      </c>
      <c r="F152" s="20" t="s">
        <v>411</v>
      </c>
      <c r="G152" s="8" t="str">
        <f t="shared" si="4"/>
        <v>LEVIN SCOTT</v>
      </c>
      <c r="H152" s="20" t="str">
        <f t="shared" si="5"/>
        <v>4029</v>
      </c>
    </row>
    <row r="153" spans="1:8" x14ac:dyDescent="0.3">
      <c r="A153" s="8">
        <v>43033.602835648147</v>
      </c>
      <c r="B153" s="20" t="s">
        <v>644</v>
      </c>
      <c r="C153" s="20" t="s">
        <v>782</v>
      </c>
      <c r="D153" s="138">
        <v>1180000</v>
      </c>
      <c r="E153" s="20" t="s">
        <v>408</v>
      </c>
      <c r="F153" s="20" t="s">
        <v>409</v>
      </c>
      <c r="G153" s="8" t="str">
        <f t="shared" si="4"/>
        <v>LEVERE CRAIG</v>
      </c>
      <c r="H153" s="20" t="str">
        <f t="shared" si="5"/>
        <v>4051</v>
      </c>
    </row>
    <row r="154" spans="1:8" x14ac:dyDescent="0.3">
      <c r="A154" s="8">
        <v>43033.607743055552</v>
      </c>
      <c r="B154" s="20" t="s">
        <v>448</v>
      </c>
      <c r="C154" s="20" t="s">
        <v>651</v>
      </c>
      <c r="D154" s="138">
        <v>3280000</v>
      </c>
      <c r="E154" s="20" t="s">
        <v>414</v>
      </c>
      <c r="F154" s="20" t="s">
        <v>415</v>
      </c>
      <c r="G154" s="8" t="str">
        <f t="shared" si="4"/>
        <v>BIRKHOLZ NADINE</v>
      </c>
      <c r="H154" s="20" t="str">
        <f t="shared" si="5"/>
        <v>4032</v>
      </c>
    </row>
    <row r="155" spans="1:8" x14ac:dyDescent="0.3">
      <c r="A155" s="8">
        <v>43033.61142361111</v>
      </c>
      <c r="B155" s="20" t="s">
        <v>417</v>
      </c>
      <c r="C155" s="20" t="s">
        <v>783</v>
      </c>
      <c r="D155" s="138">
        <v>1770000</v>
      </c>
      <c r="E155" s="20" t="s">
        <v>569</v>
      </c>
      <c r="F155" s="20" t="s">
        <v>570</v>
      </c>
      <c r="G155" s="8" t="str">
        <f t="shared" si="4"/>
        <v>BRUDER RICHARD</v>
      </c>
      <c r="H155" s="20" t="str">
        <f t="shared" si="5"/>
        <v>4018</v>
      </c>
    </row>
    <row r="156" spans="1:8" x14ac:dyDescent="0.3">
      <c r="A156" s="8">
        <v>43033.618935185186</v>
      </c>
      <c r="B156" s="20" t="s">
        <v>418</v>
      </c>
      <c r="C156" s="20" t="s">
        <v>784</v>
      </c>
      <c r="D156" s="138">
        <v>2350000</v>
      </c>
      <c r="E156" s="20" t="s">
        <v>427</v>
      </c>
      <c r="F156" s="20" t="s">
        <v>428</v>
      </c>
      <c r="G156" s="8" t="str">
        <f t="shared" si="4"/>
        <v>BERLING GARY</v>
      </c>
      <c r="H156" s="20" t="str">
        <f t="shared" si="5"/>
        <v>4005</v>
      </c>
    </row>
    <row r="157" spans="1:8" x14ac:dyDescent="0.3">
      <c r="A157" s="8">
        <v>43033.622037037036</v>
      </c>
      <c r="B157" s="20" t="s">
        <v>558</v>
      </c>
      <c r="C157" s="20" t="s">
        <v>785</v>
      </c>
      <c r="D157" s="138">
        <v>880000</v>
      </c>
      <c r="E157" s="20" t="s">
        <v>388</v>
      </c>
      <c r="F157" s="20" t="s">
        <v>379</v>
      </c>
      <c r="G157" s="8" t="str">
        <f t="shared" si="4"/>
        <v>STEWART MICHAEL</v>
      </c>
      <c r="H157" s="20" t="str">
        <f t="shared" si="5"/>
        <v>4036</v>
      </c>
    </row>
    <row r="158" spans="1:8" x14ac:dyDescent="0.3">
      <c r="A158" s="8">
        <v>43033.626342592594</v>
      </c>
      <c r="B158" s="20" t="s">
        <v>642</v>
      </c>
      <c r="C158" s="20" t="s">
        <v>652</v>
      </c>
      <c r="D158" s="138">
        <v>3280000</v>
      </c>
      <c r="E158" s="20" t="s">
        <v>414</v>
      </c>
      <c r="F158" s="20" t="s">
        <v>415</v>
      </c>
      <c r="G158" s="8" t="str">
        <f t="shared" si="4"/>
        <v>BIRKHOLZ NADINE</v>
      </c>
      <c r="H158" s="20" t="str">
        <f t="shared" si="5"/>
        <v>4031</v>
      </c>
    </row>
    <row r="159" spans="1:8" x14ac:dyDescent="0.3">
      <c r="A159" s="8">
        <v>43033.627534722225</v>
      </c>
      <c r="B159" s="20" t="s">
        <v>630</v>
      </c>
      <c r="C159" s="20" t="s">
        <v>786</v>
      </c>
      <c r="D159" s="138">
        <v>1180000</v>
      </c>
      <c r="E159" s="20" t="s">
        <v>408</v>
      </c>
      <c r="F159" s="20" t="s">
        <v>409</v>
      </c>
      <c r="G159" s="8" t="str">
        <f t="shared" si="4"/>
        <v>LEVERE CRAIG</v>
      </c>
      <c r="H159" s="20" t="str">
        <f t="shared" si="5"/>
        <v>4052</v>
      </c>
    </row>
    <row r="160" spans="1:8" x14ac:dyDescent="0.3">
      <c r="A160" s="8">
        <v>43033.631469907406</v>
      </c>
      <c r="B160" s="20" t="s">
        <v>525</v>
      </c>
      <c r="C160" s="20" t="s">
        <v>653</v>
      </c>
      <c r="D160" s="138">
        <v>920000</v>
      </c>
      <c r="E160" s="20" t="s">
        <v>425</v>
      </c>
      <c r="F160" s="20" t="s">
        <v>379</v>
      </c>
      <c r="G160" s="8" t="str">
        <f t="shared" si="4"/>
        <v>DAVIS MICHAEL</v>
      </c>
      <c r="H160" s="20" t="str">
        <f t="shared" si="5"/>
        <v>4049</v>
      </c>
    </row>
    <row r="161" spans="1:8" x14ac:dyDescent="0.3">
      <c r="A161" s="8">
        <v>43033.632199074076</v>
      </c>
      <c r="B161" s="20" t="s">
        <v>532</v>
      </c>
      <c r="C161" s="20" t="s">
        <v>787</v>
      </c>
      <c r="D161" s="138">
        <v>2970000</v>
      </c>
      <c r="E161" s="20" t="s">
        <v>515</v>
      </c>
      <c r="F161" s="20" t="s">
        <v>516</v>
      </c>
      <c r="G161" s="8" t="str">
        <f t="shared" si="4"/>
        <v>GUZMAN DANNY</v>
      </c>
      <c r="H161" s="20" t="str">
        <f t="shared" si="5"/>
        <v>4046</v>
      </c>
    </row>
    <row r="162" spans="1:8" x14ac:dyDescent="0.3">
      <c r="A162" s="8">
        <v>43033.63790509259</v>
      </c>
      <c r="B162" s="20" t="s">
        <v>441</v>
      </c>
      <c r="C162" s="20" t="s">
        <v>788</v>
      </c>
      <c r="D162" s="138">
        <v>2000000</v>
      </c>
      <c r="E162" s="20" t="s">
        <v>366</v>
      </c>
      <c r="F162" s="20" t="s">
        <v>359</v>
      </c>
      <c r="G162" s="8" t="str">
        <f t="shared" si="4"/>
        <v>STAMBAUGH JAMES</v>
      </c>
      <c r="H162" s="20" t="str">
        <f t="shared" si="5"/>
        <v>4023</v>
      </c>
    </row>
    <row r="163" spans="1:8" x14ac:dyDescent="0.3">
      <c r="A163" s="8">
        <v>43033.641493055555</v>
      </c>
      <c r="B163" s="20" t="s">
        <v>419</v>
      </c>
      <c r="C163" s="20" t="s">
        <v>789</v>
      </c>
      <c r="D163" s="138">
        <v>2420000</v>
      </c>
      <c r="E163" s="20" t="s">
        <v>429</v>
      </c>
      <c r="F163" s="20" t="s">
        <v>430</v>
      </c>
      <c r="G163" s="8" t="str">
        <f t="shared" si="4"/>
        <v>HOLCOMB KAMDEN</v>
      </c>
      <c r="H163" s="20" t="str">
        <f t="shared" si="5"/>
        <v>4007</v>
      </c>
    </row>
    <row r="164" spans="1:8" x14ac:dyDescent="0.3">
      <c r="A164" s="8">
        <v>43033.643587962964</v>
      </c>
      <c r="B164" s="20" t="s">
        <v>637</v>
      </c>
      <c r="C164" s="20" t="s">
        <v>790</v>
      </c>
      <c r="D164" s="138">
        <v>1300000</v>
      </c>
      <c r="E164" s="20" t="s">
        <v>410</v>
      </c>
      <c r="F164" s="20" t="s">
        <v>411</v>
      </c>
      <c r="G164" s="8" t="str">
        <f t="shared" si="4"/>
        <v>LEVIN SCOTT</v>
      </c>
      <c r="H164" s="20" t="str">
        <f t="shared" si="5"/>
        <v>4030</v>
      </c>
    </row>
    <row r="165" spans="1:8" x14ac:dyDescent="0.3">
      <c r="A165" s="8">
        <v>43033.643877314818</v>
      </c>
      <c r="B165" s="20" t="s">
        <v>644</v>
      </c>
      <c r="C165" s="20" t="s">
        <v>791</v>
      </c>
      <c r="D165" s="138">
        <v>1180000</v>
      </c>
      <c r="E165" s="20" t="s">
        <v>408</v>
      </c>
      <c r="F165" s="20" t="s">
        <v>409</v>
      </c>
      <c r="G165" s="8" t="str">
        <f t="shared" si="4"/>
        <v>LEVERE CRAIG</v>
      </c>
      <c r="H165" s="20" t="str">
        <f t="shared" si="5"/>
        <v>4051</v>
      </c>
    </row>
    <row r="166" spans="1:8" x14ac:dyDescent="0.3">
      <c r="A166" s="8">
        <v>43033.64508101852</v>
      </c>
      <c r="B166" s="20" t="s">
        <v>448</v>
      </c>
      <c r="C166" s="20" t="s">
        <v>654</v>
      </c>
      <c r="D166" s="138">
        <v>2610000</v>
      </c>
      <c r="E166" s="20" t="s">
        <v>537</v>
      </c>
      <c r="F166" s="20" t="s">
        <v>538</v>
      </c>
      <c r="G166" s="8" t="str">
        <f t="shared" si="4"/>
        <v>MAGEE KENYA</v>
      </c>
      <c r="H166" s="20" t="str">
        <f t="shared" si="5"/>
        <v>4032</v>
      </c>
    </row>
    <row r="167" spans="1:8" x14ac:dyDescent="0.3">
      <c r="A167" s="8">
        <v>43033.650520833333</v>
      </c>
      <c r="B167" s="20" t="s">
        <v>440</v>
      </c>
      <c r="C167" s="20" t="s">
        <v>792</v>
      </c>
      <c r="D167" s="138">
        <v>2000000</v>
      </c>
      <c r="E167" s="20" t="s">
        <v>366</v>
      </c>
      <c r="F167" s="20" t="s">
        <v>359</v>
      </c>
      <c r="G167" s="8" t="str">
        <f t="shared" si="4"/>
        <v>STAMBAUGH JAMES</v>
      </c>
      <c r="H167" s="20" t="str">
        <f t="shared" si="5"/>
        <v>4024</v>
      </c>
    </row>
    <row r="168" spans="1:8" x14ac:dyDescent="0.3">
      <c r="A168" s="8">
        <v>43033.651736111111</v>
      </c>
      <c r="B168" s="20" t="s">
        <v>421</v>
      </c>
      <c r="C168" s="20" t="s">
        <v>793</v>
      </c>
      <c r="D168" s="138">
        <v>1770000</v>
      </c>
      <c r="E168" s="20" t="s">
        <v>569</v>
      </c>
      <c r="F168" s="20" t="s">
        <v>570</v>
      </c>
      <c r="G168" s="8" t="str">
        <f t="shared" si="4"/>
        <v>BRUDER RICHARD</v>
      </c>
      <c r="H168" s="20" t="str">
        <f t="shared" si="5"/>
        <v>4017</v>
      </c>
    </row>
    <row r="169" spans="1:8" x14ac:dyDescent="0.3">
      <c r="A169" s="8">
        <v>43033.654016203705</v>
      </c>
      <c r="B169" s="20" t="s">
        <v>426</v>
      </c>
      <c r="C169" s="20" t="s">
        <v>794</v>
      </c>
      <c r="D169" s="138">
        <v>3130000</v>
      </c>
      <c r="E169" s="20" t="s">
        <v>431</v>
      </c>
      <c r="F169" s="20" t="s">
        <v>432</v>
      </c>
      <c r="G169" s="8" t="str">
        <f t="shared" si="4"/>
        <v>ZEWDU DEREJE</v>
      </c>
      <c r="H169" s="20" t="str">
        <f t="shared" si="5"/>
        <v>4006</v>
      </c>
    </row>
    <row r="170" spans="1:8" x14ac:dyDescent="0.3">
      <c r="A170" s="8">
        <v>43033.660983796297</v>
      </c>
      <c r="B170" s="20" t="s">
        <v>564</v>
      </c>
      <c r="C170" s="20" t="s">
        <v>795</v>
      </c>
      <c r="D170" s="138">
        <v>880000</v>
      </c>
      <c r="E170" s="20" t="s">
        <v>388</v>
      </c>
      <c r="F170" s="20" t="s">
        <v>379</v>
      </c>
      <c r="G170" s="8" t="str">
        <f t="shared" si="4"/>
        <v>STEWART MICHAEL</v>
      </c>
      <c r="H170" s="20" t="str">
        <f t="shared" si="5"/>
        <v>4035</v>
      </c>
    </row>
    <row r="171" spans="1:8" x14ac:dyDescent="0.3">
      <c r="A171" s="8">
        <v>43033.662546296298</v>
      </c>
      <c r="B171" s="20" t="s">
        <v>509</v>
      </c>
      <c r="C171" s="20" t="s">
        <v>796</v>
      </c>
      <c r="D171" s="138">
        <v>2370000</v>
      </c>
      <c r="E171" s="20" t="s">
        <v>797</v>
      </c>
      <c r="F171" s="20" t="s">
        <v>798</v>
      </c>
      <c r="G171" s="8" t="str">
        <f t="shared" si="4"/>
        <v>DELGADO DIANAH</v>
      </c>
      <c r="H171" s="20" t="str">
        <f t="shared" si="5"/>
        <v>4050</v>
      </c>
    </row>
    <row r="172" spans="1:8" x14ac:dyDescent="0.3">
      <c r="A172" s="8">
        <v>43033.664456018516</v>
      </c>
      <c r="B172" s="20" t="s">
        <v>441</v>
      </c>
      <c r="C172" s="20" t="s">
        <v>799</v>
      </c>
      <c r="D172" s="138">
        <v>2000000</v>
      </c>
      <c r="E172" s="20" t="s">
        <v>366</v>
      </c>
      <c r="F172" s="20" t="s">
        <v>359</v>
      </c>
      <c r="G172" s="8" t="str">
        <f t="shared" si="4"/>
        <v>STAMBAUGH JAMES</v>
      </c>
      <c r="H172" s="20" t="str">
        <f t="shared" si="5"/>
        <v>4023</v>
      </c>
    </row>
    <row r="173" spans="1:8" x14ac:dyDescent="0.3">
      <c r="A173" s="8">
        <v>43033.666516203702</v>
      </c>
      <c r="B173" s="20" t="s">
        <v>642</v>
      </c>
      <c r="C173" s="20" t="s">
        <v>650</v>
      </c>
      <c r="D173" s="138">
        <v>2610000</v>
      </c>
      <c r="E173" s="20" t="s">
        <v>537</v>
      </c>
      <c r="F173" s="20" t="s">
        <v>538</v>
      </c>
      <c r="G173" s="8" t="str">
        <f t="shared" si="4"/>
        <v>MAGEE KENYA</v>
      </c>
      <c r="H173" s="20" t="str">
        <f t="shared" si="5"/>
        <v>4031</v>
      </c>
    </row>
    <row r="174" spans="1:8" x14ac:dyDescent="0.3">
      <c r="A174" s="8">
        <v>43033.669340277775</v>
      </c>
      <c r="B174" s="20" t="s">
        <v>630</v>
      </c>
      <c r="C174" s="20" t="s">
        <v>800</v>
      </c>
      <c r="D174" s="138">
        <v>1180000</v>
      </c>
      <c r="E174" s="20" t="s">
        <v>408</v>
      </c>
      <c r="F174" s="20" t="s">
        <v>409</v>
      </c>
      <c r="G174" s="8" t="str">
        <f t="shared" si="4"/>
        <v>LEVERE CRAIG</v>
      </c>
      <c r="H174" s="20" t="str">
        <f t="shared" si="5"/>
        <v>4052</v>
      </c>
    </row>
    <row r="175" spans="1:8" x14ac:dyDescent="0.3">
      <c r="A175" s="8">
        <v>43033.669872685183</v>
      </c>
      <c r="B175" s="20" t="s">
        <v>632</v>
      </c>
      <c r="C175" s="20" t="s">
        <v>801</v>
      </c>
      <c r="D175" s="138">
        <v>2970000</v>
      </c>
      <c r="E175" s="20" t="s">
        <v>515</v>
      </c>
      <c r="F175" s="20" t="s">
        <v>516</v>
      </c>
      <c r="G175" s="8" t="str">
        <f t="shared" si="4"/>
        <v>GUZMAN DANNY</v>
      </c>
      <c r="H175" s="20" t="str">
        <f t="shared" si="5"/>
        <v>4045</v>
      </c>
    </row>
    <row r="176" spans="1:8" x14ac:dyDescent="0.3">
      <c r="A176" s="8">
        <v>43033.673275462963</v>
      </c>
      <c r="B176" s="20" t="s">
        <v>402</v>
      </c>
      <c r="C176" s="20" t="s">
        <v>802</v>
      </c>
      <c r="D176" s="138">
        <v>2420000</v>
      </c>
      <c r="E176" s="20" t="s">
        <v>429</v>
      </c>
      <c r="F176" s="20" t="s">
        <v>430</v>
      </c>
      <c r="G176" s="8" t="str">
        <f t="shared" si="4"/>
        <v>HOLCOMB KAMDEN</v>
      </c>
      <c r="H176" s="20" t="str">
        <f t="shared" si="5"/>
        <v>4008</v>
      </c>
    </row>
    <row r="177" spans="1:8" x14ac:dyDescent="0.3">
      <c r="A177" s="8">
        <v>43033.680509259262</v>
      </c>
      <c r="B177" s="20" t="s">
        <v>622</v>
      </c>
      <c r="C177" s="20" t="s">
        <v>803</v>
      </c>
      <c r="D177" s="138">
        <v>1300000</v>
      </c>
      <c r="E177" s="20" t="s">
        <v>410</v>
      </c>
      <c r="F177" s="20" t="s">
        <v>411</v>
      </c>
      <c r="G177" s="8" t="str">
        <f t="shared" si="4"/>
        <v>LEVIN SCOTT</v>
      </c>
      <c r="H177" s="20" t="str">
        <f t="shared" si="5"/>
        <v>4029</v>
      </c>
    </row>
    <row r="178" spans="1:8" x14ac:dyDescent="0.3">
      <c r="A178" s="8">
        <v>43033.68178240741</v>
      </c>
      <c r="B178" s="20" t="s">
        <v>804</v>
      </c>
      <c r="C178" s="20" t="s">
        <v>805</v>
      </c>
      <c r="D178" s="138">
        <v>1810000</v>
      </c>
      <c r="E178" s="20" t="s">
        <v>571</v>
      </c>
      <c r="F178" s="20" t="s">
        <v>359</v>
      </c>
      <c r="G178" s="8" t="str">
        <f t="shared" si="4"/>
        <v>NEWELL JAMES</v>
      </c>
      <c r="H178" s="20" t="str">
        <f t="shared" si="5"/>
        <v>4004</v>
      </c>
    </row>
    <row r="179" spans="1:8" x14ac:dyDescent="0.3">
      <c r="A179" s="8">
        <v>43033.683599537035</v>
      </c>
      <c r="B179" s="20" t="s">
        <v>417</v>
      </c>
      <c r="C179" s="20" t="s">
        <v>806</v>
      </c>
      <c r="D179" s="138">
        <v>1770000</v>
      </c>
      <c r="E179" s="20" t="s">
        <v>569</v>
      </c>
      <c r="F179" s="20" t="s">
        <v>570</v>
      </c>
      <c r="G179" s="8" t="str">
        <f t="shared" si="4"/>
        <v>BRUDER RICHARD</v>
      </c>
      <c r="H179" s="20" t="str">
        <f t="shared" si="5"/>
        <v>4018</v>
      </c>
    </row>
    <row r="180" spans="1:8" x14ac:dyDescent="0.3">
      <c r="A180" s="8">
        <v>43033.685277777775</v>
      </c>
      <c r="B180" s="20" t="s">
        <v>448</v>
      </c>
      <c r="C180" s="20" t="s">
        <v>651</v>
      </c>
      <c r="D180" s="138">
        <v>3280000</v>
      </c>
      <c r="E180" s="20" t="s">
        <v>414</v>
      </c>
      <c r="F180" s="20" t="s">
        <v>415</v>
      </c>
      <c r="G180" s="8" t="str">
        <f t="shared" si="4"/>
        <v>BIRKHOLZ NADINE</v>
      </c>
      <c r="H180" s="20" t="str">
        <f t="shared" si="5"/>
        <v>4032</v>
      </c>
    </row>
    <row r="181" spans="1:8" x14ac:dyDescent="0.3">
      <c r="A181" s="8">
        <v>43033.687708333331</v>
      </c>
      <c r="B181" s="20" t="s">
        <v>644</v>
      </c>
      <c r="C181" s="20" t="s">
        <v>807</v>
      </c>
      <c r="D181" s="138">
        <v>1180000</v>
      </c>
      <c r="E181" s="20" t="s">
        <v>408</v>
      </c>
      <c r="F181" s="20" t="s">
        <v>409</v>
      </c>
      <c r="G181" s="8" t="str">
        <f t="shared" si="4"/>
        <v>LEVERE CRAIG</v>
      </c>
      <c r="H181" s="20" t="str">
        <f t="shared" si="5"/>
        <v>4051</v>
      </c>
    </row>
    <row r="182" spans="1:8" x14ac:dyDescent="0.3">
      <c r="A182" s="8">
        <v>43033.690717592595</v>
      </c>
      <c r="B182" s="20" t="s">
        <v>418</v>
      </c>
      <c r="C182" s="20" t="s">
        <v>808</v>
      </c>
      <c r="D182" s="138">
        <v>3130000</v>
      </c>
      <c r="E182" s="20" t="s">
        <v>431</v>
      </c>
      <c r="F182" s="20" t="s">
        <v>432</v>
      </c>
      <c r="G182" s="8" t="str">
        <f t="shared" si="4"/>
        <v>ZEWDU DEREJE</v>
      </c>
      <c r="H182" s="20" t="str">
        <f t="shared" si="5"/>
        <v>4005</v>
      </c>
    </row>
    <row r="183" spans="1:8" x14ac:dyDescent="0.3">
      <c r="A183" s="8">
        <v>43033.69195601852</v>
      </c>
      <c r="B183" s="20" t="s">
        <v>440</v>
      </c>
      <c r="C183" s="20" t="s">
        <v>809</v>
      </c>
      <c r="D183" s="138">
        <v>2000000</v>
      </c>
      <c r="E183" s="20" t="s">
        <v>366</v>
      </c>
      <c r="F183" s="20" t="s">
        <v>359</v>
      </c>
      <c r="G183" s="8" t="str">
        <f t="shared" si="4"/>
        <v>STAMBAUGH JAMES</v>
      </c>
      <c r="H183" s="20" t="str">
        <f t="shared" si="5"/>
        <v>4024</v>
      </c>
    </row>
    <row r="184" spans="1:8" x14ac:dyDescent="0.3">
      <c r="A184" s="8">
        <v>43033.693680555552</v>
      </c>
      <c r="B184" s="20" t="s">
        <v>558</v>
      </c>
      <c r="C184" s="20" t="s">
        <v>810</v>
      </c>
      <c r="D184" s="138">
        <v>880000</v>
      </c>
      <c r="E184" s="20" t="s">
        <v>388</v>
      </c>
      <c r="F184" s="20" t="s">
        <v>379</v>
      </c>
      <c r="G184" s="8" t="str">
        <f t="shared" si="4"/>
        <v>STEWART MICHAEL</v>
      </c>
      <c r="H184" s="20" t="str">
        <f t="shared" si="5"/>
        <v>4036</v>
      </c>
    </row>
    <row r="185" spans="1:8" x14ac:dyDescent="0.3">
      <c r="A185" s="8">
        <v>43033.69431712963</v>
      </c>
      <c r="B185" s="20" t="s">
        <v>525</v>
      </c>
      <c r="C185" s="20" t="s">
        <v>811</v>
      </c>
      <c r="D185" s="138">
        <v>2370000</v>
      </c>
      <c r="E185" s="20" t="s">
        <v>797</v>
      </c>
      <c r="F185" s="20" t="s">
        <v>798</v>
      </c>
      <c r="G185" s="8" t="str">
        <f t="shared" si="4"/>
        <v>DELGADO DIANAH</v>
      </c>
      <c r="H185" s="20" t="str">
        <f t="shared" si="5"/>
        <v>4049</v>
      </c>
    </row>
    <row r="186" spans="1:8" x14ac:dyDescent="0.3">
      <c r="A186" s="8">
        <v>43033.701793981483</v>
      </c>
      <c r="B186" s="20" t="s">
        <v>642</v>
      </c>
      <c r="C186" s="20" t="s">
        <v>652</v>
      </c>
      <c r="D186" s="138">
        <v>3280000</v>
      </c>
      <c r="E186" s="20" t="s">
        <v>414</v>
      </c>
      <c r="F186" s="20" t="s">
        <v>415</v>
      </c>
      <c r="G186" s="8" t="str">
        <f t="shared" si="4"/>
        <v>BIRKHOLZ NADINE</v>
      </c>
      <c r="H186" s="20" t="str">
        <f t="shared" si="5"/>
        <v>4031</v>
      </c>
    </row>
    <row r="187" spans="1:8" x14ac:dyDescent="0.3">
      <c r="A187" s="8">
        <v>43033.703969907408</v>
      </c>
      <c r="B187" s="20" t="s">
        <v>532</v>
      </c>
      <c r="C187" s="20" t="s">
        <v>812</v>
      </c>
      <c r="D187" s="138">
        <v>2970000</v>
      </c>
      <c r="E187" s="20" t="s">
        <v>515</v>
      </c>
      <c r="F187" s="20" t="s">
        <v>516</v>
      </c>
      <c r="G187" s="8" t="str">
        <f t="shared" si="4"/>
        <v>GUZMAN DANNY</v>
      </c>
      <c r="H187" s="20" t="str">
        <f t="shared" si="5"/>
        <v>4046</v>
      </c>
    </row>
    <row r="188" spans="1:8" x14ac:dyDescent="0.3">
      <c r="A188" s="8">
        <v>43033.705590277779</v>
      </c>
      <c r="B188" s="20" t="s">
        <v>441</v>
      </c>
      <c r="C188" s="20" t="s">
        <v>813</v>
      </c>
      <c r="D188" s="138">
        <v>2000000</v>
      </c>
      <c r="E188" s="20" t="s">
        <v>366</v>
      </c>
      <c r="F188" s="20" t="s">
        <v>359</v>
      </c>
      <c r="G188" s="8" t="str">
        <f t="shared" si="4"/>
        <v>STAMBAUGH JAMES</v>
      </c>
      <c r="H188" s="20" t="str">
        <f t="shared" si="5"/>
        <v>4023</v>
      </c>
    </row>
    <row r="189" spans="1:8" x14ac:dyDescent="0.3">
      <c r="A189" s="8">
        <v>43033.710787037038</v>
      </c>
      <c r="B189" s="20" t="s">
        <v>630</v>
      </c>
      <c r="C189" s="20" t="s">
        <v>814</v>
      </c>
      <c r="D189" s="138">
        <v>1180000</v>
      </c>
      <c r="E189" s="20" t="s">
        <v>408</v>
      </c>
      <c r="F189" s="20" t="s">
        <v>409</v>
      </c>
      <c r="G189" s="8" t="str">
        <f t="shared" si="4"/>
        <v>LEVERE CRAIG</v>
      </c>
      <c r="H189" s="20" t="str">
        <f t="shared" si="5"/>
        <v>4052</v>
      </c>
    </row>
    <row r="190" spans="1:8" x14ac:dyDescent="0.3">
      <c r="A190" s="8">
        <v>43033.712268518517</v>
      </c>
      <c r="B190" s="20" t="s">
        <v>419</v>
      </c>
      <c r="C190" s="20" t="s">
        <v>655</v>
      </c>
      <c r="D190" s="138">
        <v>2420000</v>
      </c>
      <c r="E190" s="20" t="s">
        <v>429</v>
      </c>
      <c r="F190" s="20" t="s">
        <v>430</v>
      </c>
      <c r="G190" s="8" t="str">
        <f t="shared" si="4"/>
        <v>HOLCOMB KAMDEN</v>
      </c>
      <c r="H190" s="20" t="str">
        <f t="shared" si="5"/>
        <v>4007</v>
      </c>
    </row>
    <row r="191" spans="1:8" x14ac:dyDescent="0.3">
      <c r="A191" s="8">
        <v>43033.715104166666</v>
      </c>
      <c r="B191" s="20" t="s">
        <v>637</v>
      </c>
      <c r="C191" s="20" t="s">
        <v>815</v>
      </c>
      <c r="D191" s="138">
        <v>1300000</v>
      </c>
      <c r="E191" s="20" t="s">
        <v>410</v>
      </c>
      <c r="F191" s="20" t="s">
        <v>411</v>
      </c>
      <c r="G191" s="8" t="str">
        <f t="shared" si="4"/>
        <v>LEVIN SCOTT</v>
      </c>
      <c r="H191" s="20" t="str">
        <f t="shared" si="5"/>
        <v>4030</v>
      </c>
    </row>
    <row r="192" spans="1:8" x14ac:dyDescent="0.3">
      <c r="A192" s="8">
        <v>43033.723425925928</v>
      </c>
      <c r="B192" s="20" t="s">
        <v>426</v>
      </c>
      <c r="C192" s="20" t="s">
        <v>816</v>
      </c>
      <c r="D192" s="138">
        <v>2350000</v>
      </c>
      <c r="E192" s="20" t="s">
        <v>427</v>
      </c>
      <c r="F192" s="20" t="s">
        <v>428</v>
      </c>
      <c r="G192" s="8" t="str">
        <f t="shared" si="4"/>
        <v>BERLING GARY</v>
      </c>
      <c r="H192" s="20" t="str">
        <f t="shared" si="5"/>
        <v>4006</v>
      </c>
    </row>
    <row r="193" spans="1:8" x14ac:dyDescent="0.3">
      <c r="A193" s="8">
        <v>43033.724432870367</v>
      </c>
      <c r="B193" s="20" t="s">
        <v>421</v>
      </c>
      <c r="C193" s="20" t="s">
        <v>817</v>
      </c>
      <c r="D193" s="138">
        <v>1770000</v>
      </c>
      <c r="E193" s="20" t="s">
        <v>569</v>
      </c>
      <c r="F193" s="20" t="s">
        <v>570</v>
      </c>
      <c r="G193" s="8" t="str">
        <f t="shared" si="4"/>
        <v>BRUDER RICHARD</v>
      </c>
      <c r="H193" s="20" t="str">
        <f t="shared" si="5"/>
        <v>4017</v>
      </c>
    </row>
    <row r="194" spans="1:8" x14ac:dyDescent="0.3">
      <c r="A194" s="8">
        <v>43033.726388888892</v>
      </c>
      <c r="B194" s="20" t="s">
        <v>818</v>
      </c>
      <c r="C194" s="20" t="s">
        <v>819</v>
      </c>
      <c r="D194" s="138">
        <v>2450000</v>
      </c>
      <c r="E194" s="20" t="s">
        <v>572</v>
      </c>
      <c r="F194" s="20" t="s">
        <v>573</v>
      </c>
      <c r="G194" s="8" t="str">
        <f t="shared" si="4"/>
        <v>NELSON ARIANE</v>
      </c>
      <c r="H194" s="20" t="str">
        <f t="shared" si="5"/>
        <v>4034</v>
      </c>
    </row>
    <row r="195" spans="1:8" x14ac:dyDescent="0.3">
      <c r="A195" s="8">
        <v>43033.728425925925</v>
      </c>
      <c r="B195" s="20" t="s">
        <v>644</v>
      </c>
      <c r="C195" s="20" t="s">
        <v>820</v>
      </c>
      <c r="D195" s="138">
        <v>1180000</v>
      </c>
      <c r="E195" s="20" t="s">
        <v>408</v>
      </c>
      <c r="F195" s="20" t="s">
        <v>409</v>
      </c>
      <c r="G195" s="8" t="str">
        <f t="shared" ref="G195:G258" si="6">E195&amp;" "&amp;F195</f>
        <v>LEVERE CRAIG</v>
      </c>
      <c r="H195" s="20" t="str">
        <f t="shared" ref="H195:H258" si="7">MID(B195,13,4)</f>
        <v>4051</v>
      </c>
    </row>
    <row r="196" spans="1:8" x14ac:dyDescent="0.3">
      <c r="A196" s="8">
        <v>43033.733460648145</v>
      </c>
      <c r="B196" s="20" t="s">
        <v>564</v>
      </c>
      <c r="C196" s="20" t="s">
        <v>821</v>
      </c>
      <c r="D196" s="138">
        <v>880000</v>
      </c>
      <c r="E196" s="20" t="s">
        <v>388</v>
      </c>
      <c r="F196" s="20" t="s">
        <v>379</v>
      </c>
      <c r="G196" s="8" t="str">
        <f t="shared" si="6"/>
        <v>STEWART MICHAEL</v>
      </c>
      <c r="H196" s="20" t="str">
        <f t="shared" si="7"/>
        <v>4035</v>
      </c>
    </row>
    <row r="197" spans="1:8" x14ac:dyDescent="0.3">
      <c r="A197" s="8">
        <v>43033.733622685184</v>
      </c>
      <c r="B197" s="20" t="s">
        <v>440</v>
      </c>
      <c r="C197" s="20" t="s">
        <v>656</v>
      </c>
      <c r="D197" s="138">
        <v>2000000</v>
      </c>
      <c r="E197" s="20" t="s">
        <v>366</v>
      </c>
      <c r="F197" s="20" t="s">
        <v>359</v>
      </c>
      <c r="G197" s="8" t="str">
        <f t="shared" si="6"/>
        <v>STAMBAUGH JAMES</v>
      </c>
      <c r="H197" s="20" t="str">
        <f t="shared" si="7"/>
        <v>4024</v>
      </c>
    </row>
    <row r="198" spans="1:8" x14ac:dyDescent="0.3">
      <c r="A198" s="8">
        <v>43033.735601851855</v>
      </c>
      <c r="B198" s="20" t="s">
        <v>509</v>
      </c>
      <c r="C198" s="20" t="s">
        <v>822</v>
      </c>
      <c r="D198" s="138">
        <v>1200000</v>
      </c>
      <c r="E198" s="20" t="s">
        <v>823</v>
      </c>
      <c r="F198" s="20" t="s">
        <v>824</v>
      </c>
      <c r="G198" s="8" t="str">
        <f t="shared" si="6"/>
        <v>CUSHING HARRY</v>
      </c>
      <c r="H198" s="20" t="str">
        <f t="shared" si="7"/>
        <v>4050</v>
      </c>
    </row>
    <row r="199" spans="1:8" x14ac:dyDescent="0.3">
      <c r="A199" s="8">
        <v>43033.739374999997</v>
      </c>
      <c r="B199" s="20" t="s">
        <v>642</v>
      </c>
      <c r="C199" s="20" t="s">
        <v>643</v>
      </c>
      <c r="D199" s="138">
        <v>3220000</v>
      </c>
      <c r="E199" s="20" t="s">
        <v>535</v>
      </c>
      <c r="F199" s="20" t="s">
        <v>536</v>
      </c>
      <c r="G199" s="8" t="str">
        <f t="shared" si="6"/>
        <v>RESPASS AARON</v>
      </c>
      <c r="H199" s="20" t="str">
        <f t="shared" si="7"/>
        <v>4031</v>
      </c>
    </row>
    <row r="200" spans="1:8" x14ac:dyDescent="0.3">
      <c r="A200" s="8">
        <v>43033.744710648149</v>
      </c>
      <c r="B200" s="20" t="s">
        <v>632</v>
      </c>
      <c r="C200" s="20" t="s">
        <v>825</v>
      </c>
      <c r="D200" s="138">
        <v>2970000</v>
      </c>
      <c r="E200" s="20" t="s">
        <v>515</v>
      </c>
      <c r="F200" s="20" t="s">
        <v>516</v>
      </c>
      <c r="G200" s="8" t="str">
        <f t="shared" si="6"/>
        <v>GUZMAN DANNY</v>
      </c>
      <c r="H200" s="20" t="str">
        <f t="shared" si="7"/>
        <v>4045</v>
      </c>
    </row>
    <row r="201" spans="1:8" x14ac:dyDescent="0.3">
      <c r="A201" s="8">
        <v>43033.746400462966</v>
      </c>
      <c r="B201" s="20" t="s">
        <v>402</v>
      </c>
      <c r="C201" s="20" t="s">
        <v>826</v>
      </c>
      <c r="D201" s="138">
        <v>2420000</v>
      </c>
      <c r="E201" s="20" t="s">
        <v>429</v>
      </c>
      <c r="F201" s="20" t="s">
        <v>430</v>
      </c>
      <c r="G201" s="8" t="str">
        <f t="shared" si="6"/>
        <v>HOLCOMB KAMDEN</v>
      </c>
      <c r="H201" s="20" t="str">
        <f t="shared" si="7"/>
        <v>4008</v>
      </c>
    </row>
    <row r="202" spans="1:8" x14ac:dyDescent="0.3">
      <c r="A202" s="26">
        <v>43033.747615740744</v>
      </c>
      <c r="B202" s="20" t="s">
        <v>441</v>
      </c>
      <c r="C202" s="20" t="s">
        <v>827</v>
      </c>
      <c r="D202" s="138">
        <v>2000000</v>
      </c>
      <c r="E202" s="20" t="s">
        <v>366</v>
      </c>
      <c r="F202" s="20" t="s">
        <v>359</v>
      </c>
      <c r="G202" s="8" t="str">
        <f t="shared" si="6"/>
        <v>STAMBAUGH JAMES</v>
      </c>
      <c r="H202" s="20" t="str">
        <f t="shared" si="7"/>
        <v>4023</v>
      </c>
    </row>
    <row r="203" spans="1:8" x14ac:dyDescent="0.3">
      <c r="A203" s="8">
        <v>43033.748113425929</v>
      </c>
      <c r="B203" s="20" t="s">
        <v>622</v>
      </c>
      <c r="C203" s="20" t="s">
        <v>828</v>
      </c>
      <c r="D203" s="138">
        <v>1300000</v>
      </c>
      <c r="E203" s="20" t="s">
        <v>410</v>
      </c>
      <c r="F203" s="20" t="s">
        <v>411</v>
      </c>
      <c r="G203" s="8" t="str">
        <f t="shared" si="6"/>
        <v>LEVIN SCOTT</v>
      </c>
      <c r="H203" s="20" t="str">
        <f t="shared" si="7"/>
        <v>4029</v>
      </c>
    </row>
    <row r="204" spans="1:8" x14ac:dyDescent="0.3">
      <c r="A204" s="8">
        <v>43033.751701388886</v>
      </c>
      <c r="B204" s="20" t="s">
        <v>630</v>
      </c>
      <c r="C204" s="20" t="s">
        <v>829</v>
      </c>
      <c r="D204" s="138">
        <v>1180000</v>
      </c>
      <c r="E204" s="20" t="s">
        <v>408</v>
      </c>
      <c r="F204" s="20" t="s">
        <v>409</v>
      </c>
      <c r="G204" s="8" t="str">
        <f t="shared" si="6"/>
        <v>LEVERE CRAIG</v>
      </c>
      <c r="H204" s="20" t="str">
        <f t="shared" si="7"/>
        <v>4052</v>
      </c>
    </row>
    <row r="205" spans="1:8" x14ac:dyDescent="0.3">
      <c r="A205" s="8">
        <v>43033.757523148146</v>
      </c>
      <c r="B205" s="20" t="s">
        <v>417</v>
      </c>
      <c r="C205" s="20" t="s">
        <v>830</v>
      </c>
      <c r="D205" s="138">
        <v>890000</v>
      </c>
      <c r="E205" s="20" t="s">
        <v>357</v>
      </c>
      <c r="F205" s="20" t="s">
        <v>358</v>
      </c>
      <c r="G205" s="8" t="str">
        <f t="shared" si="6"/>
        <v>LOZA FIDEL</v>
      </c>
      <c r="H205" s="20" t="str">
        <f t="shared" si="7"/>
        <v>4018</v>
      </c>
    </row>
    <row r="206" spans="1:8" x14ac:dyDescent="0.3">
      <c r="A206" s="8">
        <v>43033.765138888892</v>
      </c>
      <c r="B206" s="20" t="s">
        <v>418</v>
      </c>
      <c r="C206" s="20" t="s">
        <v>660</v>
      </c>
      <c r="D206" s="138">
        <v>2350000</v>
      </c>
      <c r="E206" s="20" t="s">
        <v>427</v>
      </c>
      <c r="F206" s="20" t="s">
        <v>428</v>
      </c>
      <c r="G206" s="8" t="str">
        <f t="shared" si="6"/>
        <v>BERLING GARY</v>
      </c>
      <c r="H206" s="20" t="str">
        <f t="shared" si="7"/>
        <v>4005</v>
      </c>
    </row>
    <row r="207" spans="1:8" x14ac:dyDescent="0.3">
      <c r="A207" s="8">
        <v>43033.768217592595</v>
      </c>
      <c r="B207" s="20" t="s">
        <v>558</v>
      </c>
      <c r="C207" s="20" t="s">
        <v>658</v>
      </c>
      <c r="D207" s="138">
        <v>3220000</v>
      </c>
      <c r="E207" s="20" t="s">
        <v>535</v>
      </c>
      <c r="F207" s="20" t="s">
        <v>536</v>
      </c>
      <c r="G207" s="8" t="str">
        <f t="shared" si="6"/>
        <v>RESPASS AARON</v>
      </c>
      <c r="H207" s="20" t="str">
        <f t="shared" si="7"/>
        <v>4036</v>
      </c>
    </row>
    <row r="208" spans="1:8" x14ac:dyDescent="0.3">
      <c r="A208" s="8">
        <v>43033.770370370374</v>
      </c>
      <c r="B208" s="20" t="s">
        <v>644</v>
      </c>
      <c r="C208" s="20" t="s">
        <v>831</v>
      </c>
      <c r="D208" s="138">
        <v>1180000</v>
      </c>
      <c r="E208" s="20" t="s">
        <v>408</v>
      </c>
      <c r="F208" s="20" t="s">
        <v>409</v>
      </c>
      <c r="G208" s="8" t="str">
        <f t="shared" si="6"/>
        <v>LEVERE CRAIG</v>
      </c>
      <c r="H208" s="20" t="str">
        <f t="shared" si="7"/>
        <v>4051</v>
      </c>
    </row>
    <row r="209" spans="1:8" x14ac:dyDescent="0.3">
      <c r="A209" s="8">
        <v>43033.774525462963</v>
      </c>
      <c r="B209" s="20" t="s">
        <v>440</v>
      </c>
      <c r="C209" s="20" t="s">
        <v>657</v>
      </c>
      <c r="D209" s="138">
        <v>2000000</v>
      </c>
      <c r="E209" s="20" t="s">
        <v>366</v>
      </c>
      <c r="F209" s="20" t="s">
        <v>359</v>
      </c>
      <c r="G209" s="8" t="str">
        <f t="shared" si="6"/>
        <v>STAMBAUGH JAMES</v>
      </c>
      <c r="H209" s="20" t="str">
        <f t="shared" si="7"/>
        <v>4024</v>
      </c>
    </row>
    <row r="210" spans="1:8" x14ac:dyDescent="0.3">
      <c r="A210" s="8">
        <v>43033.774641203701</v>
      </c>
      <c r="B210" s="20" t="s">
        <v>525</v>
      </c>
      <c r="C210" s="20" t="s">
        <v>659</v>
      </c>
      <c r="D210" s="138">
        <v>1200000</v>
      </c>
      <c r="E210" s="20" t="s">
        <v>823</v>
      </c>
      <c r="F210" s="20" t="s">
        <v>824</v>
      </c>
      <c r="G210" s="8" t="str">
        <f t="shared" si="6"/>
        <v>CUSHING HARRY</v>
      </c>
      <c r="H210" s="20" t="str">
        <f t="shared" si="7"/>
        <v>4049</v>
      </c>
    </row>
    <row r="211" spans="1:8" x14ac:dyDescent="0.3">
      <c r="A211" s="8">
        <v>43033.778831018521</v>
      </c>
      <c r="B211" s="20" t="s">
        <v>440</v>
      </c>
      <c r="C211" s="20" t="s">
        <v>657</v>
      </c>
      <c r="D211" s="138">
        <v>2000000</v>
      </c>
      <c r="E211" s="20" t="s">
        <v>366</v>
      </c>
      <c r="F211" s="20" t="s">
        <v>359</v>
      </c>
      <c r="G211" s="8" t="str">
        <f t="shared" si="6"/>
        <v>STAMBAUGH JAMES</v>
      </c>
      <c r="H211" s="20" t="str">
        <f t="shared" si="7"/>
        <v>4024</v>
      </c>
    </row>
    <row r="212" spans="1:8" x14ac:dyDescent="0.3">
      <c r="A212" s="8">
        <v>43033.779016203705</v>
      </c>
      <c r="B212" s="20" t="s">
        <v>532</v>
      </c>
      <c r="C212" s="20" t="s">
        <v>832</v>
      </c>
      <c r="D212" s="138">
        <v>2970000</v>
      </c>
      <c r="E212" s="20" t="s">
        <v>515</v>
      </c>
      <c r="F212" s="20" t="s">
        <v>516</v>
      </c>
      <c r="G212" s="8" t="str">
        <f t="shared" si="6"/>
        <v>GUZMAN DANNY</v>
      </c>
      <c r="H212" s="20" t="str">
        <f t="shared" si="7"/>
        <v>4046</v>
      </c>
    </row>
    <row r="213" spans="1:8" x14ac:dyDescent="0.3">
      <c r="A213" s="8">
        <v>43033.784791666665</v>
      </c>
      <c r="B213" s="20" t="s">
        <v>419</v>
      </c>
      <c r="C213" s="20" t="s">
        <v>833</v>
      </c>
      <c r="D213" s="138">
        <v>2420000</v>
      </c>
      <c r="E213" s="20" t="s">
        <v>429</v>
      </c>
      <c r="F213" s="20" t="s">
        <v>430</v>
      </c>
      <c r="G213" s="8" t="str">
        <f t="shared" si="6"/>
        <v>HOLCOMB KAMDEN</v>
      </c>
      <c r="H213" s="20" t="str">
        <f t="shared" si="7"/>
        <v>4007</v>
      </c>
    </row>
    <row r="214" spans="1:8" x14ac:dyDescent="0.3">
      <c r="A214" s="8">
        <v>43033.790011574078</v>
      </c>
      <c r="B214" s="20" t="s">
        <v>637</v>
      </c>
      <c r="C214" s="20" t="s">
        <v>834</v>
      </c>
      <c r="D214" s="138">
        <v>3320000</v>
      </c>
      <c r="E214" s="20" t="s">
        <v>450</v>
      </c>
      <c r="F214" s="20" t="s">
        <v>451</v>
      </c>
      <c r="G214" s="8" t="str">
        <f t="shared" si="6"/>
        <v>NICHOLSON WESLEY</v>
      </c>
      <c r="H214" s="20" t="str">
        <f t="shared" si="7"/>
        <v>4030</v>
      </c>
    </row>
    <row r="215" spans="1:8" x14ac:dyDescent="0.3">
      <c r="A215" s="8">
        <v>43033.790127314816</v>
      </c>
      <c r="B215" s="20" t="s">
        <v>441</v>
      </c>
      <c r="C215" s="20" t="s">
        <v>835</v>
      </c>
      <c r="D215" s="138">
        <v>2000000</v>
      </c>
      <c r="E215" s="20" t="s">
        <v>366</v>
      </c>
      <c r="F215" s="20" t="s">
        <v>359</v>
      </c>
      <c r="G215" s="8" t="str">
        <f t="shared" si="6"/>
        <v>STAMBAUGH JAMES</v>
      </c>
      <c r="H215" s="20" t="str">
        <f t="shared" si="7"/>
        <v>4023</v>
      </c>
    </row>
    <row r="216" spans="1:8" x14ac:dyDescent="0.3">
      <c r="A216" s="8">
        <v>43033.795729166668</v>
      </c>
      <c r="B216" s="20" t="s">
        <v>630</v>
      </c>
      <c r="C216" s="20" t="s">
        <v>836</v>
      </c>
      <c r="D216" s="138">
        <v>1180000</v>
      </c>
      <c r="E216" s="20" t="s">
        <v>408</v>
      </c>
      <c r="F216" s="20" t="s">
        <v>409</v>
      </c>
      <c r="G216" s="8" t="str">
        <f t="shared" si="6"/>
        <v>LEVERE CRAIG</v>
      </c>
      <c r="H216" s="20" t="str">
        <f t="shared" si="7"/>
        <v>4052</v>
      </c>
    </row>
    <row r="217" spans="1:8" x14ac:dyDescent="0.3">
      <c r="A217" s="8">
        <v>43033.798009259262</v>
      </c>
      <c r="B217" s="20" t="s">
        <v>421</v>
      </c>
      <c r="C217" s="20" t="s">
        <v>837</v>
      </c>
      <c r="D217" s="138">
        <v>890000</v>
      </c>
      <c r="E217" s="20" t="s">
        <v>357</v>
      </c>
      <c r="F217" s="20" t="s">
        <v>358</v>
      </c>
      <c r="G217" s="8" t="str">
        <f t="shared" si="6"/>
        <v>LOZA FIDEL</v>
      </c>
      <c r="H217" s="20" t="str">
        <f t="shared" si="7"/>
        <v>4017</v>
      </c>
    </row>
    <row r="218" spans="1:8" x14ac:dyDescent="0.3">
      <c r="A218" s="8">
        <v>43033.799108796295</v>
      </c>
      <c r="B218" s="20" t="s">
        <v>426</v>
      </c>
      <c r="C218" s="20" t="s">
        <v>838</v>
      </c>
      <c r="D218" s="138">
        <v>2350000</v>
      </c>
      <c r="E218" s="20" t="s">
        <v>427</v>
      </c>
      <c r="F218" s="20" t="s">
        <v>428</v>
      </c>
      <c r="G218" s="8" t="str">
        <f t="shared" si="6"/>
        <v>BERLING GARY</v>
      </c>
      <c r="H218" s="20" t="str">
        <f t="shared" si="7"/>
        <v>4006</v>
      </c>
    </row>
    <row r="219" spans="1:8" x14ac:dyDescent="0.3">
      <c r="A219" s="8">
        <v>43033.80773148148</v>
      </c>
      <c r="B219" s="20" t="s">
        <v>564</v>
      </c>
      <c r="C219" s="20" t="s">
        <v>839</v>
      </c>
      <c r="D219" s="138">
        <v>3220000</v>
      </c>
      <c r="E219" s="20" t="s">
        <v>535</v>
      </c>
      <c r="F219" s="20" t="s">
        <v>536</v>
      </c>
      <c r="G219" s="8" t="str">
        <f t="shared" si="6"/>
        <v>RESPASS AARON</v>
      </c>
      <c r="H219" s="20" t="str">
        <f t="shared" si="7"/>
        <v>4035</v>
      </c>
    </row>
    <row r="220" spans="1:8" x14ac:dyDescent="0.3">
      <c r="A220" s="8">
        <v>43033.809444444443</v>
      </c>
      <c r="B220" s="20" t="s">
        <v>509</v>
      </c>
      <c r="C220" s="20" t="s">
        <v>840</v>
      </c>
      <c r="D220" s="138">
        <v>2680000</v>
      </c>
      <c r="E220" s="20" t="s">
        <v>362</v>
      </c>
      <c r="F220" s="20" t="s">
        <v>363</v>
      </c>
      <c r="G220" s="8" t="str">
        <f t="shared" si="6"/>
        <v>DUNCAN SHEILA</v>
      </c>
      <c r="H220" s="20" t="str">
        <f t="shared" si="7"/>
        <v>4050</v>
      </c>
    </row>
    <row r="221" spans="1:8" x14ac:dyDescent="0.3">
      <c r="A221" s="8">
        <v>43033.811157407406</v>
      </c>
      <c r="B221" s="20" t="s">
        <v>644</v>
      </c>
      <c r="C221" s="20" t="s">
        <v>841</v>
      </c>
      <c r="D221" s="138">
        <v>1180000</v>
      </c>
      <c r="E221" s="20" t="s">
        <v>408</v>
      </c>
      <c r="F221" s="20" t="s">
        <v>409</v>
      </c>
      <c r="G221" s="8" t="str">
        <f t="shared" si="6"/>
        <v>LEVERE CRAIG</v>
      </c>
      <c r="H221" s="20" t="str">
        <f t="shared" si="7"/>
        <v>4051</v>
      </c>
    </row>
    <row r="222" spans="1:8" x14ac:dyDescent="0.3">
      <c r="A222" s="8">
        <v>43033.820625</v>
      </c>
      <c r="B222" s="20" t="s">
        <v>402</v>
      </c>
      <c r="C222" s="20" t="s">
        <v>842</v>
      </c>
      <c r="D222" s="138">
        <v>2420000</v>
      </c>
      <c r="E222" s="20" t="s">
        <v>429</v>
      </c>
      <c r="F222" s="20" t="s">
        <v>430</v>
      </c>
      <c r="G222" s="8" t="str">
        <f t="shared" si="6"/>
        <v>HOLCOMB KAMDEN</v>
      </c>
      <c r="H222" s="20" t="str">
        <f t="shared" si="7"/>
        <v>4008</v>
      </c>
    </row>
    <row r="223" spans="1:8" x14ac:dyDescent="0.3">
      <c r="A223" s="8">
        <v>43033.823645833334</v>
      </c>
      <c r="B223" s="20" t="s">
        <v>622</v>
      </c>
      <c r="C223" s="20" t="s">
        <v>843</v>
      </c>
      <c r="D223" s="138">
        <v>3320000</v>
      </c>
      <c r="E223" s="20" t="s">
        <v>450</v>
      </c>
      <c r="F223" s="20" t="s">
        <v>451</v>
      </c>
      <c r="G223" s="8" t="str">
        <f t="shared" si="6"/>
        <v>NICHOLSON WESLEY</v>
      </c>
      <c r="H223" s="20" t="str">
        <f t="shared" si="7"/>
        <v>4029</v>
      </c>
    </row>
    <row r="224" spans="1:8" x14ac:dyDescent="0.3">
      <c r="A224" s="8">
        <v>43033.832800925928</v>
      </c>
      <c r="B224" t="s">
        <v>417</v>
      </c>
      <c r="C224" t="s">
        <v>844</v>
      </c>
      <c r="D224" s="138">
        <v>890000</v>
      </c>
      <c r="E224" t="s">
        <v>357</v>
      </c>
      <c r="F224" s="20" t="s">
        <v>358</v>
      </c>
      <c r="G224" s="8" t="str">
        <f t="shared" si="6"/>
        <v>LOZA FIDEL</v>
      </c>
      <c r="H224" s="20" t="str">
        <f t="shared" si="7"/>
        <v>4018</v>
      </c>
    </row>
    <row r="225" spans="1:8" x14ac:dyDescent="0.3">
      <c r="A225" s="8">
        <v>43033.836793981478</v>
      </c>
      <c r="B225" t="s">
        <v>630</v>
      </c>
      <c r="C225" t="s">
        <v>845</v>
      </c>
      <c r="D225" s="138">
        <v>1180000</v>
      </c>
      <c r="E225" t="s">
        <v>408</v>
      </c>
      <c r="F225" s="20" t="s">
        <v>409</v>
      </c>
      <c r="G225" s="8" t="str">
        <f t="shared" si="6"/>
        <v>LEVERE CRAIG</v>
      </c>
      <c r="H225" s="20" t="str">
        <f t="shared" si="7"/>
        <v>4052</v>
      </c>
    </row>
    <row r="226" spans="1:8" x14ac:dyDescent="0.3">
      <c r="A226" s="8">
        <v>43033.848692129628</v>
      </c>
      <c r="B226" t="s">
        <v>525</v>
      </c>
      <c r="C226" t="s">
        <v>661</v>
      </c>
      <c r="D226" s="138">
        <v>2680000</v>
      </c>
      <c r="E226" t="s">
        <v>362</v>
      </c>
      <c r="F226" s="20" t="s">
        <v>363</v>
      </c>
      <c r="G226" s="8" t="str">
        <f t="shared" si="6"/>
        <v>DUNCAN SHEILA</v>
      </c>
      <c r="H226" s="20" t="str">
        <f t="shared" si="7"/>
        <v>4049</v>
      </c>
    </row>
    <row r="227" spans="1:8" x14ac:dyDescent="0.3">
      <c r="A227" s="8">
        <v>43033.852418981478</v>
      </c>
      <c r="B227" t="s">
        <v>558</v>
      </c>
      <c r="C227" t="s">
        <v>846</v>
      </c>
      <c r="D227" s="138">
        <v>3310000</v>
      </c>
      <c r="E227" t="s">
        <v>374</v>
      </c>
      <c r="F227" s="20" t="s">
        <v>375</v>
      </c>
      <c r="G227" s="8" t="str">
        <f t="shared" si="6"/>
        <v>ANDERS STEVEN</v>
      </c>
      <c r="H227" s="20" t="str">
        <f t="shared" si="7"/>
        <v>4036</v>
      </c>
    </row>
    <row r="228" spans="1:8" x14ac:dyDescent="0.3">
      <c r="A228" s="8">
        <v>43033.853159722225</v>
      </c>
      <c r="B228" t="s">
        <v>644</v>
      </c>
      <c r="C228" t="s">
        <v>847</v>
      </c>
      <c r="D228" s="138">
        <v>1180000</v>
      </c>
      <c r="E228" t="s">
        <v>408</v>
      </c>
      <c r="F228" s="20" t="s">
        <v>409</v>
      </c>
      <c r="G228" s="8" t="str">
        <f t="shared" si="6"/>
        <v>LEVERE CRAIG</v>
      </c>
      <c r="H228" s="20" t="str">
        <f t="shared" si="7"/>
        <v>4051</v>
      </c>
    </row>
    <row r="229" spans="1:8" x14ac:dyDescent="0.3">
      <c r="A229" s="8">
        <v>43033.864768518521</v>
      </c>
      <c r="B229" t="s">
        <v>637</v>
      </c>
      <c r="C229" t="s">
        <v>848</v>
      </c>
      <c r="D229" s="138">
        <v>3320000</v>
      </c>
      <c r="E229" t="s">
        <v>450</v>
      </c>
      <c r="F229" s="20" t="s">
        <v>451</v>
      </c>
      <c r="G229" s="8" t="str">
        <f t="shared" si="6"/>
        <v>NICHOLSON WESLEY</v>
      </c>
      <c r="H229" s="20" t="str">
        <f t="shared" si="7"/>
        <v>4030</v>
      </c>
    </row>
    <row r="230" spans="1:8" x14ac:dyDescent="0.3">
      <c r="A230" s="8">
        <v>43033.872037037036</v>
      </c>
      <c r="B230" t="s">
        <v>421</v>
      </c>
      <c r="C230" t="s">
        <v>849</v>
      </c>
      <c r="D230" s="138">
        <v>890000</v>
      </c>
      <c r="E230" t="s">
        <v>357</v>
      </c>
      <c r="F230" s="20" t="s">
        <v>358</v>
      </c>
      <c r="G230" s="8" t="str">
        <f t="shared" si="6"/>
        <v>LOZA FIDEL</v>
      </c>
      <c r="H230" s="20" t="str">
        <f t="shared" si="7"/>
        <v>4017</v>
      </c>
    </row>
    <row r="231" spans="1:8" x14ac:dyDescent="0.3">
      <c r="A231" s="8">
        <v>43033.876099537039</v>
      </c>
      <c r="B231" t="s">
        <v>630</v>
      </c>
      <c r="C231" t="s">
        <v>850</v>
      </c>
      <c r="D231" s="138">
        <v>2000000</v>
      </c>
      <c r="E231" t="s">
        <v>366</v>
      </c>
      <c r="F231" s="20" t="s">
        <v>359</v>
      </c>
      <c r="G231" s="8" t="str">
        <f t="shared" si="6"/>
        <v>STAMBAUGH JAMES</v>
      </c>
      <c r="H231" s="20" t="str">
        <f t="shared" si="7"/>
        <v>4052</v>
      </c>
    </row>
    <row r="232" spans="1:8" x14ac:dyDescent="0.3">
      <c r="A232" s="8">
        <v>43033.882372685184</v>
      </c>
      <c r="B232" t="s">
        <v>509</v>
      </c>
      <c r="C232" t="s">
        <v>851</v>
      </c>
      <c r="D232" s="138">
        <v>2680000</v>
      </c>
      <c r="E232" t="s">
        <v>362</v>
      </c>
      <c r="F232" s="20" t="s">
        <v>363</v>
      </c>
      <c r="G232" s="8" t="str">
        <f t="shared" si="6"/>
        <v>DUNCAN SHEILA</v>
      </c>
      <c r="H232" s="20" t="str">
        <f t="shared" si="7"/>
        <v>4050</v>
      </c>
    </row>
    <row r="233" spans="1:8" x14ac:dyDescent="0.3">
      <c r="A233" s="8">
        <v>43033.883252314816</v>
      </c>
      <c r="B233" t="s">
        <v>564</v>
      </c>
      <c r="C233" t="s">
        <v>852</v>
      </c>
      <c r="D233" s="138">
        <v>3310000</v>
      </c>
      <c r="E233" t="s">
        <v>374</v>
      </c>
      <c r="F233" s="20" t="s">
        <v>375</v>
      </c>
      <c r="G233" s="8" t="str">
        <f t="shared" si="6"/>
        <v>ANDERS STEVEN</v>
      </c>
      <c r="H233" s="20" t="str">
        <f t="shared" si="7"/>
        <v>4035</v>
      </c>
    </row>
    <row r="234" spans="1:8" x14ac:dyDescent="0.3">
      <c r="A234" s="8">
        <v>43033.891863425924</v>
      </c>
      <c r="B234" t="s">
        <v>644</v>
      </c>
      <c r="C234" t="s">
        <v>853</v>
      </c>
      <c r="D234" s="138">
        <v>2000000</v>
      </c>
      <c r="E234" t="s">
        <v>366</v>
      </c>
      <c r="F234" s="20" t="s">
        <v>359</v>
      </c>
      <c r="G234" s="8" t="str">
        <f t="shared" si="6"/>
        <v>STAMBAUGH JAMES</v>
      </c>
      <c r="H234" s="20" t="str">
        <f t="shared" si="7"/>
        <v>4051</v>
      </c>
    </row>
    <row r="235" spans="1:8" x14ac:dyDescent="0.3">
      <c r="A235" s="8">
        <v>43033.902222222219</v>
      </c>
      <c r="B235" t="s">
        <v>417</v>
      </c>
      <c r="C235" t="s">
        <v>854</v>
      </c>
      <c r="D235" s="138">
        <v>890000</v>
      </c>
      <c r="E235" t="s">
        <v>357</v>
      </c>
      <c r="F235" s="20" t="s">
        <v>358</v>
      </c>
      <c r="G235" s="8" t="str">
        <f t="shared" si="6"/>
        <v>LOZA FIDEL</v>
      </c>
      <c r="H235" s="20" t="str">
        <f t="shared" si="7"/>
        <v>4018</v>
      </c>
    </row>
    <row r="236" spans="1:8" x14ac:dyDescent="0.3">
      <c r="A236" s="8">
        <v>43033.90384259259</v>
      </c>
      <c r="B236" t="s">
        <v>622</v>
      </c>
      <c r="C236" t="s">
        <v>855</v>
      </c>
      <c r="D236" s="138">
        <v>3320000</v>
      </c>
      <c r="E236" t="s">
        <v>450</v>
      </c>
      <c r="F236" s="20" t="s">
        <v>451</v>
      </c>
      <c r="G236" s="8" t="str">
        <f t="shared" si="6"/>
        <v>NICHOLSON WESLEY</v>
      </c>
      <c r="H236" s="20" t="str">
        <f t="shared" si="7"/>
        <v>4029</v>
      </c>
    </row>
    <row r="237" spans="1:8" x14ac:dyDescent="0.3">
      <c r="A237" s="8">
        <v>43033.9218287037</v>
      </c>
      <c r="B237" t="s">
        <v>630</v>
      </c>
      <c r="C237" t="s">
        <v>856</v>
      </c>
      <c r="D237" s="138">
        <v>2000000</v>
      </c>
      <c r="E237" t="s">
        <v>366</v>
      </c>
      <c r="F237" s="20" t="s">
        <v>359</v>
      </c>
      <c r="G237" s="8" t="str">
        <f t="shared" si="6"/>
        <v>STAMBAUGH JAMES</v>
      </c>
      <c r="H237" s="20" t="str">
        <f t="shared" si="7"/>
        <v>4052</v>
      </c>
    </row>
    <row r="238" spans="1:8" x14ac:dyDescent="0.3">
      <c r="A238" s="8">
        <v>43033.924641203703</v>
      </c>
      <c r="B238" t="s">
        <v>525</v>
      </c>
      <c r="C238" t="s">
        <v>662</v>
      </c>
      <c r="D238" s="138">
        <v>2680000</v>
      </c>
      <c r="E238" t="s">
        <v>362</v>
      </c>
      <c r="F238" s="20" t="s">
        <v>363</v>
      </c>
      <c r="G238" s="8" t="str">
        <f t="shared" si="6"/>
        <v>DUNCAN SHEILA</v>
      </c>
      <c r="H238" s="20" t="str">
        <f t="shared" si="7"/>
        <v>4049</v>
      </c>
    </row>
    <row r="239" spans="1:8" x14ac:dyDescent="0.3">
      <c r="A239" s="8">
        <v>43033.933182870373</v>
      </c>
      <c r="B239" t="s">
        <v>644</v>
      </c>
      <c r="C239" t="s">
        <v>856</v>
      </c>
      <c r="D239" s="138">
        <v>2000000</v>
      </c>
      <c r="E239" t="s">
        <v>366</v>
      </c>
      <c r="F239" s="20" t="s">
        <v>359</v>
      </c>
      <c r="G239" s="8" t="str">
        <f t="shared" si="6"/>
        <v>STAMBAUGH JAMES</v>
      </c>
      <c r="H239" s="20" t="str">
        <f t="shared" si="7"/>
        <v>4051</v>
      </c>
    </row>
    <row r="240" spans="1:8" x14ac:dyDescent="0.3">
      <c r="A240" s="8">
        <v>43033.93377314815</v>
      </c>
      <c r="B240" t="s">
        <v>644</v>
      </c>
      <c r="C240" t="s">
        <v>857</v>
      </c>
      <c r="D240" s="138">
        <v>2000000</v>
      </c>
      <c r="E240" t="s">
        <v>366</v>
      </c>
      <c r="F240" s="20" t="s">
        <v>359</v>
      </c>
      <c r="G240" s="8" t="str">
        <f t="shared" si="6"/>
        <v>STAMBAUGH JAMES</v>
      </c>
      <c r="H240" s="20" t="str">
        <f t="shared" si="7"/>
        <v>4051</v>
      </c>
    </row>
    <row r="241" spans="1:8" x14ac:dyDescent="0.3">
      <c r="A241" s="8">
        <v>43033.935497685183</v>
      </c>
      <c r="B241" t="s">
        <v>558</v>
      </c>
      <c r="C241" t="s">
        <v>858</v>
      </c>
      <c r="D241" s="138">
        <v>3310000</v>
      </c>
      <c r="E241" t="s">
        <v>374</v>
      </c>
      <c r="F241" s="20" t="s">
        <v>375</v>
      </c>
      <c r="G241" s="8" t="str">
        <f t="shared" si="6"/>
        <v>ANDERS STEVEN</v>
      </c>
      <c r="H241" s="20" t="str">
        <f t="shared" si="7"/>
        <v>4036</v>
      </c>
    </row>
    <row r="242" spans="1:8" x14ac:dyDescent="0.3">
      <c r="A242" s="8">
        <v>43033.950462962966</v>
      </c>
      <c r="B242" t="s">
        <v>637</v>
      </c>
      <c r="C242" t="s">
        <v>859</v>
      </c>
      <c r="D242" s="138">
        <v>3320000</v>
      </c>
      <c r="E242" t="s">
        <v>450</v>
      </c>
      <c r="F242" s="20" t="s">
        <v>451</v>
      </c>
      <c r="G242" s="8" t="str">
        <f t="shared" si="6"/>
        <v>NICHOLSON WESLEY</v>
      </c>
      <c r="H242" s="20" t="str">
        <f t="shared" si="7"/>
        <v>4030</v>
      </c>
    </row>
    <row r="243" spans="1:8" x14ac:dyDescent="0.3">
      <c r="A243" s="8">
        <v>43033.953136574077</v>
      </c>
      <c r="B243" t="s">
        <v>421</v>
      </c>
      <c r="C243" t="s">
        <v>860</v>
      </c>
      <c r="D243" s="138">
        <v>890000</v>
      </c>
      <c r="E243" t="s">
        <v>357</v>
      </c>
      <c r="F243" s="20" t="s">
        <v>358</v>
      </c>
      <c r="G243" s="8" t="str">
        <f t="shared" si="6"/>
        <v>LOZA FIDEL</v>
      </c>
      <c r="H243" s="20" t="str">
        <f t="shared" si="7"/>
        <v>4017</v>
      </c>
    </row>
    <row r="244" spans="1:8" x14ac:dyDescent="0.3">
      <c r="A244" s="8">
        <v>43033.963449074072</v>
      </c>
      <c r="B244" t="s">
        <v>630</v>
      </c>
      <c r="C244" t="s">
        <v>861</v>
      </c>
      <c r="D244" s="138">
        <v>2000000</v>
      </c>
      <c r="E244" t="s">
        <v>366</v>
      </c>
      <c r="F244" s="20" t="s">
        <v>359</v>
      </c>
      <c r="G244" s="8" t="str">
        <f t="shared" si="6"/>
        <v>STAMBAUGH JAMES</v>
      </c>
      <c r="H244" s="20" t="str">
        <f t="shared" si="7"/>
        <v>4052</v>
      </c>
    </row>
    <row r="245" spans="1:8" x14ac:dyDescent="0.3">
      <c r="A245" s="8">
        <v>43033.966053240743</v>
      </c>
      <c r="B245" t="s">
        <v>509</v>
      </c>
      <c r="C245" t="s">
        <v>862</v>
      </c>
      <c r="D245" s="138">
        <v>2540000</v>
      </c>
      <c r="E245" t="s">
        <v>384</v>
      </c>
      <c r="F245" s="20" t="s">
        <v>385</v>
      </c>
      <c r="G245" s="8" t="str">
        <f t="shared" si="6"/>
        <v>MCREYNOLDS KYLE</v>
      </c>
      <c r="H245" s="20" t="str">
        <f t="shared" si="7"/>
        <v>4050</v>
      </c>
    </row>
    <row r="246" spans="1:8" x14ac:dyDescent="0.3">
      <c r="A246" s="8">
        <v>43033.967800925922</v>
      </c>
      <c r="B246" t="s">
        <v>564</v>
      </c>
      <c r="C246" t="s">
        <v>863</v>
      </c>
      <c r="D246" s="138">
        <v>3310000</v>
      </c>
      <c r="E246" t="s">
        <v>374</v>
      </c>
      <c r="F246" s="20" t="s">
        <v>375</v>
      </c>
      <c r="G246" s="8" t="str">
        <f t="shared" si="6"/>
        <v>ANDERS STEVEN</v>
      </c>
      <c r="H246" s="20" t="str">
        <f t="shared" si="7"/>
        <v>4035</v>
      </c>
    </row>
    <row r="247" spans="1:8" x14ac:dyDescent="0.3">
      <c r="A247" s="8">
        <v>43033.97457175926</v>
      </c>
      <c r="B247" t="s">
        <v>644</v>
      </c>
      <c r="C247" t="s">
        <v>864</v>
      </c>
      <c r="D247" s="138">
        <v>2000000</v>
      </c>
      <c r="E247" t="s">
        <v>366</v>
      </c>
      <c r="F247" s="20" t="s">
        <v>359</v>
      </c>
      <c r="G247" s="8" t="str">
        <f t="shared" si="6"/>
        <v>STAMBAUGH JAMES</v>
      </c>
      <c r="H247" s="20" t="str">
        <f t="shared" si="7"/>
        <v>4051</v>
      </c>
    </row>
    <row r="248" spans="1:8" x14ac:dyDescent="0.3">
      <c r="A248" s="8">
        <v>43033.994618055556</v>
      </c>
      <c r="B248" t="s">
        <v>622</v>
      </c>
      <c r="C248" t="s">
        <v>865</v>
      </c>
      <c r="D248" s="138">
        <v>3320000</v>
      </c>
      <c r="E248" t="s">
        <v>450</v>
      </c>
      <c r="F248" s="20" t="s">
        <v>451</v>
      </c>
      <c r="G248" s="8" t="str">
        <f t="shared" si="6"/>
        <v>NICHOLSON WESLEY</v>
      </c>
      <c r="H248" s="20" t="str">
        <f t="shared" si="7"/>
        <v>4029</v>
      </c>
    </row>
    <row r="249" spans="1:8" x14ac:dyDescent="0.3">
      <c r="A249" s="8">
        <v>43033.99863425926</v>
      </c>
      <c r="B249" t="s">
        <v>417</v>
      </c>
      <c r="C249" t="s">
        <v>866</v>
      </c>
      <c r="D249" s="138">
        <v>890000</v>
      </c>
      <c r="E249" t="s">
        <v>357</v>
      </c>
      <c r="F249" s="20" t="s">
        <v>358</v>
      </c>
      <c r="G249" s="8" t="str">
        <f t="shared" si="6"/>
        <v>LOZA FIDEL</v>
      </c>
      <c r="H249" s="20" t="str">
        <f t="shared" si="7"/>
        <v>4018</v>
      </c>
    </row>
    <row r="250" spans="1:8" x14ac:dyDescent="0.3">
      <c r="A250" s="8">
        <v>43034.010648148149</v>
      </c>
      <c r="B250" t="s">
        <v>525</v>
      </c>
      <c r="C250" t="s">
        <v>867</v>
      </c>
      <c r="D250" s="138">
        <v>2540000</v>
      </c>
      <c r="E250" t="s">
        <v>384</v>
      </c>
      <c r="F250" s="20" t="s">
        <v>385</v>
      </c>
      <c r="G250" s="8" t="str">
        <f t="shared" si="6"/>
        <v>MCREYNOLDS KYLE</v>
      </c>
      <c r="H250" s="20" t="str">
        <f t="shared" si="7"/>
        <v>4049</v>
      </c>
    </row>
    <row r="251" spans="1:8" x14ac:dyDescent="0.3">
      <c r="A251" s="8">
        <v>43034.019097222219</v>
      </c>
      <c r="B251" t="s">
        <v>558</v>
      </c>
      <c r="C251" t="s">
        <v>868</v>
      </c>
      <c r="D251" s="138">
        <v>3310000</v>
      </c>
      <c r="E251" t="s">
        <v>374</v>
      </c>
      <c r="F251" s="20" t="s">
        <v>375</v>
      </c>
      <c r="G251" s="8" t="str">
        <f t="shared" si="6"/>
        <v>ANDERS STEVEN</v>
      </c>
      <c r="H251" s="20" t="str">
        <f t="shared" si="7"/>
        <v>4036</v>
      </c>
    </row>
    <row r="252" spans="1:8" x14ac:dyDescent="0.3">
      <c r="A252" s="8">
        <v>43034.028923611113</v>
      </c>
      <c r="B252" t="s">
        <v>637</v>
      </c>
      <c r="C252" t="s">
        <v>663</v>
      </c>
      <c r="D252" s="138">
        <v>3320000</v>
      </c>
      <c r="E252" t="s">
        <v>450</v>
      </c>
      <c r="F252" s="20" t="s">
        <v>451</v>
      </c>
      <c r="G252" s="8" t="str">
        <f t="shared" si="6"/>
        <v>NICHOLSON WESLEY</v>
      </c>
      <c r="H252" s="20" t="str">
        <f t="shared" si="7"/>
        <v>4030</v>
      </c>
    </row>
    <row r="253" spans="1:8" x14ac:dyDescent="0.3">
      <c r="A253" s="8">
        <v>43034.03800925926</v>
      </c>
      <c r="B253" t="s">
        <v>421</v>
      </c>
      <c r="C253" t="s">
        <v>869</v>
      </c>
      <c r="D253" s="138">
        <v>890000</v>
      </c>
      <c r="E253" t="s">
        <v>357</v>
      </c>
      <c r="F253" s="20" t="s">
        <v>358</v>
      </c>
      <c r="G253" s="8" t="str">
        <f t="shared" si="6"/>
        <v>LOZA FIDEL</v>
      </c>
      <c r="H253" s="20" t="str">
        <f t="shared" si="7"/>
        <v>4017</v>
      </c>
    </row>
    <row r="254" spans="1:8" x14ac:dyDescent="0.3">
      <c r="A254" s="8">
        <v>43034.048090277778</v>
      </c>
      <c r="B254" t="s">
        <v>564</v>
      </c>
      <c r="C254" t="s">
        <v>870</v>
      </c>
      <c r="D254" s="138">
        <v>3310000</v>
      </c>
      <c r="E254" t="s">
        <v>374</v>
      </c>
      <c r="F254" s="20" t="s">
        <v>375</v>
      </c>
      <c r="G254" s="8" t="str">
        <f t="shared" si="6"/>
        <v>ANDERS STEVEN</v>
      </c>
      <c r="H254" s="20" t="str">
        <f t="shared" si="7"/>
        <v>4035</v>
      </c>
    </row>
    <row r="255" spans="1:8" x14ac:dyDescent="0.3">
      <c r="A255" s="8">
        <v>43034.048842592594</v>
      </c>
      <c r="B255" t="s">
        <v>509</v>
      </c>
      <c r="C255" t="s">
        <v>871</v>
      </c>
      <c r="D255" s="138">
        <v>2440000</v>
      </c>
      <c r="E255" t="s">
        <v>477</v>
      </c>
      <c r="F255" s="20" t="s">
        <v>478</v>
      </c>
      <c r="G255" s="8" t="str">
        <f t="shared" si="6"/>
        <v>LOPES KIMBERLY</v>
      </c>
      <c r="H255" s="20" t="str">
        <f t="shared" si="7"/>
        <v>4050</v>
      </c>
    </row>
    <row r="256" spans="1:8" x14ac:dyDescent="0.3">
      <c r="A256" s="8">
        <v>43034.069826388892</v>
      </c>
      <c r="B256" t="s">
        <v>417</v>
      </c>
      <c r="C256" t="s">
        <v>872</v>
      </c>
      <c r="D256" s="138">
        <v>890000</v>
      </c>
      <c r="E256" t="s">
        <v>357</v>
      </c>
      <c r="F256" s="20" t="s">
        <v>358</v>
      </c>
      <c r="G256" s="8" t="str">
        <f t="shared" si="6"/>
        <v>LOZA FIDEL</v>
      </c>
      <c r="H256" s="20" t="str">
        <f t="shared" si="7"/>
        <v>4018</v>
      </c>
    </row>
    <row r="257" spans="1:8" x14ac:dyDescent="0.3">
      <c r="A257" s="8">
        <v>43034.089629629627</v>
      </c>
      <c r="B257" t="s">
        <v>558</v>
      </c>
      <c r="C257" t="s">
        <v>873</v>
      </c>
      <c r="D257" s="138">
        <v>3310000</v>
      </c>
      <c r="E257" t="s">
        <v>374</v>
      </c>
      <c r="F257" s="20" t="s">
        <v>375</v>
      </c>
      <c r="G257" s="8" t="str">
        <f t="shared" si="6"/>
        <v>ANDERS STEVEN</v>
      </c>
      <c r="H257" s="20" t="str">
        <f t="shared" si="7"/>
        <v>4036</v>
      </c>
    </row>
    <row r="258" spans="1:8" x14ac:dyDescent="0.3">
      <c r="A258" s="8">
        <v>43034.113923611112</v>
      </c>
      <c r="B258" t="s">
        <v>441</v>
      </c>
      <c r="C258" t="s">
        <v>874</v>
      </c>
      <c r="D258" s="138">
        <v>1830000</v>
      </c>
      <c r="E258" t="s">
        <v>369</v>
      </c>
      <c r="F258" s="20" t="s">
        <v>370</v>
      </c>
      <c r="G258" s="8" t="str">
        <f t="shared" si="6"/>
        <v>YORK EDGAR</v>
      </c>
      <c r="H258" s="20" t="str">
        <f t="shared" si="7"/>
        <v>4023</v>
      </c>
    </row>
    <row r="259" spans="1:8" x14ac:dyDescent="0.3">
      <c r="A259" s="8">
        <v>43027.773113425923</v>
      </c>
      <c r="B259" t="s">
        <v>440</v>
      </c>
      <c r="C259" t="s">
        <v>454</v>
      </c>
      <c r="D259" s="138">
        <v>3280000</v>
      </c>
      <c r="E259" t="s">
        <v>414</v>
      </c>
      <c r="F259" s="20" t="s">
        <v>415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418</v>
      </c>
      <c r="C260" t="s">
        <v>455</v>
      </c>
      <c r="D260" s="138">
        <v>890000</v>
      </c>
      <c r="E260" t="s">
        <v>357</v>
      </c>
      <c r="F260" s="20" t="s">
        <v>358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445</v>
      </c>
      <c r="C261" t="s">
        <v>456</v>
      </c>
      <c r="D261" s="138">
        <v>1300000</v>
      </c>
      <c r="E261" t="s">
        <v>410</v>
      </c>
      <c r="F261" s="20" t="s">
        <v>411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383</v>
      </c>
      <c r="C262" t="s">
        <v>443</v>
      </c>
      <c r="D262" s="138">
        <v>2420000</v>
      </c>
      <c r="E262" t="s">
        <v>429</v>
      </c>
      <c r="F262" s="20" t="s">
        <v>430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442</v>
      </c>
      <c r="C263" t="s">
        <v>457</v>
      </c>
      <c r="D263" s="138">
        <v>3340000</v>
      </c>
      <c r="E263" t="s">
        <v>452</v>
      </c>
      <c r="F263" s="20" t="s">
        <v>453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402</v>
      </c>
      <c r="C264" t="s">
        <v>458</v>
      </c>
      <c r="D264" s="138">
        <v>1360000</v>
      </c>
      <c r="E264" t="s">
        <v>459</v>
      </c>
      <c r="F264" s="20" t="s">
        <v>460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441</v>
      </c>
      <c r="C265" t="s">
        <v>461</v>
      </c>
      <c r="D265" s="138">
        <v>3280000</v>
      </c>
      <c r="E265" t="s">
        <v>414</v>
      </c>
      <c r="F265" s="20" t="s">
        <v>415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424</v>
      </c>
      <c r="C266" t="s">
        <v>462</v>
      </c>
      <c r="D266" s="138">
        <v>2600000</v>
      </c>
      <c r="E266" t="s">
        <v>463</v>
      </c>
      <c r="F266" s="20" t="s">
        <v>447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424</v>
      </c>
      <c r="C267" t="s">
        <v>462</v>
      </c>
      <c r="D267" s="138">
        <v>2600000</v>
      </c>
      <c r="E267" t="s">
        <v>463</v>
      </c>
      <c r="F267" s="20" t="s">
        <v>447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424</v>
      </c>
      <c r="C268" t="s">
        <v>464</v>
      </c>
      <c r="D268" s="138">
        <v>2600000</v>
      </c>
      <c r="E268" t="s">
        <v>463</v>
      </c>
      <c r="F268" s="20" t="s">
        <v>447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446</v>
      </c>
      <c r="C269" t="s">
        <v>465</v>
      </c>
      <c r="D269" s="138">
        <v>1180000</v>
      </c>
      <c r="E269" t="s">
        <v>408</v>
      </c>
      <c r="F269" s="20" t="s">
        <v>409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383</v>
      </c>
      <c r="C270" t="s">
        <v>443</v>
      </c>
      <c r="D270" s="138">
        <v>2420000</v>
      </c>
      <c r="E270" t="s">
        <v>429</v>
      </c>
      <c r="F270" s="20" t="s">
        <v>430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421</v>
      </c>
      <c r="C271" t="s">
        <v>466</v>
      </c>
      <c r="D271" s="138">
        <v>2540000</v>
      </c>
      <c r="E271" t="s">
        <v>384</v>
      </c>
      <c r="F271" s="20" t="s">
        <v>385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423</v>
      </c>
      <c r="C272" t="s">
        <v>462</v>
      </c>
      <c r="D272" s="138">
        <v>2600000</v>
      </c>
      <c r="E272" t="s">
        <v>463</v>
      </c>
      <c r="F272" s="20" t="s">
        <v>447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426</v>
      </c>
      <c r="C273" t="s">
        <v>467</v>
      </c>
      <c r="D273" s="138">
        <v>890000</v>
      </c>
      <c r="E273" t="s">
        <v>357</v>
      </c>
      <c r="F273" s="20" t="s">
        <v>358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419</v>
      </c>
      <c r="C274" t="s">
        <v>468</v>
      </c>
      <c r="D274" s="138">
        <v>1360000</v>
      </c>
      <c r="E274" t="s">
        <v>459</v>
      </c>
      <c r="F274" s="20" t="s">
        <v>460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382</v>
      </c>
      <c r="C275" t="s">
        <v>469</v>
      </c>
      <c r="D275" s="138">
        <v>2420000</v>
      </c>
      <c r="E275" t="s">
        <v>429</v>
      </c>
      <c r="F275" s="20" t="s">
        <v>430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407</v>
      </c>
      <c r="C276" t="s">
        <v>449</v>
      </c>
      <c r="D276" s="138">
        <v>3320000</v>
      </c>
      <c r="E276" t="s">
        <v>450</v>
      </c>
      <c r="F276" s="20" t="s">
        <v>451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439</v>
      </c>
      <c r="C277" t="s">
        <v>470</v>
      </c>
      <c r="D277" s="138">
        <v>3340000</v>
      </c>
      <c r="E277" t="s">
        <v>452</v>
      </c>
      <c r="F277" s="20" t="s">
        <v>453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406</v>
      </c>
      <c r="C278" t="s">
        <v>449</v>
      </c>
      <c r="D278" s="138">
        <v>3320000</v>
      </c>
      <c r="E278" t="s">
        <v>450</v>
      </c>
      <c r="F278" s="20" t="s">
        <v>451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424</v>
      </c>
      <c r="C279" t="s">
        <v>471</v>
      </c>
      <c r="D279" s="138">
        <v>3130000</v>
      </c>
      <c r="E279" t="s">
        <v>431</v>
      </c>
      <c r="F279" s="20" t="s">
        <v>432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418</v>
      </c>
      <c r="C280" t="s">
        <v>472</v>
      </c>
      <c r="D280" s="138">
        <v>890000</v>
      </c>
      <c r="E280" t="s">
        <v>357</v>
      </c>
      <c r="F280" s="20" t="s">
        <v>358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407</v>
      </c>
      <c r="C281" t="s">
        <v>473</v>
      </c>
      <c r="D281" s="138">
        <v>2540000</v>
      </c>
      <c r="E281" t="s">
        <v>384</v>
      </c>
      <c r="F281" s="20" t="s">
        <v>385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423</v>
      </c>
      <c r="C282" t="s">
        <v>474</v>
      </c>
      <c r="D282" s="138">
        <v>3130000</v>
      </c>
      <c r="E282" t="s">
        <v>431</v>
      </c>
      <c r="F282" s="20" t="s">
        <v>432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442</v>
      </c>
      <c r="C283" t="s">
        <v>444</v>
      </c>
      <c r="D283" s="138">
        <v>3340000</v>
      </c>
      <c r="E283" t="s">
        <v>452</v>
      </c>
      <c r="F283" s="20" t="s">
        <v>453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402</v>
      </c>
      <c r="C284" t="s">
        <v>475</v>
      </c>
      <c r="D284" s="138">
        <v>3310000</v>
      </c>
      <c r="E284" t="s">
        <v>374</v>
      </c>
      <c r="F284" s="20" t="s">
        <v>375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424</v>
      </c>
      <c r="C285" t="s">
        <v>476</v>
      </c>
      <c r="D285" s="138">
        <v>2440000</v>
      </c>
      <c r="E285" t="s">
        <v>477</v>
      </c>
      <c r="F285" s="20" t="s">
        <v>478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426</v>
      </c>
      <c r="C286" t="s">
        <v>479</v>
      </c>
      <c r="D286" s="138">
        <v>3320000</v>
      </c>
      <c r="E286" t="s">
        <v>450</v>
      </c>
      <c r="F286" s="20" t="s">
        <v>451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406</v>
      </c>
      <c r="C287" t="s">
        <v>480</v>
      </c>
      <c r="D287" s="138">
        <v>2540000</v>
      </c>
      <c r="E287" t="s">
        <v>384</v>
      </c>
      <c r="F287" s="20" t="s">
        <v>385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423</v>
      </c>
      <c r="C288" t="s">
        <v>481</v>
      </c>
      <c r="D288" s="138">
        <v>2440000</v>
      </c>
      <c r="E288" t="s">
        <v>477</v>
      </c>
      <c r="F288" s="20" t="s">
        <v>478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439</v>
      </c>
      <c r="C289" t="s">
        <v>482</v>
      </c>
      <c r="D289" s="138">
        <v>3340000</v>
      </c>
      <c r="E289" t="s">
        <v>452</v>
      </c>
      <c r="F289" s="20" t="s">
        <v>453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417</v>
      </c>
      <c r="C290" t="s">
        <v>449</v>
      </c>
      <c r="D290" s="138">
        <v>2600000</v>
      </c>
      <c r="E290" t="s">
        <v>463</v>
      </c>
      <c r="F290" s="20" t="s">
        <v>447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421</v>
      </c>
      <c r="C291" t="s">
        <v>449</v>
      </c>
      <c r="D291" s="138">
        <v>2600000</v>
      </c>
      <c r="E291" t="s">
        <v>463</v>
      </c>
      <c r="F291" s="20" t="s">
        <v>447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419</v>
      </c>
      <c r="C292" t="s">
        <v>483</v>
      </c>
      <c r="D292" s="138">
        <v>3310000</v>
      </c>
      <c r="E292" t="s">
        <v>374</v>
      </c>
      <c r="F292" s="20" t="s">
        <v>375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424</v>
      </c>
      <c r="C293" t="s">
        <v>484</v>
      </c>
      <c r="D293" s="138">
        <v>3280000</v>
      </c>
      <c r="E293" t="s">
        <v>414</v>
      </c>
      <c r="F293" s="20" t="s">
        <v>415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418</v>
      </c>
      <c r="C294" t="s">
        <v>485</v>
      </c>
      <c r="D294" s="138">
        <v>3320000</v>
      </c>
      <c r="E294" t="s">
        <v>450</v>
      </c>
      <c r="F294" s="20" t="s">
        <v>451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417</v>
      </c>
      <c r="C295" t="s">
        <v>486</v>
      </c>
      <c r="D295" s="138">
        <v>2540000</v>
      </c>
      <c r="E295" t="s">
        <v>384</v>
      </c>
      <c r="F295" s="20" t="s">
        <v>385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423</v>
      </c>
      <c r="C296" t="s">
        <v>487</v>
      </c>
      <c r="D296" s="138">
        <v>3280000</v>
      </c>
      <c r="E296" t="s">
        <v>414</v>
      </c>
      <c r="F296" s="20" t="s">
        <v>415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442</v>
      </c>
      <c r="C297" t="s">
        <v>488</v>
      </c>
      <c r="D297" s="138">
        <v>3340000</v>
      </c>
      <c r="E297" t="s">
        <v>452</v>
      </c>
      <c r="F297" s="20" t="s">
        <v>453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402</v>
      </c>
      <c r="C298" t="s">
        <v>489</v>
      </c>
      <c r="D298" s="138">
        <v>3310000</v>
      </c>
      <c r="E298" t="s">
        <v>374</v>
      </c>
      <c r="F298" s="20" t="s">
        <v>375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424</v>
      </c>
      <c r="C299" t="s">
        <v>490</v>
      </c>
      <c r="D299" s="138">
        <v>3280000</v>
      </c>
      <c r="E299" t="s">
        <v>414</v>
      </c>
      <c r="F299" s="20" t="s">
        <v>415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421</v>
      </c>
      <c r="C300" t="s">
        <v>491</v>
      </c>
      <c r="D300" s="138">
        <v>2540000</v>
      </c>
      <c r="E300" t="s">
        <v>384</v>
      </c>
      <c r="F300" s="20" t="s">
        <v>385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423</v>
      </c>
      <c r="C301" t="s">
        <v>492</v>
      </c>
      <c r="D301" s="138">
        <v>3280000</v>
      </c>
      <c r="E301" t="s">
        <v>414</v>
      </c>
      <c r="F301" s="20" t="s">
        <v>415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426</v>
      </c>
      <c r="C302" t="s">
        <v>493</v>
      </c>
      <c r="D302" s="138">
        <v>890000</v>
      </c>
      <c r="E302" t="s">
        <v>357</v>
      </c>
      <c r="F302" s="20" t="s">
        <v>358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439</v>
      </c>
      <c r="C303" t="s">
        <v>494</v>
      </c>
      <c r="D303" s="138">
        <v>3340000</v>
      </c>
      <c r="E303" t="s">
        <v>452</v>
      </c>
      <c r="F303" s="20" t="s">
        <v>453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419</v>
      </c>
      <c r="C304" t="s">
        <v>495</v>
      </c>
      <c r="D304" s="138">
        <v>3310000</v>
      </c>
      <c r="E304" t="s">
        <v>374</v>
      </c>
      <c r="F304" s="20" t="s">
        <v>375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417</v>
      </c>
      <c r="C305" t="s">
        <v>496</v>
      </c>
      <c r="D305" s="138">
        <v>2540000</v>
      </c>
      <c r="E305" t="s">
        <v>384</v>
      </c>
      <c r="F305" s="20" t="s">
        <v>385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418</v>
      </c>
      <c r="C306" t="s">
        <v>497</v>
      </c>
      <c r="D306" s="138">
        <v>890000</v>
      </c>
      <c r="E306" t="s">
        <v>357</v>
      </c>
      <c r="F306" s="20" t="s">
        <v>358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402</v>
      </c>
      <c r="C307" t="s">
        <v>498</v>
      </c>
      <c r="D307" s="138">
        <v>3310000</v>
      </c>
      <c r="E307" t="s">
        <v>374</v>
      </c>
      <c r="F307" s="20" t="s">
        <v>375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442</v>
      </c>
      <c r="C308" t="s">
        <v>499</v>
      </c>
      <c r="D308" s="138">
        <v>3340000</v>
      </c>
      <c r="E308" t="s">
        <v>452</v>
      </c>
      <c r="F308" s="20" t="s">
        <v>453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426</v>
      </c>
      <c r="C309" t="s">
        <v>500</v>
      </c>
      <c r="D309" s="138">
        <v>890000</v>
      </c>
      <c r="E309" t="s">
        <v>357</v>
      </c>
      <c r="F309" s="20" t="s">
        <v>358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421</v>
      </c>
      <c r="C310" t="s">
        <v>501</v>
      </c>
      <c r="D310" s="138">
        <v>2540000</v>
      </c>
      <c r="E310" t="s">
        <v>384</v>
      </c>
      <c r="F310" s="20" t="s">
        <v>385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439</v>
      </c>
      <c r="C311" t="s">
        <v>502</v>
      </c>
      <c r="D311" s="138">
        <v>3340000</v>
      </c>
      <c r="E311" t="s">
        <v>452</v>
      </c>
      <c r="F311" s="20" t="s">
        <v>453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417</v>
      </c>
      <c r="C312" t="s">
        <v>503</v>
      </c>
      <c r="D312" s="138">
        <v>2540000</v>
      </c>
      <c r="E312" t="s">
        <v>384</v>
      </c>
      <c r="F312" s="20" t="s">
        <v>385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378</v>
      </c>
      <c r="C313" t="s">
        <v>504</v>
      </c>
      <c r="D313" s="138">
        <v>1830000</v>
      </c>
      <c r="E313" t="s">
        <v>369</v>
      </c>
      <c r="F313" s="20" t="s">
        <v>370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2" workbookViewId="0">
      <selection sqref="A1:S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875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342</v>
      </c>
      <c r="P1" s="218" t="s">
        <v>154</v>
      </c>
      <c r="Q1" s="218" t="s">
        <v>161</v>
      </c>
      <c r="R1" s="218" t="s">
        <v>343</v>
      </c>
      <c r="S1" s="218" t="s">
        <v>158</v>
      </c>
      <c r="T1"/>
    </row>
    <row r="2" spans="1:20" x14ac:dyDescent="0.3">
      <c r="A2" s="196">
        <v>44.62</v>
      </c>
      <c r="B2" s="196">
        <v>0</v>
      </c>
      <c r="C2" s="196">
        <v>24.97</v>
      </c>
      <c r="D2" s="8">
        <v>43033</v>
      </c>
      <c r="E2" s="196">
        <v>0.46</v>
      </c>
      <c r="F2" s="196" t="s">
        <v>380</v>
      </c>
      <c r="G2" s="196">
        <v>252.34</v>
      </c>
      <c r="H2" s="196">
        <v>0</v>
      </c>
      <c r="I2" s="196">
        <v>0</v>
      </c>
      <c r="J2" s="196"/>
      <c r="K2" s="196">
        <v>1026.01</v>
      </c>
      <c r="L2" s="196" t="s">
        <v>381</v>
      </c>
      <c r="M2" s="196">
        <v>44.62</v>
      </c>
      <c r="N2" s="196">
        <v>1508911200</v>
      </c>
      <c r="O2" s="196">
        <v>0</v>
      </c>
      <c r="P2" s="196">
        <v>3.52</v>
      </c>
      <c r="Q2" s="196">
        <v>198</v>
      </c>
      <c r="R2" s="196">
        <v>4.42</v>
      </c>
      <c r="S2" s="196">
        <v>1.94</v>
      </c>
      <c r="T2"/>
    </row>
    <row r="3" spans="1:20" x14ac:dyDescent="0.3">
      <c r="A3" s="196">
        <v>44.81</v>
      </c>
      <c r="B3" s="196">
        <v>0</v>
      </c>
      <c r="C3" s="196">
        <v>24.55</v>
      </c>
      <c r="D3" s="8">
        <v>43033.041666666664</v>
      </c>
      <c r="E3" s="196">
        <v>0.45</v>
      </c>
      <c r="F3" s="196" t="s">
        <v>380</v>
      </c>
      <c r="G3" s="196">
        <v>252.35</v>
      </c>
      <c r="H3" s="196">
        <v>0</v>
      </c>
      <c r="I3" s="196">
        <v>0</v>
      </c>
      <c r="J3" s="196"/>
      <c r="K3" s="196">
        <v>1025.21</v>
      </c>
      <c r="L3" s="196" t="s">
        <v>381</v>
      </c>
      <c r="M3" s="196">
        <v>44.81</v>
      </c>
      <c r="N3" s="196">
        <v>1508914800</v>
      </c>
      <c r="O3" s="196">
        <v>0</v>
      </c>
      <c r="P3" s="196">
        <v>3.14</v>
      </c>
      <c r="Q3" s="196">
        <v>178</v>
      </c>
      <c r="R3" s="196">
        <v>5.49</v>
      </c>
      <c r="S3" s="196">
        <v>2.39</v>
      </c>
      <c r="T3"/>
    </row>
    <row r="4" spans="1:20" x14ac:dyDescent="0.3">
      <c r="A4" s="196">
        <v>44.1</v>
      </c>
      <c r="B4" s="196">
        <v>0</v>
      </c>
      <c r="C4" s="196">
        <v>24.23</v>
      </c>
      <c r="D4" s="8">
        <v>43033.083333333336</v>
      </c>
      <c r="E4" s="196">
        <v>0.45</v>
      </c>
      <c r="F4" s="196" t="s">
        <v>380</v>
      </c>
      <c r="G4" s="196">
        <v>252.49</v>
      </c>
      <c r="H4" s="196">
        <v>0</v>
      </c>
      <c r="I4" s="196">
        <v>0</v>
      </c>
      <c r="J4" s="196"/>
      <c r="K4" s="196">
        <v>1024.43</v>
      </c>
      <c r="L4" s="196" t="s">
        <v>381</v>
      </c>
      <c r="M4" s="196">
        <v>44.1</v>
      </c>
      <c r="N4" s="196">
        <v>1508918400</v>
      </c>
      <c r="O4" s="196">
        <v>0</v>
      </c>
      <c r="P4" s="196">
        <v>2.84</v>
      </c>
      <c r="Q4" s="196">
        <v>187</v>
      </c>
      <c r="R4" s="196">
        <v>5.12</v>
      </c>
      <c r="S4" s="196">
        <v>2.37</v>
      </c>
      <c r="T4"/>
    </row>
    <row r="5" spans="1:20" x14ac:dyDescent="0.3">
      <c r="A5" s="196">
        <v>44.43</v>
      </c>
      <c r="B5" s="196">
        <v>0.02</v>
      </c>
      <c r="C5" s="196">
        <v>23.55</v>
      </c>
      <c r="D5" s="8">
        <v>43033.125</v>
      </c>
      <c r="E5" s="196">
        <v>0.43</v>
      </c>
      <c r="F5" s="196" t="s">
        <v>380</v>
      </c>
      <c r="G5" s="196">
        <v>252.75</v>
      </c>
      <c r="H5" s="196">
        <v>0</v>
      </c>
      <c r="I5" s="196">
        <v>0</v>
      </c>
      <c r="J5" s="196"/>
      <c r="K5" s="196">
        <v>1023.99</v>
      </c>
      <c r="L5" s="196" t="s">
        <v>381</v>
      </c>
      <c r="M5" s="196">
        <v>44.43</v>
      </c>
      <c r="N5" s="196">
        <v>1508922000</v>
      </c>
      <c r="O5" s="196">
        <v>0</v>
      </c>
      <c r="P5" s="196">
        <v>3.35</v>
      </c>
      <c r="Q5" s="196">
        <v>192</v>
      </c>
      <c r="R5" s="196">
        <v>5.6</v>
      </c>
      <c r="S5" s="196">
        <v>2.34</v>
      </c>
      <c r="T5"/>
    </row>
    <row r="6" spans="1:20" x14ac:dyDescent="0.3">
      <c r="A6" s="196">
        <v>44.81</v>
      </c>
      <c r="B6" s="196">
        <v>0.02</v>
      </c>
      <c r="C6" s="196">
        <v>23.25</v>
      </c>
      <c r="D6" s="8">
        <v>43033.166666666664</v>
      </c>
      <c r="E6" s="196">
        <v>0.42</v>
      </c>
      <c r="F6" s="196" t="s">
        <v>380</v>
      </c>
      <c r="G6" s="196">
        <v>253.15</v>
      </c>
      <c r="H6" s="196">
        <v>0</v>
      </c>
      <c r="I6" s="196">
        <v>0</v>
      </c>
      <c r="J6" s="196"/>
      <c r="K6" s="196">
        <v>1023.04</v>
      </c>
      <c r="L6" s="196" t="s">
        <v>381</v>
      </c>
      <c r="M6" s="196">
        <v>44.81</v>
      </c>
      <c r="N6" s="196">
        <v>1508925600</v>
      </c>
      <c r="O6" s="196">
        <v>0</v>
      </c>
      <c r="P6" s="196">
        <v>2.84</v>
      </c>
      <c r="Q6" s="196">
        <v>200</v>
      </c>
      <c r="R6" s="196">
        <v>5.46</v>
      </c>
      <c r="S6" s="196">
        <v>2.39</v>
      </c>
      <c r="T6"/>
    </row>
    <row r="7" spans="1:20" x14ac:dyDescent="0.3">
      <c r="A7" s="196">
        <v>44.63</v>
      </c>
      <c r="B7" s="196">
        <v>0.03</v>
      </c>
      <c r="C7" s="196">
        <v>23.25</v>
      </c>
      <c r="D7" s="8">
        <v>43033.208333333336</v>
      </c>
      <c r="E7" s="196">
        <v>0.43</v>
      </c>
      <c r="F7" s="196" t="s">
        <v>380</v>
      </c>
      <c r="G7" s="196">
        <v>253.54</v>
      </c>
      <c r="H7" s="196">
        <v>0</v>
      </c>
      <c r="I7" s="196">
        <v>0</v>
      </c>
      <c r="J7" s="196"/>
      <c r="K7" s="196">
        <v>1023.45</v>
      </c>
      <c r="L7" s="196" t="s">
        <v>381</v>
      </c>
      <c r="M7" s="196">
        <v>44.63</v>
      </c>
      <c r="N7" s="196">
        <v>1508929200</v>
      </c>
      <c r="O7" s="196">
        <v>0</v>
      </c>
      <c r="P7" s="196">
        <v>2.29</v>
      </c>
      <c r="Q7" s="196">
        <v>188</v>
      </c>
      <c r="R7" s="196">
        <v>5.27</v>
      </c>
      <c r="S7" s="196">
        <v>2.27</v>
      </c>
      <c r="T7"/>
    </row>
    <row r="8" spans="1:20" x14ac:dyDescent="0.3">
      <c r="A8" s="196">
        <v>44.05</v>
      </c>
      <c r="B8" s="196">
        <v>0.02</v>
      </c>
      <c r="C8" s="196">
        <v>22.91</v>
      </c>
      <c r="D8" s="8">
        <v>43033.25</v>
      </c>
      <c r="E8" s="196">
        <v>0.43</v>
      </c>
      <c r="F8" s="196" t="s">
        <v>380</v>
      </c>
      <c r="G8" s="196">
        <v>254.6</v>
      </c>
      <c r="H8" s="196">
        <v>0</v>
      </c>
      <c r="I8" s="196">
        <v>0</v>
      </c>
      <c r="J8" s="196"/>
      <c r="K8" s="196">
        <v>1022.77</v>
      </c>
      <c r="L8" s="196" t="s">
        <v>381</v>
      </c>
      <c r="M8" s="196">
        <v>44.05</v>
      </c>
      <c r="N8" s="196">
        <v>1508932800</v>
      </c>
      <c r="O8" s="196">
        <v>0</v>
      </c>
      <c r="P8" s="196">
        <v>3.62</v>
      </c>
      <c r="Q8" s="196">
        <v>199</v>
      </c>
      <c r="R8" s="196">
        <v>4.8</v>
      </c>
      <c r="S8" s="196">
        <v>2.19</v>
      </c>
      <c r="T8"/>
    </row>
    <row r="9" spans="1:20" x14ac:dyDescent="0.3">
      <c r="A9" s="196">
        <v>44.61</v>
      </c>
      <c r="B9" s="196">
        <v>0.04</v>
      </c>
      <c r="C9" s="196">
        <v>22.48</v>
      </c>
      <c r="D9" s="8">
        <v>43033.291666666664</v>
      </c>
      <c r="E9" s="196">
        <v>0.41</v>
      </c>
      <c r="F9" s="196" t="s">
        <v>380</v>
      </c>
      <c r="G9" s="196">
        <v>254.86</v>
      </c>
      <c r="H9" s="196">
        <v>0</v>
      </c>
      <c r="I9" s="196">
        <v>0</v>
      </c>
      <c r="J9" s="196"/>
      <c r="K9" s="196">
        <v>1021.56</v>
      </c>
      <c r="L9" s="196" t="s">
        <v>381</v>
      </c>
      <c r="M9" s="196">
        <v>44.61</v>
      </c>
      <c r="N9" s="196">
        <v>1508936400</v>
      </c>
      <c r="O9" s="196">
        <v>0</v>
      </c>
      <c r="P9" s="196">
        <v>4.41</v>
      </c>
      <c r="Q9" s="196">
        <v>187</v>
      </c>
      <c r="R9" s="196">
        <v>5.32</v>
      </c>
      <c r="S9" s="196">
        <v>2.23</v>
      </c>
      <c r="T9"/>
    </row>
    <row r="10" spans="1:20" x14ac:dyDescent="0.3">
      <c r="A10" s="196">
        <v>45.67</v>
      </c>
      <c r="B10" s="196">
        <v>0.02</v>
      </c>
      <c r="C10" s="196">
        <v>22.61</v>
      </c>
      <c r="D10" s="8">
        <v>43033.333333333336</v>
      </c>
      <c r="E10" s="196">
        <v>0.4</v>
      </c>
      <c r="F10" s="196" t="s">
        <v>390</v>
      </c>
      <c r="G10" s="196">
        <v>254.73</v>
      </c>
      <c r="H10" s="196">
        <v>0</v>
      </c>
      <c r="I10" s="196">
        <v>0</v>
      </c>
      <c r="J10" s="196"/>
      <c r="K10" s="196">
        <v>1021.61</v>
      </c>
      <c r="L10" s="196" t="s">
        <v>381</v>
      </c>
      <c r="M10" s="196">
        <v>45.67</v>
      </c>
      <c r="N10" s="196">
        <v>1508940000</v>
      </c>
      <c r="O10" s="196">
        <v>0</v>
      </c>
      <c r="P10" s="196">
        <v>4.25</v>
      </c>
      <c r="Q10" s="196">
        <v>183</v>
      </c>
      <c r="R10" s="196">
        <v>5.48</v>
      </c>
      <c r="S10" s="196">
        <v>2.31</v>
      </c>
      <c r="T10"/>
    </row>
    <row r="11" spans="1:20" x14ac:dyDescent="0.3">
      <c r="A11" s="196">
        <v>52.56</v>
      </c>
      <c r="B11" s="196">
        <v>0.03</v>
      </c>
      <c r="C11" s="196">
        <v>24.59</v>
      </c>
      <c r="D11" s="8">
        <v>43033.375</v>
      </c>
      <c r="E11" s="196">
        <v>0.33</v>
      </c>
      <c r="F11" s="196" t="s">
        <v>390</v>
      </c>
      <c r="G11" s="196">
        <v>254.47</v>
      </c>
      <c r="H11" s="196">
        <v>0</v>
      </c>
      <c r="I11" s="196">
        <v>0</v>
      </c>
      <c r="J11" s="196"/>
      <c r="K11" s="196">
        <v>1019.58</v>
      </c>
      <c r="L11" s="196" t="s">
        <v>381</v>
      </c>
      <c r="M11" s="196">
        <v>52.56</v>
      </c>
      <c r="N11" s="196">
        <v>1508943600</v>
      </c>
      <c r="O11" s="196">
        <v>1</v>
      </c>
      <c r="P11" s="196">
        <v>4.79</v>
      </c>
      <c r="Q11" s="196">
        <v>190</v>
      </c>
      <c r="R11" s="196">
        <v>7.12</v>
      </c>
      <c r="S11" s="196">
        <v>3.39</v>
      </c>
      <c r="T11"/>
    </row>
    <row r="12" spans="1:20" x14ac:dyDescent="0.3">
      <c r="A12" s="196">
        <v>60.66</v>
      </c>
      <c r="B12" s="196">
        <v>0.03</v>
      </c>
      <c r="C12" s="196">
        <v>25.62</v>
      </c>
      <c r="D12" s="8">
        <v>43033.416666666664</v>
      </c>
      <c r="E12" s="196">
        <v>0.26</v>
      </c>
      <c r="F12" s="196" t="s">
        <v>390</v>
      </c>
      <c r="G12" s="196">
        <v>253.81</v>
      </c>
      <c r="H12" s="196">
        <v>0</v>
      </c>
      <c r="I12" s="196">
        <v>0</v>
      </c>
      <c r="J12" s="196"/>
      <c r="K12" s="196">
        <v>1017.63</v>
      </c>
      <c r="L12" s="196" t="s">
        <v>381</v>
      </c>
      <c r="M12" s="196">
        <v>60.66</v>
      </c>
      <c r="N12" s="196">
        <v>1508947200</v>
      </c>
      <c r="O12" s="196">
        <v>2</v>
      </c>
      <c r="P12" s="196">
        <v>3.31</v>
      </c>
      <c r="Q12" s="196">
        <v>184</v>
      </c>
      <c r="R12" s="196">
        <v>8.1</v>
      </c>
      <c r="S12" s="196">
        <v>3.83</v>
      </c>
      <c r="T12"/>
    </row>
    <row r="13" spans="1:20" x14ac:dyDescent="0.3">
      <c r="A13" s="196">
        <v>68.08</v>
      </c>
      <c r="B13" s="196">
        <v>0.02</v>
      </c>
      <c r="C13" s="196">
        <v>26.03</v>
      </c>
      <c r="D13" s="8">
        <v>43033.458333333336</v>
      </c>
      <c r="E13" s="196">
        <v>0.2</v>
      </c>
      <c r="F13" s="196" t="s">
        <v>390</v>
      </c>
      <c r="G13" s="196">
        <v>252.88</v>
      </c>
      <c r="H13" s="196">
        <v>0</v>
      </c>
      <c r="I13" s="196">
        <v>0</v>
      </c>
      <c r="J13" s="196"/>
      <c r="K13" s="196">
        <v>1015.42</v>
      </c>
      <c r="L13" s="196" t="s">
        <v>381</v>
      </c>
      <c r="M13" s="196">
        <v>68.08</v>
      </c>
      <c r="N13" s="196">
        <v>1508950800</v>
      </c>
      <c r="O13" s="196">
        <v>3</v>
      </c>
      <c r="P13" s="196">
        <v>3.31</v>
      </c>
      <c r="Q13" s="196">
        <v>175</v>
      </c>
      <c r="R13" s="196">
        <v>9.7100000000000009</v>
      </c>
      <c r="S13" s="196">
        <v>4.08</v>
      </c>
      <c r="T13"/>
    </row>
    <row r="14" spans="1:20" x14ac:dyDescent="0.3">
      <c r="A14" s="196">
        <v>73.62</v>
      </c>
      <c r="B14" s="196">
        <v>0.01</v>
      </c>
      <c r="C14" s="196">
        <v>24.52</v>
      </c>
      <c r="D14" s="8">
        <v>43033.5</v>
      </c>
      <c r="E14" s="196">
        <v>0.16</v>
      </c>
      <c r="F14" s="196" t="s">
        <v>390</v>
      </c>
      <c r="G14" s="196">
        <v>249.16</v>
      </c>
      <c r="H14" s="196">
        <v>0</v>
      </c>
      <c r="I14" s="196">
        <v>0</v>
      </c>
      <c r="J14" s="196"/>
      <c r="K14" s="196">
        <v>1012.97</v>
      </c>
      <c r="L14" s="196" t="s">
        <v>381</v>
      </c>
      <c r="M14" s="196">
        <v>73.62</v>
      </c>
      <c r="N14" s="196">
        <v>1508954400</v>
      </c>
      <c r="O14" s="196">
        <v>4</v>
      </c>
      <c r="P14" s="196">
        <v>4.6900000000000004</v>
      </c>
      <c r="Q14" s="196">
        <v>175</v>
      </c>
      <c r="R14" s="196">
        <v>11.18</v>
      </c>
      <c r="S14" s="196">
        <v>4.7699999999999996</v>
      </c>
      <c r="T14"/>
    </row>
    <row r="15" spans="1:20" x14ac:dyDescent="0.3">
      <c r="A15" s="196">
        <v>78.47</v>
      </c>
      <c r="B15" s="196">
        <v>0.02</v>
      </c>
      <c r="C15" s="196">
        <v>22.68</v>
      </c>
      <c r="D15" s="8">
        <v>43033.541666666664</v>
      </c>
      <c r="E15" s="196">
        <v>0.13</v>
      </c>
      <c r="F15" s="196" t="s">
        <v>390</v>
      </c>
      <c r="G15" s="196">
        <v>248.62</v>
      </c>
      <c r="H15" s="196">
        <v>1E-4</v>
      </c>
      <c r="I15" s="196">
        <v>0.01</v>
      </c>
      <c r="J15" s="196" t="s">
        <v>876</v>
      </c>
      <c r="K15" s="196">
        <v>1010.76</v>
      </c>
      <c r="L15" s="196" t="s">
        <v>381</v>
      </c>
      <c r="M15" s="196">
        <v>78.47</v>
      </c>
      <c r="N15" s="196">
        <v>1508958000</v>
      </c>
      <c r="O15" s="196">
        <v>4</v>
      </c>
      <c r="P15" s="196">
        <v>4.79</v>
      </c>
      <c r="Q15" s="196">
        <v>168</v>
      </c>
      <c r="R15" s="196">
        <v>9.99</v>
      </c>
      <c r="S15" s="196">
        <v>3.87</v>
      </c>
      <c r="T15"/>
    </row>
    <row r="16" spans="1:20" x14ac:dyDescent="0.3">
      <c r="A16" s="196">
        <v>81.459999999999994</v>
      </c>
      <c r="B16" s="196">
        <v>0.01</v>
      </c>
      <c r="C16" s="196">
        <v>18.739999999999998</v>
      </c>
      <c r="D16" s="8">
        <v>43033.583333333336</v>
      </c>
      <c r="E16" s="196">
        <v>0.1</v>
      </c>
      <c r="F16" s="196" t="s">
        <v>390</v>
      </c>
      <c r="G16" s="196">
        <v>248.48</v>
      </c>
      <c r="H16" s="196">
        <v>0</v>
      </c>
      <c r="I16" s="196">
        <v>0</v>
      </c>
      <c r="J16" s="196"/>
      <c r="K16" s="196">
        <v>1008.61</v>
      </c>
      <c r="L16" s="196" t="s">
        <v>381</v>
      </c>
      <c r="M16" s="196">
        <v>81.459999999999994</v>
      </c>
      <c r="N16" s="196">
        <v>1508961600</v>
      </c>
      <c r="O16" s="196">
        <v>4</v>
      </c>
      <c r="P16" s="196">
        <v>4.79</v>
      </c>
      <c r="Q16" s="196">
        <v>173</v>
      </c>
      <c r="R16" s="196">
        <v>10.130000000000001</v>
      </c>
      <c r="S16" s="196">
        <v>4.09</v>
      </c>
      <c r="T16"/>
    </row>
    <row r="17" spans="1:20" x14ac:dyDescent="0.3">
      <c r="A17" s="196">
        <v>83.26</v>
      </c>
      <c r="B17" s="196">
        <v>0.02</v>
      </c>
      <c r="C17" s="196">
        <v>18.11</v>
      </c>
      <c r="D17" s="8">
        <v>43033.625</v>
      </c>
      <c r="E17" s="196">
        <v>0.09</v>
      </c>
      <c r="F17" s="196" t="s">
        <v>390</v>
      </c>
      <c r="G17" s="196">
        <v>248.48</v>
      </c>
      <c r="H17" s="196">
        <v>0</v>
      </c>
      <c r="I17" s="196">
        <v>0</v>
      </c>
      <c r="J17" s="196"/>
      <c r="K17" s="196">
        <v>1006.76</v>
      </c>
      <c r="L17" s="196" t="s">
        <v>381</v>
      </c>
      <c r="M17" s="196">
        <v>83.26</v>
      </c>
      <c r="N17" s="196">
        <v>1508965200</v>
      </c>
      <c r="O17" s="196">
        <v>3</v>
      </c>
      <c r="P17" s="196">
        <v>4.79</v>
      </c>
      <c r="Q17" s="196">
        <v>208</v>
      </c>
      <c r="R17" s="196">
        <v>8.7799999999999994</v>
      </c>
      <c r="S17" s="196">
        <v>2.35</v>
      </c>
      <c r="T17"/>
    </row>
    <row r="18" spans="1:20" x14ac:dyDescent="0.3">
      <c r="A18" s="196">
        <v>83.18</v>
      </c>
      <c r="B18" s="196">
        <v>0.03</v>
      </c>
      <c r="C18" s="196">
        <v>17.59</v>
      </c>
      <c r="D18" s="8">
        <v>43033.666666666664</v>
      </c>
      <c r="E18" s="196">
        <v>0.09</v>
      </c>
      <c r="F18" s="196" t="s">
        <v>390</v>
      </c>
      <c r="G18" s="196">
        <v>248.35</v>
      </c>
      <c r="H18" s="196">
        <v>0</v>
      </c>
      <c r="I18" s="196">
        <v>0</v>
      </c>
      <c r="J18" s="196"/>
      <c r="K18" s="196">
        <v>1006.09</v>
      </c>
      <c r="L18" s="196" t="s">
        <v>381</v>
      </c>
      <c r="M18" s="196">
        <v>83.18</v>
      </c>
      <c r="N18" s="196">
        <v>1508968800</v>
      </c>
      <c r="O18" s="196">
        <v>1</v>
      </c>
      <c r="P18" s="196">
        <v>4.97</v>
      </c>
      <c r="Q18" s="196">
        <v>277</v>
      </c>
      <c r="R18" s="196">
        <v>9.7200000000000006</v>
      </c>
      <c r="S18" s="196">
        <v>2.74</v>
      </c>
      <c r="T18"/>
    </row>
    <row r="19" spans="1:20" x14ac:dyDescent="0.3">
      <c r="A19" s="196">
        <v>79.650000000000006</v>
      </c>
      <c r="B19" s="196">
        <v>0.04</v>
      </c>
      <c r="C19" s="196">
        <v>19.170000000000002</v>
      </c>
      <c r="D19" s="8">
        <v>43033.708333333336</v>
      </c>
      <c r="E19" s="196">
        <v>0.1</v>
      </c>
      <c r="F19" s="196" t="s">
        <v>390</v>
      </c>
      <c r="G19" s="196">
        <v>248.22</v>
      </c>
      <c r="H19" s="196">
        <v>0</v>
      </c>
      <c r="I19" s="196">
        <v>0</v>
      </c>
      <c r="J19" s="196"/>
      <c r="K19" s="196">
        <v>1005.79</v>
      </c>
      <c r="L19" s="196" t="s">
        <v>381</v>
      </c>
      <c r="M19" s="196">
        <v>79.650000000000006</v>
      </c>
      <c r="N19" s="196">
        <v>1508972400</v>
      </c>
      <c r="O19" s="196">
        <v>1</v>
      </c>
      <c r="P19" s="196">
        <v>4.79</v>
      </c>
      <c r="Q19" s="196">
        <v>284</v>
      </c>
      <c r="R19" s="196">
        <v>12.7</v>
      </c>
      <c r="S19" s="196">
        <v>4.34</v>
      </c>
      <c r="T19"/>
    </row>
    <row r="20" spans="1:20" x14ac:dyDescent="0.3">
      <c r="A20" s="196">
        <v>73.75</v>
      </c>
      <c r="B20" s="196">
        <v>0.03</v>
      </c>
      <c r="C20" s="196">
        <v>19.829999999999998</v>
      </c>
      <c r="D20" s="8">
        <v>43033.75</v>
      </c>
      <c r="E20" s="196">
        <v>0.13</v>
      </c>
      <c r="F20" s="196" t="s">
        <v>390</v>
      </c>
      <c r="G20" s="196">
        <v>251.97</v>
      </c>
      <c r="H20" s="196">
        <v>0</v>
      </c>
      <c r="I20" s="196">
        <v>0</v>
      </c>
      <c r="J20" s="196"/>
      <c r="K20" s="196">
        <v>1006.04</v>
      </c>
      <c r="L20" s="196" t="s">
        <v>381</v>
      </c>
      <c r="M20" s="196">
        <v>73.75</v>
      </c>
      <c r="N20" s="196">
        <v>1508976000</v>
      </c>
      <c r="O20" s="196">
        <v>0</v>
      </c>
      <c r="P20" s="196">
        <v>3.97</v>
      </c>
      <c r="Q20" s="196">
        <v>276</v>
      </c>
      <c r="R20" s="196">
        <v>13.9</v>
      </c>
      <c r="S20" s="196">
        <v>5.24</v>
      </c>
      <c r="T20"/>
    </row>
    <row r="21" spans="1:20" x14ac:dyDescent="0.3">
      <c r="A21" s="196">
        <v>69.53</v>
      </c>
      <c r="B21" s="196">
        <v>0.04</v>
      </c>
      <c r="C21" s="196">
        <v>19.440000000000001</v>
      </c>
      <c r="D21" s="8">
        <v>43033.791666666664</v>
      </c>
      <c r="E21" s="196">
        <v>0.15</v>
      </c>
      <c r="F21" s="196" t="s">
        <v>380</v>
      </c>
      <c r="G21" s="196">
        <v>253.69</v>
      </c>
      <c r="H21" s="196">
        <v>0</v>
      </c>
      <c r="I21" s="196">
        <v>0</v>
      </c>
      <c r="J21" s="196"/>
      <c r="K21" s="196">
        <v>1006.99</v>
      </c>
      <c r="L21" s="196" t="s">
        <v>381</v>
      </c>
      <c r="M21" s="196">
        <v>69.53</v>
      </c>
      <c r="N21" s="196">
        <v>1508979600</v>
      </c>
      <c r="O21" s="196">
        <v>0</v>
      </c>
      <c r="P21" s="196">
        <v>3.49</v>
      </c>
      <c r="Q21" s="196">
        <v>267</v>
      </c>
      <c r="R21" s="196">
        <v>12.3</v>
      </c>
      <c r="S21" s="196">
        <v>4.33</v>
      </c>
      <c r="T21"/>
    </row>
    <row r="22" spans="1:20" x14ac:dyDescent="0.3">
      <c r="A22" s="196">
        <v>67.81</v>
      </c>
      <c r="B22" s="196">
        <v>0.03</v>
      </c>
      <c r="C22" s="196">
        <v>19.28</v>
      </c>
      <c r="D22" s="8">
        <v>43033.833333333336</v>
      </c>
      <c r="E22" s="196">
        <v>0.16</v>
      </c>
      <c r="F22" s="196" t="s">
        <v>380</v>
      </c>
      <c r="G22" s="196">
        <v>255.8</v>
      </c>
      <c r="H22" s="196">
        <v>0</v>
      </c>
      <c r="I22" s="196">
        <v>0</v>
      </c>
      <c r="J22" s="196"/>
      <c r="K22" s="196">
        <v>1006.7</v>
      </c>
      <c r="L22" s="196" t="s">
        <v>381</v>
      </c>
      <c r="M22" s="196">
        <v>67.81</v>
      </c>
      <c r="N22" s="196">
        <v>1508983200</v>
      </c>
      <c r="O22" s="196">
        <v>0</v>
      </c>
      <c r="P22" s="196">
        <v>3.97</v>
      </c>
      <c r="Q22" s="196">
        <v>268</v>
      </c>
      <c r="R22" s="196">
        <v>10.39</v>
      </c>
      <c r="S22" s="196">
        <v>2.86</v>
      </c>
      <c r="T22"/>
    </row>
    <row r="23" spans="1:20" x14ac:dyDescent="0.3">
      <c r="A23" s="196">
        <v>65.349999999999994</v>
      </c>
      <c r="B23" s="196">
        <v>0.04</v>
      </c>
      <c r="C23" s="196">
        <v>20.6</v>
      </c>
      <c r="D23" s="8">
        <v>43033.875</v>
      </c>
      <c r="E23" s="196">
        <v>0.18</v>
      </c>
      <c r="F23" s="196" t="s">
        <v>380</v>
      </c>
      <c r="G23" s="196">
        <v>258.01</v>
      </c>
      <c r="H23" s="196">
        <v>0</v>
      </c>
      <c r="I23" s="196">
        <v>0</v>
      </c>
      <c r="J23" s="196"/>
      <c r="K23" s="196">
        <v>1007.05</v>
      </c>
      <c r="L23" s="196" t="s">
        <v>381</v>
      </c>
      <c r="M23" s="196">
        <v>65.349999999999994</v>
      </c>
      <c r="N23" s="196">
        <v>1508986800</v>
      </c>
      <c r="O23" s="196">
        <v>0</v>
      </c>
      <c r="P23" s="196">
        <v>3.54</v>
      </c>
      <c r="Q23" s="196">
        <v>252</v>
      </c>
      <c r="R23" s="196">
        <v>8.9</v>
      </c>
      <c r="S23" s="196">
        <v>1.87</v>
      </c>
      <c r="T23"/>
    </row>
    <row r="24" spans="1:20" x14ac:dyDescent="0.3">
      <c r="A24" s="196">
        <v>62.38</v>
      </c>
      <c r="B24" s="196">
        <v>0.02</v>
      </c>
      <c r="C24" s="196">
        <v>21.3</v>
      </c>
      <c r="D24" s="8">
        <v>43033.916666666664</v>
      </c>
      <c r="E24" s="196">
        <v>0.2</v>
      </c>
      <c r="F24" s="196" t="s">
        <v>380</v>
      </c>
      <c r="G24" s="196">
        <v>260.58</v>
      </c>
      <c r="H24" s="196">
        <v>0</v>
      </c>
      <c r="I24" s="196">
        <v>0</v>
      </c>
      <c r="J24" s="196"/>
      <c r="K24" s="196">
        <v>1007.17</v>
      </c>
      <c r="L24" s="196" t="s">
        <v>381</v>
      </c>
      <c r="M24" s="196">
        <v>62.38</v>
      </c>
      <c r="N24" s="196">
        <v>1508990400</v>
      </c>
      <c r="O24" s="196">
        <v>0</v>
      </c>
      <c r="P24" s="196">
        <v>4.3</v>
      </c>
      <c r="Q24" s="196">
        <v>260</v>
      </c>
      <c r="R24" s="196">
        <v>8.15</v>
      </c>
      <c r="S24" s="196">
        <v>1.67</v>
      </c>
      <c r="T24"/>
    </row>
    <row r="25" spans="1:20" x14ac:dyDescent="0.3">
      <c r="A25" s="196">
        <v>59.82</v>
      </c>
      <c r="B25" s="196">
        <v>0</v>
      </c>
      <c r="C25" s="196">
        <v>21.41</v>
      </c>
      <c r="D25" s="8">
        <v>43033.958333333336</v>
      </c>
      <c r="E25" s="196">
        <v>0.22</v>
      </c>
      <c r="F25" s="196" t="s">
        <v>380</v>
      </c>
      <c r="G25" s="196">
        <v>263.25</v>
      </c>
      <c r="H25" s="196">
        <v>0</v>
      </c>
      <c r="I25" s="196">
        <v>0</v>
      </c>
      <c r="J25" s="196"/>
      <c r="K25" s="196">
        <v>1007.36</v>
      </c>
      <c r="L25" s="196" t="s">
        <v>381</v>
      </c>
      <c r="M25" s="196">
        <v>59.82</v>
      </c>
      <c r="N25" s="196">
        <v>1508994000</v>
      </c>
      <c r="O25" s="196">
        <v>0</v>
      </c>
      <c r="P25" s="196">
        <v>3.49</v>
      </c>
      <c r="Q25" s="196">
        <v>262</v>
      </c>
      <c r="R25" s="196">
        <v>6.74</v>
      </c>
      <c r="S25" s="196">
        <v>1.05</v>
      </c>
      <c r="T25"/>
    </row>
    <row r="26" spans="1:20" x14ac:dyDescent="0.3">
      <c r="A26" s="196">
        <v>57.62</v>
      </c>
      <c r="B26" s="196">
        <v>0</v>
      </c>
      <c r="C26" s="196">
        <v>20.76</v>
      </c>
      <c r="D26" s="8">
        <v>43034</v>
      </c>
      <c r="E26" s="196">
        <v>0.24</v>
      </c>
      <c r="F26" s="196" t="s">
        <v>380</v>
      </c>
      <c r="G26" s="196">
        <v>265.13</v>
      </c>
      <c r="H26" s="196">
        <v>0</v>
      </c>
      <c r="I26" s="196">
        <v>0</v>
      </c>
      <c r="J26" s="196"/>
      <c r="K26" s="196">
        <v>1006.76</v>
      </c>
      <c r="L26" s="196" t="s">
        <v>381</v>
      </c>
      <c r="M26" s="196">
        <v>57.62</v>
      </c>
      <c r="N26" s="196">
        <v>1508997600</v>
      </c>
      <c r="O26" s="196">
        <v>0</v>
      </c>
      <c r="P26" s="196">
        <v>2.6</v>
      </c>
      <c r="Q26" s="196">
        <v>229</v>
      </c>
      <c r="R26" s="196">
        <v>5.28</v>
      </c>
      <c r="S26" s="196">
        <v>0.9</v>
      </c>
      <c r="T26"/>
    </row>
    <row r="27" spans="1:20" x14ac:dyDescent="0.3">
      <c r="A27" s="196">
        <v>55.47</v>
      </c>
      <c r="B27" s="196">
        <v>0</v>
      </c>
      <c r="C27" s="196">
        <v>20.74</v>
      </c>
      <c r="D27" s="8">
        <v>43034.041666666664</v>
      </c>
      <c r="E27" s="196">
        <v>0.26</v>
      </c>
      <c r="F27" s="196" t="s">
        <v>380</v>
      </c>
      <c r="G27" s="196">
        <v>265.87</v>
      </c>
      <c r="H27" s="196">
        <v>0</v>
      </c>
      <c r="I27" s="196">
        <v>0</v>
      </c>
      <c r="J27" s="196"/>
      <c r="K27" s="196">
        <v>1005.38</v>
      </c>
      <c r="L27" s="196" t="s">
        <v>381</v>
      </c>
      <c r="M27" s="196">
        <v>55.47</v>
      </c>
      <c r="N27" s="196">
        <v>1509001200</v>
      </c>
      <c r="O27" s="196">
        <v>0</v>
      </c>
      <c r="P27" s="196">
        <v>3.11</v>
      </c>
      <c r="Q27" s="196">
        <v>244</v>
      </c>
      <c r="R27" s="196">
        <v>5.83</v>
      </c>
      <c r="S27" s="196">
        <v>1.66</v>
      </c>
      <c r="T27"/>
    </row>
    <row r="28" spans="1:20" x14ac:dyDescent="0.3">
      <c r="A28" s="196">
        <v>56.39</v>
      </c>
      <c r="B28" s="196">
        <v>0</v>
      </c>
      <c r="C28" s="196">
        <v>20.11</v>
      </c>
      <c r="D28" s="8">
        <v>43034.083333333336</v>
      </c>
      <c r="E28" s="196">
        <v>0.24</v>
      </c>
      <c r="F28" s="196" t="s">
        <v>380</v>
      </c>
      <c r="G28" s="196">
        <v>265.73</v>
      </c>
      <c r="H28" s="196">
        <v>0</v>
      </c>
      <c r="I28" s="196">
        <v>0</v>
      </c>
      <c r="J28" s="196"/>
      <c r="K28" s="196">
        <v>1004.6</v>
      </c>
      <c r="L28" s="196" t="s">
        <v>381</v>
      </c>
      <c r="M28" s="196">
        <v>56.39</v>
      </c>
      <c r="N28" s="196">
        <v>1509004800</v>
      </c>
      <c r="O28" s="196">
        <v>0</v>
      </c>
      <c r="P28" s="196">
        <v>3.2</v>
      </c>
      <c r="Q28" s="196">
        <v>245</v>
      </c>
      <c r="R28" s="196">
        <v>6.81</v>
      </c>
      <c r="S28" s="196">
        <v>1.56</v>
      </c>
      <c r="T28"/>
    </row>
    <row r="29" spans="1:20" x14ac:dyDescent="0.3">
      <c r="A29" s="196">
        <v>56.82</v>
      </c>
      <c r="B29" s="196">
        <v>0.01</v>
      </c>
      <c r="C29" s="196">
        <v>18.64</v>
      </c>
      <c r="D29" s="8">
        <v>43034.125</v>
      </c>
      <c r="E29" s="196">
        <v>0.22</v>
      </c>
      <c r="F29" s="196" t="s">
        <v>380</v>
      </c>
      <c r="G29" s="196">
        <v>265.08999999999997</v>
      </c>
      <c r="H29" s="196">
        <v>0</v>
      </c>
      <c r="I29" s="196">
        <v>0</v>
      </c>
      <c r="J29" s="196"/>
      <c r="K29" s="196">
        <v>1004.99</v>
      </c>
      <c r="L29" s="196" t="s">
        <v>381</v>
      </c>
      <c r="M29" s="196">
        <v>56.82</v>
      </c>
      <c r="N29" s="196">
        <v>1509008400</v>
      </c>
      <c r="O29" s="196">
        <v>0</v>
      </c>
      <c r="P29" s="196">
        <v>5.04</v>
      </c>
      <c r="Q29" s="196">
        <v>241</v>
      </c>
      <c r="R29" s="196">
        <v>6.06</v>
      </c>
      <c r="S29" s="196">
        <v>1.8</v>
      </c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A3" sqref="A3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43033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346</v>
      </c>
      <c r="AE2" s="56" t="s">
        <v>349</v>
      </c>
      <c r="AF2" s="56" t="s">
        <v>350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372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351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1096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1097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1098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1099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1100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1101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1102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1103</v>
      </c>
      <c r="J25" s="140" t="s">
        <v>144</v>
      </c>
      <c r="M25" s="154" t="b">
        <v>1</v>
      </c>
    </row>
    <row r="26" spans="3:24" x14ac:dyDescent="0.3">
      <c r="C26" t="s">
        <v>1104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%USERPROFILE%\Documents\GitHub\eaglep3-reporting\EC\2017-10-25-refined-times.txt</v>
      </c>
    </row>
    <row r="27" spans="3:24" x14ac:dyDescent="0.3">
      <c r="C27" t="s">
        <v>1105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%USERPROFILE%\Documents\GitHub\eaglep3-reporting\EC\2017-10-25-Enforcements.txt</v>
      </c>
    </row>
    <row r="28" spans="3:24" x14ac:dyDescent="0.3">
      <c r="C28" t="s">
        <v>1106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%USERPROFILE%\Documents\GitHub\eaglep3-reporting\EC\2017-10-25-Runs-refined.txt</v>
      </c>
    </row>
    <row r="29" spans="3:24" x14ac:dyDescent="0.3">
      <c r="C29" t="s">
        <v>1107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%USERPROFILE%\Documents\GitHub\eaglep3-reporting\EC\2017-10-25-Trips.txt</v>
      </c>
    </row>
    <row r="30" spans="3:24" x14ac:dyDescent="0.3">
      <c r="C30" t="s">
        <v>1108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%USERPROFILE%\Documents\GitHub\eaglep3-reporting\EC\2017-10-25-Weather.txt</v>
      </c>
    </row>
    <row r="31" spans="3:24" x14ac:dyDescent="0.3">
      <c r="C31" t="s">
        <v>1109</v>
      </c>
      <c r="J31" s="140" t="s">
        <v>190</v>
      </c>
      <c r="M31" s="154" t="s">
        <v>191</v>
      </c>
    </row>
    <row r="32" spans="3:24" x14ac:dyDescent="0.3">
      <c r="C32" t="s">
        <v>1110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386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2017-10-26T13:55:42Z</dcterms:modified>
</cp:coreProperties>
</file>