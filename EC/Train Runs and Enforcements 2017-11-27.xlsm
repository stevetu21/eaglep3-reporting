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Enforcements!$A$6:$AC$16</definedName>
    <definedName name="_xlnm._FilterDatabase" localSheetId="2" hidden="1">'Missing Trips'!$A$2:$J$26</definedName>
    <definedName name="_xlnm._FilterDatabase" localSheetId="0" hidden="1">'Train Runs'!$A$12:$AG$491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10" i="1" l="1"/>
  <c r="P89" i="1"/>
  <c r="P62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A17" i="1" s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A21" i="1" s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A25" i="1" s="1"/>
  <c r="AB25" i="1"/>
  <c r="AC25" i="1"/>
  <c r="AD25" i="1"/>
  <c r="T25" i="1" s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T30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AA34" i="1" s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/>
  <c r="V36" i="1"/>
  <c r="Y36" i="1"/>
  <c r="AA36" i="1" s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A37" i="1" s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A41" i="1" s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AA44" i="1" s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AA45" i="1" s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R13" i="3" s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S11" i="3" s="1"/>
  <c r="Y52" i="1"/>
  <c r="AA52" i="1" s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A55" i="1" s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AA56" i="1" s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/>
  <c r="V57" i="1"/>
  <c r="Y57" i="1"/>
  <c r="Z57" i="1"/>
  <c r="AA57" i="1" s="1"/>
  <c r="AB57" i="1"/>
  <c r="AC57" i="1"/>
  <c r="AD57" i="1"/>
  <c r="X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AA58" i="1" s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/>
  <c r="V59" i="1"/>
  <c r="Y59" i="1"/>
  <c r="Z59" i="1"/>
  <c r="AA59" i="1" s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T60" i="1"/>
  <c r="V60" i="1"/>
  <c r="Y60" i="1"/>
  <c r="AA60" i="1" s="1"/>
  <c r="Z60" i="1"/>
  <c r="AB60" i="1"/>
  <c r="AC60" i="1"/>
  <c r="AD60" i="1"/>
  <c r="X60" i="1" s="1"/>
  <c r="AE60" i="1"/>
  <c r="AF60" i="1"/>
  <c r="AH60" i="1"/>
  <c r="AM60" i="1"/>
  <c r="AN60" i="1"/>
  <c r="AO60" i="1"/>
  <c r="K61" i="1"/>
  <c r="L61" i="1"/>
  <c r="M61" i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V62" i="1"/>
  <c r="Y62" i="1"/>
  <c r="Z62" i="1"/>
  <c r="AB62" i="1"/>
  <c r="AC62" i="1"/>
  <c r="AD62" i="1"/>
  <c r="X62" i="1" s="1"/>
  <c r="AE62" i="1"/>
  <c r="AF62" i="1"/>
  <c r="AH62" i="1"/>
  <c r="AM62" i="1"/>
  <c r="AN62" i="1"/>
  <c r="AO62" i="1"/>
  <c r="K63" i="1"/>
  <c r="L63" i="1"/>
  <c r="M63" i="1"/>
  <c r="N63" i="1" s="1"/>
  <c r="T63" i="1"/>
  <c r="V63" i="1"/>
  <c r="Y63" i="1"/>
  <c r="AA63" i="1" s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AA64" i="1" s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/>
  <c r="V65" i="1"/>
  <c r="Y65" i="1"/>
  <c r="Z65" i="1"/>
  <c r="AA65" i="1" s="1"/>
  <c r="AB65" i="1"/>
  <c r="AC65" i="1"/>
  <c r="AD65" i="1"/>
  <c r="X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A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A67" i="1" s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A68" i="1" s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N69" i="1" s="1"/>
  <c r="T69" i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/>
  <c r="V71" i="1"/>
  <c r="Y71" i="1"/>
  <c r="Z71" i="1"/>
  <c r="AA71" i="1" s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AA72" i="1" s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/>
  <c r="V73" i="1"/>
  <c r="Y73" i="1"/>
  <c r="Z73" i="1"/>
  <c r="AA73" i="1" s="1"/>
  <c r="AB73" i="1"/>
  <c r="AC73" i="1"/>
  <c r="AD73" i="1"/>
  <c r="X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A74" i="1" s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A75" i="1" s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T76" i="1"/>
  <c r="V76" i="1"/>
  <c r="Y76" i="1"/>
  <c r="Z76" i="1"/>
  <c r="AB76" i="1"/>
  <c r="AC76" i="1"/>
  <c r="AD76" i="1"/>
  <c r="X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AA78" i="1" s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T79" i="1"/>
  <c r="V79" i="1"/>
  <c r="X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T80" i="1"/>
  <c r="V80" i="1"/>
  <c r="Y80" i="1"/>
  <c r="Z80" i="1"/>
  <c r="AB80" i="1"/>
  <c r="AC80" i="1"/>
  <c r="AD80" i="1"/>
  <c r="X80" i="1" s="1"/>
  <c r="AE80" i="1"/>
  <c r="AF80" i="1"/>
  <c r="AH80" i="1"/>
  <c r="AM80" i="1"/>
  <c r="AN80" i="1"/>
  <c r="AO80" i="1"/>
  <c r="K81" i="1"/>
  <c r="L81" i="1"/>
  <c r="M81" i="1"/>
  <c r="N81" i="1" s="1"/>
  <c r="T81" i="1"/>
  <c r="V81" i="1"/>
  <c r="Y81" i="1"/>
  <c r="Z81" i="1"/>
  <c r="AB81" i="1"/>
  <c r="AC81" i="1"/>
  <c r="AD81" i="1"/>
  <c r="X81" i="1" s="1"/>
  <c r="AE81" i="1"/>
  <c r="AF81" i="1"/>
  <c r="AH81" i="1"/>
  <c r="AM81" i="1"/>
  <c r="AN81" i="1"/>
  <c r="AO81" i="1"/>
  <c r="K82" i="1"/>
  <c r="L82" i="1"/>
  <c r="M82" i="1"/>
  <c r="N82" i="1" s="1"/>
  <c r="V82" i="1"/>
  <c r="X82" i="1"/>
  <c r="Y82" i="1"/>
  <c r="Z82" i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T84" i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AA86" i="1" s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 s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AA92" i="1" s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A93" i="1" s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A97" i="1" s="1"/>
  <c r="AB97" i="1"/>
  <c r="AC97" i="1"/>
  <c r="AD97" i="1"/>
  <c r="T97" i="1" s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A98" i="1" s="1"/>
  <c r="AB98" i="1"/>
  <c r="AC98" i="1"/>
  <c r="AD98" i="1"/>
  <c r="T98" i="1" s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AA100" i="1" s="1"/>
  <c r="Z100" i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A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AA108" i="1" s="1"/>
  <c r="Z108" i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A109" i="1" s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V110" i="1"/>
  <c r="Y110" i="1"/>
  <c r="Z110" i="1"/>
  <c r="AA110" i="1" s="1"/>
  <c r="AB110" i="1"/>
  <c r="AC110" i="1"/>
  <c r="AD110" i="1"/>
  <c r="T110" i="1" s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14" i="1"/>
  <c r="AM114" i="1"/>
  <c r="AN114" i="1"/>
  <c r="AO114" i="1"/>
  <c r="K115" i="1"/>
  <c r="L115" i="1"/>
  <c r="M115" i="1"/>
  <c r="N115" i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/>
  <c r="V123" i="1"/>
  <c r="Y123" i="1"/>
  <c r="AA123" i="1" s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A126" i="1" s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AA130" i="1" s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A132" i="1" s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AA139" i="1" s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S10" i="3" s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AA143" i="1" s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AA147" i="1" s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A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AA153" i="1" s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A154" i="1" s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AA156" i="1" s="1"/>
  <c r="Z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A158" i="1" s="1"/>
  <c r="AB158" i="1"/>
  <c r="AC158" i="1"/>
  <c r="AD158" i="1"/>
  <c r="AE158" i="1"/>
  <c r="AF158" i="1"/>
  <c r="AH158" i="1"/>
  <c r="AM158" i="1"/>
  <c r="AN158" i="1"/>
  <c r="AO158" i="1"/>
  <c r="K208" i="1"/>
  <c r="L208" i="1"/>
  <c r="M208" i="1"/>
  <c r="N208" i="1" s="1"/>
  <c r="V208" i="1"/>
  <c r="Y208" i="1"/>
  <c r="AA208" i="1" s="1"/>
  <c r="Z208" i="1"/>
  <c r="AB208" i="1"/>
  <c r="AC208" i="1"/>
  <c r="AD208" i="1"/>
  <c r="AE208" i="1"/>
  <c r="AF208" i="1"/>
  <c r="AH159" i="1"/>
  <c r="AM159" i="1"/>
  <c r="AN159" i="1"/>
  <c r="AO159" i="1"/>
  <c r="K209" i="1"/>
  <c r="L209" i="1"/>
  <c r="M209" i="1"/>
  <c r="N209" i="1" s="1"/>
  <c r="V209" i="1"/>
  <c r="S19" i="3" s="1"/>
  <c r="Y209" i="1"/>
  <c r="Z209" i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A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S21" i="3" s="1"/>
  <c r="Y215" i="1"/>
  <c r="AA215" i="1" s="1"/>
  <c r="Z215" i="1"/>
  <c r="AB215" i="1"/>
  <c r="AC215" i="1"/>
  <c r="AD215" i="1"/>
  <c r="AE215" i="1"/>
  <c r="R20" i="3" s="1"/>
  <c r="AF215" i="1"/>
  <c r="AH166" i="1"/>
  <c r="AM166" i="1"/>
  <c r="AN166" i="1"/>
  <c r="AO166" i="1"/>
  <c r="K216" i="1"/>
  <c r="L216" i="1"/>
  <c r="M216" i="1"/>
  <c r="N216" i="1" s="1"/>
  <c r="V216" i="1"/>
  <c r="S17" i="3" s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7" i="1"/>
  <c r="L227" i="1"/>
  <c r="M227" i="1"/>
  <c r="N227" i="1" s="1"/>
  <c r="V227" i="1"/>
  <c r="Y227" i="1"/>
  <c r="Z227" i="1"/>
  <c r="AA227" i="1" s="1"/>
  <c r="AB227" i="1"/>
  <c r="AC227" i="1"/>
  <c r="AD227" i="1"/>
  <c r="AE227" i="1"/>
  <c r="AF227" i="1"/>
  <c r="AH172" i="1"/>
  <c r="AM172" i="1"/>
  <c r="AN172" i="1"/>
  <c r="AO17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3" i="1"/>
  <c r="AM173" i="1"/>
  <c r="AN173" i="1"/>
  <c r="AO173" i="1"/>
  <c r="K229" i="1"/>
  <c r="L229" i="1"/>
  <c r="M229" i="1"/>
  <c r="N229" i="1" s="1"/>
  <c r="V229" i="1"/>
  <c r="Y229" i="1"/>
  <c r="AA229" i="1" s="1"/>
  <c r="Z229" i="1"/>
  <c r="AB229" i="1"/>
  <c r="AC229" i="1"/>
  <c r="AD229" i="1"/>
  <c r="AE229" i="1"/>
  <c r="AF229" i="1"/>
  <c r="AH174" i="1"/>
  <c r="AM174" i="1"/>
  <c r="AN174" i="1"/>
  <c r="AO174" i="1"/>
  <c r="K159" i="1"/>
  <c r="L159" i="1"/>
  <c r="M159" i="1"/>
  <c r="N159" i="1" s="1"/>
  <c r="V159" i="1"/>
  <c r="Y159" i="1"/>
  <c r="AA159" i="1" s="1"/>
  <c r="Z159" i="1"/>
  <c r="AB159" i="1"/>
  <c r="AC159" i="1"/>
  <c r="AD159" i="1"/>
  <c r="AE159" i="1"/>
  <c r="AF159" i="1"/>
  <c r="AH175" i="1"/>
  <c r="AM175" i="1"/>
  <c r="AN175" i="1"/>
  <c r="AO175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76" i="1"/>
  <c r="AM176" i="1"/>
  <c r="AN176" i="1"/>
  <c r="AO17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7" i="1"/>
  <c r="AM177" i="1"/>
  <c r="AN177" i="1"/>
  <c r="AO177" i="1"/>
  <c r="K162" i="1"/>
  <c r="L162" i="1"/>
  <c r="M162" i="1"/>
  <c r="N162" i="1" s="1"/>
  <c r="V162" i="1"/>
  <c r="Y162" i="1"/>
  <c r="AA162" i="1" s="1"/>
  <c r="Z162" i="1"/>
  <c r="AB162" i="1"/>
  <c r="AC162" i="1"/>
  <c r="AD162" i="1"/>
  <c r="AE162" i="1"/>
  <c r="AF162" i="1"/>
  <c r="AH178" i="1"/>
  <c r="AM178" i="1"/>
  <c r="AN178" i="1"/>
  <c r="AO178" i="1"/>
  <c r="K163" i="1"/>
  <c r="L163" i="1"/>
  <c r="M163" i="1"/>
  <c r="N163" i="1" s="1"/>
  <c r="V163" i="1"/>
  <c r="Y163" i="1"/>
  <c r="AA163" i="1" s="1"/>
  <c r="Z163" i="1"/>
  <c r="AB163" i="1"/>
  <c r="AC163" i="1"/>
  <c r="AD163" i="1"/>
  <c r="AE163" i="1"/>
  <c r="AF163" i="1"/>
  <c r="AH179" i="1"/>
  <c r="AM179" i="1"/>
  <c r="AN179" i="1"/>
  <c r="AO17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0" i="1"/>
  <c r="AM180" i="1"/>
  <c r="AN180" i="1"/>
  <c r="AO180" i="1"/>
  <c r="K165" i="1"/>
  <c r="L165" i="1"/>
  <c r="M165" i="1"/>
  <c r="N165" i="1" s="1"/>
  <c r="V165" i="1"/>
  <c r="Y165" i="1"/>
  <c r="Z165" i="1"/>
  <c r="AA165" i="1" s="1"/>
  <c r="AB165" i="1"/>
  <c r="AC165" i="1"/>
  <c r="AD165" i="1"/>
  <c r="AE165" i="1"/>
  <c r="AF165" i="1"/>
  <c r="AH181" i="1"/>
  <c r="AM181" i="1"/>
  <c r="AN181" i="1"/>
  <c r="AO18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2" i="1"/>
  <c r="AM182" i="1"/>
  <c r="AN182" i="1"/>
  <c r="AO182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3" i="1"/>
  <c r="AM183" i="1"/>
  <c r="AN183" i="1"/>
  <c r="AO183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84" i="1"/>
  <c r="AM184" i="1"/>
  <c r="AN184" i="1"/>
  <c r="AO184" i="1"/>
  <c r="K169" i="1"/>
  <c r="L169" i="1"/>
  <c r="M169" i="1"/>
  <c r="N169" i="1" s="1"/>
  <c r="V169" i="1"/>
  <c r="Y169" i="1"/>
  <c r="Z169" i="1"/>
  <c r="AA169" i="1" s="1"/>
  <c r="AB169" i="1"/>
  <c r="AC169" i="1"/>
  <c r="AD169" i="1"/>
  <c r="AE169" i="1"/>
  <c r="AF169" i="1"/>
  <c r="AH185" i="1"/>
  <c r="AM185" i="1"/>
  <c r="AN185" i="1"/>
  <c r="AO18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6" i="1"/>
  <c r="AM186" i="1"/>
  <c r="AN186" i="1"/>
  <c r="AO186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87" i="1"/>
  <c r="AM187" i="1"/>
  <c r="AN187" i="1"/>
  <c r="AO187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88" i="1"/>
  <c r="AM188" i="1"/>
  <c r="AN188" i="1"/>
  <c r="AO188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AF173" i="1"/>
  <c r="AH189" i="1"/>
  <c r="AM189" i="1"/>
  <c r="AN189" i="1"/>
  <c r="AO189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0" i="1"/>
  <c r="AM190" i="1"/>
  <c r="AN190" i="1"/>
  <c r="AO190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1" i="1"/>
  <c r="AM191" i="1"/>
  <c r="AN191" i="1"/>
  <c r="AO191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F176" i="1"/>
  <c r="AH192" i="1"/>
  <c r="AM192" i="1"/>
  <c r="AN192" i="1"/>
  <c r="AO19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3" i="1"/>
  <c r="AM193" i="1"/>
  <c r="AN193" i="1"/>
  <c r="AO193" i="1"/>
  <c r="K178" i="1"/>
  <c r="L178" i="1"/>
  <c r="M178" i="1"/>
  <c r="N178" i="1" s="1"/>
  <c r="T178" i="1"/>
  <c r="V178" i="1"/>
  <c r="Y178" i="1"/>
  <c r="Z178" i="1"/>
  <c r="AB178" i="1"/>
  <c r="AC178" i="1"/>
  <c r="AD178" i="1"/>
  <c r="AE178" i="1"/>
  <c r="AF178" i="1"/>
  <c r="AH194" i="1"/>
  <c r="AM194" i="1"/>
  <c r="AN194" i="1"/>
  <c r="AO194" i="1"/>
  <c r="K179" i="1"/>
  <c r="L179" i="1"/>
  <c r="M179" i="1"/>
  <c r="N179" i="1"/>
  <c r="V179" i="1"/>
  <c r="Y179" i="1"/>
  <c r="Z179" i="1"/>
  <c r="AB179" i="1"/>
  <c r="AC179" i="1"/>
  <c r="AD179" i="1"/>
  <c r="X179" i="1" s="1"/>
  <c r="AE179" i="1"/>
  <c r="AF179" i="1"/>
  <c r="AH195" i="1"/>
  <c r="AM195" i="1"/>
  <c r="AN195" i="1"/>
  <c r="AO195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AH196" i="1"/>
  <c r="AM196" i="1"/>
  <c r="AN196" i="1"/>
  <c r="AO196" i="1"/>
  <c r="K181" i="1"/>
  <c r="L181" i="1"/>
  <c r="M181" i="1"/>
  <c r="N181" i="1" s="1"/>
  <c r="T181" i="1"/>
  <c r="V181" i="1"/>
  <c r="Y181" i="1"/>
  <c r="Z181" i="1"/>
  <c r="AB181" i="1"/>
  <c r="AC181" i="1"/>
  <c r="AD181" i="1"/>
  <c r="AE181" i="1"/>
  <c r="AF181" i="1"/>
  <c r="AH197" i="1"/>
  <c r="AM197" i="1"/>
  <c r="AN197" i="1"/>
  <c r="AO197" i="1"/>
  <c r="K182" i="1"/>
  <c r="L182" i="1"/>
  <c r="M182" i="1"/>
  <c r="N182" i="1"/>
  <c r="V182" i="1"/>
  <c r="Y182" i="1"/>
  <c r="Z182" i="1"/>
  <c r="AB182" i="1"/>
  <c r="AC182" i="1"/>
  <c r="AD182" i="1"/>
  <c r="AE182" i="1"/>
  <c r="AF182" i="1"/>
  <c r="AH198" i="1"/>
  <c r="AM198" i="1"/>
  <c r="AN198" i="1"/>
  <c r="AO198" i="1"/>
  <c r="K183" i="1"/>
  <c r="L183" i="1"/>
  <c r="M183" i="1"/>
  <c r="N183" i="1" s="1"/>
  <c r="T183" i="1"/>
  <c r="V183" i="1"/>
  <c r="X183" i="1"/>
  <c r="Y183" i="1"/>
  <c r="Z183" i="1"/>
  <c r="AA183" i="1" s="1"/>
  <c r="AB183" i="1"/>
  <c r="AC183" i="1"/>
  <c r="AD183" i="1"/>
  <c r="AE183" i="1"/>
  <c r="AF183" i="1"/>
  <c r="AH199" i="1"/>
  <c r="AM199" i="1"/>
  <c r="AN199" i="1"/>
  <c r="AO199" i="1"/>
  <c r="K184" i="1"/>
  <c r="L184" i="1"/>
  <c r="M184" i="1"/>
  <c r="N184" i="1"/>
  <c r="V184" i="1"/>
  <c r="Y184" i="1"/>
  <c r="Z184" i="1"/>
  <c r="AA184" i="1" s="1"/>
  <c r="AB184" i="1"/>
  <c r="AC184" i="1"/>
  <c r="AD184" i="1"/>
  <c r="X184" i="1" s="1"/>
  <c r="AE184" i="1"/>
  <c r="AF184" i="1"/>
  <c r="AH200" i="1"/>
  <c r="AM200" i="1"/>
  <c r="AN200" i="1"/>
  <c r="AO20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1" i="1"/>
  <c r="AM201" i="1"/>
  <c r="AN201" i="1"/>
  <c r="AO201" i="1"/>
  <c r="K186" i="1"/>
  <c r="L186" i="1"/>
  <c r="M186" i="1"/>
  <c r="N186" i="1"/>
  <c r="T186" i="1"/>
  <c r="V186" i="1"/>
  <c r="Y186" i="1"/>
  <c r="Z186" i="1"/>
  <c r="AA186" i="1" s="1"/>
  <c r="AB186" i="1"/>
  <c r="AC186" i="1"/>
  <c r="AD186" i="1"/>
  <c r="AE186" i="1"/>
  <c r="AF186" i="1"/>
  <c r="AH202" i="1"/>
  <c r="AM202" i="1"/>
  <c r="AN202" i="1"/>
  <c r="AO202" i="1"/>
  <c r="K187" i="1"/>
  <c r="L187" i="1"/>
  <c r="M187" i="1"/>
  <c r="N187" i="1"/>
  <c r="V187" i="1"/>
  <c r="Y187" i="1"/>
  <c r="Z187" i="1"/>
  <c r="AA187" i="1" s="1"/>
  <c r="AB187" i="1"/>
  <c r="AC187" i="1"/>
  <c r="AD187" i="1"/>
  <c r="X187" i="1" s="1"/>
  <c r="AE187" i="1"/>
  <c r="AF187" i="1"/>
  <c r="AH203" i="1"/>
  <c r="AM203" i="1"/>
  <c r="AN203" i="1"/>
  <c r="AO203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04" i="1"/>
  <c r="AM204" i="1"/>
  <c r="AN204" i="1"/>
  <c r="AO20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5" i="1"/>
  <c r="AM205" i="1"/>
  <c r="AN205" i="1"/>
  <c r="AO20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6" i="1"/>
  <c r="AM206" i="1"/>
  <c r="AN206" i="1"/>
  <c r="AO206" i="1"/>
  <c r="K191" i="1"/>
  <c r="L191" i="1"/>
  <c r="M191" i="1"/>
  <c r="N191" i="1" s="1"/>
  <c r="V191" i="1"/>
  <c r="Y191" i="1"/>
  <c r="Z191" i="1"/>
  <c r="AA191" i="1" s="1"/>
  <c r="AB191" i="1"/>
  <c r="AC191" i="1"/>
  <c r="AD191" i="1"/>
  <c r="T191" i="1" s="1"/>
  <c r="AE191" i="1"/>
  <c r="AF191" i="1"/>
  <c r="AH207" i="1"/>
  <c r="AM207" i="1"/>
  <c r="AN207" i="1"/>
  <c r="AO20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8" i="1"/>
  <c r="AM208" i="1"/>
  <c r="AN208" i="1"/>
  <c r="AO20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09" i="1"/>
  <c r="AM209" i="1"/>
  <c r="AN209" i="1"/>
  <c r="AO209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0" i="1"/>
  <c r="AM210" i="1"/>
  <c r="AN210" i="1"/>
  <c r="AO210" i="1"/>
  <c r="K195" i="1"/>
  <c r="L195" i="1"/>
  <c r="M195" i="1"/>
  <c r="N195" i="1" s="1"/>
  <c r="V195" i="1"/>
  <c r="Y195" i="1"/>
  <c r="Z195" i="1"/>
  <c r="AA195" i="1" s="1"/>
  <c r="AB195" i="1"/>
  <c r="AC195" i="1"/>
  <c r="AD195" i="1"/>
  <c r="AE195" i="1"/>
  <c r="AF195" i="1"/>
  <c r="AH211" i="1"/>
  <c r="AM211" i="1"/>
  <c r="AN211" i="1"/>
  <c r="AO211" i="1"/>
  <c r="K196" i="1"/>
  <c r="L196" i="1"/>
  <c r="M196" i="1"/>
  <c r="N196" i="1" s="1"/>
  <c r="V196" i="1"/>
  <c r="Y196" i="1"/>
  <c r="Z196" i="1"/>
  <c r="AA196" i="1" s="1"/>
  <c r="AB196" i="1"/>
  <c r="AC196" i="1"/>
  <c r="AD196" i="1"/>
  <c r="T196" i="1" s="1"/>
  <c r="AE196" i="1"/>
  <c r="AF196" i="1"/>
  <c r="AH212" i="1"/>
  <c r="AM212" i="1"/>
  <c r="AN212" i="1"/>
  <c r="AO21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3" i="1"/>
  <c r="AM213" i="1"/>
  <c r="AN213" i="1"/>
  <c r="AO213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14" i="1"/>
  <c r="AM214" i="1"/>
  <c r="AN214" i="1"/>
  <c r="AO214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15" i="1"/>
  <c r="AM215" i="1"/>
  <c r="AN215" i="1"/>
  <c r="AO215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16" i="1"/>
  <c r="AM216" i="1"/>
  <c r="AN216" i="1"/>
  <c r="AO216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17" i="1"/>
  <c r="AM217" i="1"/>
  <c r="AN217" i="1"/>
  <c r="AO217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18" i="1"/>
  <c r="AM218" i="1"/>
  <c r="AN218" i="1"/>
  <c r="AO218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19" i="1"/>
  <c r="AM219" i="1"/>
  <c r="AN219" i="1"/>
  <c r="AO219" i="1"/>
  <c r="K204" i="1"/>
  <c r="L204" i="1"/>
  <c r="M204" i="1"/>
  <c r="N204" i="1" s="1"/>
  <c r="V204" i="1"/>
  <c r="Y204" i="1"/>
  <c r="Z204" i="1"/>
  <c r="AA204" i="1" s="1"/>
  <c r="AB204" i="1"/>
  <c r="AC204" i="1"/>
  <c r="AD204" i="1"/>
  <c r="AE204" i="1"/>
  <c r="AF204" i="1"/>
  <c r="AH220" i="1"/>
  <c r="AM220" i="1"/>
  <c r="AN220" i="1"/>
  <c r="AO220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21" i="1"/>
  <c r="AM221" i="1"/>
  <c r="AN221" i="1"/>
  <c r="AO221" i="1"/>
  <c r="K206" i="1"/>
  <c r="L206" i="1"/>
  <c r="M206" i="1"/>
  <c r="N206" i="1" s="1"/>
  <c r="V206" i="1"/>
  <c r="S16" i="3" s="1"/>
  <c r="Y206" i="1"/>
  <c r="Z206" i="1"/>
  <c r="AB206" i="1"/>
  <c r="AC206" i="1"/>
  <c r="AD206" i="1"/>
  <c r="T206" i="1" s="1"/>
  <c r="AE206" i="1"/>
  <c r="AF206" i="1"/>
  <c r="AH222" i="1"/>
  <c r="AM222" i="1"/>
  <c r="AN222" i="1"/>
  <c r="AO222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23" i="1"/>
  <c r="AM223" i="1"/>
  <c r="AN223" i="1"/>
  <c r="AO223" i="1"/>
  <c r="K230" i="1"/>
  <c r="L230" i="1"/>
  <c r="M230" i="1"/>
  <c r="N230" i="1" s="1"/>
  <c r="V230" i="1"/>
  <c r="Y230" i="1"/>
  <c r="Z230" i="1"/>
  <c r="AA230" i="1" s="1"/>
  <c r="AB230" i="1"/>
  <c r="AC230" i="1"/>
  <c r="AD230" i="1"/>
  <c r="X230" i="1" s="1"/>
  <c r="AE230" i="1"/>
  <c r="AF230" i="1"/>
  <c r="AH224" i="1"/>
  <c r="AM224" i="1"/>
  <c r="AN224" i="1"/>
  <c r="AO224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225" i="1"/>
  <c r="AM225" i="1"/>
  <c r="AN225" i="1"/>
  <c r="AO225" i="1"/>
  <c r="K221" i="1"/>
  <c r="L221" i="1"/>
  <c r="M221" i="1"/>
  <c r="N221" i="1" s="1"/>
  <c r="V221" i="1"/>
  <c r="Y221" i="1"/>
  <c r="Z221" i="1"/>
  <c r="AB221" i="1"/>
  <c r="AC221" i="1"/>
  <c r="AD221" i="1"/>
  <c r="X221" i="1" s="1"/>
  <c r="AE221" i="1"/>
  <c r="AF221" i="1"/>
  <c r="AH226" i="1"/>
  <c r="AM226" i="1"/>
  <c r="AN226" i="1"/>
  <c r="AO226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27" i="1"/>
  <c r="AM227" i="1"/>
  <c r="AN227" i="1"/>
  <c r="AO227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28" i="1"/>
  <c r="AM228" i="1"/>
  <c r="AN228" i="1"/>
  <c r="AO228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29" i="1"/>
  <c r="AM229" i="1"/>
  <c r="AN229" i="1"/>
  <c r="AO229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30" i="1"/>
  <c r="AM230" i="1"/>
  <c r="AN230" i="1"/>
  <c r="AO230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1" i="1"/>
  <c r="AM231" i="1"/>
  <c r="AN231" i="1"/>
  <c r="AO231" i="1"/>
  <c r="M18" i="3"/>
  <c r="R18" i="3"/>
  <c r="S18" i="3"/>
  <c r="U18" i="3"/>
  <c r="T18" i="3" s="1"/>
  <c r="V18" i="3"/>
  <c r="X18" i="3"/>
  <c r="AC18" i="3"/>
  <c r="AD8" i="3"/>
  <c r="M7" i="3"/>
  <c r="R7" i="3"/>
  <c r="S7" i="3"/>
  <c r="U7" i="3"/>
  <c r="V7" i="3"/>
  <c r="X7" i="3"/>
  <c r="AC7" i="3"/>
  <c r="M8" i="3"/>
  <c r="R8" i="3"/>
  <c r="S8" i="3"/>
  <c r="U8" i="3"/>
  <c r="AC8" i="3" s="1"/>
  <c r="V8" i="3"/>
  <c r="X8" i="3"/>
  <c r="M12" i="3"/>
  <c r="R12" i="3"/>
  <c r="S12" i="3"/>
  <c r="T12" i="3"/>
  <c r="U12" i="3"/>
  <c r="AC12" i="3" s="1"/>
  <c r="V12" i="3"/>
  <c r="X12" i="3"/>
  <c r="AD11" i="3"/>
  <c r="M13" i="3"/>
  <c r="S13" i="3"/>
  <c r="U13" i="3"/>
  <c r="T13" i="3" s="1"/>
  <c r="V13" i="3"/>
  <c r="X13" i="3"/>
  <c r="AD12" i="3"/>
  <c r="M11" i="3"/>
  <c r="R11" i="3"/>
  <c r="U11" i="3"/>
  <c r="V11" i="3"/>
  <c r="X11" i="3"/>
  <c r="M14" i="3"/>
  <c r="R14" i="3"/>
  <c r="S14" i="3"/>
  <c r="U14" i="3"/>
  <c r="V14" i="3"/>
  <c r="X14" i="3"/>
  <c r="M19" i="3"/>
  <c r="R19" i="3"/>
  <c r="U19" i="3"/>
  <c r="T19" i="3" s="1"/>
  <c r="V19" i="3"/>
  <c r="X19" i="3"/>
  <c r="M15" i="3"/>
  <c r="R15" i="3"/>
  <c r="S15" i="3"/>
  <c r="U15" i="3"/>
  <c r="V15" i="3"/>
  <c r="X15" i="3"/>
  <c r="M9" i="3"/>
  <c r="R9" i="3"/>
  <c r="S9" i="3"/>
  <c r="U9" i="3"/>
  <c r="T9" i="3" s="1"/>
  <c r="V9" i="3"/>
  <c r="X9" i="3"/>
  <c r="M10" i="3"/>
  <c r="R10" i="3"/>
  <c r="U10" i="3"/>
  <c r="T10" i="3" s="1"/>
  <c r="V10" i="3"/>
  <c r="X10" i="3"/>
  <c r="AD18" i="3"/>
  <c r="M16" i="3"/>
  <c r="R16" i="3"/>
  <c r="U16" i="3"/>
  <c r="AD19" i="3" s="1"/>
  <c r="V16" i="3"/>
  <c r="X16" i="3"/>
  <c r="M20" i="3"/>
  <c r="S20" i="3"/>
  <c r="U20" i="3"/>
  <c r="AC20" i="3" s="1"/>
  <c r="V20" i="3"/>
  <c r="X20" i="3"/>
  <c r="M21" i="3"/>
  <c r="R21" i="3"/>
  <c r="U21" i="3"/>
  <c r="T21" i="3" s="1"/>
  <c r="V21" i="3"/>
  <c r="X21" i="3"/>
  <c r="M17" i="3"/>
  <c r="R17" i="3"/>
  <c r="U17" i="3"/>
  <c r="AC17" i="3" s="1"/>
  <c r="V17" i="3"/>
  <c r="X17" i="3"/>
  <c r="AG33" i="1"/>
  <c r="AG61" i="1"/>
  <c r="AG47" i="1"/>
  <c r="AG28" i="1"/>
  <c r="AG90" i="1"/>
  <c r="AG76" i="1"/>
  <c r="AG117" i="1"/>
  <c r="AG111" i="1"/>
  <c r="AG146" i="1"/>
  <c r="AG88" i="1"/>
  <c r="AG168" i="1"/>
  <c r="AG176" i="1"/>
  <c r="AG188" i="1"/>
  <c r="AG145" i="1"/>
  <c r="AG138" i="1"/>
  <c r="AG193" i="1"/>
  <c r="AG201" i="1"/>
  <c r="AG224" i="1"/>
  <c r="AG26" i="1"/>
  <c r="AG15" i="1"/>
  <c r="AG31" i="1"/>
  <c r="AG59" i="1"/>
  <c r="AG67" i="1"/>
  <c r="AG75" i="1"/>
  <c r="AG38" i="1"/>
  <c r="AG40" i="1"/>
  <c r="AG81" i="1"/>
  <c r="AG114" i="1"/>
  <c r="AG79" i="1"/>
  <c r="AG112" i="1"/>
  <c r="AG97" i="1"/>
  <c r="AG126" i="1"/>
  <c r="AG150" i="1"/>
  <c r="AG215" i="1"/>
  <c r="AG107" i="1"/>
  <c r="AG166" i="1"/>
  <c r="AG174" i="1"/>
  <c r="AG182" i="1"/>
  <c r="AG99" i="1"/>
  <c r="AG129" i="1"/>
  <c r="AG218" i="1"/>
  <c r="AG155" i="1"/>
  <c r="AG195" i="1"/>
  <c r="AG203" i="1"/>
  <c r="AG222" i="1"/>
  <c r="AG212" i="1"/>
  <c r="AG22" i="1"/>
  <c r="AG35" i="1"/>
  <c r="AG43" i="1"/>
  <c r="AG27" i="1"/>
  <c r="AG25" i="1"/>
  <c r="AG58" i="1"/>
  <c r="AG62" i="1"/>
  <c r="AG66" i="1"/>
  <c r="AG70" i="1"/>
  <c r="AG74" i="1"/>
  <c r="AG54" i="1"/>
  <c r="AG32" i="1"/>
  <c r="AG48" i="1"/>
  <c r="AG36" i="1"/>
  <c r="AG53" i="1"/>
  <c r="AG77" i="1"/>
  <c r="AG110" i="1"/>
  <c r="AG120" i="1"/>
  <c r="AG80" i="1"/>
  <c r="AG92" i="1"/>
  <c r="AG108" i="1"/>
  <c r="AG93" i="1"/>
  <c r="AG125" i="1"/>
  <c r="AG148" i="1"/>
  <c r="AG213" i="1"/>
  <c r="AG91" i="1"/>
  <c r="AG165" i="1"/>
  <c r="AG173" i="1"/>
  <c r="AG181" i="1"/>
  <c r="AG84" i="1"/>
  <c r="AG103" i="1"/>
  <c r="AG208" i="1"/>
  <c r="AG190" i="1"/>
  <c r="AG198" i="1"/>
  <c r="AG206" i="1"/>
  <c r="AG225" i="1"/>
  <c r="AG37" i="1"/>
  <c r="AG29" i="1"/>
  <c r="AG63" i="1"/>
  <c r="AG71" i="1"/>
  <c r="AG55" i="1"/>
  <c r="AG49" i="1"/>
  <c r="AG45" i="1"/>
  <c r="AG98" i="1"/>
  <c r="AG122" i="1"/>
  <c r="AG96" i="1"/>
  <c r="AG82" i="1"/>
  <c r="AG113" i="1"/>
  <c r="AG142" i="1"/>
  <c r="AG158" i="1"/>
  <c r="AG229" i="1"/>
  <c r="AG135" i="1"/>
  <c r="AG170" i="1"/>
  <c r="AG178" i="1"/>
  <c r="AG186" i="1"/>
  <c r="AG139" i="1"/>
  <c r="AG153" i="1"/>
  <c r="AG159" i="1"/>
  <c r="AG191" i="1"/>
  <c r="AG199" i="1"/>
  <c r="AG207" i="1"/>
  <c r="AG226" i="1"/>
  <c r="AG14" i="1"/>
  <c r="AG30" i="1"/>
  <c r="AG39" i="1"/>
  <c r="AG19" i="1"/>
  <c r="AG17" i="1"/>
  <c r="AG56" i="1"/>
  <c r="AG60" i="1"/>
  <c r="AG64" i="1"/>
  <c r="AG68" i="1"/>
  <c r="AG72" i="1"/>
  <c r="AG34" i="1"/>
  <c r="AG16" i="1"/>
  <c r="AG42" i="1"/>
  <c r="AG20" i="1"/>
  <c r="AG44" i="1"/>
  <c r="AG50" i="1"/>
  <c r="AG87" i="1"/>
  <c r="AG102" i="1"/>
  <c r="AG116" i="1"/>
  <c r="AG124" i="1"/>
  <c r="AG83" i="1"/>
  <c r="AG100" i="1"/>
  <c r="AG115" i="1"/>
  <c r="AG86" i="1"/>
  <c r="AG101" i="1"/>
  <c r="AG95" i="1"/>
  <c r="AG133" i="1"/>
  <c r="AG144" i="1"/>
  <c r="AG152" i="1"/>
  <c r="AG209" i="1"/>
  <c r="AG217" i="1"/>
  <c r="AG160" i="1"/>
  <c r="AG119" i="1"/>
  <c r="AG136" i="1"/>
  <c r="AG167" i="1"/>
  <c r="AG171" i="1"/>
  <c r="AG175" i="1"/>
  <c r="AG179" i="1"/>
  <c r="AG183" i="1"/>
  <c r="AG187" i="1"/>
  <c r="AG123" i="1"/>
  <c r="AG140" i="1"/>
  <c r="AG130" i="1"/>
  <c r="AG157" i="1"/>
  <c r="AG228" i="1"/>
  <c r="AG137" i="1"/>
  <c r="AG220" i="1"/>
  <c r="AG192" i="1"/>
  <c r="AG196" i="1"/>
  <c r="AG200" i="1"/>
  <c r="AG204" i="1"/>
  <c r="AG230" i="1"/>
  <c r="AG223" i="1"/>
  <c r="AG121" i="1"/>
  <c r="AG216" i="1"/>
  <c r="AG18" i="1"/>
  <c r="AG41" i="1"/>
  <c r="AG23" i="1"/>
  <c r="AG21" i="1"/>
  <c r="AG57" i="1"/>
  <c r="AG65" i="1"/>
  <c r="AG69" i="1"/>
  <c r="AG73" i="1"/>
  <c r="AG24" i="1"/>
  <c r="AG46" i="1"/>
  <c r="AG52" i="1"/>
  <c r="AG51" i="1"/>
  <c r="AG106" i="1"/>
  <c r="AG118" i="1"/>
  <c r="AG85" i="1"/>
  <c r="AG104" i="1"/>
  <c r="AG89" i="1"/>
  <c r="AG105" i="1"/>
  <c r="AG134" i="1"/>
  <c r="AG154" i="1"/>
  <c r="AG211" i="1"/>
  <c r="AG219" i="1"/>
  <c r="AG127" i="1"/>
  <c r="AG164" i="1"/>
  <c r="AG172" i="1"/>
  <c r="AG180" i="1"/>
  <c r="AG184" i="1"/>
  <c r="AG131" i="1"/>
  <c r="AG162" i="1"/>
  <c r="AG210" i="1"/>
  <c r="AG161" i="1"/>
  <c r="AG189" i="1"/>
  <c r="AG197" i="1"/>
  <c r="AG205" i="1"/>
  <c r="AG231" i="1"/>
  <c r="AG147" i="1"/>
  <c r="AG163" i="1"/>
  <c r="AG94" i="1"/>
  <c r="AG78" i="1"/>
  <c r="AG109" i="1"/>
  <c r="AG141" i="1"/>
  <c r="AG156" i="1"/>
  <c r="AG227" i="1"/>
  <c r="AG128" i="1"/>
  <c r="AG169" i="1"/>
  <c r="AG177" i="1"/>
  <c r="AG185" i="1"/>
  <c r="AG132" i="1"/>
  <c r="AG149" i="1"/>
  <c r="AG214" i="1"/>
  <c r="AG143" i="1"/>
  <c r="AG194" i="1"/>
  <c r="AG202" i="1"/>
  <c r="AG221" i="1"/>
  <c r="AG151" i="1"/>
  <c r="W11" i="3"/>
  <c r="W8" i="3"/>
  <c r="W9" i="3"/>
  <c r="W18" i="3"/>
  <c r="W16" i="3"/>
  <c r="W14" i="3"/>
  <c r="W19" i="3"/>
  <c r="W15" i="3"/>
  <c r="W12" i="3"/>
  <c r="W13" i="3"/>
  <c r="W7" i="3"/>
  <c r="W21" i="3"/>
  <c r="W20" i="3"/>
  <c r="W10" i="3"/>
  <c r="W17" i="3"/>
  <c r="X222" i="1" l="1"/>
  <c r="AA224" i="1"/>
  <c r="AA231" i="1"/>
  <c r="AA205" i="1"/>
  <c r="AA201" i="1"/>
  <c r="AA197" i="1"/>
  <c r="AA193" i="1"/>
  <c r="AA189" i="1"/>
  <c r="X188" i="1"/>
  <c r="AA182" i="1"/>
  <c r="AA181" i="1"/>
  <c r="AA178" i="1"/>
  <c r="AA174" i="1"/>
  <c r="AA170" i="1"/>
  <c r="AA166" i="1"/>
  <c r="AA217" i="1"/>
  <c r="AA216" i="1"/>
  <c r="AA152" i="1"/>
  <c r="AA151" i="1"/>
  <c r="AA146" i="1"/>
  <c r="AA142" i="1"/>
  <c r="AA128" i="1"/>
  <c r="AA121" i="1"/>
  <c r="X83" i="1"/>
  <c r="AA82" i="1"/>
  <c r="X77" i="1"/>
  <c r="AA77" i="1"/>
  <c r="AA69" i="1"/>
  <c r="T65" i="1"/>
  <c r="X64" i="1"/>
  <c r="AA49" i="1"/>
  <c r="AA225" i="1"/>
  <c r="AA221" i="1"/>
  <c r="AA206" i="1"/>
  <c r="AA202" i="1"/>
  <c r="AA198" i="1"/>
  <c r="AA194" i="1"/>
  <c r="AA190" i="1"/>
  <c r="T187" i="1"/>
  <c r="AA175" i="1"/>
  <c r="AA171" i="1"/>
  <c r="AA167" i="1"/>
  <c r="AA148" i="1"/>
  <c r="AA144" i="1"/>
  <c r="AA134" i="1"/>
  <c r="AA124" i="1"/>
  <c r="AA116" i="1"/>
  <c r="T70" i="1"/>
  <c r="AA54" i="1"/>
  <c r="AA46" i="1"/>
  <c r="AA35" i="1"/>
  <c r="AA172" i="1"/>
  <c r="AA168" i="1"/>
  <c r="AA164" i="1"/>
  <c r="AA160" i="1"/>
  <c r="AA94" i="1"/>
  <c r="T73" i="1"/>
  <c r="X72" i="1"/>
  <c r="AA70" i="1"/>
  <c r="X66" i="1"/>
  <c r="AA61" i="1"/>
  <c r="X207" i="1"/>
  <c r="X199" i="1"/>
  <c r="X177" i="1"/>
  <c r="AA141" i="1"/>
  <c r="AA118" i="1"/>
  <c r="X56" i="1"/>
  <c r="AA48" i="1"/>
  <c r="AA43" i="1"/>
  <c r="X185" i="1"/>
  <c r="T180" i="1"/>
  <c r="T176" i="1"/>
  <c r="U176" i="1" s="1"/>
  <c r="S176" i="1" s="1"/>
  <c r="AA226" i="1"/>
  <c r="X225" i="1"/>
  <c r="AA222" i="1"/>
  <c r="AA207" i="1"/>
  <c r="W207" i="1" s="1"/>
  <c r="AA203" i="1"/>
  <c r="X202" i="1"/>
  <c r="AA199" i="1"/>
  <c r="X198" i="1"/>
  <c r="T188" i="1"/>
  <c r="T184" i="1"/>
  <c r="X182" i="1"/>
  <c r="T182" i="1"/>
  <c r="U182" i="1" s="1"/>
  <c r="S182" i="1" s="1"/>
  <c r="X181" i="1"/>
  <c r="AA179" i="1"/>
  <c r="T179" i="1"/>
  <c r="AA176" i="1"/>
  <c r="AA161" i="1"/>
  <c r="AA220" i="1"/>
  <c r="AA209" i="1"/>
  <c r="AA145" i="1"/>
  <c r="W145" i="1" s="1"/>
  <c r="AA137" i="1"/>
  <c r="AA133" i="1"/>
  <c r="AA127" i="1"/>
  <c r="AA122" i="1"/>
  <c r="W122" i="1" s="1"/>
  <c r="AA111" i="1"/>
  <c r="AA102" i="1"/>
  <c r="AA95" i="1"/>
  <c r="AA81" i="1"/>
  <c r="W81" i="1" s="1"/>
  <c r="X74" i="1"/>
  <c r="T68" i="1"/>
  <c r="AA62" i="1"/>
  <c r="X59" i="1"/>
  <c r="T59" i="1"/>
  <c r="T57" i="1"/>
  <c r="AA53" i="1"/>
  <c r="AA38" i="1"/>
  <c r="X204" i="1"/>
  <c r="AA210" i="1"/>
  <c r="AA155" i="1"/>
  <c r="AA103" i="1"/>
  <c r="W103" i="1" s="1"/>
  <c r="AA87" i="1"/>
  <c r="X78" i="1"/>
  <c r="X75" i="1"/>
  <c r="T75" i="1"/>
  <c r="U75" i="1" s="1"/>
  <c r="S75" i="1" s="1"/>
  <c r="X58" i="1"/>
  <c r="X224" i="1"/>
  <c r="X205" i="1"/>
  <c r="X201" i="1"/>
  <c r="X197" i="1"/>
  <c r="AA218" i="1"/>
  <c r="AA212" i="1"/>
  <c r="AA135" i="1"/>
  <c r="W135" i="1" s="1"/>
  <c r="AA125" i="1"/>
  <c r="T77" i="1"/>
  <c r="X67" i="1"/>
  <c r="T67" i="1"/>
  <c r="U67" i="1" s="1"/>
  <c r="S67" i="1" s="1"/>
  <c r="T62" i="1"/>
  <c r="X195" i="1"/>
  <c r="AA192" i="1"/>
  <c r="AA188" i="1"/>
  <c r="W188" i="1" s="1"/>
  <c r="X186" i="1"/>
  <c r="AA185" i="1"/>
  <c r="AA180" i="1"/>
  <c r="X178" i="1"/>
  <c r="AA177" i="1"/>
  <c r="AA228" i="1"/>
  <c r="AA214" i="1"/>
  <c r="AA157" i="1"/>
  <c r="AA149" i="1"/>
  <c r="AA140" i="1"/>
  <c r="AA138" i="1"/>
  <c r="AA129" i="1"/>
  <c r="W129" i="1" s="1"/>
  <c r="AA120" i="1"/>
  <c r="AA119" i="1"/>
  <c r="AA117" i="1"/>
  <c r="AA107" i="1"/>
  <c r="W107" i="1" s="1"/>
  <c r="AA99" i="1"/>
  <c r="AA91" i="1"/>
  <c r="AA85" i="1"/>
  <c r="AA83" i="1"/>
  <c r="W83" i="1" s="1"/>
  <c r="AA79" i="1"/>
  <c r="X69" i="1"/>
  <c r="X61" i="1"/>
  <c r="AA51" i="1"/>
  <c r="AA42" i="1"/>
  <c r="AA33" i="1"/>
  <c r="AA32" i="1"/>
  <c r="AA28" i="1"/>
  <c r="W28" i="1" s="1"/>
  <c r="AA24" i="1"/>
  <c r="AA20" i="1"/>
  <c r="AA16" i="1"/>
  <c r="AA115" i="1"/>
  <c r="AA112" i="1"/>
  <c r="AA104" i="1"/>
  <c r="AA96" i="1"/>
  <c r="AA88" i="1"/>
  <c r="W88" i="1" s="1"/>
  <c r="AA84" i="1"/>
  <c r="AA80" i="1"/>
  <c r="AA76" i="1"/>
  <c r="X71" i="1"/>
  <c r="X63" i="1"/>
  <c r="AA50" i="1"/>
  <c r="AA40" i="1"/>
  <c r="AI179" i="1"/>
  <c r="AI167" i="1"/>
  <c r="AI163" i="1"/>
  <c r="AI151" i="1"/>
  <c r="AI147" i="1"/>
  <c r="AI121" i="1"/>
  <c r="W121" i="1"/>
  <c r="AI231" i="1"/>
  <c r="U226" i="1"/>
  <c r="S226" i="1" s="1"/>
  <c r="AI230" i="1"/>
  <c r="AI229" i="1"/>
  <c r="AI228" i="1"/>
  <c r="U223" i="1"/>
  <c r="S223" i="1" s="1"/>
  <c r="AI227" i="1"/>
  <c r="AI226" i="1"/>
  <c r="AI225" i="1"/>
  <c r="U231" i="1"/>
  <c r="S231" i="1" s="1"/>
  <c r="AI224" i="1"/>
  <c r="AI223" i="1"/>
  <c r="AI222" i="1"/>
  <c r="U206" i="1"/>
  <c r="S206" i="1" s="1"/>
  <c r="AI221" i="1"/>
  <c r="AI220" i="1"/>
  <c r="AI219" i="1"/>
  <c r="U203" i="1"/>
  <c r="S203" i="1" s="1"/>
  <c r="AI218" i="1"/>
  <c r="AI217" i="1"/>
  <c r="AI216" i="1"/>
  <c r="U200" i="1"/>
  <c r="S200" i="1" s="1"/>
  <c r="AI215" i="1"/>
  <c r="AI214" i="1"/>
  <c r="AI213" i="1"/>
  <c r="AI212" i="1"/>
  <c r="U196" i="1"/>
  <c r="S196" i="1" s="1"/>
  <c r="AI211" i="1"/>
  <c r="AI210" i="1"/>
  <c r="U194" i="1"/>
  <c r="S194" i="1" s="1"/>
  <c r="AI209" i="1"/>
  <c r="U193" i="1"/>
  <c r="S193" i="1" s="1"/>
  <c r="AI208" i="1"/>
  <c r="U192" i="1"/>
  <c r="S192" i="1" s="1"/>
  <c r="AI207" i="1"/>
  <c r="U191" i="1"/>
  <c r="S191" i="1" s="1"/>
  <c r="AI206" i="1"/>
  <c r="U190" i="1"/>
  <c r="S190" i="1" s="1"/>
  <c r="AI205" i="1"/>
  <c r="U189" i="1"/>
  <c r="S189" i="1" s="1"/>
  <c r="AI171" i="1"/>
  <c r="AI155" i="1"/>
  <c r="AI143" i="1"/>
  <c r="AI138" i="1"/>
  <c r="AI137" i="1"/>
  <c r="AI175" i="1"/>
  <c r="AI159" i="1"/>
  <c r="AI177" i="1"/>
  <c r="AI173" i="1"/>
  <c r="AI169" i="1"/>
  <c r="AI165" i="1"/>
  <c r="AI161" i="1"/>
  <c r="AI157" i="1"/>
  <c r="AI153" i="1"/>
  <c r="AI149" i="1"/>
  <c r="AI145" i="1"/>
  <c r="AI130" i="1"/>
  <c r="AI129" i="1"/>
  <c r="U103" i="1"/>
  <c r="S103" i="1" s="1"/>
  <c r="AI103" i="1"/>
  <c r="AI178" i="1"/>
  <c r="AI140" i="1"/>
  <c r="AI139" i="1"/>
  <c r="W139" i="1"/>
  <c r="AI132" i="1"/>
  <c r="AI131" i="1"/>
  <c r="W131" i="1"/>
  <c r="AI123" i="1"/>
  <c r="U99" i="1"/>
  <c r="S99" i="1" s="1"/>
  <c r="AI99" i="1"/>
  <c r="AI84" i="1"/>
  <c r="U84" i="1"/>
  <c r="S84" i="1" s="1"/>
  <c r="U188" i="1"/>
  <c r="S188" i="1" s="1"/>
  <c r="AI204" i="1"/>
  <c r="U187" i="1"/>
  <c r="S187" i="1" s="1"/>
  <c r="AI203" i="1"/>
  <c r="U186" i="1"/>
  <c r="S186" i="1"/>
  <c r="AI202" i="1"/>
  <c r="U185" i="1"/>
  <c r="S185" i="1" s="1"/>
  <c r="AI201" i="1"/>
  <c r="U184" i="1"/>
  <c r="S184" i="1" s="1"/>
  <c r="AI200" i="1"/>
  <c r="U183" i="1"/>
  <c r="S183" i="1" s="1"/>
  <c r="AI199" i="1"/>
  <c r="AI198" i="1"/>
  <c r="U181" i="1"/>
  <c r="S181" i="1" s="1"/>
  <c r="AI197" i="1"/>
  <c r="U180" i="1"/>
  <c r="S180" i="1" s="1"/>
  <c r="AI196" i="1"/>
  <c r="U179" i="1"/>
  <c r="S179" i="1" s="1"/>
  <c r="AI195" i="1"/>
  <c r="U178" i="1"/>
  <c r="S178" i="1"/>
  <c r="AI194" i="1"/>
  <c r="U177" i="1"/>
  <c r="S177" i="1" s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36" i="1"/>
  <c r="AI135" i="1"/>
  <c r="AI128" i="1"/>
  <c r="AI127" i="1"/>
  <c r="AI119" i="1"/>
  <c r="U107" i="1"/>
  <c r="S107" i="1" s="1"/>
  <c r="AI107" i="1"/>
  <c r="U91" i="1"/>
  <c r="S91" i="1" s="1"/>
  <c r="AI91" i="1"/>
  <c r="AI88" i="1"/>
  <c r="U88" i="1"/>
  <c r="AI176" i="1"/>
  <c r="AI174" i="1"/>
  <c r="AI172" i="1"/>
  <c r="AI170" i="1"/>
  <c r="AI168" i="1"/>
  <c r="AI166" i="1"/>
  <c r="AI164" i="1"/>
  <c r="AI162" i="1"/>
  <c r="AI160" i="1"/>
  <c r="AI158" i="1"/>
  <c r="AI156" i="1"/>
  <c r="AI154" i="1"/>
  <c r="AI152" i="1"/>
  <c r="AI150" i="1"/>
  <c r="AI148" i="1"/>
  <c r="AI146" i="1"/>
  <c r="AI144" i="1"/>
  <c r="AI142" i="1"/>
  <c r="AI141" i="1"/>
  <c r="AI134" i="1"/>
  <c r="AI133" i="1"/>
  <c r="AI126" i="1"/>
  <c r="W125" i="1"/>
  <c r="AI125" i="1"/>
  <c r="U111" i="1"/>
  <c r="S111" i="1" s="1"/>
  <c r="AI111" i="1"/>
  <c r="U95" i="1"/>
  <c r="S95" i="1" s="1"/>
  <c r="AI95" i="1"/>
  <c r="U113" i="1"/>
  <c r="S113" i="1" s="1"/>
  <c r="AI113" i="1"/>
  <c r="U109" i="1"/>
  <c r="S109" i="1" s="1"/>
  <c r="AI109" i="1"/>
  <c r="U105" i="1"/>
  <c r="S105" i="1"/>
  <c r="AI105" i="1"/>
  <c r="U101" i="1"/>
  <c r="S101" i="1" s="1"/>
  <c r="AI101" i="1"/>
  <c r="U97" i="1"/>
  <c r="S97" i="1" s="1"/>
  <c r="AI97" i="1"/>
  <c r="U93" i="1"/>
  <c r="S93" i="1" s="1"/>
  <c r="AI93" i="1"/>
  <c r="AI89" i="1"/>
  <c r="U89" i="1"/>
  <c r="S89" i="1" s="1"/>
  <c r="AI86" i="1"/>
  <c r="U86" i="1"/>
  <c r="S86" i="1" s="1"/>
  <c r="S82" i="1"/>
  <c r="AI82" i="1"/>
  <c r="U82" i="1"/>
  <c r="AI78" i="1"/>
  <c r="U78" i="1"/>
  <c r="S78" i="1" s="1"/>
  <c r="AI117" i="1"/>
  <c r="AI115" i="1"/>
  <c r="W115" i="1"/>
  <c r="AI112" i="1"/>
  <c r="U112" i="1"/>
  <c r="S112" i="1" s="1"/>
  <c r="AI108" i="1"/>
  <c r="U108" i="1"/>
  <c r="S108" i="1" s="1"/>
  <c r="W108" i="1"/>
  <c r="AI104" i="1"/>
  <c r="U104" i="1"/>
  <c r="S104" i="1" s="1"/>
  <c r="AI100" i="1"/>
  <c r="U100" i="1"/>
  <c r="S100" i="1" s="1"/>
  <c r="W100" i="1"/>
  <c r="AI96" i="1"/>
  <c r="U96" i="1"/>
  <c r="S96" i="1" s="1"/>
  <c r="AI92" i="1"/>
  <c r="U92" i="1"/>
  <c r="S92" i="1" s="1"/>
  <c r="W92" i="1"/>
  <c r="AI85" i="1"/>
  <c r="U85" i="1"/>
  <c r="S85" i="1" s="1"/>
  <c r="AI83" i="1"/>
  <c r="U83" i="1"/>
  <c r="S83" i="1" s="1"/>
  <c r="S79" i="1"/>
  <c r="AI79" i="1"/>
  <c r="U79" i="1"/>
  <c r="AI80" i="1"/>
  <c r="U80" i="1"/>
  <c r="S80" i="1" s="1"/>
  <c r="U76" i="1"/>
  <c r="S76" i="1" s="1"/>
  <c r="AI76" i="1"/>
  <c r="AI124" i="1"/>
  <c r="AI122" i="1"/>
  <c r="AI120" i="1"/>
  <c r="AI118" i="1"/>
  <c r="AI116" i="1"/>
  <c r="AI114" i="1"/>
  <c r="U114" i="1"/>
  <c r="S114" i="1" s="1"/>
  <c r="AI110" i="1"/>
  <c r="U110" i="1"/>
  <c r="S110" i="1" s="1"/>
  <c r="AI106" i="1"/>
  <c r="U106" i="1"/>
  <c r="S106" i="1" s="1"/>
  <c r="AI102" i="1"/>
  <c r="U102" i="1"/>
  <c r="S102" i="1" s="1"/>
  <c r="S98" i="1"/>
  <c r="AI98" i="1"/>
  <c r="U98" i="1"/>
  <c r="AI94" i="1"/>
  <c r="U94" i="1"/>
  <c r="S94" i="1" s="1"/>
  <c r="AI90" i="1"/>
  <c r="U90" i="1"/>
  <c r="S90" i="1" s="1"/>
  <c r="AI87" i="1"/>
  <c r="U87" i="1"/>
  <c r="S87" i="1" s="1"/>
  <c r="AI81" i="1"/>
  <c r="U81" i="1"/>
  <c r="S81" i="1" s="1"/>
  <c r="AI77" i="1"/>
  <c r="U77" i="1"/>
  <c r="S77" i="1" s="1"/>
  <c r="AI51" i="1"/>
  <c r="AI50" i="1"/>
  <c r="AI45" i="1"/>
  <c r="AI53" i="1"/>
  <c r="AI52" i="1"/>
  <c r="AI44" i="1"/>
  <c r="AI40" i="1"/>
  <c r="AI36" i="1"/>
  <c r="AI28" i="1"/>
  <c r="U28" i="1"/>
  <c r="S28" i="1" s="1"/>
  <c r="AI20" i="1"/>
  <c r="U20" i="1"/>
  <c r="S20" i="1" s="1"/>
  <c r="AI49" i="1"/>
  <c r="W48" i="1"/>
  <c r="AI48" i="1"/>
  <c r="AI46" i="1"/>
  <c r="AI42" i="1"/>
  <c r="AI38" i="1"/>
  <c r="AI32" i="1"/>
  <c r="U32" i="1"/>
  <c r="S32" i="1" s="1"/>
  <c r="AI24" i="1"/>
  <c r="U24" i="1"/>
  <c r="S24" i="1" s="1"/>
  <c r="AI16" i="1"/>
  <c r="U16" i="1"/>
  <c r="S16" i="1" s="1"/>
  <c r="AI55" i="1"/>
  <c r="AI54" i="1"/>
  <c r="AI47" i="1"/>
  <c r="AI34" i="1"/>
  <c r="AI75" i="1"/>
  <c r="W75" i="1"/>
  <c r="U74" i="1"/>
  <c r="S74" i="1" s="1"/>
  <c r="AI74" i="1"/>
  <c r="U73" i="1"/>
  <c r="S73" i="1" s="1"/>
  <c r="AI73" i="1"/>
  <c r="W73" i="1"/>
  <c r="U72" i="1"/>
  <c r="S72" i="1" s="1"/>
  <c r="AI72" i="1"/>
  <c r="U71" i="1"/>
  <c r="AI71" i="1"/>
  <c r="S71" i="1"/>
  <c r="W71" i="1"/>
  <c r="U70" i="1"/>
  <c r="S70" i="1"/>
  <c r="AI70" i="1"/>
  <c r="U69" i="1"/>
  <c r="S69" i="1" s="1"/>
  <c r="AI69" i="1"/>
  <c r="W69" i="1"/>
  <c r="U68" i="1"/>
  <c r="S68" i="1" s="1"/>
  <c r="AI68" i="1"/>
  <c r="AI67" i="1"/>
  <c r="W67" i="1"/>
  <c r="U66" i="1"/>
  <c r="S66" i="1" s="1"/>
  <c r="AI66" i="1"/>
  <c r="U65" i="1"/>
  <c r="S65" i="1" s="1"/>
  <c r="AI65" i="1"/>
  <c r="W65" i="1"/>
  <c r="U64" i="1"/>
  <c r="S64" i="1" s="1"/>
  <c r="AI64" i="1"/>
  <c r="U63" i="1"/>
  <c r="S63" i="1" s="1"/>
  <c r="AI63" i="1"/>
  <c r="W63" i="1"/>
  <c r="U62" i="1"/>
  <c r="S62" i="1"/>
  <c r="AI62" i="1"/>
  <c r="U61" i="1"/>
  <c r="AI61" i="1"/>
  <c r="W61" i="1"/>
  <c r="U60" i="1"/>
  <c r="S60" i="1" s="1"/>
  <c r="AI60" i="1"/>
  <c r="U59" i="1"/>
  <c r="S59" i="1" s="1"/>
  <c r="AI59" i="1"/>
  <c r="W59" i="1"/>
  <c r="U58" i="1"/>
  <c r="S58" i="1" s="1"/>
  <c r="AI58" i="1"/>
  <c r="U57" i="1"/>
  <c r="S57" i="1" s="1"/>
  <c r="AI57" i="1"/>
  <c r="W57" i="1"/>
  <c r="U56" i="1"/>
  <c r="S56" i="1" s="1"/>
  <c r="AI56" i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31" i="1"/>
  <c r="U31" i="1"/>
  <c r="S31" i="1" s="1"/>
  <c r="AI27" i="1"/>
  <c r="U27" i="1"/>
  <c r="S27" i="1" s="1"/>
  <c r="AI23" i="1"/>
  <c r="U23" i="1"/>
  <c r="S23" i="1" s="1"/>
  <c r="AI19" i="1"/>
  <c r="U19" i="1"/>
  <c r="S19" i="1" s="1"/>
  <c r="AI15" i="1"/>
  <c r="U15" i="1"/>
  <c r="S15" i="1" s="1"/>
  <c r="AI43" i="1"/>
  <c r="AI41" i="1"/>
  <c r="AI39" i="1"/>
  <c r="AI37" i="1"/>
  <c r="AI35" i="1"/>
  <c r="AI33" i="1"/>
  <c r="AI30" i="1"/>
  <c r="U30" i="1"/>
  <c r="S30" i="1" s="1"/>
  <c r="AI26" i="1"/>
  <c r="U26" i="1"/>
  <c r="S26" i="1" s="1"/>
  <c r="AI22" i="1"/>
  <c r="U22" i="1"/>
  <c r="S22" i="1" s="1"/>
  <c r="S18" i="1"/>
  <c r="AI18" i="1"/>
  <c r="U18" i="1"/>
  <c r="AI14" i="1"/>
  <c r="U14" i="1"/>
  <c r="S14" i="1" s="1"/>
  <c r="W186" i="1"/>
  <c r="W182" i="1"/>
  <c r="W178" i="1"/>
  <c r="W204" i="1"/>
  <c r="W198" i="1"/>
  <c r="W196" i="1"/>
  <c r="W194" i="1"/>
  <c r="W193" i="1"/>
  <c r="W192" i="1"/>
  <c r="W191" i="1"/>
  <c r="W190" i="1"/>
  <c r="W189" i="1"/>
  <c r="T225" i="1"/>
  <c r="U225" i="1" s="1"/>
  <c r="S225" i="1" s="1"/>
  <c r="T224" i="1"/>
  <c r="U224" i="1" s="1"/>
  <c r="S224" i="1" s="1"/>
  <c r="T222" i="1"/>
  <c r="U222" i="1" s="1"/>
  <c r="S222" i="1" s="1"/>
  <c r="T221" i="1"/>
  <c r="U221" i="1" s="1"/>
  <c r="S221" i="1" s="1"/>
  <c r="T230" i="1"/>
  <c r="U230" i="1" s="1"/>
  <c r="S230" i="1" s="1"/>
  <c r="T207" i="1"/>
  <c r="U207" i="1" s="1"/>
  <c r="S207" i="1" s="1"/>
  <c r="T205" i="1"/>
  <c r="U205" i="1" s="1"/>
  <c r="S205" i="1" s="1"/>
  <c r="T204" i="1"/>
  <c r="U204" i="1" s="1"/>
  <c r="S204" i="1" s="1"/>
  <c r="T202" i="1"/>
  <c r="U202" i="1" s="1"/>
  <c r="S202" i="1" s="1"/>
  <c r="T201" i="1"/>
  <c r="U201" i="1" s="1"/>
  <c r="S201" i="1" s="1"/>
  <c r="T199" i="1"/>
  <c r="U199" i="1" s="1"/>
  <c r="S199" i="1" s="1"/>
  <c r="T198" i="1"/>
  <c r="U198" i="1" s="1"/>
  <c r="S198" i="1" s="1"/>
  <c r="T197" i="1"/>
  <c r="U197" i="1" s="1"/>
  <c r="S197" i="1" s="1"/>
  <c r="T195" i="1"/>
  <c r="U195" i="1" s="1"/>
  <c r="S195" i="1" s="1"/>
  <c r="X226" i="1"/>
  <c r="X223" i="1"/>
  <c r="X231" i="1"/>
  <c r="X206" i="1"/>
  <c r="X203" i="1"/>
  <c r="X200" i="1"/>
  <c r="X196" i="1"/>
  <c r="X194" i="1"/>
  <c r="X193" i="1"/>
  <c r="X192" i="1"/>
  <c r="X191" i="1"/>
  <c r="X190" i="1"/>
  <c r="X189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W163" i="1"/>
  <c r="W162" i="1"/>
  <c r="W159" i="1"/>
  <c r="W229" i="1"/>
  <c r="W220" i="1"/>
  <c r="W219" i="1"/>
  <c r="W216" i="1"/>
  <c r="W215" i="1"/>
  <c r="W212" i="1"/>
  <c r="W211" i="1"/>
  <c r="W208" i="1"/>
  <c r="W158" i="1"/>
  <c r="W155" i="1"/>
  <c r="W154" i="1"/>
  <c r="W151" i="1"/>
  <c r="W150" i="1"/>
  <c r="W147" i="1"/>
  <c r="W146" i="1"/>
  <c r="W143" i="1"/>
  <c r="W142" i="1"/>
  <c r="W136" i="1"/>
  <c r="W132" i="1"/>
  <c r="W120" i="1"/>
  <c r="W119" i="1"/>
  <c r="W117" i="1"/>
  <c r="W112" i="1"/>
  <c r="W101" i="1"/>
  <c r="W91" i="1"/>
  <c r="W184" i="1"/>
  <c r="W176" i="1"/>
  <c r="W134" i="1"/>
  <c r="W128" i="1"/>
  <c r="W96" i="1"/>
  <c r="W225" i="1"/>
  <c r="W223" i="1"/>
  <c r="W222" i="1"/>
  <c r="W230" i="1"/>
  <c r="W205" i="1"/>
  <c r="W203" i="1"/>
  <c r="W201" i="1"/>
  <c r="W199" i="1"/>
  <c r="W197" i="1"/>
  <c r="W195" i="1"/>
  <c r="W161" i="1"/>
  <c r="W160" i="1"/>
  <c r="W228" i="1"/>
  <c r="W227" i="1"/>
  <c r="W218" i="1"/>
  <c r="W217" i="1"/>
  <c r="W214" i="1"/>
  <c r="W213" i="1"/>
  <c r="W210" i="1"/>
  <c r="W209" i="1"/>
  <c r="W157" i="1"/>
  <c r="W156" i="1"/>
  <c r="W153" i="1"/>
  <c r="W152" i="1"/>
  <c r="W149" i="1"/>
  <c r="W148" i="1"/>
  <c r="W144" i="1"/>
  <c r="W141" i="1"/>
  <c r="W130" i="1"/>
  <c r="T128" i="1"/>
  <c r="U128" i="1" s="1"/>
  <c r="S128" i="1" s="1"/>
  <c r="X128" i="1"/>
  <c r="W127" i="1"/>
  <c r="W126" i="1"/>
  <c r="W124" i="1"/>
  <c r="W123" i="1"/>
  <c r="W104" i="1"/>
  <c r="W94" i="1"/>
  <c r="W180" i="1"/>
  <c r="W138" i="1"/>
  <c r="W137" i="1"/>
  <c r="T136" i="1"/>
  <c r="U136" i="1" s="1"/>
  <c r="S136" i="1" s="1"/>
  <c r="X136" i="1"/>
  <c r="W110" i="1"/>
  <c r="W52" i="1"/>
  <c r="W226" i="1"/>
  <c r="W224" i="1"/>
  <c r="W221" i="1"/>
  <c r="W231" i="1"/>
  <c r="W206" i="1"/>
  <c r="W202" i="1"/>
  <c r="W200" i="1"/>
  <c r="W187" i="1"/>
  <c r="W185" i="1"/>
  <c r="W183" i="1"/>
  <c r="W181" i="1"/>
  <c r="W179" i="1"/>
  <c r="W177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40" i="1"/>
  <c r="W133" i="1"/>
  <c r="T124" i="1"/>
  <c r="U124" i="1" s="1"/>
  <c r="S124" i="1" s="1"/>
  <c r="X124" i="1"/>
  <c r="W116" i="1"/>
  <c r="T163" i="1"/>
  <c r="U163" i="1" s="1"/>
  <c r="S163" i="1" s="1"/>
  <c r="X163" i="1"/>
  <c r="T161" i="1"/>
  <c r="U161" i="1" s="1"/>
  <c r="S161" i="1" s="1"/>
  <c r="X161" i="1"/>
  <c r="T159" i="1"/>
  <c r="U159" i="1" s="1"/>
  <c r="S159" i="1" s="1"/>
  <c r="X159" i="1"/>
  <c r="T228" i="1"/>
  <c r="U228" i="1" s="1"/>
  <c r="S228" i="1" s="1"/>
  <c r="X228" i="1"/>
  <c r="T220" i="1"/>
  <c r="U220" i="1" s="1"/>
  <c r="S220" i="1" s="1"/>
  <c r="X220" i="1"/>
  <c r="T218" i="1"/>
  <c r="U218" i="1" s="1"/>
  <c r="S218" i="1" s="1"/>
  <c r="X218" i="1"/>
  <c r="T216" i="1"/>
  <c r="U216" i="1" s="1"/>
  <c r="S216" i="1" s="1"/>
  <c r="X216" i="1"/>
  <c r="T214" i="1"/>
  <c r="U214" i="1" s="1"/>
  <c r="S214" i="1" s="1"/>
  <c r="X214" i="1"/>
  <c r="T212" i="1"/>
  <c r="U212" i="1" s="1"/>
  <c r="S212" i="1" s="1"/>
  <c r="X212" i="1"/>
  <c r="T210" i="1"/>
  <c r="U210" i="1" s="1"/>
  <c r="S210" i="1" s="1"/>
  <c r="X210" i="1"/>
  <c r="T208" i="1"/>
  <c r="U208" i="1" s="1"/>
  <c r="S208" i="1" s="1"/>
  <c r="X208" i="1"/>
  <c r="T157" i="1"/>
  <c r="U157" i="1" s="1"/>
  <c r="S157" i="1" s="1"/>
  <c r="X157" i="1"/>
  <c r="T155" i="1"/>
  <c r="U155" i="1" s="1"/>
  <c r="S155" i="1" s="1"/>
  <c r="X155" i="1"/>
  <c r="T153" i="1"/>
  <c r="U153" i="1" s="1"/>
  <c r="S153" i="1" s="1"/>
  <c r="X153" i="1"/>
  <c r="T151" i="1"/>
  <c r="U151" i="1" s="1"/>
  <c r="S151" i="1" s="1"/>
  <c r="X151" i="1"/>
  <c r="T149" i="1"/>
  <c r="U149" i="1" s="1"/>
  <c r="S149" i="1" s="1"/>
  <c r="X149" i="1"/>
  <c r="T147" i="1"/>
  <c r="U147" i="1" s="1"/>
  <c r="S147" i="1" s="1"/>
  <c r="X147" i="1"/>
  <c r="T145" i="1"/>
  <c r="U145" i="1" s="1"/>
  <c r="S145" i="1" s="1"/>
  <c r="X145" i="1"/>
  <c r="T143" i="1"/>
  <c r="U143" i="1" s="1"/>
  <c r="S143" i="1" s="1"/>
  <c r="X143" i="1"/>
  <c r="T138" i="1"/>
  <c r="U138" i="1" s="1"/>
  <c r="S138" i="1" s="1"/>
  <c r="X138" i="1"/>
  <c r="T130" i="1"/>
  <c r="U130" i="1" s="1"/>
  <c r="S130" i="1" s="1"/>
  <c r="X130" i="1"/>
  <c r="T118" i="1"/>
  <c r="U118" i="1" s="1"/>
  <c r="S118" i="1" s="1"/>
  <c r="X118" i="1"/>
  <c r="W113" i="1"/>
  <c r="W106" i="1"/>
  <c r="W97" i="1"/>
  <c r="W90" i="1"/>
  <c r="W87" i="1"/>
  <c r="T162" i="1"/>
  <c r="U162" i="1" s="1"/>
  <c r="S162" i="1" s="1"/>
  <c r="X162" i="1"/>
  <c r="T160" i="1"/>
  <c r="U160" i="1" s="1"/>
  <c r="S160" i="1" s="1"/>
  <c r="X160" i="1"/>
  <c r="T229" i="1"/>
  <c r="U229" i="1" s="1"/>
  <c r="S229" i="1" s="1"/>
  <c r="X229" i="1"/>
  <c r="T227" i="1"/>
  <c r="U227" i="1" s="1"/>
  <c r="S227" i="1" s="1"/>
  <c r="X227" i="1"/>
  <c r="T219" i="1"/>
  <c r="U219" i="1" s="1"/>
  <c r="S219" i="1" s="1"/>
  <c r="X219" i="1"/>
  <c r="T217" i="1"/>
  <c r="U217" i="1" s="1"/>
  <c r="S217" i="1" s="1"/>
  <c r="X217" i="1"/>
  <c r="T215" i="1"/>
  <c r="U215" i="1" s="1"/>
  <c r="S215" i="1" s="1"/>
  <c r="X215" i="1"/>
  <c r="T213" i="1"/>
  <c r="U213" i="1" s="1"/>
  <c r="S213" i="1" s="1"/>
  <c r="X213" i="1"/>
  <c r="T211" i="1"/>
  <c r="U211" i="1" s="1"/>
  <c r="S211" i="1" s="1"/>
  <c r="X211" i="1"/>
  <c r="T209" i="1"/>
  <c r="U209" i="1" s="1"/>
  <c r="S209" i="1" s="1"/>
  <c r="X209" i="1"/>
  <c r="T158" i="1"/>
  <c r="U158" i="1" s="1"/>
  <c r="S158" i="1" s="1"/>
  <c r="X158" i="1"/>
  <c r="T156" i="1"/>
  <c r="U156" i="1" s="1"/>
  <c r="S156" i="1" s="1"/>
  <c r="X156" i="1"/>
  <c r="T154" i="1"/>
  <c r="U154" i="1" s="1"/>
  <c r="S154" i="1" s="1"/>
  <c r="X154" i="1"/>
  <c r="T152" i="1"/>
  <c r="U152" i="1" s="1"/>
  <c r="S152" i="1" s="1"/>
  <c r="X152" i="1"/>
  <c r="T150" i="1"/>
  <c r="U150" i="1" s="1"/>
  <c r="S150" i="1" s="1"/>
  <c r="X150" i="1"/>
  <c r="T148" i="1"/>
  <c r="U148" i="1" s="1"/>
  <c r="S148" i="1" s="1"/>
  <c r="X148" i="1"/>
  <c r="T146" i="1"/>
  <c r="U146" i="1" s="1"/>
  <c r="S146" i="1" s="1"/>
  <c r="X146" i="1"/>
  <c r="T144" i="1"/>
  <c r="U144" i="1" s="1"/>
  <c r="S144" i="1" s="1"/>
  <c r="X144" i="1"/>
  <c r="T142" i="1"/>
  <c r="U142" i="1" s="1"/>
  <c r="S142" i="1" s="1"/>
  <c r="X142" i="1"/>
  <c r="T134" i="1"/>
  <c r="U134" i="1" s="1"/>
  <c r="S134" i="1" s="1"/>
  <c r="X134" i="1"/>
  <c r="T126" i="1"/>
  <c r="U126" i="1" s="1"/>
  <c r="S126" i="1" s="1"/>
  <c r="X126" i="1"/>
  <c r="T122" i="1"/>
  <c r="U122" i="1" s="1"/>
  <c r="S122" i="1" s="1"/>
  <c r="X122" i="1"/>
  <c r="T116" i="1"/>
  <c r="U116" i="1" s="1"/>
  <c r="S116" i="1" s="1"/>
  <c r="X116" i="1"/>
  <c r="W114" i="1"/>
  <c r="W111" i="1"/>
  <c r="W105" i="1"/>
  <c r="W98" i="1"/>
  <c r="W95" i="1"/>
  <c r="W89" i="1"/>
  <c r="T140" i="1"/>
  <c r="U140" i="1" s="1"/>
  <c r="S140" i="1" s="1"/>
  <c r="X140" i="1"/>
  <c r="T132" i="1"/>
  <c r="U132" i="1" s="1"/>
  <c r="S132" i="1" s="1"/>
  <c r="X132" i="1"/>
  <c r="T120" i="1"/>
  <c r="U120" i="1" s="1"/>
  <c r="S120" i="1" s="1"/>
  <c r="X120" i="1"/>
  <c r="W118" i="1"/>
  <c r="W109" i="1"/>
  <c r="W102" i="1"/>
  <c r="W99" i="1"/>
  <c r="W93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9" i="1"/>
  <c r="U129" i="1" s="1"/>
  <c r="S129" i="1" s="1"/>
  <c r="X129" i="1"/>
  <c r="T127" i="1"/>
  <c r="U127" i="1" s="1"/>
  <c r="S127" i="1" s="1"/>
  <c r="X127" i="1"/>
  <c r="T125" i="1"/>
  <c r="U125" i="1" s="1"/>
  <c r="S125" i="1" s="1"/>
  <c r="X125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T115" i="1"/>
  <c r="U115" i="1" s="1"/>
  <c r="S115" i="1" s="1"/>
  <c r="X115" i="1"/>
  <c r="W85" i="1"/>
  <c r="W79" i="1"/>
  <c r="W54" i="1"/>
  <c r="W38" i="1"/>
  <c r="W84" i="1"/>
  <c r="W80" i="1"/>
  <c r="W76" i="1"/>
  <c r="W74" i="1"/>
  <c r="W70" i="1"/>
  <c r="W66" i="1"/>
  <c r="W62" i="1"/>
  <c r="W58" i="1"/>
  <c r="W53" i="1"/>
  <c r="W49" i="1"/>
  <c r="W42" i="1"/>
  <c r="W77" i="1"/>
  <c r="W55" i="1"/>
  <c r="W51" i="1"/>
  <c r="W50" i="1"/>
  <c r="T49" i="1"/>
  <c r="U49" i="1" s="1"/>
  <c r="S49" i="1" s="1"/>
  <c r="X49" i="1"/>
  <c r="W45" i="1"/>
  <c r="W37" i="1"/>
  <c r="W86" i="1"/>
  <c r="W82" i="1"/>
  <c r="W78" i="1"/>
  <c r="W72" i="1"/>
  <c r="W68" i="1"/>
  <c r="W64" i="1"/>
  <c r="W60" i="1"/>
  <c r="W56" i="1"/>
  <c r="W47" i="1"/>
  <c r="W41" i="1"/>
  <c r="T51" i="1"/>
  <c r="U51" i="1" s="1"/>
  <c r="S51" i="1" s="1"/>
  <c r="X51" i="1"/>
  <c r="W46" i="1"/>
  <c r="W35" i="1"/>
  <c r="W26" i="1"/>
  <c r="W18" i="1"/>
  <c r="X114" i="1"/>
  <c r="X113" i="1"/>
  <c r="X112" i="1"/>
  <c r="X111" i="1"/>
  <c r="X110" i="1"/>
  <c r="X109" i="1"/>
  <c r="X108" i="1"/>
  <c r="X107" i="1"/>
  <c r="X106" i="1"/>
  <c r="X105" i="1"/>
  <c r="X104" i="1"/>
  <c r="X103" i="1"/>
  <c r="X102" i="1"/>
  <c r="X101" i="1"/>
  <c r="X100" i="1"/>
  <c r="X99" i="1"/>
  <c r="X98" i="1"/>
  <c r="X97" i="1"/>
  <c r="X96" i="1"/>
  <c r="X95" i="1"/>
  <c r="X94" i="1"/>
  <c r="X93" i="1"/>
  <c r="X92" i="1"/>
  <c r="X91" i="1"/>
  <c r="X90" i="1"/>
  <c r="X89" i="1"/>
  <c r="X88" i="1"/>
  <c r="X87" i="1"/>
  <c r="X86" i="1"/>
  <c r="X85" i="1"/>
  <c r="T55" i="1"/>
  <c r="U55" i="1" s="1"/>
  <c r="S55" i="1" s="1"/>
  <c r="X55" i="1"/>
  <c r="W34" i="1"/>
  <c r="W30" i="1"/>
  <c r="W22" i="1"/>
  <c r="W14" i="1"/>
  <c r="T53" i="1"/>
  <c r="U53" i="1" s="1"/>
  <c r="S53" i="1" s="1"/>
  <c r="X53" i="1"/>
  <c r="W44" i="1"/>
  <c r="W43" i="1"/>
  <c r="W40" i="1"/>
  <c r="W39" i="1"/>
  <c r="W36" i="1"/>
  <c r="W33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AA31" i="1"/>
  <c r="W31" i="1" s="1"/>
  <c r="AA27" i="1"/>
  <c r="W27" i="1" s="1"/>
  <c r="AA23" i="1"/>
  <c r="W23" i="1" s="1"/>
  <c r="AA19" i="1"/>
  <c r="W19" i="1" s="1"/>
  <c r="AA15" i="1"/>
  <c r="W15" i="1" s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3" i="1"/>
  <c r="U33" i="1" s="1"/>
  <c r="S33" i="1" s="1"/>
  <c r="X33" i="1"/>
  <c r="W29" i="1"/>
  <c r="W25" i="1"/>
  <c r="W21" i="1"/>
  <c r="W17" i="1"/>
  <c r="W32" i="1"/>
  <c r="W24" i="1"/>
  <c r="W20" i="1"/>
  <c r="W16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AC16" i="3"/>
  <c r="AC19" i="3"/>
  <c r="AD17" i="3"/>
  <c r="AD21" i="3"/>
  <c r="AC10" i="3"/>
  <c r="AE17" i="3"/>
  <c r="AD13" i="3"/>
  <c r="AC9" i="3"/>
  <c r="AC15" i="3"/>
  <c r="AD16" i="3"/>
  <c r="AE15" i="3"/>
  <c r="AC13" i="3"/>
  <c r="AE11" i="3"/>
  <c r="AD9" i="3"/>
  <c r="AD15" i="3"/>
  <c r="AE21" i="3"/>
  <c r="AC14" i="3"/>
  <c r="T14" i="3"/>
  <c r="AC11" i="3"/>
  <c r="AC21" i="3"/>
  <c r="Y19" i="3"/>
  <c r="Y13" i="3"/>
  <c r="Y18" i="3"/>
  <c r="Y10" i="3"/>
  <c r="Y14" i="3"/>
  <c r="Y12" i="3"/>
  <c r="Y9" i="3"/>
  <c r="Y20" i="3"/>
  <c r="Y8" i="3"/>
  <c r="Y21" i="3"/>
  <c r="Y16" i="3"/>
  <c r="Y15" i="3"/>
  <c r="Y11" i="3"/>
  <c r="Y7" i="3"/>
  <c r="AE14" i="3"/>
  <c r="AE10" i="3"/>
  <c r="T8" i="3"/>
  <c r="AE20" i="3"/>
  <c r="T20" i="3"/>
  <c r="AD20" i="3"/>
  <c r="AE19" i="3"/>
  <c r="T16" i="3"/>
  <c r="T15" i="3"/>
  <c r="AD14" i="3"/>
  <c r="AE13" i="3"/>
  <c r="T11" i="3"/>
  <c r="AD10" i="3"/>
  <c r="AE9" i="3"/>
  <c r="T7" i="3"/>
  <c r="AE18" i="3"/>
  <c r="AE16" i="3"/>
  <c r="AE12" i="3"/>
  <c r="AE8" i="3"/>
  <c r="Y17" i="3"/>
  <c r="T17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N20" i="3" l="1"/>
  <c r="N21" i="3"/>
  <c r="M30" i="5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N9" i="3" s="1"/>
  <c r="G262" i="4"/>
  <c r="N10" i="3" s="1"/>
  <c r="G263" i="4"/>
  <c r="G264" i="4"/>
  <c r="G265" i="4"/>
  <c r="G266" i="4"/>
  <c r="G267" i="4"/>
  <c r="G268" i="4"/>
  <c r="G269" i="4"/>
  <c r="N16" i="3" s="1"/>
  <c r="G270" i="4"/>
  <c r="G271" i="4"/>
  <c r="G272" i="4"/>
  <c r="G273" i="4"/>
  <c r="G250" i="4" l="1"/>
  <c r="G251" i="4"/>
  <c r="G252" i="4"/>
  <c r="G253" i="4"/>
  <c r="G254" i="4"/>
  <c r="N15" i="3" s="1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N19" i="3" s="1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N18" i="3" s="1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N12" i="3" s="1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N13" i="3" s="1"/>
  <c r="G136" i="4"/>
  <c r="G137" i="4"/>
  <c r="G138" i="4"/>
  <c r="N11" i="3" s="1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N14" i="3" s="1"/>
  <c r="G214" i="4"/>
  <c r="G215" i="4"/>
  <c r="G216" i="4"/>
  <c r="G217" i="4"/>
  <c r="G218" i="4"/>
  <c r="G219" i="4"/>
  <c r="G220" i="4"/>
  <c r="G221" i="4"/>
  <c r="G222" i="4"/>
  <c r="G223" i="4"/>
  <c r="G2" i="4"/>
  <c r="N7" i="3" l="1"/>
  <c r="N8" i="3"/>
  <c r="N17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<sst xmlns="http://schemas.openxmlformats.org/spreadsheetml/2006/main" count="2690" uniqueCount="1021">
  <si>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</si>
  <si>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</si>
  <si>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</si>
  <si>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</si>
  <si>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</si>
  <si>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</si>
  <si>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</si>
  <si>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</si>
  <si>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</si>
  <si>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</si>
  <si>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</si>
  <si>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</si>
  <si>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</si>
  <si>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</si>
  <si>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</si>
  <si>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</si>
  <si>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</si>
  <si>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</si>
  <si>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</si>
  <si>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</si>
  <si>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</si>
  <si>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</si>
  <si>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</si>
  <si>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</si>
  <si>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</si>
  <si>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</si>
  <si>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</si>
  <si>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</si>
  <si>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</si>
  <si>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</si>
  <si>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</si>
  <si>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</si>
  <si>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</si>
  <si>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</si>
  <si>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</si>
  <si>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</si>
  <si>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</si>
  <si>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</si>
  <si>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</si>
  <si>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</si>
  <si>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</si>
  <si>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</si>
  <si>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</si>
  <si>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</si>
  <si>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</si>
  <si>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</si>
  <si>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</si>
  <si>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</si>
  <si>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</si>
  <si>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</si>
  <si>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</si>
  <si>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</si>
  <si>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</si>
  <si>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</si>
  <si>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</si>
  <si>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</si>
  <si>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</si>
  <si>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</si>
  <si>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</si>
  <si>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</si>
  <si>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</si>
  <si>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</si>
  <si>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</si>
  <si>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</si>
  <si>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</si>
  <si>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</si>
  <si>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</si>
  <si>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</si>
  <si>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</si>
  <si>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</si>
  <si>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</si>
  <si>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</si>
  <si>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</si>
  <si>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</si>
  <si>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</si>
  <si>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</si>
  <si>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</si>
  <si>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</si>
  <si>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</si>
  <si>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</si>
  <si>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</si>
  <si>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</si>
  <si>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</si>
  <si>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</si>
  <si>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</si>
  <si>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</si>
  <si>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</si>
  <si>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</si>
  <si>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</si>
  <si>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</si>
  <si>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</si>
  <si>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</si>
  <si>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</si>
  <si>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</si>
  <si>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</si>
  <si>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</si>
  <si>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</si>
  <si>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</si>
  <si>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</si>
  <si>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</si>
  <si>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</si>
  <si>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</si>
  <si>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</si>
  <si>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</si>
  <si>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</si>
  <si>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</si>
  <si>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</si>
  <si>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</si>
  <si>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</si>
  <si>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</si>
  <si>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</si>
  <si>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</si>
  <si>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</si>
  <si>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</si>
  <si>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</si>
  <si>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</si>
  <si>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</si>
  <si>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</si>
  <si>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</si>
  <si>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</si>
  <si>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</si>
  <si>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</si>
  <si>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</si>
  <si>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</si>
  <si>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</si>
  <si>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</si>
  <si>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</si>
  <si>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</si>
  <si>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</si>
  <si>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</si>
  <si>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</si>
  <si>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</si>
  <si>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</si>
  <si>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</si>
  <si>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</si>
  <si>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</si>
  <si>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</si>
  <si>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</si>
  <si>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</si>
  <si>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</si>
  <si>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</si>
  <si>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</si>
  <si>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</si>
  <si>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</si>
  <si>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</si>
  <si>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</si>
  <si>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</si>
  <si>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</si>
  <si>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</si>
  <si>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</si>
  <si>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</si>
  <si>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</si>
  <si>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</si>
  <si>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</si>
  <si>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</si>
  <si>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</si>
  <si>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</si>
  <si>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</si>
  <si>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</si>
  <si>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</si>
  <si>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</si>
  <si>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</si>
  <si>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</si>
  <si>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</si>
  <si>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</si>
  <si>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</si>
  <si>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</si>
  <si>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</si>
  <si>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</si>
  <si>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</si>
  <si>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</si>
  <si>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</si>
  <si>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</si>
  <si>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</si>
  <si>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</si>
  <si>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</si>
  <si>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</si>
  <si>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</si>
  <si>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</si>
  <si>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</si>
  <si>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</si>
  <si>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</si>
  <si>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</si>
  <si>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</si>
  <si>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</si>
  <si>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</si>
  <si>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</si>
  <si>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</si>
  <si>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</si>
  <si>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</si>
  <si>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</si>
  <si>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</si>
  <si>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</si>
  <si>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</si>
  <si>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</si>
  <si>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</si>
  <si>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</si>
  <si>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</si>
  <si>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</si>
  <si>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</si>
  <si>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</si>
  <si>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</si>
  <si>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</si>
  <si>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</si>
  <si>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</si>
  <si>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</si>
  <si>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</si>
  <si>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</si>
  <si>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</si>
  <si>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</si>
  <si>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</si>
  <si>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</si>
  <si>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</si>
  <si>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</si>
  <si>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</si>
  <si>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</si>
  <si>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</si>
  <si>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</si>
  <si>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</si>
  <si>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</si>
  <si>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</si>
  <si>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</si>
  <si>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</si>
  <si>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</si>
  <si>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</si>
  <si>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</si>
  <si>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</si>
  <si>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</si>
  <si>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</si>
  <si>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</si>
  <si>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</si>
  <si>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</si>
  <si>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</si>
  <si>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</si>
  <si>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</si>
  <si>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</si>
  <si>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</si>
  <si>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</si>
  <si>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</si>
  <si>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</si>
  <si>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</si>
  <si>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</si>
  <si>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</si>
  <si>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</si>
  <si>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</si>
  <si>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</si>
  <si>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</si>
  <si>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</si>
  <si>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</si>
  <si>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</si>
  <si>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</si>
  <si>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</si>
  <si>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</si>
  <si>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</si>
  <si>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</si>
  <si>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</si>
  <si>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</si>
  <si>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</si>
  <si>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</si>
  <si>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</si>
  <si>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</si>
  <si>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</si>
  <si>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</si>
  <si>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</si>
  <si>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</si>
  <si>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</si>
  <si>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</si>
  <si>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</si>
  <si>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</si>
  <si>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</si>
  <si>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</si>
  <si>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</si>
  <si>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</si>
  <si>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</si>
  <si>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</si>
  <si>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</si>
  <si>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</si>
  <si>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</si>
  <si>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</si>
  <si>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</si>
  <si>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</si>
  <si>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</si>
  <si>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</si>
  <si>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</si>
  <si>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</si>
  <si>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</si>
  <si>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</si>
  <si>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</si>
  <si>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</si>
  <si>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</si>
  <si>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</si>
  <si>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</si>
  <si>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</si>
  <si>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</si>
  <si>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</si>
  <si>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</si>
  <si>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</si>
  <si>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</si>
  <si>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</si>
  <si>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</si>
  <si>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</si>
  <si>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</si>
  <si>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</si>
  <si>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</si>
  <si>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</si>
  <si>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</si>
  <si>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</si>
  <si>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</si>
  <si>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</si>
  <si>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</si>
  <si>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</si>
  <si>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</si>
  <si>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</si>
  <si>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</si>
  <si>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</si>
  <si>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</si>
  <si>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</si>
  <si>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</si>
  <si>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</si>
  <si>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</si>
  <si>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</si>
  <si>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</si>
  <si>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</si>
  <si>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</si>
  <si>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</si>
  <si>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</si>
  <si>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</si>
  <si>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</si>
  <si>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</si>
  <si>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</si>
  <si>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</si>
  <si>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</si>
  <si>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</si>
  <si>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</si>
  <si>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</si>
  <si>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</si>
  <si>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</si>
  <si>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</si>
  <si>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</si>
  <si>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</si>
  <si>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</si>
  <si>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</si>
  <si>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</si>
  <si>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</si>
  <si>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</si>
  <si>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</si>
  <si>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</si>
  <si>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</si>
  <si>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</si>
  <si>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</si>
  <si>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</si>
  <si>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</si>
  <si>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</si>
  <si>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</si>
  <si>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</si>
  <si>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</si>
  <si>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</si>
  <si>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</si>
  <si>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</si>
  <si>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</si>
  <si>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</si>
  <si>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</si>
  <si>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</si>
  <si>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</si>
  <si>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</si>
  <si>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</si>
  <si>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</si>
  <si>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</si>
  <si>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</si>
  <si>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</si>
  <si>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</si>
  <si>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</si>
  <si>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</si>
  <si>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</si>
  <si>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</si>
  <si>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</si>
  <si>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</si>
  <si>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</si>
  <si>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ANDREA</t>
  </si>
  <si>
    <t>rtdc.l.rtdc.4062:itc</t>
  </si>
  <si>
    <t>rtdc.l.rtdc.4022:itc</t>
  </si>
  <si>
    <t>rtdc.l.rtdc.4061:itc</t>
  </si>
  <si>
    <t>rtdc.l.rtdc.4029:itc</t>
  </si>
  <si>
    <t>232-31</t>
  </si>
  <si>
    <t>238-31</t>
  </si>
  <si>
    <t>rtdc.l.rtdc.4059:itc</t>
  </si>
  <si>
    <t>rtdc.l.rtdc.4030:itc</t>
  </si>
  <si>
    <t>SMITH</t>
  </si>
  <si>
    <t>STAMBAUGH</t>
  </si>
  <si>
    <t>JAMES</t>
  </si>
  <si>
    <t>MOSES</t>
  </si>
  <si>
    <t>BRADLEY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</si>
  <si>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</si>
  <si>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</si>
  <si>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</si>
  <si>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</si>
  <si>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</si>
  <si>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</si>
  <si>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</si>
  <si>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</si>
  <si>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</si>
  <si>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</si>
  <si>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</si>
  <si>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</si>
  <si>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</si>
  <si>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</si>
  <si>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</si>
  <si>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</si>
  <si>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</si>
  <si>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</si>
  <si>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</si>
  <si>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</si>
  <si>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</si>
  <si>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</si>
  <si>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</si>
  <si>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204:214</t>
  </si>
  <si>
    <t>204:207</t>
  </si>
  <si>
    <t>204:519</t>
  </si>
  <si>
    <t>204:528</t>
  </si>
  <si>
    <t>204:227</t>
  </si>
  <si>
    <t>SWITCH UNKNOWN</t>
  </si>
  <si>
    <t>Track device (7)</t>
  </si>
  <si>
    <t>Clear</t>
  </si>
  <si>
    <t>clear-night</t>
  </si>
  <si>
    <t>204:232981</t>
  </si>
  <si>
    <t>204:524</t>
  </si>
  <si>
    <t>ELBAUM</t>
  </si>
  <si>
    <t>MIKE</t>
  </si>
  <si>
    <t>MACDONALD</t>
  </si>
  <si>
    <t>THOMAS</t>
  </si>
  <si>
    <t>DAVID</t>
  </si>
  <si>
    <t>204:502</t>
  </si>
  <si>
    <t>204:522</t>
  </si>
  <si>
    <t>204:232959</t>
  </si>
  <si>
    <t>204:497</t>
  </si>
  <si>
    <t>204:233291</t>
  </si>
  <si>
    <t>204:220</t>
  </si>
  <si>
    <t>204:232979</t>
  </si>
  <si>
    <t>204:211</t>
  </si>
  <si>
    <t>204:233295</t>
  </si>
  <si>
    <t>204:196</t>
  </si>
  <si>
    <t>204:526</t>
  </si>
  <si>
    <t>204:238</t>
  </si>
  <si>
    <t>204:234</t>
  </si>
  <si>
    <t>204:256</t>
  </si>
  <si>
    <t>204:232943</t>
  </si>
  <si>
    <t>204:212</t>
  </si>
  <si>
    <t>300:58604</t>
  </si>
  <si>
    <t>rtdc.l.rtdc.4041:itc</t>
  </si>
  <si>
    <t>204:154</t>
  </si>
  <si>
    <t>204:232934</t>
  </si>
  <si>
    <t>204:515</t>
  </si>
  <si>
    <t>204:240</t>
  </si>
  <si>
    <t>204:535</t>
  </si>
  <si>
    <t>204:185</t>
  </si>
  <si>
    <t>204:449</t>
  </si>
  <si>
    <t>300:58924</t>
  </si>
  <si>
    <t>rtdc.l.rtdc.4056:itc</t>
  </si>
  <si>
    <t>rtdc.l.rtdc.4054:itc</t>
  </si>
  <si>
    <t>rtdc.l.rtdc.4053:itc</t>
  </si>
  <si>
    <t>STEWART</t>
  </si>
  <si>
    <t>DAVIS</t>
  </si>
  <si>
    <t>204:480</t>
  </si>
  <si>
    <t>204:232961</t>
  </si>
  <si>
    <t>204:161</t>
  </si>
  <si>
    <t>204:232996</t>
  </si>
  <si>
    <t>204:209</t>
  </si>
  <si>
    <t>204:233236</t>
  </si>
  <si>
    <t>204:504</t>
  </si>
  <si>
    <t>204:232936</t>
  </si>
  <si>
    <t>204:508</t>
  </si>
  <si>
    <t>204:233308</t>
  </si>
  <si>
    <t>204:165</t>
  </si>
  <si>
    <t>204:511</t>
  </si>
  <si>
    <t>rtdc.l.rtdc.4014:itc</t>
  </si>
  <si>
    <t>rtdc.l.rtdc.4013:itc</t>
  </si>
  <si>
    <t>204:233300</t>
  </si>
  <si>
    <t>204:141</t>
  </si>
  <si>
    <t>204:469</t>
  </si>
  <si>
    <t>204:229</t>
  </si>
  <si>
    <t>204:458</t>
  </si>
  <si>
    <t>204:482</t>
  </si>
  <si>
    <t>204:233312</t>
  </si>
  <si>
    <t>204:174</t>
  </si>
  <si>
    <t>204:542</t>
  </si>
  <si>
    <t>204:232991</t>
  </si>
  <si>
    <t>204:475</t>
  </si>
  <si>
    <t>204:218</t>
  </si>
  <si>
    <t>204:546</t>
  </si>
  <si>
    <t>204:232904</t>
  </si>
  <si>
    <t>204:221</t>
  </si>
  <si>
    <t>204:233278</t>
  </si>
  <si>
    <t>204:233261</t>
  </si>
  <si>
    <t>204:232932</t>
  </si>
  <si>
    <t>204:201</t>
  </si>
  <si>
    <t>204:233264</t>
  </si>
  <si>
    <t>204:232947</t>
  </si>
  <si>
    <t>204:233280</t>
  </si>
  <si>
    <t>204:540</t>
  </si>
  <si>
    <t>204:232966</t>
  </si>
  <si>
    <t>204:232938</t>
  </si>
  <si>
    <t>204:149</t>
  </si>
  <si>
    <t>204:453</t>
  </si>
  <si>
    <t>300:58611</t>
  </si>
  <si>
    <t>204:1128</t>
  </si>
  <si>
    <t>300:58931</t>
  </si>
  <si>
    <t>204:1111</t>
  </si>
  <si>
    <t>rtdc.l.rtdc.4025:itc</t>
  </si>
  <si>
    <t>rtdc.l.rtdc.4016:itc</t>
  </si>
  <si>
    <t>rtdc.l.rtdc.4026:itc</t>
  </si>
  <si>
    <t>rtdc.l.rtdc.4032:itc</t>
  </si>
  <si>
    <t>MAELZER</t>
  </si>
  <si>
    <t>KURT</t>
  </si>
  <si>
    <t>DONTE</t>
  </si>
  <si>
    <t>LAMAR</t>
  </si>
  <si>
    <t>NEKESHA</t>
  </si>
  <si>
    <t>BADERTSCHER</t>
  </si>
  <si>
    <t>DIANE</t>
  </si>
  <si>
    <t>BIRENBAUM</t>
  </si>
  <si>
    <t>KILLION</t>
  </si>
  <si>
    <t>242-26</t>
  </si>
  <si>
    <t>307-26</t>
  </si>
  <si>
    <t>244-26</t>
  </si>
  <si>
    <t>309-26</t>
  </si>
  <si>
    <t>311-26</t>
  </si>
  <si>
    <t>clear-day</t>
  </si>
  <si>
    <t>204:233284</t>
  </si>
  <si>
    <t>204:194</t>
  </si>
  <si>
    <t>204:232969</t>
  </si>
  <si>
    <t>204:156</t>
  </si>
  <si>
    <t>204:460</t>
  </si>
  <si>
    <t>204:233301</t>
  </si>
  <si>
    <t>204:233263</t>
  </si>
  <si>
    <t>204:457</t>
  </si>
  <si>
    <t>204:233293</t>
  </si>
  <si>
    <t>204:232984</t>
  </si>
  <si>
    <t>204:500</t>
  </si>
  <si>
    <t>204:205</t>
  </si>
  <si>
    <t>204:513</t>
  </si>
  <si>
    <t>204:232869</t>
  </si>
  <si>
    <t>204:223</t>
  </si>
  <si>
    <t>204:489</t>
  </si>
  <si>
    <t>204:232919</t>
  </si>
  <si>
    <t>204:180</t>
  </si>
  <si>
    <t>204:233288</t>
  </si>
  <si>
    <t>204:233232</t>
  </si>
  <si>
    <t>204:233299</t>
  </si>
  <si>
    <t>204:233211</t>
  </si>
  <si>
    <t>204:167</t>
  </si>
  <si>
    <t>204:187</t>
  </si>
  <si>
    <t>204:176</t>
  </si>
  <si>
    <t>300:58918</t>
  </si>
  <si>
    <t>204:1100</t>
  </si>
  <si>
    <t>300:58911</t>
  </si>
  <si>
    <t>300:58602</t>
  </si>
  <si>
    <t>300:58909</t>
  </si>
  <si>
    <t>300:58608</t>
  </si>
  <si>
    <t>300:58926</t>
  </si>
  <si>
    <t>204:845</t>
  </si>
  <si>
    <t>204:1154</t>
  </si>
  <si>
    <t>204:1146</t>
  </si>
  <si>
    <t>204:860</t>
  </si>
  <si>
    <t>204:1125</t>
  </si>
  <si>
    <t>204:232928</t>
  </si>
  <si>
    <t>204:555</t>
  </si>
  <si>
    <t>204:232946</t>
  </si>
  <si>
    <t>204:247</t>
  </si>
  <si>
    <t>204:580</t>
  </si>
  <si>
    <t>204:232980</t>
  </si>
  <si>
    <t>204:232923</t>
  </si>
  <si>
    <t>204:260</t>
  </si>
  <si>
    <t>300:23312</t>
  </si>
  <si>
    <t>300:23301</t>
  </si>
  <si>
    <t>204:570</t>
  </si>
  <si>
    <t>300:23346</t>
  </si>
  <si>
    <t>start /low /b %USERPROFILE%\Documents\GitHub\eaglep3\Utilities\DownloadLogsFromS3.py --loco 4026 --day 2017-11-27</t>
  </si>
  <si>
    <t>308-27</t>
  </si>
  <si>
    <t>125-27</t>
  </si>
  <si>
    <t>rtdc.l.rtdc.4044:itc</t>
  </si>
  <si>
    <t>133-27</t>
  </si>
  <si>
    <t>138-27</t>
  </si>
  <si>
    <t>140-27</t>
  </si>
  <si>
    <t>830-27</t>
  </si>
  <si>
    <t>196-27</t>
  </si>
  <si>
    <t>301-27</t>
  </si>
  <si>
    <t>222-27</t>
  </si>
  <si>
    <t>TEMPORARY SPEED RESTRICTION</t>
  </si>
  <si>
    <t>843-27</t>
  </si>
  <si>
    <t>229-27</t>
  </si>
  <si>
    <t>rtdc.l.rtdc.4043:itc</t>
  </si>
  <si>
    <t>226-27</t>
  </si>
  <si>
    <t>847-27</t>
  </si>
  <si>
    <t>307-27</t>
  </si>
  <si>
    <t>rtdc.l.rtdc.4031:itc</t>
  </si>
  <si>
    <t>300-27</t>
  </si>
  <si>
    <t>ROCHA</t>
  </si>
  <si>
    <t>YAOTL</t>
  </si>
  <si>
    <t>101-27</t>
  </si>
  <si>
    <t>rtdc.l.rtdc.4021:itc</t>
  </si>
  <si>
    <t>302-27</t>
  </si>
  <si>
    <t>NICHOLAS</t>
  </si>
  <si>
    <t>PLOYSA</t>
  </si>
  <si>
    <t>103-27</t>
  </si>
  <si>
    <t>304-27</t>
  </si>
  <si>
    <t>STARKS</t>
  </si>
  <si>
    <t>ANGELINA</t>
  </si>
  <si>
    <t>102-27</t>
  </si>
  <si>
    <t>306-27</t>
  </si>
  <si>
    <t>BEAM</t>
  </si>
  <si>
    <t>ROSS</t>
  </si>
  <si>
    <t>105-27</t>
  </si>
  <si>
    <t>85-27</t>
  </si>
  <si>
    <t>SPECTOR</t>
  </si>
  <si>
    <t>107-27</t>
  </si>
  <si>
    <t>86-27</t>
  </si>
  <si>
    <t>104-27</t>
  </si>
  <si>
    <t>111-27</t>
  </si>
  <si>
    <t>109-27</t>
  </si>
  <si>
    <t>rtdc.l.rtdc.4020:itc</t>
  </si>
  <si>
    <t>901-27</t>
  </si>
  <si>
    <t>rtdc.l.rtdc.4063:itc</t>
  </si>
  <si>
    <t>310-27</t>
  </si>
  <si>
    <t>DAVIDSON</t>
  </si>
  <si>
    <t>rtdc.l.rtdc.4019:itc</t>
  </si>
  <si>
    <t>800-27</t>
  </si>
  <si>
    <t>rtdc.l.rtdc.4064:itc</t>
  </si>
  <si>
    <t>113-27</t>
  </si>
  <si>
    <t>108-27</t>
  </si>
  <si>
    <t>106-27</t>
  </si>
  <si>
    <t>115-27</t>
  </si>
  <si>
    <t>312-27</t>
  </si>
  <si>
    <t>110-27</t>
  </si>
  <si>
    <t>902-27</t>
  </si>
  <si>
    <t>LONG</t>
  </si>
  <si>
    <t>FULLER</t>
  </si>
  <si>
    <t>801-27</t>
  </si>
  <si>
    <t>117-27</t>
  </si>
  <si>
    <t>112-27</t>
  </si>
  <si>
    <t>803-27</t>
  </si>
  <si>
    <t>114-27</t>
  </si>
  <si>
    <t>802-27</t>
  </si>
  <si>
    <t>119-27</t>
  </si>
  <si>
    <t>121-27</t>
  </si>
  <si>
    <t>116-27</t>
  </si>
  <si>
    <t>123-27</t>
  </si>
  <si>
    <t>804-27</t>
  </si>
  <si>
    <t>805-27</t>
  </si>
  <si>
    <t>118-27</t>
  </si>
  <si>
    <t>120-27</t>
  </si>
  <si>
    <t>122-27</t>
  </si>
  <si>
    <t>127-27</t>
  </si>
  <si>
    <t>806-27</t>
  </si>
  <si>
    <t>807-27</t>
  </si>
  <si>
    <t>129-27</t>
  </si>
  <si>
    <t>124-27</t>
  </si>
  <si>
    <t>131-27</t>
  </si>
  <si>
    <t>808-27</t>
  </si>
  <si>
    <t>809-27</t>
  </si>
  <si>
    <t>128-27</t>
  </si>
  <si>
    <t>126-27</t>
  </si>
  <si>
    <t>810-27</t>
  </si>
  <si>
    <t>135-27</t>
  </si>
  <si>
    <t>811-27</t>
  </si>
  <si>
    <t>130-27</t>
  </si>
  <si>
    <t>137-27</t>
  </si>
  <si>
    <t>132-27</t>
  </si>
  <si>
    <t>139-27</t>
  </si>
  <si>
    <t>903-27</t>
  </si>
  <si>
    <t>812-27</t>
  </si>
  <si>
    <t>141-27</t>
  </si>
  <si>
    <t>134-27</t>
  </si>
  <si>
    <t>136-27</t>
  </si>
  <si>
    <t>143-27</t>
  </si>
  <si>
    <t>813-27</t>
  </si>
  <si>
    <t>145-27</t>
  </si>
  <si>
    <t>142-27</t>
  </si>
  <si>
    <t>814-27</t>
  </si>
  <si>
    <t>147-27</t>
  </si>
  <si>
    <t>149-27</t>
  </si>
  <si>
    <t>144-27</t>
  </si>
  <si>
    <t>151-27</t>
  </si>
  <si>
    <t>815-27</t>
  </si>
  <si>
    <t>146-27</t>
  </si>
  <si>
    <t>153-27</t>
  </si>
  <si>
    <t>816-27</t>
  </si>
  <si>
    <t>155-27</t>
  </si>
  <si>
    <t>150-27</t>
  </si>
  <si>
    <t>148-27</t>
  </si>
  <si>
    <t>157-27</t>
  </si>
  <si>
    <t>152-27</t>
  </si>
  <si>
    <t>159-27</t>
  </si>
  <si>
    <t>817-27</t>
  </si>
  <si>
    <t>154-27</t>
  </si>
  <si>
    <t>156-27</t>
  </si>
  <si>
    <t>161-27</t>
  </si>
  <si>
    <t>818-27</t>
  </si>
  <si>
    <t>163-27</t>
  </si>
  <si>
    <t>158-27</t>
  </si>
  <si>
    <t>165-27</t>
  </si>
  <si>
    <t>LORI</t>
  </si>
  <si>
    <t>SANTOS</t>
  </si>
  <si>
    <t>160-27</t>
  </si>
  <si>
    <t>167-27</t>
  </si>
  <si>
    <t>819-27</t>
  </si>
  <si>
    <t>162-27</t>
  </si>
  <si>
    <t>169-27</t>
  </si>
  <si>
    <t>164-27</t>
  </si>
  <si>
    <t>820-27</t>
  </si>
  <si>
    <t>171-27</t>
  </si>
  <si>
    <t>166-27</t>
  </si>
  <si>
    <t>173-27</t>
  </si>
  <si>
    <t>168-27</t>
  </si>
  <si>
    <t>170-27</t>
  </si>
  <si>
    <t>175-27</t>
  </si>
  <si>
    <t>821-27</t>
  </si>
  <si>
    <t>177-27</t>
  </si>
  <si>
    <t>172-27</t>
  </si>
  <si>
    <t>179-27</t>
  </si>
  <si>
    <t>822-27</t>
  </si>
  <si>
    <t>174-27</t>
  </si>
  <si>
    <t>181-27</t>
  </si>
  <si>
    <t>176-27</t>
  </si>
  <si>
    <t>183-27</t>
  </si>
  <si>
    <t>823-27</t>
  </si>
  <si>
    <t>178-27</t>
  </si>
  <si>
    <t>185-27</t>
  </si>
  <si>
    <t>180-27</t>
  </si>
  <si>
    <t>182-27</t>
  </si>
  <si>
    <t>824-27</t>
  </si>
  <si>
    <t>187-27</t>
  </si>
  <si>
    <t>184-27</t>
  </si>
  <si>
    <t>189-27</t>
  </si>
  <si>
    <t>191-27</t>
  </si>
  <si>
    <t>186-27</t>
  </si>
  <si>
    <t>825-27</t>
  </si>
  <si>
    <t>193-27</t>
  </si>
  <si>
    <t>188-27</t>
  </si>
  <si>
    <t>904-27</t>
  </si>
  <si>
    <t>195-27</t>
  </si>
  <si>
    <t>826-27</t>
  </si>
  <si>
    <t>827-27</t>
  </si>
  <si>
    <t>190-27</t>
  </si>
  <si>
    <t>197-27</t>
  </si>
  <si>
    <t>75-27</t>
  </si>
  <si>
    <t>BROWN</t>
  </si>
  <si>
    <t>JACOB</t>
  </si>
  <si>
    <t>192-27</t>
  </si>
  <si>
    <t>199-27</t>
  </si>
  <si>
    <t>828-27</t>
  </si>
  <si>
    <t>829-27</t>
  </si>
  <si>
    <t>194-27</t>
  </si>
  <si>
    <t>201-27</t>
  </si>
  <si>
    <t>203-27</t>
  </si>
  <si>
    <t>831-27</t>
  </si>
  <si>
    <t>198-27</t>
  </si>
  <si>
    <t>205-27</t>
  </si>
  <si>
    <t>200-27</t>
  </si>
  <si>
    <t>207-27</t>
  </si>
  <si>
    <t>832-27</t>
  </si>
  <si>
    <t>202-27</t>
  </si>
  <si>
    <t>77-27</t>
  </si>
  <si>
    <t>STRICKLAND</t>
  </si>
  <si>
    <t>EVAN</t>
  </si>
  <si>
    <t>833-27</t>
  </si>
  <si>
    <t>209-27</t>
  </si>
  <si>
    <t>211-27</t>
  </si>
  <si>
    <t>204-27</t>
  </si>
  <si>
    <t>834-27</t>
  </si>
  <si>
    <t>835-27</t>
  </si>
  <si>
    <t>206-27</t>
  </si>
  <si>
    <t>68-27</t>
  </si>
  <si>
    <t>213-27</t>
  </si>
  <si>
    <t>208-27</t>
  </si>
  <si>
    <t>215-27</t>
  </si>
  <si>
    <t>836-27</t>
  </si>
  <si>
    <t>837-27</t>
  </si>
  <si>
    <t>210-27</t>
  </si>
  <si>
    <t>212-27</t>
  </si>
  <si>
    <t>217-27</t>
  </si>
  <si>
    <t>219-27</t>
  </si>
  <si>
    <t>838-27</t>
  </si>
  <si>
    <t>839-27</t>
  </si>
  <si>
    <t>214-27</t>
  </si>
  <si>
    <t>216-27</t>
  </si>
  <si>
    <t>221-27</t>
  </si>
  <si>
    <t>906-27</t>
  </si>
  <si>
    <t>841-27</t>
  </si>
  <si>
    <t>218-27</t>
  </si>
  <si>
    <t>303-27</t>
  </si>
  <si>
    <t>220-27</t>
  </si>
  <si>
    <t>223-27</t>
  </si>
  <si>
    <t>840-27</t>
  </si>
  <si>
    <t>305-27</t>
  </si>
  <si>
    <t>225-27</t>
  </si>
  <si>
    <t>227-27</t>
  </si>
  <si>
    <t>224-27</t>
  </si>
  <si>
    <t>842-27</t>
  </si>
  <si>
    <t>845-27</t>
  </si>
  <si>
    <t>231-27</t>
  </si>
  <si>
    <t>228-27</t>
  </si>
  <si>
    <t>844-27</t>
  </si>
  <si>
    <t>230-27</t>
  </si>
  <si>
    <t>233-27</t>
  </si>
  <si>
    <t>235-27</t>
  </si>
  <si>
    <t>232-27</t>
  </si>
  <si>
    <t>846-27</t>
  </si>
  <si>
    <t>237-27</t>
  </si>
  <si>
    <t>234-27</t>
  </si>
  <si>
    <t>849-27</t>
  </si>
  <si>
    <t>239-27</t>
  </si>
  <si>
    <t>236-27</t>
  </si>
  <si>
    <t>908-27</t>
  </si>
  <si>
    <t>238-27</t>
  </si>
  <si>
    <t>241-27</t>
  </si>
  <si>
    <t>240-27</t>
  </si>
  <si>
    <t>243-27</t>
  </si>
  <si>
    <t>313-27</t>
  </si>
  <si>
    <t>242-27</t>
  </si>
  <si>
    <t>244-27</t>
  </si>
  <si>
    <t>309-27</t>
  </si>
  <si>
    <t>311-27</t>
  </si>
  <si>
    <t>precipType</t>
  </si>
  <si>
    <t>partly-cloudy-night</t>
  </si>
  <si>
    <t>Mostly Cloudy</t>
  </si>
  <si>
    <t>cloudy</t>
  </si>
  <si>
    <t>Overcast</t>
  </si>
  <si>
    <t>sleet</t>
  </si>
  <si>
    <t>204:757</t>
  </si>
  <si>
    <t>204:233351</t>
  </si>
  <si>
    <t>204:232710</t>
  </si>
  <si>
    <t>204:1588</t>
  </si>
  <si>
    <t>204:438</t>
  </si>
  <si>
    <t>204:233306</t>
  </si>
  <si>
    <t>204:150</t>
  </si>
  <si>
    <t>204:440</t>
  </si>
  <si>
    <t>204:233303</t>
  </si>
  <si>
    <t>204:233319</t>
  </si>
  <si>
    <t>204:232998</t>
  </si>
  <si>
    <t>204:233268</t>
  </si>
  <si>
    <t>204:446</t>
  </si>
  <si>
    <t>204:147</t>
  </si>
  <si>
    <t>204:233289</t>
  </si>
  <si>
    <t>204:471</t>
  </si>
  <si>
    <t>204:233334</t>
  </si>
  <si>
    <t>204:233000</t>
  </si>
  <si>
    <t>204:232982</t>
  </si>
  <si>
    <t>204:143</t>
  </si>
  <si>
    <t>204:232945</t>
  </si>
  <si>
    <t>204:424</t>
  </si>
  <si>
    <t>204:477</t>
  </si>
  <si>
    <t>204:233310</t>
  </si>
  <si>
    <t>204:232994</t>
  </si>
  <si>
    <t>204:232985</t>
  </si>
  <si>
    <t>204:451</t>
  </si>
  <si>
    <t>204:1145</t>
  </si>
  <si>
    <t>204:19136</t>
  </si>
  <si>
    <t>204:232896</t>
  </si>
  <si>
    <t>204:276</t>
  </si>
  <si>
    <t>204:233234</t>
  </si>
  <si>
    <t>204:232915</t>
  </si>
  <si>
    <t>204:231</t>
  </si>
  <si>
    <t>204:455</t>
  </si>
  <si>
    <t>204:233172</t>
  </si>
  <si>
    <t>204:232971</t>
  </si>
  <si>
    <t>204:232972</t>
  </si>
  <si>
    <t>204:225</t>
  </si>
  <si>
    <t>204:233220</t>
  </si>
  <si>
    <t>204:232894</t>
  </si>
  <si>
    <t>204:233189</t>
  </si>
  <si>
    <t>204:232866</t>
  </si>
  <si>
    <t>204:233176</t>
  </si>
  <si>
    <t>204:232846</t>
  </si>
  <si>
    <t>204:233202</t>
  </si>
  <si>
    <t>204:506</t>
  </si>
  <si>
    <t>204:19111</t>
  </si>
  <si>
    <t>204:233283</t>
  </si>
  <si>
    <t>204:533</t>
  </si>
  <si>
    <t>204:233227</t>
  </si>
  <si>
    <t>204:529</t>
  </si>
  <si>
    <t>204:233199</t>
  </si>
  <si>
    <t>204:232940</t>
  </si>
  <si>
    <t>204:537</t>
  </si>
  <si>
    <t>204:553</t>
  </si>
  <si>
    <t>204:233218</t>
  </si>
  <si>
    <t>204:252</t>
  </si>
  <si>
    <t>204:232906</t>
  </si>
  <si>
    <t>204:12664</t>
  </si>
  <si>
    <t>204:233243</t>
  </si>
  <si>
    <t>204:233244</t>
  </si>
  <si>
    <t>204:564</t>
  </si>
  <si>
    <t>204:233240</t>
  </si>
  <si>
    <t>204:233178</t>
  </si>
  <si>
    <t>204:232861</t>
  </si>
  <si>
    <t>204:267</t>
  </si>
  <si>
    <t>204:233242</t>
  </si>
  <si>
    <t>204:232917</t>
  </si>
  <si>
    <t>204:509</t>
  </si>
  <si>
    <t>204:233197</t>
  </si>
  <si>
    <t>204:263</t>
  </si>
  <si>
    <t>204:192</t>
  </si>
  <si>
    <t>204:577</t>
  </si>
  <si>
    <t>204:249</t>
  </si>
  <si>
    <t>204:232951</t>
  </si>
  <si>
    <t>204:597</t>
  </si>
  <si>
    <t>204:233246</t>
  </si>
  <si>
    <t>204:232964</t>
  </si>
  <si>
    <t>204:233210</t>
  </si>
  <si>
    <t>204:579</t>
  </si>
  <si>
    <t>204:233272</t>
  </si>
  <si>
    <t>204:559</t>
  </si>
  <si>
    <t>204:233230</t>
  </si>
  <si>
    <t>300:23158</t>
  </si>
  <si>
    <t>300:22667</t>
  </si>
  <si>
    <t>300:23349</t>
  </si>
  <si>
    <t>204:139</t>
  </si>
  <si>
    <t>300:23306</t>
  </si>
  <si>
    <t>300:22007</t>
  </si>
  <si>
    <t>300:23291</t>
  </si>
  <si>
    <t>300:22387</t>
  </si>
  <si>
    <t>300:22597</t>
  </si>
  <si>
    <t>300:19808</t>
  </si>
  <si>
    <t>300:23330</t>
  </si>
  <si>
    <t>300:22310</t>
  </si>
  <si>
    <t>300:23690</t>
  </si>
  <si>
    <t>204:1103</t>
  </si>
  <si>
    <t>204:1471</t>
  </si>
  <si>
    <t>300:23314</t>
  </si>
  <si>
    <t>204:1148</t>
  </si>
  <si>
    <t>204:815</t>
  </si>
  <si>
    <t>300:58594</t>
  </si>
  <si>
    <t>204:785</t>
  </si>
  <si>
    <t>204:1140</t>
  </si>
  <si>
    <t>204:846</t>
  </si>
  <si>
    <t>204:1420</t>
  </si>
  <si>
    <t>300:58916</t>
  </si>
  <si>
    <t>300:58613</t>
  </si>
  <si>
    <t>204:1137</t>
  </si>
  <si>
    <t>300:58589</t>
  </si>
  <si>
    <t>204:923</t>
  </si>
  <si>
    <t>204:1158</t>
  </si>
  <si>
    <t>300:58935</t>
  </si>
  <si>
    <t>300:58615</t>
  </si>
  <si>
    <t>204:929</t>
  </si>
  <si>
    <t>300:58939</t>
  </si>
  <si>
    <t>204:852</t>
  </si>
  <si>
    <t>300:58920</t>
  </si>
  <si>
    <t>204:834</t>
  </si>
  <si>
    <t>300:58929</t>
  </si>
  <si>
    <t>204:867</t>
  </si>
  <si>
    <t>204:836</t>
  </si>
  <si>
    <t>204:1119</t>
  </si>
  <si>
    <t>300:58937</t>
  </si>
  <si>
    <t>300:58626</t>
  </si>
  <si>
    <t>204:808</t>
  </si>
  <si>
    <t>204:1132</t>
  </si>
  <si>
    <t>300:58943</t>
  </si>
  <si>
    <t>204:1142</t>
  </si>
  <si>
    <t>300:58960</t>
  </si>
  <si>
    <t>300:58643</t>
  </si>
  <si>
    <t>300:58628</t>
  </si>
  <si>
    <t>204:122</t>
  </si>
  <si>
    <t>204:356</t>
  </si>
  <si>
    <t>300:58621</t>
  </si>
  <si>
    <t>204:108</t>
  </si>
  <si>
    <t>204:433</t>
  </si>
  <si>
    <t>204:144</t>
  </si>
  <si>
    <t>204:397</t>
  </si>
  <si>
    <t>300:58946</t>
  </si>
  <si>
    <t>300:58634</t>
  </si>
  <si>
    <t>204:82</t>
  </si>
  <si>
    <t>204:450</t>
  </si>
  <si>
    <t>204:148</t>
  </si>
  <si>
    <t>204:372</t>
  </si>
  <si>
    <t>300:58984</t>
  </si>
  <si>
    <t>300:58672</t>
  </si>
  <si>
    <t>204:99</t>
  </si>
  <si>
    <t>204:444</t>
  </si>
  <si>
    <t>300:58905</t>
  </si>
  <si>
    <t>300:58683</t>
  </si>
  <si>
    <t>204:698</t>
  </si>
  <si>
    <t>204:410</t>
  </si>
  <si>
    <t>300:58999</t>
  </si>
  <si>
    <t>300:58685</t>
  </si>
  <si>
    <t>204:713</t>
  </si>
  <si>
    <t>204:967</t>
  </si>
  <si>
    <t>300:58997</t>
  </si>
  <si>
    <t>204:699</t>
  </si>
  <si>
    <t>204:1021</t>
  </si>
  <si>
    <t>300:58609</t>
  </si>
  <si>
    <t>204:733</t>
  </si>
  <si>
    <t>204:971</t>
  </si>
  <si>
    <t>204:983</t>
  </si>
  <si>
    <t>300:58922</t>
  </si>
  <si>
    <t>204:1167</t>
  </si>
  <si>
    <t>204:3517</t>
  </si>
  <si>
    <t>204:3227</t>
  </si>
  <si>
    <t>204:152</t>
  </si>
  <si>
    <t>300:30417</t>
  </si>
  <si>
    <t>300:58914</t>
  </si>
  <si>
    <t>300:23578</t>
  </si>
  <si>
    <t>204:824</t>
  </si>
  <si>
    <t>204:1221</t>
  </si>
  <si>
    <t>300:24231</t>
  </si>
  <si>
    <t>300:23281</t>
  </si>
  <si>
    <t>204:164</t>
  </si>
  <si>
    <t>300:28791</t>
  </si>
  <si>
    <t>300:28761</t>
  </si>
  <si>
    <t>start /low /b %USERPROFILE%\Documents\GitHub\eaglep3\Utilities\DownloadLogsFromS3.py --loco 4044 --day 2017-11-27</t>
  </si>
  <si>
    <t>start /low /b %USERPROFILE%\Documents\GitHub\eaglep3\Utilities\DownloadLogsFromS3.py --loco 4017 --day 2017-11-27</t>
  </si>
  <si>
    <t>start /low /b %USERPROFILE%\Documents\GitHub\eaglep3\Utilities\DownloadLogsFromS3.py --loco 4018 --day 2017-11-27</t>
  </si>
  <si>
    <t>start /low /b %USERPROFILE%\Documents\GitHub\eaglep3\Utilities\DownloadLogsFromS3.py --loco 4018 --day 2017-11-28</t>
  </si>
  <si>
    <t>start /low /b %USERPROFILE%\Documents\GitHub\eaglep3\Utilities\DownloadLogsFromS3.py --loco 4043 --day 2017-11-28</t>
  </si>
  <si>
    <t>start /low /b %USERPROFILE%\Documents\GitHub\eaglep3\Utilities\DownloadLogsFromS3.py --loco 4013 --day 2017-11-27</t>
  </si>
  <si>
    <t>start /low /b %USERPROFILE%\Documents\GitHub\eaglep3\Utilities\DownloadLogsFromS3.py --loco 4017 --day 2017-11-28</t>
  </si>
  <si>
    <t>start /low /b %USERPROFILE%\Documents\GitHub\eaglep3\Utilities\DownloadLogsFromS3.py --loco 4056 --day 2017-11-28</t>
  </si>
  <si>
    <t>Selected wrong track</t>
  </si>
  <si>
    <t>Poor GPS at DUS</t>
  </si>
  <si>
    <t>Wi-MAX data drop</t>
  </si>
  <si>
    <t>Brief Wi-MAX data drop caused unhealthy banner</t>
  </si>
  <si>
    <t>Mid-block init</t>
  </si>
  <si>
    <t>Unhealthy @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</si>
</sst>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96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43066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43066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COUNTIFS($N$13:$N$9539,"&gt;0",$AG$13:$AG$9539,I1)</f>
        <v>141</v>
      </c>
      <c r="K5" s="39"/>
      <c r="L5" s="171"/>
      <c r="M5" s="40">
        <f>AVERAGEIFS($N$13:$N$9539,$AG$13:$AG$9539,I1)</f>
        <v>37.211465721137508</v>
      </c>
      <c r="N5" s="38">
        <f t="array" ref="N5">MIN(IF($AG$13:$AG$9539=I1,IF(ISNUMBER($N$13:$N$9539),IF($N$13:$N$9539&gt;0,$N$13:$N$9539))))</f>
        <v>34.133333328645676</v>
      </c>
      <c r="O5" s="3">
        <f t="array" ref="O5">MAX(IF($AG$13:$AG$9539=I1,IF(ISNUMBER($N$13:$N$9539),IF($N$13:$N$9539&gt;0,$N$13:$N$9539))))</f>
        <v>42.433333341032267</v>
      </c>
      <c r="P5" s="2"/>
      <c r="R5" s="162" t="s">
        <v>17</v>
      </c>
      <c r="S5" s="206">
        <f>COUNTIFS($N$13:$N$9539,"&gt;0",$AG$13:$AG$9539,R1)</f>
        <v>49</v>
      </c>
      <c r="T5" s="171"/>
      <c r="U5" s="194"/>
      <c r="V5" s="210">
        <f>AVERAGEIFS($N$13:$N$9539,$AG$13:$AG$9539,R1)</f>
        <v>13.937414965131415</v>
      </c>
      <c r="W5" s="211">
        <f t="array" ref="W5">MIN(IF($AG$13:$AG$9539=R1,IF(ISNUMBER($N$13:$N$9539),IF($N$13:$N$9539&gt;0,$N$13:$N$9539))))</f>
        <v>11.700000000419095</v>
      </c>
      <c r="X5" s="199">
        <f t="array" ref="X5">MAX(IF($AG$13:$AG$9539=R1,IF(ISNUMBER($N$13:$N$9539),IF($N$13:$N$9539&gt;0,$N$13:$N$9539))))</f>
        <v>24.966666667023674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COUNT($O$13:$O$297)</f>
        <v>0</v>
      </c>
      <c r="K6" s="39"/>
      <c r="L6" s="171"/>
      <c r="M6" s="40">
        <f>IFERROR(AVERAGE($O$13:$O$297),0)</f>
        <v>0</v>
      </c>
      <c r="N6" s="38">
        <f>MIN($O$13:$O$297)</f>
        <v>0</v>
      </c>
      <c r="O6" s="3">
        <f>MAX($O$13:$O$297)</f>
        <v>0</v>
      </c>
      <c r="P6" s="2"/>
      <c r="R6" s="163" t="s">
        <v>43</v>
      </c>
      <c r="S6" s="206">
        <f>COUNT($O$13:$O$297)</f>
        <v>0</v>
      </c>
      <c r="T6" s="171"/>
      <c r="U6" s="194"/>
      <c r="V6" s="210">
        <f>IFERROR(AVERAGE($O$13:$O$297),0)</f>
        <v>0</v>
      </c>
      <c r="W6" s="211">
        <f>MIN($O$13:$O$297)</f>
        <v>0</v>
      </c>
      <c r="X6" s="199">
        <f>MAX($O$13:$O$297)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COUNTIFS($P$13:$P$9539,"&gt;0",$AG$13:$AG$9539,I1)</f>
        <v>3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COUNTIFS($P$13:$P$9539,"&gt;0",$AG$13:$AG$9539,R1)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1"/>
      <c r="M8" s="40">
        <f>M5</f>
        <v>37.211465721137508</v>
      </c>
      <c r="N8" s="38">
        <f>N5</f>
        <v>34.133333328645676</v>
      </c>
      <c r="O8" s="3">
        <f>O5</f>
        <v>42.433333341032267</v>
      </c>
      <c r="P8" s="2"/>
      <c r="R8" s="162" t="s">
        <v>16</v>
      </c>
      <c r="S8" s="206">
        <f>S5</f>
        <v>49</v>
      </c>
      <c r="T8" s="171"/>
      <c r="U8" s="194"/>
      <c r="V8" s="210">
        <f>V5</f>
        <v>13.937414965131415</v>
      </c>
      <c r="W8" s="211">
        <f>W5</f>
        <v>11.700000000419095</v>
      </c>
      <c r="X8" s="199">
        <f>X5</f>
        <v>24.966666667023674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1" t="str">
        <f>"Eagle P3 System Performance - "&amp;TEXT(Variables!A2,"yyyy-mm-dd")</f>
        <v>Eagle P3 System Performance - 2017-11-27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S11" s="218">
        <f>AVERAGE(S13:S126)</f>
        <v>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597</v>
      </c>
      <c r="B13" s="7">
        <v>4030</v>
      </c>
      <c r="C13" s="21" t="s">
        <v>192</v>
      </c>
      <c r="D13" s="21" t="s">
        <v>827</v>
      </c>
      <c r="E13" s="13">
        <v>43066.132303240738</v>
      </c>
      <c r="F13" s="13">
        <v>43066.135648148149</v>
      </c>
      <c r="G13" s="7">
        <v>70</v>
      </c>
      <c r="H13" s="21" t="s">
        <v>828</v>
      </c>
      <c r="I13" s="13">
        <v>43066.159583333334</v>
      </c>
      <c r="J13" s="7">
        <v>0</v>
      </c>
      <c r="K13" s="89" t="str">
        <f t="shared" ref="K13:K76" si="0">IF(ISEVEN(B13),(B13-1)&amp;"/"&amp;B13,B13&amp;"/"&amp;(B13+1))</f>
        <v>4029/4030</v>
      </c>
      <c r="L13" s="184" t="str">
        <f>VLOOKUP(A13,'Trips&amp;Operators'!$C$1:$G$99911,5,FALSE)</f>
        <v>ROCHA YAOTL</v>
      </c>
      <c r="M13" s="6">
        <f t="shared" ref="M13:M76" si="1">I13-F13</f>
        <v>2.3935185185109731E-2</v>
      </c>
      <c r="N13" s="7">
        <f t="shared" ref="N13:N60" si="2">24*60*SUM($M13:$M13)</f>
        <v>34.466666666558012</v>
      </c>
      <c r="O13" s="7"/>
      <c r="P13" s="7"/>
      <c r="Q13" s="22"/>
      <c r="R13" s="166"/>
      <c r="S13" s="250">
        <f t="shared" ref="S13:S60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-27T02:10:31-0700',mode:absolute,to:'2017-11-27T04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" s="203" t="str">
        <f>IF(AA13&lt;VLOOKUP(AG13,Variables!$AC$3:$AD$8,2,FALSE),"Y","N")</f>
        <v>N</v>
      </c>
      <c r="X13" s="203" t="e">
        <f t="shared" ref="X13:X76" si="6">VALUE(LEFT(AD13,4))-VALUE(LEFT(AD12,4))</f>
        <v>#VALUE!</v>
      </c>
      <c r="Y13" s="203">
        <f t="shared" ref="Y13:Y76" si="7">RIGHT(D13,LEN(D13)-4)/10000</f>
        <v>7.5700000000000003E-2</v>
      </c>
      <c r="Z13" s="203">
        <f t="shared" ref="Z13:Z76" si="8">RIGHT(H13,LEN(H13)-4)/10000</f>
        <v>23.335100000000001</v>
      </c>
      <c r="AA13" s="203">
        <f t="shared" ref="AA13:AA76" si="9">ABS(Z13-Y13)</f>
        <v>23.259399999999999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s3://rtdc.mdm.uploadarchive.raw/RTDC4030/ "%USERPROFILE%\AppData\Local\Temp\OnboardLogs"\RTDC4030\2017-11-27 --exclude "*" --recursive --include "*20171127*" &amp; "%USERPROFILE%\Documents\GitHub\mrs-test-scripts\Headless Mode &amp; Sideloading\WalkAndUnGZ.bat" "%USERPROFILE%\AppData\Local\Temp\OnboardLogs"\RTDC4030\2017-11-27 &amp; aws s3 cp s3://rtdc.mdm.uploadarchive.raw/RTDC4030/ "%USERPROFILE%\AppData\Local\Temp\OnboardLogs"\RTDC4030\2017-11-28 --exclude "*" --recursive --include "*20171128*" &amp; "%USERPROFILE%\Documents\GitHub\mrs-test-scripts\Headless Mode &amp; Sideloading\WalkAndUnGZ.bat" "%USERPROFILE%\AppData\Local\Temp\OnboardLogs"\RTDC4030\2017-11-28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/stypes="app*4030*20171127*"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4030 --swversion DE.1.0.9.0 --startMP 204:757 --initTime 2017-11-27T03:10:31 --startdatetime 2017-11-27T03:15:20 --delay 70 --endMP 204:233351 --enddatetime 2017-11-27T03:49:48 --enforcementcount 0 &gt;&gt;%USERPROFILE%\Documents\GitHub\eaglep3-reporting\EC\2017-11-27-refined-times.txt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{"issue":{"subject":"","project_id":79,"tracker_id":40,"status_id":1,"priority_id":2,"assigned_to_id":338,"start_date":"2017-11-27","description":"","custom_fields":[{"id":1,"name":"Subdivision","value":"EC"},{"id":4,"name":"Milepost","value":"23.3351"},{"id":17,"name":"Train ID","value":"101-27"},{"id":16,"name":"Locomotive ID","value":"4030"},{"id":130,"name":"Impact","value":""},{"id":150,"name":"Time of Event (Mountain Time)","value":"03:49:48"},{"id":151,"name":"Denver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4030 --day 2017-11-27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10:49:48"},{"id":29,"name":"Sharepoint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-27T02:10:31-0700',mode:absolute,to:'2017-11-27T04:49:48-0700'))&amp;_a=(columns:!('Message%20ID',Summary),filters:!(),index:'emp_*',interval:auto,query:(query_string:(analyze_wildcard:!t,query:'%22rtdc.l.rtdc.4030%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30" t="s">
        <v>606</v>
      </c>
      <c r="B14" s="226">
        <v>4031</v>
      </c>
      <c r="C14" s="228" t="s">
        <v>192</v>
      </c>
      <c r="D14" s="228" t="s">
        <v>829</v>
      </c>
      <c r="E14" s="227">
        <v>43066.173564814817</v>
      </c>
      <c r="F14" s="227">
        <v>43066.175416666665</v>
      </c>
      <c r="G14" s="226">
        <v>59</v>
      </c>
      <c r="H14" s="228" t="s">
        <v>830</v>
      </c>
      <c r="I14" s="227">
        <v>43066.200497685182</v>
      </c>
      <c r="J14" s="226">
        <v>0</v>
      </c>
      <c r="K14" s="238" t="str">
        <f t="shared" si="0"/>
        <v>4031/4032</v>
      </c>
      <c r="L14" s="246" t="str">
        <f>VLOOKUP(A14,'Trips&amp;Operators'!$C$1:$G$99911,5,FALSE)</f>
        <v>ROCHA YAOTL</v>
      </c>
      <c r="M14" s="225">
        <f t="shared" si="1"/>
        <v>2.5081018517084885E-2</v>
      </c>
      <c r="N14" s="226">
        <f t="shared" si="2"/>
        <v>36.116666664602235</v>
      </c>
      <c r="O14" s="226"/>
      <c r="P14" s="226"/>
      <c r="Q14" s="229"/>
      <c r="R14" s="243"/>
      <c r="S14" s="250">
        <f t="shared" si="3"/>
        <v>1</v>
      </c>
      <c r="T14" s="243" t="str">
        <f t="shared" si="4"/>
        <v>Southbound</v>
      </c>
      <c r="U14" s="24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9" t="str">
        <f t="shared" si="5"/>
        <v>https://d0f6bd738d7f1b3e5a7ca70fe4ff75f0.us-east-1.aws.found.io/app/kibana#/discover/Steve-Slow-Train-Analysis-(2080s-and-2083s)?_g=(refreshInterval:(display:Off,pause:!f,section:0,value:0),time:(from:'2017-11-27T03:09:56-0700',mode:absolute,to:'2017-11-27T05:48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248" t="str">
        <f>IF(AA14&lt;VLOOKUP(AG14,Variables!$AC$3:$AD$8,2,FALSE),"Y","N")</f>
        <v>N</v>
      </c>
      <c r="X14" s="248">
        <f t="shared" si="6"/>
        <v>1</v>
      </c>
      <c r="Y14" s="248">
        <f t="shared" si="7"/>
        <v>23.271000000000001</v>
      </c>
      <c r="Z14" s="248">
        <f t="shared" si="8"/>
        <v>0.1588</v>
      </c>
      <c r="AA14" s="248">
        <f t="shared" si="9"/>
        <v>23.112200000000001</v>
      </c>
      <c r="AB14" s="234" t="e">
        <f>VLOOKUP(A14,Enforcements!$C$7:$K$9,8,0)</f>
        <v>#N/A</v>
      </c>
      <c r="AC14" s="233" t="e">
        <f>VLOOKUP(A14,Enforcements!$C$7:$E$9,3,0)</f>
        <v>#N/A</v>
      </c>
      <c r="AD14" s="244">
        <f t="shared" si="10"/>
        <v>102</v>
      </c>
      <c r="AE14" s="236" t="str">
        <f t="shared" si="11"/>
        <v>aws s3 cp s3://rtdc.mdm.uploadarchive.raw/RTDC4031/ "%USERPROFILE%\AppData\Local\Temp\OnboardLogs"\RTDC4031\2017-11-27 --exclude "*" --recursive --include "*20171127*" &amp; "%USERPROFILE%\Documents\GitHub\mrs-test-scripts\Headless Mode &amp; Sideloading\WalkAndUnGZ.bat" "%USERPROFILE%\AppData\Local\Temp\OnboardLogs"\RTDC4031\2017-11-27 &amp; aws s3 cp s3://rtdc.mdm.uploadarchive.raw/RTDC4031/ "%USERPROFILE%\AppData\Local\Temp\OnboardLogs"\RTDC4031\2017-11-28 --exclude "*" --recursive --include "*20171128*" &amp; "%USERPROFILE%\Documents\GitHub\mrs-test-scripts\Headless Mode &amp; Sideloading\WalkAndUnGZ.bat" "%USERPROFILE%\AppData\Local\Temp\OnboardLogs"\RTDC4031\2017-11-28</v>
      </c>
      <c r="AF14" s="235" t="str">
        <f t="shared" si="12"/>
        <v>"C:\Program Files (x86)\AstroGrep\AstroGrep.exe" /e /r /s /spath="%USERPROFILE%\AppData\Local\Temp\OnboardLogs" /stypes="app*4031*20171127*" /stext=" 11:.+((SYSTEM_STATE.+slice.+state.+changed )|(ment ac)|(multiple cpu faults)|(system.+state.+changed )|(\[timeout)|(PRM\|1\|D)|(kpr)|(kdp)|(train st.+moving)|(\|lc)|(penalty))"</v>
      </c>
      <c r="AG14" s="245" t="str">
        <f t="shared" si="13"/>
        <v>EC</v>
      </c>
      <c r="AH14" s="237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102-27 --locoid 4031 --swversion DE.1.0.9.0 --startMP 204:232710 --initTime 2017-11-27T04:09:56 --startdatetime 2017-11-27T04:12:36 --delay 59 --endMP 204:1588 --enddatetime 2017-11-27T04:48:43 --enforcementcount 0 &gt;&gt;%USERPROFILE%\Documents\GitHub\eaglep3-reporting\EC\2017-11-27-refined-times.txt</v>
      </c>
      <c r="AI14" s="23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{"issue":{"subject":"","project_id":79,"tracker_id":40,"status_id":1,"priority_id":2,"assigned_to_id":338,"start_date":"2017-11-27","description":"","custom_fields":[{"id":1,"name":"Subdivision","value":"EC"},{"id":4,"name":"Milepost","value":"0.1588"},{"id":17,"name":"Train ID","value":"102-27"},{"id":16,"name":"Locomotive ID","value":"4031"},{"id":130,"name":"Impact","value":""},{"id":150,"name":"Time of Event (Mountain Time)","value":"04:48:43"},{"id":151,"name":"Denver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4"/>
      <c r="AK14" s="232"/>
      <c r="AL14" s="232"/>
      <c r="AM14" s="241" t="str">
        <f t="shared" ref="AM14:AM77" si="21">"start /low /b "&amp;dls3logs&amp;" --loco "&amp;B14&amp;" --day "&amp;TEXT(F14,"YYYY-MM-DD")</f>
        <v>start /low /b %USERPROFILE%\Documents\GitHub\eaglep3\Utilities\DownloadLogsFromS3.py --loco 4031 --day 2017-11-27</v>
      </c>
      <c r="AN14" s="242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11:48:43"},{"id":29,"name":"Sharepoint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1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-27T03:09:56-0700',mode:absolute,to:'2017-11-27T05:48:43-0700'))&amp;_a=(columns:!('Message%20ID',Summary),filters:!(),index:'emp_*',interval:auto,query:(query_string:(analyze_wildcard:!t,query:'%22rtdc.l.rtdc.4031%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30" t="s">
        <v>602</v>
      </c>
      <c r="B15" s="226">
        <v>4022</v>
      </c>
      <c r="C15" s="228" t="s">
        <v>192</v>
      </c>
      <c r="D15" s="228" t="s">
        <v>831</v>
      </c>
      <c r="E15" s="227">
        <v>43066.149097222224</v>
      </c>
      <c r="F15" s="227">
        <v>43066.156412037039</v>
      </c>
      <c r="G15" s="226">
        <v>116</v>
      </c>
      <c r="H15" s="228" t="s">
        <v>832</v>
      </c>
      <c r="I15" s="227">
        <v>43066.182025462964</v>
      </c>
      <c r="J15" s="226">
        <v>0</v>
      </c>
      <c r="K15" s="238" t="str">
        <f t="shared" si="0"/>
        <v>4021/4022</v>
      </c>
      <c r="L15" s="246" t="str">
        <f>VLOOKUP(A15,'Trips&amp;Operators'!$C$1:$G$99911,5,FALSE)</f>
        <v>NICHOLAS PLOYSA</v>
      </c>
      <c r="M15" s="225">
        <f t="shared" si="1"/>
        <v>2.5613425925257616E-2</v>
      </c>
      <c r="N15" s="226">
        <f t="shared" si="2"/>
        <v>36.883333332370967</v>
      </c>
      <c r="O15" s="226"/>
      <c r="P15" s="226"/>
      <c r="Q15" s="229"/>
      <c r="R15" s="243"/>
      <c r="S15" s="250">
        <f t="shared" si="3"/>
        <v>1</v>
      </c>
      <c r="T15" s="243" t="str">
        <f t="shared" si="4"/>
        <v>NorthBound</v>
      </c>
      <c r="U15" s="24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9" t="str">
        <f t="shared" si="5"/>
        <v>https://d0f6bd738d7f1b3e5a7ca70fe4ff75f0.us-east-1.aws.found.io/app/kibana#/discover/Steve-Slow-Train-Analysis-(2080s-and-2083s)?_g=(refreshInterval:(display:Off,pause:!f,section:0,value:0),time:(from:'2017-11-27T02:34:42-0700',mode:absolute,to:'2017-11-27T05:22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" s="248" t="str">
        <f>IF(AA15&lt;VLOOKUP(AG15,Variables!$AC$3:$AD$8,2,FALSE),"Y","N")</f>
        <v>N</v>
      </c>
      <c r="X15" s="248">
        <f t="shared" si="6"/>
        <v>1</v>
      </c>
      <c r="Y15" s="248">
        <f t="shared" si="7"/>
        <v>4.3799999999999999E-2</v>
      </c>
      <c r="Z15" s="248">
        <f t="shared" si="8"/>
        <v>23.3306</v>
      </c>
      <c r="AA15" s="248">
        <f t="shared" si="9"/>
        <v>23.286799999999999</v>
      </c>
      <c r="AB15" s="234" t="e">
        <f>VLOOKUP(A15,Enforcements!$C$7:$K$9,8,0)</f>
        <v>#N/A</v>
      </c>
      <c r="AC15" s="233" t="e">
        <f>VLOOKUP(A15,Enforcements!$C$7:$E$9,3,0)</f>
        <v>#N/A</v>
      </c>
      <c r="AD15" s="244">
        <f t="shared" si="10"/>
        <v>103</v>
      </c>
      <c r="AE15" s="236" t="str">
        <f t="shared" si="11"/>
        <v>aws s3 cp s3://rtdc.mdm.uploadarchive.raw/RTDC4022/ "%USERPROFILE%\AppData\Local\Temp\OnboardLogs"\RTDC4022\2017-11-27 --exclude "*" --recursive --include "*20171127*" &amp; "%USERPROFILE%\Documents\GitHub\mrs-test-scripts\Headless Mode &amp; Sideloading\WalkAndUnGZ.bat" "%USERPROFILE%\AppData\Local\Temp\OnboardLogs"\RTDC4022\2017-11-27 &amp; aws s3 cp s3://rtdc.mdm.uploadarchive.raw/RTDC4022/ "%USERPROFILE%\AppData\Local\Temp\OnboardLogs"\RTDC4022\2017-11-28 --exclude "*" --recursive --include "*20171128*" &amp; "%USERPROFILE%\Documents\GitHub\mrs-test-scripts\Headless Mode &amp; Sideloading\WalkAndUnGZ.bat" "%USERPROFILE%\AppData\Local\Temp\OnboardLogs"\RTDC4022\2017-11-28</v>
      </c>
      <c r="AF15" s="235" t="str">
        <f t="shared" si="12"/>
        <v>"C:\Program Files (x86)\AstroGrep\AstroGrep.exe" /e /r /s /spath="%USERPROFILE%\AppData\Local\Temp\OnboardLogs" /stypes="app*4022*20171127*" /stext=" 11:.+((SYSTEM_STATE.+slice.+state.+changed )|(ment ac)|(multiple cpu faults)|(system.+state.+changed )|(\[timeout)|(PRM\|1\|D)|(kpr)|(kdp)|(train st.+moving)|(\|lc)|(penalty))"</v>
      </c>
      <c r="AG15" s="245" t="str">
        <f t="shared" si="13"/>
        <v>EC</v>
      </c>
      <c r="AH15" s="237" t="str">
        <f t="shared" si="19"/>
        <v>"%USERPROFILE%\Documents\GitHub\eaglep3\Utilities\RefineRTDCRunTimes.py" --tripid 103-27 --locoid 4022 --swversion DE.1.0.9.0 --startMP 204:438 --initTime 2017-11-27T03:34:42 --startdatetime 2017-11-27T03:45:14 --delay 116 --endMP 204:233306 --enddatetime 2017-11-27T04:22:07 --enforcementcount 0 &gt;&gt;%USERPROFILE%\Documents\GitHub\eaglep3-reporting\EC\2017-11-27-refined-times.txt</v>
      </c>
      <c r="AI15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{"issue":{"subject":"","project_id":79,"tracker_id":40,"status_id":1,"priority_id":2,"assigned_to_id":338,"start_date":"2017-11-27","description":"","custom_fields":[{"id":1,"name":"Subdivision","value":"EC"},{"id":4,"name":"Milepost","value":"23.3306"},{"id":17,"name":"Train ID","value":"103-27"},{"id":16,"name":"Locomotive ID","value":"4022"},{"id":130,"name":"Impact","value":""},{"id":150,"name":"Time of Event (Mountain Time)","value":"04:22:07"},{"id":151,"name":"Denver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4"/>
      <c r="AK15" s="232"/>
      <c r="AL15" s="232"/>
      <c r="AM15" s="241" t="str">
        <f t="shared" si="21"/>
        <v>start /low /b %USERPROFILE%\Documents\GitHub\eaglep3\Utilities\DownloadLogsFromS3.py --loco 4022 --day 2017-11-27</v>
      </c>
      <c r="AN15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11:22:07"},{"id":29,"name":"Sharepoint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1" t="str">
        <f t="shared" si="23"/>
        <v>https://d0f6bd738d7f1b3e5a7ca70fe4ff75f0.us-east-1.aws.found.io/app/kibana#/discover/Steve-Slow-Train-Analysis-(2080s-and-2083s)?_g=(refreshInterval:(display:Off,pause:!f,section:0,value:0),time:(from:'2017-11-27T02:34:42-0700',mode:absolute,to:'2017-11-27T05:22:07-0700'))&amp;_a=(columns:!('Message%20ID',Summary),filters:!(),index:'emp_*',interval:auto,query:(query_string:(analyze_wildcard:!t,query:'%22rtdc.l.rtdc.4022%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30" t="s">
        <v>615</v>
      </c>
      <c r="B16" s="226">
        <v>4021</v>
      </c>
      <c r="C16" s="228" t="s">
        <v>192</v>
      </c>
      <c r="D16" s="228" t="s">
        <v>465</v>
      </c>
      <c r="E16" s="227">
        <v>43066.189710648148</v>
      </c>
      <c r="F16" s="227">
        <v>43066.19599537037</v>
      </c>
      <c r="G16" s="226">
        <v>105</v>
      </c>
      <c r="H16" s="228" t="s">
        <v>833</v>
      </c>
      <c r="I16" s="227">
        <v>43066.222800925927</v>
      </c>
      <c r="J16" s="226">
        <v>0</v>
      </c>
      <c r="K16" s="238" t="str">
        <f t="shared" si="0"/>
        <v>4021/4022</v>
      </c>
      <c r="L16" s="246" t="str">
        <f>VLOOKUP(A16,'Trips&amp;Operators'!$C$1:$G$99911,5,FALSE)</f>
        <v>NICHOLAS PLOYSA</v>
      </c>
      <c r="M16" s="225">
        <f t="shared" si="1"/>
        <v>2.6805555557075422E-2</v>
      </c>
      <c r="N16" s="226">
        <f t="shared" si="2"/>
        <v>38.600000002188608</v>
      </c>
      <c r="O16" s="226"/>
      <c r="P16" s="226"/>
      <c r="Q16" s="229"/>
      <c r="R16" s="243"/>
      <c r="S16" s="250">
        <f t="shared" si="3"/>
        <v>1</v>
      </c>
      <c r="T16" s="243" t="str">
        <f t="shared" si="4"/>
        <v>Southbound</v>
      </c>
      <c r="U16" s="24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9" t="str">
        <f t="shared" si="5"/>
        <v>https://d0f6bd738d7f1b3e5a7ca70fe4ff75f0.us-east-1.aws.found.io/app/kibana#/discover/Steve-Slow-Train-Analysis-(2080s-and-2083s)?_g=(refreshInterval:(display:Off,pause:!f,section:0,value:0),time:(from:'2017-11-27T03:33:11-0700',mode:absolute,to:'2017-11-27T06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" s="248" t="str">
        <f>IF(AA16&lt;VLOOKUP(AG16,Variables!$AC$3:$AD$8,2,FALSE),"Y","N")</f>
        <v>N</v>
      </c>
      <c r="X16" s="248">
        <f t="shared" si="6"/>
        <v>1</v>
      </c>
      <c r="Y16" s="248">
        <f t="shared" si="7"/>
        <v>23.299600000000002</v>
      </c>
      <c r="Z16" s="248">
        <f t="shared" si="8"/>
        <v>1.4999999999999999E-2</v>
      </c>
      <c r="AA16" s="248">
        <f t="shared" si="9"/>
        <v>23.284600000000001</v>
      </c>
      <c r="AB16" s="234" t="e">
        <f>VLOOKUP(A16,Enforcements!$C$7:$K$9,8,0)</f>
        <v>#N/A</v>
      </c>
      <c r="AC16" s="233" t="e">
        <f>VLOOKUP(A16,Enforcements!$C$7:$E$9,3,0)</f>
        <v>#N/A</v>
      </c>
      <c r="AD16" s="244">
        <f t="shared" si="10"/>
        <v>104</v>
      </c>
      <c r="AE16" s="236" t="str">
        <f t="shared" si="11"/>
        <v>aws s3 cp s3://rtdc.mdm.uploadarchive.raw/RTDC4021/ "%USERPROFILE%\AppData\Local\Temp\OnboardLogs"\RTDC4021\2017-11-27 --exclude "*" --recursive --include "*20171127*" &amp; "%USERPROFILE%\Documents\GitHub\mrs-test-scripts\Headless Mode &amp; Sideloading\WalkAndUnGZ.bat" "%USERPROFILE%\AppData\Local\Temp\OnboardLogs"\RTDC4021\2017-11-27 &amp; aws s3 cp s3://rtdc.mdm.uploadarchive.raw/RTDC4021/ "%USERPROFILE%\AppData\Local\Temp\OnboardLogs"\RTDC4021\2017-11-28 --exclude "*" --recursive --include "*20171128*" &amp; "%USERPROFILE%\Documents\GitHub\mrs-test-scripts\Headless Mode &amp; Sideloading\WalkAndUnGZ.bat" "%USERPROFILE%\AppData\Local\Temp\OnboardLogs"\RTDC4021\2017-11-28</v>
      </c>
      <c r="AF16" s="235" t="str">
        <f t="shared" si="12"/>
        <v>"C:\Program Files (x86)\AstroGrep\AstroGrep.exe" /e /r /s /spath="%USERPROFILE%\AppData\Local\Temp\OnboardLogs" /stypes="app*4021*20171127*" /stext=" 12:.+((SYSTEM_STATE.+slice.+state.+changed )|(ment ac)|(multiple cpu faults)|(system.+state.+changed )|(\[timeout)|(PRM\|1\|D)|(kpr)|(kdp)|(train st.+moving)|(\|lc)|(penalty))"</v>
      </c>
      <c r="AG16" s="245" t="str">
        <f t="shared" si="13"/>
        <v>EC</v>
      </c>
      <c r="AH16" s="237" t="str">
        <f t="shared" si="19"/>
        <v>"%USERPROFILE%\Documents\GitHub\eaglep3\Utilities\RefineRTDCRunTimes.py" --tripid 104-27 --locoid 4021 --swversion DE.1.0.9.0 --startMP 204:232996 --initTime 2017-11-27T04:33:11 --startdatetime 2017-11-27T04:42:14 --delay 105 --endMP 204:150 --enddatetime 2017-11-27T05:20:50 --enforcementcount 0 &gt;&gt;%USERPROFILE%\Documents\GitHub\eaglep3-reporting\EC\2017-11-27-refined-times.txt</v>
      </c>
      <c r="AI16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{"issue":{"subject":"","project_id":79,"tracker_id":40,"status_id":1,"priority_id":2,"assigned_to_id":338,"start_date":"2017-11-27","description":"","custom_fields":[{"id":1,"name":"Subdivision","value":"EC"},{"id":4,"name":"Milepost","value":"0.015"},{"id":17,"name":"Train ID","value":"104-27"},{"id":16,"name":"Locomotive ID","value":"4021"},{"id":130,"name":"Impact","value":""},{"id":150,"name":"Time of Event (Mountain Time)","value":"05:20:50"},{"id":151,"name":"Denver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4"/>
      <c r="AK16" s="232"/>
      <c r="AL16" s="232"/>
      <c r="AM16" s="241" t="str">
        <f t="shared" si="21"/>
        <v>start /low /b %USERPROFILE%\Documents\GitHub\eaglep3\Utilities\DownloadLogsFromS3.py --loco 4021 --day 2017-11-27</v>
      </c>
      <c r="AN16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12:20:50"},{"id":29,"name":"Sharepoint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1" t="str">
        <f t="shared" si="23"/>
        <v>https://d0f6bd738d7f1b3e5a7ca70fe4ff75f0.us-east-1.aws.found.io/app/kibana#/discover/Steve-Slow-Train-Analysis-(2080s-and-2083s)?_g=(refreshInterval:(display:Off,pause:!f,section:0,value:0),time:(from:'2017-11-27T03:33:11-0700',mode:absolute,to:'2017-11-27T06:20:50-0700'))&amp;_a=(columns:!('Message%20ID',Summary),filters:!(),index:'emp_*',interval:auto,query:(query_string:(analyze_wildcard:!t,query:'%22rtdc.l.rtdc.4021%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30" t="s">
        <v>610</v>
      </c>
      <c r="B17" s="226">
        <v>4044</v>
      </c>
      <c r="C17" s="228" t="s">
        <v>192</v>
      </c>
      <c r="D17" s="228" t="s">
        <v>834</v>
      </c>
      <c r="E17" s="227">
        <v>43066.174861111111</v>
      </c>
      <c r="F17" s="227">
        <v>43066.177418981482</v>
      </c>
      <c r="G17" s="226">
        <v>105</v>
      </c>
      <c r="H17" s="228" t="s">
        <v>835</v>
      </c>
      <c r="I17" s="227">
        <v>43066.202835648146</v>
      </c>
      <c r="J17" s="226">
        <v>0</v>
      </c>
      <c r="K17" s="238" t="str">
        <f t="shared" si="0"/>
        <v>4043/4044</v>
      </c>
      <c r="L17" s="246" t="str">
        <f>VLOOKUP(A17,'Trips&amp;Operators'!$C$1:$G$99911,5,FALSE)</f>
        <v>STARKS ANGELINA</v>
      </c>
      <c r="M17" s="225">
        <f t="shared" si="1"/>
        <v>2.5416666663659271E-2</v>
      </c>
      <c r="N17" s="226">
        <f t="shared" si="2"/>
        <v>36.59999999566935</v>
      </c>
      <c r="O17" s="226"/>
      <c r="P17" s="226"/>
      <c r="Q17" s="229"/>
      <c r="R17" s="243" t="s">
        <v>1018</v>
      </c>
      <c r="S17" s="250">
        <f t="shared" si="3"/>
        <v>1</v>
      </c>
      <c r="T17" s="243" t="str">
        <f t="shared" si="4"/>
        <v>NorthBound</v>
      </c>
      <c r="U17" s="24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9" t="str">
        <f t="shared" si="5"/>
        <v>https://d0f6bd738d7f1b3e5a7ca70fe4ff75f0.us-east-1.aws.found.io/app/kibana#/discover/Steve-Slow-Train-Analysis-(2080s-and-2083s)?_g=(refreshInterval:(display:Off,pause:!f,section:0,value:0),time:(from:'2017-11-27T03:11:48-0700',mode:absolute,to:'2017-11-27T05:52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248" t="str">
        <f>IF(AA17&lt;VLOOKUP(AG17,Variables!$AC$3:$AD$8,2,FALSE),"Y","N")</f>
        <v>N</v>
      </c>
      <c r="X17" s="248">
        <f t="shared" si="6"/>
        <v>1</v>
      </c>
      <c r="Y17" s="248">
        <f t="shared" si="7"/>
        <v>4.3999999999999997E-2</v>
      </c>
      <c r="Z17" s="248">
        <f t="shared" si="8"/>
        <v>23.330300000000001</v>
      </c>
      <c r="AA17" s="248">
        <f t="shared" si="9"/>
        <v>23.286300000000001</v>
      </c>
      <c r="AB17" s="234" t="e">
        <f>VLOOKUP(A17,Enforcements!$C$7:$K$9,8,0)</f>
        <v>#N/A</v>
      </c>
      <c r="AC17" s="233" t="e">
        <f>VLOOKUP(A17,Enforcements!$C$7:$E$9,3,0)</f>
        <v>#N/A</v>
      </c>
      <c r="AD17" s="244">
        <f t="shared" si="10"/>
        <v>105</v>
      </c>
      <c r="AE17" s="236" t="str">
        <f t="shared" si="11"/>
        <v>aws s3 cp s3://rtdc.mdm.uploadarchive.raw/RTDC4044/ "%USERPROFILE%\AppData\Local\Temp\OnboardLogs"\RTDC4044\2017-11-27 --exclude "*" --recursive --include "*20171127*" &amp; "%USERPROFILE%\Documents\GitHub\mrs-test-scripts\Headless Mode &amp; Sideloading\WalkAndUnGZ.bat" "%USERPROFILE%\AppData\Local\Temp\OnboardLogs"\RTDC4044\2017-11-27 &amp; aws s3 cp s3://rtdc.mdm.uploadarchive.raw/RTDC4044/ "%USERPROFILE%\AppData\Local\Temp\OnboardLogs"\RTDC4044\2017-11-28 --exclude "*" --recursive --include "*20171128*" &amp; "%USERPROFILE%\Documents\GitHub\mrs-test-scripts\Headless Mode &amp; Sideloading\WalkAndUnGZ.bat" "%USERPROFILE%\AppData\Local\Temp\OnboardLogs"\RTDC4044\2017-11-28</v>
      </c>
      <c r="AF17" s="235" t="str">
        <f t="shared" si="12"/>
        <v>"C:\Program Files (x86)\AstroGrep\AstroGrep.exe" /e /r /s /spath="%USERPROFILE%\AppData\Local\Temp\OnboardLogs" /stypes="app*4044*20171127*" /stext=" 11:.+((SYSTEM_STATE.+slice.+state.+changed )|(ment ac)|(multiple cpu faults)|(system.+state.+changed )|(\[timeout)|(PRM\|1\|D)|(kpr)|(kdp)|(train st.+moving)|(\|lc)|(penalty))"</v>
      </c>
      <c r="AG17" s="245" t="str">
        <f t="shared" si="13"/>
        <v>EC</v>
      </c>
      <c r="AH17" s="237" t="str">
        <f t="shared" si="19"/>
        <v>"%USERPROFILE%\Documents\GitHub\eaglep3\Utilities\RefineRTDCRunTimes.py" --tripid 105-27 --locoid 4044 --swversion DE.1.0.9.0 --startMP 204:440 --initTime 2017-11-27T04:11:48 --startdatetime 2017-11-27T04:15:29 --delay 105 --endMP 204:233303 --enddatetime 2017-11-27T04:52:05 --enforcementcount 0 &gt;&gt;%USERPROFILE%\Documents\GitHub\eaglep3-reporting\EC\2017-11-27-refined-times.txt</v>
      </c>
      <c r="AI17" s="239" t="str">
        <f t="shared" si="20"/>
        <v>echo {"issue":{"subject":"Brief Wi-MAX data drop caused unhealthy banner","project_id":79,"tracker_id":40,"status_id":1,"priority_id":2,"assigned_to_id":338,"start_date":"2017-11-27","description":"","custom_fields":[{"id":1,"name":"Subdivision","value":"EC"},{"id":4,"name":"Milepost","value":"23.3303"},{"id":17,"name":"Train ID","value":"105-27"},{"id":16,"name":"Locomotive ID","value":"4044"},{"id":130,"name":"Impact","value":""},{"id":150,"name":"Time of Event (Mountain Time)","value":"04:52:05"},{"id":151,"name":"Denver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4"/>
      <c r="AK17" s="232"/>
      <c r="AL17" s="232"/>
      <c r="AM17" s="241" t="str">
        <f t="shared" si="21"/>
        <v>start /low /b %USERPROFILE%\Documents\GitHub\eaglep3\Utilities\DownloadLogsFromS3.py --loco 4044 --day 2017-11-27</v>
      </c>
      <c r="AN17" s="242" t="str">
        <f t="shared" si="22"/>
        <v>echo {"issue":{"subject":"Brief Wi-MAX data drop caused unhealthy banner","project_id":30,"tracker_id":4,"status_id":1,"priority_id":1,"assigned_to_id":10,"start_date":"2017-11-27","description":"","custom_fields":[{"id":30,"name":"Category","value":"Issue"},{"id":3,"name":"Functional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11:52:05"},{"id":29,"name":"Sharepoint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1" t="str">
        <f t="shared" si="23"/>
        <v>https://d0f6bd738d7f1b3e5a7ca70fe4ff75f0.us-east-1.aws.found.io/app/kibana#/discover/Steve-Slow-Train-Analysis-(2080s-and-2083s)?_g=(refreshInterval:(display:Off,pause:!f,section:0,value:0),time:(from:'2017-11-27T03:11:48-0700',mode:absolute,to:'2017-11-27T05:52:05-0700'))&amp;_a=(columns:!('Message%20ID',Summary),filters:!(),index:'emp_*',interval:auto,query:(query_string:(analyze_wildcard:!t,query:'%22rtdc.l.rtdc.4044%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30" t="s">
        <v>628</v>
      </c>
      <c r="B18" s="226">
        <v>4043</v>
      </c>
      <c r="C18" s="228" t="s">
        <v>192</v>
      </c>
      <c r="D18" s="228" t="s">
        <v>414</v>
      </c>
      <c r="E18" s="227">
        <v>43066.213483796295</v>
      </c>
      <c r="F18" s="227">
        <v>43066.216921296298</v>
      </c>
      <c r="G18" s="226">
        <v>61</v>
      </c>
      <c r="H18" s="228" t="s">
        <v>464</v>
      </c>
      <c r="I18" s="227">
        <v>43066.244756944441</v>
      </c>
      <c r="J18" s="226">
        <v>0</v>
      </c>
      <c r="K18" s="238" t="str">
        <f t="shared" si="0"/>
        <v>4043/4044</v>
      </c>
      <c r="L18" s="246" t="str">
        <f>VLOOKUP(A18,'Trips&amp;Operators'!$C$1:$G$99911,5,FALSE)</f>
        <v>STARKS ANGELINA</v>
      </c>
      <c r="M18" s="225">
        <f t="shared" si="1"/>
        <v>2.7835648143081926E-2</v>
      </c>
      <c r="N18" s="226">
        <f t="shared" si="2"/>
        <v>40.083333326037973</v>
      </c>
      <c r="O18" s="226"/>
      <c r="P18" s="226"/>
      <c r="Q18" s="229"/>
      <c r="R18" s="243"/>
      <c r="S18" s="250">
        <f t="shared" si="3"/>
        <v>1</v>
      </c>
      <c r="T18" s="243" t="str">
        <f t="shared" si="4"/>
        <v>Southbound</v>
      </c>
      <c r="U18" s="24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9" t="str">
        <f t="shared" si="5"/>
        <v>https://d0f6bd738d7f1b3e5a7ca70fe4ff75f0.us-east-1.aws.found.io/app/kibana#/discover/Steve-Slow-Train-Analysis-(2080s-and-2083s)?_g=(refreshInterval:(display:Off,pause:!f,section:0,value:0),time:(from:'2017-11-27T04:07:25-0700',mode:absolute,to:'2017-11-27T06:52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" s="248" t="str">
        <f>IF(AA18&lt;VLOOKUP(AG18,Variables!$AC$3:$AD$8,2,FALSE),"Y","N")</f>
        <v>N</v>
      </c>
      <c r="X18" s="248">
        <f t="shared" si="6"/>
        <v>1</v>
      </c>
      <c r="Y18" s="248">
        <f t="shared" si="7"/>
        <v>23.297699999999999</v>
      </c>
      <c r="Z18" s="248">
        <f t="shared" si="8"/>
        <v>1.61E-2</v>
      </c>
      <c r="AA18" s="248">
        <f t="shared" si="9"/>
        <v>23.281599999999997</v>
      </c>
      <c r="AB18" s="234" t="e">
        <f>VLOOKUP(A18,Enforcements!$C$7:$K$9,8,0)</f>
        <v>#N/A</v>
      </c>
      <c r="AC18" s="233" t="e">
        <f>VLOOKUP(A18,Enforcements!$C$7:$E$9,3,0)</f>
        <v>#N/A</v>
      </c>
      <c r="AD18" s="244">
        <f t="shared" si="10"/>
        <v>106</v>
      </c>
      <c r="AE18" s="236" t="str">
        <f t="shared" si="11"/>
        <v>aws s3 cp s3://rtdc.mdm.uploadarchive.raw/RTDC4043/ "%USERPROFILE%\AppData\Local\Temp\OnboardLogs"\RTDC4043\2017-11-27 --exclude "*" --recursive --include "*20171127*" &amp; "%USERPROFILE%\Documents\GitHub\mrs-test-scripts\Headless Mode &amp; Sideloading\WalkAndUnGZ.bat" "%USERPROFILE%\AppData\Local\Temp\OnboardLogs"\RTDC4043\2017-11-27 &amp; aws s3 cp s3://rtdc.mdm.uploadarchive.raw/RTDC4043/ "%USERPROFILE%\AppData\Local\Temp\OnboardLogs"\RTDC4043\2017-11-28 --exclude "*" --recursive --include "*20171128*" &amp; "%USERPROFILE%\Documents\GitHub\mrs-test-scripts\Headless Mode &amp; Sideloading\WalkAndUnGZ.bat" "%USERPROFILE%\AppData\Local\Temp\OnboardLogs"\RTDC4043\2017-11-28</v>
      </c>
      <c r="AF18" s="235" t="str">
        <f t="shared" si="12"/>
        <v>"C:\Program Files (x86)\AstroGrep\AstroGrep.exe" /e /r /s /spath="%USERPROFILE%\AppData\Local\Temp\OnboardLogs" /stypes="app*4043*20171127*" /stext=" 12:.+((SYSTEM_STATE.+slice.+state.+changed )|(ment ac)|(multiple cpu faults)|(system.+state.+changed )|(\[timeout)|(PRM\|1\|D)|(kpr)|(kdp)|(train st.+moving)|(\|lc)|(penalty))"</v>
      </c>
      <c r="AG18" s="245" t="str">
        <f t="shared" si="13"/>
        <v>EC</v>
      </c>
      <c r="AH18" s="237" t="str">
        <f t="shared" si="19"/>
        <v>"%USERPROFILE%\Documents\GitHub\eaglep3\Utilities\RefineRTDCRunTimes.py" --tripid 106-27 --locoid 4043 --swversion DE.1.0.9.0 --startMP 204:232977 --initTime 2017-11-27T05:07:25 --startdatetime 2017-11-27T05:12:22 --delay 61 --endMP 204:161 --enddatetime 2017-11-27T05:52:27 --enforcementcount 0 &gt;&gt;%USERPROFILE%\Documents\GitHub\eaglep3-reporting\EC\2017-11-27-refined-times.txt</v>
      </c>
      <c r="AI18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{"issue":{"subject":"","project_id":79,"tracker_id":40,"status_id":1,"priority_id":2,"assigned_to_id":338,"start_date":"2017-11-27","description":"","custom_fields":[{"id":1,"name":"Subdivision","value":"EC"},{"id":4,"name":"Milepost","value":"0.0161"},{"id":17,"name":"Train ID","value":"106-27"},{"id":16,"name":"Locomotive ID","value":"4043"},{"id":130,"name":"Impact","value":""},{"id":150,"name":"Time of Event (Mountain Time)","value":"05:52:27"},{"id":151,"name":"Denver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4"/>
      <c r="AK18" s="232"/>
      <c r="AL18" s="232"/>
      <c r="AM18" s="241" t="str">
        <f t="shared" si="21"/>
        <v>start /low /b %USERPROFILE%\Documents\GitHub\eaglep3\Utilities\DownloadLogsFromS3.py --loco 4043 --day 2017-11-27</v>
      </c>
      <c r="AN18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12:52:27"},{"id":29,"name":"Sharepoint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1" t="str">
        <f t="shared" si="23"/>
        <v>https://d0f6bd738d7f1b3e5a7ca70fe4ff75f0.us-east-1.aws.found.io/app/kibana#/discover/Steve-Slow-Train-Analysis-(2080s-and-2083s)?_g=(refreshInterval:(display:Off,pause:!f,section:0,value:0),time:(from:'2017-11-27T04:07:25-0700',mode:absolute,to:'2017-11-27T06:52:27-0700'))&amp;_a=(columns:!('Message%20ID',Summary),filters:!(),index:'emp_*',interval:auto,query:(query_string:(analyze_wildcard:!t,query:'%22rtdc.l.rtdc.4043%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30" t="s">
        <v>613</v>
      </c>
      <c r="B19" s="226">
        <v>4026</v>
      </c>
      <c r="C19" s="228" t="s">
        <v>192</v>
      </c>
      <c r="D19" s="228" t="s">
        <v>468</v>
      </c>
      <c r="E19" s="227">
        <v>43066.184305555558</v>
      </c>
      <c r="F19" s="227">
        <v>43066.187731481485</v>
      </c>
      <c r="G19" s="226">
        <v>66</v>
      </c>
      <c r="H19" s="228" t="s">
        <v>471</v>
      </c>
      <c r="I19" s="227">
        <v>43066.211851851855</v>
      </c>
      <c r="J19" s="226">
        <v>0</v>
      </c>
      <c r="K19" s="238" t="str">
        <f t="shared" si="0"/>
        <v>4025/4026</v>
      </c>
      <c r="L19" s="246" t="str">
        <f>VLOOKUP(A19,'Trips&amp;Operators'!$C$1:$G$99911,5,FALSE)</f>
        <v>BEAM ROSS</v>
      </c>
      <c r="M19" s="225">
        <f t="shared" si="1"/>
        <v>2.4120370369928423E-2</v>
      </c>
      <c r="N19" s="226">
        <f t="shared" si="2"/>
        <v>34.73333333269693</v>
      </c>
      <c r="O19" s="226"/>
      <c r="P19" s="226"/>
      <c r="Q19" s="229"/>
      <c r="R19" s="243"/>
      <c r="S19" s="250">
        <f t="shared" si="3"/>
        <v>1</v>
      </c>
      <c r="T19" s="243" t="str">
        <f t="shared" si="4"/>
        <v>NorthBound</v>
      </c>
      <c r="U19" s="24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9" t="str">
        <f t="shared" si="5"/>
        <v>https://d0f6bd738d7f1b3e5a7ca70fe4ff75f0.us-east-1.aws.found.io/app/kibana#/discover/Steve-Slow-Train-Analysis-(2080s-and-2083s)?_g=(refreshInterval:(display:Off,pause:!f,section:0,value:0),time:(from:'2017-11-27T03:25:24-0700',mode:absolute,to:'2017-11-27T06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" s="248" t="str">
        <f>IF(AA19&lt;VLOOKUP(AG19,Variables!$AC$3:$AD$8,2,FALSE),"Y","N")</f>
        <v>N</v>
      </c>
      <c r="X19" s="248">
        <f t="shared" si="6"/>
        <v>1</v>
      </c>
      <c r="Y19" s="248">
        <f t="shared" si="7"/>
        <v>5.04E-2</v>
      </c>
      <c r="Z19" s="248">
        <f t="shared" si="8"/>
        <v>23.3308</v>
      </c>
      <c r="AA19" s="248">
        <f t="shared" si="9"/>
        <v>23.2804</v>
      </c>
      <c r="AB19" s="234" t="e">
        <f>VLOOKUP(A19,Enforcements!$C$7:$K$9,8,0)</f>
        <v>#N/A</v>
      </c>
      <c r="AC19" s="233" t="e">
        <f>VLOOKUP(A19,Enforcements!$C$7:$E$9,3,0)</f>
        <v>#N/A</v>
      </c>
      <c r="AD19" s="244">
        <f t="shared" si="10"/>
        <v>107</v>
      </c>
      <c r="AE19" s="236" t="str">
        <f t="shared" si="11"/>
        <v>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 &amp; aws s3 cp s3://rtdc.mdm.uploadarchive.raw/RTDC4026/ "%USERPROFILE%\AppData\Local\Temp\OnboardLogs"\RTDC4026\2017-11-28 --exclude "*" --recursive --include "*20171128*" &amp; "%USERPROFILE%\Documents\GitHub\mrs-test-scripts\Headless Mode &amp; Sideloading\WalkAndUnGZ.bat" "%USERPROFILE%\AppData\Local\Temp\OnboardLogs"\RTDC4026\2017-11-28</v>
      </c>
      <c r="AF19" s="235" t="str">
        <f t="shared" si="12"/>
        <v>"C:\Program Files (x86)\AstroGrep\AstroGrep.exe" /e /r /s /spath="%USERPROFILE%\AppData\Local\Temp\OnboardLogs" /stypes="app*4026*20171127*" /stext=" 12:.+((SYSTEM_STATE.+slice.+state.+changed )|(ment ac)|(multiple cpu faults)|(system.+state.+changed )|(\[timeout)|(PRM\|1\|D)|(kpr)|(kdp)|(train st.+moving)|(\|lc)|(penalty))"</v>
      </c>
      <c r="AG19" s="245" t="str">
        <f t="shared" si="13"/>
        <v>EC</v>
      </c>
      <c r="AH19" s="237" t="str">
        <f t="shared" si="19"/>
        <v>"%USERPROFILE%\Documents\GitHub\eaglep3\Utilities\RefineRTDCRunTimes.py" --tripid 107-27 --locoid 4026 --swversion DE.1.0.9.0 --startMP 204:504 --initTime 2017-11-27T04:25:24 --startdatetime 2017-11-27T04:30:20 --delay 66 --endMP 204:233308 --enddatetime 2017-11-27T05:05:04 --enforcementcount 0 &gt;&gt;%USERPROFILE%\Documents\GitHub\eaglep3-reporting\EC\2017-11-27-refined-times.txt</v>
      </c>
      <c r="AI19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{"issue":{"subject":"","project_id":79,"tracker_id":40,"status_id":1,"priority_id":2,"assigned_to_id":338,"start_date":"2017-11-27","description":"","custom_fields":[{"id":1,"name":"Subdivision","value":"EC"},{"id":4,"name":"Milepost","value":"23.3308"},{"id":17,"name":"Train ID","value":"107-27"},{"id":16,"name":"Locomotive ID","value":"4026"},{"id":130,"name":"Impact","value":""},{"id":150,"name":"Time of Event (Mountain Time)","value":"05:05:04"},{"id":151,"name":"Denver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4"/>
      <c r="AK19" s="232"/>
      <c r="AL19" s="232"/>
      <c r="AM19" s="241" t="str">
        <f t="shared" si="21"/>
        <v>start /low /b %USERPROFILE%\Documents\GitHub\eaglep3\Utilities\DownloadLogsFromS3.py --loco 4026 --day 2017-11-27</v>
      </c>
      <c r="AN19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12:05:04"},{"id":29,"name":"Sharepoint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1" t="str">
        <f t="shared" si="23"/>
        <v>https://d0f6bd738d7f1b3e5a7ca70fe4ff75f0.us-east-1.aws.found.io/app/kibana#/discover/Steve-Slow-Train-Analysis-(2080s-and-2083s)?_g=(refreshInterval:(display:Off,pause:!f,section:0,value:0),time:(from:'2017-11-27T03:25:24-0700',mode:absolute,to:'2017-11-27T06:05:04-0700'))&amp;_a=(columns:!('Message%20ID',Summary),filters:!(),index:'emp_*',interval:auto,query:(query_string:(analyze_wildcard:!t,query:'%22rtdc.l.rtdc.4026%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30" t="s">
        <v>627</v>
      </c>
      <c r="B20" s="226">
        <v>4025</v>
      </c>
      <c r="C20" s="228" t="s">
        <v>192</v>
      </c>
      <c r="D20" s="228" t="s">
        <v>465</v>
      </c>
      <c r="E20" s="227">
        <v>43066.212905092594</v>
      </c>
      <c r="F20" s="227">
        <v>43066.227303240739</v>
      </c>
      <c r="G20" s="226">
        <v>53</v>
      </c>
      <c r="H20" s="228" t="s">
        <v>550</v>
      </c>
      <c r="I20" s="227">
        <v>43066.252581018518</v>
      </c>
      <c r="J20" s="226">
        <v>0</v>
      </c>
      <c r="K20" s="238" t="str">
        <f t="shared" si="0"/>
        <v>4025/4026</v>
      </c>
      <c r="L20" s="246" t="str">
        <f>VLOOKUP(A20,'Trips&amp;Operators'!$C$1:$G$99911,5,FALSE)</f>
        <v>BEAM ROSS</v>
      </c>
      <c r="M20" s="225">
        <f t="shared" si="1"/>
        <v>2.527777777868323E-2</v>
      </c>
      <c r="N20" s="226">
        <f t="shared" si="2"/>
        <v>36.400000001303852</v>
      </c>
      <c r="O20" s="226"/>
      <c r="P20" s="226"/>
      <c r="Q20" s="229"/>
      <c r="R20" s="243"/>
      <c r="S20" s="250">
        <f t="shared" si="3"/>
        <v>1</v>
      </c>
      <c r="T20" s="243" t="str">
        <f t="shared" si="4"/>
        <v>Southbound</v>
      </c>
      <c r="U20" s="24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9" t="str">
        <f t="shared" si="5"/>
        <v>https://d0f6bd738d7f1b3e5a7ca70fe4ff75f0.us-east-1.aws.found.io/app/kibana#/discover/Steve-Slow-Train-Analysis-(2080s-and-2083s)?_g=(refreshInterval:(display:Off,pause:!f,section:0,value:0),time:(from:'2017-11-27T04:06:35-0700',mode:absolute,to:'2017-11-27T07:03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" s="248" t="str">
        <f>IF(AA20&lt;VLOOKUP(AG20,Variables!$AC$3:$AD$8,2,FALSE),"Y","N")</f>
        <v>N</v>
      </c>
      <c r="X20" s="248">
        <f t="shared" si="6"/>
        <v>1</v>
      </c>
      <c r="Y20" s="248">
        <f t="shared" si="7"/>
        <v>23.299600000000002</v>
      </c>
      <c r="Z20" s="248">
        <f t="shared" si="8"/>
        <v>1.7600000000000001E-2</v>
      </c>
      <c r="AA20" s="248">
        <f t="shared" si="9"/>
        <v>23.282</v>
      </c>
      <c r="AB20" s="234" t="e">
        <f>VLOOKUP(A20,Enforcements!$C$7:$K$9,8,0)</f>
        <v>#N/A</v>
      </c>
      <c r="AC20" s="233" t="e">
        <f>VLOOKUP(A20,Enforcements!$C$7:$E$9,3,0)</f>
        <v>#N/A</v>
      </c>
      <c r="AD20" s="244">
        <f t="shared" si="10"/>
        <v>108</v>
      </c>
      <c r="AE20" s="236" t="str">
        <f t="shared" si="11"/>
        <v>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 &amp; aws s3 cp s3://rtdc.mdm.uploadarchive.raw/RTDC4025/ "%USERPROFILE%\AppData\Local\Temp\OnboardLogs"\RTDC4025\2017-11-28 --exclude "*" --recursive --include "*20171128*" &amp; "%USERPROFILE%\Documents\GitHub\mrs-test-scripts\Headless Mode &amp; Sideloading\WalkAndUnGZ.bat" "%USERPROFILE%\AppData\Local\Temp\OnboardLogs"\RTDC4025\2017-11-28</v>
      </c>
      <c r="AF20" s="235" t="str">
        <f t="shared" si="12"/>
        <v>"C:\Program Files (x86)\AstroGrep\AstroGrep.exe" /e /r /s /spath="%USERPROFILE%\AppData\Local\Temp\OnboardLogs" /stypes="app*4025*20171127*" /stext=" 13:.+((SYSTEM_STATE.+slice.+state.+changed )|(ment ac)|(multiple cpu faults)|(system.+state.+changed )|(\[timeout)|(PRM\|1\|D)|(kpr)|(kdp)|(train st.+moving)|(\|lc)|(penalty))"</v>
      </c>
      <c r="AG20" s="245" t="str">
        <f t="shared" si="13"/>
        <v>EC</v>
      </c>
      <c r="AH20" s="237" t="str">
        <f t="shared" si="19"/>
        <v>"%USERPROFILE%\Documents\GitHub\eaglep3\Utilities\RefineRTDCRunTimes.py" --tripid 108-27 --locoid 4025 --swversion DE.1.0.9.0 --startMP 204:232996 --initTime 2017-11-27T05:06:35 --startdatetime 2017-11-27T05:27:19 --delay 53 --endMP 204:176 --enddatetime 2017-11-27T06:03:43 --enforcementcount 0 &gt;&gt;%USERPROFILE%\Documents\GitHub\eaglep3-reporting\EC\2017-11-27-refined-times.txt</v>
      </c>
      <c r="AI20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{"issue":{"subject":"","project_id":79,"tracker_id":40,"status_id":1,"priority_id":2,"assigned_to_id":338,"start_date":"2017-11-27","description":"","custom_fields":[{"id":1,"name":"Subdivision","value":"EC"},{"id":4,"name":"Milepost","value":"0.0176"},{"id":17,"name":"Train ID","value":"108-27"},{"id":16,"name":"Locomotive ID","value":"4025"},{"id":130,"name":"Impact","value":""},{"id":150,"name":"Time of Event (Mountain Time)","value":"06:03:43"},{"id":151,"name":"Denver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4"/>
      <c r="AK20" s="232"/>
      <c r="AL20" s="232"/>
      <c r="AM20" s="241" t="str">
        <f t="shared" si="21"/>
        <v>start /low /b %USERPROFILE%\Documents\GitHub\eaglep3\Utilities\DownloadLogsFromS3.py --loco 4025 --day 2017-11-27</v>
      </c>
      <c r="AN20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13:03:43"},{"id":29,"name":"Sharepoint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1" t="str">
        <f t="shared" si="23"/>
        <v>https://d0f6bd738d7f1b3e5a7ca70fe4ff75f0.us-east-1.aws.found.io/app/kibana#/discover/Steve-Slow-Train-Analysis-(2080s-and-2083s)?_g=(refreshInterval:(display:Off,pause:!f,section:0,value:0),time:(from:'2017-11-27T04:06:35-0700',mode:absolute,to:'2017-11-27T07:03:43-0700'))&amp;_a=(columns:!('Message%20ID',Summary),filters:!(),index:'emp_*',interval:auto,query:(query_string:(analyze_wildcard:!t,query:'%22rtdc.l.rtdc.4025%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30" t="s">
        <v>617</v>
      </c>
      <c r="B21" s="226">
        <v>4014</v>
      </c>
      <c r="C21" s="228" t="s">
        <v>192</v>
      </c>
      <c r="D21" s="228" t="s">
        <v>502</v>
      </c>
      <c r="E21" s="227">
        <v>43066.193668981483</v>
      </c>
      <c r="F21" s="227">
        <v>43066.198101851849</v>
      </c>
      <c r="G21" s="226">
        <v>55</v>
      </c>
      <c r="H21" s="228" t="s">
        <v>531</v>
      </c>
      <c r="I21" s="227">
        <v>43066.222372685188</v>
      </c>
      <c r="J21" s="226">
        <v>0</v>
      </c>
      <c r="K21" s="238" t="str">
        <f t="shared" si="0"/>
        <v>4013/4014</v>
      </c>
      <c r="L21" s="246" t="str">
        <f>VLOOKUP(A21,'Trips&amp;Operators'!$C$1:$G$99911,5,FALSE)</f>
        <v>MAELZER KURT</v>
      </c>
      <c r="M21" s="225">
        <f t="shared" si="1"/>
        <v>2.4270833338960074E-2</v>
      </c>
      <c r="N21" s="226">
        <f t="shared" si="2"/>
        <v>34.950000008102506</v>
      </c>
      <c r="O21" s="226"/>
      <c r="P21" s="226"/>
      <c r="Q21" s="229"/>
      <c r="R21" s="243"/>
      <c r="S21" s="250">
        <f t="shared" si="3"/>
        <v>1</v>
      </c>
      <c r="T21" s="243" t="str">
        <f t="shared" si="4"/>
        <v>NorthBound</v>
      </c>
      <c r="U21" s="24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9" t="str">
        <f t="shared" si="5"/>
        <v>https://d0f6bd738d7f1b3e5a7ca70fe4ff75f0.us-east-1.aws.found.io/app/kibana#/discover/Steve-Slow-Train-Analysis-(2080s-and-2083s)?_g=(refreshInterval:(display:Off,pause:!f,section:0,value:0),time:(from:'2017-11-27T03:38:53-0700',mode:absolute,to:'2017-11-27T06:20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" s="248" t="str">
        <f>IF(AA21&lt;VLOOKUP(AG21,Variables!$AC$3:$AD$8,2,FALSE),"Y","N")</f>
        <v>N</v>
      </c>
      <c r="X21" s="248">
        <f t="shared" si="6"/>
        <v>1</v>
      </c>
      <c r="Y21" s="248">
        <f t="shared" si="7"/>
        <v>4.53E-2</v>
      </c>
      <c r="Z21" s="248">
        <f t="shared" si="8"/>
        <v>23.330100000000002</v>
      </c>
      <c r="AA21" s="248">
        <f t="shared" si="9"/>
        <v>23.284800000000001</v>
      </c>
      <c r="AB21" s="234" t="e">
        <f>VLOOKUP(A21,Enforcements!$C$7:$K$9,8,0)</f>
        <v>#N/A</v>
      </c>
      <c r="AC21" s="233" t="e">
        <f>VLOOKUP(A21,Enforcements!$C$7:$E$9,3,0)</f>
        <v>#N/A</v>
      </c>
      <c r="AD21" s="244">
        <f t="shared" si="10"/>
        <v>109</v>
      </c>
      <c r="AE21" s="236" t="str">
        <f t="shared" si="11"/>
        <v>aws s3 cp s3://rtdc.mdm.uploadarchive.raw/RTDC4014/ "%USERPROFILE%\AppData\Local\Temp\OnboardLogs"\RTDC4014\2017-11-27 --exclude "*" --recursive --include "*20171127*" &amp; "%USERPROFILE%\Documents\GitHub\mrs-test-scripts\Headless Mode &amp; Sideloading\WalkAndUnGZ.bat" "%USERPROFILE%\AppData\Local\Temp\OnboardLogs"\RTDC4014\2017-11-27 &amp; aws s3 cp s3://rtdc.mdm.uploadarchive.raw/RTDC4014/ "%USERPROFILE%\AppData\Local\Temp\OnboardLogs"\RTDC4014\2017-11-28 --exclude "*" --recursive --include "*20171128*" &amp; "%USERPROFILE%\Documents\GitHub\mrs-test-scripts\Headless Mode &amp; Sideloading\WalkAndUnGZ.bat" "%USERPROFILE%\AppData\Local\Temp\OnboardLogs"\RTDC4014\2017-11-28</v>
      </c>
      <c r="AF21" s="235" t="str">
        <f t="shared" si="12"/>
        <v>"C:\Program Files (x86)\AstroGrep\AstroGrep.exe" /e /r /s /spath="%USERPROFILE%\AppData\Local\Temp\OnboardLogs" /stypes="app*4014*20171127*" /stext=" 12:.+((SYSTEM_STATE.+slice.+state.+changed )|(ment ac)|(multiple cpu faults)|(system.+state.+changed )|(\[timeout)|(PRM\|1\|D)|(kpr)|(kdp)|(train st.+moving)|(\|lc)|(penalty))"</v>
      </c>
      <c r="AG21" s="245" t="str">
        <f t="shared" si="13"/>
        <v>EC</v>
      </c>
      <c r="AH21" s="237" t="str">
        <f t="shared" si="19"/>
        <v>"%USERPROFILE%\Documents\GitHub\eaglep3\Utilities\RefineRTDCRunTimes.py" --tripid 109-27 --locoid 4014 --swversion DE.1.0.9.0 --startMP 204:453 --initTime 2017-11-27T04:38:53 --startdatetime 2017-11-27T04:45:16 --delay 55 --endMP 204:233301 --enddatetime 2017-11-27T05:20:13 --enforcementcount 0 &gt;&gt;%USERPROFILE%\Documents\GitHub\eaglep3-reporting\EC\2017-11-27-refined-times.txt</v>
      </c>
      <c r="AI21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{"issue":{"subject":"","project_id":79,"tracker_id":40,"status_id":1,"priority_id":2,"assigned_to_id":338,"start_date":"2017-11-27","description":"","custom_fields":[{"id":1,"name":"Subdivision","value":"EC"},{"id":4,"name":"Milepost","value":"23.3301"},{"id":17,"name":"Train ID","value":"109-27"},{"id":16,"name":"Locomotive ID","value":"4014"},{"id":130,"name":"Impact","value":""},{"id":150,"name":"Time of Event (Mountain Time)","value":"05:20:13"},{"id":151,"name":"Denver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4"/>
      <c r="AK21" s="232"/>
      <c r="AL21" s="232"/>
      <c r="AM21" s="241" t="str">
        <f t="shared" si="21"/>
        <v>start /low /b %USERPROFILE%\Documents\GitHub\eaglep3\Utilities\DownloadLogsFromS3.py --loco 4014 --day 2017-11-27</v>
      </c>
      <c r="AN21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12:20:13"},{"id":29,"name":"Sharepoint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1" t="str">
        <f t="shared" si="23"/>
        <v>https://d0f6bd738d7f1b3e5a7ca70fe4ff75f0.us-east-1.aws.found.io/app/kibana#/discover/Steve-Slow-Train-Analysis-(2080s-and-2083s)?_g=(refreshInterval:(display:Off,pause:!f,section:0,value:0),time:(from:'2017-11-27T03:38:53-0700',mode:absolute,to:'2017-11-27T06:20:13-0700'))&amp;_a=(columns:!('Message%20ID',Summary),filters:!(),index:'emp_*',interval:auto,query:(query_string:(analyze_wildcard:!t,query:'%22rtdc.l.rtdc.4014%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30" t="s">
        <v>631</v>
      </c>
      <c r="B22" s="226">
        <v>4013</v>
      </c>
      <c r="C22" s="228" t="s">
        <v>192</v>
      </c>
      <c r="D22" s="228" t="s">
        <v>414</v>
      </c>
      <c r="E22" s="227">
        <v>43066.227997685186</v>
      </c>
      <c r="F22" s="227">
        <v>43066.237708333334</v>
      </c>
      <c r="G22" s="226">
        <v>52</v>
      </c>
      <c r="H22" s="228" t="s">
        <v>548</v>
      </c>
      <c r="I22" s="227">
        <v>43066.263888888891</v>
      </c>
      <c r="J22" s="226">
        <v>0</v>
      </c>
      <c r="K22" s="238" t="str">
        <f t="shared" si="0"/>
        <v>4013/4014</v>
      </c>
      <c r="L22" s="246" t="str">
        <f>VLOOKUP(A22,'Trips&amp;Operators'!$C$1:$G$99911,5,FALSE)</f>
        <v>MAELZER KURT</v>
      </c>
      <c r="M22" s="225">
        <f t="shared" si="1"/>
        <v>2.6180555556493346E-2</v>
      </c>
      <c r="N22" s="226">
        <f t="shared" si="2"/>
        <v>37.700000001350418</v>
      </c>
      <c r="O22" s="226"/>
      <c r="P22" s="226"/>
      <c r="Q22" s="229"/>
      <c r="R22" s="243"/>
      <c r="S22" s="250">
        <f t="shared" si="3"/>
        <v>1</v>
      </c>
      <c r="T22" s="243" t="str">
        <f t="shared" si="4"/>
        <v>Southbound</v>
      </c>
      <c r="U22" s="24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9" t="str">
        <f t="shared" si="5"/>
        <v>https://d0f6bd738d7f1b3e5a7ca70fe4ff75f0.us-east-1.aws.found.io/app/kibana#/discover/Steve-Slow-Train-Analysis-(2080s-and-2083s)?_g=(refreshInterval:(display:Off,pause:!f,section:0,value:0),time:(from:'2017-11-27T04:28:19-0700',mode:absolute,to:'2017-11-27T07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" s="248" t="str">
        <f>IF(AA22&lt;VLOOKUP(AG22,Variables!$AC$3:$AD$8,2,FALSE),"Y","N")</f>
        <v>N</v>
      </c>
      <c r="X22" s="248">
        <f t="shared" si="6"/>
        <v>1</v>
      </c>
      <c r="Y22" s="248">
        <f t="shared" si="7"/>
        <v>23.297699999999999</v>
      </c>
      <c r="Z22" s="248">
        <f t="shared" si="8"/>
        <v>1.67E-2</v>
      </c>
      <c r="AA22" s="248">
        <f t="shared" si="9"/>
        <v>23.280999999999999</v>
      </c>
      <c r="AB22" s="234" t="e">
        <f>VLOOKUP(A22,Enforcements!$C$7:$K$9,8,0)</f>
        <v>#N/A</v>
      </c>
      <c r="AC22" s="233" t="e">
        <f>VLOOKUP(A22,Enforcements!$C$7:$E$9,3,0)</f>
        <v>#N/A</v>
      </c>
      <c r="AD22" s="244">
        <f t="shared" si="10"/>
        <v>110</v>
      </c>
      <c r="AE22" s="236" t="str">
        <f t="shared" si="11"/>
        <v>aws s3 cp s3://rtdc.mdm.uploadarchive.raw/RTDC4013/ "%USERPROFILE%\AppData\Local\Temp\OnboardLogs"\RTDC4013\2017-11-27 --exclude "*" --recursive --include "*20171127*" &amp; "%USERPROFILE%\Documents\GitHub\mrs-test-scripts\Headless Mode &amp; Sideloading\WalkAndUnGZ.bat" "%USERPROFILE%\AppData\Local\Temp\OnboardLogs"\RTDC4013\2017-11-27 &amp; aws s3 cp s3://rtdc.mdm.uploadarchive.raw/RTDC4013/ "%USERPROFILE%\AppData\Local\Temp\OnboardLogs"\RTDC4013\2017-11-28 --exclude "*" --recursive --include "*20171128*" &amp; "%USERPROFILE%\Documents\GitHub\mrs-test-scripts\Headless Mode &amp; Sideloading\WalkAndUnGZ.bat" "%USERPROFILE%\AppData\Local\Temp\OnboardLogs"\RTDC4013\2017-11-28</v>
      </c>
      <c r="AF22" s="235" t="str">
        <f t="shared" si="12"/>
        <v>"C:\Program Files (x86)\AstroGrep\AstroGrep.exe" /e /r /s /spath="%USERPROFILE%\AppData\Local\Temp\OnboardLogs" /stypes="app*4013*20171127*" /stext=" 13:.+((SYSTEM_STATE.+slice.+state.+changed )|(ment ac)|(multiple cpu faults)|(system.+state.+changed )|(\[timeout)|(PRM\|1\|D)|(kpr)|(kdp)|(train st.+moving)|(\|lc)|(penalty))"</v>
      </c>
      <c r="AG22" s="245" t="str">
        <f t="shared" si="13"/>
        <v>EC</v>
      </c>
      <c r="AH22" s="237" t="str">
        <f t="shared" si="19"/>
        <v>"%USERPROFILE%\Documents\GitHub\eaglep3\Utilities\RefineRTDCRunTimes.py" --tripid 110-27 --locoid 4013 --swversion DE.1.0.9.0 --startMP 204:232977 --initTime 2017-11-27T05:28:19 --startdatetime 2017-11-27T05:42:18 --delay 52 --endMP 204:167 --enddatetime 2017-11-27T06:20:00 --enforcementcount 0 &gt;&gt;%USERPROFILE%\Documents\GitHub\eaglep3-reporting\EC\2017-11-27-refined-times.txt</v>
      </c>
      <c r="AI22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{"issue":{"subject":"","project_id":79,"tracker_id":40,"status_id":1,"priority_id":2,"assigned_to_id":338,"start_date":"2017-11-27","description":"","custom_fields":[{"id":1,"name":"Subdivision","value":"EC"},{"id":4,"name":"Milepost","value":"0.0167"},{"id":17,"name":"Train ID","value":"110-27"},{"id":16,"name":"Locomotive ID","value":"4013"},{"id":130,"name":"Impact","value":""},{"id":150,"name":"Time of Event (Mountain Time)","value":"06:20:00"},{"id":151,"name":"Denver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4"/>
      <c r="AK22" s="232"/>
      <c r="AL22" s="232"/>
      <c r="AM22" s="241" t="str">
        <f t="shared" si="21"/>
        <v>start /low /b %USERPROFILE%\Documents\GitHub\eaglep3\Utilities\DownloadLogsFromS3.py --loco 4013 --day 2017-11-27</v>
      </c>
      <c r="AN22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13:20:00"},{"id":29,"name":"Sharepoint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1" t="str">
        <f t="shared" si="23"/>
        <v>https://d0f6bd738d7f1b3e5a7ca70fe4ff75f0.us-east-1.aws.found.io/app/kibana#/discover/Steve-Slow-Train-Analysis-(2080s-and-2083s)?_g=(refreshInterval:(display:Off,pause:!f,section:0,value:0),time:(from:'2017-11-27T04:28:19-0700',mode:absolute,to:'2017-11-27T07:20:00-0700'))&amp;_a=(columns:!('Message%20ID',Summary),filters:!(),index:'emp_*',interval:auto,query:(query_string:(analyze_wildcard:!t,query:'%22rtdc.l.rtdc.4013%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30" t="s">
        <v>616</v>
      </c>
      <c r="B23" s="226">
        <v>4018</v>
      </c>
      <c r="C23" s="228" t="s">
        <v>192</v>
      </c>
      <c r="D23" s="228" t="s">
        <v>480</v>
      </c>
      <c r="E23" s="227">
        <v>43066.193333333336</v>
      </c>
      <c r="F23" s="227">
        <v>43066.208703703705</v>
      </c>
      <c r="G23" s="226">
        <v>67</v>
      </c>
      <c r="H23" s="228" t="s">
        <v>836</v>
      </c>
      <c r="I23" s="227">
        <v>43066.233900462961</v>
      </c>
      <c r="J23" s="226">
        <v>0</v>
      </c>
      <c r="K23" s="238" t="str">
        <f t="shared" si="0"/>
        <v>4017/4018</v>
      </c>
      <c r="L23" s="246" t="str">
        <f>VLOOKUP(A23,'Trips&amp;Operators'!$C$1:$G$99911,5,FALSE)</f>
        <v>SPECTOR MICHAEL</v>
      </c>
      <c r="M23" s="225">
        <f t="shared" si="1"/>
        <v>2.5196759255777579E-2</v>
      </c>
      <c r="N23" s="226">
        <f t="shared" si="2"/>
        <v>36.283333328319713</v>
      </c>
      <c r="O23" s="226"/>
      <c r="P23" s="226"/>
      <c r="Q23" s="229"/>
      <c r="R23" s="243"/>
      <c r="S23" s="250">
        <f t="shared" si="3"/>
        <v>1</v>
      </c>
      <c r="T23" s="243" t="str">
        <f t="shared" si="4"/>
        <v>NorthBound</v>
      </c>
      <c r="U23" s="24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9" t="str">
        <f t="shared" si="5"/>
        <v>https://d0f6bd738d7f1b3e5a7ca70fe4ff75f0.us-east-1.aws.found.io/app/kibana#/discover/Steve-Slow-Train-Analysis-(2080s-and-2083s)?_g=(refreshInterval:(display:Off,pause:!f,section:0,value:0),time:(from:'2017-11-27T03:38:24-0700',mode:absolute,to:'2017-11-27T06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" s="248" t="str">
        <f>IF(AA23&lt;VLOOKUP(AG23,Variables!$AC$3:$AD$8,2,FALSE),"Y","N")</f>
        <v>N</v>
      </c>
      <c r="X23" s="248">
        <f t="shared" si="6"/>
        <v>1</v>
      </c>
      <c r="Y23" s="248">
        <f t="shared" si="7"/>
        <v>4.58E-2</v>
      </c>
      <c r="Z23" s="248">
        <f t="shared" si="8"/>
        <v>23.331900000000001</v>
      </c>
      <c r="AA23" s="248">
        <f t="shared" si="9"/>
        <v>23.286100000000001</v>
      </c>
      <c r="AB23" s="234" t="e">
        <f>VLOOKUP(A23,Enforcements!$C$7:$K$9,8,0)</f>
        <v>#N/A</v>
      </c>
      <c r="AC23" s="233" t="e">
        <f>VLOOKUP(A23,Enforcements!$C$7:$E$9,3,0)</f>
        <v>#N/A</v>
      </c>
      <c r="AD23" s="244">
        <f t="shared" si="10"/>
        <v>111</v>
      </c>
      <c r="AE23" s="236" t="str">
        <f t="shared" si="11"/>
        <v>aws s3 cp s3://rtdc.mdm.uploadarchive.raw/RTDC4018/ "%USERPROFILE%\AppData\Local\Temp\OnboardLogs"\RTDC4018\2017-11-27 --exclude "*" --recursive --include "*20171127*" &amp; "%USERPROFILE%\Documents\GitHub\mrs-test-scripts\Headless Mode &amp; Sideloading\WalkAndUnGZ.bat" "%USERPROFILE%\AppData\Local\Temp\OnboardLogs"\RTDC4018\2017-11-27 &amp; aws s3 cp s3://rtdc.mdm.uploadarchive.raw/RTDC4018/ "%USERPROFILE%\AppData\Local\Temp\OnboardLogs"\RTDC4018\2017-11-28 --exclude "*" --recursive --include "*20171128*" &amp; "%USERPROFILE%\Documents\GitHub\mrs-test-scripts\Headless Mode &amp; Sideloading\WalkAndUnGZ.bat" "%USERPROFILE%\AppData\Local\Temp\OnboardLogs"\RTDC4018\2017-11-28</v>
      </c>
      <c r="AF23" s="235" t="str">
        <f t="shared" si="12"/>
        <v>"C:\Program Files (x86)\AstroGrep\AstroGrep.exe" /e /r /s /spath="%USERPROFILE%\AppData\Local\Temp\OnboardLogs" /stypes="app*4018*20171127*" /stext=" 12:.+((SYSTEM_STATE.+slice.+state.+changed )|(ment ac)|(multiple cpu faults)|(system.+state.+changed )|(\[timeout)|(PRM\|1\|D)|(kpr)|(kdp)|(train st.+moving)|(\|lc)|(penalty))"</v>
      </c>
      <c r="AG23" s="245" t="str">
        <f t="shared" si="13"/>
        <v>EC</v>
      </c>
      <c r="AH23" s="237" t="str">
        <f t="shared" si="19"/>
        <v>"%USERPROFILE%\Documents\GitHub\eaglep3\Utilities\RefineRTDCRunTimes.py" --tripid 111-27 --locoid 4018 --swversion DE.1.0.9.0 --startMP 204:458 --initTime 2017-11-27T04:38:24 --startdatetime 2017-11-27T05:00:32 --delay 67 --endMP 204:233319 --enddatetime 2017-11-27T05:36:49 --enforcementcount 0 &gt;&gt;%USERPROFILE%\Documents\GitHub\eaglep3-reporting\EC\2017-11-27-refined-times.txt</v>
      </c>
      <c r="AI23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{"issue":{"subject":"","project_id":79,"tracker_id":40,"status_id":1,"priority_id":2,"assigned_to_id":338,"start_date":"2017-11-27","description":"","custom_fields":[{"id":1,"name":"Subdivision","value":"EC"},{"id":4,"name":"Milepost","value":"23.3319"},{"id":17,"name":"Train ID","value":"111-27"},{"id":16,"name":"Locomotive ID","value":"4018"},{"id":130,"name":"Impact","value":""},{"id":150,"name":"Time of Event (Mountain Time)","value":"05:36:49"},{"id":151,"name":"Denver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4"/>
      <c r="AK23" s="232"/>
      <c r="AL23" s="232"/>
      <c r="AM23" s="241" t="str">
        <f t="shared" si="21"/>
        <v>start /low /b %USERPROFILE%\Documents\GitHub\eaglep3\Utilities\DownloadLogsFromS3.py --loco 4018 --day 2017-11-27</v>
      </c>
      <c r="AN23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12:36:49"},{"id":29,"name":"Sharepoint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1" t="str">
        <f t="shared" si="23"/>
        <v>https://d0f6bd738d7f1b3e5a7ca70fe4ff75f0.us-east-1.aws.found.io/app/kibana#/discover/Steve-Slow-Train-Analysis-(2080s-and-2083s)?_g=(refreshInterval:(display:Off,pause:!f,section:0,value:0),time:(from:'2017-11-27T03:38:24-0700',mode:absolute,to:'2017-11-27T06:36:49-0700'))&amp;_a=(columns:!('Message%20ID',Summary),filters:!(),index:'emp_*',interval:auto,query:(query_string:(analyze_wildcard:!t,query:'%22rtdc.l.rtdc.4018%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30" t="s">
        <v>637</v>
      </c>
      <c r="B24" s="226">
        <v>4017</v>
      </c>
      <c r="C24" s="228" t="s">
        <v>192</v>
      </c>
      <c r="D24" s="228" t="s">
        <v>837</v>
      </c>
      <c r="E24" s="227">
        <v>43066.240648148145</v>
      </c>
      <c r="F24" s="227">
        <v>43066.248101851852</v>
      </c>
      <c r="G24" s="226">
        <v>72</v>
      </c>
      <c r="H24" s="228" t="s">
        <v>477</v>
      </c>
      <c r="I24" s="227">
        <v>43066.276377314818</v>
      </c>
      <c r="J24" s="226">
        <v>0</v>
      </c>
      <c r="K24" s="238" t="str">
        <f t="shared" si="0"/>
        <v>4017/4018</v>
      </c>
      <c r="L24" s="246" t="str">
        <f>VLOOKUP(A24,'Trips&amp;Operators'!$C$1:$G$99911,5,FALSE)</f>
        <v>SPECTOR MICHAEL</v>
      </c>
      <c r="M24" s="225">
        <f t="shared" si="1"/>
        <v>2.8275462966121268E-2</v>
      </c>
      <c r="N24" s="226">
        <f t="shared" si="2"/>
        <v>40.716666671214625</v>
      </c>
      <c r="O24" s="226"/>
      <c r="P24" s="226"/>
      <c r="Q24" s="229"/>
      <c r="R24" s="243"/>
      <c r="S24" s="250">
        <f t="shared" si="3"/>
        <v>1</v>
      </c>
      <c r="T24" s="243" t="str">
        <f t="shared" si="4"/>
        <v>Southbound</v>
      </c>
      <c r="U24" s="24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9" t="str">
        <f t="shared" si="5"/>
        <v>https://d0f6bd738d7f1b3e5a7ca70fe4ff75f0.us-east-1.aws.found.io/app/kibana#/discover/Steve-Slow-Train-Analysis-(2080s-and-2083s)?_g=(refreshInterval:(display:Off,pause:!f,section:0,value:0),time:(from:'2017-11-27T04:46:32-0700',mode:absolute,to:'2017-11-27T07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248" t="str">
        <f>IF(AA24&lt;VLOOKUP(AG24,Variables!$AC$3:$AD$8,2,FALSE),"Y","N")</f>
        <v>N</v>
      </c>
      <c r="X24" s="248">
        <f t="shared" si="6"/>
        <v>1</v>
      </c>
      <c r="Y24" s="248">
        <f t="shared" si="7"/>
        <v>23.299800000000001</v>
      </c>
      <c r="Z24" s="248">
        <f t="shared" si="8"/>
        <v>1.41E-2</v>
      </c>
      <c r="AA24" s="248">
        <f t="shared" si="9"/>
        <v>23.285700000000002</v>
      </c>
      <c r="AB24" s="234" t="e">
        <f>VLOOKUP(A24,Enforcements!$C$7:$K$9,8,0)</f>
        <v>#N/A</v>
      </c>
      <c r="AC24" s="233" t="e">
        <f>VLOOKUP(A24,Enforcements!$C$7:$E$9,3,0)</f>
        <v>#N/A</v>
      </c>
      <c r="AD24" s="244">
        <f t="shared" si="10"/>
        <v>112</v>
      </c>
      <c r="AE24" s="236" t="str">
        <f t="shared" si="11"/>
        <v>aws s3 cp s3://rtdc.mdm.uploadarchive.raw/RTDC4017/ "%USERPROFILE%\AppData\Local\Temp\OnboardLogs"\RTDC4017\2017-11-27 --exclude "*" --recursive --include "*20171127*" &amp; "%USERPROFILE%\Documents\GitHub\mrs-test-scripts\Headless Mode &amp; Sideloading\WalkAndUnGZ.bat" "%USERPROFILE%\AppData\Local\Temp\OnboardLogs"\RTDC4017\2017-11-27 &amp; aws s3 cp s3://rtdc.mdm.uploadarchive.raw/RTDC4017/ "%USERPROFILE%\AppData\Local\Temp\OnboardLogs"\RTDC4017\2017-11-28 --exclude "*" --recursive --include "*20171128*" &amp; "%USERPROFILE%\Documents\GitHub\mrs-test-scripts\Headless Mode &amp; Sideloading\WalkAndUnGZ.bat" "%USERPROFILE%\AppData\Local\Temp\OnboardLogs"\RTDC4017\2017-11-28</v>
      </c>
      <c r="AF24" s="235" t="str">
        <f t="shared" si="12"/>
        <v>"C:\Program Files (x86)\AstroGrep\AstroGrep.exe" /e /r /s /spath="%USERPROFILE%\AppData\Local\Temp\OnboardLogs" /stypes="app*4017*20171127*" /stext=" 13:.+((SYSTEM_STATE.+slice.+state.+changed )|(ment ac)|(multiple cpu faults)|(system.+state.+changed )|(\[timeout)|(PRM\|1\|D)|(kpr)|(kdp)|(train st.+moving)|(\|lc)|(penalty))"</v>
      </c>
      <c r="AG24" s="245" t="str">
        <f t="shared" si="13"/>
        <v>EC</v>
      </c>
      <c r="AH24" s="237" t="str">
        <f t="shared" si="19"/>
        <v>"%USERPROFILE%\Documents\GitHub\eaglep3\Utilities\RefineRTDCRunTimes.py" --tripid 112-27 --locoid 4017 --swversion DE.1.0.9.0 --startMP 204:232998 --initTime 2017-11-27T05:46:32 --startdatetime 2017-11-27T05:57:16 --delay 72 --endMP 204:141 --enddatetime 2017-11-27T06:37:59 --enforcementcount 0 &gt;&gt;%USERPROFILE%\Documents\GitHub\eaglep3-reporting\EC\2017-11-27-refined-times.txt</v>
      </c>
      <c r="AI24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{"issue":{"subject":"","project_id":79,"tracker_id":40,"status_id":1,"priority_id":2,"assigned_to_id":338,"start_date":"2017-11-27","description":"","custom_fields":[{"id":1,"name":"Subdivision","value":"EC"},{"id":4,"name":"Milepost","value":"0.0141"},{"id":17,"name":"Train ID","value":"112-27"},{"id":16,"name":"Locomotive ID","value":"4017"},{"id":130,"name":"Impact","value":""},{"id":150,"name":"Time of Event (Mountain Time)","value":"06:37:59"},{"id":151,"name":"Denver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4"/>
      <c r="AK24" s="232"/>
      <c r="AL24" s="232"/>
      <c r="AM24" s="241" t="str">
        <f t="shared" si="21"/>
        <v>start /low /b %USERPROFILE%\Documents\GitHub\eaglep3\Utilities\DownloadLogsFromS3.py --loco 4017 --day 2017-11-27</v>
      </c>
      <c r="AN24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13:37:59"},{"id":29,"name":"Sharepoint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1" t="str">
        <f t="shared" si="23"/>
        <v>https://d0f6bd738d7f1b3e5a7ca70fe4ff75f0.us-east-1.aws.found.io/app/kibana#/discover/Steve-Slow-Train-Analysis-(2080s-and-2083s)?_g=(refreshInterval:(display:Off,pause:!f,section:0,value:0),time:(from:'2017-11-27T04:46:32-0700',mode:absolute,to:'2017-11-27T07:37:59-0700'))&amp;_a=(columns:!('Message%20ID',Summary),filters:!(),index:'emp_*',interval:auto,query:(query_string:(analyze_wildcard:!t,query:'%22rtdc.l.rtdc.4017%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30" t="s">
        <v>626</v>
      </c>
      <c r="B25" s="226">
        <v>4064</v>
      </c>
      <c r="C25" s="228" t="s">
        <v>192</v>
      </c>
      <c r="D25" s="228" t="s">
        <v>425</v>
      </c>
      <c r="E25" s="227">
        <v>43066.206828703704</v>
      </c>
      <c r="F25" s="227">
        <v>43066.218981481485</v>
      </c>
      <c r="G25" s="226">
        <v>81</v>
      </c>
      <c r="H25" s="228" t="s">
        <v>838</v>
      </c>
      <c r="I25" s="227">
        <v>43066.24417824074</v>
      </c>
      <c r="J25" s="226">
        <v>0</v>
      </c>
      <c r="K25" s="238" t="str">
        <f t="shared" si="0"/>
        <v>4063/4064</v>
      </c>
      <c r="L25" s="246" t="str">
        <f>VLOOKUP(A25,'Trips&amp;Operators'!$C$1:$G$99911,5,FALSE)</f>
        <v>DAVIDSON DAVID</v>
      </c>
      <c r="M25" s="225">
        <f t="shared" si="1"/>
        <v>2.5196759255777579E-2</v>
      </c>
      <c r="N25" s="226">
        <f t="shared" si="2"/>
        <v>36.283333328319713</v>
      </c>
      <c r="O25" s="226"/>
      <c r="P25" s="226"/>
      <c r="Q25" s="229"/>
      <c r="R25" s="243"/>
      <c r="S25" s="250">
        <f t="shared" si="3"/>
        <v>1</v>
      </c>
      <c r="T25" s="243" t="str">
        <f t="shared" si="4"/>
        <v>NorthBound</v>
      </c>
      <c r="U25" s="24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9" t="str">
        <f t="shared" si="5"/>
        <v>https://d0f6bd738d7f1b3e5a7ca70fe4ff75f0.us-east-1.aws.found.io/app/kibana#/discover/Steve-Slow-Train-Analysis-(2080s-and-2083s)?_g=(refreshInterval:(display:Off,pause:!f,section:0,value:0),time:(from:'2017-11-27T03:57:50-0700',mode:absolute,to:'2017-11-27T06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" s="248" t="str">
        <f>IF(AA25&lt;VLOOKUP(AG25,Variables!$AC$3:$AD$8,2,FALSE),"Y","N")</f>
        <v>N</v>
      </c>
      <c r="X25" s="248">
        <f t="shared" si="6"/>
        <v>1</v>
      </c>
      <c r="Y25" s="248">
        <f t="shared" si="7"/>
        <v>5.2400000000000002E-2</v>
      </c>
      <c r="Z25" s="248">
        <f t="shared" si="8"/>
        <v>23.326799999999999</v>
      </c>
      <c r="AA25" s="248">
        <f t="shared" si="9"/>
        <v>23.2744</v>
      </c>
      <c r="AB25" s="234" t="e">
        <f>VLOOKUP(A25,Enforcements!$C$7:$K$9,8,0)</f>
        <v>#N/A</v>
      </c>
      <c r="AC25" s="233" t="e">
        <f>VLOOKUP(A25,Enforcements!$C$7:$E$9,3,0)</f>
        <v>#N/A</v>
      </c>
      <c r="AD25" s="244">
        <f t="shared" si="10"/>
        <v>113</v>
      </c>
      <c r="AE25" s="236" t="str">
        <f t="shared" si="11"/>
        <v>aws s3 cp s3://rtdc.mdm.uploadarchive.raw/RTDC4064/ "%USERPROFILE%\AppData\Local\Temp\OnboardLogs"\RTDC4064\2017-11-27 --exclude "*" --recursive --include "*20171127*" &amp; "%USERPROFILE%\Documents\GitHub\mrs-test-scripts\Headless Mode &amp; Sideloading\WalkAndUnGZ.bat" "%USERPROFILE%\AppData\Local\Temp\OnboardLogs"\RTDC4064\2017-11-27 &amp; aws s3 cp s3://rtdc.mdm.uploadarchive.raw/RTDC4064/ "%USERPROFILE%\AppData\Local\Temp\OnboardLogs"\RTDC4064\2017-11-28 --exclude "*" --recursive --include "*20171128*" &amp; "%USERPROFILE%\Documents\GitHub\mrs-test-scripts\Headless Mode &amp; Sideloading\WalkAndUnGZ.bat" "%USERPROFILE%\AppData\Local\Temp\OnboardLogs"\RTDC4064\2017-11-28</v>
      </c>
      <c r="AF25" s="235" t="str">
        <f t="shared" si="12"/>
        <v>"C:\Program Files (x86)\AstroGrep\AstroGrep.exe" /e /r /s /spath="%USERPROFILE%\AppData\Local\Temp\OnboardLogs" /stypes="app*4064*20171127*" /stext=" 12:.+((SYSTEM_STATE.+slice.+state.+changed )|(ment ac)|(multiple cpu faults)|(system.+state.+changed )|(\[timeout)|(PRM\|1\|D)|(kpr)|(kdp)|(train st.+moving)|(\|lc)|(penalty))"</v>
      </c>
      <c r="AG25" s="245" t="str">
        <f t="shared" si="13"/>
        <v>EC</v>
      </c>
      <c r="AH25" s="237" t="str">
        <f t="shared" si="19"/>
        <v>"%USERPROFILE%\Documents\GitHub\eaglep3\Utilities\RefineRTDCRunTimes.py" --tripid 113-27 --locoid 4064 --swversion DE.1.0.9.0 --startMP 204:524 --initTime 2017-11-27T04:57:50 --startdatetime 2017-11-27T05:15:20 --delay 81 --endMP 204:233268 --enddatetime 2017-11-27T05:51:37 --enforcementcount 0 &gt;&gt;%USERPROFILE%\Documents\GitHub\eaglep3-reporting\EC\2017-11-27-refined-times.txt</v>
      </c>
      <c r="AI25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{"issue":{"subject":"","project_id":79,"tracker_id":40,"status_id":1,"priority_id":2,"assigned_to_id":338,"start_date":"2017-11-27","description":"","custom_fields":[{"id":1,"name":"Subdivision","value":"EC"},{"id":4,"name":"Milepost","value":"23.3268"},{"id":17,"name":"Train ID","value":"113-27"},{"id":16,"name":"Locomotive ID","value":"4064"},{"id":130,"name":"Impact","value":""},{"id":150,"name":"Time of Event (Mountain Time)","value":"05:51:37"},{"id":151,"name":"Denver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4"/>
      <c r="AK25" s="232"/>
      <c r="AL25" s="232"/>
      <c r="AM25" s="241" t="str">
        <f t="shared" si="21"/>
        <v>start /low /b %USERPROFILE%\Documents\GitHub\eaglep3\Utilities\DownloadLogsFromS3.py --loco 4064 --day 2017-11-27</v>
      </c>
      <c r="AN25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12:51:37"},{"id":29,"name":"Sharepoint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1" t="str">
        <f t="shared" si="23"/>
        <v>https://d0f6bd738d7f1b3e5a7ca70fe4ff75f0.us-east-1.aws.found.io/app/kibana#/discover/Steve-Slow-Train-Analysis-(2080s-and-2083s)?_g=(refreshInterval:(display:Off,pause:!f,section:0,value:0),time:(from:'2017-11-27T03:57:50-0700',mode:absolute,to:'2017-11-27T06:51:37-0700'))&amp;_a=(columns:!('Message%20ID',Summary),filters:!(),index:'emp_*',interval:auto,query:(query_string:(analyze_wildcard:!t,query:'%22rtdc.l.rtdc.4064%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30" t="s">
        <v>639</v>
      </c>
      <c r="B26" s="226">
        <v>4063</v>
      </c>
      <c r="C26" s="228" t="s">
        <v>192</v>
      </c>
      <c r="D26" s="228" t="s">
        <v>450</v>
      </c>
      <c r="E26" s="227">
        <v>43066.24559027778</v>
      </c>
      <c r="F26" s="227">
        <v>43066.258553240739</v>
      </c>
      <c r="G26" s="226">
        <v>55</v>
      </c>
      <c r="H26" s="228" t="s">
        <v>490</v>
      </c>
      <c r="I26" s="227">
        <v>43066.285833333335</v>
      </c>
      <c r="J26" s="226">
        <v>0</v>
      </c>
      <c r="K26" s="238" t="str">
        <f t="shared" si="0"/>
        <v>4063/4064</v>
      </c>
      <c r="L26" s="246" t="str">
        <f>VLOOKUP(A26,'Trips&amp;Operators'!$C$1:$G$99911,5,FALSE)</f>
        <v>DAVIDSON DAVID</v>
      </c>
      <c r="M26" s="225">
        <f t="shared" si="1"/>
        <v>2.7280092595901806E-2</v>
      </c>
      <c r="N26" s="226">
        <f t="shared" si="2"/>
        <v>39.283333338098601</v>
      </c>
      <c r="O26" s="226"/>
      <c r="P26" s="226"/>
      <c r="Q26" s="229"/>
      <c r="R26" s="243"/>
      <c r="S26" s="250">
        <f t="shared" si="3"/>
        <v>1</v>
      </c>
      <c r="T26" s="243" t="str">
        <f t="shared" si="4"/>
        <v>Southbound</v>
      </c>
      <c r="U26" s="24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9" t="str">
        <f t="shared" si="5"/>
        <v>https://d0f6bd738d7f1b3e5a7ca70fe4ff75f0.us-east-1.aws.found.io/app/kibana#/discover/Steve-Slow-Train-Analysis-(2080s-and-2083s)?_g=(refreshInterval:(display:Off,pause:!f,section:0,value:0),time:(from:'2017-11-27T04:53:39-0700',mode:absolute,to:'2017-11-27T07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6" s="248" t="str">
        <f>IF(AA26&lt;VLOOKUP(AG26,Variables!$AC$3:$AD$8,2,FALSE),"Y","N")</f>
        <v>N</v>
      </c>
      <c r="X26" s="248">
        <f t="shared" si="6"/>
        <v>1</v>
      </c>
      <c r="Y26" s="248">
        <f t="shared" si="7"/>
        <v>23.293399999999998</v>
      </c>
      <c r="Z26" s="248">
        <f t="shared" si="8"/>
        <v>2.2100000000000002E-2</v>
      </c>
      <c r="AA26" s="248">
        <f t="shared" si="9"/>
        <v>23.2713</v>
      </c>
      <c r="AB26" s="234" t="e">
        <f>VLOOKUP(A26,Enforcements!$C$7:$K$9,8,0)</f>
        <v>#N/A</v>
      </c>
      <c r="AC26" s="233" t="e">
        <f>VLOOKUP(A26,Enforcements!$C$7:$E$9,3,0)</f>
        <v>#N/A</v>
      </c>
      <c r="AD26" s="244">
        <f t="shared" si="10"/>
        <v>114</v>
      </c>
      <c r="AE26" s="236" t="str">
        <f t="shared" si="11"/>
        <v>aws s3 cp s3://rtdc.mdm.uploadarchive.raw/RTDC4063/ "%USERPROFILE%\AppData\Local\Temp\OnboardLogs"\RTDC4063\2017-11-27 --exclude "*" --recursive --include "*20171127*" &amp; "%USERPROFILE%\Documents\GitHub\mrs-test-scripts\Headless Mode &amp; Sideloading\WalkAndUnGZ.bat" "%USERPROFILE%\AppData\Local\Temp\OnboardLogs"\RTDC4063\2017-11-27 &amp; aws s3 cp s3://rtdc.mdm.uploadarchive.raw/RTDC4063/ "%USERPROFILE%\AppData\Local\Temp\OnboardLogs"\RTDC4063\2017-11-28 --exclude "*" --recursive --include "*20171128*" &amp; "%USERPROFILE%\Documents\GitHub\mrs-test-scripts\Headless Mode &amp; Sideloading\WalkAndUnGZ.bat" "%USERPROFILE%\AppData\Local\Temp\OnboardLogs"\RTDC4063\2017-11-28</v>
      </c>
      <c r="AF26" s="235" t="str">
        <f t="shared" si="12"/>
        <v>"C:\Program Files (x86)\AstroGrep\AstroGrep.exe" /e /r /s /spath="%USERPROFILE%\AppData\Local\Temp\OnboardLogs" /stypes="app*4063*20171127*" /stext=" 13:.+((SYSTEM_STATE.+slice.+state.+changed )|(ment ac)|(multiple cpu faults)|(system.+state.+changed )|(\[timeout)|(PRM\|1\|D)|(kpr)|(kdp)|(train st.+moving)|(\|lc)|(penalty))"</v>
      </c>
      <c r="AG26" s="245" t="str">
        <f t="shared" si="13"/>
        <v>EC</v>
      </c>
      <c r="AH26" s="237" t="str">
        <f t="shared" si="19"/>
        <v>"%USERPROFILE%\Documents\GitHub\eaglep3\Utilities\RefineRTDCRunTimes.py" --tripid 114-27 --locoid 4063 --swversion DE.1.0.9.0 --startMP 204:232934 --initTime 2017-11-27T05:53:39 --startdatetime 2017-11-27T06:12:19 --delay 55 --endMP 204:221 --enddatetime 2017-11-27T06:51:36 --enforcementcount 0 &gt;&gt;%USERPROFILE%\Documents\GitHub\eaglep3-reporting\EC\2017-11-27-refined-times.txt</v>
      </c>
      <c r="AI26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{"issue":{"subject":"","project_id":79,"tracker_id":40,"status_id":1,"priority_id":2,"assigned_to_id":338,"start_date":"2017-11-27","description":"","custom_fields":[{"id":1,"name":"Subdivision","value":"EC"},{"id":4,"name":"Milepost","value":"0.0221"},{"id":17,"name":"Train ID","value":"114-27"},{"id":16,"name":"Locomotive ID","value":"4063"},{"id":130,"name":"Impact","value":""},{"id":150,"name":"Time of Event (Mountain Time)","value":"06:51:36"},{"id":151,"name":"Denver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4"/>
      <c r="AK26" s="232"/>
      <c r="AL26" s="232"/>
      <c r="AM26" s="241" t="str">
        <f t="shared" si="21"/>
        <v>start /low /b %USERPROFILE%\Documents\GitHub\eaglep3\Utilities\DownloadLogsFromS3.py --loco 4063 --day 2017-11-27</v>
      </c>
      <c r="AN26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13:51:36"},{"id":29,"name":"Sharepoint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1" t="str">
        <f t="shared" si="23"/>
        <v>https://d0f6bd738d7f1b3e5a7ca70fe4ff75f0.us-east-1.aws.found.io/app/kibana#/discover/Steve-Slow-Train-Analysis-(2080s-and-2083s)?_g=(refreshInterval:(display:Off,pause:!f,section:0,value:0),time:(from:'2017-11-27T04:53:39-0700',mode:absolute,to:'2017-11-27T07:51:36-0700'))&amp;_a=(columns:!('Message%20ID',Summary),filters:!(),index:'emp_*',interval:auto,query:(query_string:(analyze_wildcard:!t,query:'%22rtdc.l.rtdc.4063%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30" t="s">
        <v>629</v>
      </c>
      <c r="B27" s="226">
        <v>4022</v>
      </c>
      <c r="C27" s="228" t="s">
        <v>192</v>
      </c>
      <c r="D27" s="228" t="s">
        <v>839</v>
      </c>
      <c r="E27" s="227">
        <v>43066.224374999998</v>
      </c>
      <c r="F27" s="227">
        <v>43066.229351851849</v>
      </c>
      <c r="G27" s="226">
        <v>83</v>
      </c>
      <c r="H27" s="228" t="s">
        <v>482</v>
      </c>
      <c r="I27" s="227">
        <v>43066.255497685182</v>
      </c>
      <c r="J27" s="226">
        <v>0</v>
      </c>
      <c r="K27" s="238" t="str">
        <f t="shared" si="0"/>
        <v>4021/4022</v>
      </c>
      <c r="L27" s="246" t="str">
        <f>VLOOKUP(A27,'Trips&amp;Operators'!$C$1:$G$99911,5,FALSE)</f>
        <v>NICHOLAS PLOYSA</v>
      </c>
      <c r="M27" s="225">
        <f t="shared" si="1"/>
        <v>2.6145833333430346E-2</v>
      </c>
      <c r="N27" s="226">
        <f t="shared" si="2"/>
        <v>37.650000000139698</v>
      </c>
      <c r="O27" s="226"/>
      <c r="P27" s="226"/>
      <c r="Q27" s="229"/>
      <c r="R27" s="243"/>
      <c r="S27" s="250">
        <f t="shared" si="3"/>
        <v>1</v>
      </c>
      <c r="T27" s="243" t="str">
        <f t="shared" si="4"/>
        <v>NorthBound</v>
      </c>
      <c r="U27" s="24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9" t="str">
        <f t="shared" si="5"/>
        <v>https://d0f6bd738d7f1b3e5a7ca70fe4ff75f0.us-east-1.aws.found.io/app/kibana#/discover/Steve-Slow-Train-Analysis-(2080s-and-2083s)?_g=(refreshInterval:(display:Off,pause:!f,section:0,value:0),time:(from:'2017-11-27T04:23:06-0700',mode:absolute,to:'2017-11-27T07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7" s="248" t="str">
        <f>IF(AA27&lt;VLOOKUP(AG27,Variables!$AC$3:$AD$8,2,FALSE),"Y","N")</f>
        <v>N</v>
      </c>
      <c r="X27" s="248">
        <f t="shared" si="6"/>
        <v>1</v>
      </c>
      <c r="Y27" s="248">
        <f t="shared" si="7"/>
        <v>4.4600000000000001E-2</v>
      </c>
      <c r="Z27" s="248">
        <f t="shared" si="8"/>
        <v>23.331199999999999</v>
      </c>
      <c r="AA27" s="248">
        <f t="shared" si="9"/>
        <v>23.2866</v>
      </c>
      <c r="AB27" s="234" t="e">
        <f>VLOOKUP(A27,Enforcements!$C$7:$K$9,8,0)</f>
        <v>#N/A</v>
      </c>
      <c r="AC27" s="233" t="e">
        <f>VLOOKUP(A27,Enforcements!$C$7:$E$9,3,0)</f>
        <v>#N/A</v>
      </c>
      <c r="AD27" s="244">
        <f t="shared" si="10"/>
        <v>115</v>
      </c>
      <c r="AE27" s="236" t="str">
        <f t="shared" si="11"/>
        <v>aws s3 cp s3://rtdc.mdm.uploadarchive.raw/RTDC4022/ "%USERPROFILE%\AppData\Local\Temp\OnboardLogs"\RTDC4022\2017-11-27 --exclude "*" --recursive --include "*20171127*" &amp; "%USERPROFILE%\Documents\GitHub\mrs-test-scripts\Headless Mode &amp; Sideloading\WalkAndUnGZ.bat" "%USERPROFILE%\AppData\Local\Temp\OnboardLogs"\RTDC4022\2017-11-27 &amp; aws s3 cp s3://rtdc.mdm.uploadarchive.raw/RTDC4022/ "%USERPROFILE%\AppData\Local\Temp\OnboardLogs"\RTDC4022\2017-11-28 --exclude "*" --recursive --include "*20171128*" &amp; "%USERPROFILE%\Documents\GitHub\mrs-test-scripts\Headless Mode &amp; Sideloading\WalkAndUnGZ.bat" "%USERPROFILE%\AppData\Local\Temp\OnboardLogs"\RTDC4022\2017-11-28</v>
      </c>
      <c r="AF27" s="235" t="str">
        <f t="shared" si="12"/>
        <v>"C:\Program Files (x86)\AstroGrep\AstroGrep.exe" /e /r /s /spath="%USERPROFILE%\AppData\Local\Temp\OnboardLogs" /stypes="app*4022*20171127*" /stext=" 13:.+((SYSTEM_STATE.+slice.+state.+changed )|(ment ac)|(multiple cpu faults)|(system.+state.+changed )|(\[timeout)|(PRM\|1\|D)|(kpr)|(kdp)|(train st.+moving)|(\|lc)|(penalty))"</v>
      </c>
      <c r="AG27" s="245" t="str">
        <f t="shared" si="13"/>
        <v>EC</v>
      </c>
      <c r="AH27" s="237" t="str">
        <f t="shared" si="19"/>
        <v>"%USERPROFILE%\Documents\GitHub\eaglep3\Utilities\RefineRTDCRunTimes.py" --tripid 115-27 --locoid 4022 --swversion DE.1.0.9.0 --startMP 204:446 --initTime 2017-11-27T05:23:06 --startdatetime 2017-11-27T05:30:16 --delay 83 --endMP 204:233312 --enddatetime 2017-11-27T06:07:55 --enforcementcount 0 &gt;&gt;%USERPROFILE%\Documents\GitHub\eaglep3-reporting\EC\2017-11-27-refined-times.txt</v>
      </c>
      <c r="AI27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{"issue":{"subject":"","project_id":79,"tracker_id":40,"status_id":1,"priority_id":2,"assigned_to_id":338,"start_date":"2017-11-27","description":"","custom_fields":[{"id":1,"name":"Subdivision","value":"EC"},{"id":4,"name":"Milepost","value":"23.3312"},{"id":17,"name":"Train ID","value":"115-27"},{"id":16,"name":"Locomotive ID","value":"4022"},{"id":130,"name":"Impact","value":""},{"id":150,"name":"Time of Event (Mountain Time)","value":"06:07:55"},{"id":151,"name":"Denver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4"/>
      <c r="AK27" s="232"/>
      <c r="AL27" s="232"/>
      <c r="AM27" s="241" t="str">
        <f t="shared" si="21"/>
        <v>start /low /b %USERPROFILE%\Documents\GitHub\eaglep3\Utilities\DownloadLogsFromS3.py --loco 4022 --day 2017-11-27</v>
      </c>
      <c r="AN27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13:07:55"},{"id":29,"name":"Sharepoint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1" t="str">
        <f t="shared" si="23"/>
        <v>https://d0f6bd738d7f1b3e5a7ca70fe4ff75f0.us-east-1.aws.found.io/app/kibana#/discover/Steve-Slow-Train-Analysis-(2080s-and-2083s)?_g=(refreshInterval:(display:Off,pause:!f,section:0,value:0),time:(from:'2017-11-27T04:23:06-0700',mode:absolute,to:'2017-11-27T07:07:55-0700'))&amp;_a=(columns:!('Message%20ID',Summary),filters:!(),index:'emp_*',interval:auto,query:(query_string:(analyze_wildcard:!t,query:'%22rtdc.l.rtdc.4022%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30" t="s">
        <v>643</v>
      </c>
      <c r="B28" s="226">
        <v>4021</v>
      </c>
      <c r="C28" s="228" t="s">
        <v>192</v>
      </c>
      <c r="D28" s="228" t="s">
        <v>414</v>
      </c>
      <c r="E28" s="227">
        <v>43066.261666666665</v>
      </c>
      <c r="F28" s="227">
        <v>43066.268946759257</v>
      </c>
      <c r="G28" s="226">
        <v>92</v>
      </c>
      <c r="H28" s="228" t="s">
        <v>840</v>
      </c>
      <c r="I28" s="227">
        <v>43066.296875</v>
      </c>
      <c r="J28" s="226">
        <v>0</v>
      </c>
      <c r="K28" s="238" t="str">
        <f t="shared" si="0"/>
        <v>4021/4022</v>
      </c>
      <c r="L28" s="246" t="str">
        <f>VLOOKUP(A28,'Trips&amp;Operators'!$C$1:$G$99911,5,FALSE)</f>
        <v>NICHOLAS PLOYSA</v>
      </c>
      <c r="M28" s="225">
        <f t="shared" si="1"/>
        <v>2.792824074276723E-2</v>
      </c>
      <c r="N28" s="226">
        <f t="shared" si="2"/>
        <v>40.216666669584811</v>
      </c>
      <c r="O28" s="226"/>
      <c r="P28" s="226"/>
      <c r="Q28" s="229"/>
      <c r="R28" s="243"/>
      <c r="S28" s="250">
        <f t="shared" si="3"/>
        <v>1</v>
      </c>
      <c r="T28" s="243" t="str">
        <f t="shared" si="4"/>
        <v>Southbound</v>
      </c>
      <c r="U28" s="24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9" t="str">
        <f t="shared" si="5"/>
        <v>https://d0f6bd738d7f1b3e5a7ca70fe4ff75f0.us-east-1.aws.found.io/app/kibana#/discover/Steve-Slow-Train-Analysis-(2080s-and-2083s)?_g=(refreshInterval:(display:Off,pause:!f,section:0,value:0),time:(from:'2017-11-27T05:16:48-0700',mode:absolute,to:'2017-11-27T08:07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8" s="248" t="str">
        <f>IF(AA28&lt;VLOOKUP(AG28,Variables!$AC$3:$AD$8,2,FALSE),"Y","N")</f>
        <v>N</v>
      </c>
      <c r="X28" s="248">
        <f t="shared" si="6"/>
        <v>1</v>
      </c>
      <c r="Y28" s="248">
        <f t="shared" si="7"/>
        <v>23.297699999999999</v>
      </c>
      <c r="Z28" s="248">
        <f t="shared" si="8"/>
        <v>1.47E-2</v>
      </c>
      <c r="AA28" s="248">
        <f t="shared" si="9"/>
        <v>23.282999999999998</v>
      </c>
      <c r="AB28" s="234" t="e">
        <f>VLOOKUP(A28,Enforcements!$C$7:$K$9,8,0)</f>
        <v>#N/A</v>
      </c>
      <c r="AC28" s="233" t="e">
        <f>VLOOKUP(A28,Enforcements!$C$7:$E$9,3,0)</f>
        <v>#N/A</v>
      </c>
      <c r="AD28" s="244">
        <f t="shared" si="10"/>
        <v>116</v>
      </c>
      <c r="AE28" s="236" t="str">
        <f t="shared" si="11"/>
        <v>aws s3 cp s3://rtdc.mdm.uploadarchive.raw/RTDC4021/ "%USERPROFILE%\AppData\Local\Temp\OnboardLogs"\RTDC4021\2017-11-27 --exclude "*" --recursive --include "*20171127*" &amp; "%USERPROFILE%\Documents\GitHub\mrs-test-scripts\Headless Mode &amp; Sideloading\WalkAndUnGZ.bat" "%USERPROFILE%\AppData\Local\Temp\OnboardLogs"\RTDC4021\2017-11-27 &amp; aws s3 cp s3://rtdc.mdm.uploadarchive.raw/RTDC4021/ "%USERPROFILE%\AppData\Local\Temp\OnboardLogs"\RTDC4021\2017-11-28 --exclude "*" --recursive --include "*20171128*" &amp; "%USERPROFILE%\Documents\GitHub\mrs-test-scripts\Headless Mode &amp; Sideloading\WalkAndUnGZ.bat" "%USERPROFILE%\AppData\Local\Temp\OnboardLogs"\RTDC4021\2017-11-28</v>
      </c>
      <c r="AF28" s="235" t="str">
        <f t="shared" si="12"/>
        <v>"C:\Program Files (x86)\AstroGrep\AstroGrep.exe" /e /r /s /spath="%USERPROFILE%\AppData\Local\Temp\OnboardLogs" /stypes="app*4021*20171127*" /stext=" 14:.+((SYSTEM_STATE.+slice.+state.+changed )|(ment ac)|(multiple cpu faults)|(system.+state.+changed )|(\[timeout)|(PRM\|1\|D)|(kpr)|(kdp)|(train st.+moving)|(\|lc)|(penalty))"</v>
      </c>
      <c r="AG28" s="245" t="str">
        <f t="shared" si="13"/>
        <v>EC</v>
      </c>
      <c r="AH28" s="237" t="str">
        <f t="shared" si="19"/>
        <v>"%USERPROFILE%\Documents\GitHub\eaglep3\Utilities\RefineRTDCRunTimes.py" --tripid 116-27 --locoid 4021 --swversion DE.1.0.9.0 --startMP 204:232977 --initTime 2017-11-27T06:16:48 --startdatetime 2017-11-27T06:27:17 --delay 92 --endMP 204:147 --enddatetime 2017-11-27T07:07:30 --enforcementcount 0 &gt;&gt;%USERPROFILE%\Documents\GitHub\eaglep3-reporting\EC\2017-11-27-refined-times.txt</v>
      </c>
      <c r="AI28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{"issue":{"subject":"","project_id":79,"tracker_id":40,"status_id":1,"priority_id":2,"assigned_to_id":338,"start_date":"2017-11-27","description":"","custom_fields":[{"id":1,"name":"Subdivision","value":"EC"},{"id":4,"name":"Milepost","value":"0.0147"},{"id":17,"name":"Train ID","value":"116-27"},{"id":16,"name":"Locomotive ID","value":"4021"},{"id":130,"name":"Impact","value":""},{"id":150,"name":"Time of Event (Mountain Time)","value":"07:07:30"},{"id":151,"name":"Denver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4"/>
      <c r="AK28" s="232"/>
      <c r="AL28" s="232"/>
      <c r="AM28" s="241" t="str">
        <f t="shared" si="21"/>
        <v>start /low /b %USERPROFILE%\Documents\GitHub\eaglep3\Utilities\DownloadLogsFromS3.py --loco 4021 --day 2017-11-27</v>
      </c>
      <c r="AN28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14:07:30"},{"id":29,"name":"Sharepoint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1" t="str">
        <f t="shared" si="23"/>
        <v>https://d0f6bd738d7f1b3e5a7ca70fe4ff75f0.us-east-1.aws.found.io/app/kibana#/discover/Steve-Slow-Train-Analysis-(2080s-and-2083s)?_g=(refreshInterval:(display:Off,pause:!f,section:0,value:0),time:(from:'2017-11-27T05:16:48-0700',mode:absolute,to:'2017-11-27T08:07:30-0700'))&amp;_a=(columns:!('Message%20ID',Summary),filters:!(),index:'emp_*',interval:auto,query:(query_string:(analyze_wildcard:!t,query:'%22rtdc.l.rtdc.4021%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30" t="s">
        <v>636</v>
      </c>
      <c r="B29" s="226">
        <v>4054</v>
      </c>
      <c r="C29" s="228" t="s">
        <v>192</v>
      </c>
      <c r="D29" s="228" t="s">
        <v>431</v>
      </c>
      <c r="E29" s="227">
        <v>43066.237222222226</v>
      </c>
      <c r="F29" s="227">
        <v>43066.23982638889</v>
      </c>
      <c r="G29" s="226">
        <v>59</v>
      </c>
      <c r="H29" s="228" t="s">
        <v>841</v>
      </c>
      <c r="I29" s="227">
        <v>43066.263981481483</v>
      </c>
      <c r="J29" s="226">
        <v>0</v>
      </c>
      <c r="K29" s="238" t="str">
        <f t="shared" si="0"/>
        <v>4053/4054</v>
      </c>
      <c r="L29" s="246" t="str">
        <f>VLOOKUP(A29,'Trips&amp;Operators'!$C$1:$G$99911,5,FALSE)</f>
        <v>LAMAR NEKESHA</v>
      </c>
      <c r="M29" s="225">
        <f t="shared" si="1"/>
        <v>2.4155092592991423E-2</v>
      </c>
      <c r="N29" s="226">
        <f t="shared" si="2"/>
        <v>34.783333333907649</v>
      </c>
      <c r="O29" s="226"/>
      <c r="P29" s="226"/>
      <c r="Q29" s="229"/>
      <c r="R29" s="243"/>
      <c r="S29" s="250">
        <f t="shared" si="3"/>
        <v>1</v>
      </c>
      <c r="T29" s="243" t="str">
        <f t="shared" si="4"/>
        <v>NorthBound</v>
      </c>
      <c r="U29" s="24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9" t="str">
        <f t="shared" si="5"/>
        <v>https://d0f6bd738d7f1b3e5a7ca70fe4ff75f0.us-east-1.aws.found.io/app/kibana#/discover/Steve-Slow-Train-Analysis-(2080s-and-2083s)?_g=(refreshInterval:(display:Off,pause:!f,section:0,value:0),time:(from:'2017-11-27T04:41:36-0700',mode:absolute,to:'2017-11-27T07:20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9" s="248" t="str">
        <f>IF(AA29&lt;VLOOKUP(AG29,Variables!$AC$3:$AD$8,2,FALSE),"Y","N")</f>
        <v>N</v>
      </c>
      <c r="X29" s="248">
        <f t="shared" si="6"/>
        <v>1</v>
      </c>
      <c r="Y29" s="248">
        <f t="shared" si="7"/>
        <v>5.0200000000000002E-2</v>
      </c>
      <c r="Z29" s="248">
        <f t="shared" si="8"/>
        <v>23.328900000000001</v>
      </c>
      <c r="AA29" s="248">
        <f t="shared" si="9"/>
        <v>23.278700000000001</v>
      </c>
      <c r="AB29" s="234" t="e">
        <f>VLOOKUP(A29,Enforcements!$C$7:$K$9,8,0)</f>
        <v>#N/A</v>
      </c>
      <c r="AC29" s="233" t="e">
        <f>VLOOKUP(A29,Enforcements!$C$7:$E$9,3,0)</f>
        <v>#N/A</v>
      </c>
      <c r="AD29" s="244">
        <f t="shared" si="10"/>
        <v>117</v>
      </c>
      <c r="AE29" s="236" t="str">
        <f t="shared" si="11"/>
        <v>aws s3 cp s3://rtdc.mdm.uploadarchive.raw/RTDC4054/ "%USERPROFILE%\AppData\Local\Temp\OnboardLogs"\RTDC4054\2017-11-27 --exclude "*" --recursive --include "*20171127*" &amp; "%USERPROFILE%\Documents\GitHub\mrs-test-scripts\Headless Mode &amp; Sideloading\WalkAndUnGZ.bat" "%USERPROFILE%\AppData\Local\Temp\OnboardLogs"\RTDC4054\2017-11-27 &amp; aws s3 cp s3://rtdc.mdm.uploadarchive.raw/RTDC4054/ "%USERPROFILE%\AppData\Local\Temp\OnboardLogs"\RTDC4054\2017-11-28 --exclude "*" --recursive --include "*20171128*" &amp; "%USERPROFILE%\Documents\GitHub\mrs-test-scripts\Headless Mode &amp; Sideloading\WalkAndUnGZ.bat" "%USERPROFILE%\AppData\Local\Temp\OnboardLogs"\RTDC4054\2017-11-28</v>
      </c>
      <c r="AF29" s="235" t="str">
        <f t="shared" si="12"/>
        <v>"C:\Program Files (x86)\AstroGrep\AstroGrep.exe" /e /r /s /spath="%USERPROFILE%\AppData\Local\Temp\OnboardLogs" /stypes="app*4054*20171127*" /stext=" 13:.+((SYSTEM_STATE.+slice.+state.+changed )|(ment ac)|(multiple cpu faults)|(system.+state.+changed )|(\[timeout)|(PRM\|1\|D)|(kpr)|(kdp)|(train st.+moving)|(\|lc)|(penalty))"</v>
      </c>
      <c r="AG29" s="245" t="str">
        <f t="shared" si="13"/>
        <v>EC</v>
      </c>
      <c r="AH29" s="237" t="str">
        <f t="shared" si="19"/>
        <v>"%USERPROFILE%\Documents\GitHub\eaglep3\Utilities\RefineRTDCRunTimes.py" --tripid 117-27 --locoid 4054 --swversion DE.1.0.9.0 --startMP 204:502 --initTime 2017-11-27T05:41:36 --startdatetime 2017-11-27T05:45:21 --delay 59 --endMP 204:233289 --enddatetime 2017-11-27T06:20:08 --enforcementcount 0 &gt;&gt;%USERPROFILE%\Documents\GitHub\eaglep3-reporting\EC\2017-11-27-refined-times.txt</v>
      </c>
      <c r="AI29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{"issue":{"subject":"","project_id":79,"tracker_id":40,"status_id":1,"priority_id":2,"assigned_to_id":338,"start_date":"2017-11-27","description":"","custom_fields":[{"id":1,"name":"Subdivision","value":"EC"},{"id":4,"name":"Milepost","value":"23.3289"},{"id":17,"name":"Train ID","value":"117-27"},{"id":16,"name":"Locomotive ID","value":"4054"},{"id":130,"name":"Impact","value":""},{"id":150,"name":"Time of Event (Mountain Time)","value":"06:20:08"},{"id":151,"name":"Denver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4"/>
      <c r="AK29" s="232"/>
      <c r="AL29" s="232"/>
      <c r="AM29" s="241" t="str">
        <f t="shared" si="21"/>
        <v>start /low /b %USERPROFILE%\Documents\GitHub\eaglep3\Utilities\DownloadLogsFromS3.py --loco 4054 --day 2017-11-27</v>
      </c>
      <c r="AN29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13:20:08"},{"id":29,"name":"Sharepoint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1" t="str">
        <f t="shared" si="23"/>
        <v>https://d0f6bd738d7f1b3e5a7ca70fe4ff75f0.us-east-1.aws.found.io/app/kibana#/discover/Steve-Slow-Train-Analysis-(2080s-and-2083s)?_g=(refreshInterval:(display:Off,pause:!f,section:0,value:0),time:(from:'2017-11-27T04:41:36-0700',mode:absolute,to:'2017-11-27T07:20:08-0700'))&amp;_a=(columns:!('Message%20ID',Summary),filters:!(),index:'emp_*',interval:auto,query:(query_string:(analyze_wildcard:!t,query:'%22rtdc.l.rtdc.4054%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30" t="s">
        <v>647</v>
      </c>
      <c r="B30" s="226">
        <v>4053</v>
      </c>
      <c r="C30" s="228" t="s">
        <v>192</v>
      </c>
      <c r="D30" s="228" t="s">
        <v>528</v>
      </c>
      <c r="E30" s="227">
        <v>43066.276331018518</v>
      </c>
      <c r="F30" s="227">
        <v>43066.279340277775</v>
      </c>
      <c r="G30" s="226">
        <v>71</v>
      </c>
      <c r="H30" s="228" t="s">
        <v>464</v>
      </c>
      <c r="I30" s="227">
        <v>43066.305798611109</v>
      </c>
      <c r="J30" s="226">
        <v>0</v>
      </c>
      <c r="K30" s="238" t="str">
        <f t="shared" si="0"/>
        <v>4053/4054</v>
      </c>
      <c r="L30" s="246" t="str">
        <f>VLOOKUP(A30,'Trips&amp;Operators'!$C$1:$G$99911,5,FALSE)</f>
        <v>LAMAR NEKESHA</v>
      </c>
      <c r="M30" s="225">
        <f t="shared" si="1"/>
        <v>2.6458333333721384E-2</v>
      </c>
      <c r="N30" s="226">
        <f t="shared" si="2"/>
        <v>38.100000000558794</v>
      </c>
      <c r="O30" s="226"/>
      <c r="P30" s="226"/>
      <c r="Q30" s="229"/>
      <c r="R30" s="243"/>
      <c r="S30" s="250">
        <f t="shared" si="3"/>
        <v>1</v>
      </c>
      <c r="T30" s="243" t="str">
        <f t="shared" si="4"/>
        <v>Southbound</v>
      </c>
      <c r="U30" s="24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9" t="str">
        <f t="shared" si="5"/>
        <v>https://d0f6bd738d7f1b3e5a7ca70fe4ff75f0.us-east-1.aws.found.io/app/kibana#/discover/Steve-Slow-Train-Analysis-(2080s-and-2083s)?_g=(refreshInterval:(display:Off,pause:!f,section:0,value:0),time:(from:'2017-11-27T05:37:55-0700',mode:absolute,to:'2017-11-27T08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0" s="248" t="str">
        <f>IF(AA30&lt;VLOOKUP(AG30,Variables!$AC$3:$AD$8,2,FALSE),"Y","N")</f>
        <v>N</v>
      </c>
      <c r="X30" s="248">
        <f t="shared" si="6"/>
        <v>1</v>
      </c>
      <c r="Y30" s="248">
        <f t="shared" si="7"/>
        <v>23.296900000000001</v>
      </c>
      <c r="Z30" s="248">
        <f t="shared" si="8"/>
        <v>1.61E-2</v>
      </c>
      <c r="AA30" s="248">
        <f t="shared" si="9"/>
        <v>23.280799999999999</v>
      </c>
      <c r="AB30" s="234" t="e">
        <f>VLOOKUP(A30,Enforcements!$C$7:$K$9,8,0)</f>
        <v>#N/A</v>
      </c>
      <c r="AC30" s="233" t="e">
        <f>VLOOKUP(A30,Enforcements!$C$7:$E$9,3,0)</f>
        <v>#N/A</v>
      </c>
      <c r="AD30" s="244">
        <f t="shared" si="10"/>
        <v>118</v>
      </c>
      <c r="AE30" s="236" t="str">
        <f t="shared" si="11"/>
        <v>aws s3 cp s3://rtdc.mdm.uploadarchive.raw/RTDC4053/ "%USERPROFILE%\AppData\Local\Temp\OnboardLogs"\RTDC4053\2017-11-27 --exclude "*" --recursive --include "*20171127*" &amp; "%USERPROFILE%\Documents\GitHub\mrs-test-scripts\Headless Mode &amp; Sideloading\WalkAndUnGZ.bat" "%USERPROFILE%\AppData\Local\Temp\OnboardLogs"\RTDC4053\2017-11-27 &amp; aws s3 cp s3://rtdc.mdm.uploadarchive.raw/RTDC4053/ "%USERPROFILE%\AppData\Local\Temp\OnboardLogs"\RTDC4053\2017-11-28 --exclude "*" --recursive --include "*20171128*" &amp; "%USERPROFILE%\Documents\GitHub\mrs-test-scripts\Headless Mode &amp; Sideloading\WalkAndUnGZ.bat" "%USERPROFILE%\AppData\Local\Temp\OnboardLogs"\RTDC4053\2017-11-28</v>
      </c>
      <c r="AF30" s="235" t="str">
        <f t="shared" si="12"/>
        <v>"C:\Program Files (x86)\AstroGrep\AstroGrep.exe" /e /r /s /spath="%USERPROFILE%\AppData\Local\Temp\OnboardLogs" /stypes="app*4053*20171127*" /stext=" 14:.+((SYSTEM_STATE.+slice.+state.+changed )|(ment ac)|(multiple cpu faults)|(system.+state.+changed )|(\[timeout)|(PRM\|1\|D)|(kpr)|(kdp)|(train st.+moving)|(\|lc)|(penalty))"</v>
      </c>
      <c r="AG30" s="245" t="str">
        <f t="shared" si="13"/>
        <v>EC</v>
      </c>
      <c r="AH30" s="237" t="str">
        <f t="shared" si="19"/>
        <v>"%USERPROFILE%\Documents\GitHub\eaglep3\Utilities\RefineRTDCRunTimes.py" --tripid 118-27 --locoid 4053 --swversion DE.1.0.9.0 --startMP 204:232969 --initTime 2017-11-27T06:37:55 --startdatetime 2017-11-27T06:42:15 --delay 71 --endMP 204:161 --enddatetime 2017-11-27T07:20:21 --enforcementcount 0 &gt;&gt;%USERPROFILE%\Documents\GitHub\eaglep3-reporting\EC\2017-11-27-refined-times.txt</v>
      </c>
      <c r="AI30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{"issue":{"subject":"","project_id":79,"tracker_id":40,"status_id":1,"priority_id":2,"assigned_to_id":338,"start_date":"2017-11-27","description":"","custom_fields":[{"id":1,"name":"Subdivision","value":"EC"},{"id":4,"name":"Milepost","value":"0.0161"},{"id":17,"name":"Train ID","value":"118-27"},{"id":16,"name":"Locomotive ID","value":"4053"},{"id":130,"name":"Impact","value":""},{"id":150,"name":"Time of Event (Mountain Time)","value":"07:20:21"},{"id":151,"name":"Denver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4"/>
      <c r="AK30" s="232"/>
      <c r="AL30" s="232"/>
      <c r="AM30" s="241" t="str">
        <f t="shared" si="21"/>
        <v>start /low /b %USERPROFILE%\Documents\GitHub\eaglep3\Utilities\DownloadLogsFromS3.py --loco 4053 --day 2017-11-27</v>
      </c>
      <c r="AN30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14:20:21"},{"id":29,"name":"Sharepoint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1" t="str">
        <f t="shared" si="23"/>
        <v>https://d0f6bd738d7f1b3e5a7ca70fe4ff75f0.us-east-1.aws.found.io/app/kibana#/discover/Steve-Slow-Train-Analysis-(2080s-and-2083s)?_g=(refreshInterval:(display:Off,pause:!f,section:0,value:0),time:(from:'2017-11-27T05:37:55-0700',mode:absolute,to:'2017-11-27T08:20:21-0700'))&amp;_a=(columns:!('Message%20ID',Summary),filters:!(),index:'emp_*',interval:auto,query:(query_string:(analyze_wildcard:!t,query:'%22rtdc.l.rtdc.4053%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30" t="s">
        <v>641</v>
      </c>
      <c r="B31" s="226">
        <v>4044</v>
      </c>
      <c r="C31" s="228" t="s">
        <v>192</v>
      </c>
      <c r="D31" s="228" t="s">
        <v>533</v>
      </c>
      <c r="E31" s="227">
        <v>43066.249062499999</v>
      </c>
      <c r="F31" s="227">
        <v>43066.251250000001</v>
      </c>
      <c r="G31" s="226">
        <v>80</v>
      </c>
      <c r="H31" s="228" t="s">
        <v>476</v>
      </c>
      <c r="I31" s="227">
        <v>43066.276342592595</v>
      </c>
      <c r="J31" s="226">
        <v>0</v>
      </c>
      <c r="K31" s="238" t="str">
        <f t="shared" si="0"/>
        <v>4043/4044</v>
      </c>
      <c r="L31" s="246" t="str">
        <f>VLOOKUP(A31,'Trips&amp;Operators'!$C$1:$G$99911,5,FALSE)</f>
        <v>STARKS ANGELINA</v>
      </c>
      <c r="M31" s="225">
        <f t="shared" si="1"/>
        <v>2.5092592593864538E-2</v>
      </c>
      <c r="N31" s="226">
        <f t="shared" si="2"/>
        <v>36.133333335164934</v>
      </c>
      <c r="O31" s="226"/>
      <c r="P31" s="226"/>
      <c r="Q31" s="229"/>
      <c r="R31" s="243"/>
      <c r="S31" s="250">
        <f t="shared" si="3"/>
        <v>1</v>
      </c>
      <c r="T31" s="243" t="str">
        <f t="shared" si="4"/>
        <v>NorthBound</v>
      </c>
      <c r="U31" s="24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9" t="str">
        <f t="shared" si="5"/>
        <v>https://d0f6bd738d7f1b3e5a7ca70fe4ff75f0.us-east-1.aws.found.io/app/kibana#/discover/Steve-Slow-Train-Analysis-(2080s-and-2083s)?_g=(refreshInterval:(display:Off,pause:!f,section:0,value:0),time:(from:'2017-11-27T04:58:39-0700',mode:absolute,to:'2017-11-27T07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1" s="248" t="str">
        <f>IF(AA31&lt;VLOOKUP(AG31,Variables!$AC$3:$AD$8,2,FALSE),"Y","N")</f>
        <v>N</v>
      </c>
      <c r="X31" s="248">
        <f t="shared" si="6"/>
        <v>1</v>
      </c>
      <c r="Y31" s="248">
        <f t="shared" si="7"/>
        <v>4.5699999999999998E-2</v>
      </c>
      <c r="Z31" s="248">
        <f t="shared" si="8"/>
        <v>23.33</v>
      </c>
      <c r="AA31" s="248">
        <f t="shared" si="9"/>
        <v>23.284299999999998</v>
      </c>
      <c r="AB31" s="234" t="e">
        <f>VLOOKUP(A31,Enforcements!$C$7:$K$9,8,0)</f>
        <v>#N/A</v>
      </c>
      <c r="AC31" s="233" t="e">
        <f>VLOOKUP(A31,Enforcements!$C$7:$E$9,3,0)</f>
        <v>#N/A</v>
      </c>
      <c r="AD31" s="244">
        <f t="shared" si="10"/>
        <v>119</v>
      </c>
      <c r="AE31" s="236" t="str">
        <f t="shared" si="11"/>
        <v>aws s3 cp s3://rtdc.mdm.uploadarchive.raw/RTDC4044/ "%USERPROFILE%\AppData\Local\Temp\OnboardLogs"\RTDC4044\2017-11-27 --exclude "*" --recursive --include "*20171127*" &amp; "%USERPROFILE%\Documents\GitHub\mrs-test-scripts\Headless Mode &amp; Sideloading\WalkAndUnGZ.bat" "%USERPROFILE%\AppData\Local\Temp\OnboardLogs"\RTDC4044\2017-11-27 &amp; aws s3 cp s3://rtdc.mdm.uploadarchive.raw/RTDC4044/ "%USERPROFILE%\AppData\Local\Temp\OnboardLogs"\RTDC4044\2017-11-28 --exclude "*" --recursive --include "*20171128*" &amp; "%USERPROFILE%\Documents\GitHub\mrs-test-scripts\Headless Mode &amp; Sideloading\WalkAndUnGZ.bat" "%USERPROFILE%\AppData\Local\Temp\OnboardLogs"\RTDC4044\2017-11-28</v>
      </c>
      <c r="AF31" s="235" t="str">
        <f t="shared" si="12"/>
        <v>"C:\Program Files (x86)\AstroGrep\AstroGrep.exe" /e /r /s /spath="%USERPROFILE%\AppData\Local\Temp\OnboardLogs" /stypes="app*4044*20171127*" /stext=" 13:.+((SYSTEM_STATE.+slice.+state.+changed )|(ment ac)|(multiple cpu faults)|(system.+state.+changed )|(\[timeout)|(PRM\|1\|D)|(kpr)|(kdp)|(train st.+moving)|(\|lc)|(penalty))"</v>
      </c>
      <c r="AG31" s="245" t="str">
        <f t="shared" si="13"/>
        <v>EC</v>
      </c>
      <c r="AH31" s="237" t="str">
        <f t="shared" si="19"/>
        <v>"%USERPROFILE%\Documents\GitHub\eaglep3\Utilities\RefineRTDCRunTimes.py" --tripid 119-27 --locoid 4044 --swversion DE.1.0.9.0 --startMP 204:457 --initTime 2017-11-27T05:58:39 --startdatetime 2017-11-27T06:01:48 --delay 80 --endMP 204:233300 --enddatetime 2017-11-27T06:37:56 --enforcementcount 0 &gt;&gt;%USERPROFILE%\Documents\GitHub\eaglep3-reporting\EC\2017-11-27-refined-times.txt</v>
      </c>
      <c r="AI31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{"issue":{"subject":"","project_id":79,"tracker_id":40,"status_id":1,"priority_id":2,"assigned_to_id":338,"start_date":"2017-11-27","description":"","custom_fields":[{"id":1,"name":"Subdivision","value":"EC"},{"id":4,"name":"Milepost","value":"23.33"},{"id":17,"name":"Train ID","value":"119-27"},{"id":16,"name":"Locomotive ID","value":"4044"},{"id":130,"name":"Impact","value":""},{"id":150,"name":"Time of Event (Mountain Time)","value":"06:37:56"},{"id":151,"name":"Denver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4"/>
      <c r="AK31" s="232"/>
      <c r="AL31" s="232"/>
      <c r="AM31" s="241" t="str">
        <f t="shared" si="21"/>
        <v>start /low /b %USERPROFILE%\Documents\GitHub\eaglep3\Utilities\DownloadLogsFromS3.py --loco 4044 --day 2017-11-27</v>
      </c>
      <c r="AN31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13:37:56"},{"id":29,"name":"Sharepoint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1" t="str">
        <f t="shared" si="23"/>
        <v>https://d0f6bd738d7f1b3e5a7ca70fe4ff75f0.us-east-1.aws.found.io/app/kibana#/discover/Steve-Slow-Train-Analysis-(2080s-and-2083s)?_g=(refreshInterval:(display:Off,pause:!f,section:0,value:0),time:(from:'2017-11-27T04:58:39-0700',mode:absolute,to:'2017-11-27T07:37:56-0700'))&amp;_a=(columns:!('Message%20ID',Summary),filters:!(),index:'emp_*',interval:auto,query:(query_string:(analyze_wildcard:!t,query:'%22rtdc.l.rtdc.4044%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30" t="s">
        <v>648</v>
      </c>
      <c r="B32" s="226">
        <v>4043</v>
      </c>
      <c r="C32" s="228" t="s">
        <v>192</v>
      </c>
      <c r="D32" s="228" t="s">
        <v>424</v>
      </c>
      <c r="E32" s="227">
        <v>43066.28056712963</v>
      </c>
      <c r="F32" s="227">
        <v>43066.28979166667</v>
      </c>
      <c r="G32" s="226">
        <v>143</v>
      </c>
      <c r="H32" s="228" t="s">
        <v>464</v>
      </c>
      <c r="I32" s="227">
        <v>43066.317650462966</v>
      </c>
      <c r="J32" s="226">
        <v>0</v>
      </c>
      <c r="K32" s="238" t="str">
        <f t="shared" si="0"/>
        <v>4043/4044</v>
      </c>
      <c r="L32" s="246" t="str">
        <f>VLOOKUP(A32,'Trips&amp;Operators'!$C$1:$G$99911,5,FALSE)</f>
        <v>STARKS ANGELINA</v>
      </c>
      <c r="M32" s="225">
        <f t="shared" si="1"/>
        <v>2.7858796296641231E-2</v>
      </c>
      <c r="N32" s="226">
        <f t="shared" si="2"/>
        <v>40.116666667163372</v>
      </c>
      <c r="O32" s="226"/>
      <c r="P32" s="226"/>
      <c r="Q32" s="229"/>
      <c r="R32" s="243"/>
      <c r="S32" s="250">
        <f t="shared" si="3"/>
        <v>1</v>
      </c>
      <c r="T32" s="243" t="str">
        <f t="shared" si="4"/>
        <v>Southbound</v>
      </c>
      <c r="U32" s="24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9" t="str">
        <f t="shared" si="5"/>
        <v>https://d0f6bd738d7f1b3e5a7ca70fe4ff75f0.us-east-1.aws.found.io/app/kibana#/discover/Steve-Slow-Train-Analysis-(2080s-and-2083s)?_g=(refreshInterval:(display:Off,pause:!f,section:0,value:0),time:(from:'2017-11-27T05:44:01-0700',mode:absolute,to:'2017-11-27T08:37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2" s="248" t="str">
        <f>IF(AA32&lt;VLOOKUP(AG32,Variables!$AC$3:$AD$8,2,FALSE),"Y","N")</f>
        <v>N</v>
      </c>
      <c r="X32" s="248">
        <f t="shared" si="6"/>
        <v>1</v>
      </c>
      <c r="Y32" s="248">
        <f t="shared" si="7"/>
        <v>23.298100000000002</v>
      </c>
      <c r="Z32" s="248">
        <f t="shared" si="8"/>
        <v>1.61E-2</v>
      </c>
      <c r="AA32" s="248">
        <f t="shared" si="9"/>
        <v>23.282</v>
      </c>
      <c r="AB32" s="234" t="e">
        <f>VLOOKUP(A32,Enforcements!$C$7:$K$9,8,0)</f>
        <v>#N/A</v>
      </c>
      <c r="AC32" s="233" t="e">
        <f>VLOOKUP(A32,Enforcements!$C$7:$E$9,3,0)</f>
        <v>#N/A</v>
      </c>
      <c r="AD32" s="244">
        <f t="shared" si="10"/>
        <v>120</v>
      </c>
      <c r="AE32" s="236" t="str">
        <f t="shared" si="11"/>
        <v>aws s3 cp s3://rtdc.mdm.uploadarchive.raw/RTDC4043/ "%USERPROFILE%\AppData\Local\Temp\OnboardLogs"\RTDC4043\2017-11-27 --exclude "*" --recursive --include "*20171127*" &amp; "%USERPROFILE%\Documents\GitHub\mrs-test-scripts\Headless Mode &amp; Sideloading\WalkAndUnGZ.bat" "%USERPROFILE%\AppData\Local\Temp\OnboardLogs"\RTDC4043\2017-11-27 &amp; aws s3 cp s3://rtdc.mdm.uploadarchive.raw/RTDC4043/ "%USERPROFILE%\AppData\Local\Temp\OnboardLogs"\RTDC4043\2017-11-28 --exclude "*" --recursive --include "*20171128*" &amp; "%USERPROFILE%\Documents\GitHub\mrs-test-scripts\Headless Mode &amp; Sideloading\WalkAndUnGZ.bat" "%USERPROFILE%\AppData\Local\Temp\OnboardLogs"\RTDC4043\2017-11-28</v>
      </c>
      <c r="AF32" s="235" t="str">
        <f t="shared" si="12"/>
        <v>"C:\Program Files (x86)\AstroGrep\AstroGrep.exe" /e /r /s /spath="%USERPROFILE%\AppData\Local\Temp\OnboardLogs" /stypes="app*4043*20171127*" /stext=" 14:.+((SYSTEM_STATE.+slice.+state.+changed )|(ment ac)|(multiple cpu faults)|(system.+state.+changed )|(\[timeout)|(PRM\|1\|D)|(kpr)|(kdp)|(train st.+moving)|(\|lc)|(penalty))"</v>
      </c>
      <c r="AG32" s="245" t="str">
        <f t="shared" si="13"/>
        <v>EC</v>
      </c>
      <c r="AH32" s="237" t="str">
        <f t="shared" si="19"/>
        <v>"%USERPROFILE%\Documents\GitHub\eaglep3\Utilities\RefineRTDCRunTimes.py" --tripid 120-27 --locoid 4043 --swversion DE.1.0.9.0 --startMP 204:232981 --initTime 2017-11-27T06:44:01 --startdatetime 2017-11-27T06:57:18 --delay 143 --endMP 204:161 --enddatetime 2017-11-27T07:37:25 --enforcementcount 0 &gt;&gt;%USERPROFILE%\Documents\GitHub\eaglep3-reporting\EC\2017-11-27-refined-times.txt</v>
      </c>
      <c r="AI32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{"issue":{"subject":"","project_id":79,"tracker_id":40,"status_id":1,"priority_id":2,"assigned_to_id":338,"start_date":"2017-11-27","description":"","custom_fields":[{"id":1,"name":"Subdivision","value":"EC"},{"id":4,"name":"Milepost","value":"0.0161"},{"id":17,"name":"Train ID","value":"120-27"},{"id":16,"name":"Locomotive ID","value":"4043"},{"id":130,"name":"Impact","value":""},{"id":150,"name":"Time of Event (Mountain Time)","value":"07:37:25"},{"id":151,"name":"Denver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4"/>
      <c r="AK32" s="232"/>
      <c r="AL32" s="232"/>
      <c r="AM32" s="241" t="str">
        <f t="shared" si="21"/>
        <v>start /low /b %USERPROFILE%\Documents\GitHub\eaglep3\Utilities\DownloadLogsFromS3.py --loco 4043 --day 2017-11-27</v>
      </c>
      <c r="AN32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14:37:25"},{"id":29,"name":"Sharepoint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1" t="str">
        <f t="shared" si="23"/>
        <v>https://d0f6bd738d7f1b3e5a7ca70fe4ff75f0.us-east-1.aws.found.io/app/kibana#/discover/Steve-Slow-Train-Analysis-(2080s-and-2083s)?_g=(refreshInterval:(display:Off,pause:!f,section:0,value:0),time:(from:'2017-11-27T05:44:01-0700',mode:absolute,to:'2017-11-27T08:37:25-0700'))&amp;_a=(columns:!('Message%20ID',Summary),filters:!(),index:'emp_*',interval:auto,query:(query_string:(analyze_wildcard:!t,query:'%22rtdc.l.rtdc.4043%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30" t="s">
        <v>642</v>
      </c>
      <c r="B33" s="226">
        <v>4026</v>
      </c>
      <c r="C33" s="228" t="s">
        <v>192</v>
      </c>
      <c r="D33" s="228" t="s">
        <v>481</v>
      </c>
      <c r="E33" s="227">
        <v>43066.254652777781</v>
      </c>
      <c r="F33" s="227">
        <v>43066.260659722226</v>
      </c>
      <c r="G33" s="226">
        <v>66</v>
      </c>
      <c r="H33" s="228" t="s">
        <v>439</v>
      </c>
      <c r="I33" s="227">
        <v>43066.284618055557</v>
      </c>
      <c r="J33" s="226">
        <v>0</v>
      </c>
      <c r="K33" s="238" t="str">
        <f t="shared" si="0"/>
        <v>4025/4026</v>
      </c>
      <c r="L33" s="246" t="str">
        <f>VLOOKUP(A33,'Trips&amp;Operators'!$C$1:$G$99911,5,FALSE)</f>
        <v>BEAM ROSS</v>
      </c>
      <c r="M33" s="225">
        <f t="shared" si="1"/>
        <v>2.3958333331393078E-2</v>
      </c>
      <c r="N33" s="226">
        <f t="shared" si="2"/>
        <v>34.499999997206032</v>
      </c>
      <c r="O33" s="226"/>
      <c r="P33" s="226"/>
      <c r="Q33" s="229"/>
      <c r="R33" s="243"/>
      <c r="S33" s="250">
        <f t="shared" si="3"/>
        <v>1</v>
      </c>
      <c r="T33" s="243" t="str">
        <f t="shared" si="4"/>
        <v>NorthBound</v>
      </c>
      <c r="U33" s="24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9" t="str">
        <f t="shared" si="5"/>
        <v>https://d0f6bd738d7f1b3e5a7ca70fe4ff75f0.us-east-1.aws.found.io/app/kibana#/discover/Steve-Slow-Train-Analysis-(2080s-and-2083s)?_g=(refreshInterval:(display:Off,pause:!f,section:0,value:0),time:(from:'2017-11-27T05:06:42-0700',mode:absolute,to:'2017-11-27T07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3" s="248" t="str">
        <f>IF(AA33&lt;VLOOKUP(AG33,Variables!$AC$3:$AD$8,2,FALSE),"Y","N")</f>
        <v>N</v>
      </c>
      <c r="X33" s="248">
        <f t="shared" si="6"/>
        <v>1</v>
      </c>
      <c r="Y33" s="248">
        <f t="shared" si="7"/>
        <v>4.82E-2</v>
      </c>
      <c r="Z33" s="248">
        <f t="shared" si="8"/>
        <v>23.329499999999999</v>
      </c>
      <c r="AA33" s="248">
        <f t="shared" si="9"/>
        <v>23.281299999999998</v>
      </c>
      <c r="AB33" s="234" t="e">
        <f>VLOOKUP(A33,Enforcements!$C$7:$K$9,8,0)</f>
        <v>#N/A</v>
      </c>
      <c r="AC33" s="233" t="e">
        <f>VLOOKUP(A33,Enforcements!$C$7:$E$9,3,0)</f>
        <v>#N/A</v>
      </c>
      <c r="AD33" s="244">
        <f t="shared" si="10"/>
        <v>121</v>
      </c>
      <c r="AE33" s="236" t="str">
        <f t="shared" si="11"/>
        <v>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 &amp; aws s3 cp s3://rtdc.mdm.uploadarchive.raw/RTDC4026/ "%USERPROFILE%\AppData\Local\Temp\OnboardLogs"\RTDC4026\2017-11-28 --exclude "*" --recursive --include "*20171128*" &amp; "%USERPROFILE%\Documents\GitHub\mrs-test-scripts\Headless Mode &amp; Sideloading\WalkAndUnGZ.bat" "%USERPROFILE%\AppData\Local\Temp\OnboardLogs"\RTDC4026\2017-11-28</v>
      </c>
      <c r="AF33" s="235" t="str">
        <f t="shared" si="12"/>
        <v>"C:\Program Files (x86)\AstroGrep\AstroGrep.exe" /e /r /s /spath="%USERPROFILE%\AppData\Local\Temp\OnboardLogs" /stypes="app*4026*20171127*" /stext=" 13:.+((SYSTEM_STATE.+slice.+state.+changed )|(ment ac)|(multiple cpu faults)|(system.+state.+changed )|(\[timeout)|(PRM\|1\|D)|(kpr)|(kdp)|(train st.+moving)|(\|lc)|(penalty))"</v>
      </c>
      <c r="AG33" s="245" t="str">
        <f t="shared" si="13"/>
        <v>EC</v>
      </c>
      <c r="AH33" s="237" t="str">
        <f t="shared" si="19"/>
        <v>"%USERPROFILE%\Documents\GitHub\eaglep3\Utilities\RefineRTDCRunTimes.py" --tripid 121-27 --locoid 4026 --swversion DE.1.0.9.0 --startMP 204:482 --initTime 2017-11-27T06:06:42 --startdatetime 2017-11-27T06:15:21 --delay 66 --endMP 204:233295 --enddatetime 2017-11-27T06:49:51 --enforcementcount 0 &gt;&gt;%USERPROFILE%\Documents\GitHub\eaglep3-reporting\EC\2017-11-27-refined-times.txt</v>
      </c>
      <c r="AI33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{"issue":{"subject":"","project_id":79,"tracker_id":40,"status_id":1,"priority_id":2,"assigned_to_id":338,"start_date":"2017-11-27","description":"","custom_fields":[{"id":1,"name":"Subdivision","value":"EC"},{"id":4,"name":"Milepost","value":"23.3295"},{"id":17,"name":"Train ID","value":"121-27"},{"id":16,"name":"Locomotive ID","value":"4026"},{"id":130,"name":"Impact","value":""},{"id":150,"name":"Time of Event (Mountain Time)","value":"06:49:51"},{"id":151,"name":"Denver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4"/>
      <c r="AK33" s="232"/>
      <c r="AL33" s="232"/>
      <c r="AM33" s="241" t="str">
        <f t="shared" si="21"/>
        <v>start /low /b %USERPROFILE%\Documents\GitHub\eaglep3\Utilities\DownloadLogsFromS3.py --loco 4026 --day 2017-11-27</v>
      </c>
      <c r="AN33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13:49:51"},{"id":29,"name":"Sharepoint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1" t="str">
        <f t="shared" si="23"/>
        <v>https://d0f6bd738d7f1b3e5a7ca70fe4ff75f0.us-east-1.aws.found.io/app/kibana#/discover/Steve-Slow-Train-Analysis-(2080s-and-2083s)?_g=(refreshInterval:(display:Off,pause:!f,section:0,value:0),time:(from:'2017-11-27T05:06:42-0700',mode:absolute,to:'2017-11-27T07:49:51-0700'))&amp;_a=(columns:!('Message%20ID',Summary),filters:!(),index:'emp_*',interval:auto,query:(query_string:(analyze_wildcard:!t,query:'%22rtdc.l.rtdc.4026%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30" t="s">
        <v>649</v>
      </c>
      <c r="B34" s="226">
        <v>4025</v>
      </c>
      <c r="C34" s="228" t="s">
        <v>192</v>
      </c>
      <c r="D34" s="228" t="s">
        <v>535</v>
      </c>
      <c r="E34" s="227">
        <v>43066.285740740743</v>
      </c>
      <c r="F34" s="227">
        <v>43066.30059027778</v>
      </c>
      <c r="G34" s="226">
        <v>65</v>
      </c>
      <c r="H34" s="228" t="s">
        <v>472</v>
      </c>
      <c r="I34" s="227">
        <v>43066.326504629629</v>
      </c>
      <c r="J34" s="226">
        <v>0</v>
      </c>
      <c r="K34" s="238" t="str">
        <f t="shared" si="0"/>
        <v>4025/4026</v>
      </c>
      <c r="L34" s="246" t="str">
        <f>VLOOKUP(A34,'Trips&amp;Operators'!$C$1:$G$99911,5,FALSE)</f>
        <v>BEAM ROSS</v>
      </c>
      <c r="M34" s="225">
        <f t="shared" si="1"/>
        <v>2.5914351848769002E-2</v>
      </c>
      <c r="N34" s="226">
        <f t="shared" si="2"/>
        <v>37.316666662227362</v>
      </c>
      <c r="O34" s="226"/>
      <c r="P34" s="226"/>
      <c r="Q34" s="229"/>
      <c r="R34" s="243"/>
      <c r="S34" s="250">
        <f t="shared" si="3"/>
        <v>1</v>
      </c>
      <c r="T34" s="243" t="str">
        <f t="shared" si="4"/>
        <v>Southbound</v>
      </c>
      <c r="U34" s="24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9" t="str">
        <f t="shared" si="5"/>
        <v>https://d0f6bd738d7f1b3e5a7ca70fe4ff75f0.us-east-1.aws.found.io/app/kibana#/discover/Steve-Slow-Train-Analysis-(2080s-and-2083s)?_g=(refreshInterval:(display:Off,pause:!f,section:0,value:0),time:(from:'2017-11-27T05:51:28-0700',mode:absolute,to:'2017-11-27T08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4" s="248" t="str">
        <f>IF(AA34&lt;VLOOKUP(AG34,Variables!$AC$3:$AD$8,2,FALSE),"Y","N")</f>
        <v>N</v>
      </c>
      <c r="X34" s="248">
        <f t="shared" si="6"/>
        <v>1</v>
      </c>
      <c r="Y34" s="248">
        <f t="shared" si="7"/>
        <v>23.298400000000001</v>
      </c>
      <c r="Z34" s="248">
        <f t="shared" si="8"/>
        <v>1.6500000000000001E-2</v>
      </c>
      <c r="AA34" s="248">
        <f t="shared" si="9"/>
        <v>23.2819</v>
      </c>
      <c r="AB34" s="234" t="e">
        <f>VLOOKUP(A34,Enforcements!$C$7:$K$9,8,0)</f>
        <v>#N/A</v>
      </c>
      <c r="AC34" s="233" t="e">
        <f>VLOOKUP(A34,Enforcements!$C$7:$E$9,3,0)</f>
        <v>#N/A</v>
      </c>
      <c r="AD34" s="244">
        <f t="shared" si="10"/>
        <v>122</v>
      </c>
      <c r="AE34" s="236" t="str">
        <f t="shared" si="11"/>
        <v>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 &amp; aws s3 cp s3://rtdc.mdm.uploadarchive.raw/RTDC4025/ "%USERPROFILE%\AppData\Local\Temp\OnboardLogs"\RTDC4025\2017-11-28 --exclude "*" --recursive --include "*20171128*" &amp; "%USERPROFILE%\Documents\GitHub\mrs-test-scripts\Headless Mode &amp; Sideloading\WalkAndUnGZ.bat" "%USERPROFILE%\AppData\Local\Temp\OnboardLogs"\RTDC4025\2017-11-28</v>
      </c>
      <c r="AF34" s="235" t="str">
        <f t="shared" si="12"/>
        <v>"C:\Program Files (x86)\AstroGrep\AstroGrep.exe" /e /r /s /spath="%USERPROFILE%\AppData\Local\Temp\OnboardLogs" /stypes="app*4025*20171127*" /stext=" 14:.+((SYSTEM_STATE.+slice.+state.+changed )|(ment ac)|(multiple cpu faults)|(system.+state.+changed )|(\[timeout)|(PRM\|1\|D)|(kpr)|(kdp)|(train st.+moving)|(\|lc)|(penalty))"</v>
      </c>
      <c r="AG34" s="245" t="str">
        <f t="shared" si="13"/>
        <v>EC</v>
      </c>
      <c r="AH34" s="237" t="str">
        <f t="shared" si="19"/>
        <v>"%USERPROFILE%\Documents\GitHub\eaglep3\Utilities\RefineRTDCRunTimes.py" --tripid 122-27 --locoid 4025 --swversion DE.1.0.9.0 --startMP 204:232984 --initTime 2017-11-27T06:51:28 --startdatetime 2017-11-27T07:12:51 --delay 65 --endMP 204:165 --enddatetime 2017-11-27T07:50:10 --enforcementcount 0 &gt;&gt;%USERPROFILE%\Documents\GitHub\eaglep3-reporting\EC\2017-11-27-refined-times.txt</v>
      </c>
      <c r="AI34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{"issue":{"subject":"","project_id":79,"tracker_id":40,"status_id":1,"priority_id":2,"assigned_to_id":338,"start_date":"2017-11-27","description":"","custom_fields":[{"id":1,"name":"Subdivision","value":"EC"},{"id":4,"name":"Milepost","value":"0.0165"},{"id":17,"name":"Train ID","value":"122-27"},{"id":16,"name":"Locomotive ID","value":"4025"},{"id":130,"name":"Impact","value":""},{"id":150,"name":"Time of Event (Mountain Time)","value":"07:50:10"},{"id":151,"name":"Denver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4"/>
      <c r="AK34" s="232"/>
      <c r="AL34" s="232"/>
      <c r="AM34" s="241" t="str">
        <f t="shared" si="21"/>
        <v>start /low /b %USERPROFILE%\Documents\GitHub\eaglep3\Utilities\DownloadLogsFromS3.py --loco 4025 --day 2017-11-27</v>
      </c>
      <c r="AN34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14:50:10"},{"id":29,"name":"Sharepoint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1" t="str">
        <f t="shared" si="23"/>
        <v>https://d0f6bd738d7f1b3e5a7ca70fe4ff75f0.us-east-1.aws.found.io/app/kibana#/discover/Steve-Slow-Train-Analysis-(2080s-and-2083s)?_g=(refreshInterval:(display:Off,pause:!f,section:0,value:0),time:(from:'2017-11-27T05:51:28-0700',mode:absolute,to:'2017-11-27T08:50:10-0700'))&amp;_a=(columns:!('Message%20ID',Summary),filters:!(),index:'emp_*',interval:auto,query:(query_string:(analyze_wildcard:!t,query:'%22rtdc.l.rtdc.4025%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30" t="s">
        <v>644</v>
      </c>
      <c r="B35" s="226">
        <v>4014</v>
      </c>
      <c r="C35" s="228" t="s">
        <v>192</v>
      </c>
      <c r="D35" s="228" t="s">
        <v>842</v>
      </c>
      <c r="E35" s="227">
        <v>43066.266400462962</v>
      </c>
      <c r="F35" s="227">
        <v>43066.271527777775</v>
      </c>
      <c r="G35" s="226">
        <v>52</v>
      </c>
      <c r="H35" s="228" t="s">
        <v>843</v>
      </c>
      <c r="I35" s="227">
        <v>43066.296793981484</v>
      </c>
      <c r="J35" s="226">
        <v>0</v>
      </c>
      <c r="K35" s="238" t="str">
        <f t="shared" si="0"/>
        <v>4013/4014</v>
      </c>
      <c r="L35" s="246" t="str">
        <f>VLOOKUP(A35,'Trips&amp;Operators'!$C$1:$G$99911,5,FALSE)</f>
        <v>MAELZER KURT</v>
      </c>
      <c r="M35" s="225">
        <f t="shared" si="1"/>
        <v>2.5266203709179536E-2</v>
      </c>
      <c r="N35" s="226">
        <f t="shared" si="2"/>
        <v>36.383333341218531</v>
      </c>
      <c r="O35" s="226"/>
      <c r="P35" s="226"/>
      <c r="Q35" s="229"/>
      <c r="R35" s="243"/>
      <c r="S35" s="250">
        <f t="shared" si="3"/>
        <v>1</v>
      </c>
      <c r="T35" s="243" t="str">
        <f t="shared" si="4"/>
        <v>NorthBound</v>
      </c>
      <c r="U35" s="24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9" t="str">
        <f t="shared" si="5"/>
        <v>https://d0f6bd738d7f1b3e5a7ca70fe4ff75f0.us-east-1.aws.found.io/app/kibana#/discover/Steve-Slow-Train-Analysis-(2080s-and-2083s)?_g=(refreshInterval:(display:Off,pause:!f,section:0,value:0),time:(from:'2017-11-27T05:23:37-0700',mode:absolute,to:'2017-11-27T08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5" s="248" t="str">
        <f>IF(AA35&lt;VLOOKUP(AG35,Variables!$AC$3:$AD$8,2,FALSE),"Y","N")</f>
        <v>N</v>
      </c>
      <c r="X35" s="248">
        <f t="shared" si="6"/>
        <v>1</v>
      </c>
      <c r="Y35" s="248">
        <f t="shared" si="7"/>
        <v>4.7100000000000003E-2</v>
      </c>
      <c r="Z35" s="248">
        <f t="shared" si="8"/>
        <v>23.333400000000001</v>
      </c>
      <c r="AA35" s="248">
        <f t="shared" si="9"/>
        <v>23.286300000000001</v>
      </c>
      <c r="AB35" s="234" t="e">
        <f>VLOOKUP(A35,Enforcements!$C$7:$K$9,8,0)</f>
        <v>#N/A</v>
      </c>
      <c r="AC35" s="233" t="e">
        <f>VLOOKUP(A35,Enforcements!$C$7:$E$9,3,0)</f>
        <v>#N/A</v>
      </c>
      <c r="AD35" s="244">
        <f t="shared" si="10"/>
        <v>123</v>
      </c>
      <c r="AE35" s="236" t="str">
        <f t="shared" si="11"/>
        <v>aws s3 cp s3://rtdc.mdm.uploadarchive.raw/RTDC4014/ "%USERPROFILE%\AppData\Local\Temp\OnboardLogs"\RTDC4014\2017-11-27 --exclude "*" --recursive --include "*20171127*" &amp; "%USERPROFILE%\Documents\GitHub\mrs-test-scripts\Headless Mode &amp; Sideloading\WalkAndUnGZ.bat" "%USERPROFILE%\AppData\Local\Temp\OnboardLogs"\RTDC4014\2017-11-27 &amp; aws s3 cp s3://rtdc.mdm.uploadarchive.raw/RTDC4014/ "%USERPROFILE%\AppData\Local\Temp\OnboardLogs"\RTDC4014\2017-11-28 --exclude "*" --recursive --include "*20171128*" &amp; "%USERPROFILE%\Documents\GitHub\mrs-test-scripts\Headless Mode &amp; Sideloading\WalkAndUnGZ.bat" "%USERPROFILE%\AppData\Local\Temp\OnboardLogs"\RTDC4014\2017-11-28</v>
      </c>
      <c r="AF35" s="235" t="str">
        <f t="shared" si="12"/>
        <v>"C:\Program Files (x86)\AstroGrep\AstroGrep.exe" /e /r /s /spath="%USERPROFILE%\AppData\Local\Temp\OnboardLogs" /stypes="app*4014*20171127*" /stext=" 14:.+((SYSTEM_STATE.+slice.+state.+changed )|(ment ac)|(multiple cpu faults)|(system.+state.+changed )|(\[timeout)|(PRM\|1\|D)|(kpr)|(kdp)|(train st.+moving)|(\|lc)|(penalty))"</v>
      </c>
      <c r="AG35" s="245" t="str">
        <f t="shared" si="13"/>
        <v>EC</v>
      </c>
      <c r="AH35" s="237" t="str">
        <f t="shared" si="19"/>
        <v>"%USERPROFILE%\Documents\GitHub\eaglep3\Utilities\RefineRTDCRunTimes.py" --tripid 123-27 --locoid 4014 --swversion DE.1.0.9.0 --startMP 204:471 --initTime 2017-11-27T06:23:37 --startdatetime 2017-11-27T06:31:00 --delay 52 --endMP 204:233334 --enddatetime 2017-11-27T07:07:23 --enforcementcount 0 &gt;&gt;%USERPROFILE%\Documents\GitHub\eaglep3-reporting\EC\2017-11-27-refined-times.txt</v>
      </c>
      <c r="AI35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{"issue":{"subject":"","project_id":79,"tracker_id":40,"status_id":1,"priority_id":2,"assigned_to_id":338,"start_date":"2017-11-27","description":"","custom_fields":[{"id":1,"name":"Subdivision","value":"EC"},{"id":4,"name":"Milepost","value":"23.3334"},{"id":17,"name":"Train ID","value":"123-27"},{"id":16,"name":"Locomotive ID","value":"4014"},{"id":130,"name":"Impact","value":""},{"id":150,"name":"Time of Event (Mountain Time)","value":"07:07:23"},{"id":151,"name":"Denver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4"/>
      <c r="AK35" s="232"/>
      <c r="AL35" s="232"/>
      <c r="AM35" s="241" t="str">
        <f t="shared" si="21"/>
        <v>start /low /b %USERPROFILE%\Documents\GitHub\eaglep3\Utilities\DownloadLogsFromS3.py --loco 4014 --day 2017-11-27</v>
      </c>
      <c r="AN35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14:07:23"},{"id":29,"name":"Sharepoint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1" t="str">
        <f t="shared" si="23"/>
        <v>https://d0f6bd738d7f1b3e5a7ca70fe4ff75f0.us-east-1.aws.found.io/app/kibana#/discover/Steve-Slow-Train-Analysis-(2080s-and-2083s)?_g=(refreshInterval:(display:Off,pause:!f,section:0,value:0),time:(from:'2017-11-27T05:23:37-0700',mode:absolute,to:'2017-11-27T08:07:23-0700'))&amp;_a=(columns:!('Message%20ID',Summary),filters:!(),index:'emp_*',interval:auto,query:(query_string:(analyze_wildcard:!t,query:'%22rtdc.l.rtdc.4014%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30" t="s">
        <v>654</v>
      </c>
      <c r="B36" s="226">
        <v>4013</v>
      </c>
      <c r="C36" s="228" t="s">
        <v>192</v>
      </c>
      <c r="D36" s="228" t="s">
        <v>844</v>
      </c>
      <c r="E36" s="227">
        <v>43066.3049537037</v>
      </c>
      <c r="F36" s="227">
        <v>43066.310682870368</v>
      </c>
      <c r="G36" s="226">
        <v>63</v>
      </c>
      <c r="H36" s="228" t="s">
        <v>501</v>
      </c>
      <c r="I36" s="227">
        <v>43066.336770833332</v>
      </c>
      <c r="J36" s="226">
        <v>0</v>
      </c>
      <c r="K36" s="238" t="str">
        <f t="shared" si="0"/>
        <v>4013/4014</v>
      </c>
      <c r="L36" s="246" t="str">
        <f>VLOOKUP(A36,'Trips&amp;Operators'!$C$1:$G$99911,5,FALSE)</f>
        <v>MAELZER KURT</v>
      </c>
      <c r="M36" s="225">
        <f t="shared" si="1"/>
        <v>2.6087962964083999E-2</v>
      </c>
      <c r="N36" s="226">
        <f t="shared" si="2"/>
        <v>37.566666668280959</v>
      </c>
      <c r="O36" s="226"/>
      <c r="P36" s="226"/>
      <c r="Q36" s="229"/>
      <c r="R36" s="243"/>
      <c r="S36" s="250">
        <f t="shared" si="3"/>
        <v>1</v>
      </c>
      <c r="T36" s="243" t="str">
        <f t="shared" si="4"/>
        <v>Southbound</v>
      </c>
      <c r="U36" s="24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9" t="str">
        <f t="shared" si="5"/>
        <v>https://d0f6bd738d7f1b3e5a7ca70fe4ff75f0.us-east-1.aws.found.io/app/kibana#/discover/Steve-Slow-Train-Analysis-(2080s-and-2083s)?_g=(refreshInterval:(display:Off,pause:!f,section:0,value:0),time:(from:'2017-11-27T06:19:08-0700',mode:absolute,to:'2017-11-27T09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6" s="248" t="str">
        <f>IF(AA36&lt;VLOOKUP(AG36,Variables!$AC$3:$AD$8,2,FALSE),"Y","N")</f>
        <v>N</v>
      </c>
      <c r="X36" s="248">
        <f t="shared" si="6"/>
        <v>1</v>
      </c>
      <c r="Y36" s="248">
        <f t="shared" si="7"/>
        <v>23.3</v>
      </c>
      <c r="Z36" s="248">
        <f t="shared" si="8"/>
        <v>1.49E-2</v>
      </c>
      <c r="AA36" s="248">
        <f t="shared" si="9"/>
        <v>23.2851</v>
      </c>
      <c r="AB36" s="234" t="e">
        <f>VLOOKUP(A36,Enforcements!$C$7:$K$9,8,0)</f>
        <v>#N/A</v>
      </c>
      <c r="AC36" s="233" t="e">
        <f>VLOOKUP(A36,Enforcements!$C$7:$E$9,3,0)</f>
        <v>#N/A</v>
      </c>
      <c r="AD36" s="244">
        <f t="shared" si="10"/>
        <v>124</v>
      </c>
      <c r="AE36" s="236" t="str">
        <f t="shared" si="11"/>
        <v>aws s3 cp s3://rtdc.mdm.uploadarchive.raw/RTDC4013/ "%USERPROFILE%\AppData\Local\Temp\OnboardLogs"\RTDC4013\2017-11-27 --exclude "*" --recursive --include "*20171127*" &amp; "%USERPROFILE%\Documents\GitHub\mrs-test-scripts\Headless Mode &amp; Sideloading\WalkAndUnGZ.bat" "%USERPROFILE%\AppData\Local\Temp\OnboardLogs"\RTDC4013\2017-11-27 &amp; aws s3 cp s3://rtdc.mdm.uploadarchive.raw/RTDC4013/ "%USERPROFILE%\AppData\Local\Temp\OnboardLogs"\RTDC4013\2017-11-28 --exclude "*" --recursive --include "*20171128*" &amp; "%USERPROFILE%\Documents\GitHub\mrs-test-scripts\Headless Mode &amp; Sideloading\WalkAndUnGZ.bat" "%USERPROFILE%\AppData\Local\Temp\OnboardLogs"\RTDC4013\2017-11-28</v>
      </c>
      <c r="AF36" s="235" t="str">
        <f t="shared" si="12"/>
        <v>"C:\Program Files (x86)\AstroGrep\AstroGrep.exe" /e /r /s /spath="%USERPROFILE%\AppData\Local\Temp\OnboardLogs" /stypes="app*4013*20171127*" /stext=" 15:.+((SYSTEM_STATE.+slice.+state.+changed )|(ment ac)|(multiple cpu faults)|(system.+state.+changed )|(\[timeout)|(PRM\|1\|D)|(kpr)|(kdp)|(train st.+moving)|(\|lc)|(penalty))"</v>
      </c>
      <c r="AG36" s="245" t="str">
        <f t="shared" si="13"/>
        <v>EC</v>
      </c>
      <c r="AH36" s="237" t="str">
        <f t="shared" si="19"/>
        <v>"%USERPROFILE%\Documents\GitHub\eaglep3\Utilities\RefineRTDCRunTimes.py" --tripid 124-27 --locoid 4013 --swversion DE.1.0.9.0 --startMP 204:233000 --initTime 2017-11-27T07:19:08 --startdatetime 2017-11-27T07:27:23 --delay 63 --endMP 204:149 --enddatetime 2017-11-27T08:04:57 --enforcementcount 0 &gt;&gt;%USERPROFILE%\Documents\GitHub\eaglep3-reporting\EC\2017-11-27-refined-times.txt</v>
      </c>
      <c r="AI36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{"issue":{"subject":"","project_id":79,"tracker_id":40,"status_id":1,"priority_id":2,"assigned_to_id":338,"start_date":"2017-11-27","description":"","custom_fields":[{"id":1,"name":"Subdivision","value":"EC"},{"id":4,"name":"Milepost","value":"0.0149"},{"id":17,"name":"Train ID","value":"124-27"},{"id":16,"name":"Locomotive ID","value":"4013"},{"id":130,"name":"Impact","value":""},{"id":150,"name":"Time of Event (Mountain Time)","value":"08:04:57"},{"id":151,"name":"Denver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4"/>
      <c r="AK36" s="232"/>
      <c r="AL36" s="232"/>
      <c r="AM36" s="241" t="str">
        <f t="shared" si="21"/>
        <v>start /low /b %USERPROFILE%\Documents\GitHub\eaglep3\Utilities\DownloadLogsFromS3.py --loco 4013 --day 2017-11-27</v>
      </c>
      <c r="AN36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15:04:57"},{"id":29,"name":"Sharepoint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1" t="str">
        <f t="shared" si="23"/>
        <v>https://d0f6bd738d7f1b3e5a7ca70fe4ff75f0.us-east-1.aws.found.io/app/kibana#/discover/Steve-Slow-Train-Analysis-(2080s-and-2083s)?_g=(refreshInterval:(display:Off,pause:!f,section:0,value:0),time:(from:'2017-11-27T06:19:08-0700',mode:absolute,to:'2017-11-27T09:04:57-0700'))&amp;_a=(columns:!('Message%20ID',Summary),filters:!(),index:'emp_*',interval:auto,query:(query_string:(analyze_wildcard:!t,query:'%22rtdc.l.rtdc.4013%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30" t="s">
        <v>577</v>
      </c>
      <c r="B37" s="226">
        <v>4018</v>
      </c>
      <c r="C37" s="228" t="s">
        <v>192</v>
      </c>
      <c r="D37" s="228" t="s">
        <v>480</v>
      </c>
      <c r="E37" s="227">
        <v>43066.278749999998</v>
      </c>
      <c r="F37" s="227">
        <v>43066.281481481485</v>
      </c>
      <c r="G37" s="226">
        <v>78</v>
      </c>
      <c r="H37" s="228" t="s">
        <v>544</v>
      </c>
      <c r="I37" s="227">
        <v>43066.305185185185</v>
      </c>
      <c r="J37" s="226">
        <v>0</v>
      </c>
      <c r="K37" s="238" t="str">
        <f t="shared" si="0"/>
        <v>4017/4018</v>
      </c>
      <c r="L37" s="246" t="str">
        <f>VLOOKUP(A37,'Trips&amp;Operators'!$C$1:$G$99911,5,FALSE)</f>
        <v>ROCHA YAOTL</v>
      </c>
      <c r="M37" s="225">
        <f t="shared" si="1"/>
        <v>2.3703703700448386E-2</v>
      </c>
      <c r="N37" s="226">
        <f t="shared" si="2"/>
        <v>34.133333328645676</v>
      </c>
      <c r="O37" s="226"/>
      <c r="P37" s="226"/>
      <c r="Q37" s="229"/>
      <c r="R37" s="243"/>
      <c r="S37" s="250">
        <f t="shared" si="3"/>
        <v>1</v>
      </c>
      <c r="T37" s="243" t="str">
        <f t="shared" si="4"/>
        <v>NorthBound</v>
      </c>
      <c r="U37" s="24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9" t="str">
        <f t="shared" si="5"/>
        <v>https://d0f6bd738d7f1b3e5a7ca70fe4ff75f0.us-east-1.aws.found.io/app/kibana#/discover/Steve-Slow-Train-Analysis-(2080s-and-2083s)?_g=(refreshInterval:(display:Off,pause:!f,section:0,value:0),time:(from:'2017-11-27T05:41:24-0700',mode:absolute,to:'2017-11-27T08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7" s="248" t="str">
        <f>IF(AA37&lt;VLOOKUP(AG37,Variables!$AC$3:$AD$8,2,FALSE),"Y","N")</f>
        <v>N</v>
      </c>
      <c r="X37" s="248">
        <f t="shared" si="6"/>
        <v>1</v>
      </c>
      <c r="Y37" s="248">
        <f t="shared" si="7"/>
        <v>4.58E-2</v>
      </c>
      <c r="Z37" s="248">
        <f t="shared" si="8"/>
        <v>23.328800000000001</v>
      </c>
      <c r="AA37" s="248">
        <f t="shared" si="9"/>
        <v>23.283000000000001</v>
      </c>
      <c r="AB37" s="234" t="str">
        <f>VLOOKUP(A37,Enforcements!$C$7:$K$9,8,0)</f>
        <v>Bulletin (2)</v>
      </c>
      <c r="AC37" s="233" t="str">
        <f>VLOOKUP(A37,Enforcements!$C$7:$E$9,3,0)</f>
        <v>GRADE CROSSING</v>
      </c>
      <c r="AD37" s="244">
        <f t="shared" si="10"/>
        <v>125</v>
      </c>
      <c r="AE37" s="236" t="str">
        <f t="shared" si="11"/>
        <v>aws s3 cp s3://rtdc.mdm.uploadarchive.raw/RTDC4018/ "%USERPROFILE%\AppData\Local\Temp\OnboardLogs"\RTDC4018\2017-11-27 --exclude "*" --recursive --include "*20171127*" &amp; "%USERPROFILE%\Documents\GitHub\mrs-test-scripts\Headless Mode &amp; Sideloading\WalkAndUnGZ.bat" "%USERPROFILE%\AppData\Local\Temp\OnboardLogs"\RTDC4018\2017-11-27 &amp; aws s3 cp s3://rtdc.mdm.uploadarchive.raw/RTDC4018/ "%USERPROFILE%\AppData\Local\Temp\OnboardLogs"\RTDC4018\2017-11-28 --exclude "*" --recursive --include "*20171128*" &amp; "%USERPROFILE%\Documents\GitHub\mrs-test-scripts\Headless Mode &amp; Sideloading\WalkAndUnGZ.bat" "%USERPROFILE%\AppData\Local\Temp\OnboardLogs"\RTDC4018\2017-11-28</v>
      </c>
      <c r="AF37" s="235" t="str">
        <f t="shared" si="12"/>
        <v>"C:\Program Files (x86)\AstroGrep\AstroGrep.exe" /e /r /s /spath="%USERPROFILE%\AppData\Local\Temp\OnboardLogs" /stypes="app*4018*20171127*" /stext=" 14:.+((SYSTEM_STATE.+slice.+state.+changed )|(ment ac)|(multiple cpu faults)|(system.+state.+changed )|(\[timeout)|(PRM\|1\|D)|(kpr)|(kdp)|(train st.+moving)|(\|lc)|(penalty))"</v>
      </c>
      <c r="AG37" s="245" t="str">
        <f t="shared" si="13"/>
        <v>EC</v>
      </c>
      <c r="AH37" s="237" t="str">
        <f t="shared" si="19"/>
        <v>"%USERPROFILE%\Documents\GitHub\eaglep3\Utilities\RefineRTDCRunTimes.py" --tripid 125-27 --locoid 4018 --swversion DE.1.0.9.0 --startMP 204:458 --initTime 2017-11-27T06:41:24 --startdatetime 2017-11-27T06:45:20 --delay 78 --endMP 204:233288 --enddatetime 2017-11-27T07:19:28 --enforcementcount 0 &gt;&gt;%USERPROFILE%\Documents\GitHub\eaglep3-reporting\EC\2017-11-27-refined-times.txt</v>
      </c>
      <c r="AI37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{"issue":{"subject":"","project_id":79,"tracker_id":40,"status_id":1,"priority_id":2,"assigned_to_id":338,"start_date":"2017-11-27","description":"","custom_fields":[{"id":1,"name":"Subdivision","value":"EC"},{"id":4,"name":"Milepost","value":"23.3288"},{"id":17,"name":"Train ID","value":"125-27"},{"id":16,"name":"Locomotive ID","value":"4018"},{"id":130,"name":"Impact","value":""},{"id":150,"name":"Time of Event (Mountain Time)","value":"07:19:28"},{"id":151,"name":"Denver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4"/>
      <c r="AK37" s="232"/>
      <c r="AL37" s="232"/>
      <c r="AM37" s="241" t="str">
        <f t="shared" si="21"/>
        <v>start /low /b %USERPROFILE%\Documents\GitHub\eaglep3\Utilities\DownloadLogsFromS3.py --loco 4018 --day 2017-11-27</v>
      </c>
      <c r="AN37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14:19:28"},{"id":29,"name":"Sharepoint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1" t="str">
        <f t="shared" si="23"/>
        <v>https://d0f6bd738d7f1b3e5a7ca70fe4ff75f0.us-east-1.aws.found.io/app/kibana#/discover/Steve-Slow-Train-Analysis-(2080s-and-2083s)?_g=(refreshInterval:(display:Off,pause:!f,section:0,value:0),time:(from:'2017-11-27T05:41:24-0700',mode:absolute,to:'2017-11-27T08:19:28-0700'))&amp;_a=(columns:!('Message%20ID',Summary),filters:!(),index:'emp_*',interval:auto,query:(query_string:(analyze_wildcard:!t,query:'%22rtdc.l.rtdc.4018%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30" t="s">
        <v>659</v>
      </c>
      <c r="B38" s="226">
        <v>4017</v>
      </c>
      <c r="C38" s="228" t="s">
        <v>192</v>
      </c>
      <c r="D38" s="228" t="s">
        <v>845</v>
      </c>
      <c r="E38" s="227">
        <v>43066.319062499999</v>
      </c>
      <c r="F38" s="227">
        <v>43066.32099537037</v>
      </c>
      <c r="G38" s="226">
        <v>57</v>
      </c>
      <c r="H38" s="228" t="s">
        <v>846</v>
      </c>
      <c r="I38" s="227">
        <v>43066.347303240742</v>
      </c>
      <c r="J38" s="226">
        <v>0</v>
      </c>
      <c r="K38" s="238" t="str">
        <f t="shared" si="0"/>
        <v>4017/4018</v>
      </c>
      <c r="L38" s="246" t="str">
        <f>VLOOKUP(A38,'Trips&amp;Operators'!$C$1:$G$99911,5,FALSE)</f>
        <v>ROCHA YAOTL</v>
      </c>
      <c r="M38" s="225">
        <f t="shared" si="1"/>
        <v>2.6307870371965691E-2</v>
      </c>
      <c r="N38" s="226">
        <f t="shared" si="2"/>
        <v>37.883333335630596</v>
      </c>
      <c r="O38" s="226"/>
      <c r="P38" s="226"/>
      <c r="Q38" s="229"/>
      <c r="R38" s="243"/>
      <c r="S38" s="250">
        <f t="shared" si="3"/>
        <v>1</v>
      </c>
      <c r="T38" s="243" t="str">
        <f t="shared" si="4"/>
        <v>Southbound</v>
      </c>
      <c r="U38" s="24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9" t="str">
        <f t="shared" si="5"/>
        <v>https://d0f6bd738d7f1b3e5a7ca70fe4ff75f0.us-east-1.aws.found.io/app/kibana#/discover/Steve-Slow-Train-Analysis-(2080s-and-2083s)?_g=(refreshInterval:(display:Off,pause:!f,section:0,value:0),time:(from:'2017-11-27T06:39:27-0700',mode:absolute,to:'2017-11-27T09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8" s="248" t="str">
        <f>IF(AA38&lt;VLOOKUP(AG38,Variables!$AC$3:$AD$8,2,FALSE),"Y","N")</f>
        <v>N</v>
      </c>
      <c r="X38" s="248">
        <f t="shared" si="6"/>
        <v>1</v>
      </c>
      <c r="Y38" s="248">
        <f t="shared" si="7"/>
        <v>23.298200000000001</v>
      </c>
      <c r="Z38" s="248">
        <f t="shared" si="8"/>
        <v>1.43E-2</v>
      </c>
      <c r="AA38" s="248">
        <f t="shared" si="9"/>
        <v>23.283900000000003</v>
      </c>
      <c r="AB38" s="234" t="e">
        <f>VLOOKUP(A38,Enforcements!$C$7:$K$9,8,0)</f>
        <v>#N/A</v>
      </c>
      <c r="AC38" s="233" t="e">
        <f>VLOOKUP(A38,Enforcements!$C$7:$E$9,3,0)</f>
        <v>#N/A</v>
      </c>
      <c r="AD38" s="244">
        <f t="shared" si="10"/>
        <v>126</v>
      </c>
      <c r="AE38" s="236" t="str">
        <f t="shared" si="11"/>
        <v>aws s3 cp s3://rtdc.mdm.uploadarchive.raw/RTDC4017/ "%USERPROFILE%\AppData\Local\Temp\OnboardLogs"\RTDC4017\2017-11-27 --exclude "*" --recursive --include "*20171127*" &amp; "%USERPROFILE%\Documents\GitHub\mrs-test-scripts\Headless Mode &amp; Sideloading\WalkAndUnGZ.bat" "%USERPROFILE%\AppData\Local\Temp\OnboardLogs"\RTDC4017\2017-11-27 &amp; aws s3 cp s3://rtdc.mdm.uploadarchive.raw/RTDC4017/ "%USERPROFILE%\AppData\Local\Temp\OnboardLogs"\RTDC4017\2017-11-28 --exclude "*" --recursive --include "*20171128*" &amp; "%USERPROFILE%\Documents\GitHub\mrs-test-scripts\Headless Mode &amp; Sideloading\WalkAndUnGZ.bat" "%USERPROFILE%\AppData\Local\Temp\OnboardLogs"\RTDC4017\2017-11-28</v>
      </c>
      <c r="AF38" s="235" t="str">
        <f t="shared" si="12"/>
        <v>"C:\Program Files (x86)\AstroGrep\AstroGrep.exe" /e /r /s /spath="%USERPROFILE%\AppData\Local\Temp\OnboardLogs" /stypes="app*4017*20171127*" /stext=" 15:.+((SYSTEM_STATE.+slice.+state.+changed )|(ment ac)|(multiple cpu faults)|(system.+state.+changed )|(\[timeout)|(PRM\|1\|D)|(kpr)|(kdp)|(train st.+moving)|(\|lc)|(penalty))"</v>
      </c>
      <c r="AG38" s="245" t="str">
        <f t="shared" si="13"/>
        <v>EC</v>
      </c>
      <c r="AH38" s="237" t="str">
        <f t="shared" si="19"/>
        <v>"%USERPROFILE%\Documents\GitHub\eaglep3\Utilities\RefineRTDCRunTimes.py" --tripid 126-27 --locoid 4017 --swversion DE.1.0.9.0 --startMP 204:232982 --initTime 2017-11-27T07:39:27 --startdatetime 2017-11-27T07:42:14 --delay 57 --endMP 204:143 --enddatetime 2017-11-27T08:20:07 --enforcementcount 0 &gt;&gt;%USERPROFILE%\Documents\GitHub\eaglep3-reporting\EC\2017-11-27-refined-times.txt</v>
      </c>
      <c r="AI38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{"issue":{"subject":"","project_id":79,"tracker_id":40,"status_id":1,"priority_id":2,"assigned_to_id":338,"start_date":"2017-11-27","description":"","custom_fields":[{"id":1,"name":"Subdivision","value":"EC"},{"id":4,"name":"Milepost","value":"0.0143"},{"id":17,"name":"Train ID","value":"126-27"},{"id":16,"name":"Locomotive ID","value":"4017"},{"id":130,"name":"Impact","value":""},{"id":150,"name":"Time of Event (Mountain Time)","value":"08:20:07"},{"id":151,"name":"Denver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4"/>
      <c r="AK38" s="232"/>
      <c r="AL38" s="232"/>
      <c r="AM38" s="241" t="str">
        <f t="shared" si="21"/>
        <v>start /low /b %USERPROFILE%\Documents\GitHub\eaglep3\Utilities\DownloadLogsFromS3.py --loco 4017 --day 2017-11-27</v>
      </c>
      <c r="AN38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15:20:07"},{"id":29,"name":"Sharepoint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1" t="str">
        <f t="shared" si="23"/>
        <v>https://d0f6bd738d7f1b3e5a7ca70fe4ff75f0.us-east-1.aws.found.io/app/kibana#/discover/Steve-Slow-Train-Analysis-(2080s-and-2083s)?_g=(refreshInterval:(display:Off,pause:!f,section:0,value:0),time:(from:'2017-11-27T06:39:27-0700',mode:absolute,to:'2017-11-27T09:20:07-0700'))&amp;_a=(columns:!('Message%20ID',Summary),filters:!(),index:'emp_*',interval:auto,query:(query_string:(analyze_wildcard:!t,query:'%22rtdc.l.rtdc.4017%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30" t="s">
        <v>650</v>
      </c>
      <c r="B39" s="226">
        <v>4064</v>
      </c>
      <c r="C39" s="228" t="s">
        <v>192</v>
      </c>
      <c r="D39" s="228" t="s">
        <v>417</v>
      </c>
      <c r="E39" s="227">
        <v>43066.287083333336</v>
      </c>
      <c r="F39" s="227">
        <v>43066.291944444441</v>
      </c>
      <c r="G39" s="226">
        <v>52</v>
      </c>
      <c r="H39" s="228" t="s">
        <v>495</v>
      </c>
      <c r="I39" s="227">
        <v>43066.316851851851</v>
      </c>
      <c r="J39" s="226">
        <v>0</v>
      </c>
      <c r="K39" s="238" t="str">
        <f t="shared" si="0"/>
        <v>4063/4064</v>
      </c>
      <c r="L39" s="246" t="str">
        <f>VLOOKUP(A39,'Trips&amp;Operators'!$C$1:$G$99911,5,FALSE)</f>
        <v>DAVIDSON DAVID</v>
      </c>
      <c r="M39" s="225">
        <f t="shared" si="1"/>
        <v>2.4907407409045845E-2</v>
      </c>
      <c r="N39" s="226">
        <f t="shared" si="2"/>
        <v>35.866666669026017</v>
      </c>
      <c r="O39" s="226"/>
      <c r="P39" s="226"/>
      <c r="Q39" s="229"/>
      <c r="R39" s="243"/>
      <c r="S39" s="250">
        <f t="shared" si="3"/>
        <v>1</v>
      </c>
      <c r="T39" s="243" t="str">
        <f t="shared" si="4"/>
        <v>NorthBound</v>
      </c>
      <c r="U39" s="24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9" t="str">
        <f t="shared" si="5"/>
        <v>https://d0f6bd738d7f1b3e5a7ca70fe4ff75f0.us-east-1.aws.found.io/app/kibana#/discover/Steve-Slow-Train-Analysis-(2080s-and-2083s)?_g=(refreshInterval:(display:Off,pause:!f,section:0,value:0),time:(from:'2017-11-27T05:53:24-0700',mode:absolute,to:'2017-11-27T08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9" s="248" t="str">
        <f>IF(AA39&lt;VLOOKUP(AG39,Variables!$AC$3:$AD$8,2,FALSE),"Y","N")</f>
        <v>N</v>
      </c>
      <c r="X39" s="248">
        <f t="shared" si="6"/>
        <v>1</v>
      </c>
      <c r="Y39" s="248">
        <f t="shared" si="7"/>
        <v>5.1900000000000002E-2</v>
      </c>
      <c r="Z39" s="248">
        <f t="shared" si="8"/>
        <v>23.3264</v>
      </c>
      <c r="AA39" s="248">
        <f t="shared" si="9"/>
        <v>23.2745</v>
      </c>
      <c r="AB39" s="234" t="e">
        <f>VLOOKUP(A39,Enforcements!$C$7:$K$9,8,0)</f>
        <v>#N/A</v>
      </c>
      <c r="AC39" s="233" t="e">
        <f>VLOOKUP(A39,Enforcements!$C$7:$E$9,3,0)</f>
        <v>#N/A</v>
      </c>
      <c r="AD39" s="244">
        <f t="shared" si="10"/>
        <v>127</v>
      </c>
      <c r="AE39" s="236" t="str">
        <f t="shared" si="11"/>
        <v>aws s3 cp s3://rtdc.mdm.uploadarchive.raw/RTDC4064/ "%USERPROFILE%\AppData\Local\Temp\OnboardLogs"\RTDC4064\2017-11-27 --exclude "*" --recursive --include "*20171127*" &amp; "%USERPROFILE%\Documents\GitHub\mrs-test-scripts\Headless Mode &amp; Sideloading\WalkAndUnGZ.bat" "%USERPROFILE%\AppData\Local\Temp\OnboardLogs"\RTDC4064\2017-11-27 &amp; aws s3 cp s3://rtdc.mdm.uploadarchive.raw/RTDC4064/ "%USERPROFILE%\AppData\Local\Temp\OnboardLogs"\RTDC4064\2017-11-28 --exclude "*" --recursive --include "*20171128*" &amp; "%USERPROFILE%\Documents\GitHub\mrs-test-scripts\Headless Mode &amp; Sideloading\WalkAndUnGZ.bat" "%USERPROFILE%\AppData\Local\Temp\OnboardLogs"\RTDC4064\2017-11-28</v>
      </c>
      <c r="AF39" s="235" t="str">
        <f t="shared" si="12"/>
        <v>"C:\Program Files (x86)\AstroGrep\AstroGrep.exe" /e /r /s /spath="%USERPROFILE%\AppData\Local\Temp\OnboardLogs" /stypes="app*4064*20171127*" /stext=" 14:.+((SYSTEM_STATE.+slice.+state.+changed )|(ment ac)|(multiple cpu faults)|(system.+state.+changed )|(\[timeout)|(PRM\|1\|D)|(kpr)|(kdp)|(train st.+moving)|(\|lc)|(penalty))"</v>
      </c>
      <c r="AG39" s="245" t="str">
        <f t="shared" si="13"/>
        <v>EC</v>
      </c>
      <c r="AH39" s="237" t="str">
        <f t="shared" si="19"/>
        <v>"%USERPROFILE%\Documents\GitHub\eaglep3\Utilities\RefineRTDCRunTimes.py" --tripid 127-27 --locoid 4064 --swversion DE.1.0.9.0 --startMP 204:519 --initTime 2017-11-27T06:53:24 --startdatetime 2017-11-27T07:00:24 --delay 52 --endMP 204:233264 --enddatetime 2017-11-27T07:36:16 --enforcementcount 0 &gt;&gt;%USERPROFILE%\Documents\GitHub\eaglep3-reporting\EC\2017-11-27-refined-times.txt</v>
      </c>
      <c r="AI39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{"issue":{"subject":"","project_id":79,"tracker_id":40,"status_id":1,"priority_id":2,"assigned_to_id":338,"start_date":"2017-11-27","description":"","custom_fields":[{"id":1,"name":"Subdivision","value":"EC"},{"id":4,"name":"Milepost","value":"23.3264"},{"id":17,"name":"Train ID","value":"127-27"},{"id":16,"name":"Locomotive ID","value":"4064"},{"id":130,"name":"Impact","value":""},{"id":150,"name":"Time of Event (Mountain Time)","value":"07:36:16"},{"id":151,"name":"Denver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4"/>
      <c r="AK39" s="232"/>
      <c r="AL39" s="232"/>
      <c r="AM39" s="241" t="str">
        <f t="shared" si="21"/>
        <v>start /low /b %USERPROFILE%\Documents\GitHub\eaglep3\Utilities\DownloadLogsFromS3.py --loco 4064 --day 2017-11-27</v>
      </c>
      <c r="AN39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14:36:16"},{"id":29,"name":"Sharepoint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1" t="str">
        <f t="shared" si="23"/>
        <v>https://d0f6bd738d7f1b3e5a7ca70fe4ff75f0.us-east-1.aws.found.io/app/kibana#/discover/Steve-Slow-Train-Analysis-(2080s-and-2083s)?_g=(refreshInterval:(display:Off,pause:!f,section:0,value:0),time:(from:'2017-11-27T05:53:24-0700',mode:absolute,to:'2017-11-27T08:36:16-0700'))&amp;_a=(columns:!('Message%20ID',Summary),filters:!(),index:'emp_*',interval:auto,query:(query_string:(analyze_wildcard:!t,query:'%22rtdc.l.rtdc.4064%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30" t="s">
        <v>658</v>
      </c>
      <c r="B40" s="226">
        <v>4063</v>
      </c>
      <c r="C40" s="228" t="s">
        <v>192</v>
      </c>
      <c r="D40" s="228" t="s">
        <v>847</v>
      </c>
      <c r="E40" s="227">
        <v>43066.318483796298</v>
      </c>
      <c r="F40" s="227">
        <v>43066.331516203703</v>
      </c>
      <c r="G40" s="226">
        <v>49</v>
      </c>
      <c r="H40" s="228" t="s">
        <v>490</v>
      </c>
      <c r="I40" s="227">
        <v>43066.358564814815</v>
      </c>
      <c r="J40" s="226">
        <v>0</v>
      </c>
      <c r="K40" s="238" t="str">
        <f t="shared" si="0"/>
        <v>4063/4064</v>
      </c>
      <c r="L40" s="246" t="str">
        <f>VLOOKUP(A40,'Trips&amp;Operators'!$C$1:$G$99911,5,FALSE)</f>
        <v>DAVIDSON DAVID</v>
      </c>
      <c r="M40" s="225">
        <f t="shared" si="1"/>
        <v>2.7048611111240461E-2</v>
      </c>
      <c r="N40" s="226">
        <f t="shared" si="2"/>
        <v>38.950000000186265</v>
      </c>
      <c r="O40" s="226"/>
      <c r="P40" s="226"/>
      <c r="Q40" s="229"/>
      <c r="R40" s="243"/>
      <c r="S40" s="250">
        <f t="shared" si="3"/>
        <v>1</v>
      </c>
      <c r="T40" s="243" t="str">
        <f t="shared" si="4"/>
        <v>Southbound</v>
      </c>
      <c r="U40" s="24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9" t="str">
        <f t="shared" si="5"/>
        <v>https://d0f6bd738d7f1b3e5a7ca70fe4ff75f0.us-east-1.aws.found.io/app/kibana#/discover/Steve-Slow-Train-Analysis-(2080s-and-2083s)?_g=(refreshInterval:(display:Off,pause:!f,section:0,value:0),time:(from:'2017-11-27T06:38:37-0700',mode:absolute,to:'2017-11-27T09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0" s="248" t="str">
        <f>IF(AA40&lt;VLOOKUP(AG40,Variables!$AC$3:$AD$8,2,FALSE),"Y","N")</f>
        <v>N</v>
      </c>
      <c r="X40" s="248">
        <f t="shared" si="6"/>
        <v>1</v>
      </c>
      <c r="Y40" s="248">
        <f t="shared" si="7"/>
        <v>23.294499999999999</v>
      </c>
      <c r="Z40" s="248">
        <f t="shared" si="8"/>
        <v>2.2100000000000002E-2</v>
      </c>
      <c r="AA40" s="248">
        <f t="shared" si="9"/>
        <v>23.272400000000001</v>
      </c>
      <c r="AB40" s="234" t="e">
        <f>VLOOKUP(A40,Enforcements!$C$7:$K$9,8,0)</f>
        <v>#N/A</v>
      </c>
      <c r="AC40" s="233" t="e">
        <f>VLOOKUP(A40,Enforcements!$C$7:$E$9,3,0)</f>
        <v>#N/A</v>
      </c>
      <c r="AD40" s="244">
        <f t="shared" si="10"/>
        <v>128</v>
      </c>
      <c r="AE40" s="236" t="str">
        <f t="shared" si="11"/>
        <v>aws s3 cp s3://rtdc.mdm.uploadarchive.raw/RTDC4063/ "%USERPROFILE%\AppData\Local\Temp\OnboardLogs"\RTDC4063\2017-11-27 --exclude "*" --recursive --include "*20171127*" &amp; "%USERPROFILE%\Documents\GitHub\mrs-test-scripts\Headless Mode &amp; Sideloading\WalkAndUnGZ.bat" "%USERPROFILE%\AppData\Local\Temp\OnboardLogs"\RTDC4063\2017-11-27 &amp; aws s3 cp s3://rtdc.mdm.uploadarchive.raw/RTDC4063/ "%USERPROFILE%\AppData\Local\Temp\OnboardLogs"\RTDC4063\2017-11-28 --exclude "*" --recursive --include "*20171128*" &amp; "%USERPROFILE%\Documents\GitHub\mrs-test-scripts\Headless Mode &amp; Sideloading\WalkAndUnGZ.bat" "%USERPROFILE%\AppData\Local\Temp\OnboardLogs"\RTDC4063\2017-11-28</v>
      </c>
      <c r="AF40" s="235" t="str">
        <f t="shared" si="12"/>
        <v>"C:\Program Files (x86)\AstroGrep\AstroGrep.exe" /e /r /s /spath="%USERPROFILE%\AppData\Local\Temp\OnboardLogs" /stypes="app*4063*20171127*" /stext=" 15:.+((SYSTEM_STATE.+slice.+state.+changed )|(ment ac)|(multiple cpu faults)|(system.+state.+changed )|(\[timeout)|(PRM\|1\|D)|(kpr)|(kdp)|(train st.+moving)|(\|lc)|(penalty))"</v>
      </c>
      <c r="AG40" s="245" t="str">
        <f t="shared" si="13"/>
        <v>EC</v>
      </c>
      <c r="AH40" s="237" t="str">
        <f t="shared" si="19"/>
        <v>"%USERPROFILE%\Documents\GitHub\eaglep3\Utilities\RefineRTDCRunTimes.py" --tripid 128-27 --locoid 4063 --swversion DE.1.0.9.0 --startMP 204:232945 --initTime 2017-11-27T07:38:37 --startdatetime 2017-11-27T07:57:23 --delay 49 --endMP 204:221 --enddatetime 2017-11-27T08:36:20 --enforcementcount 0 &gt;&gt;%USERPROFILE%\Documents\GitHub\eaglep3-reporting\EC\2017-11-27-refined-times.txt</v>
      </c>
      <c r="AI40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{"issue":{"subject":"","project_id":79,"tracker_id":40,"status_id":1,"priority_id":2,"assigned_to_id":338,"start_date":"2017-11-27","description":"","custom_fields":[{"id":1,"name":"Subdivision","value":"EC"},{"id":4,"name":"Milepost","value":"0.0221"},{"id":17,"name":"Train ID","value":"128-27"},{"id":16,"name":"Locomotive ID","value":"4063"},{"id":130,"name":"Impact","value":""},{"id":150,"name":"Time of Event (Mountain Time)","value":"08:36:20"},{"id":151,"name":"Denver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4"/>
      <c r="AK40" s="232"/>
      <c r="AL40" s="232"/>
      <c r="AM40" s="241" t="str">
        <f t="shared" si="21"/>
        <v>start /low /b %USERPROFILE%\Documents\GitHub\eaglep3\Utilities\DownloadLogsFromS3.py --loco 4063 --day 2017-11-27</v>
      </c>
      <c r="AN40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15:36:20"},{"id":29,"name":"Sharepoint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1" t="str">
        <f t="shared" si="23"/>
        <v>https://d0f6bd738d7f1b3e5a7ca70fe4ff75f0.us-east-1.aws.found.io/app/kibana#/discover/Steve-Slow-Train-Analysis-(2080s-and-2083s)?_g=(refreshInterval:(display:Off,pause:!f,section:0,value:0),time:(from:'2017-11-27T06:38:37-0700',mode:absolute,to:'2017-11-27T09:36:20-0700'))&amp;_a=(columns:!('Message%20ID',Summary),filters:!(),index:'emp_*',interval:auto,query:(query_string:(analyze_wildcard:!t,query:'%22rtdc.l.rtdc.4063%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30" t="s">
        <v>653</v>
      </c>
      <c r="B41" s="226">
        <v>4022</v>
      </c>
      <c r="C41" s="228" t="s">
        <v>192</v>
      </c>
      <c r="D41" s="228" t="s">
        <v>848</v>
      </c>
      <c r="E41" s="227">
        <v>43066.29828703704</v>
      </c>
      <c r="F41" s="227">
        <v>43066.302928240744</v>
      </c>
      <c r="G41" s="226">
        <v>75</v>
      </c>
      <c r="H41" s="228" t="s">
        <v>531</v>
      </c>
      <c r="I41" s="227">
        <v>43066.327511574076</v>
      </c>
      <c r="J41" s="226">
        <v>0</v>
      </c>
      <c r="K41" s="238" t="str">
        <f t="shared" si="0"/>
        <v>4021/4022</v>
      </c>
      <c r="L41" s="246" t="str">
        <f>VLOOKUP(A41,'Trips&amp;Operators'!$C$1:$G$99911,5,FALSE)</f>
        <v>NICHOLAS PLOYSA</v>
      </c>
      <c r="M41" s="225">
        <f t="shared" si="1"/>
        <v>2.4583333331975155E-2</v>
      </c>
      <c r="N41" s="226">
        <f t="shared" si="2"/>
        <v>35.399999998044223</v>
      </c>
      <c r="O41" s="226"/>
      <c r="P41" s="226"/>
      <c r="Q41" s="229"/>
      <c r="R41" s="243"/>
      <c r="S41" s="250">
        <f t="shared" si="3"/>
        <v>1</v>
      </c>
      <c r="T41" s="243" t="str">
        <f t="shared" si="4"/>
        <v>NorthBound</v>
      </c>
      <c r="U41" s="24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9" t="str">
        <f t="shared" si="5"/>
        <v>https://d0f6bd738d7f1b3e5a7ca70fe4ff75f0.us-east-1.aws.found.io/app/kibana#/discover/Steve-Slow-Train-Analysis-(2080s-and-2083s)?_g=(refreshInterval:(display:Off,pause:!f,section:0,value:0),time:(from:'2017-11-27T06:09:32-0700',mode:absolute,to:'2017-11-27T08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1" s="248" t="str">
        <f>IF(AA41&lt;VLOOKUP(AG41,Variables!$AC$3:$AD$8,2,FALSE),"Y","N")</f>
        <v>N</v>
      </c>
      <c r="X41" s="248">
        <f t="shared" si="6"/>
        <v>1</v>
      </c>
      <c r="Y41" s="248">
        <f t="shared" si="7"/>
        <v>4.24E-2</v>
      </c>
      <c r="Z41" s="248">
        <f t="shared" si="8"/>
        <v>23.330100000000002</v>
      </c>
      <c r="AA41" s="248">
        <f t="shared" si="9"/>
        <v>23.287700000000001</v>
      </c>
      <c r="AB41" s="234" t="e">
        <f>VLOOKUP(A41,Enforcements!$C$7:$K$9,8,0)</f>
        <v>#N/A</v>
      </c>
      <c r="AC41" s="233" t="e">
        <f>VLOOKUP(A41,Enforcements!$C$7:$E$9,3,0)</f>
        <v>#N/A</v>
      </c>
      <c r="AD41" s="244">
        <f t="shared" si="10"/>
        <v>129</v>
      </c>
      <c r="AE41" s="236" t="str">
        <f t="shared" si="11"/>
        <v>aws s3 cp s3://rtdc.mdm.uploadarchive.raw/RTDC4022/ "%USERPROFILE%\AppData\Local\Temp\OnboardLogs"\RTDC4022\2017-11-27 --exclude "*" --recursive --include "*20171127*" &amp; "%USERPROFILE%\Documents\GitHub\mrs-test-scripts\Headless Mode &amp; Sideloading\WalkAndUnGZ.bat" "%USERPROFILE%\AppData\Local\Temp\OnboardLogs"\RTDC4022\2017-11-27 &amp; aws s3 cp s3://rtdc.mdm.uploadarchive.raw/RTDC4022/ "%USERPROFILE%\AppData\Local\Temp\OnboardLogs"\RTDC4022\2017-11-28 --exclude "*" --recursive --include "*20171128*" &amp; "%USERPROFILE%\Documents\GitHub\mrs-test-scripts\Headless Mode &amp; Sideloading\WalkAndUnGZ.bat" "%USERPROFILE%\AppData\Local\Temp\OnboardLogs"\RTDC4022\2017-11-28</v>
      </c>
      <c r="AF41" s="235" t="str">
        <f t="shared" si="12"/>
        <v>"C:\Program Files (x86)\AstroGrep\AstroGrep.exe" /e /r /s /spath="%USERPROFILE%\AppData\Local\Temp\OnboardLogs" /stypes="app*4022*20171127*" /stext=" 14:.+((SYSTEM_STATE.+slice.+state.+changed )|(ment ac)|(multiple cpu faults)|(system.+state.+changed )|(\[timeout)|(PRM\|1\|D)|(kpr)|(kdp)|(train st.+moving)|(\|lc)|(penalty))"</v>
      </c>
      <c r="AG41" s="245" t="str">
        <f t="shared" si="13"/>
        <v>EC</v>
      </c>
      <c r="AH41" s="237" t="str">
        <f t="shared" si="19"/>
        <v>"%USERPROFILE%\Documents\GitHub\eaglep3\Utilities\RefineRTDCRunTimes.py" --tripid 129-27 --locoid 4022 --swversion DE.1.0.9.0 --startMP 204:424 --initTime 2017-11-27T07:09:32 --startdatetime 2017-11-27T07:16:13 --delay 75 --endMP 204:233301 --enddatetime 2017-11-27T07:51:37 --enforcementcount 0 &gt;&gt;%USERPROFILE%\Documents\GitHub\eaglep3-reporting\EC\2017-11-27-refined-times.txt</v>
      </c>
      <c r="AI41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{"issue":{"subject":"","project_id":79,"tracker_id":40,"status_id":1,"priority_id":2,"assigned_to_id":338,"start_date":"2017-11-27","description":"","custom_fields":[{"id":1,"name":"Subdivision","value":"EC"},{"id":4,"name":"Milepost","value":"23.3301"},{"id":17,"name":"Train ID","value":"129-27"},{"id":16,"name":"Locomotive ID","value":"4022"},{"id":130,"name":"Impact","value":""},{"id":150,"name":"Time of Event (Mountain Time)","value":"07:51:37"},{"id":151,"name":"Denver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4"/>
      <c r="AK41" s="232"/>
      <c r="AL41" s="232"/>
      <c r="AM41" s="241" t="str">
        <f t="shared" si="21"/>
        <v>start /low /b %USERPROFILE%\Documents\GitHub\eaglep3\Utilities\DownloadLogsFromS3.py --loco 4022 --day 2017-11-27</v>
      </c>
      <c r="AN41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14:51:37"},{"id":29,"name":"Sharepoint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1" t="str">
        <f t="shared" si="23"/>
        <v>https://d0f6bd738d7f1b3e5a7ca70fe4ff75f0.us-east-1.aws.found.io/app/kibana#/discover/Steve-Slow-Train-Analysis-(2080s-and-2083s)?_g=(refreshInterval:(display:Off,pause:!f,section:0,value:0),time:(from:'2017-11-27T06:09:32-0700',mode:absolute,to:'2017-11-27T08:51:37-0700'))&amp;_a=(columns:!('Message%20ID',Summary),filters:!(),index:'emp_*',interval:auto,query:(query_string:(analyze_wildcard:!t,query:'%22rtdc.l.rtdc.4022%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30" t="s">
        <v>663</v>
      </c>
      <c r="B42" s="226">
        <v>4021</v>
      </c>
      <c r="C42" s="228" t="s">
        <v>192</v>
      </c>
      <c r="D42" s="228" t="s">
        <v>535</v>
      </c>
      <c r="E42" s="227">
        <v>43066.333356481482</v>
      </c>
      <c r="F42" s="227">
        <v>43066.341898148145</v>
      </c>
      <c r="G42" s="226">
        <v>103</v>
      </c>
      <c r="H42" s="228" t="s">
        <v>501</v>
      </c>
      <c r="I42" s="227">
        <v>43066.369780092595</v>
      </c>
      <c r="J42" s="226">
        <v>0</v>
      </c>
      <c r="K42" s="238" t="str">
        <f t="shared" si="0"/>
        <v>4021/4022</v>
      </c>
      <c r="L42" s="246" t="str">
        <f>VLOOKUP(A42,'Trips&amp;Operators'!$C$1:$G$99911,5,FALSE)</f>
        <v>NICHOLAS PLOYSA</v>
      </c>
      <c r="M42" s="225">
        <f t="shared" si="1"/>
        <v>2.7881944450200535E-2</v>
      </c>
      <c r="N42" s="226">
        <f t="shared" si="2"/>
        <v>40.150000008288771</v>
      </c>
      <c r="O42" s="226"/>
      <c r="P42" s="226"/>
      <c r="Q42" s="229"/>
      <c r="R42" s="243"/>
      <c r="S42" s="250">
        <f t="shared" si="3"/>
        <v>1</v>
      </c>
      <c r="T42" s="243" t="str">
        <f t="shared" si="4"/>
        <v>Southbound</v>
      </c>
      <c r="U42" s="24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9" t="str">
        <f t="shared" si="5"/>
        <v>https://d0f6bd738d7f1b3e5a7ca70fe4ff75f0.us-east-1.aws.found.io/app/kibana#/discover/Steve-Slow-Train-Analysis-(2080s-and-2083s)?_g=(refreshInterval:(display:Off,pause:!f,section:0,value:0),time:(from:'2017-11-27T07:00:02-0700',mode:absolute,to:'2017-11-27T09:52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2" s="248" t="str">
        <f>IF(AA42&lt;VLOOKUP(AG42,Variables!$AC$3:$AD$8,2,FALSE),"Y","N")</f>
        <v>N</v>
      </c>
      <c r="X42" s="248">
        <f t="shared" si="6"/>
        <v>1</v>
      </c>
      <c r="Y42" s="248">
        <f t="shared" si="7"/>
        <v>23.298400000000001</v>
      </c>
      <c r="Z42" s="248">
        <f t="shared" si="8"/>
        <v>1.49E-2</v>
      </c>
      <c r="AA42" s="248">
        <f t="shared" si="9"/>
        <v>23.2835</v>
      </c>
      <c r="AB42" s="234" t="e">
        <f>VLOOKUP(A42,Enforcements!$C$7:$K$9,8,0)</f>
        <v>#N/A</v>
      </c>
      <c r="AC42" s="233" t="e">
        <f>VLOOKUP(A42,Enforcements!$C$7:$E$9,3,0)</f>
        <v>#N/A</v>
      </c>
      <c r="AD42" s="244">
        <f t="shared" si="10"/>
        <v>130</v>
      </c>
      <c r="AE42" s="236" t="str">
        <f t="shared" si="11"/>
        <v>aws s3 cp s3://rtdc.mdm.uploadarchive.raw/RTDC4021/ "%USERPROFILE%\AppData\Local\Temp\OnboardLogs"\RTDC4021\2017-11-27 --exclude "*" --recursive --include "*20171127*" &amp; "%USERPROFILE%\Documents\GitHub\mrs-test-scripts\Headless Mode &amp; Sideloading\WalkAndUnGZ.bat" "%USERPROFILE%\AppData\Local\Temp\OnboardLogs"\RTDC4021\2017-11-27 &amp; aws s3 cp s3://rtdc.mdm.uploadarchive.raw/RTDC4021/ "%USERPROFILE%\AppData\Local\Temp\OnboardLogs"\RTDC4021\2017-11-28 --exclude "*" --recursive --include "*20171128*" &amp; "%USERPROFILE%\Documents\GitHub\mrs-test-scripts\Headless Mode &amp; Sideloading\WalkAndUnGZ.bat" "%USERPROFILE%\AppData\Local\Temp\OnboardLogs"\RTDC4021\2017-11-28</v>
      </c>
      <c r="AF42" s="235" t="str">
        <f t="shared" si="12"/>
        <v>"C:\Program Files (x86)\AstroGrep\AstroGrep.exe" /e /r /s /spath="%USERPROFILE%\AppData\Local\Temp\OnboardLogs" /stypes="app*4021*20171127*" /stext=" 15:.+((SYSTEM_STATE.+slice.+state.+changed )|(ment ac)|(multiple cpu faults)|(system.+state.+changed )|(\[timeout)|(PRM\|1\|D)|(kpr)|(kdp)|(train st.+moving)|(\|lc)|(penalty))"</v>
      </c>
      <c r="AG42" s="245" t="str">
        <f t="shared" si="13"/>
        <v>EC</v>
      </c>
      <c r="AH42" s="237" t="str">
        <f t="shared" si="19"/>
        <v>"%USERPROFILE%\Documents\GitHub\eaglep3\Utilities\RefineRTDCRunTimes.py" --tripid 130-27 --locoid 4021 --swversion DE.1.0.9.0 --startMP 204:232984 --initTime 2017-11-27T08:00:02 --startdatetime 2017-11-27T08:12:20 --delay 103 --endMP 204:149 --enddatetime 2017-11-27T08:52:29 --enforcementcount 0 &gt;&gt;%USERPROFILE%\Documents\GitHub\eaglep3-reporting\EC\2017-11-27-refined-times.txt</v>
      </c>
      <c r="AI42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{"issue":{"subject":"","project_id":79,"tracker_id":40,"status_id":1,"priority_id":2,"assigned_to_id":338,"start_date":"2017-11-27","description":"","custom_fields":[{"id":1,"name":"Subdivision","value":"EC"},{"id":4,"name":"Milepost","value":"0.0149"},{"id":17,"name":"Train ID","value":"130-27"},{"id":16,"name":"Locomotive ID","value":"4021"},{"id":130,"name":"Impact","value":""},{"id":150,"name":"Time of Event (Mountain Time)","value":"08:52:29"},{"id":151,"name":"Denver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4"/>
      <c r="AK42" s="232"/>
      <c r="AL42" s="232"/>
      <c r="AM42" s="241" t="str">
        <f t="shared" si="21"/>
        <v>start /low /b %USERPROFILE%\Documents\GitHub\eaglep3\Utilities\DownloadLogsFromS3.py --loco 4021 --day 2017-11-27</v>
      </c>
      <c r="AN42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15:52:29"},{"id":29,"name":"Sharepoint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1" t="str">
        <f t="shared" si="23"/>
        <v>https://d0f6bd738d7f1b3e5a7ca70fe4ff75f0.us-east-1.aws.found.io/app/kibana#/discover/Steve-Slow-Train-Analysis-(2080s-and-2083s)?_g=(refreshInterval:(display:Off,pause:!f,section:0,value:0),time:(from:'2017-11-27T07:00:02-0700',mode:absolute,to:'2017-11-27T09:52:29-0700'))&amp;_a=(columns:!('Message%20ID',Summary),filters:!(),index:'emp_*',interval:auto,query:(query_string:(analyze_wildcard:!t,query:'%22rtdc.l.rtdc.4021%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30" t="s">
        <v>655</v>
      </c>
      <c r="B43" s="226">
        <v>4054</v>
      </c>
      <c r="C43" s="228" t="s">
        <v>192</v>
      </c>
      <c r="D43" s="228" t="s">
        <v>849</v>
      </c>
      <c r="E43" s="227">
        <v>43066.309340277781</v>
      </c>
      <c r="F43" s="227">
        <v>43066.313067129631</v>
      </c>
      <c r="G43" s="226">
        <v>55</v>
      </c>
      <c r="H43" s="228" t="s">
        <v>850</v>
      </c>
      <c r="I43" s="227">
        <v>43066.337870370371</v>
      </c>
      <c r="J43" s="226">
        <v>0</v>
      </c>
      <c r="K43" s="238" t="str">
        <f t="shared" si="0"/>
        <v>4053/4054</v>
      </c>
      <c r="L43" s="246" t="str">
        <f>VLOOKUP(A43,'Trips&amp;Operators'!$C$1:$G$99911,5,FALSE)</f>
        <v>LAMAR NEKESHA</v>
      </c>
      <c r="M43" s="225">
        <f t="shared" si="1"/>
        <v>2.4803240739856847E-2</v>
      </c>
      <c r="N43" s="226">
        <f t="shared" si="2"/>
        <v>35.716666665393859</v>
      </c>
      <c r="O43" s="226"/>
      <c r="P43" s="226"/>
      <c r="Q43" s="229"/>
      <c r="R43" s="243"/>
      <c r="S43" s="250">
        <f t="shared" si="3"/>
        <v>1</v>
      </c>
      <c r="T43" s="243" t="str">
        <f t="shared" si="4"/>
        <v>NorthBound</v>
      </c>
      <c r="U43" s="24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9" t="str">
        <f t="shared" si="5"/>
        <v>https://d0f6bd738d7f1b3e5a7ca70fe4ff75f0.us-east-1.aws.found.io/app/kibana#/discover/Steve-Slow-Train-Analysis-(2080s-and-2083s)?_g=(refreshInterval:(display:Off,pause:!f,section:0,value:0),time:(from:'2017-11-27T06:25:27-0700',mode:absolute,to:'2017-11-27T09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3" s="248" t="str">
        <f>IF(AA43&lt;VLOOKUP(AG43,Variables!$AC$3:$AD$8,2,FALSE),"Y","N")</f>
        <v>N</v>
      </c>
      <c r="X43" s="248">
        <f t="shared" si="6"/>
        <v>1</v>
      </c>
      <c r="Y43" s="248">
        <f t="shared" si="7"/>
        <v>4.7699999999999999E-2</v>
      </c>
      <c r="Z43" s="248">
        <f t="shared" si="8"/>
        <v>23.331</v>
      </c>
      <c r="AA43" s="248">
        <f t="shared" si="9"/>
        <v>23.283300000000001</v>
      </c>
      <c r="AB43" s="234" t="e">
        <f>VLOOKUP(A43,Enforcements!$C$7:$K$9,8,0)</f>
        <v>#N/A</v>
      </c>
      <c r="AC43" s="233" t="e">
        <f>VLOOKUP(A43,Enforcements!$C$7:$E$9,3,0)</f>
        <v>#N/A</v>
      </c>
      <c r="AD43" s="244">
        <f t="shared" si="10"/>
        <v>131</v>
      </c>
      <c r="AE43" s="236" t="str">
        <f t="shared" si="11"/>
        <v>aws s3 cp s3://rtdc.mdm.uploadarchive.raw/RTDC4054/ "%USERPROFILE%\AppData\Local\Temp\OnboardLogs"\RTDC4054\2017-11-27 --exclude "*" --recursive --include "*20171127*" &amp; "%USERPROFILE%\Documents\GitHub\mrs-test-scripts\Headless Mode &amp; Sideloading\WalkAndUnGZ.bat" "%USERPROFILE%\AppData\Local\Temp\OnboardLogs"\RTDC4054\2017-11-27 &amp; aws s3 cp s3://rtdc.mdm.uploadarchive.raw/RTDC4054/ "%USERPROFILE%\AppData\Local\Temp\OnboardLogs"\RTDC4054\2017-11-28 --exclude "*" --recursive --include "*20171128*" &amp; "%USERPROFILE%\Documents\GitHub\mrs-test-scripts\Headless Mode &amp; Sideloading\WalkAndUnGZ.bat" "%USERPROFILE%\AppData\Local\Temp\OnboardLogs"\RTDC4054\2017-11-28</v>
      </c>
      <c r="AF43" s="235" t="str">
        <f t="shared" si="12"/>
        <v>"C:\Program Files (x86)\AstroGrep\AstroGrep.exe" /e /r /s /spath="%USERPROFILE%\AppData\Local\Temp\OnboardLogs" /stypes="app*4054*20171127*" /stext=" 15:.+((SYSTEM_STATE.+slice.+state.+changed )|(ment ac)|(multiple cpu faults)|(system.+state.+changed )|(\[timeout)|(PRM\|1\|D)|(kpr)|(kdp)|(train st.+moving)|(\|lc)|(penalty))"</v>
      </c>
      <c r="AG43" s="245" t="str">
        <f t="shared" si="13"/>
        <v>EC</v>
      </c>
      <c r="AH43" s="237" t="str">
        <f t="shared" si="19"/>
        <v>"%USERPROFILE%\Documents\GitHub\eaglep3\Utilities\RefineRTDCRunTimes.py" --tripid 131-27 --locoid 4054 --swversion DE.1.0.9.0 --startMP 204:477 --initTime 2017-11-27T07:25:27 --startdatetime 2017-11-27T07:30:49 --delay 55 --endMP 204:233310 --enddatetime 2017-11-27T08:06:32 --enforcementcount 0 &gt;&gt;%USERPROFILE%\Documents\GitHub\eaglep3-reporting\EC\2017-11-27-refined-times.txt</v>
      </c>
      <c r="AI43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{"issue":{"subject":"","project_id":79,"tracker_id":40,"status_id":1,"priority_id":2,"assigned_to_id":338,"start_date":"2017-11-27","description":"","custom_fields":[{"id":1,"name":"Subdivision","value":"EC"},{"id":4,"name":"Milepost","value":"23.331"},{"id":17,"name":"Train ID","value":"131-27"},{"id":16,"name":"Locomotive ID","value":"4054"},{"id":130,"name":"Impact","value":""},{"id":150,"name":"Time of Event (Mountain Time)","value":"08:06:32"},{"id":151,"name":"Denver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4"/>
      <c r="AK43" s="232"/>
      <c r="AL43" s="232"/>
      <c r="AM43" s="241" t="str">
        <f t="shared" si="21"/>
        <v>start /low /b %USERPROFILE%\Documents\GitHub\eaglep3\Utilities\DownloadLogsFromS3.py --loco 4054 --day 2017-11-27</v>
      </c>
      <c r="AN43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15:06:32"},{"id":29,"name":"Sharepoint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1" t="str">
        <f t="shared" si="23"/>
        <v>https://d0f6bd738d7f1b3e5a7ca70fe4ff75f0.us-east-1.aws.found.io/app/kibana#/discover/Steve-Slow-Train-Analysis-(2080s-and-2083s)?_g=(refreshInterval:(display:Off,pause:!f,section:0,value:0),time:(from:'2017-11-27T06:25:27-0700',mode:absolute,to:'2017-11-27T09:06:32-0700'))&amp;_a=(columns:!('Message%20ID',Summary),filters:!(),index:'emp_*',interval:auto,query:(query_string:(analyze_wildcard:!t,query:'%22rtdc.l.rtdc.4054%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30" t="s">
        <v>665</v>
      </c>
      <c r="B44" s="226">
        <v>4053</v>
      </c>
      <c r="C44" s="228" t="s">
        <v>192</v>
      </c>
      <c r="D44" s="228" t="s">
        <v>837</v>
      </c>
      <c r="E44" s="227">
        <v>43066.349814814814</v>
      </c>
      <c r="F44" s="227">
        <v>43066.352280092593</v>
      </c>
      <c r="G44" s="226">
        <v>49</v>
      </c>
      <c r="H44" s="228" t="s">
        <v>449</v>
      </c>
      <c r="I44" s="227">
        <v>43066.377858796295</v>
      </c>
      <c r="J44" s="226">
        <v>0</v>
      </c>
      <c r="K44" s="238" t="str">
        <f t="shared" si="0"/>
        <v>4053/4054</v>
      </c>
      <c r="L44" s="246" t="str">
        <f>VLOOKUP(A44,'Trips&amp;Operators'!$C$1:$G$99911,5,FALSE)</f>
        <v>LAMAR NEKESHA</v>
      </c>
      <c r="M44" s="225">
        <f t="shared" si="1"/>
        <v>2.5578703702194616E-2</v>
      </c>
      <c r="N44" s="226">
        <f t="shared" si="2"/>
        <v>36.833333331160247</v>
      </c>
      <c r="O44" s="226"/>
      <c r="P44" s="226"/>
      <c r="Q44" s="229"/>
      <c r="R44" s="243"/>
      <c r="S44" s="250">
        <f t="shared" si="3"/>
        <v>1</v>
      </c>
      <c r="T44" s="243" t="str">
        <f t="shared" si="4"/>
        <v>Southbound</v>
      </c>
      <c r="U44" s="24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9" t="str">
        <f t="shared" si="5"/>
        <v>https://d0f6bd738d7f1b3e5a7ca70fe4ff75f0.us-east-1.aws.found.io/app/kibana#/discover/Steve-Slow-Train-Analysis-(2080s-and-2083s)?_g=(refreshInterval:(display:Off,pause:!f,section:0,value:0),time:(from:'2017-11-27T07:23:44-0700',mode:absolute,to:'2017-11-27T10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4" s="248" t="str">
        <f>IF(AA44&lt;VLOOKUP(AG44,Variables!$AC$3:$AD$8,2,FALSE),"Y","N")</f>
        <v>N</v>
      </c>
      <c r="X44" s="248">
        <f t="shared" si="6"/>
        <v>1</v>
      </c>
      <c r="Y44" s="248">
        <f t="shared" si="7"/>
        <v>23.299800000000001</v>
      </c>
      <c r="Z44" s="248">
        <f t="shared" si="8"/>
        <v>1.54E-2</v>
      </c>
      <c r="AA44" s="248">
        <f t="shared" si="9"/>
        <v>23.284400000000002</v>
      </c>
      <c r="AB44" s="234" t="e">
        <f>VLOOKUP(A44,Enforcements!$C$7:$K$9,8,0)</f>
        <v>#N/A</v>
      </c>
      <c r="AC44" s="233" t="e">
        <f>VLOOKUP(A44,Enforcements!$C$7:$E$9,3,0)</f>
        <v>#N/A</v>
      </c>
      <c r="AD44" s="244">
        <f t="shared" si="10"/>
        <v>132</v>
      </c>
      <c r="AE44" s="236" t="str">
        <f t="shared" si="11"/>
        <v>aws s3 cp s3://rtdc.mdm.uploadarchive.raw/RTDC4053/ "%USERPROFILE%\AppData\Local\Temp\OnboardLogs"\RTDC4053\2017-11-27 --exclude "*" --recursive --include "*20171127*" &amp; "%USERPROFILE%\Documents\GitHub\mrs-test-scripts\Headless Mode &amp; Sideloading\WalkAndUnGZ.bat" "%USERPROFILE%\AppData\Local\Temp\OnboardLogs"\RTDC4053\2017-11-27 &amp; aws s3 cp s3://rtdc.mdm.uploadarchive.raw/RTDC4053/ "%USERPROFILE%\AppData\Local\Temp\OnboardLogs"\RTDC4053\2017-11-28 --exclude "*" --recursive --include "*20171128*" &amp; "%USERPROFILE%\Documents\GitHub\mrs-test-scripts\Headless Mode &amp; Sideloading\WalkAndUnGZ.bat" "%USERPROFILE%\AppData\Local\Temp\OnboardLogs"\RTDC4053\2017-11-28</v>
      </c>
      <c r="AF44" s="235" t="str">
        <f t="shared" si="12"/>
        <v>"C:\Program Files (x86)\AstroGrep\AstroGrep.exe" /e /r /s /spath="%USERPROFILE%\AppData\Local\Temp\OnboardLogs" /stypes="app*4053*20171127*" /stext=" 16:.+((SYSTEM_STATE.+slice.+state.+changed )|(ment ac)|(multiple cpu faults)|(system.+state.+changed )|(\[timeout)|(PRM\|1\|D)|(kpr)|(kdp)|(train st.+moving)|(\|lc)|(penalty))"</v>
      </c>
      <c r="AG44" s="245" t="str">
        <f t="shared" si="13"/>
        <v>EC</v>
      </c>
      <c r="AH44" s="237" t="str">
        <f t="shared" si="19"/>
        <v>"%USERPROFILE%\Documents\GitHub\eaglep3\Utilities\RefineRTDCRunTimes.py" --tripid 132-27 --locoid 4053 --swversion DE.1.0.9.0 --startMP 204:232998 --initTime 2017-11-27T08:23:44 --startdatetime 2017-11-27T08:27:17 --delay 49 --endMP 204:154 --enddatetime 2017-11-27T09:04:07 --enforcementcount 0 &gt;&gt;%USERPROFILE%\Documents\GitHub\eaglep3-reporting\EC\2017-11-27-refined-times.txt</v>
      </c>
      <c r="AI44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{"issue":{"subject":"","project_id":79,"tracker_id":40,"status_id":1,"priority_id":2,"assigned_to_id":338,"start_date":"2017-11-27","description":"","custom_fields":[{"id":1,"name":"Subdivision","value":"EC"},{"id":4,"name":"Milepost","value":"0.0154"},{"id":17,"name":"Train ID","value":"132-27"},{"id":16,"name":"Locomotive ID","value":"4053"},{"id":130,"name":"Impact","value":""},{"id":150,"name":"Time of Event (Mountain Time)","value":"09:04:07"},{"id":151,"name":"Denver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4"/>
      <c r="AK44" s="232"/>
      <c r="AL44" s="232"/>
      <c r="AM44" s="241" t="str">
        <f t="shared" si="21"/>
        <v>start /low /b %USERPROFILE%\Documents\GitHub\eaglep3\Utilities\DownloadLogsFromS3.py --loco 4053 --day 2017-11-27</v>
      </c>
      <c r="AN44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16:04:07"},{"id":29,"name":"Sharepoint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1" t="str">
        <f t="shared" si="23"/>
        <v>https://d0f6bd738d7f1b3e5a7ca70fe4ff75f0.us-east-1.aws.found.io/app/kibana#/discover/Steve-Slow-Train-Analysis-(2080s-and-2083s)?_g=(refreshInterval:(display:Off,pause:!f,section:0,value:0),time:(from:'2017-11-27T07:23:44-0700',mode:absolute,to:'2017-11-27T10:04:07-0700'))&amp;_a=(columns:!('Message%20ID',Summary),filters:!(),index:'emp_*',interval:auto,query:(query_string:(analyze_wildcard:!t,query:'%22rtdc.l.rtdc.4053%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30" t="s">
        <v>579</v>
      </c>
      <c r="B45" s="226">
        <v>4044</v>
      </c>
      <c r="C45" s="228" t="s">
        <v>192</v>
      </c>
      <c r="D45" s="228" t="s">
        <v>480</v>
      </c>
      <c r="E45" s="227">
        <v>43066.321493055555</v>
      </c>
      <c r="F45" s="227">
        <v>43066.323333333334</v>
      </c>
      <c r="G45" s="226">
        <v>48</v>
      </c>
      <c r="H45" s="228" t="s">
        <v>531</v>
      </c>
      <c r="I45" s="227">
        <v>43066.34820601852</v>
      </c>
      <c r="J45" s="226">
        <v>0</v>
      </c>
      <c r="K45" s="238" t="str">
        <f t="shared" si="0"/>
        <v>4043/4044</v>
      </c>
      <c r="L45" s="246" t="str">
        <f>VLOOKUP(A45,'Trips&amp;Operators'!$C$1:$G$99911,5,FALSE)</f>
        <v>STARKS ANGELINA</v>
      </c>
      <c r="M45" s="225">
        <f t="shared" si="1"/>
        <v>2.4872685185982846E-2</v>
      </c>
      <c r="N45" s="226">
        <f t="shared" si="2"/>
        <v>35.816666667815298</v>
      </c>
      <c r="O45" s="226"/>
      <c r="P45" s="226"/>
      <c r="Q45" s="229"/>
      <c r="R45" s="243"/>
      <c r="S45" s="250">
        <f t="shared" si="3"/>
        <v>1</v>
      </c>
      <c r="T45" s="243" t="str">
        <f t="shared" si="4"/>
        <v>NorthBound</v>
      </c>
      <c r="U45" s="24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9" t="str">
        <f t="shared" si="5"/>
        <v>https://d0f6bd738d7f1b3e5a7ca70fe4ff75f0.us-east-1.aws.found.io/app/kibana#/discover/Steve-Slow-Train-Analysis-(2080s-and-2083s)?_g=(refreshInterval:(display:Off,pause:!f,section:0,value:0),time:(from:'2017-11-27T06:42:57-0700',mode:absolute,to:'2017-11-27T09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5" s="248" t="str">
        <f>IF(AA45&lt;VLOOKUP(AG45,Variables!$AC$3:$AD$8,2,FALSE),"Y","N")</f>
        <v>N</v>
      </c>
      <c r="X45" s="248">
        <f t="shared" si="6"/>
        <v>1</v>
      </c>
      <c r="Y45" s="248">
        <f t="shared" si="7"/>
        <v>4.58E-2</v>
      </c>
      <c r="Z45" s="248">
        <f t="shared" si="8"/>
        <v>23.330100000000002</v>
      </c>
      <c r="AA45" s="248">
        <f t="shared" si="9"/>
        <v>23.284300000000002</v>
      </c>
      <c r="AB45" s="234" t="e">
        <f>VLOOKUP(A45,Enforcements!$C$7:$K$9,8,0)</f>
        <v>#N/A</v>
      </c>
      <c r="AC45" s="233" t="e">
        <f>VLOOKUP(A45,Enforcements!$C$7:$E$9,3,0)</f>
        <v>#N/A</v>
      </c>
      <c r="AD45" s="244">
        <f t="shared" si="10"/>
        <v>133</v>
      </c>
      <c r="AE45" s="236" t="str">
        <f t="shared" si="11"/>
        <v>aws s3 cp s3://rtdc.mdm.uploadarchive.raw/RTDC4044/ "%USERPROFILE%\AppData\Local\Temp\OnboardLogs"\RTDC4044\2017-11-27 --exclude "*" --recursive --include "*20171127*" &amp; "%USERPROFILE%\Documents\GitHub\mrs-test-scripts\Headless Mode &amp; Sideloading\WalkAndUnGZ.bat" "%USERPROFILE%\AppData\Local\Temp\OnboardLogs"\RTDC4044\2017-11-27 &amp; aws s3 cp s3://rtdc.mdm.uploadarchive.raw/RTDC4044/ "%USERPROFILE%\AppData\Local\Temp\OnboardLogs"\RTDC4044\2017-11-28 --exclude "*" --recursive --include "*20171128*" &amp; "%USERPROFILE%\Documents\GitHub\mrs-test-scripts\Headless Mode &amp; Sideloading\WalkAndUnGZ.bat" "%USERPROFILE%\AppData\Local\Temp\OnboardLogs"\RTDC4044\2017-11-28</v>
      </c>
      <c r="AF45" s="235" t="str">
        <f t="shared" si="12"/>
        <v>"C:\Program Files (x86)\AstroGrep\AstroGrep.exe" /e /r /s /spath="%USERPROFILE%\AppData\Local\Temp\OnboardLogs" /stypes="app*4044*20171127*" /stext=" 15:.+((SYSTEM_STATE.+slice.+state.+changed )|(ment ac)|(multiple cpu faults)|(system.+state.+changed )|(\[timeout)|(PRM\|1\|D)|(kpr)|(kdp)|(train st.+moving)|(\|lc)|(penalty))"</v>
      </c>
      <c r="AG45" s="245" t="str">
        <f t="shared" si="13"/>
        <v>EC</v>
      </c>
      <c r="AH45" s="237" t="str">
        <f t="shared" si="19"/>
        <v>"%USERPROFILE%\Documents\GitHub\eaglep3\Utilities\RefineRTDCRunTimes.py" --tripid 133-27 --locoid 4044 --swversion DE.1.0.9.0 --startMP 204:458 --initTime 2017-11-27T07:42:57 --startdatetime 2017-11-27T07:45:36 --delay 48 --endMP 204:233301 --enddatetime 2017-11-27T08:21:25 --enforcementcount 0 &gt;&gt;%USERPROFILE%\Documents\GitHub\eaglep3-reporting\EC\2017-11-27-refined-times.txt</v>
      </c>
      <c r="AI45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{"issue":{"subject":"","project_id":79,"tracker_id":40,"status_id":1,"priority_id":2,"assigned_to_id":338,"start_date":"2017-11-27","description":"","custom_fields":[{"id":1,"name":"Subdivision","value":"EC"},{"id":4,"name":"Milepost","value":"23.3301"},{"id":17,"name":"Train ID","value":"133-27"},{"id":16,"name":"Locomotive ID","value":"4044"},{"id":130,"name":"Impact","value":""},{"id":150,"name":"Time of Event (Mountain Time)","value":"08:21:25"},{"id":151,"name":"Denver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4"/>
      <c r="AK45" s="232"/>
      <c r="AL45" s="232"/>
      <c r="AM45" s="241" t="str">
        <f t="shared" si="21"/>
        <v>start /low /b %USERPROFILE%\Documents\GitHub\eaglep3\Utilities\DownloadLogsFromS3.py --loco 4044 --day 2017-11-27</v>
      </c>
      <c r="AN45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15:21:25"},{"id":29,"name":"Sharepoint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1" t="str">
        <f t="shared" si="23"/>
        <v>https://d0f6bd738d7f1b3e5a7ca70fe4ff75f0.us-east-1.aws.found.io/app/kibana#/discover/Steve-Slow-Train-Analysis-(2080s-and-2083s)?_g=(refreshInterval:(display:Off,pause:!f,section:0,value:0),time:(from:'2017-11-27T06:42:57-0700',mode:absolute,to:'2017-11-27T09:21:25-0700'))&amp;_a=(columns:!('Message%20ID',Summary),filters:!(),index:'emp_*',interval:auto,query:(query_string:(analyze_wildcard:!t,query:'%22rtdc.l.rtdc.4044%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30" t="s">
        <v>670</v>
      </c>
      <c r="B46" s="226">
        <v>4043</v>
      </c>
      <c r="C46" s="228" t="s">
        <v>192</v>
      </c>
      <c r="D46" s="228" t="s">
        <v>568</v>
      </c>
      <c r="E46" s="227">
        <v>43066.360763888886</v>
      </c>
      <c r="F46" s="227">
        <v>43066.362812500003</v>
      </c>
      <c r="G46" s="226">
        <v>66</v>
      </c>
      <c r="H46" s="228" t="s">
        <v>833</v>
      </c>
      <c r="I46" s="227">
        <v>43066.391493055555</v>
      </c>
      <c r="J46" s="226">
        <v>0</v>
      </c>
      <c r="K46" s="238" t="str">
        <f t="shared" si="0"/>
        <v>4043/4044</v>
      </c>
      <c r="L46" s="246" t="str">
        <f>VLOOKUP(A46,'Trips&amp;Operators'!$C$1:$G$99911,5,FALSE)</f>
        <v>STARKS ANGELINA</v>
      </c>
      <c r="M46" s="225">
        <f t="shared" si="1"/>
        <v>2.8680555551545694E-2</v>
      </c>
      <c r="N46" s="226">
        <f t="shared" si="2"/>
        <v>41.2999999942258</v>
      </c>
      <c r="O46" s="226"/>
      <c r="P46" s="226"/>
      <c r="Q46" s="229"/>
      <c r="R46" s="243"/>
      <c r="S46" s="250">
        <f t="shared" si="3"/>
        <v>1</v>
      </c>
      <c r="T46" s="243" t="str">
        <f t="shared" si="4"/>
        <v>Southbound</v>
      </c>
      <c r="U46" s="24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9" t="str">
        <f t="shared" si="5"/>
        <v>https://d0f6bd738d7f1b3e5a7ca70fe4ff75f0.us-east-1.aws.found.io/app/kibana#/discover/Steve-Slow-Train-Analysis-(2080s-and-2083s)?_g=(refreshInterval:(display:Off,pause:!f,section:0,value:0),time:(from:'2017-11-27T07:39:30-0700',mode:absolute,to:'2017-11-27T10:23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6" s="248" t="str">
        <f>IF(AA46&lt;VLOOKUP(AG46,Variables!$AC$3:$AD$8,2,FALSE),"Y","N")</f>
        <v>N</v>
      </c>
      <c r="X46" s="248">
        <f t="shared" si="6"/>
        <v>1</v>
      </c>
      <c r="Y46" s="248">
        <f t="shared" si="7"/>
        <v>23.297999999999998</v>
      </c>
      <c r="Z46" s="248">
        <f t="shared" si="8"/>
        <v>1.4999999999999999E-2</v>
      </c>
      <c r="AA46" s="248">
        <f t="shared" si="9"/>
        <v>23.282999999999998</v>
      </c>
      <c r="AB46" s="234" t="e">
        <f>VLOOKUP(A46,Enforcements!$C$7:$K$9,8,0)</f>
        <v>#N/A</v>
      </c>
      <c r="AC46" s="233" t="e">
        <f>VLOOKUP(A46,Enforcements!$C$7:$E$9,3,0)</f>
        <v>#N/A</v>
      </c>
      <c r="AD46" s="244">
        <f t="shared" si="10"/>
        <v>134</v>
      </c>
      <c r="AE46" s="236" t="str">
        <f t="shared" si="11"/>
        <v>aws s3 cp s3://rtdc.mdm.uploadarchive.raw/RTDC4043/ "%USERPROFILE%\AppData\Local\Temp\OnboardLogs"\RTDC4043\2017-11-27 --exclude "*" --recursive --include "*20171127*" &amp; "%USERPROFILE%\Documents\GitHub\mrs-test-scripts\Headless Mode &amp; Sideloading\WalkAndUnGZ.bat" "%USERPROFILE%\AppData\Local\Temp\OnboardLogs"\RTDC4043\2017-11-27 &amp; aws s3 cp s3://rtdc.mdm.uploadarchive.raw/RTDC4043/ "%USERPROFILE%\AppData\Local\Temp\OnboardLogs"\RTDC4043\2017-11-28 --exclude "*" --recursive --include "*20171128*" &amp; "%USERPROFILE%\Documents\GitHub\mrs-test-scripts\Headless Mode &amp; Sideloading\WalkAndUnGZ.bat" "%USERPROFILE%\AppData\Local\Temp\OnboardLogs"\RTDC4043\2017-11-28</v>
      </c>
      <c r="AF46" s="235" t="str">
        <f t="shared" si="12"/>
        <v>"C:\Program Files (x86)\AstroGrep\AstroGrep.exe" /e /r /s /spath="%USERPROFILE%\AppData\Local\Temp\OnboardLogs" /stypes="app*4043*20171127*" /stext=" 16:.+((SYSTEM_STATE.+slice.+state.+changed )|(ment ac)|(multiple cpu faults)|(system.+state.+changed )|(\[timeout)|(PRM\|1\|D)|(kpr)|(kdp)|(train st.+moving)|(\|lc)|(penalty))"</v>
      </c>
      <c r="AG46" s="245" t="str">
        <f t="shared" si="13"/>
        <v>EC</v>
      </c>
      <c r="AH46" s="237" t="str">
        <f t="shared" si="19"/>
        <v>"%USERPROFILE%\Documents\GitHub\eaglep3\Utilities\RefineRTDCRunTimes.py" --tripid 134-27 --locoid 4043 --swversion DE.1.0.9.0 --startMP 204:232980 --initTime 2017-11-27T08:39:30 --startdatetime 2017-11-27T08:42:27 --delay 66 --endMP 204:150 --enddatetime 2017-11-27T09:23:45 --enforcementcount 0 &gt;&gt;%USERPROFILE%\Documents\GitHub\eaglep3-reporting\EC\2017-11-27-refined-times.txt</v>
      </c>
      <c r="AI46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{"issue":{"subject":"","project_id":79,"tracker_id":40,"status_id":1,"priority_id":2,"assigned_to_id":338,"start_date":"2017-11-27","description":"","custom_fields":[{"id":1,"name":"Subdivision","value":"EC"},{"id":4,"name":"Milepost","value":"0.015"},{"id":17,"name":"Train ID","value":"134-27"},{"id":16,"name":"Locomotive ID","value":"4043"},{"id":130,"name":"Impact","value":""},{"id":150,"name":"Time of Event (Mountain Time)","value":"09:23:45"},{"id":151,"name":"Denver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4"/>
      <c r="AK46" s="232"/>
      <c r="AL46" s="232"/>
      <c r="AM46" s="241" t="str">
        <f t="shared" si="21"/>
        <v>start /low /b %USERPROFILE%\Documents\GitHub\eaglep3\Utilities\DownloadLogsFromS3.py --loco 4043 --day 2017-11-27</v>
      </c>
      <c r="AN46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16:23:45"},{"id":29,"name":"Sharepoint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1" t="str">
        <f t="shared" si="23"/>
        <v>https://d0f6bd738d7f1b3e5a7ca70fe4ff75f0.us-east-1.aws.found.io/app/kibana#/discover/Steve-Slow-Train-Analysis-(2080s-and-2083s)?_g=(refreshInterval:(display:Off,pause:!f,section:0,value:0),time:(from:'2017-11-27T07:39:30-0700',mode:absolute,to:'2017-11-27T10:23:45-0700'))&amp;_a=(columns:!('Message%20ID',Summary),filters:!(),index:'emp_*',interval:auto,query:(query_string:(analyze_wildcard:!t,query:'%22rtdc.l.rtdc.4043%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30" t="s">
        <v>661</v>
      </c>
      <c r="B47" s="226">
        <v>4026</v>
      </c>
      <c r="C47" s="228" t="s">
        <v>192</v>
      </c>
      <c r="D47" s="228" t="s">
        <v>434</v>
      </c>
      <c r="E47" s="227">
        <v>43066.329918981479</v>
      </c>
      <c r="F47" s="227">
        <v>43066.333726851852</v>
      </c>
      <c r="G47" s="226">
        <v>49</v>
      </c>
      <c r="H47" s="228" t="s">
        <v>850</v>
      </c>
      <c r="I47" s="227">
        <v>43066.358124999999</v>
      </c>
      <c r="J47" s="226">
        <v>0</v>
      </c>
      <c r="K47" s="238" t="str">
        <f t="shared" si="0"/>
        <v>4025/4026</v>
      </c>
      <c r="L47" s="246" t="str">
        <f>VLOOKUP(A47,'Trips&amp;Operators'!$C$1:$G$99911,5,FALSE)</f>
        <v>BEAM ROSS</v>
      </c>
      <c r="M47" s="225">
        <f t="shared" si="1"/>
        <v>2.4398148147156462E-2</v>
      </c>
      <c r="N47" s="226">
        <f t="shared" si="2"/>
        <v>35.133333331905305</v>
      </c>
      <c r="O47" s="226"/>
      <c r="P47" s="226"/>
      <c r="Q47" s="229"/>
      <c r="R47" s="243"/>
      <c r="S47" s="250">
        <f t="shared" si="3"/>
        <v>1</v>
      </c>
      <c r="T47" s="243" t="str">
        <f t="shared" si="4"/>
        <v>NorthBound</v>
      </c>
      <c r="U47" s="24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9" t="str">
        <f t="shared" si="5"/>
        <v>https://d0f6bd738d7f1b3e5a7ca70fe4ff75f0.us-east-1.aws.found.io/app/kibana#/discover/Steve-Slow-Train-Analysis-(2080s-and-2083s)?_g=(refreshInterval:(display:Off,pause:!f,section:0,value:0),time:(from:'2017-11-27T06:55:05-0700',mode:absolute,to:'2017-11-27T09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7" s="248" t="str">
        <f>IF(AA47&lt;VLOOKUP(AG47,Variables!$AC$3:$AD$8,2,FALSE),"Y","N")</f>
        <v>N</v>
      </c>
      <c r="X47" s="248">
        <f t="shared" si="6"/>
        <v>1</v>
      </c>
      <c r="Y47" s="248">
        <f t="shared" si="7"/>
        <v>4.9700000000000001E-2</v>
      </c>
      <c r="Z47" s="248">
        <f t="shared" si="8"/>
        <v>23.331</v>
      </c>
      <c r="AA47" s="248">
        <f t="shared" si="9"/>
        <v>23.281299999999998</v>
      </c>
      <c r="AB47" s="234" t="e">
        <f>VLOOKUP(A47,Enforcements!$C$7:$K$9,8,0)</f>
        <v>#N/A</v>
      </c>
      <c r="AC47" s="233" t="e">
        <f>VLOOKUP(A47,Enforcements!$C$7:$E$9,3,0)</f>
        <v>#N/A</v>
      </c>
      <c r="AD47" s="244">
        <f t="shared" si="10"/>
        <v>135</v>
      </c>
      <c r="AE47" s="236" t="str">
        <f t="shared" si="11"/>
        <v>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 &amp; aws s3 cp s3://rtdc.mdm.uploadarchive.raw/RTDC4026/ "%USERPROFILE%\AppData\Local\Temp\OnboardLogs"\RTDC4026\2017-11-28 --exclude "*" --recursive --include "*20171128*" &amp; "%USERPROFILE%\Documents\GitHub\mrs-test-scripts\Headless Mode &amp; Sideloading\WalkAndUnGZ.bat" "%USERPROFILE%\AppData\Local\Temp\OnboardLogs"\RTDC4026\2017-11-28</v>
      </c>
      <c r="AF47" s="235" t="str">
        <f t="shared" si="12"/>
        <v>"C:\Program Files (x86)\AstroGrep\AstroGrep.exe" /e /r /s /spath="%USERPROFILE%\AppData\Local\Temp\OnboardLogs" /stypes="app*4026*20171127*" /stext=" 15:.+((SYSTEM_STATE.+slice.+state.+changed )|(ment ac)|(multiple cpu faults)|(system.+state.+changed )|(\[timeout)|(PRM\|1\|D)|(kpr)|(kdp)|(train st.+moving)|(\|lc)|(penalty))"</v>
      </c>
      <c r="AG47" s="245" t="str">
        <f t="shared" si="13"/>
        <v>EC</v>
      </c>
      <c r="AH47" s="237" t="str">
        <f t="shared" si="19"/>
        <v>"%USERPROFILE%\Documents\GitHub\eaglep3\Utilities\RefineRTDCRunTimes.py" --tripid 135-27 --locoid 4026 --swversion DE.1.0.9.0 --startMP 204:497 --initTime 2017-11-27T07:55:05 --startdatetime 2017-11-27T08:00:34 --delay 49 --endMP 204:233310 --enddatetime 2017-11-27T08:35:42 --enforcementcount 0 &gt;&gt;%USERPROFILE%\Documents\GitHub\eaglep3-reporting\EC\2017-11-27-refined-times.txt</v>
      </c>
      <c r="AI47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{"issue":{"subject":"","project_id":79,"tracker_id":40,"status_id":1,"priority_id":2,"assigned_to_id":338,"start_date":"2017-11-27","description":"","custom_fields":[{"id":1,"name":"Subdivision","value":"EC"},{"id":4,"name":"Milepost","value":"23.331"},{"id":17,"name":"Train ID","value":"135-27"},{"id":16,"name":"Locomotive ID","value":"4026"},{"id":130,"name":"Impact","value":""},{"id":150,"name":"Time of Event (Mountain Time)","value":"08:35:42"},{"id":151,"name":"Denver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4"/>
      <c r="AK47" s="232"/>
      <c r="AL47" s="232"/>
      <c r="AM47" s="241" t="str">
        <f t="shared" si="21"/>
        <v>start /low /b %USERPROFILE%\Documents\GitHub\eaglep3\Utilities\DownloadLogsFromS3.py --loco 4026 --day 2017-11-27</v>
      </c>
      <c r="AN47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15:35:42"},{"id":29,"name":"Sharepoint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1" t="str">
        <f t="shared" si="23"/>
        <v>https://d0f6bd738d7f1b3e5a7ca70fe4ff75f0.us-east-1.aws.found.io/app/kibana#/discover/Steve-Slow-Train-Analysis-(2080s-and-2083s)?_g=(refreshInterval:(display:Off,pause:!f,section:0,value:0),time:(from:'2017-11-27T06:55:05-0700',mode:absolute,to:'2017-11-27T09:35:42-0700'))&amp;_a=(columns:!('Message%20ID',Summary),filters:!(),index:'emp_*',interval:auto,query:(query_string:(analyze_wildcard:!t,query:'%22rtdc.l.rtdc.4026%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30" t="s">
        <v>671</v>
      </c>
      <c r="B48" s="226">
        <v>4025</v>
      </c>
      <c r="C48" s="228" t="s">
        <v>192</v>
      </c>
      <c r="D48" s="228" t="s">
        <v>851</v>
      </c>
      <c r="E48" s="227">
        <v>43066.361828703702</v>
      </c>
      <c r="F48" s="227">
        <v>43066.373368055552</v>
      </c>
      <c r="G48" s="226">
        <v>50</v>
      </c>
      <c r="H48" s="228" t="s">
        <v>454</v>
      </c>
      <c r="I48" s="227">
        <v>43066.39880787037</v>
      </c>
      <c r="J48" s="226">
        <v>0</v>
      </c>
      <c r="K48" s="238" t="str">
        <f t="shared" si="0"/>
        <v>4025/4026</v>
      </c>
      <c r="L48" s="246" t="str">
        <f>VLOOKUP(A48,'Trips&amp;Operators'!$C$1:$G$99911,5,FALSE)</f>
        <v>BEAM ROSS</v>
      </c>
      <c r="M48" s="225">
        <f t="shared" si="1"/>
        <v>2.5439814817218576E-2</v>
      </c>
      <c r="N48" s="226">
        <f t="shared" si="2"/>
        <v>36.633333336794749</v>
      </c>
      <c r="O48" s="226"/>
      <c r="P48" s="226"/>
      <c r="Q48" s="229"/>
      <c r="R48" s="243"/>
      <c r="S48" s="250">
        <f t="shared" si="3"/>
        <v>1</v>
      </c>
      <c r="T48" s="243" t="str">
        <f t="shared" si="4"/>
        <v>Southbound</v>
      </c>
      <c r="U48" s="24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9" t="str">
        <f t="shared" si="5"/>
        <v>https://d0f6bd738d7f1b3e5a7ca70fe4ff75f0.us-east-1.aws.found.io/app/kibana#/discover/Steve-Slow-Train-Analysis-(2080s-and-2083s)?_g=(refreshInterval:(display:Off,pause:!f,section:0,value:0),time:(from:'2017-11-27T07:41:02-0700',mode:absolute,to:'2017-11-27T10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8" s="248" t="str">
        <f>IF(AA48&lt;VLOOKUP(AG48,Variables!$AC$3:$AD$8,2,FALSE),"Y","N")</f>
        <v>N</v>
      </c>
      <c r="X48" s="248">
        <f t="shared" si="6"/>
        <v>1</v>
      </c>
      <c r="Y48" s="248">
        <f t="shared" si="7"/>
        <v>23.299399999999999</v>
      </c>
      <c r="Z48" s="248">
        <f t="shared" si="8"/>
        <v>1.8499999999999999E-2</v>
      </c>
      <c r="AA48" s="248">
        <f t="shared" si="9"/>
        <v>23.280899999999999</v>
      </c>
      <c r="AB48" s="234" t="e">
        <f>VLOOKUP(A48,Enforcements!$C$7:$K$9,8,0)</f>
        <v>#N/A</v>
      </c>
      <c r="AC48" s="233" t="e">
        <f>VLOOKUP(A48,Enforcements!$C$7:$E$9,3,0)</f>
        <v>#N/A</v>
      </c>
      <c r="AD48" s="244">
        <f t="shared" si="10"/>
        <v>136</v>
      </c>
      <c r="AE48" s="236" t="str">
        <f t="shared" si="11"/>
        <v>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 &amp; aws s3 cp s3://rtdc.mdm.uploadarchive.raw/RTDC4025/ "%USERPROFILE%\AppData\Local\Temp\OnboardLogs"\RTDC4025\2017-11-28 --exclude "*" --recursive --include "*20171128*" &amp; "%USERPROFILE%\Documents\GitHub\mrs-test-scripts\Headless Mode &amp; Sideloading\WalkAndUnGZ.bat" "%USERPROFILE%\AppData\Local\Temp\OnboardLogs"\RTDC4025\2017-11-28</v>
      </c>
      <c r="AF48" s="235" t="str">
        <f t="shared" si="12"/>
        <v>"C:\Program Files (x86)\AstroGrep\AstroGrep.exe" /e /r /s /spath="%USERPROFILE%\AppData\Local\Temp\OnboardLogs" /stypes="app*4025*20171127*" /stext=" 16:.+((SYSTEM_STATE.+slice.+state.+changed )|(ment ac)|(multiple cpu faults)|(system.+state.+changed )|(\[timeout)|(PRM\|1\|D)|(kpr)|(kdp)|(train st.+moving)|(\|lc)|(penalty))"</v>
      </c>
      <c r="AG48" s="245" t="str">
        <f t="shared" si="13"/>
        <v>EC</v>
      </c>
      <c r="AH48" s="237" t="str">
        <f t="shared" si="19"/>
        <v>"%USERPROFILE%\Documents\GitHub\eaglep3\Utilities\RefineRTDCRunTimes.py" --tripid 136-27 --locoid 4025 --swversion DE.1.0.9.0 --startMP 204:232994 --initTime 2017-11-27T08:41:02 --startdatetime 2017-11-27T08:57:39 --delay 50 --endMP 204:185 --enddatetime 2017-11-27T09:34:17 --enforcementcount 0 &gt;&gt;%USERPROFILE%\Documents\GitHub\eaglep3-reporting\EC\2017-11-27-refined-times.txt</v>
      </c>
      <c r="AI48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{"issue":{"subject":"","project_id":79,"tracker_id":40,"status_id":1,"priority_id":2,"assigned_to_id":338,"start_date":"2017-11-27","description":"","custom_fields":[{"id":1,"name":"Subdivision","value":"EC"},{"id":4,"name":"Milepost","value":"0.0185"},{"id":17,"name":"Train ID","value":"136-27"},{"id":16,"name":"Locomotive ID","value":"4025"},{"id":130,"name":"Impact","value":""},{"id":150,"name":"Time of Event (Mountain Time)","value":"09:34:17"},{"id":151,"name":"Denver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4"/>
      <c r="AK48" s="232"/>
      <c r="AL48" s="232"/>
      <c r="AM48" s="241" t="str">
        <f t="shared" si="21"/>
        <v>start /low /b %USERPROFILE%\Documents\GitHub\eaglep3\Utilities\DownloadLogsFromS3.py --loco 4025 --day 2017-11-27</v>
      </c>
      <c r="AN48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16:34:17"},{"id":29,"name":"Sharepoint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1" t="str">
        <f t="shared" si="23"/>
        <v>https://d0f6bd738d7f1b3e5a7ca70fe4ff75f0.us-east-1.aws.found.io/app/kibana#/discover/Steve-Slow-Train-Analysis-(2080s-and-2083s)?_g=(refreshInterval:(display:Off,pause:!f,section:0,value:0),time:(from:'2017-11-27T07:41:02-0700',mode:absolute,to:'2017-11-27T10:34:17-0700'))&amp;_a=(columns:!('Message%20ID',Summary),filters:!(),index:'emp_*',interval:auto,query:(query_string:(analyze_wildcard:!t,query:'%22rtdc.l.rtdc.4025%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30" t="s">
        <v>664</v>
      </c>
      <c r="B49" s="226">
        <v>4014</v>
      </c>
      <c r="C49" s="228" t="s">
        <v>192</v>
      </c>
      <c r="D49" s="228" t="s">
        <v>462</v>
      </c>
      <c r="E49" s="227">
        <v>43066.338831018518</v>
      </c>
      <c r="F49" s="227">
        <v>43066.344027777777</v>
      </c>
      <c r="G49" s="226">
        <v>45</v>
      </c>
      <c r="H49" s="228" t="s">
        <v>435</v>
      </c>
      <c r="I49" s="227">
        <v>43066.36818287037</v>
      </c>
      <c r="J49" s="226">
        <v>0</v>
      </c>
      <c r="K49" s="238" t="str">
        <f t="shared" si="0"/>
        <v>4013/4014</v>
      </c>
      <c r="L49" s="246" t="str">
        <f>VLOOKUP(A49,'Trips&amp;Operators'!$C$1:$G$99911,5,FALSE)</f>
        <v>MAELZER KURT</v>
      </c>
      <c r="M49" s="225">
        <f t="shared" si="1"/>
        <v>2.4155092592991423E-2</v>
      </c>
      <c r="N49" s="226">
        <f t="shared" si="2"/>
        <v>34.783333333907649</v>
      </c>
      <c r="O49" s="226"/>
      <c r="P49" s="226"/>
      <c r="Q49" s="229"/>
      <c r="R49" s="243"/>
      <c r="S49" s="250">
        <f t="shared" si="3"/>
        <v>1</v>
      </c>
      <c r="T49" s="243" t="str">
        <f t="shared" si="4"/>
        <v>NorthBound</v>
      </c>
      <c r="U49" s="24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9" t="str">
        <f t="shared" si="5"/>
        <v>https://d0f6bd738d7f1b3e5a7ca70fe4ff75f0.us-east-1.aws.found.io/app/kibana#/discover/Steve-Slow-Train-Analysis-(2080s-and-2083s)?_g=(refreshInterval:(display:Off,pause:!f,section:0,value:0),time:(from:'2017-11-27T07:07:55-0700',mode:absolute,to:'2017-11-27T09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9" s="248" t="str">
        <f>IF(AA49&lt;VLOOKUP(AG49,Variables!$AC$3:$AD$8,2,FALSE),"Y","N")</f>
        <v>N</v>
      </c>
      <c r="X49" s="248">
        <f t="shared" si="6"/>
        <v>1</v>
      </c>
      <c r="Y49" s="248">
        <f t="shared" si="7"/>
        <v>4.8000000000000001E-2</v>
      </c>
      <c r="Z49" s="248">
        <f t="shared" si="8"/>
        <v>23.3291</v>
      </c>
      <c r="AA49" s="248">
        <f t="shared" si="9"/>
        <v>23.281100000000002</v>
      </c>
      <c r="AB49" s="234" t="e">
        <f>VLOOKUP(A49,Enforcements!$C$7:$K$9,8,0)</f>
        <v>#N/A</v>
      </c>
      <c r="AC49" s="233" t="e">
        <f>VLOOKUP(A49,Enforcements!$C$7:$E$9,3,0)</f>
        <v>#N/A</v>
      </c>
      <c r="AD49" s="244">
        <f t="shared" si="10"/>
        <v>137</v>
      </c>
      <c r="AE49" s="236" t="str">
        <f t="shared" si="11"/>
        <v>aws s3 cp s3://rtdc.mdm.uploadarchive.raw/RTDC4014/ "%USERPROFILE%\AppData\Local\Temp\OnboardLogs"\RTDC4014\2017-11-27 --exclude "*" --recursive --include "*20171127*" &amp; "%USERPROFILE%\Documents\GitHub\mrs-test-scripts\Headless Mode &amp; Sideloading\WalkAndUnGZ.bat" "%USERPROFILE%\AppData\Local\Temp\OnboardLogs"\RTDC4014\2017-11-27 &amp; aws s3 cp s3://rtdc.mdm.uploadarchive.raw/RTDC4014/ "%USERPROFILE%\AppData\Local\Temp\OnboardLogs"\RTDC4014\2017-11-28 --exclude "*" --recursive --include "*20171128*" &amp; "%USERPROFILE%\Documents\GitHub\mrs-test-scripts\Headless Mode &amp; Sideloading\WalkAndUnGZ.bat" "%USERPROFILE%\AppData\Local\Temp\OnboardLogs"\RTDC4014\2017-11-28</v>
      </c>
      <c r="AF49" s="235" t="str">
        <f t="shared" si="12"/>
        <v>"C:\Program Files (x86)\AstroGrep\AstroGrep.exe" /e /r /s /spath="%USERPROFILE%\AppData\Local\Temp\OnboardLogs" /stypes="app*4014*20171127*" /stext=" 15:.+((SYSTEM_STATE.+slice.+state.+changed )|(ment ac)|(multiple cpu faults)|(system.+state.+changed )|(\[timeout)|(PRM\|1\|D)|(kpr)|(kdp)|(train st.+moving)|(\|lc)|(penalty))"</v>
      </c>
      <c r="AG49" s="245" t="str">
        <f t="shared" si="13"/>
        <v>EC</v>
      </c>
      <c r="AH49" s="237" t="str">
        <f t="shared" si="19"/>
        <v>"%USERPROFILE%\Documents\GitHub\eaglep3\Utilities\RefineRTDCRunTimes.py" --tripid 137-27 --locoid 4014 --swversion DE.1.0.9.0 --startMP 204:480 --initTime 2017-11-27T08:07:55 --startdatetime 2017-11-27T08:15:24 --delay 45 --endMP 204:233291 --enddatetime 2017-11-27T08:50:11 --enforcementcount 0 &gt;&gt;%USERPROFILE%\Documents\GitHub\eaglep3-reporting\EC\2017-11-27-refined-times.txt</v>
      </c>
      <c r="AI49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{"issue":{"subject":"","project_id":79,"tracker_id":40,"status_id":1,"priority_id":2,"assigned_to_id":338,"start_date":"2017-11-27","description":"","custom_fields":[{"id":1,"name":"Subdivision","value":"EC"},{"id":4,"name":"Milepost","value":"23.3291"},{"id":17,"name":"Train ID","value":"137-27"},{"id":16,"name":"Locomotive ID","value":"4014"},{"id":130,"name":"Impact","value":""},{"id":150,"name":"Time of Event (Mountain Time)","value":"08:50:11"},{"id":151,"name":"Denver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4"/>
      <c r="AK49" s="232"/>
      <c r="AL49" s="232"/>
      <c r="AM49" s="241" t="str">
        <f t="shared" si="21"/>
        <v>start /low /b %USERPROFILE%\Documents\GitHub\eaglep3\Utilities\DownloadLogsFromS3.py --loco 4014 --day 2017-11-27</v>
      </c>
      <c r="AN49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15:50:11"},{"id":29,"name":"Sharepoint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1" t="str">
        <f t="shared" si="23"/>
        <v>https://d0f6bd738d7f1b3e5a7ca70fe4ff75f0.us-east-1.aws.found.io/app/kibana#/discover/Steve-Slow-Train-Analysis-(2080s-and-2083s)?_g=(refreshInterval:(display:Off,pause:!f,section:0,value:0),time:(from:'2017-11-27T07:07:55-0700',mode:absolute,to:'2017-11-27T09:50:11-0700'))&amp;_a=(columns:!('Message%20ID',Summary),filters:!(),index:'emp_*',interval:auto,query:(query_string:(analyze_wildcard:!t,query:'%22rtdc.l.rtdc.4014%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30" t="s">
        <v>580</v>
      </c>
      <c r="B50" s="226">
        <v>4013</v>
      </c>
      <c r="C50" s="228" t="s">
        <v>192</v>
      </c>
      <c r="D50" s="228" t="s">
        <v>535</v>
      </c>
      <c r="E50" s="227">
        <v>43066.374351851853</v>
      </c>
      <c r="F50" s="227">
        <v>43066.383738425924</v>
      </c>
      <c r="G50" s="226">
        <v>50</v>
      </c>
      <c r="H50" s="228" t="s">
        <v>483</v>
      </c>
      <c r="I50" s="227">
        <v>43066.412303240744</v>
      </c>
      <c r="J50" s="226">
        <v>0</v>
      </c>
      <c r="K50" s="238" t="str">
        <f t="shared" si="0"/>
        <v>4013/4014</v>
      </c>
      <c r="L50" s="246" t="str">
        <f>VLOOKUP(A50,'Trips&amp;Operators'!$C$1:$G$99911,5,FALSE)</f>
        <v>MAELZER KURT</v>
      </c>
      <c r="M50" s="225">
        <f t="shared" si="1"/>
        <v>2.8564814820128959E-2</v>
      </c>
      <c r="N50" s="226">
        <f t="shared" si="2"/>
        <v>41.1333333409857</v>
      </c>
      <c r="O50" s="226"/>
      <c r="P50" s="226"/>
      <c r="Q50" s="229"/>
      <c r="R50" s="243"/>
      <c r="S50" s="250">
        <f t="shared" si="3"/>
        <v>1</v>
      </c>
      <c r="T50" s="243" t="str">
        <f t="shared" si="4"/>
        <v>Southbound</v>
      </c>
      <c r="U50" s="24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9" t="str">
        <f t="shared" si="5"/>
        <v>https://d0f6bd738d7f1b3e5a7ca70fe4ff75f0.us-east-1.aws.found.io/app/kibana#/discover/Steve-Slow-Train-Analysis-(2080s-and-2083s)?_g=(refreshInterval:(display:Off,pause:!f,section:0,value:0),time:(from:'2017-11-27T07:59:04-0700',mode:absolute,to:'2017-11-27T10:53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0" s="248" t="str">
        <f>IF(AA50&lt;VLOOKUP(AG50,Variables!$AC$3:$AD$8,2,FALSE),"Y","N")</f>
        <v>N</v>
      </c>
      <c r="X50" s="248">
        <f t="shared" si="6"/>
        <v>1</v>
      </c>
      <c r="Y50" s="248">
        <f t="shared" si="7"/>
        <v>23.298400000000001</v>
      </c>
      <c r="Z50" s="248">
        <f t="shared" si="8"/>
        <v>1.7399999999999999E-2</v>
      </c>
      <c r="AA50" s="248">
        <f t="shared" si="9"/>
        <v>23.281000000000002</v>
      </c>
      <c r="AB50" s="234" t="e">
        <f>VLOOKUP(A50,Enforcements!$C$7:$K$9,8,0)</f>
        <v>#N/A</v>
      </c>
      <c r="AC50" s="233" t="e">
        <f>VLOOKUP(A50,Enforcements!$C$7:$E$9,3,0)</f>
        <v>#N/A</v>
      </c>
      <c r="AD50" s="244">
        <f t="shared" si="10"/>
        <v>138</v>
      </c>
      <c r="AE50" s="236" t="str">
        <f t="shared" si="11"/>
        <v>aws s3 cp s3://rtdc.mdm.uploadarchive.raw/RTDC4013/ "%USERPROFILE%\AppData\Local\Temp\OnboardLogs"\RTDC4013\2017-11-27 --exclude "*" --recursive --include "*20171127*" &amp; "%USERPROFILE%\Documents\GitHub\mrs-test-scripts\Headless Mode &amp; Sideloading\WalkAndUnGZ.bat" "%USERPROFILE%\AppData\Local\Temp\OnboardLogs"\RTDC4013\2017-11-27 &amp; aws s3 cp s3://rtdc.mdm.uploadarchive.raw/RTDC4013/ "%USERPROFILE%\AppData\Local\Temp\OnboardLogs"\RTDC4013\2017-11-28 --exclude "*" --recursive --include "*20171128*" &amp; "%USERPROFILE%\Documents\GitHub\mrs-test-scripts\Headless Mode &amp; Sideloading\WalkAndUnGZ.bat" "%USERPROFILE%\AppData\Local\Temp\OnboardLogs"\RTDC4013\2017-11-28</v>
      </c>
      <c r="AF50" s="235" t="str">
        <f t="shared" si="12"/>
        <v>"C:\Program Files (x86)\AstroGrep\AstroGrep.exe" /e /r /s /spath="%USERPROFILE%\AppData\Local\Temp\OnboardLogs" /stypes="app*4013*20171127*" /stext=" 16:.+((SYSTEM_STATE.+slice.+state.+changed )|(ment ac)|(multiple cpu faults)|(system.+state.+changed )|(\[timeout)|(PRM\|1\|D)|(kpr)|(kdp)|(train st.+moving)|(\|lc)|(penalty))"</v>
      </c>
      <c r="AG50" s="245" t="str">
        <f t="shared" si="13"/>
        <v>EC</v>
      </c>
      <c r="AH50" s="237" t="str">
        <f t="shared" si="19"/>
        <v>"%USERPROFILE%\Documents\GitHub\eaglep3\Utilities\RefineRTDCRunTimes.py" --tripid 138-27 --locoid 4013 --swversion DE.1.0.9.0 --startMP 204:232984 --initTime 2017-11-27T08:59:04 --startdatetime 2017-11-27T09:12:35 --delay 50 --endMP 204:174 --enddatetime 2017-11-27T09:53:43 --enforcementcount 0 &gt;&gt;%USERPROFILE%\Documents\GitHub\eaglep3-reporting\EC\2017-11-27-refined-times.txt</v>
      </c>
      <c r="AI50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{"issue":{"subject":"","project_id":79,"tracker_id":40,"status_id":1,"priority_id":2,"assigned_to_id":338,"start_date":"2017-11-27","description":"","custom_fields":[{"id":1,"name":"Subdivision","value":"EC"},{"id":4,"name":"Milepost","value":"0.0174"},{"id":17,"name":"Train ID","value":"138-27"},{"id":16,"name":"Locomotive ID","value":"4013"},{"id":130,"name":"Impact","value":""},{"id":150,"name":"Time of Event (Mountain Time)","value":"09:53:43"},{"id":151,"name":"Denver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4"/>
      <c r="AK50" s="232"/>
      <c r="AL50" s="232"/>
      <c r="AM50" s="241" t="str">
        <f t="shared" si="21"/>
        <v>start /low /b %USERPROFILE%\Documents\GitHub\eaglep3\Utilities\DownloadLogsFromS3.py --loco 4013 --day 2017-11-27</v>
      </c>
      <c r="AN50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16:53:43"},{"id":29,"name":"Sharepoint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1" t="str">
        <f t="shared" si="23"/>
        <v>https://d0f6bd738d7f1b3e5a7ca70fe4ff75f0.us-east-1.aws.found.io/app/kibana#/discover/Steve-Slow-Train-Analysis-(2080s-and-2083s)?_g=(refreshInterval:(display:Off,pause:!f,section:0,value:0),time:(from:'2017-11-27T07:59:04-0700',mode:absolute,to:'2017-11-27T10:53:43-0700'))&amp;_a=(columns:!('Message%20ID',Summary),filters:!(),index:'emp_*',interval:auto,query:(query_string:(analyze_wildcard:!t,query:'%22rtdc.l.rtdc.4013%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30" t="s">
        <v>666</v>
      </c>
      <c r="B51" s="226">
        <v>4018</v>
      </c>
      <c r="C51" s="228" t="s">
        <v>192</v>
      </c>
      <c r="D51" s="228" t="s">
        <v>480</v>
      </c>
      <c r="E51" s="227">
        <v>43066.352905092594</v>
      </c>
      <c r="F51" s="227">
        <v>43066.354328703703</v>
      </c>
      <c r="G51" s="226">
        <v>47</v>
      </c>
      <c r="H51" s="228" t="s">
        <v>832</v>
      </c>
      <c r="I51" s="227">
        <v>43066.379004629627</v>
      </c>
      <c r="J51" s="226">
        <v>0</v>
      </c>
      <c r="K51" s="238" t="str">
        <f t="shared" si="0"/>
        <v>4017/4018</v>
      </c>
      <c r="L51" s="246" t="str">
        <f>VLOOKUP(A51,'Trips&amp;Operators'!$C$1:$G$99911,5,FALSE)</f>
        <v>ROCHA YAOTL</v>
      </c>
      <c r="M51" s="225">
        <f t="shared" si="1"/>
        <v>2.4675925924384501E-2</v>
      </c>
      <c r="N51" s="226">
        <f t="shared" si="2"/>
        <v>35.533333331113681</v>
      </c>
      <c r="O51" s="226"/>
      <c r="P51" s="226"/>
      <c r="Q51" s="229"/>
      <c r="R51" s="243"/>
      <c r="S51" s="250">
        <f t="shared" si="3"/>
        <v>1</v>
      </c>
      <c r="T51" s="243" t="str">
        <f t="shared" si="4"/>
        <v>NorthBound</v>
      </c>
      <c r="U51" s="24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9" t="str">
        <f t="shared" si="5"/>
        <v>https://d0f6bd738d7f1b3e5a7ca70fe4ff75f0.us-east-1.aws.found.io/app/kibana#/discover/Steve-Slow-Train-Analysis-(2080s-and-2083s)?_g=(refreshInterval:(display:Off,pause:!f,section:0,value:0),time:(from:'2017-11-27T07:28:11-0700',mode:absolute,to:'2017-11-27T10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1" s="248" t="str">
        <f>IF(AA51&lt;VLOOKUP(AG51,Variables!$AC$3:$AD$8,2,FALSE),"Y","N")</f>
        <v>N</v>
      </c>
      <c r="X51" s="248">
        <f t="shared" si="6"/>
        <v>1</v>
      </c>
      <c r="Y51" s="248">
        <f t="shared" si="7"/>
        <v>4.58E-2</v>
      </c>
      <c r="Z51" s="248">
        <f t="shared" si="8"/>
        <v>23.3306</v>
      </c>
      <c r="AA51" s="248">
        <f t="shared" si="9"/>
        <v>23.284800000000001</v>
      </c>
      <c r="AB51" s="234" t="e">
        <f>VLOOKUP(A51,Enforcements!$C$7:$K$9,8,0)</f>
        <v>#N/A</v>
      </c>
      <c r="AC51" s="233" t="e">
        <f>VLOOKUP(A51,Enforcements!$C$7:$E$9,3,0)</f>
        <v>#N/A</v>
      </c>
      <c r="AD51" s="244">
        <f t="shared" si="10"/>
        <v>139</v>
      </c>
      <c r="AE51" s="236" t="str">
        <f t="shared" si="11"/>
        <v>aws s3 cp s3://rtdc.mdm.uploadarchive.raw/RTDC4018/ "%USERPROFILE%\AppData\Local\Temp\OnboardLogs"\RTDC4018\2017-11-27 --exclude "*" --recursive --include "*20171127*" &amp; "%USERPROFILE%\Documents\GitHub\mrs-test-scripts\Headless Mode &amp; Sideloading\WalkAndUnGZ.bat" "%USERPROFILE%\AppData\Local\Temp\OnboardLogs"\RTDC4018\2017-11-27 &amp; aws s3 cp s3://rtdc.mdm.uploadarchive.raw/RTDC4018/ "%USERPROFILE%\AppData\Local\Temp\OnboardLogs"\RTDC4018\2017-11-28 --exclude "*" --recursive --include "*20171128*" &amp; "%USERPROFILE%\Documents\GitHub\mrs-test-scripts\Headless Mode &amp; Sideloading\WalkAndUnGZ.bat" "%USERPROFILE%\AppData\Local\Temp\OnboardLogs"\RTDC4018\2017-11-28</v>
      </c>
      <c r="AF51" s="235" t="str">
        <f t="shared" si="12"/>
        <v>"C:\Program Files (x86)\AstroGrep\AstroGrep.exe" /e /r /s /spath="%USERPROFILE%\AppData\Local\Temp\OnboardLogs" /stypes="app*4018*20171127*" /stext=" 16:.+((SYSTEM_STATE.+slice.+state.+changed )|(ment ac)|(multiple cpu faults)|(system.+state.+changed )|(\[timeout)|(PRM\|1\|D)|(kpr)|(kdp)|(train st.+moving)|(\|lc)|(penalty))"</v>
      </c>
      <c r="AG51" s="245" t="str">
        <f t="shared" si="13"/>
        <v>EC</v>
      </c>
      <c r="AH51" s="237" t="str">
        <f t="shared" si="19"/>
        <v>"%USERPROFILE%\Documents\GitHub\eaglep3\Utilities\RefineRTDCRunTimes.py" --tripid 139-27 --locoid 4018 --swversion DE.1.0.9.0 --startMP 204:458 --initTime 2017-11-27T08:28:11 --startdatetime 2017-11-27T08:30:14 --delay 47 --endMP 204:233306 --enddatetime 2017-11-27T09:05:46 --enforcementcount 0 &gt;&gt;%USERPROFILE%\Documents\GitHub\eaglep3-reporting\EC\2017-11-27-refined-times.txt</v>
      </c>
      <c r="AI51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{"issue":{"subject":"","project_id":79,"tracker_id":40,"status_id":1,"priority_id":2,"assigned_to_id":338,"start_date":"2017-11-27","description":"","custom_fields":[{"id":1,"name":"Subdivision","value":"EC"},{"id":4,"name":"Milepost","value":"23.3306"},{"id":17,"name":"Train ID","value":"139-27"},{"id":16,"name":"Locomotive ID","value":"4018"},{"id":130,"name":"Impact","value":""},{"id":150,"name":"Time of Event (Mountain Time)","value":"09:05:46"},{"id":151,"name":"Denver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4"/>
      <c r="AK51" s="232"/>
      <c r="AL51" s="232"/>
      <c r="AM51" s="241" t="str">
        <f t="shared" si="21"/>
        <v>start /low /b %USERPROFILE%\Documents\GitHub\eaglep3\Utilities\DownloadLogsFromS3.py --loco 4018 --day 2017-11-27</v>
      </c>
      <c r="AN51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16:05:46"},{"id":29,"name":"Sharepoint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1" t="str">
        <f t="shared" si="23"/>
        <v>https://d0f6bd738d7f1b3e5a7ca70fe4ff75f0.us-east-1.aws.found.io/app/kibana#/discover/Steve-Slow-Train-Analysis-(2080s-and-2083s)?_g=(refreshInterval:(display:Off,pause:!f,section:0,value:0),time:(from:'2017-11-27T07:28:11-0700',mode:absolute,to:'2017-11-27T10:05:46-0700'))&amp;_a=(columns:!('Message%20ID',Summary),filters:!(),index:'emp_*',interval:auto,query:(query_string:(analyze_wildcard:!t,query:'%22rtdc.l.rtdc.4018%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30" t="s">
        <v>581</v>
      </c>
      <c r="B52" s="226">
        <v>4017</v>
      </c>
      <c r="C52" s="228" t="s">
        <v>192</v>
      </c>
      <c r="D52" s="228" t="s">
        <v>852</v>
      </c>
      <c r="E52" s="227">
        <v>43066.391759259262</v>
      </c>
      <c r="F52" s="227">
        <v>43066.394085648149</v>
      </c>
      <c r="G52" s="226">
        <v>56</v>
      </c>
      <c r="H52" s="228" t="s">
        <v>477</v>
      </c>
      <c r="I52" s="227">
        <v>43066.420289351852</v>
      </c>
      <c r="J52" s="226">
        <v>0</v>
      </c>
      <c r="K52" s="238" t="str">
        <f t="shared" si="0"/>
        <v>4017/4018</v>
      </c>
      <c r="L52" s="246" t="str">
        <f>VLOOKUP(A52,'Trips&amp;Operators'!$C$1:$G$99911,5,FALSE)</f>
        <v>ROCHA YAOTL</v>
      </c>
      <c r="M52" s="225">
        <f t="shared" si="1"/>
        <v>2.6203703702776693E-2</v>
      </c>
      <c r="N52" s="226">
        <f t="shared" si="2"/>
        <v>37.733333331998438</v>
      </c>
      <c r="O52" s="226"/>
      <c r="P52" s="226"/>
      <c r="Q52" s="229"/>
      <c r="R52" s="243"/>
      <c r="S52" s="250">
        <f t="shared" si="3"/>
        <v>1</v>
      </c>
      <c r="T52" s="243" t="str">
        <f t="shared" si="4"/>
        <v>Southbound</v>
      </c>
      <c r="U52" s="24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9" t="str">
        <f t="shared" si="5"/>
        <v>https://d0f6bd738d7f1b3e5a7ca70fe4ff75f0.us-east-1.aws.found.io/app/kibana#/discover/Steve-Slow-Train-Analysis-(2080s-and-2083s)?_g=(refreshInterval:(display:Off,pause:!f,section:0,value:0),time:(from:'2017-11-27T08:24:08-0700',mode:absolute,to:'2017-11-27T11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2" s="248" t="str">
        <f>IF(AA52&lt;VLOOKUP(AG52,Variables!$AC$3:$AD$8,2,FALSE),"Y","N")</f>
        <v>N</v>
      </c>
      <c r="X52" s="248">
        <f t="shared" si="6"/>
        <v>1</v>
      </c>
      <c r="Y52" s="248">
        <f t="shared" si="7"/>
        <v>23.298500000000001</v>
      </c>
      <c r="Z52" s="248">
        <f t="shared" si="8"/>
        <v>1.41E-2</v>
      </c>
      <c r="AA52" s="248">
        <f t="shared" si="9"/>
        <v>23.284400000000002</v>
      </c>
      <c r="AB52" s="234" t="e">
        <f>VLOOKUP(A52,Enforcements!$C$7:$K$9,8,0)</f>
        <v>#N/A</v>
      </c>
      <c r="AC52" s="233" t="e">
        <f>VLOOKUP(A52,Enforcements!$C$7:$E$9,3,0)</f>
        <v>#N/A</v>
      </c>
      <c r="AD52" s="244">
        <f t="shared" si="10"/>
        <v>140</v>
      </c>
      <c r="AE52" s="236" t="str">
        <f t="shared" si="11"/>
        <v>aws s3 cp s3://rtdc.mdm.uploadarchive.raw/RTDC4017/ "%USERPROFILE%\AppData\Local\Temp\OnboardLogs"\RTDC4017\2017-11-27 --exclude "*" --recursive --include "*20171127*" &amp; "%USERPROFILE%\Documents\GitHub\mrs-test-scripts\Headless Mode &amp; Sideloading\WalkAndUnGZ.bat" "%USERPROFILE%\AppData\Local\Temp\OnboardLogs"\RTDC4017\2017-11-27 &amp; aws s3 cp s3://rtdc.mdm.uploadarchive.raw/RTDC4017/ "%USERPROFILE%\AppData\Local\Temp\OnboardLogs"\RTDC4017\2017-11-28 --exclude "*" --recursive --include "*20171128*" &amp; "%USERPROFILE%\Documents\GitHub\mrs-test-scripts\Headless Mode &amp; Sideloading\WalkAndUnGZ.bat" "%USERPROFILE%\AppData\Local\Temp\OnboardLogs"\RTDC4017\2017-11-28</v>
      </c>
      <c r="AF52" s="235" t="str">
        <f t="shared" si="12"/>
        <v>"C:\Program Files (x86)\AstroGrep\AstroGrep.exe" /e /r /s /spath="%USERPROFILE%\AppData\Local\Temp\OnboardLogs" /stypes="app*4017*20171127*" /stext=" 17:.+((SYSTEM_STATE.+slice.+state.+changed )|(ment ac)|(multiple cpu faults)|(system.+state.+changed )|(\[timeout)|(PRM\|1\|D)|(kpr)|(kdp)|(train st.+moving)|(\|lc)|(penalty))"</v>
      </c>
      <c r="AG52" s="245" t="str">
        <f t="shared" si="13"/>
        <v>EC</v>
      </c>
      <c r="AH52" s="237" t="str">
        <f t="shared" si="19"/>
        <v>"%USERPROFILE%\Documents\GitHub\eaglep3\Utilities\RefineRTDCRunTimes.py" --tripid 140-27 --locoid 4017 --swversion DE.1.0.9.0 --startMP 204:232985 --initTime 2017-11-27T09:24:08 --startdatetime 2017-11-27T09:27:29 --delay 56 --endMP 204:141 --enddatetime 2017-11-27T10:05:13 --enforcementcount 0 &gt;&gt;%USERPROFILE%\Documents\GitHub\eaglep3-reporting\EC\2017-11-27-refined-times.txt</v>
      </c>
      <c r="AI52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{"issue":{"subject":"","project_id":79,"tracker_id":40,"status_id":1,"priority_id":2,"assigned_to_id":338,"start_date":"2017-11-27","description":"","custom_fields":[{"id":1,"name":"Subdivision","value":"EC"},{"id":4,"name":"Milepost","value":"0.0141"},{"id":17,"name":"Train ID","value":"140-27"},{"id":16,"name":"Locomotive ID","value":"4017"},{"id":130,"name":"Impact","value":""},{"id":150,"name":"Time of Event (Mountain Time)","value":"10:05:13"},{"id":151,"name":"Denver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4"/>
      <c r="AK52" s="232"/>
      <c r="AL52" s="232"/>
      <c r="AM52" s="241" t="str">
        <f t="shared" si="21"/>
        <v>start /low /b %USERPROFILE%\Documents\GitHub\eaglep3\Utilities\DownloadLogsFromS3.py --loco 4017 --day 2017-11-27</v>
      </c>
      <c r="AN52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17:05:13"},{"id":29,"name":"Sharepoint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1" t="str">
        <f t="shared" si="23"/>
        <v>https://d0f6bd738d7f1b3e5a7ca70fe4ff75f0.us-east-1.aws.found.io/app/kibana#/discover/Steve-Slow-Train-Analysis-(2080s-and-2083s)?_g=(refreshInterval:(display:Off,pause:!f,section:0,value:0),time:(from:'2017-11-27T08:24:08-0700',mode:absolute,to:'2017-11-27T11:05:13-0700'))&amp;_a=(columns:!('Message%20ID',Summary),filters:!(),index:'emp_*',interval:auto,query:(query_string:(analyze_wildcard:!t,query:'%22rtdc.l.rtdc.4017%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30" t="s">
        <v>669</v>
      </c>
      <c r="B53" s="226">
        <v>4064</v>
      </c>
      <c r="C53" s="228" t="s">
        <v>192</v>
      </c>
      <c r="D53" s="228" t="s">
        <v>453</v>
      </c>
      <c r="E53" s="227">
        <v>43066.360081018516</v>
      </c>
      <c r="F53" s="227">
        <v>43066.364791666667</v>
      </c>
      <c r="G53" s="226">
        <v>53</v>
      </c>
      <c r="H53" s="228" t="s">
        <v>546</v>
      </c>
      <c r="I53" s="227">
        <v>43066.38925925926</v>
      </c>
      <c r="J53" s="226">
        <v>0</v>
      </c>
      <c r="K53" s="238" t="str">
        <f t="shared" si="0"/>
        <v>4063/4064</v>
      </c>
      <c r="L53" s="246" t="str">
        <f>VLOOKUP(A53,'Trips&amp;Operators'!$C$1:$G$99911,5,FALSE)</f>
        <v>DAVIDSON DAVID</v>
      </c>
      <c r="M53" s="225">
        <f t="shared" si="1"/>
        <v>2.4467592593282461E-2</v>
      </c>
      <c r="N53" s="226">
        <f t="shared" si="2"/>
        <v>35.233333334326744</v>
      </c>
      <c r="O53" s="226"/>
      <c r="P53" s="226"/>
      <c r="Q53" s="229"/>
      <c r="R53" s="243"/>
      <c r="S53" s="250">
        <f t="shared" si="3"/>
        <v>1</v>
      </c>
      <c r="T53" s="243" t="str">
        <f t="shared" si="4"/>
        <v>NorthBound</v>
      </c>
      <c r="U53" s="24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9" t="str">
        <f t="shared" si="5"/>
        <v>https://d0f6bd738d7f1b3e5a7ca70fe4ff75f0.us-east-1.aws.found.io/app/kibana#/discover/Steve-Slow-Train-Analysis-(2080s-and-2083s)?_g=(refreshInterval:(display:Off,pause:!f,section:0,value:0),time:(from:'2017-11-27T07:38:31-0700',mode:absolute,to:'2017-11-27T10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3" s="248" t="str">
        <f>IF(AA53&lt;VLOOKUP(AG53,Variables!$AC$3:$AD$8,2,FALSE),"Y","N")</f>
        <v>N</v>
      </c>
      <c r="X53" s="248">
        <f t="shared" si="6"/>
        <v>1</v>
      </c>
      <c r="Y53" s="248">
        <f t="shared" si="7"/>
        <v>5.3499999999999999E-2</v>
      </c>
      <c r="Z53" s="248">
        <f t="shared" si="8"/>
        <v>23.329899999999999</v>
      </c>
      <c r="AA53" s="248">
        <f t="shared" si="9"/>
        <v>23.276399999999999</v>
      </c>
      <c r="AB53" s="234" t="e">
        <f>VLOOKUP(A53,Enforcements!$C$7:$K$9,8,0)</f>
        <v>#N/A</v>
      </c>
      <c r="AC53" s="233" t="e">
        <f>VLOOKUP(A53,Enforcements!$C$7:$E$9,3,0)</f>
        <v>#N/A</v>
      </c>
      <c r="AD53" s="244">
        <f t="shared" si="10"/>
        <v>141</v>
      </c>
      <c r="AE53" s="236" t="str">
        <f t="shared" si="11"/>
        <v>aws s3 cp s3://rtdc.mdm.uploadarchive.raw/RTDC4064/ "%USERPROFILE%\AppData\Local\Temp\OnboardLogs"\RTDC4064\2017-11-27 --exclude "*" --recursive --include "*20171127*" &amp; "%USERPROFILE%\Documents\GitHub\mrs-test-scripts\Headless Mode &amp; Sideloading\WalkAndUnGZ.bat" "%USERPROFILE%\AppData\Local\Temp\OnboardLogs"\RTDC4064\2017-11-27 &amp; aws s3 cp s3://rtdc.mdm.uploadarchive.raw/RTDC4064/ "%USERPROFILE%\AppData\Local\Temp\OnboardLogs"\RTDC4064\2017-11-28 --exclude "*" --recursive --include "*20171128*" &amp; "%USERPROFILE%\Documents\GitHub\mrs-test-scripts\Headless Mode &amp; Sideloading\WalkAndUnGZ.bat" "%USERPROFILE%\AppData\Local\Temp\OnboardLogs"\RTDC4064\2017-11-28</v>
      </c>
      <c r="AF53" s="235" t="str">
        <f t="shared" si="12"/>
        <v>"C:\Program Files (x86)\AstroGrep\AstroGrep.exe" /e /r /s /spath="%USERPROFILE%\AppData\Local\Temp\OnboardLogs" /stypes="app*4064*20171127*" /stext=" 16:.+((SYSTEM_STATE.+slice.+state.+changed )|(ment ac)|(multiple cpu faults)|(system.+state.+changed )|(\[timeout)|(PRM\|1\|D)|(kpr)|(kdp)|(train st.+moving)|(\|lc)|(penalty))"</v>
      </c>
      <c r="AG53" s="245" t="str">
        <f t="shared" si="13"/>
        <v>EC</v>
      </c>
      <c r="AH53" s="237" t="str">
        <f t="shared" si="19"/>
        <v>"%USERPROFILE%\Documents\GitHub\eaglep3\Utilities\RefineRTDCRunTimes.py" --tripid 141-27 --locoid 4064 --swversion DE.1.0.9.0 --startMP 204:535 --initTime 2017-11-27T08:38:31 --startdatetime 2017-11-27T08:45:18 --delay 53 --endMP 204:233299 --enddatetime 2017-11-27T09:20:32 --enforcementcount 0 &gt;&gt;%USERPROFILE%\Documents\GitHub\eaglep3-reporting\EC\2017-11-27-refined-times.txt</v>
      </c>
      <c r="AI53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{"issue":{"subject":"","project_id":79,"tracker_id":40,"status_id":1,"priority_id":2,"assigned_to_id":338,"start_date":"2017-11-27","description":"","custom_fields":[{"id":1,"name":"Subdivision","value":"EC"},{"id":4,"name":"Milepost","value":"23.3299"},{"id":17,"name":"Train ID","value":"141-27"},{"id":16,"name":"Locomotive ID","value":"4064"},{"id":130,"name":"Impact","value":""},{"id":150,"name":"Time of Event (Mountain Time)","value":"09:20:32"},{"id":151,"name":"Denver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4"/>
      <c r="AK53" s="232"/>
      <c r="AL53" s="232"/>
      <c r="AM53" s="241" t="str">
        <f t="shared" si="21"/>
        <v>start /low /b %USERPROFILE%\Documents\GitHub\eaglep3\Utilities\DownloadLogsFromS3.py --loco 4064 --day 2017-11-27</v>
      </c>
      <c r="AN53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16:20:32"},{"id":29,"name":"Sharepoint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1" t="str">
        <f t="shared" si="23"/>
        <v>https://d0f6bd738d7f1b3e5a7ca70fe4ff75f0.us-east-1.aws.found.io/app/kibana#/discover/Steve-Slow-Train-Analysis-(2080s-and-2083s)?_g=(refreshInterval:(display:Off,pause:!f,section:0,value:0),time:(from:'2017-11-27T07:38:31-0700',mode:absolute,to:'2017-11-27T10:20:32-0700'))&amp;_a=(columns:!('Message%20ID',Summary),filters:!(),index:'emp_*',interval:auto,query:(query_string:(analyze_wildcard:!t,query:'%22rtdc.l.rtdc.4064%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30" t="s">
        <v>675</v>
      </c>
      <c r="B54" s="226">
        <v>4063</v>
      </c>
      <c r="C54" s="228" t="s">
        <v>192</v>
      </c>
      <c r="D54" s="228" t="s">
        <v>565</v>
      </c>
      <c r="E54" s="227">
        <v>43066.390601851854</v>
      </c>
      <c r="F54" s="227">
        <v>43066.404374999998</v>
      </c>
      <c r="G54" s="226">
        <v>64</v>
      </c>
      <c r="H54" s="228" t="s">
        <v>415</v>
      </c>
      <c r="I54" s="227">
        <v>43066.431655092594</v>
      </c>
      <c r="J54" s="226">
        <v>0</v>
      </c>
      <c r="K54" s="238" t="str">
        <f t="shared" si="0"/>
        <v>4063/4064</v>
      </c>
      <c r="L54" s="246" t="str">
        <f>VLOOKUP(A54,'Trips&amp;Operators'!$C$1:$G$99911,5,FALSE)</f>
        <v>DAVIDSON DAVID</v>
      </c>
      <c r="M54" s="225">
        <f t="shared" si="1"/>
        <v>2.7280092595901806E-2</v>
      </c>
      <c r="N54" s="226">
        <f t="shared" si="2"/>
        <v>39.283333338098601</v>
      </c>
      <c r="O54" s="226"/>
      <c r="P54" s="226"/>
      <c r="Q54" s="229"/>
      <c r="R54" s="243"/>
      <c r="S54" s="250">
        <f t="shared" si="3"/>
        <v>1</v>
      </c>
      <c r="T54" s="243" t="str">
        <f t="shared" si="4"/>
        <v>Southbound</v>
      </c>
      <c r="U54" s="24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9" t="str">
        <f t="shared" si="5"/>
        <v>https://d0f6bd738d7f1b3e5a7ca70fe4ff75f0.us-east-1.aws.found.io/app/kibana#/discover/Steve-Slow-Train-Analysis-(2080s-and-2083s)?_g=(refreshInterval:(display:Off,pause:!f,section:0,value:0),time:(from:'2017-11-27T08:22:28-0700',mode:absolute,to:'2017-11-27T11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4" s="248" t="str">
        <f>IF(AA54&lt;VLOOKUP(AG54,Variables!$AC$3:$AD$8,2,FALSE),"Y","N")</f>
        <v>N</v>
      </c>
      <c r="X54" s="248">
        <f t="shared" si="6"/>
        <v>1</v>
      </c>
      <c r="Y54" s="248">
        <f t="shared" si="7"/>
        <v>23.294599999999999</v>
      </c>
      <c r="Z54" s="248">
        <f t="shared" si="8"/>
        <v>2.1399999999999999E-2</v>
      </c>
      <c r="AA54" s="248">
        <f t="shared" si="9"/>
        <v>23.273199999999999</v>
      </c>
      <c r="AB54" s="234" t="e">
        <f>VLOOKUP(A54,Enforcements!$C$7:$K$9,8,0)</f>
        <v>#N/A</v>
      </c>
      <c r="AC54" s="233" t="e">
        <f>VLOOKUP(A54,Enforcements!$C$7:$E$9,3,0)</f>
        <v>#N/A</v>
      </c>
      <c r="AD54" s="244">
        <f t="shared" si="10"/>
        <v>142</v>
      </c>
      <c r="AE54" s="236" t="str">
        <f t="shared" si="11"/>
        <v>aws s3 cp s3://rtdc.mdm.uploadarchive.raw/RTDC4063/ "%USERPROFILE%\AppData\Local\Temp\OnboardLogs"\RTDC4063\2017-11-27 --exclude "*" --recursive --include "*20171127*" &amp; "%USERPROFILE%\Documents\GitHub\mrs-test-scripts\Headless Mode &amp; Sideloading\WalkAndUnGZ.bat" "%USERPROFILE%\AppData\Local\Temp\OnboardLogs"\RTDC4063\2017-11-27 &amp; aws s3 cp s3://rtdc.mdm.uploadarchive.raw/RTDC4063/ "%USERPROFILE%\AppData\Local\Temp\OnboardLogs"\RTDC4063\2017-11-28 --exclude "*" --recursive --include "*20171128*" &amp; "%USERPROFILE%\Documents\GitHub\mrs-test-scripts\Headless Mode &amp; Sideloading\WalkAndUnGZ.bat" "%USERPROFILE%\AppData\Local\Temp\OnboardLogs"\RTDC4063\2017-11-28</v>
      </c>
      <c r="AF54" s="235" t="str">
        <f t="shared" si="12"/>
        <v>"C:\Program Files (x86)\AstroGrep\AstroGrep.exe" /e /r /s /spath="%USERPROFILE%\AppData\Local\Temp\OnboardLogs" /stypes="app*4063*20171127*" /stext=" 17:.+((SYSTEM_STATE.+slice.+state.+changed )|(ment ac)|(multiple cpu faults)|(system.+state.+changed )|(\[timeout)|(PRM\|1\|D)|(kpr)|(kdp)|(train st.+moving)|(\|lc)|(penalty))"</v>
      </c>
      <c r="AG54" s="245" t="str">
        <f t="shared" si="13"/>
        <v>EC</v>
      </c>
      <c r="AH54" s="237" t="str">
        <f t="shared" si="19"/>
        <v>"%USERPROFILE%\Documents\GitHub\eaglep3\Utilities\RefineRTDCRunTimes.py" --tripid 142-27 --locoid 4063 --swversion DE.1.0.9.0 --startMP 204:232946 --initTime 2017-11-27T09:22:28 --startdatetime 2017-11-27T09:42:18 --delay 64 --endMP 204:214 --enddatetime 2017-11-27T10:21:35 --enforcementcount 0 &gt;&gt;%USERPROFILE%\Documents\GitHub\eaglep3-reporting\EC\2017-11-27-refined-times.txt</v>
      </c>
      <c r="AI54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{"issue":{"subject":"","project_id":79,"tracker_id":40,"status_id":1,"priority_id":2,"assigned_to_id":338,"start_date":"2017-11-27","description":"","custom_fields":[{"id":1,"name":"Subdivision","value":"EC"},{"id":4,"name":"Milepost","value":"0.0214"},{"id":17,"name":"Train ID","value":"142-27"},{"id":16,"name":"Locomotive ID","value":"4063"},{"id":130,"name":"Impact","value":""},{"id":150,"name":"Time of Event (Mountain Time)","value":"10:21:35"},{"id":151,"name":"Denver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4"/>
      <c r="AK54" s="232"/>
      <c r="AL54" s="232"/>
      <c r="AM54" s="241" t="str">
        <f t="shared" si="21"/>
        <v>start /low /b %USERPROFILE%\Documents\GitHub\eaglep3\Utilities\DownloadLogsFromS3.py --loco 4063 --day 2017-11-27</v>
      </c>
      <c r="AN54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17:21:35"},{"id":29,"name":"Sharepoint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1" t="str">
        <f t="shared" si="23"/>
        <v>https://d0f6bd738d7f1b3e5a7ca70fe4ff75f0.us-east-1.aws.found.io/app/kibana#/discover/Steve-Slow-Train-Analysis-(2080s-and-2083s)?_g=(refreshInterval:(display:Off,pause:!f,section:0,value:0),time:(from:'2017-11-27T08:22:28-0700',mode:absolute,to:'2017-11-27T11:21:35-0700'))&amp;_a=(columns:!('Message%20ID',Summary),filters:!(),index:'emp_*',interval:auto,query:(query_string:(analyze_wildcard:!t,query:'%22rtdc.l.rtdc.4063%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30" t="s">
        <v>672</v>
      </c>
      <c r="B55" s="226">
        <v>4022</v>
      </c>
      <c r="C55" s="228" t="s">
        <v>192</v>
      </c>
      <c r="D55" s="228" t="s">
        <v>455</v>
      </c>
      <c r="E55" s="227">
        <v>43066.371157407404</v>
      </c>
      <c r="F55" s="227">
        <v>43066.3752662037</v>
      </c>
      <c r="G55" s="226">
        <v>65</v>
      </c>
      <c r="H55" s="228" t="s">
        <v>850</v>
      </c>
      <c r="I55" s="227">
        <v>43066.400659722225</v>
      </c>
      <c r="J55" s="226">
        <v>0</v>
      </c>
      <c r="K55" s="238" t="str">
        <f t="shared" si="0"/>
        <v>4021/4022</v>
      </c>
      <c r="L55" s="246" t="str">
        <f>VLOOKUP(A55,'Trips&amp;Operators'!$C$1:$G$99911,5,FALSE)</f>
        <v>NICHOLAS PLOYSA</v>
      </c>
      <c r="M55" s="225">
        <f t="shared" si="1"/>
        <v>2.5393518524651881E-2</v>
      </c>
      <c r="N55" s="226">
        <f t="shared" si="2"/>
        <v>36.566666675498709</v>
      </c>
      <c r="O55" s="226"/>
      <c r="P55" s="226"/>
      <c r="Q55" s="229"/>
      <c r="R55" s="243"/>
      <c r="S55" s="250">
        <f t="shared" si="3"/>
        <v>1</v>
      </c>
      <c r="T55" s="243" t="str">
        <f t="shared" si="4"/>
        <v>NorthBound</v>
      </c>
      <c r="U55" s="24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9" t="str">
        <f t="shared" si="5"/>
        <v>https://d0f6bd738d7f1b3e5a7ca70fe4ff75f0.us-east-1.aws.found.io/app/kibana#/discover/Steve-Slow-Train-Analysis-(2080s-and-2083s)?_g=(refreshInterval:(display:Off,pause:!f,section:0,value:0),time:(from:'2017-11-27T07:54:28-0700',mode:absolute,to:'2017-11-27T10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5" s="248" t="str">
        <f>IF(AA55&lt;VLOOKUP(AG55,Variables!$AC$3:$AD$8,2,FALSE),"Y","N")</f>
        <v>N</v>
      </c>
      <c r="X55" s="248">
        <f t="shared" si="6"/>
        <v>1</v>
      </c>
      <c r="Y55" s="248">
        <f t="shared" si="7"/>
        <v>4.4900000000000002E-2</v>
      </c>
      <c r="Z55" s="248">
        <f t="shared" si="8"/>
        <v>23.331</v>
      </c>
      <c r="AA55" s="248">
        <f t="shared" si="9"/>
        <v>23.286100000000001</v>
      </c>
      <c r="AB55" s="234" t="e">
        <f>VLOOKUP(A55,Enforcements!$C$7:$K$9,8,0)</f>
        <v>#N/A</v>
      </c>
      <c r="AC55" s="233" t="e">
        <f>VLOOKUP(A55,Enforcements!$C$7:$E$9,3,0)</f>
        <v>#N/A</v>
      </c>
      <c r="AD55" s="244">
        <f t="shared" si="10"/>
        <v>143</v>
      </c>
      <c r="AE55" s="236" t="str">
        <f t="shared" si="11"/>
        <v>aws s3 cp s3://rtdc.mdm.uploadarchive.raw/RTDC4022/ "%USERPROFILE%\AppData\Local\Temp\OnboardLogs"\RTDC4022\2017-11-27 --exclude "*" --recursive --include "*20171127*" &amp; "%USERPROFILE%\Documents\GitHub\mrs-test-scripts\Headless Mode &amp; Sideloading\WalkAndUnGZ.bat" "%USERPROFILE%\AppData\Local\Temp\OnboardLogs"\RTDC4022\2017-11-27 &amp; aws s3 cp s3://rtdc.mdm.uploadarchive.raw/RTDC4022/ "%USERPROFILE%\AppData\Local\Temp\OnboardLogs"\RTDC4022\2017-11-28 --exclude "*" --recursive --include "*20171128*" &amp; "%USERPROFILE%\Documents\GitHub\mrs-test-scripts\Headless Mode &amp; Sideloading\WalkAndUnGZ.bat" "%USERPROFILE%\AppData\Local\Temp\OnboardLogs"\RTDC4022\2017-11-28</v>
      </c>
      <c r="AF55" s="235" t="str">
        <f t="shared" si="12"/>
        <v>"C:\Program Files (x86)\AstroGrep\AstroGrep.exe" /e /r /s /spath="%USERPROFILE%\AppData\Local\Temp\OnboardLogs" /stypes="app*4022*20171127*" /stext=" 16:.+((SYSTEM_STATE.+slice.+state.+changed )|(ment ac)|(multiple cpu faults)|(system.+state.+changed )|(\[timeout)|(PRM\|1\|D)|(kpr)|(kdp)|(train st.+moving)|(\|lc)|(penalty))"</v>
      </c>
      <c r="AG55" s="245" t="str">
        <f t="shared" si="13"/>
        <v>EC</v>
      </c>
      <c r="AH55" s="237" t="str">
        <f t="shared" si="19"/>
        <v>"%USERPROFILE%\Documents\GitHub\eaglep3\Utilities\RefineRTDCRunTimes.py" --tripid 143-27 --locoid 4022 --swversion DE.1.0.9.0 --startMP 204:449 --initTime 2017-11-27T08:54:28 --startdatetime 2017-11-27T09:00:23 --delay 65 --endMP 204:233310 --enddatetime 2017-11-27T09:36:57 --enforcementcount 0 &gt;&gt;%USERPROFILE%\Documents\GitHub\eaglep3-reporting\EC\2017-11-27-refined-times.txt</v>
      </c>
      <c r="AI55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{"issue":{"subject":"","project_id":79,"tracker_id":40,"status_id":1,"priority_id":2,"assigned_to_id":338,"start_date":"2017-11-27","description":"","custom_fields":[{"id":1,"name":"Subdivision","value":"EC"},{"id":4,"name":"Milepost","value":"23.331"},{"id":17,"name":"Train ID","value":"143-27"},{"id":16,"name":"Locomotive ID","value":"4022"},{"id":130,"name":"Impact","value":""},{"id":150,"name":"Time of Event (Mountain Time)","value":"09:36:57"},{"id":151,"name":"Denver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4"/>
      <c r="AK55" s="232"/>
      <c r="AL55" s="232"/>
      <c r="AM55" s="241" t="str">
        <f t="shared" si="21"/>
        <v>start /low /b %USERPROFILE%\Documents\GitHub\eaglep3\Utilities\DownloadLogsFromS3.py --loco 4022 --day 2017-11-27</v>
      </c>
      <c r="AN55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16:36:57"},{"id":29,"name":"Sharepoint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1" t="str">
        <f t="shared" si="23"/>
        <v>https://d0f6bd738d7f1b3e5a7ca70fe4ff75f0.us-east-1.aws.found.io/app/kibana#/discover/Steve-Slow-Train-Analysis-(2080s-and-2083s)?_g=(refreshInterval:(display:Off,pause:!f,section:0,value:0),time:(from:'2017-11-27T07:54:28-0700',mode:absolute,to:'2017-11-27T10:36:57-0700'))&amp;_a=(columns:!('Message%20ID',Summary),filters:!(),index:'emp_*',interval:auto,query:(query_string:(analyze_wildcard:!t,query:'%22rtdc.l.rtdc.4022%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30" t="s">
        <v>679</v>
      </c>
      <c r="B56" s="226">
        <v>4021</v>
      </c>
      <c r="C56" s="228" t="s">
        <v>192</v>
      </c>
      <c r="D56" s="228" t="s">
        <v>485</v>
      </c>
      <c r="E56" s="227">
        <v>43066.407175925924</v>
      </c>
      <c r="F56" s="227">
        <v>43066.415023148147</v>
      </c>
      <c r="G56" s="226">
        <v>86</v>
      </c>
      <c r="H56" s="228" t="s">
        <v>840</v>
      </c>
      <c r="I56" s="227">
        <v>43066.443090277775</v>
      </c>
      <c r="J56" s="226">
        <v>0</v>
      </c>
      <c r="K56" s="238" t="str">
        <f t="shared" si="0"/>
        <v>4021/4022</v>
      </c>
      <c r="L56" s="246" t="str">
        <f>VLOOKUP(A56,'Trips&amp;Operators'!$C$1:$G$99911,5,FALSE)</f>
        <v>NICHOLAS PLOYSA</v>
      </c>
      <c r="M56" s="225">
        <f t="shared" si="1"/>
        <v>2.806712962774327E-2</v>
      </c>
      <c r="N56" s="226">
        <f t="shared" si="2"/>
        <v>40.416666663950309</v>
      </c>
      <c r="O56" s="226"/>
      <c r="P56" s="226"/>
      <c r="Q56" s="229"/>
      <c r="R56" s="243"/>
      <c r="S56" s="250">
        <f t="shared" si="3"/>
        <v>1</v>
      </c>
      <c r="T56" s="243" t="str">
        <f t="shared" si="4"/>
        <v>Southbound</v>
      </c>
      <c r="U56" s="24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9" t="str">
        <f t="shared" si="5"/>
        <v>https://d0f6bd738d7f1b3e5a7ca70fe4ff75f0.us-east-1.aws.found.io/app/kibana#/discover/Steve-Slow-Train-Analysis-(2080s-and-2083s)?_g=(refreshInterval:(display:Off,pause:!f,section:0,value:0),time:(from:'2017-11-27T08:46:20-0700',mode:absolute,to:'2017-11-27T11:38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6" s="248" t="str">
        <f>IF(AA56&lt;VLOOKUP(AG56,Variables!$AC$3:$AD$8,2,FALSE),"Y","N")</f>
        <v>N</v>
      </c>
      <c r="X56" s="248">
        <f t="shared" si="6"/>
        <v>1</v>
      </c>
      <c r="Y56" s="248">
        <f t="shared" si="7"/>
        <v>23.299099999999999</v>
      </c>
      <c r="Z56" s="248">
        <f t="shared" si="8"/>
        <v>1.47E-2</v>
      </c>
      <c r="AA56" s="248">
        <f t="shared" si="9"/>
        <v>23.284399999999998</v>
      </c>
      <c r="AB56" s="234" t="e">
        <f>VLOOKUP(A56,Enforcements!$C$7:$K$9,8,0)</f>
        <v>#N/A</v>
      </c>
      <c r="AC56" s="233" t="e">
        <f>VLOOKUP(A56,Enforcements!$C$7:$E$9,3,0)</f>
        <v>#N/A</v>
      </c>
      <c r="AD56" s="244">
        <f t="shared" si="10"/>
        <v>144</v>
      </c>
      <c r="AE56" s="236" t="str">
        <f t="shared" si="11"/>
        <v>aws s3 cp s3://rtdc.mdm.uploadarchive.raw/RTDC4021/ "%USERPROFILE%\AppData\Local\Temp\OnboardLogs"\RTDC4021\2017-11-27 --exclude "*" --recursive --include "*20171127*" &amp; "%USERPROFILE%\Documents\GitHub\mrs-test-scripts\Headless Mode &amp; Sideloading\WalkAndUnGZ.bat" "%USERPROFILE%\AppData\Local\Temp\OnboardLogs"\RTDC4021\2017-11-27 &amp; aws s3 cp s3://rtdc.mdm.uploadarchive.raw/RTDC4021/ "%USERPROFILE%\AppData\Local\Temp\OnboardLogs"\RTDC4021\2017-11-28 --exclude "*" --recursive --include "*20171128*" &amp; "%USERPROFILE%\Documents\GitHub\mrs-test-scripts\Headless Mode &amp; Sideloading\WalkAndUnGZ.bat" "%USERPROFILE%\AppData\Local\Temp\OnboardLogs"\RTDC4021\2017-11-28</v>
      </c>
      <c r="AF56" s="235" t="str">
        <f t="shared" si="12"/>
        <v>"C:\Program Files (x86)\AstroGrep\AstroGrep.exe" /e /r /s /spath="%USERPROFILE%\AppData\Local\Temp\OnboardLogs" /stypes="app*4021*20171127*" /stext=" 17:.+((SYSTEM_STATE.+slice.+state.+changed )|(ment ac)|(multiple cpu faults)|(system.+state.+changed )|(\[timeout)|(PRM\|1\|D)|(kpr)|(kdp)|(train st.+moving)|(\|lc)|(penalty))"</v>
      </c>
      <c r="AG56" s="245" t="str">
        <f t="shared" si="13"/>
        <v>EC</v>
      </c>
      <c r="AH56" s="237" t="str">
        <f t="shared" si="19"/>
        <v>"%USERPROFILE%\Documents\GitHub\eaglep3\Utilities\RefineRTDCRunTimes.py" --tripid 144-27 --locoid 4021 --swversion DE.1.0.9.0 --startMP 204:232991 --initTime 2017-11-27T09:46:20 --startdatetime 2017-11-27T09:57:38 --delay 86 --endMP 204:147 --enddatetime 2017-11-27T10:38:03 --enforcementcount 0 &gt;&gt;%USERPROFILE%\Documents\GitHub\eaglep3-reporting\EC\2017-11-27-refined-times.txt</v>
      </c>
      <c r="AI56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{"issue":{"subject":"","project_id":79,"tracker_id":40,"status_id":1,"priority_id":2,"assigned_to_id":338,"start_date":"2017-11-27","description":"","custom_fields":[{"id":1,"name":"Subdivision","value":"EC"},{"id":4,"name":"Milepost","value":"0.0147"},{"id":17,"name":"Train ID","value":"144-27"},{"id":16,"name":"Locomotive ID","value":"4021"},{"id":130,"name":"Impact","value":""},{"id":150,"name":"Time of Event (Mountain Time)","value":"10:38:03"},{"id":151,"name":"Denver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4"/>
      <c r="AK56" s="232"/>
      <c r="AL56" s="232"/>
      <c r="AM56" s="241" t="str">
        <f t="shared" si="21"/>
        <v>start /low /b %USERPROFILE%\Documents\GitHub\eaglep3\Utilities\DownloadLogsFromS3.py --loco 4021 --day 2017-11-27</v>
      </c>
      <c r="AN56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17:38:03"},{"id":29,"name":"Sharepoint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1" t="str">
        <f t="shared" si="23"/>
        <v>https://d0f6bd738d7f1b3e5a7ca70fe4ff75f0.us-east-1.aws.found.io/app/kibana#/discover/Steve-Slow-Train-Analysis-(2080s-and-2083s)?_g=(refreshInterval:(display:Off,pause:!f,section:0,value:0),time:(from:'2017-11-27T08:46:20-0700',mode:absolute,to:'2017-11-27T11:38:03-0700'))&amp;_a=(columns:!('Message%20ID',Summary),filters:!(),index:'emp_*',interval:auto,query:(query_string:(analyze_wildcard:!t,query:'%22rtdc.l.rtdc.4021%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30" t="s">
        <v>674</v>
      </c>
      <c r="B57" s="226">
        <v>4054</v>
      </c>
      <c r="C57" s="228" t="s">
        <v>192</v>
      </c>
      <c r="D57" s="228" t="s">
        <v>455</v>
      </c>
      <c r="E57" s="227">
        <v>43066.381481481483</v>
      </c>
      <c r="F57" s="227">
        <v>43066.385636574072</v>
      </c>
      <c r="G57" s="226">
        <v>46</v>
      </c>
      <c r="H57" s="228" t="s">
        <v>531</v>
      </c>
      <c r="I57" s="227">
        <v>43066.410173611112</v>
      </c>
      <c r="J57" s="226">
        <v>0</v>
      </c>
      <c r="K57" s="238" t="str">
        <f t="shared" si="0"/>
        <v>4053/4054</v>
      </c>
      <c r="L57" s="246" t="str">
        <f>VLOOKUP(A57,'Trips&amp;Operators'!$C$1:$G$99911,5,FALSE)</f>
        <v>LAMAR NEKESHA</v>
      </c>
      <c r="M57" s="225">
        <f t="shared" si="1"/>
        <v>2.453703703940846E-2</v>
      </c>
      <c r="N57" s="226">
        <f t="shared" si="2"/>
        <v>35.333333336748183</v>
      </c>
      <c r="O57" s="226"/>
      <c r="P57" s="226"/>
      <c r="Q57" s="229"/>
      <c r="R57" s="243"/>
      <c r="S57" s="250">
        <f t="shared" si="3"/>
        <v>1</v>
      </c>
      <c r="T57" s="243" t="str">
        <f t="shared" si="4"/>
        <v>NorthBound</v>
      </c>
      <c r="U57" s="24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9" t="str">
        <f t="shared" si="5"/>
        <v>https://d0f6bd738d7f1b3e5a7ca70fe4ff75f0.us-east-1.aws.found.io/app/kibana#/discover/Steve-Slow-Train-Analysis-(2080s-and-2083s)?_g=(refreshInterval:(display:Off,pause:!f,section:0,value:0),time:(from:'2017-11-27T08:09:20-0700',mode:absolute,to:'2017-11-27T10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7" s="248" t="str">
        <f>IF(AA57&lt;VLOOKUP(AG57,Variables!$AC$3:$AD$8,2,FALSE),"Y","N")</f>
        <v>N</v>
      </c>
      <c r="X57" s="248">
        <f t="shared" si="6"/>
        <v>1</v>
      </c>
      <c r="Y57" s="248">
        <f t="shared" si="7"/>
        <v>4.4900000000000002E-2</v>
      </c>
      <c r="Z57" s="248">
        <f t="shared" si="8"/>
        <v>23.330100000000002</v>
      </c>
      <c r="AA57" s="248">
        <f t="shared" si="9"/>
        <v>23.285200000000003</v>
      </c>
      <c r="AB57" s="234" t="e">
        <f>VLOOKUP(A57,Enforcements!$C$7:$K$9,8,0)</f>
        <v>#N/A</v>
      </c>
      <c r="AC57" s="233" t="e">
        <f>VLOOKUP(A57,Enforcements!$C$7:$E$9,3,0)</f>
        <v>#N/A</v>
      </c>
      <c r="AD57" s="244">
        <f t="shared" si="10"/>
        <v>145</v>
      </c>
      <c r="AE57" s="236" t="str">
        <f t="shared" si="11"/>
        <v>aws s3 cp s3://rtdc.mdm.uploadarchive.raw/RTDC4054/ "%USERPROFILE%\AppData\Local\Temp\OnboardLogs"\RTDC4054\2017-11-27 --exclude "*" --recursive --include "*20171127*" &amp; "%USERPROFILE%\Documents\GitHub\mrs-test-scripts\Headless Mode &amp; Sideloading\WalkAndUnGZ.bat" "%USERPROFILE%\AppData\Local\Temp\OnboardLogs"\RTDC4054\2017-11-27 &amp; aws s3 cp s3://rtdc.mdm.uploadarchive.raw/RTDC4054/ "%USERPROFILE%\AppData\Local\Temp\OnboardLogs"\RTDC4054\2017-11-28 --exclude "*" --recursive --include "*20171128*" &amp; "%USERPROFILE%\Documents\GitHub\mrs-test-scripts\Headless Mode &amp; Sideloading\WalkAndUnGZ.bat" "%USERPROFILE%\AppData\Local\Temp\OnboardLogs"\RTDC4054\2017-11-28</v>
      </c>
      <c r="AF57" s="235" t="str">
        <f t="shared" si="12"/>
        <v>"C:\Program Files (x86)\AstroGrep\AstroGrep.exe" /e /r /s /spath="%USERPROFILE%\AppData\Local\Temp\OnboardLogs" /stypes="app*4054*20171127*" /stext=" 16:.+((SYSTEM_STATE.+slice.+state.+changed )|(ment ac)|(multiple cpu faults)|(system.+state.+changed )|(\[timeout)|(PRM\|1\|D)|(kpr)|(kdp)|(train st.+moving)|(\|lc)|(penalty))"</v>
      </c>
      <c r="AG57" s="245" t="str">
        <f t="shared" si="13"/>
        <v>EC</v>
      </c>
      <c r="AH57" s="237" t="str">
        <f t="shared" si="19"/>
        <v>"%USERPROFILE%\Documents\GitHub\eaglep3\Utilities\RefineRTDCRunTimes.py" --tripid 145-27 --locoid 4054 --swversion DE.1.0.9.0 --startMP 204:449 --initTime 2017-11-27T09:09:20 --startdatetime 2017-11-27T09:15:19 --delay 46 --endMP 204:233301 --enddatetime 2017-11-27T09:50:39 --enforcementcount 0 &gt;&gt;%USERPROFILE%\Documents\GitHub\eaglep3-reporting\EC\2017-11-27-refined-times.txt</v>
      </c>
      <c r="AI57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{"issue":{"subject":"","project_id":79,"tracker_id":40,"status_id":1,"priority_id":2,"assigned_to_id":338,"start_date":"2017-11-27","description":"","custom_fields":[{"id":1,"name":"Subdivision","value":"EC"},{"id":4,"name":"Milepost","value":"23.3301"},{"id":17,"name":"Train ID","value":"145-27"},{"id":16,"name":"Locomotive ID","value":"4054"},{"id":130,"name":"Impact","value":""},{"id":150,"name":"Time of Event (Mountain Time)","value":"09:50:39"},{"id":151,"name":"Denver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4"/>
      <c r="AK57" s="232"/>
      <c r="AL57" s="232"/>
      <c r="AM57" s="241" t="str">
        <f t="shared" si="21"/>
        <v>start /low /b %USERPROFILE%\Documents\GitHub\eaglep3\Utilities\DownloadLogsFromS3.py --loco 4054 --day 2017-11-27</v>
      </c>
      <c r="AN57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16:50:39"},{"id":29,"name":"Sharepoint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1" t="str">
        <f t="shared" si="23"/>
        <v>https://d0f6bd738d7f1b3e5a7ca70fe4ff75f0.us-east-1.aws.found.io/app/kibana#/discover/Steve-Slow-Train-Analysis-(2080s-and-2083s)?_g=(refreshInterval:(display:Off,pause:!f,section:0,value:0),time:(from:'2017-11-27T08:09:20-0700',mode:absolute,to:'2017-11-27T10:50:39-0700'))&amp;_a=(columns:!('Message%20ID',Summary),filters:!(),index:'emp_*',interval:auto,query:(query_string:(analyze_wildcard:!t,query:'%22rtdc.l.rtdc.4054%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30" t="s">
        <v>682</v>
      </c>
      <c r="B58" s="226">
        <v>4053</v>
      </c>
      <c r="C58" s="228" t="s">
        <v>192</v>
      </c>
      <c r="D58" s="228" t="s">
        <v>568</v>
      </c>
      <c r="E58" s="227">
        <v>43066.420023148145</v>
      </c>
      <c r="F58" s="227">
        <v>43066.425185185188</v>
      </c>
      <c r="G58" s="226">
        <v>101</v>
      </c>
      <c r="H58" s="228" t="s">
        <v>529</v>
      </c>
      <c r="I58" s="227">
        <v>43066.452152777776</v>
      </c>
      <c r="J58" s="226">
        <v>0</v>
      </c>
      <c r="K58" s="238" t="str">
        <f t="shared" si="0"/>
        <v>4053/4054</v>
      </c>
      <c r="L58" s="246" t="str">
        <f>VLOOKUP(A58,'Trips&amp;Operators'!$C$1:$G$99911,5,FALSE)</f>
        <v>LAMAR NEKESHA</v>
      </c>
      <c r="M58" s="225">
        <f t="shared" si="1"/>
        <v>2.696759258833481E-2</v>
      </c>
      <c r="N58" s="226">
        <f t="shared" si="2"/>
        <v>38.833333327202126</v>
      </c>
      <c r="O58" s="226"/>
      <c r="P58" s="226"/>
      <c r="Q58" s="229"/>
      <c r="R58" s="243"/>
      <c r="S58" s="250">
        <f t="shared" si="3"/>
        <v>1</v>
      </c>
      <c r="T58" s="243" t="str">
        <f t="shared" si="4"/>
        <v>Southbound</v>
      </c>
      <c r="U58" s="24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9" t="str">
        <f t="shared" si="5"/>
        <v>https://d0f6bd738d7f1b3e5a7ca70fe4ff75f0.us-east-1.aws.found.io/app/kibana#/discover/Steve-Slow-Train-Analysis-(2080s-and-2083s)?_g=(refreshInterval:(display:Off,pause:!f,section:0,value:0),time:(from:'2017-11-27T09:04:50-0700',mode:absolute,to:'2017-11-27T11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8" s="248" t="str">
        <f>IF(AA58&lt;VLOOKUP(AG58,Variables!$AC$3:$AD$8,2,FALSE),"Y","N")</f>
        <v>N</v>
      </c>
      <c r="X58" s="248">
        <f t="shared" si="6"/>
        <v>1</v>
      </c>
      <c r="Y58" s="248">
        <f t="shared" si="7"/>
        <v>23.297999999999998</v>
      </c>
      <c r="Z58" s="248">
        <f t="shared" si="8"/>
        <v>1.5599999999999999E-2</v>
      </c>
      <c r="AA58" s="248">
        <f t="shared" si="9"/>
        <v>23.282399999999999</v>
      </c>
      <c r="AB58" s="234" t="e">
        <f>VLOOKUP(A58,Enforcements!$C$7:$K$9,8,0)</f>
        <v>#N/A</v>
      </c>
      <c r="AC58" s="233" t="e">
        <f>VLOOKUP(A58,Enforcements!$C$7:$E$9,3,0)</f>
        <v>#N/A</v>
      </c>
      <c r="AD58" s="244">
        <f t="shared" si="10"/>
        <v>146</v>
      </c>
      <c r="AE58" s="236" t="str">
        <f t="shared" si="11"/>
        <v>aws s3 cp s3://rtdc.mdm.uploadarchive.raw/RTDC4053/ "%USERPROFILE%\AppData\Local\Temp\OnboardLogs"\RTDC4053\2017-11-27 --exclude "*" --recursive --include "*20171127*" &amp; "%USERPROFILE%\Documents\GitHub\mrs-test-scripts\Headless Mode &amp; Sideloading\WalkAndUnGZ.bat" "%USERPROFILE%\AppData\Local\Temp\OnboardLogs"\RTDC4053\2017-11-27 &amp; aws s3 cp s3://rtdc.mdm.uploadarchive.raw/RTDC4053/ "%USERPROFILE%\AppData\Local\Temp\OnboardLogs"\RTDC4053\2017-11-28 --exclude "*" --recursive --include "*20171128*" &amp; "%USERPROFILE%\Documents\GitHub\mrs-test-scripts\Headless Mode &amp; Sideloading\WalkAndUnGZ.bat" "%USERPROFILE%\AppData\Local\Temp\OnboardLogs"\RTDC4053\2017-11-28</v>
      </c>
      <c r="AF58" s="235" t="str">
        <f t="shared" si="12"/>
        <v>"C:\Program Files (x86)\AstroGrep\AstroGrep.exe" /e /r /s /spath="%USERPROFILE%\AppData\Local\Temp\OnboardLogs" /stypes="app*4053*20171127*" /stext=" 17:.+((SYSTEM_STATE.+slice.+state.+changed )|(ment ac)|(multiple cpu faults)|(system.+state.+changed )|(\[timeout)|(PRM\|1\|D)|(kpr)|(kdp)|(train st.+moving)|(\|lc)|(penalty))"</v>
      </c>
      <c r="AG58" s="245" t="str">
        <f t="shared" si="13"/>
        <v>EC</v>
      </c>
      <c r="AH58" s="237" t="str">
        <f t="shared" si="19"/>
        <v>"%USERPROFILE%\Documents\GitHub\eaglep3\Utilities\RefineRTDCRunTimes.py" --tripid 146-27 --locoid 4053 --swversion DE.1.0.9.0 --startMP 204:232980 --initTime 2017-11-27T10:04:50 --startdatetime 2017-11-27T10:12:16 --delay 101 --endMP 204:156 --enddatetime 2017-11-27T10:51:06 --enforcementcount 0 &gt;&gt;%USERPROFILE%\Documents\GitHub\eaglep3-reporting\EC\2017-11-27-refined-times.txt</v>
      </c>
      <c r="AI58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{"issue":{"subject":"","project_id":79,"tracker_id":40,"status_id":1,"priority_id":2,"assigned_to_id":338,"start_date":"2017-11-27","description":"","custom_fields":[{"id":1,"name":"Subdivision","value":"EC"},{"id":4,"name":"Milepost","value":"0.0156"},{"id":17,"name":"Train ID","value":"146-27"},{"id":16,"name":"Locomotive ID","value":"4053"},{"id":130,"name":"Impact","value":""},{"id":150,"name":"Time of Event (Mountain Time)","value":"10:51:06"},{"id":151,"name":"Denver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4"/>
      <c r="AK58" s="232"/>
      <c r="AL58" s="232"/>
      <c r="AM58" s="241" t="str">
        <f t="shared" si="21"/>
        <v>start /low /b %USERPROFILE%\Documents\GitHub\eaglep3\Utilities\DownloadLogsFromS3.py --loco 4053 --day 2017-11-27</v>
      </c>
      <c r="AN58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17:51:06"},{"id":29,"name":"Sharepoint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1" t="str">
        <f t="shared" si="23"/>
        <v>https://d0f6bd738d7f1b3e5a7ca70fe4ff75f0.us-east-1.aws.found.io/app/kibana#/discover/Steve-Slow-Train-Analysis-(2080s-and-2083s)?_g=(refreshInterval:(display:Off,pause:!f,section:0,value:0),time:(from:'2017-11-27T09:04:50-0700',mode:absolute,to:'2017-11-27T11:51:06-0700'))&amp;_a=(columns:!('Message%20ID',Summary),filters:!(),index:'emp_*',interval:auto,query:(query_string:(analyze_wildcard:!t,query:'%22rtdc.l.rtdc.4053%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30" t="s">
        <v>677</v>
      </c>
      <c r="B59" s="226">
        <v>4044</v>
      </c>
      <c r="C59" s="228" t="s">
        <v>192</v>
      </c>
      <c r="D59" s="228" t="s">
        <v>853</v>
      </c>
      <c r="E59" s="227">
        <v>43066.393703703703</v>
      </c>
      <c r="F59" s="227">
        <v>43066.396099537036</v>
      </c>
      <c r="G59" s="226">
        <v>101</v>
      </c>
      <c r="H59" s="228" t="s">
        <v>439</v>
      </c>
      <c r="I59" s="227">
        <v>43066.421238425923</v>
      </c>
      <c r="J59" s="226">
        <v>0</v>
      </c>
      <c r="K59" s="238" t="str">
        <f t="shared" si="0"/>
        <v>4043/4044</v>
      </c>
      <c r="L59" s="246" t="str">
        <f>VLOOKUP(A59,'Trips&amp;Operators'!$C$1:$G$99911,5,FALSE)</f>
        <v>STARKS ANGELINA</v>
      </c>
      <c r="M59" s="225">
        <f t="shared" si="1"/>
        <v>2.5138888886431232E-2</v>
      </c>
      <c r="N59" s="226">
        <f t="shared" si="2"/>
        <v>36.199999996460974</v>
      </c>
      <c r="O59" s="226"/>
      <c r="P59" s="226"/>
      <c r="Q59" s="229"/>
      <c r="R59" s="243"/>
      <c r="S59" s="250">
        <f t="shared" si="3"/>
        <v>1</v>
      </c>
      <c r="T59" s="243" t="str">
        <f t="shared" si="4"/>
        <v>NorthBound</v>
      </c>
      <c r="U59" s="24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9" t="str">
        <f t="shared" si="5"/>
        <v>https://d0f6bd738d7f1b3e5a7ca70fe4ff75f0.us-east-1.aws.found.io/app/kibana#/discover/Steve-Slow-Train-Analysis-(2080s-and-2083s)?_g=(refreshInterval:(display:Off,pause:!f,section:0,value:0),time:(from:'2017-11-27T08:26:56-0700',mode:absolute,to:'2017-11-27T11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9" s="248" t="str">
        <f>IF(AA59&lt;VLOOKUP(AG59,Variables!$AC$3:$AD$8,2,FALSE),"Y","N")</f>
        <v>N</v>
      </c>
      <c r="X59" s="248">
        <f t="shared" si="6"/>
        <v>1</v>
      </c>
      <c r="Y59" s="248">
        <f t="shared" si="7"/>
        <v>4.5100000000000001E-2</v>
      </c>
      <c r="Z59" s="248">
        <f t="shared" si="8"/>
        <v>23.329499999999999</v>
      </c>
      <c r="AA59" s="248">
        <f t="shared" si="9"/>
        <v>23.284399999999998</v>
      </c>
      <c r="AB59" s="234" t="e">
        <f>VLOOKUP(A59,Enforcements!$C$7:$K$9,8,0)</f>
        <v>#N/A</v>
      </c>
      <c r="AC59" s="233" t="e">
        <f>VLOOKUP(A59,Enforcements!$C$7:$E$9,3,0)</f>
        <v>#N/A</v>
      </c>
      <c r="AD59" s="244">
        <f t="shared" si="10"/>
        <v>147</v>
      </c>
      <c r="AE59" s="236" t="str">
        <f t="shared" si="11"/>
        <v>aws s3 cp s3://rtdc.mdm.uploadarchive.raw/RTDC4044/ "%USERPROFILE%\AppData\Local\Temp\OnboardLogs"\RTDC4044\2017-11-27 --exclude "*" --recursive --include "*20171127*" &amp; "%USERPROFILE%\Documents\GitHub\mrs-test-scripts\Headless Mode &amp; Sideloading\WalkAndUnGZ.bat" "%USERPROFILE%\AppData\Local\Temp\OnboardLogs"\RTDC4044\2017-11-27 &amp; aws s3 cp s3://rtdc.mdm.uploadarchive.raw/RTDC4044/ "%USERPROFILE%\AppData\Local\Temp\OnboardLogs"\RTDC4044\2017-11-28 --exclude "*" --recursive --include "*20171128*" &amp; "%USERPROFILE%\Documents\GitHub\mrs-test-scripts\Headless Mode &amp; Sideloading\WalkAndUnGZ.bat" "%USERPROFILE%\AppData\Local\Temp\OnboardLogs"\RTDC4044\2017-11-28</v>
      </c>
      <c r="AF59" s="235" t="str">
        <f t="shared" si="12"/>
        <v>"C:\Program Files (x86)\AstroGrep\AstroGrep.exe" /e /r /s /spath="%USERPROFILE%\AppData\Local\Temp\OnboardLogs" /stypes="app*4044*20171127*" /stext=" 17:.+((SYSTEM_STATE.+slice.+state.+changed )|(ment ac)|(multiple cpu faults)|(system.+state.+changed )|(\[timeout)|(PRM\|1\|D)|(kpr)|(kdp)|(train st.+moving)|(\|lc)|(penalty))"</v>
      </c>
      <c r="AG59" s="245" t="str">
        <f t="shared" si="13"/>
        <v>EC</v>
      </c>
      <c r="AH59" s="237" t="str">
        <f t="shared" si="19"/>
        <v>"%USERPROFILE%\Documents\GitHub\eaglep3\Utilities\RefineRTDCRunTimes.py" --tripid 147-27 --locoid 4044 --swversion DE.1.0.9.0 --startMP 204:451 --initTime 2017-11-27T09:26:56 --startdatetime 2017-11-27T09:30:23 --delay 101 --endMP 204:233295 --enddatetime 2017-11-27T10:06:35 --enforcementcount 0 &gt;&gt;%USERPROFILE%\Documents\GitHub\eaglep3-reporting\EC\2017-11-27-refined-times.txt</v>
      </c>
      <c r="AI59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{"issue":{"subject":"","project_id":79,"tracker_id":40,"status_id":1,"priority_id":2,"assigned_to_id":338,"start_date":"2017-11-27","description":"","custom_fields":[{"id":1,"name":"Subdivision","value":"EC"},{"id":4,"name":"Milepost","value":"23.3295"},{"id":17,"name":"Train ID","value":"147-27"},{"id":16,"name":"Locomotive ID","value":"4044"},{"id":130,"name":"Impact","value":""},{"id":150,"name":"Time of Event (Mountain Time)","value":"10:06:35"},{"id":151,"name":"Denver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4"/>
      <c r="AK59" s="232"/>
      <c r="AL59" s="232"/>
      <c r="AM59" s="241" t="str">
        <f t="shared" si="21"/>
        <v>start /low /b %USERPROFILE%\Documents\GitHub\eaglep3\Utilities\DownloadLogsFromS3.py --loco 4044 --day 2017-11-27</v>
      </c>
      <c r="AN59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17:06:35"},{"id":29,"name":"Sharepoint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1" t="str">
        <f t="shared" si="23"/>
        <v>https://d0f6bd738d7f1b3e5a7ca70fe4ff75f0.us-east-1.aws.found.io/app/kibana#/discover/Steve-Slow-Train-Analysis-(2080s-and-2083s)?_g=(refreshInterval:(display:Off,pause:!f,section:0,value:0),time:(from:'2017-11-27T08:26:56-0700',mode:absolute,to:'2017-11-27T11:06:35-0700'))&amp;_a=(columns:!('Message%20ID',Summary),filters:!(),index:'emp_*',interval:auto,query:(query_string:(analyze_wildcard:!t,query:'%22rtdc.l.rtdc.4044%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30" t="s">
        <v>687</v>
      </c>
      <c r="B60" s="226">
        <v>4043</v>
      </c>
      <c r="C60" s="228" t="s">
        <v>192</v>
      </c>
      <c r="D60" s="228" t="s">
        <v>851</v>
      </c>
      <c r="E60" s="227">
        <v>43066.435057870367</v>
      </c>
      <c r="F60" s="227">
        <v>43066.436354166668</v>
      </c>
      <c r="G60" s="226">
        <v>53</v>
      </c>
      <c r="H60" s="228" t="s">
        <v>449</v>
      </c>
      <c r="I60" s="227">
        <v>43066.463946759257</v>
      </c>
      <c r="J60" s="226">
        <v>0</v>
      </c>
      <c r="K60" s="238" t="str">
        <f t="shared" si="0"/>
        <v>4043/4044</v>
      </c>
      <c r="L60" s="246" t="str">
        <f>VLOOKUP(A60,'Trips&amp;Operators'!$C$1:$G$99911,5,FALSE)</f>
        <v>STARKS ANGELINA</v>
      </c>
      <c r="M60" s="225">
        <f t="shared" si="1"/>
        <v>2.7592592588916887E-2</v>
      </c>
      <c r="N60" s="226">
        <f t="shared" si="2"/>
        <v>39.733333328040317</v>
      </c>
      <c r="O60" s="226"/>
      <c r="P60" s="226"/>
      <c r="Q60" s="229"/>
      <c r="R60" s="243"/>
      <c r="S60" s="250">
        <f t="shared" si="3"/>
        <v>1</v>
      </c>
      <c r="T60" s="243" t="str">
        <f t="shared" si="4"/>
        <v>Southbound</v>
      </c>
      <c r="U60" s="24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9" t="str">
        <f t="shared" si="5"/>
        <v>https://d0f6bd738d7f1b3e5a7ca70fe4ff75f0.us-east-1.aws.found.io/app/kibana#/discover/Steve-Slow-Train-Analysis-(2080s-and-2083s)?_g=(refreshInterval:(display:Off,pause:!f,section:0,value:0),time:(from:'2017-11-27T09:26:29-0700',mode:absolute,to:'2017-11-27T12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0" s="248" t="str">
        <f>IF(AA60&lt;VLOOKUP(AG60,Variables!$AC$3:$AD$8,2,FALSE),"Y","N")</f>
        <v>N</v>
      </c>
      <c r="X60" s="248">
        <f t="shared" si="6"/>
        <v>1</v>
      </c>
      <c r="Y60" s="248">
        <f t="shared" si="7"/>
        <v>23.299399999999999</v>
      </c>
      <c r="Z60" s="248">
        <f t="shared" si="8"/>
        <v>1.54E-2</v>
      </c>
      <c r="AA60" s="248">
        <f t="shared" si="9"/>
        <v>23.283999999999999</v>
      </c>
      <c r="AB60" s="234" t="e">
        <f>VLOOKUP(A60,Enforcements!$C$7:$K$9,8,0)</f>
        <v>#N/A</v>
      </c>
      <c r="AC60" s="233" t="e">
        <f>VLOOKUP(A60,Enforcements!$C$7:$E$9,3,0)</f>
        <v>#N/A</v>
      </c>
      <c r="AD60" s="244">
        <f t="shared" si="10"/>
        <v>148</v>
      </c>
      <c r="AE60" s="236" t="str">
        <f t="shared" si="11"/>
        <v>aws s3 cp s3://rtdc.mdm.uploadarchive.raw/RTDC4043/ "%USERPROFILE%\AppData\Local\Temp\OnboardLogs"\RTDC4043\2017-11-27 --exclude "*" --recursive --include "*20171127*" &amp; "%USERPROFILE%\Documents\GitHub\mrs-test-scripts\Headless Mode &amp; Sideloading\WalkAndUnGZ.bat" "%USERPROFILE%\AppData\Local\Temp\OnboardLogs"\RTDC4043\2017-11-27 &amp; aws s3 cp s3://rtdc.mdm.uploadarchive.raw/RTDC4043/ "%USERPROFILE%\AppData\Local\Temp\OnboardLogs"\RTDC4043\2017-11-28 --exclude "*" --recursive --include "*20171128*" &amp; "%USERPROFILE%\Documents\GitHub\mrs-test-scripts\Headless Mode &amp; Sideloading\WalkAndUnGZ.bat" "%USERPROFILE%\AppData\Local\Temp\OnboardLogs"\RTDC4043\2017-11-28</v>
      </c>
      <c r="AF60" s="235" t="str">
        <f t="shared" si="12"/>
        <v>"C:\Program Files (x86)\AstroGrep\AstroGrep.exe" /e /r /s /spath="%USERPROFILE%\AppData\Local\Temp\OnboardLogs" /stypes="app*4043*20171127*" /stext=" 18:.+((SYSTEM_STATE.+slice.+state.+changed )|(ment ac)|(multiple cpu faults)|(system.+state.+changed )|(\[timeout)|(PRM\|1\|D)|(kpr)|(kdp)|(train st.+moving)|(\|lc)|(penalty))"</v>
      </c>
      <c r="AG60" s="245" t="str">
        <f t="shared" si="13"/>
        <v>EC</v>
      </c>
      <c r="AH60" s="237" t="str">
        <f t="shared" si="19"/>
        <v>"%USERPROFILE%\Documents\GitHub\eaglep3\Utilities\RefineRTDCRunTimes.py" --tripid 148-27 --locoid 4043 --swversion DE.1.0.9.0 --startMP 204:232994 --initTime 2017-11-27T10:26:29 --startdatetime 2017-11-27T10:28:21 --delay 53 --endMP 204:154 --enddatetime 2017-11-27T11:08:05 --enforcementcount 0 &gt;&gt;%USERPROFILE%\Documents\GitHub\eaglep3-reporting\EC\2017-11-27-refined-times.txt</v>
      </c>
      <c r="AI60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{"issue":{"subject":"","project_id":79,"tracker_id":40,"status_id":1,"priority_id":2,"assigned_to_id":338,"start_date":"2017-11-27","description":"","custom_fields":[{"id":1,"name":"Subdivision","value":"EC"},{"id":4,"name":"Milepost","value":"0.0154"},{"id":17,"name":"Train ID","value":"148-27"},{"id":16,"name":"Locomotive ID","value":"4043"},{"id":130,"name":"Impact","value":""},{"id":150,"name":"Time of Event (Mountain Time)","value":"11:08:05"},{"id":151,"name":"Denver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4"/>
      <c r="AK60" s="232"/>
      <c r="AL60" s="232"/>
      <c r="AM60" s="241" t="str">
        <f t="shared" si="21"/>
        <v>start /low /b %USERPROFILE%\Documents\GitHub\eaglep3\Utilities\DownloadLogsFromS3.py --loco 4043 --day 2017-11-27</v>
      </c>
      <c r="AN60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18:08:05"},{"id":29,"name":"Sharepoint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1" t="str">
        <f t="shared" si="23"/>
        <v>https://d0f6bd738d7f1b3e5a7ca70fe4ff75f0.us-east-1.aws.found.io/app/kibana#/discover/Steve-Slow-Train-Analysis-(2080s-and-2083s)?_g=(refreshInterval:(display:Off,pause:!f,section:0,value:0),time:(from:'2017-11-27T09:26:29-0700',mode:absolute,to:'2017-11-27T12:08:05-0700'))&amp;_a=(columns:!('Message%20ID',Summary),filters:!(),index:'emp_*',interval:auto,query:(query_string:(analyze_wildcard:!t,query:'%22rtdc.l.rtdc.4043%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30" t="s">
        <v>678</v>
      </c>
      <c r="B61" s="226">
        <v>4026</v>
      </c>
      <c r="C61" s="228" t="s">
        <v>192</v>
      </c>
      <c r="D61" s="228" t="s">
        <v>849</v>
      </c>
      <c r="E61" s="227">
        <v>43066.403391203705</v>
      </c>
      <c r="F61" s="227">
        <v>43066.412222222221</v>
      </c>
      <c r="G61" s="226">
        <v>49</v>
      </c>
      <c r="H61" s="228" t="s">
        <v>854</v>
      </c>
      <c r="I61" s="227">
        <v>43066.432997685188</v>
      </c>
      <c r="J61" s="226">
        <v>0</v>
      </c>
      <c r="K61" s="238" t="str">
        <f t="shared" si="0"/>
        <v>4025/4026</v>
      </c>
      <c r="L61" s="246" t="str">
        <f>VLOOKUP(A61,'Trips&amp;Operators'!$C$1:$G$99911,5,FALSE)</f>
        <v>BEAM ROSS</v>
      </c>
      <c r="M61" s="225">
        <f t="shared" si="1"/>
        <v>2.0775462966412306E-2</v>
      </c>
      <c r="N61" s="226"/>
      <c r="O61" s="226"/>
      <c r="P61" s="226"/>
      <c r="Q61" s="229"/>
      <c r="R61" s="243"/>
      <c r="S61" s="250"/>
      <c r="T61" s="243" t="str">
        <f t="shared" si="4"/>
        <v>NorthBound</v>
      </c>
      <c r="U61" s="24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0</v>
      </c>
      <c r="V61" s="249" t="str">
        <f t="shared" si="5"/>
        <v>https://d0f6bd738d7f1b3e5a7ca70fe4ff75f0.us-east-1.aws.found.io/app/kibana#/discover/Steve-Slow-Train-Analysis-(2080s-and-2083s)?_g=(refreshInterval:(display:Off,pause:!f,section:0,value:0),time:(from:'2017-11-27T08:40:53-0700',mode:absolute,to:'2017-11-27T11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1" s="248" t="str">
        <f>IF(AA61&lt;VLOOKUP(AG61,Variables!$AC$3:$AD$8,2,FALSE),"Y","N")</f>
        <v>Y</v>
      </c>
      <c r="X61" s="248">
        <f t="shared" si="6"/>
        <v>1</v>
      </c>
      <c r="Y61" s="248">
        <f t="shared" si="7"/>
        <v>4.7699999999999999E-2</v>
      </c>
      <c r="Z61" s="248">
        <f t="shared" si="8"/>
        <v>0.1145</v>
      </c>
      <c r="AA61" s="248">
        <f t="shared" si="9"/>
        <v>6.6799999999999998E-2</v>
      </c>
      <c r="AB61" s="234" t="e">
        <f>VLOOKUP(A61,Enforcements!$C$7:$K$9,8,0)</f>
        <v>#N/A</v>
      </c>
      <c r="AC61" s="233" t="e">
        <f>VLOOKUP(A61,Enforcements!$C$7:$E$9,3,0)</f>
        <v>#N/A</v>
      </c>
      <c r="AD61" s="244">
        <f t="shared" si="10"/>
        <v>149</v>
      </c>
      <c r="AE61" s="236" t="str">
        <f t="shared" si="11"/>
        <v>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 &amp; aws s3 cp s3://rtdc.mdm.uploadarchive.raw/RTDC4026/ "%USERPROFILE%\AppData\Local\Temp\OnboardLogs"\RTDC4026\2017-11-28 --exclude "*" --recursive --include "*20171128*" &amp; "%USERPROFILE%\Documents\GitHub\mrs-test-scripts\Headless Mode &amp; Sideloading\WalkAndUnGZ.bat" "%USERPROFILE%\AppData\Local\Temp\OnboardLogs"\RTDC4026\2017-11-28</v>
      </c>
      <c r="AF61" s="235" t="str">
        <f t="shared" si="12"/>
        <v>"C:\Program Files (x86)\AstroGrep\AstroGrep.exe" /e /r /s /spath="%USERPROFILE%\AppData\Local\Temp\OnboardLogs" /stypes="app*4026*20171127*" /stext=" 17:.+((SYSTEM_STATE.+slice.+state.+changed )|(ment ac)|(multiple cpu faults)|(system.+state.+changed )|(\[timeout)|(PRM\|1\|D)|(kpr)|(kdp)|(train st.+moving)|(\|lc)|(penalty))"</v>
      </c>
      <c r="AG61" s="245" t="str">
        <f t="shared" si="13"/>
        <v>EC</v>
      </c>
      <c r="AH61" s="237" t="str">
        <f t="shared" si="19"/>
        <v>"%USERPROFILE%\Documents\GitHub\eaglep3\Utilities\RefineRTDCRunTimes.py" --tripid 149-27 --locoid 4026 --swversion DE.1.0.9.0 --startMP 204:477 --initTime 2017-11-27T09:40:53 --startdatetime 2017-11-27T09:53:36 --delay 49 --endMP 204:1145 --enddatetime 2017-11-27T10:23:31 --enforcementcount 0 &gt;&gt;%USERPROFILE%\Documents\GitHub\eaglep3-reporting\EC\2017-11-27-refined-times.txt</v>
      </c>
      <c r="AI61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{"issue":{"subject":"","project_id":79,"tracker_id":40,"status_id":1,"priority_id":2,"assigned_to_id":338,"start_date":"2017-11-27","description":"","custom_fields":[{"id":1,"name":"Subdivision","value":"EC"},{"id":4,"name":"Milepost","value":"0.1145"},{"id":17,"name":"Train ID","value":"149-27"},{"id":16,"name":"Locomotive ID","value":"4026"},{"id":130,"name":"Impact","value":""},{"id":150,"name":"Time of Event (Mountain Time)","value":"10:23:31"},{"id":151,"name":"Denver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4"/>
      <c r="AK61" s="232"/>
      <c r="AL61" s="232"/>
      <c r="AM61" s="241" t="str">
        <f t="shared" si="21"/>
        <v>start /low /b %USERPROFILE%\Documents\GitHub\eaglep3\Utilities\DownloadLogsFromS3.py --loco 4026 --day 2017-11-27</v>
      </c>
      <c r="AN61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17:23:31"},{"id":29,"name":"Sharepoint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1" t="str">
        <f t="shared" si="23"/>
        <v>https://d0f6bd738d7f1b3e5a7ca70fe4ff75f0.us-east-1.aws.found.io/app/kibana#/discover/Steve-Slow-Train-Analysis-(2080s-and-2083s)?_g=(refreshInterval:(display:Off,pause:!f,section:0,value:0),time:(from:'2017-11-27T08:40:53-0700',mode:absolute,to:'2017-11-27T11:23:31-0700'))&amp;_a=(columns:!('Message%20ID',Summary),filters:!(),index:'emp_*',interval:auto,query:(query_string:(analyze_wildcard:!t,query:'%22rtdc.l.rtdc.4026%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30" t="s">
        <v>678</v>
      </c>
      <c r="B62" s="226">
        <v>4026</v>
      </c>
      <c r="C62" s="228" t="s">
        <v>192</v>
      </c>
      <c r="D62" s="228" t="s">
        <v>855</v>
      </c>
      <c r="E62" s="227">
        <v>43066.411296296297</v>
      </c>
      <c r="F62" s="227">
        <v>43066.412222222221</v>
      </c>
      <c r="G62" s="226">
        <v>35</v>
      </c>
      <c r="H62" s="228" t="s">
        <v>435</v>
      </c>
      <c r="I62" s="227">
        <v>43066.432997685188</v>
      </c>
      <c r="J62" s="226">
        <v>0</v>
      </c>
      <c r="K62" s="238" t="str">
        <f t="shared" si="0"/>
        <v>4025/4026</v>
      </c>
      <c r="L62" s="246" t="str">
        <f>VLOOKUP(A62,'Trips&amp;Operators'!$C$1:$G$99911,5,FALSE)</f>
        <v>BEAM ROSS</v>
      </c>
      <c r="M62" s="225">
        <f t="shared" si="1"/>
        <v>2.0775462966412306E-2</v>
      </c>
      <c r="N62" s="226"/>
      <c r="O62" s="226"/>
      <c r="P62" s="226">
        <f>24*60*SUM($M62:$M62)</f>
        <v>29.91666667163372</v>
      </c>
      <c r="Q62" s="229"/>
      <c r="R62" s="243" t="s">
        <v>1015</v>
      </c>
      <c r="S62" s="250">
        <f t="shared" ref="S62:S87" si="24">1/IF(AG62="EC",12,1)*SUM(U62:U62)</f>
        <v>1</v>
      </c>
      <c r="T62" s="243" t="str">
        <f t="shared" si="4"/>
        <v>NorthBound</v>
      </c>
      <c r="U62" s="24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9" t="str">
        <f t="shared" si="5"/>
        <v>https://d0f6bd738d7f1b3e5a7ca70fe4ff75f0.us-east-1.aws.found.io/app/kibana#/discover/Steve-Slow-Train-Analysis-(2080s-and-2083s)?_g=(refreshInterval:(display:Off,pause:!f,section:0,value:0),time:(from:'2017-11-27T08:52:16-0700',mode:absolute,to:'2017-11-27T11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2" s="248" t="str">
        <f>IF(AA62&lt;VLOOKUP(AG62,Variables!$AC$3:$AD$8,2,FALSE),"Y","N")</f>
        <v>Y</v>
      </c>
      <c r="X62" s="248">
        <f t="shared" si="6"/>
        <v>0</v>
      </c>
      <c r="Y62" s="248">
        <f t="shared" si="7"/>
        <v>1.9136</v>
      </c>
      <c r="Z62" s="248">
        <f t="shared" si="8"/>
        <v>23.3291</v>
      </c>
      <c r="AA62" s="248">
        <f t="shared" si="9"/>
        <v>21.415500000000002</v>
      </c>
      <c r="AB62" s="234" t="e">
        <f>VLOOKUP(A62,Enforcements!$C$7:$K$9,8,0)</f>
        <v>#N/A</v>
      </c>
      <c r="AC62" s="233" t="e">
        <f>VLOOKUP(A62,Enforcements!$C$7:$E$9,3,0)</f>
        <v>#N/A</v>
      </c>
      <c r="AD62" s="244">
        <f t="shared" si="10"/>
        <v>149</v>
      </c>
      <c r="AE62" s="236" t="str">
        <f t="shared" si="11"/>
        <v>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 &amp; aws s3 cp s3://rtdc.mdm.uploadarchive.raw/RTDC4026/ "%USERPROFILE%\AppData\Local\Temp\OnboardLogs"\RTDC4026\2017-11-28 --exclude "*" --recursive --include "*20171128*" &amp; "%USERPROFILE%\Documents\GitHub\mrs-test-scripts\Headless Mode &amp; Sideloading\WalkAndUnGZ.bat" "%USERPROFILE%\AppData\Local\Temp\OnboardLogs"\RTDC4026\2017-11-28</v>
      </c>
      <c r="AF62" s="235" t="str">
        <f t="shared" si="12"/>
        <v>"C:\Program Files (x86)\AstroGrep\AstroGrep.exe" /e /r /s /spath="%USERPROFILE%\AppData\Local\Temp\OnboardLogs" /stypes="app*4026*20171127*" /stext=" 17:.+((SYSTEM_STATE.+slice.+state.+changed )|(ment ac)|(multiple cpu faults)|(system.+state.+changed )|(\[timeout)|(PRM\|1\|D)|(kpr)|(kdp)|(train st.+moving)|(\|lc)|(penalty))"</v>
      </c>
      <c r="AG62" s="245" t="str">
        <f t="shared" si="13"/>
        <v>EC</v>
      </c>
      <c r="AH62" s="237" t="str">
        <f t="shared" si="19"/>
        <v>"%USERPROFILE%\Documents\GitHub\eaglep3\Utilities\RefineRTDCRunTimes.py" --tripid 149-27 --locoid 4026 --swversion DE.1.0.9.0 --startMP 204:19136 --initTime 2017-11-27T09:52:16 --startdatetime 2017-11-27T09:53:36 --delay 35 --endMP 204:233291 --enddatetime 2017-11-27T10:23:31 --enforcementcount 0 &gt;&gt;%USERPROFILE%\Documents\GitHub\eaglep3-reporting\EC\2017-11-27-refined-times.txt</v>
      </c>
      <c r="AI62" s="239" t="str">
        <f t="shared" si="20"/>
        <v>echo {"issue":{"subject":"Selected wrong track","project_id":79,"tracker_id":40,"status_id":1,"priority_id":2,"assigned_to_id":338,"start_date":"2017-11-27","description":"","custom_fields":[{"id":1,"name":"Subdivision","value":"EC"},{"id":4,"name":"Milepost","value":"23.3291"},{"id":17,"name":"Train ID","value":"149-27"},{"id":16,"name":"Locomotive ID","value":"4026"},{"id":130,"name":"Impact","value":""},{"id":150,"name":"Time of Event (Mountain Time)","value":"10:23:31"},{"id":151,"name":"Denver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4"/>
      <c r="AK62" s="232"/>
      <c r="AL62" s="232"/>
      <c r="AM62" s="241" t="str">
        <f t="shared" si="21"/>
        <v>start /low /b %USERPROFILE%\Documents\GitHub\eaglep3\Utilities\DownloadLogsFromS3.py --loco 4026 --day 2017-11-27</v>
      </c>
      <c r="AN62" s="242" t="str">
        <f t="shared" si="22"/>
        <v>echo {"issue":{"subject":"Selected wrong track","project_id":30,"tracker_id":4,"status_id":1,"priority_id":1,"assigned_to_id":10,"start_date":"2017-11-27","description":"","custom_fields":[{"id":30,"name":"Category","value":"Issue"},{"id":3,"name":"Functional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17:23:31"},{"id":29,"name":"Sharepoint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1" t="str">
        <f t="shared" si="23"/>
        <v>https://d0f6bd738d7f1b3e5a7ca70fe4ff75f0.us-east-1.aws.found.io/app/kibana#/discover/Steve-Slow-Train-Analysis-(2080s-and-2083s)?_g=(refreshInterval:(display:Off,pause:!f,section:0,value:0),time:(from:'2017-11-27T08:52:16-0700',mode:absolute,to:'2017-11-27T11:23:31-0700'))&amp;_a=(columns:!('Message%20ID',Summary),filters:!(),index:'emp_*',interval:auto,query:(query_string:(analyze_wildcard:!t,query:'%22rtdc.l.rtdc.4026%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30" t="s">
        <v>686</v>
      </c>
      <c r="B63" s="226">
        <v>4025</v>
      </c>
      <c r="C63" s="228" t="s">
        <v>192</v>
      </c>
      <c r="D63" s="228" t="s">
        <v>568</v>
      </c>
      <c r="E63" s="227">
        <v>43066.435046296298</v>
      </c>
      <c r="F63" s="227">
        <v>43066.446134259262</v>
      </c>
      <c r="G63" s="226">
        <v>47</v>
      </c>
      <c r="H63" s="228" t="s">
        <v>472</v>
      </c>
      <c r="I63" s="227">
        <v>43066.472453703704</v>
      </c>
      <c r="J63" s="226">
        <v>0</v>
      </c>
      <c r="K63" s="238" t="str">
        <f t="shared" si="0"/>
        <v>4025/4026</v>
      </c>
      <c r="L63" s="246" t="str">
        <f>VLOOKUP(A63,'Trips&amp;Operators'!$C$1:$G$99911,5,FALSE)</f>
        <v>BEAM ROSS</v>
      </c>
      <c r="M63" s="225">
        <f t="shared" si="1"/>
        <v>2.6319444441469386E-2</v>
      </c>
      <c r="N63" s="226">
        <f t="shared" ref="N63:N87" si="25">24*60*SUM($M63:$M63)</f>
        <v>37.899999995715916</v>
      </c>
      <c r="O63" s="226"/>
      <c r="P63" s="226"/>
      <c r="Q63" s="229"/>
      <c r="R63" s="243"/>
      <c r="S63" s="250">
        <f t="shared" si="24"/>
        <v>1</v>
      </c>
      <c r="T63" s="243" t="str">
        <f t="shared" si="4"/>
        <v>Southbound</v>
      </c>
      <c r="U63" s="24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9" t="str">
        <f t="shared" si="5"/>
        <v>https://d0f6bd738d7f1b3e5a7ca70fe4ff75f0.us-east-1.aws.found.io/app/kibana#/discover/Steve-Slow-Train-Analysis-(2080s-and-2083s)?_g=(refreshInterval:(display:Off,pause:!f,section:0,value:0),time:(from:'2017-11-27T09:26:28-0700',mode:absolute,to:'2017-11-27T12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3" s="248" t="str">
        <f>IF(AA63&lt;VLOOKUP(AG63,Variables!$AC$3:$AD$8,2,FALSE),"Y","N")</f>
        <v>N</v>
      </c>
      <c r="X63" s="248">
        <f t="shared" si="6"/>
        <v>1</v>
      </c>
      <c r="Y63" s="248">
        <f t="shared" si="7"/>
        <v>23.297999999999998</v>
      </c>
      <c r="Z63" s="248">
        <f t="shared" si="8"/>
        <v>1.6500000000000001E-2</v>
      </c>
      <c r="AA63" s="248">
        <f t="shared" si="9"/>
        <v>23.281499999999998</v>
      </c>
      <c r="AB63" s="234" t="e">
        <f>VLOOKUP(A63,Enforcements!$C$7:$K$9,8,0)</f>
        <v>#N/A</v>
      </c>
      <c r="AC63" s="233" t="e">
        <f>VLOOKUP(A63,Enforcements!$C$7:$E$9,3,0)</f>
        <v>#N/A</v>
      </c>
      <c r="AD63" s="244">
        <f t="shared" si="10"/>
        <v>150</v>
      </c>
      <c r="AE63" s="236" t="str">
        <f t="shared" si="11"/>
        <v>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 &amp; aws s3 cp s3://rtdc.mdm.uploadarchive.raw/RTDC4025/ "%USERPROFILE%\AppData\Local\Temp\OnboardLogs"\RTDC4025\2017-11-28 --exclude "*" --recursive --include "*20171128*" &amp; "%USERPROFILE%\Documents\GitHub\mrs-test-scripts\Headless Mode &amp; Sideloading\WalkAndUnGZ.bat" "%USERPROFILE%\AppData\Local\Temp\OnboardLogs"\RTDC4025\2017-11-28</v>
      </c>
      <c r="AF63" s="235" t="str">
        <f t="shared" si="12"/>
        <v>"C:\Program Files (x86)\AstroGrep\AstroGrep.exe" /e /r /s /spath="%USERPROFILE%\AppData\Local\Temp\OnboardLogs" /stypes="app*4025*20171127*" /stext=" 18:.+((SYSTEM_STATE.+slice.+state.+changed )|(ment ac)|(multiple cpu faults)|(system.+state.+changed )|(\[timeout)|(PRM\|1\|D)|(kpr)|(kdp)|(train st.+moving)|(\|lc)|(penalty))"</v>
      </c>
      <c r="AG63" s="245" t="str">
        <f t="shared" si="13"/>
        <v>EC</v>
      </c>
      <c r="AH63" s="237" t="str">
        <f t="shared" si="19"/>
        <v>"%USERPROFILE%\Documents\GitHub\eaglep3\Utilities\RefineRTDCRunTimes.py" --tripid 150-27 --locoid 4025 --swversion DE.1.0.9.0 --startMP 204:232980 --initTime 2017-11-27T10:26:28 --startdatetime 2017-11-27T10:42:26 --delay 47 --endMP 204:165 --enddatetime 2017-11-27T11:20:20 --enforcementcount 0 &gt;&gt;%USERPROFILE%\Documents\GitHub\eaglep3-reporting\EC\2017-11-27-refined-times.txt</v>
      </c>
      <c r="AI63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{"issue":{"subject":"","project_id":79,"tracker_id":40,"status_id":1,"priority_id":2,"assigned_to_id":338,"start_date":"2017-11-27","description":"","custom_fields":[{"id":1,"name":"Subdivision","value":"EC"},{"id":4,"name":"Milepost","value":"0.0165"},{"id":17,"name":"Train ID","value":"150-27"},{"id":16,"name":"Locomotive ID","value":"4025"},{"id":130,"name":"Impact","value":""},{"id":150,"name":"Time of Event (Mountain Time)","value":"11:20:20"},{"id":151,"name":"Denver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4"/>
      <c r="AK63" s="232"/>
      <c r="AL63" s="232"/>
      <c r="AM63" s="241" t="str">
        <f t="shared" si="21"/>
        <v>start /low /b %USERPROFILE%\Documents\GitHub\eaglep3\Utilities\DownloadLogsFromS3.py --loco 4025 --day 2017-11-27</v>
      </c>
      <c r="AN63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18:20:20"},{"id":29,"name":"Sharepoint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1" t="str">
        <f t="shared" si="23"/>
        <v>https://d0f6bd738d7f1b3e5a7ca70fe4ff75f0.us-east-1.aws.found.io/app/kibana#/discover/Steve-Slow-Train-Analysis-(2080s-and-2083s)?_g=(refreshInterval:(display:Off,pause:!f,section:0,value:0),time:(from:'2017-11-27T09:26:28-0700',mode:absolute,to:'2017-11-27T12:20:20-0700'))&amp;_a=(columns:!('Message%20ID',Summary),filters:!(),index:'emp_*',interval:auto,query:(query_string:(analyze_wildcard:!t,query:'%22rtdc.l.rtdc.4025%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30" t="s">
        <v>680</v>
      </c>
      <c r="B64" s="226">
        <v>4014</v>
      </c>
      <c r="C64" s="228" t="s">
        <v>192</v>
      </c>
      <c r="D64" s="228" t="s">
        <v>434</v>
      </c>
      <c r="E64" s="227">
        <v>43066.415358796294</v>
      </c>
      <c r="F64" s="227">
        <v>43066.416956018518</v>
      </c>
      <c r="G64" s="226">
        <v>44</v>
      </c>
      <c r="H64" s="228" t="s">
        <v>832</v>
      </c>
      <c r="I64" s="227">
        <v>43066.441944444443</v>
      </c>
      <c r="J64" s="226">
        <v>0</v>
      </c>
      <c r="K64" s="238" t="str">
        <f t="shared" si="0"/>
        <v>4013/4014</v>
      </c>
      <c r="L64" s="246" t="str">
        <f>VLOOKUP(A64,'Trips&amp;Operators'!$C$1:$G$99911,5,FALSE)</f>
        <v>MAELZER KURT</v>
      </c>
      <c r="M64" s="225">
        <f t="shared" si="1"/>
        <v>2.4988425924675539E-2</v>
      </c>
      <c r="N64" s="226">
        <f t="shared" si="25"/>
        <v>35.983333331532776</v>
      </c>
      <c r="O64" s="226"/>
      <c r="P64" s="226"/>
      <c r="Q64" s="229"/>
      <c r="R64" s="243"/>
      <c r="S64" s="250">
        <f t="shared" si="24"/>
        <v>1</v>
      </c>
      <c r="T64" s="243" t="str">
        <f t="shared" si="4"/>
        <v>NorthBound</v>
      </c>
      <c r="U64" s="24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9" t="str">
        <f t="shared" si="5"/>
        <v>https://d0f6bd738d7f1b3e5a7ca70fe4ff75f0.us-east-1.aws.found.io/app/kibana#/discover/Steve-Slow-Train-Analysis-(2080s-and-2083s)?_g=(refreshInterval:(display:Off,pause:!f,section:0,value:0),time:(from:'2017-11-27T08:58:07-0700',mode:absolute,to:'2017-11-27T11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4" s="248" t="str">
        <f>IF(AA64&lt;VLOOKUP(AG64,Variables!$AC$3:$AD$8,2,FALSE),"Y","N")</f>
        <v>N</v>
      </c>
      <c r="X64" s="248">
        <f t="shared" si="6"/>
        <v>1</v>
      </c>
      <c r="Y64" s="248">
        <f t="shared" si="7"/>
        <v>4.9700000000000001E-2</v>
      </c>
      <c r="Z64" s="248">
        <f t="shared" si="8"/>
        <v>23.3306</v>
      </c>
      <c r="AA64" s="248">
        <f t="shared" si="9"/>
        <v>23.280899999999999</v>
      </c>
      <c r="AB64" s="234" t="e">
        <f>VLOOKUP(A64,Enforcements!$C$7:$K$9,8,0)</f>
        <v>#N/A</v>
      </c>
      <c r="AC64" s="233" t="e">
        <f>VLOOKUP(A64,Enforcements!$C$7:$E$9,3,0)</f>
        <v>#N/A</v>
      </c>
      <c r="AD64" s="244">
        <f t="shared" si="10"/>
        <v>151</v>
      </c>
      <c r="AE64" s="236" t="str">
        <f t="shared" si="11"/>
        <v>aws s3 cp s3://rtdc.mdm.uploadarchive.raw/RTDC4014/ "%USERPROFILE%\AppData\Local\Temp\OnboardLogs"\RTDC4014\2017-11-27 --exclude "*" --recursive --include "*20171127*" &amp; "%USERPROFILE%\Documents\GitHub\mrs-test-scripts\Headless Mode &amp; Sideloading\WalkAndUnGZ.bat" "%USERPROFILE%\AppData\Local\Temp\OnboardLogs"\RTDC4014\2017-11-27 &amp; aws s3 cp s3://rtdc.mdm.uploadarchive.raw/RTDC4014/ "%USERPROFILE%\AppData\Local\Temp\OnboardLogs"\RTDC4014\2017-11-28 --exclude "*" --recursive --include "*20171128*" &amp; "%USERPROFILE%\Documents\GitHub\mrs-test-scripts\Headless Mode &amp; Sideloading\WalkAndUnGZ.bat" "%USERPROFILE%\AppData\Local\Temp\OnboardLogs"\RTDC4014\2017-11-28</v>
      </c>
      <c r="AF64" s="235" t="str">
        <f t="shared" si="12"/>
        <v>"C:\Program Files (x86)\AstroGrep\AstroGrep.exe" /e /r /s /spath="%USERPROFILE%\AppData\Local\Temp\OnboardLogs" /stypes="app*4014*20171127*" /stext=" 17:.+((SYSTEM_STATE.+slice.+state.+changed )|(ment ac)|(multiple cpu faults)|(system.+state.+changed )|(\[timeout)|(PRM\|1\|D)|(kpr)|(kdp)|(train st.+moving)|(\|lc)|(penalty))"</v>
      </c>
      <c r="AG64" s="245" t="str">
        <f t="shared" si="13"/>
        <v>EC</v>
      </c>
      <c r="AH64" s="237" t="str">
        <f t="shared" si="19"/>
        <v>"%USERPROFILE%\Documents\GitHub\eaglep3\Utilities\RefineRTDCRunTimes.py" --tripid 151-27 --locoid 4014 --swversion DE.1.0.9.0 --startMP 204:497 --initTime 2017-11-27T09:58:07 --startdatetime 2017-11-27T10:00:25 --delay 44 --endMP 204:233306 --enddatetime 2017-11-27T10:36:24 --enforcementcount 0 &gt;&gt;%USERPROFILE%\Documents\GitHub\eaglep3-reporting\EC\2017-11-27-refined-times.txt</v>
      </c>
      <c r="AI64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{"issue":{"subject":"","project_id":79,"tracker_id":40,"status_id":1,"priority_id":2,"assigned_to_id":338,"start_date":"2017-11-27","description":"","custom_fields":[{"id":1,"name":"Subdivision","value":"EC"},{"id":4,"name":"Milepost","value":"23.3306"},{"id":17,"name":"Train ID","value":"151-27"},{"id":16,"name":"Locomotive ID","value":"4014"},{"id":130,"name":"Impact","value":""},{"id":150,"name":"Time of Event (Mountain Time)","value":"10:36:24"},{"id":151,"name":"Denver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4"/>
      <c r="AK64" s="232"/>
      <c r="AL64" s="232"/>
      <c r="AM64" s="241" t="str">
        <f t="shared" si="21"/>
        <v>start /low /b %USERPROFILE%\Documents\GitHub\eaglep3\Utilities\DownloadLogsFromS3.py --loco 4014 --day 2017-11-27</v>
      </c>
      <c r="AN64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17:36:24"},{"id":29,"name":"Sharepoint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1" t="str">
        <f t="shared" si="23"/>
        <v>https://d0f6bd738d7f1b3e5a7ca70fe4ff75f0.us-east-1.aws.found.io/app/kibana#/discover/Steve-Slow-Train-Analysis-(2080s-and-2083s)?_g=(refreshInterval:(display:Off,pause:!f,section:0,value:0),time:(from:'2017-11-27T08:58:07-0700',mode:absolute,to:'2017-11-27T11:36:24-0700'))&amp;_a=(columns:!('Message%20ID',Summary),filters:!(),index:'emp_*',interval:auto,query:(query_string:(analyze_wildcard:!t,query:'%22rtdc.l.rtdc.4014%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30" t="s">
        <v>689</v>
      </c>
      <c r="B65" s="226">
        <v>4013</v>
      </c>
      <c r="C65" s="228" t="s">
        <v>192</v>
      </c>
      <c r="D65" s="228" t="s">
        <v>837</v>
      </c>
      <c r="E65" s="227">
        <v>43066.448368055557</v>
      </c>
      <c r="F65" s="227">
        <v>43066.456504629627</v>
      </c>
      <c r="G65" s="226">
        <v>52</v>
      </c>
      <c r="H65" s="228" t="s">
        <v>543</v>
      </c>
      <c r="I65" s="227">
        <v>43066.482627314814</v>
      </c>
      <c r="J65" s="226">
        <v>0</v>
      </c>
      <c r="K65" s="238" t="str">
        <f t="shared" si="0"/>
        <v>4013/4014</v>
      </c>
      <c r="L65" s="246" t="str">
        <f>VLOOKUP(A65,'Trips&amp;Operators'!$C$1:$G$99911,5,FALSE)</f>
        <v>MAELZER KURT</v>
      </c>
      <c r="M65" s="225">
        <f t="shared" si="1"/>
        <v>2.6122685187146999E-2</v>
      </c>
      <c r="N65" s="226">
        <f t="shared" si="25"/>
        <v>37.616666669491678</v>
      </c>
      <c r="O65" s="226"/>
      <c r="P65" s="226"/>
      <c r="Q65" s="229"/>
      <c r="R65" s="243"/>
      <c r="S65" s="250">
        <f t="shared" si="24"/>
        <v>1</v>
      </c>
      <c r="T65" s="243" t="str">
        <f t="shared" si="4"/>
        <v>Southbound</v>
      </c>
      <c r="U65" s="24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9" t="str">
        <f t="shared" si="5"/>
        <v>https://d0f6bd738d7f1b3e5a7ca70fe4ff75f0.us-east-1.aws.found.io/app/kibana#/discover/Steve-Slow-Train-Analysis-(2080s-and-2083s)?_g=(refreshInterval:(display:Off,pause:!f,section:0,value:0),time:(from:'2017-11-27T09:45:39-0700',mode:absolute,to:'2017-11-27T12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5" s="248" t="str">
        <f>IF(AA65&lt;VLOOKUP(AG65,Variables!$AC$3:$AD$8,2,FALSE),"Y","N")</f>
        <v>N</v>
      </c>
      <c r="X65" s="248">
        <f t="shared" si="6"/>
        <v>1</v>
      </c>
      <c r="Y65" s="248">
        <f t="shared" si="7"/>
        <v>23.299800000000001</v>
      </c>
      <c r="Z65" s="248">
        <f t="shared" si="8"/>
        <v>1.7999999999999999E-2</v>
      </c>
      <c r="AA65" s="248">
        <f t="shared" si="9"/>
        <v>23.2818</v>
      </c>
      <c r="AB65" s="234" t="e">
        <f>VLOOKUP(A65,Enforcements!$C$7:$K$9,8,0)</f>
        <v>#N/A</v>
      </c>
      <c r="AC65" s="233" t="e">
        <f>VLOOKUP(A65,Enforcements!$C$7:$E$9,3,0)</f>
        <v>#N/A</v>
      </c>
      <c r="AD65" s="244">
        <f t="shared" si="10"/>
        <v>152</v>
      </c>
      <c r="AE65" s="236" t="str">
        <f t="shared" si="11"/>
        <v>aws s3 cp s3://rtdc.mdm.uploadarchive.raw/RTDC4013/ "%USERPROFILE%\AppData\Local\Temp\OnboardLogs"\RTDC4013\2017-11-27 --exclude "*" --recursive --include "*20171127*" &amp; "%USERPROFILE%\Documents\GitHub\mrs-test-scripts\Headless Mode &amp; Sideloading\WalkAndUnGZ.bat" "%USERPROFILE%\AppData\Local\Temp\OnboardLogs"\RTDC4013\2017-11-27 &amp; aws s3 cp s3://rtdc.mdm.uploadarchive.raw/RTDC4013/ "%USERPROFILE%\AppData\Local\Temp\OnboardLogs"\RTDC4013\2017-11-28 --exclude "*" --recursive --include "*20171128*" &amp; "%USERPROFILE%\Documents\GitHub\mrs-test-scripts\Headless Mode &amp; Sideloading\WalkAndUnGZ.bat" "%USERPROFILE%\AppData\Local\Temp\OnboardLogs"\RTDC4013\2017-11-28</v>
      </c>
      <c r="AF65" s="235" t="str">
        <f t="shared" si="12"/>
        <v>"C:\Program Files (x86)\AstroGrep\AstroGrep.exe" /e /r /s /spath="%USERPROFILE%\AppData\Local\Temp\OnboardLogs" /stypes="app*4013*20171127*" /stext=" 18:.+((SYSTEM_STATE.+slice.+state.+changed )|(ment ac)|(multiple cpu faults)|(system.+state.+changed )|(\[timeout)|(PRM\|1\|D)|(kpr)|(kdp)|(train st.+moving)|(\|lc)|(penalty))"</v>
      </c>
      <c r="AG65" s="245" t="str">
        <f t="shared" si="13"/>
        <v>EC</v>
      </c>
      <c r="AH65" s="237" t="str">
        <f t="shared" si="19"/>
        <v>"%USERPROFILE%\Documents\GitHub\eaglep3\Utilities\RefineRTDCRunTimes.py" --tripid 152-27 --locoid 4013 --swversion DE.1.0.9.0 --startMP 204:232998 --initTime 2017-11-27T10:45:39 --startdatetime 2017-11-27T10:57:22 --delay 52 --endMP 204:180 --enddatetime 2017-11-27T11:34:59 --enforcementcount 0 &gt;&gt;%USERPROFILE%\Documents\GitHub\eaglep3-reporting\EC\2017-11-27-refined-times.txt</v>
      </c>
      <c r="AI65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{"issue":{"subject":"","project_id":79,"tracker_id":40,"status_id":1,"priority_id":2,"assigned_to_id":338,"start_date":"2017-11-27","description":"","custom_fields":[{"id":1,"name":"Subdivision","value":"EC"},{"id":4,"name":"Milepost","value":"0.018"},{"id":17,"name":"Train ID","value":"152-27"},{"id":16,"name":"Locomotive ID","value":"4013"},{"id":130,"name":"Impact","value":""},{"id":150,"name":"Time of Event (Mountain Time)","value":"11:34:59"},{"id":151,"name":"Denver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4"/>
      <c r="AK65" s="232"/>
      <c r="AL65" s="232"/>
      <c r="AM65" s="241" t="str">
        <f t="shared" si="21"/>
        <v>start /low /b %USERPROFILE%\Documents\GitHub\eaglep3\Utilities\DownloadLogsFromS3.py --loco 4013 --day 2017-11-27</v>
      </c>
      <c r="AN65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18:34:59"},{"id":29,"name":"Sharepoint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1" t="str">
        <f t="shared" si="23"/>
        <v>https://d0f6bd738d7f1b3e5a7ca70fe4ff75f0.us-east-1.aws.found.io/app/kibana#/discover/Steve-Slow-Train-Analysis-(2080s-and-2083s)?_g=(refreshInterval:(display:Off,pause:!f,section:0,value:0),time:(from:'2017-11-27T09:45:39-0700',mode:absolute,to:'2017-11-27T12:34:59-0700'))&amp;_a=(columns:!('Message%20ID',Summary),filters:!(),index:'emp_*',interval:auto,query:(query_string:(analyze_wildcard:!t,query:'%22rtdc.l.rtdc.4013%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30" t="s">
        <v>683</v>
      </c>
      <c r="B66" s="226">
        <v>4018</v>
      </c>
      <c r="C66" s="228" t="s">
        <v>192</v>
      </c>
      <c r="D66" s="228" t="s">
        <v>541</v>
      </c>
      <c r="E66" s="227">
        <v>43066.422037037039</v>
      </c>
      <c r="F66" s="227">
        <v>43066.427557870367</v>
      </c>
      <c r="G66" s="226">
        <v>80</v>
      </c>
      <c r="H66" s="228" t="s">
        <v>547</v>
      </c>
      <c r="I66" s="227">
        <v>43066.451458333337</v>
      </c>
      <c r="J66" s="226">
        <v>0</v>
      </c>
      <c r="K66" s="238" t="str">
        <f t="shared" si="0"/>
        <v>4017/4018</v>
      </c>
      <c r="L66" s="246" t="str">
        <f>VLOOKUP(A66,'Trips&amp;Operators'!$C$1:$G$99911,5,FALSE)</f>
        <v>MACDONALD THOMAS</v>
      </c>
      <c r="M66" s="225">
        <f t="shared" si="1"/>
        <v>2.3900462969322689E-2</v>
      </c>
      <c r="N66" s="226">
        <f t="shared" si="25"/>
        <v>34.416666675824672</v>
      </c>
      <c r="O66" s="226"/>
      <c r="P66" s="226"/>
      <c r="Q66" s="229"/>
      <c r="R66" s="243"/>
      <c r="S66" s="250">
        <f t="shared" si="24"/>
        <v>1</v>
      </c>
      <c r="T66" s="243" t="str">
        <f t="shared" si="4"/>
        <v>NorthBound</v>
      </c>
      <c r="U66" s="24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9" t="str">
        <f t="shared" si="5"/>
        <v>https://d0f6bd738d7f1b3e5a7ca70fe4ff75f0.us-east-1.aws.found.io/app/kibana#/discover/Steve-Slow-Train-Analysis-(2080s-and-2083s)?_g=(refreshInterval:(display:Off,pause:!f,section:0,value:0),time:(from:'2017-11-27T09:07:44-0700',mode:absolute,to:'2017-11-27T11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6" s="248" t="str">
        <f>IF(AA66&lt;VLOOKUP(AG66,Variables!$AC$3:$AD$8,2,FALSE),"Y","N")</f>
        <v>N</v>
      </c>
      <c r="X66" s="248">
        <f t="shared" si="6"/>
        <v>1</v>
      </c>
      <c r="Y66" s="248">
        <f t="shared" si="7"/>
        <v>4.8899999999999999E-2</v>
      </c>
      <c r="Z66" s="248">
        <f t="shared" si="8"/>
        <v>23.321100000000001</v>
      </c>
      <c r="AA66" s="248">
        <f t="shared" si="9"/>
        <v>23.272200000000002</v>
      </c>
      <c r="AB66" s="234" t="e">
        <f>VLOOKUP(A66,Enforcements!$C$7:$K$9,8,0)</f>
        <v>#N/A</v>
      </c>
      <c r="AC66" s="233" t="e">
        <f>VLOOKUP(A66,Enforcements!$C$7:$E$9,3,0)</f>
        <v>#N/A</v>
      </c>
      <c r="AD66" s="244">
        <f t="shared" si="10"/>
        <v>153</v>
      </c>
      <c r="AE66" s="236" t="str">
        <f t="shared" si="11"/>
        <v>aws s3 cp s3://rtdc.mdm.uploadarchive.raw/RTDC4018/ "%USERPROFILE%\AppData\Local\Temp\OnboardLogs"\RTDC4018\2017-11-27 --exclude "*" --recursive --include "*20171127*" &amp; "%USERPROFILE%\Documents\GitHub\mrs-test-scripts\Headless Mode &amp; Sideloading\WalkAndUnGZ.bat" "%USERPROFILE%\AppData\Local\Temp\OnboardLogs"\RTDC4018\2017-11-27 &amp; aws s3 cp s3://rtdc.mdm.uploadarchive.raw/RTDC4018/ "%USERPROFILE%\AppData\Local\Temp\OnboardLogs"\RTDC4018\2017-11-28 --exclude "*" --recursive --include "*20171128*" &amp; "%USERPROFILE%\Documents\GitHub\mrs-test-scripts\Headless Mode &amp; Sideloading\WalkAndUnGZ.bat" "%USERPROFILE%\AppData\Local\Temp\OnboardLogs"\RTDC4018\2017-11-28</v>
      </c>
      <c r="AF66" s="235" t="str">
        <f t="shared" si="12"/>
        <v>"C:\Program Files (x86)\AstroGrep\AstroGrep.exe" /e /r /s /spath="%USERPROFILE%\AppData\Local\Temp\OnboardLogs" /stypes="app*4018*20171127*" /stext=" 17:.+((SYSTEM_STATE.+slice.+state.+changed )|(ment ac)|(multiple cpu faults)|(system.+state.+changed )|(\[timeout)|(PRM\|1\|D)|(kpr)|(kdp)|(train st.+moving)|(\|lc)|(penalty))"</v>
      </c>
      <c r="AG66" s="245" t="str">
        <f t="shared" si="13"/>
        <v>EC</v>
      </c>
      <c r="AH66" s="237" t="str">
        <f t="shared" si="19"/>
        <v>"%USERPROFILE%\Documents\GitHub\eaglep3\Utilities\RefineRTDCRunTimes.py" --tripid 153-27 --locoid 4018 --swversion DE.1.0.9.0 --startMP 204:489 --initTime 2017-11-27T10:07:44 --startdatetime 2017-11-27T10:15:41 --delay 80 --endMP 204:233211 --enddatetime 2017-11-27T10:50:06 --enforcementcount 0 &gt;&gt;%USERPROFILE%\Documents\GitHub\eaglep3-reporting\EC\2017-11-27-refined-times.txt</v>
      </c>
      <c r="AI66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{"issue":{"subject":"","project_id":79,"tracker_id":40,"status_id":1,"priority_id":2,"assigned_to_id":338,"start_date":"2017-11-27","description":"","custom_fields":[{"id":1,"name":"Subdivision","value":"EC"},{"id":4,"name":"Milepost","value":"23.3211"},{"id":17,"name":"Train ID","value":"153-27"},{"id":16,"name":"Locomotive ID","value":"4018"},{"id":130,"name":"Impact","value":""},{"id":150,"name":"Time of Event (Mountain Time)","value":"10:50:06"},{"id":151,"name":"Denver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4"/>
      <c r="AK66" s="232"/>
      <c r="AL66" s="232"/>
      <c r="AM66" s="241" t="str">
        <f t="shared" si="21"/>
        <v>start /low /b %USERPROFILE%\Documents\GitHub\eaglep3\Utilities\DownloadLogsFromS3.py --loco 4018 --day 2017-11-27</v>
      </c>
      <c r="AN66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17:50:06"},{"id":29,"name":"Sharepoint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1" t="str">
        <f t="shared" si="23"/>
        <v>https://d0f6bd738d7f1b3e5a7ca70fe4ff75f0.us-east-1.aws.found.io/app/kibana#/discover/Steve-Slow-Train-Analysis-(2080s-and-2083s)?_g=(refreshInterval:(display:Off,pause:!f,section:0,value:0),time:(from:'2017-11-27T09:07:44-0700',mode:absolute,to:'2017-11-27T11:50:06-0700'))&amp;_a=(columns:!('Message%20ID',Summary),filters:!(),index:'emp_*',interval:auto,query:(query_string:(analyze_wildcard:!t,query:'%22rtdc.l.rtdc.4018%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30" t="s">
        <v>692</v>
      </c>
      <c r="B67" s="226">
        <v>4017</v>
      </c>
      <c r="C67" s="228" t="s">
        <v>192</v>
      </c>
      <c r="D67" s="228" t="s">
        <v>856</v>
      </c>
      <c r="E67" s="227">
        <v>43066.462002314816</v>
      </c>
      <c r="F67" s="227">
        <v>43066.467222222222</v>
      </c>
      <c r="G67" s="226">
        <v>90</v>
      </c>
      <c r="H67" s="228" t="s">
        <v>857</v>
      </c>
      <c r="I67" s="227">
        <v>43066.494606481479</v>
      </c>
      <c r="J67" s="226">
        <v>0</v>
      </c>
      <c r="K67" s="238" t="str">
        <f t="shared" si="0"/>
        <v>4017/4018</v>
      </c>
      <c r="L67" s="246" t="str">
        <f>VLOOKUP(A67,'Trips&amp;Operators'!$C$1:$G$99911,5,FALSE)</f>
        <v>MACDONALD THOMAS</v>
      </c>
      <c r="M67" s="225">
        <f t="shared" si="1"/>
        <v>2.7384259257814847E-2</v>
      </c>
      <c r="N67" s="226">
        <f t="shared" si="25"/>
        <v>39.43333333125338</v>
      </c>
      <c r="O67" s="226"/>
      <c r="P67" s="226"/>
      <c r="Q67" s="229"/>
      <c r="R67" s="243"/>
      <c r="S67" s="250">
        <f t="shared" si="24"/>
        <v>1</v>
      </c>
      <c r="T67" s="243" t="str">
        <f t="shared" si="4"/>
        <v>Southbound</v>
      </c>
      <c r="U67" s="24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9" t="str">
        <f t="shared" si="5"/>
        <v>https://d0f6bd738d7f1b3e5a7ca70fe4ff75f0.us-east-1.aws.found.io/app/kibana#/discover/Steve-Slow-Train-Analysis-(2080s-and-2083s)?_g=(refreshInterval:(display:Off,pause:!f,section:0,value:0),time:(from:'2017-11-27T10:05:17-0700',mode:absolute,to:'2017-11-27T12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7" s="248" t="str">
        <f>IF(AA67&lt;VLOOKUP(AG67,Variables!$AC$3:$AD$8,2,FALSE),"Y","N")</f>
        <v>N</v>
      </c>
      <c r="X67" s="248">
        <f t="shared" si="6"/>
        <v>1</v>
      </c>
      <c r="Y67" s="248">
        <f t="shared" si="7"/>
        <v>23.2896</v>
      </c>
      <c r="Z67" s="248">
        <f t="shared" si="8"/>
        <v>2.76E-2</v>
      </c>
      <c r="AA67" s="248">
        <f t="shared" si="9"/>
        <v>23.262</v>
      </c>
      <c r="AB67" s="234" t="e">
        <f>VLOOKUP(A67,Enforcements!$C$7:$K$9,8,0)</f>
        <v>#N/A</v>
      </c>
      <c r="AC67" s="233" t="e">
        <f>VLOOKUP(A67,Enforcements!$C$7:$E$9,3,0)</f>
        <v>#N/A</v>
      </c>
      <c r="AD67" s="244">
        <f t="shared" si="10"/>
        <v>154</v>
      </c>
      <c r="AE67" s="236" t="str">
        <f t="shared" si="11"/>
        <v>aws s3 cp s3://rtdc.mdm.uploadarchive.raw/RTDC4017/ "%USERPROFILE%\AppData\Local\Temp\OnboardLogs"\RTDC4017\2017-11-27 --exclude "*" --recursive --include "*20171127*" &amp; "%USERPROFILE%\Documents\GitHub\mrs-test-scripts\Headless Mode &amp; Sideloading\WalkAndUnGZ.bat" "%USERPROFILE%\AppData\Local\Temp\OnboardLogs"\RTDC4017\2017-11-27 &amp; aws s3 cp s3://rtdc.mdm.uploadarchive.raw/RTDC4017/ "%USERPROFILE%\AppData\Local\Temp\OnboardLogs"\RTDC4017\2017-11-28 --exclude "*" --recursive --include "*20171128*" &amp; "%USERPROFILE%\Documents\GitHub\mrs-test-scripts\Headless Mode &amp; Sideloading\WalkAndUnGZ.bat" "%USERPROFILE%\AppData\Local\Temp\OnboardLogs"\RTDC4017\2017-11-28</v>
      </c>
      <c r="AF67" s="235" t="str">
        <f t="shared" si="12"/>
        <v>"C:\Program Files (x86)\AstroGrep\AstroGrep.exe" /e /r /s /spath="%USERPROFILE%\AppData\Local\Temp\OnboardLogs" /stypes="app*4017*20171127*" /stext=" 18:.+((SYSTEM_STATE.+slice.+state.+changed )|(ment ac)|(multiple cpu faults)|(system.+state.+changed )|(\[timeout)|(PRM\|1\|D)|(kpr)|(kdp)|(train st.+moving)|(\|lc)|(penalty))"</v>
      </c>
      <c r="AG67" s="245" t="str">
        <f t="shared" si="13"/>
        <v>EC</v>
      </c>
      <c r="AH67" s="237" t="str">
        <f t="shared" si="19"/>
        <v>"%USERPROFILE%\Documents\GitHub\eaglep3\Utilities\RefineRTDCRunTimes.py" --tripid 154-27 --locoid 4017 --swversion DE.1.0.9.0 --startMP 204:232896 --initTime 2017-11-27T11:05:17 --startdatetime 2017-11-27T11:12:48 --delay 90 --endMP 204:276 --enddatetime 2017-11-27T11:52:14 --enforcementcount 0 &gt;&gt;%USERPROFILE%\Documents\GitHub\eaglep3-reporting\EC\2017-11-27-refined-times.txt</v>
      </c>
      <c r="AI67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{"issue":{"subject":"","project_id":79,"tracker_id":40,"status_id":1,"priority_id":2,"assigned_to_id":338,"start_date":"2017-11-27","description":"","custom_fields":[{"id":1,"name":"Subdivision","value":"EC"},{"id":4,"name":"Milepost","value":"0.0276"},{"id":17,"name":"Train ID","value":"154-27"},{"id":16,"name":"Locomotive ID","value":"4017"},{"id":130,"name":"Impact","value":""},{"id":150,"name":"Time of Event (Mountain Time)","value":"11:52:14"},{"id":151,"name":"Denver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4"/>
      <c r="AK67" s="232"/>
      <c r="AL67" s="232"/>
      <c r="AM67" s="241" t="str">
        <f t="shared" si="21"/>
        <v>start /low /b %USERPROFILE%\Documents\GitHub\eaglep3\Utilities\DownloadLogsFromS3.py --loco 4017 --day 2017-11-27</v>
      </c>
      <c r="AN67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18:52:14"},{"id":29,"name":"Sharepoint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1" t="str">
        <f t="shared" si="23"/>
        <v>https://d0f6bd738d7f1b3e5a7ca70fe4ff75f0.us-east-1.aws.found.io/app/kibana#/discover/Steve-Slow-Train-Analysis-(2080s-and-2083s)?_g=(refreshInterval:(display:Off,pause:!f,section:0,value:0),time:(from:'2017-11-27T10:05:17-0700',mode:absolute,to:'2017-11-27T12:52:14-0700'))&amp;_a=(columns:!('Message%20ID',Summary),filters:!(),index:'emp_*',interval:auto,query:(query_string:(analyze_wildcard:!t,query:'%22rtdc.l.rtdc.4017%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30" t="s">
        <v>685</v>
      </c>
      <c r="B68" s="226">
        <v>4064</v>
      </c>
      <c r="C68" s="228" t="s">
        <v>192</v>
      </c>
      <c r="D68" s="228" t="s">
        <v>538</v>
      </c>
      <c r="E68" s="227">
        <v>43066.433009259257</v>
      </c>
      <c r="F68" s="227">
        <v>43066.437696759262</v>
      </c>
      <c r="G68" s="226">
        <v>64</v>
      </c>
      <c r="H68" s="228" t="s">
        <v>858</v>
      </c>
      <c r="I68" s="227">
        <v>43066.463900462964</v>
      </c>
      <c r="J68" s="226">
        <v>0</v>
      </c>
      <c r="K68" s="238" t="str">
        <f t="shared" si="0"/>
        <v>4063/4064</v>
      </c>
      <c r="L68" s="246" t="str">
        <f>VLOOKUP(A68,'Trips&amp;Operators'!$C$1:$G$99911,5,FALSE)</f>
        <v>DAVIDSON DAVID</v>
      </c>
      <c r="M68" s="225">
        <f t="shared" si="1"/>
        <v>2.6203703702776693E-2</v>
      </c>
      <c r="N68" s="226">
        <f t="shared" si="25"/>
        <v>37.733333331998438</v>
      </c>
      <c r="O68" s="226"/>
      <c r="P68" s="226"/>
      <c r="Q68" s="229"/>
      <c r="R68" s="243"/>
      <c r="S68" s="250">
        <f t="shared" si="24"/>
        <v>1</v>
      </c>
      <c r="T68" s="243" t="str">
        <f t="shared" si="4"/>
        <v>NorthBound</v>
      </c>
      <c r="U68" s="24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9" t="str">
        <f t="shared" si="5"/>
        <v>https://d0f6bd738d7f1b3e5a7ca70fe4ff75f0.us-east-1.aws.found.io/app/kibana#/discover/Steve-Slow-Train-Analysis-(2080s-and-2083s)?_g=(refreshInterval:(display:Off,pause:!f,section:0,value:0),time:(from:'2017-11-27T09:23:32-0700',mode:absolute,to:'2017-11-27T12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8" s="248" t="str">
        <f>IF(AA68&lt;VLOOKUP(AG68,Variables!$AC$3:$AD$8,2,FALSE),"Y","N")</f>
        <v>N</v>
      </c>
      <c r="X68" s="248">
        <f t="shared" si="6"/>
        <v>1</v>
      </c>
      <c r="Y68" s="248">
        <f t="shared" si="7"/>
        <v>5.1299999999999998E-2</v>
      </c>
      <c r="Z68" s="248">
        <f t="shared" si="8"/>
        <v>23.323399999999999</v>
      </c>
      <c r="AA68" s="248">
        <f t="shared" si="9"/>
        <v>23.272099999999998</v>
      </c>
      <c r="AB68" s="234" t="e">
        <f>VLOOKUP(A68,Enforcements!$C$7:$K$9,8,0)</f>
        <v>#N/A</v>
      </c>
      <c r="AC68" s="233" t="e">
        <f>VLOOKUP(A68,Enforcements!$C$7:$E$9,3,0)</f>
        <v>#N/A</v>
      </c>
      <c r="AD68" s="244">
        <f t="shared" si="10"/>
        <v>155</v>
      </c>
      <c r="AE68" s="236" t="str">
        <f t="shared" si="11"/>
        <v>aws s3 cp s3://rtdc.mdm.uploadarchive.raw/RTDC4064/ "%USERPROFILE%\AppData\Local\Temp\OnboardLogs"\RTDC4064\2017-11-27 --exclude "*" --recursive --include "*20171127*" &amp; "%USERPROFILE%\Documents\GitHub\mrs-test-scripts\Headless Mode &amp; Sideloading\WalkAndUnGZ.bat" "%USERPROFILE%\AppData\Local\Temp\OnboardLogs"\RTDC4064\2017-11-27 &amp; aws s3 cp s3://rtdc.mdm.uploadarchive.raw/RTDC4064/ "%USERPROFILE%\AppData\Local\Temp\OnboardLogs"\RTDC4064\2017-11-28 --exclude "*" --recursive --include "*20171128*" &amp; "%USERPROFILE%\Documents\GitHub\mrs-test-scripts\Headless Mode &amp; Sideloading\WalkAndUnGZ.bat" "%USERPROFILE%\AppData\Local\Temp\OnboardLogs"\RTDC4064\2017-11-28</v>
      </c>
      <c r="AF68" s="235" t="str">
        <f t="shared" si="12"/>
        <v>"C:\Program Files (x86)\AstroGrep\AstroGrep.exe" /e /r /s /spath="%USERPROFILE%\AppData\Local\Temp\OnboardLogs" /stypes="app*4064*20171127*" /stext=" 18:.+((SYSTEM_STATE.+slice.+state.+changed )|(ment ac)|(multiple cpu faults)|(system.+state.+changed )|(\[timeout)|(PRM\|1\|D)|(kpr)|(kdp)|(train st.+moving)|(\|lc)|(penalty))"</v>
      </c>
      <c r="AG68" s="245" t="str">
        <f t="shared" si="13"/>
        <v>EC</v>
      </c>
      <c r="AH68" s="237" t="str">
        <f t="shared" si="19"/>
        <v>"%USERPROFILE%\Documents\GitHub\eaglep3\Utilities\RefineRTDCRunTimes.py" --tripid 155-27 --locoid 4064 --swversion DE.1.0.9.0 --startMP 204:513 --initTime 2017-11-27T10:23:32 --startdatetime 2017-11-27T10:30:17 --delay 64 --endMP 204:233234 --enddatetime 2017-11-27T11:08:01 --enforcementcount 0 &gt;&gt;%USERPROFILE%\Documents\GitHub\eaglep3-reporting\EC\2017-11-27-refined-times.txt</v>
      </c>
      <c r="AI68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{"issue":{"subject":"","project_id":79,"tracker_id":40,"status_id":1,"priority_id":2,"assigned_to_id":338,"start_date":"2017-11-27","description":"","custom_fields":[{"id":1,"name":"Subdivision","value":"EC"},{"id":4,"name":"Milepost","value":"23.3234"},{"id":17,"name":"Train ID","value":"155-27"},{"id":16,"name":"Locomotive ID","value":"4064"},{"id":130,"name":"Impact","value":""},{"id":150,"name":"Time of Event (Mountain Time)","value":"11:08:01"},{"id":151,"name":"Denver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4"/>
      <c r="AK68" s="232"/>
      <c r="AL68" s="232"/>
      <c r="AM68" s="241" t="str">
        <f t="shared" si="21"/>
        <v>start /low /b %USERPROFILE%\Documents\GitHub\eaglep3\Utilities\DownloadLogsFromS3.py --loco 4064 --day 2017-11-27</v>
      </c>
      <c r="AN68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18:08:01"},{"id":29,"name":"Sharepoint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1" t="str">
        <f t="shared" si="23"/>
        <v>https://d0f6bd738d7f1b3e5a7ca70fe4ff75f0.us-east-1.aws.found.io/app/kibana#/discover/Steve-Slow-Train-Analysis-(2080s-and-2083s)?_g=(refreshInterval:(display:Off,pause:!f,section:0,value:0),time:(from:'2017-11-27T09:23:32-0700',mode:absolute,to:'2017-11-27T12:08:01-0700'))&amp;_a=(columns:!('Message%20ID',Summary),filters:!(),index:'emp_*',interval:auto,query:(query_string:(analyze_wildcard:!t,query:'%22rtdc.l.rtdc.4064%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30" t="s">
        <v>693</v>
      </c>
      <c r="B69" s="226">
        <v>4063</v>
      </c>
      <c r="C69" s="228" t="s">
        <v>192</v>
      </c>
      <c r="D69" s="228" t="s">
        <v>859</v>
      </c>
      <c r="E69" s="227">
        <v>43066.465694444443</v>
      </c>
      <c r="F69" s="227">
        <v>43066.47729166667</v>
      </c>
      <c r="G69" s="226">
        <v>53</v>
      </c>
      <c r="H69" s="228" t="s">
        <v>487</v>
      </c>
      <c r="I69" s="227">
        <v>43066.503969907404</v>
      </c>
      <c r="J69" s="226">
        <v>0</v>
      </c>
      <c r="K69" s="238" t="str">
        <f t="shared" si="0"/>
        <v>4063/4064</v>
      </c>
      <c r="L69" s="246" t="str">
        <f>VLOOKUP(A69,'Trips&amp;Operators'!$C$1:$G$99911,5,FALSE)</f>
        <v>DAVIDSON DAVID</v>
      </c>
      <c r="M69" s="225">
        <f t="shared" si="1"/>
        <v>2.6678240734327119E-2</v>
      </c>
      <c r="N69" s="226">
        <f t="shared" si="25"/>
        <v>38.416666657431051</v>
      </c>
      <c r="O69" s="226"/>
      <c r="P69" s="226"/>
      <c r="Q69" s="229"/>
      <c r="R69" s="243"/>
      <c r="S69" s="250">
        <f t="shared" si="24"/>
        <v>1</v>
      </c>
      <c r="T69" s="243" t="str">
        <f t="shared" si="4"/>
        <v>Southbound</v>
      </c>
      <c r="U69" s="24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9" t="str">
        <f t="shared" si="5"/>
        <v>https://d0f6bd738d7f1b3e5a7ca70fe4ff75f0.us-east-1.aws.found.io/app/kibana#/discover/Steve-Slow-Train-Analysis-(2080s-and-2083s)?_g=(refreshInterval:(display:Off,pause:!f,section:0,value:0),time:(from:'2017-11-27T10:10:36-0700',mode:absolute,to:'2017-11-27T13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9" s="248" t="str">
        <f>IF(AA69&lt;VLOOKUP(AG69,Variables!$AC$3:$AD$8,2,FALSE),"Y","N")</f>
        <v>N</v>
      </c>
      <c r="X69" s="248">
        <f t="shared" si="6"/>
        <v>1</v>
      </c>
      <c r="Y69" s="248">
        <f t="shared" si="7"/>
        <v>23.291499999999999</v>
      </c>
      <c r="Z69" s="248">
        <f t="shared" si="8"/>
        <v>2.18E-2</v>
      </c>
      <c r="AA69" s="248">
        <f t="shared" si="9"/>
        <v>23.2697</v>
      </c>
      <c r="AB69" s="234" t="e">
        <f>VLOOKUP(A69,Enforcements!$C$7:$K$9,8,0)</f>
        <v>#N/A</v>
      </c>
      <c r="AC69" s="233" t="e">
        <f>VLOOKUP(A69,Enforcements!$C$7:$E$9,3,0)</f>
        <v>#N/A</v>
      </c>
      <c r="AD69" s="244">
        <f t="shared" si="10"/>
        <v>156</v>
      </c>
      <c r="AE69" s="236" t="str">
        <f t="shared" si="11"/>
        <v>aws s3 cp s3://rtdc.mdm.uploadarchive.raw/RTDC4063/ "%USERPROFILE%\AppData\Local\Temp\OnboardLogs"\RTDC4063\2017-11-27 --exclude "*" --recursive --include "*20171127*" &amp; "%USERPROFILE%\Documents\GitHub\mrs-test-scripts\Headless Mode &amp; Sideloading\WalkAndUnGZ.bat" "%USERPROFILE%\AppData\Local\Temp\OnboardLogs"\RTDC4063\2017-11-27 &amp; aws s3 cp s3://rtdc.mdm.uploadarchive.raw/RTDC4063/ "%USERPROFILE%\AppData\Local\Temp\OnboardLogs"\RTDC4063\2017-11-28 --exclude "*" --recursive --include "*20171128*" &amp; "%USERPROFILE%\Documents\GitHub\mrs-test-scripts\Headless Mode &amp; Sideloading\WalkAndUnGZ.bat" "%USERPROFILE%\AppData\Local\Temp\OnboardLogs"\RTDC4063\2017-11-28</v>
      </c>
      <c r="AF69" s="235" t="str">
        <f t="shared" si="12"/>
        <v>"C:\Program Files (x86)\AstroGrep\AstroGrep.exe" /e /r /s /spath="%USERPROFILE%\AppData\Local\Temp\OnboardLogs" /stypes="app*4063*20171127*" /stext=" 19:.+((SYSTEM_STATE.+slice.+state.+changed )|(ment ac)|(multiple cpu faults)|(system.+state.+changed )|(\[timeout)|(PRM\|1\|D)|(kpr)|(kdp)|(train st.+moving)|(\|lc)|(penalty))"</v>
      </c>
      <c r="AG69" s="245" t="str">
        <f t="shared" si="13"/>
        <v>EC</v>
      </c>
      <c r="AH69" s="237" t="str">
        <f t="shared" si="19"/>
        <v>"%USERPROFILE%\Documents\GitHub\eaglep3\Utilities\RefineRTDCRunTimes.py" --tripid 156-27 --locoid 4063 --swversion DE.1.0.9.0 --startMP 204:232915 --initTime 2017-11-27T11:10:36 --startdatetime 2017-11-27T11:27:18 --delay 53 --endMP 204:218 --enddatetime 2017-11-27T12:05:43 --enforcementcount 0 &gt;&gt;%USERPROFILE%\Documents\GitHub\eaglep3-reporting\EC\2017-11-27-refined-times.txt</v>
      </c>
      <c r="AI69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{"issue":{"subject":"","project_id":79,"tracker_id":40,"status_id":1,"priority_id":2,"assigned_to_id":338,"start_date":"2017-11-27","description":"","custom_fields":[{"id":1,"name":"Subdivision","value":"EC"},{"id":4,"name":"Milepost","value":"0.0218"},{"id":17,"name":"Train ID","value":"156-27"},{"id":16,"name":"Locomotive ID","value":"4063"},{"id":130,"name":"Impact","value":""},{"id":150,"name":"Time of Event (Mountain Time)","value":"12:05:43"},{"id":151,"name":"Denver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4"/>
      <c r="AK69" s="232"/>
      <c r="AL69" s="232"/>
      <c r="AM69" s="241" t="str">
        <f t="shared" si="21"/>
        <v>start /low /b %USERPROFILE%\Documents\GitHub\eaglep3\Utilities\DownloadLogsFromS3.py --loco 4063 --day 2017-11-27</v>
      </c>
      <c r="AN69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19:05:43"},{"id":29,"name":"Sharepoint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1" t="str">
        <f t="shared" si="23"/>
        <v>https://d0f6bd738d7f1b3e5a7ca70fe4ff75f0.us-east-1.aws.found.io/app/kibana#/discover/Steve-Slow-Train-Analysis-(2080s-and-2083s)?_g=(refreshInterval:(display:Off,pause:!f,section:0,value:0),time:(from:'2017-11-27T10:10:36-0700',mode:absolute,to:'2017-11-27T13:05:43-0700'))&amp;_a=(columns:!('Message%20ID',Summary),filters:!(),index:'emp_*',interval:auto,query:(query_string:(analyze_wildcard:!t,query:'%22rtdc.l.rtdc.4063%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30" t="s">
        <v>688</v>
      </c>
      <c r="B70" s="226">
        <v>4022</v>
      </c>
      <c r="C70" s="228" t="s">
        <v>192</v>
      </c>
      <c r="D70" s="228" t="s">
        <v>530</v>
      </c>
      <c r="E70" s="227">
        <v>43066.445740740739</v>
      </c>
      <c r="F70" s="227">
        <v>43066.448275462964</v>
      </c>
      <c r="G70" s="226">
        <v>65</v>
      </c>
      <c r="H70" s="228" t="s">
        <v>467</v>
      </c>
      <c r="I70" s="227">
        <v>43066.472800925927</v>
      </c>
      <c r="J70" s="226">
        <v>0</v>
      </c>
      <c r="K70" s="238" t="str">
        <f t="shared" si="0"/>
        <v>4021/4022</v>
      </c>
      <c r="L70" s="246" t="str">
        <f>VLOOKUP(A70,'Trips&amp;Operators'!$C$1:$G$99911,5,FALSE)</f>
        <v>BADERTSCHER DIANE</v>
      </c>
      <c r="M70" s="225">
        <f t="shared" si="1"/>
        <v>2.4525462962628808E-2</v>
      </c>
      <c r="N70" s="226">
        <f t="shared" si="25"/>
        <v>35.316666666185483</v>
      </c>
      <c r="O70" s="226"/>
      <c r="P70" s="226"/>
      <c r="Q70" s="229"/>
      <c r="R70" s="243"/>
      <c r="S70" s="250">
        <f t="shared" si="24"/>
        <v>1</v>
      </c>
      <c r="T70" s="243" t="str">
        <f t="shared" si="4"/>
        <v>NorthBound</v>
      </c>
      <c r="U70" s="24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9" t="str">
        <f t="shared" si="5"/>
        <v>https://d0f6bd738d7f1b3e5a7ca70fe4ff75f0.us-east-1.aws.found.io/app/kibana#/discover/Steve-Slow-Train-Analysis-(2080s-and-2083s)?_g=(refreshInterval:(display:Off,pause:!f,section:0,value:0),time:(from:'2017-11-27T09:41:52-0700',mode:absolute,to:'2017-11-27T12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0" s="248" t="str">
        <f>IF(AA70&lt;VLOOKUP(AG70,Variables!$AC$3:$AD$8,2,FALSE),"Y","N")</f>
        <v>N</v>
      </c>
      <c r="X70" s="248">
        <f t="shared" si="6"/>
        <v>1</v>
      </c>
      <c r="Y70" s="248">
        <f t="shared" si="7"/>
        <v>4.5999999999999999E-2</v>
      </c>
      <c r="Z70" s="248">
        <f t="shared" si="8"/>
        <v>23.323599999999999</v>
      </c>
      <c r="AA70" s="248">
        <f t="shared" si="9"/>
        <v>23.2776</v>
      </c>
      <c r="AB70" s="234" t="e">
        <f>VLOOKUP(A70,Enforcements!$C$7:$K$9,8,0)</f>
        <v>#N/A</v>
      </c>
      <c r="AC70" s="233" t="e">
        <f>VLOOKUP(A70,Enforcements!$C$7:$E$9,3,0)</f>
        <v>#N/A</v>
      </c>
      <c r="AD70" s="244">
        <f t="shared" si="10"/>
        <v>157</v>
      </c>
      <c r="AE70" s="236" t="str">
        <f t="shared" si="11"/>
        <v>aws s3 cp s3://rtdc.mdm.uploadarchive.raw/RTDC4022/ "%USERPROFILE%\AppData\Local\Temp\OnboardLogs"\RTDC4022\2017-11-27 --exclude "*" --recursive --include "*20171127*" &amp; "%USERPROFILE%\Documents\GitHub\mrs-test-scripts\Headless Mode &amp; Sideloading\WalkAndUnGZ.bat" "%USERPROFILE%\AppData\Local\Temp\OnboardLogs"\RTDC4022\2017-11-27 &amp; aws s3 cp s3://rtdc.mdm.uploadarchive.raw/RTDC4022/ "%USERPROFILE%\AppData\Local\Temp\OnboardLogs"\RTDC4022\2017-11-28 --exclude "*" --recursive --include "*20171128*" &amp; "%USERPROFILE%\Documents\GitHub\mrs-test-scripts\Headless Mode &amp; Sideloading\WalkAndUnGZ.bat" "%USERPROFILE%\AppData\Local\Temp\OnboardLogs"\RTDC4022\2017-11-28</v>
      </c>
      <c r="AF70" s="235" t="str">
        <f t="shared" si="12"/>
        <v>"C:\Program Files (x86)\AstroGrep\AstroGrep.exe" /e /r /s /spath="%USERPROFILE%\AppData\Local\Temp\OnboardLogs" /stypes="app*4022*20171127*" /stext=" 18:.+((SYSTEM_STATE.+slice.+state.+changed )|(ment ac)|(multiple cpu faults)|(system.+state.+changed )|(\[timeout)|(PRM\|1\|D)|(kpr)|(kdp)|(train st.+moving)|(\|lc)|(penalty))"</v>
      </c>
      <c r="AG70" s="245" t="str">
        <f t="shared" si="13"/>
        <v>EC</v>
      </c>
      <c r="AH70" s="237" t="str">
        <f t="shared" si="19"/>
        <v>"%USERPROFILE%\Documents\GitHub\eaglep3\Utilities\RefineRTDCRunTimes.py" --tripid 157-27 --locoid 4022 --swversion DE.1.0.9.0 --startMP 204:460 --initTime 2017-11-27T10:41:52 --startdatetime 2017-11-27T10:45:31 --delay 65 --endMP 204:233236 --enddatetime 2017-11-27T11:20:50 --enforcementcount 0 &gt;&gt;%USERPROFILE%\Documents\GitHub\eaglep3-reporting\EC\2017-11-27-refined-times.txt</v>
      </c>
      <c r="AI70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{"issue":{"subject":"","project_id":79,"tracker_id":40,"status_id":1,"priority_id":2,"assigned_to_id":338,"start_date":"2017-11-27","description":"","custom_fields":[{"id":1,"name":"Subdivision","value":"EC"},{"id":4,"name":"Milepost","value":"23.3236"},{"id":17,"name":"Train ID","value":"157-27"},{"id":16,"name":"Locomotive ID","value":"4022"},{"id":130,"name":"Impact","value":""},{"id":150,"name":"Time of Event (Mountain Time)","value":"11:20:50"},{"id":151,"name":"Denver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4"/>
      <c r="AK70" s="232"/>
      <c r="AL70" s="232"/>
      <c r="AM70" s="241" t="str">
        <f t="shared" si="21"/>
        <v>start /low /b %USERPROFILE%\Documents\GitHub\eaglep3\Utilities\DownloadLogsFromS3.py --loco 4022 --day 2017-11-27</v>
      </c>
      <c r="AN70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18:20:50"},{"id":29,"name":"Sharepoint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1" t="str">
        <f t="shared" si="23"/>
        <v>https://d0f6bd738d7f1b3e5a7ca70fe4ff75f0.us-east-1.aws.found.io/app/kibana#/discover/Steve-Slow-Train-Analysis-(2080s-and-2083s)?_g=(refreshInterval:(display:Off,pause:!f,section:0,value:0),time:(from:'2017-11-27T09:41:52-0700',mode:absolute,to:'2017-11-27T12:20:50-0700'))&amp;_a=(columns:!('Message%20ID',Summary),filters:!(),index:'emp_*',interval:auto,query:(query_string:(analyze_wildcard:!t,query:'%22rtdc.l.rtdc.4022%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30" t="s">
        <v>697</v>
      </c>
      <c r="B71" s="226">
        <v>4021</v>
      </c>
      <c r="C71" s="228" t="s">
        <v>192</v>
      </c>
      <c r="D71" s="228" t="s">
        <v>542</v>
      </c>
      <c r="E71" s="227">
        <v>43066.483275462961</v>
      </c>
      <c r="F71" s="227">
        <v>43066.487662037034</v>
      </c>
      <c r="G71" s="226">
        <v>88</v>
      </c>
      <c r="H71" s="228" t="s">
        <v>860</v>
      </c>
      <c r="I71" s="227">
        <v>43066.516377314816</v>
      </c>
      <c r="J71" s="226">
        <v>0</v>
      </c>
      <c r="K71" s="238" t="str">
        <f t="shared" si="0"/>
        <v>4021/4022</v>
      </c>
      <c r="L71" s="246" t="str">
        <f>VLOOKUP(A71,'Trips&amp;Operators'!$C$1:$G$99911,5,FALSE)</f>
        <v>BADERTSCHER DIANE</v>
      </c>
      <c r="M71" s="225">
        <f t="shared" si="1"/>
        <v>2.8715277781884652E-2</v>
      </c>
      <c r="N71" s="226">
        <f t="shared" si="25"/>
        <v>41.350000005913898</v>
      </c>
      <c r="O71" s="226"/>
      <c r="P71" s="226"/>
      <c r="Q71" s="229"/>
      <c r="R71" s="243"/>
      <c r="S71" s="250">
        <f t="shared" si="24"/>
        <v>1</v>
      </c>
      <c r="T71" s="243" t="str">
        <f t="shared" si="4"/>
        <v>Southbound</v>
      </c>
      <c r="U71" s="24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9" t="str">
        <f t="shared" si="5"/>
        <v>https://d0f6bd738d7f1b3e5a7ca70fe4ff75f0.us-east-1.aws.found.io/app/kibana#/discover/Steve-Slow-Train-Analysis-(2080s-and-2083s)?_g=(refreshInterval:(display:Off,pause:!f,section:0,value:0),time:(from:'2017-11-27T10:35:55-0700',mode:absolute,to:'2017-11-27T13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1" s="248" t="str">
        <f>IF(AA71&lt;VLOOKUP(AG71,Variables!$AC$3:$AD$8,2,FALSE),"Y","N")</f>
        <v>N</v>
      </c>
      <c r="X71" s="248">
        <f t="shared" si="6"/>
        <v>1</v>
      </c>
      <c r="Y71" s="248">
        <f t="shared" si="7"/>
        <v>23.291899999999998</v>
      </c>
      <c r="Z71" s="248">
        <f t="shared" si="8"/>
        <v>2.3099999999999999E-2</v>
      </c>
      <c r="AA71" s="248">
        <f t="shared" si="9"/>
        <v>23.268799999999999</v>
      </c>
      <c r="AB71" s="234" t="e">
        <f>VLOOKUP(A71,Enforcements!$C$7:$K$9,8,0)</f>
        <v>#N/A</v>
      </c>
      <c r="AC71" s="233" t="e">
        <f>VLOOKUP(A71,Enforcements!$C$7:$E$9,3,0)</f>
        <v>#N/A</v>
      </c>
      <c r="AD71" s="244">
        <f t="shared" si="10"/>
        <v>158</v>
      </c>
      <c r="AE71" s="236" t="str">
        <f t="shared" si="11"/>
        <v>aws s3 cp s3://rtdc.mdm.uploadarchive.raw/RTDC4021/ "%USERPROFILE%\AppData\Local\Temp\OnboardLogs"\RTDC4021\2017-11-27 --exclude "*" --recursive --include "*20171127*" &amp; "%USERPROFILE%\Documents\GitHub\mrs-test-scripts\Headless Mode &amp; Sideloading\WalkAndUnGZ.bat" "%USERPROFILE%\AppData\Local\Temp\OnboardLogs"\RTDC4021\2017-11-27 &amp; aws s3 cp s3://rtdc.mdm.uploadarchive.raw/RTDC4021/ "%USERPROFILE%\AppData\Local\Temp\OnboardLogs"\RTDC4021\2017-11-28 --exclude "*" --recursive --include "*20171128*" &amp; "%USERPROFILE%\Documents\GitHub\mrs-test-scripts\Headless Mode &amp; Sideloading\WalkAndUnGZ.bat" "%USERPROFILE%\AppData\Local\Temp\OnboardLogs"\RTDC4021\2017-11-28</v>
      </c>
      <c r="AF71" s="235" t="str">
        <f t="shared" si="12"/>
        <v>"C:\Program Files (x86)\AstroGrep\AstroGrep.exe" /e /r /s /spath="%USERPROFILE%\AppData\Local\Temp\OnboardLogs" /stypes="app*4021*20171127*" /stext=" 19:.+((SYSTEM_STATE.+slice.+state.+changed )|(ment ac)|(multiple cpu faults)|(system.+state.+changed )|(\[timeout)|(PRM\|1\|D)|(kpr)|(kdp)|(train st.+moving)|(\|lc)|(penalty))"</v>
      </c>
      <c r="AG71" s="245" t="str">
        <f t="shared" si="13"/>
        <v>EC</v>
      </c>
      <c r="AH71" s="237" t="str">
        <f t="shared" si="19"/>
        <v>"%USERPROFILE%\Documents\GitHub\eaglep3\Utilities\RefineRTDCRunTimes.py" --tripid 158-27 --locoid 4021 --swversion DE.1.0.9.0 --startMP 204:232919 --initTime 2017-11-27T11:35:55 --startdatetime 2017-11-27T11:42:14 --delay 88 --endMP 204:231 --enddatetime 2017-11-27T12:23:35 --enforcementcount 0 &gt;&gt;%USERPROFILE%\Documents\GitHub\eaglep3-reporting\EC\2017-11-27-refined-times.txt</v>
      </c>
      <c r="AI71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{"issue":{"subject":"","project_id":79,"tracker_id":40,"status_id":1,"priority_id":2,"assigned_to_id":338,"start_date":"2017-11-27","description":"","custom_fields":[{"id":1,"name":"Subdivision","value":"EC"},{"id":4,"name":"Milepost","value":"0.0231"},{"id":17,"name":"Train ID","value":"158-27"},{"id":16,"name":"Locomotive ID","value":"4021"},{"id":130,"name":"Impact","value":""},{"id":150,"name":"Time of Event (Mountain Time)","value":"12:23:35"},{"id":151,"name":"Denver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4"/>
      <c r="AK71" s="232"/>
      <c r="AL71" s="232"/>
      <c r="AM71" s="241" t="str">
        <f t="shared" si="21"/>
        <v>start /low /b %USERPROFILE%\Documents\GitHub\eaglep3\Utilities\DownloadLogsFromS3.py --loco 4021 --day 2017-11-27</v>
      </c>
      <c r="AN71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19:23:35"},{"id":29,"name":"Sharepoint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1" t="str">
        <f t="shared" si="23"/>
        <v>https://d0f6bd738d7f1b3e5a7ca70fe4ff75f0.us-east-1.aws.found.io/app/kibana#/discover/Steve-Slow-Train-Analysis-(2080s-and-2083s)?_g=(refreshInterval:(display:Off,pause:!f,section:0,value:0),time:(from:'2017-11-27T10:35:55-0700',mode:absolute,to:'2017-11-27T13:23:35-0700'))&amp;_a=(columns:!('Message%20ID',Summary),filters:!(),index:'emp_*',interval:auto,query:(query_string:(analyze_wildcard:!t,query:'%22rtdc.l.rtdc.4021%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30" t="s">
        <v>690</v>
      </c>
      <c r="B72" s="226">
        <v>4054</v>
      </c>
      <c r="C72" s="228" t="s">
        <v>192</v>
      </c>
      <c r="D72" s="228" t="s">
        <v>480</v>
      </c>
      <c r="E72" s="227">
        <v>43066.45616898148</v>
      </c>
      <c r="F72" s="227">
        <v>43066.458506944444</v>
      </c>
      <c r="G72" s="226">
        <v>69</v>
      </c>
      <c r="H72" s="228" t="s">
        <v>491</v>
      </c>
      <c r="I72" s="227">
        <v>43066.483067129629</v>
      </c>
      <c r="J72" s="226">
        <v>0</v>
      </c>
      <c r="K72" s="238" t="str">
        <f t="shared" si="0"/>
        <v>4053/4054</v>
      </c>
      <c r="L72" s="246" t="str">
        <f>VLOOKUP(A72,'Trips&amp;Operators'!$C$1:$G$99911,5,FALSE)</f>
        <v>LAMAR NEKESHA</v>
      </c>
      <c r="M72" s="225">
        <f t="shared" si="1"/>
        <v>2.4560185185691807E-2</v>
      </c>
      <c r="N72" s="226">
        <f t="shared" si="25"/>
        <v>35.366666667396203</v>
      </c>
      <c r="O72" s="226"/>
      <c r="P72" s="226"/>
      <c r="Q72" s="229"/>
      <c r="R72" s="243" t="s">
        <v>1018</v>
      </c>
      <c r="S72" s="250">
        <f t="shared" si="24"/>
        <v>1</v>
      </c>
      <c r="T72" s="243" t="str">
        <f t="shared" si="4"/>
        <v>NorthBound</v>
      </c>
      <c r="U72" s="24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9" t="str">
        <f t="shared" si="5"/>
        <v>https://d0f6bd738d7f1b3e5a7ca70fe4ff75f0.us-east-1.aws.found.io/app/kibana#/discover/Steve-Slow-Train-Analysis-(2080s-and-2083s)?_g=(refreshInterval:(display:Off,pause:!f,section:0,value:0),time:(from:'2017-11-27T09:56:53-0700',mode:absolute,to:'2017-11-27T12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2" s="248" t="str">
        <f>IF(AA72&lt;VLOOKUP(AG72,Variables!$AC$3:$AD$8,2,FALSE),"Y","N")</f>
        <v>N</v>
      </c>
      <c r="X72" s="248">
        <f t="shared" si="6"/>
        <v>1</v>
      </c>
      <c r="Y72" s="248">
        <f t="shared" si="7"/>
        <v>4.58E-2</v>
      </c>
      <c r="Z72" s="248">
        <f t="shared" si="8"/>
        <v>23.3278</v>
      </c>
      <c r="AA72" s="248">
        <f t="shared" si="9"/>
        <v>23.282</v>
      </c>
      <c r="AB72" s="234" t="e">
        <f>VLOOKUP(A72,Enforcements!$C$7:$K$9,8,0)</f>
        <v>#N/A</v>
      </c>
      <c r="AC72" s="233" t="e">
        <f>VLOOKUP(A72,Enforcements!$C$7:$E$9,3,0)</f>
        <v>#N/A</v>
      </c>
      <c r="AD72" s="244">
        <f t="shared" si="10"/>
        <v>159</v>
      </c>
      <c r="AE72" s="236" t="str">
        <f t="shared" si="11"/>
        <v>aws s3 cp s3://rtdc.mdm.uploadarchive.raw/RTDC4054/ "%USERPROFILE%\AppData\Local\Temp\OnboardLogs"\RTDC4054\2017-11-27 --exclude "*" --recursive --include "*20171127*" &amp; "%USERPROFILE%\Documents\GitHub\mrs-test-scripts\Headless Mode &amp; Sideloading\WalkAndUnGZ.bat" "%USERPROFILE%\AppData\Local\Temp\OnboardLogs"\RTDC4054\2017-11-27 &amp; aws s3 cp s3://rtdc.mdm.uploadarchive.raw/RTDC4054/ "%USERPROFILE%\AppData\Local\Temp\OnboardLogs"\RTDC4054\2017-11-28 --exclude "*" --recursive --include "*20171128*" &amp; "%USERPROFILE%\Documents\GitHub\mrs-test-scripts\Headless Mode &amp; Sideloading\WalkAndUnGZ.bat" "%USERPROFILE%\AppData\Local\Temp\OnboardLogs"\RTDC4054\2017-11-28</v>
      </c>
      <c r="AF72" s="235" t="str">
        <f t="shared" si="12"/>
        <v>"C:\Program Files (x86)\AstroGrep\AstroGrep.exe" /e /r /s /spath="%USERPROFILE%\AppData\Local\Temp\OnboardLogs" /stypes="app*4054*20171127*" /stext=" 18:.+((SYSTEM_STATE.+slice.+state.+changed )|(ment ac)|(multiple cpu faults)|(system.+state.+changed )|(\[timeout)|(PRM\|1\|D)|(kpr)|(kdp)|(train st.+moving)|(\|lc)|(penalty))"</v>
      </c>
      <c r="AG72" s="245" t="str">
        <f t="shared" si="13"/>
        <v>EC</v>
      </c>
      <c r="AH72" s="237" t="str">
        <f t="shared" si="19"/>
        <v>"%USERPROFILE%\Documents\GitHub\eaglep3\Utilities\RefineRTDCRunTimes.py" --tripid 159-27 --locoid 4054 --swversion DE.1.0.9.0 --startMP 204:458 --initTime 2017-11-27T10:56:53 --startdatetime 2017-11-27T11:00:15 --delay 69 --endMP 204:233278 --enddatetime 2017-11-27T11:35:37 --enforcementcount 0 &gt;&gt;%USERPROFILE%\Documents\GitHub\eaglep3-reporting\EC\2017-11-27-refined-times.txt</v>
      </c>
      <c r="AI72" s="239" t="str">
        <f t="shared" si="20"/>
        <v>echo {"issue":{"subject":"Brief Wi-MAX data drop caused unhealthy banner","project_id":79,"tracker_id":40,"status_id":1,"priority_id":2,"assigned_to_id":338,"start_date":"2017-11-27","description":"","custom_fields":[{"id":1,"name":"Subdivision","value":"EC"},{"id":4,"name":"Milepost","value":"23.3278"},{"id":17,"name":"Train ID","value":"159-27"},{"id":16,"name":"Locomotive ID","value":"4054"},{"id":130,"name":"Impact","value":""},{"id":150,"name":"Time of Event (Mountain Time)","value":"11:35:37"},{"id":151,"name":"Denver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4"/>
      <c r="AK72" s="232"/>
      <c r="AL72" s="232"/>
      <c r="AM72" s="241" t="str">
        <f t="shared" si="21"/>
        <v>start /low /b %USERPROFILE%\Documents\GitHub\eaglep3\Utilities\DownloadLogsFromS3.py --loco 4054 --day 2017-11-27</v>
      </c>
      <c r="AN72" s="242" t="str">
        <f t="shared" si="22"/>
        <v>echo {"issue":{"subject":"Brief Wi-MAX data drop caused unhealthy banner","project_id":30,"tracker_id":4,"status_id":1,"priority_id":1,"assigned_to_id":10,"start_date":"2017-11-27","description":"","custom_fields":[{"id":30,"name":"Category","value":"Issue"},{"id":3,"name":"Functional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18:35:37"},{"id":29,"name":"Sharepoint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1" t="str">
        <f t="shared" si="23"/>
        <v>https://d0f6bd738d7f1b3e5a7ca70fe4ff75f0.us-east-1.aws.found.io/app/kibana#/discover/Steve-Slow-Train-Analysis-(2080s-and-2083s)?_g=(refreshInterval:(display:Off,pause:!f,section:0,value:0),time:(from:'2017-11-27T09:56:53-0700',mode:absolute,to:'2017-11-27T12:35:37-0700'))&amp;_a=(columns:!('Message%20ID',Summary),filters:!(),index:'emp_*',interval:auto,query:(query_string:(analyze_wildcard:!t,query:'%22rtdc.l.rtdc.4054%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30" t="s">
        <v>701</v>
      </c>
      <c r="B73" s="226">
        <v>4053</v>
      </c>
      <c r="C73" s="228" t="s">
        <v>192</v>
      </c>
      <c r="D73" s="228" t="s">
        <v>499</v>
      </c>
      <c r="E73" s="227">
        <v>43066.496736111112</v>
      </c>
      <c r="F73" s="227">
        <v>43066.498182870368</v>
      </c>
      <c r="G73" s="226">
        <v>48</v>
      </c>
      <c r="H73" s="228" t="s">
        <v>537</v>
      </c>
      <c r="I73" s="227">
        <v>43066.523796296293</v>
      </c>
      <c r="J73" s="226">
        <v>0</v>
      </c>
      <c r="K73" s="238" t="str">
        <f t="shared" si="0"/>
        <v>4053/4054</v>
      </c>
      <c r="L73" s="246" t="str">
        <f>VLOOKUP(A73,'Trips&amp;Operators'!$C$1:$G$99911,5,FALSE)</f>
        <v>LAMAR NEKESHA</v>
      </c>
      <c r="M73" s="225">
        <f t="shared" si="1"/>
        <v>2.5613425925257616E-2</v>
      </c>
      <c r="N73" s="226">
        <f t="shared" si="25"/>
        <v>36.883333332370967</v>
      </c>
      <c r="O73" s="226"/>
      <c r="P73" s="226"/>
      <c r="Q73" s="229"/>
      <c r="R73" s="243"/>
      <c r="S73" s="250">
        <f t="shared" si="24"/>
        <v>1</v>
      </c>
      <c r="T73" s="243" t="str">
        <f t="shared" si="4"/>
        <v>Southbound</v>
      </c>
      <c r="U73" s="24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9" t="str">
        <f t="shared" si="5"/>
        <v>https://d0f6bd738d7f1b3e5a7ca70fe4ff75f0.us-east-1.aws.found.io/app/kibana#/discover/Steve-Slow-Train-Analysis-(2080s-and-2083s)?_g=(refreshInterval:(display:Off,pause:!f,section:0,value:0),time:(from:'2017-11-27T10:55:18-0700',mode:absolute,to:'2017-11-27T13:34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3" s="248" t="str">
        <f>IF(AA73&lt;VLOOKUP(AG73,Variables!$AC$3:$AD$8,2,FALSE),"Y","N")</f>
        <v>N</v>
      </c>
      <c r="X73" s="248">
        <f t="shared" si="6"/>
        <v>1</v>
      </c>
      <c r="Y73" s="248">
        <f t="shared" si="7"/>
        <v>23.296600000000002</v>
      </c>
      <c r="Z73" s="248">
        <f t="shared" si="8"/>
        <v>2.0500000000000001E-2</v>
      </c>
      <c r="AA73" s="248">
        <f t="shared" si="9"/>
        <v>23.276100000000003</v>
      </c>
      <c r="AB73" s="234" t="e">
        <f>VLOOKUP(A73,Enforcements!$C$7:$K$9,8,0)</f>
        <v>#N/A</v>
      </c>
      <c r="AC73" s="233" t="e">
        <f>VLOOKUP(A73,Enforcements!$C$7:$E$9,3,0)</f>
        <v>#N/A</v>
      </c>
      <c r="AD73" s="244">
        <f t="shared" si="10"/>
        <v>160</v>
      </c>
      <c r="AE73" s="236" t="str">
        <f t="shared" si="11"/>
        <v>aws s3 cp s3://rtdc.mdm.uploadarchive.raw/RTDC4053/ "%USERPROFILE%\AppData\Local\Temp\OnboardLogs"\RTDC4053\2017-11-27 --exclude "*" --recursive --include "*20171127*" &amp; "%USERPROFILE%\Documents\GitHub\mrs-test-scripts\Headless Mode &amp; Sideloading\WalkAndUnGZ.bat" "%USERPROFILE%\AppData\Local\Temp\OnboardLogs"\RTDC4053\2017-11-27 &amp; aws s3 cp s3://rtdc.mdm.uploadarchive.raw/RTDC4053/ "%USERPROFILE%\AppData\Local\Temp\OnboardLogs"\RTDC4053\2017-11-28 --exclude "*" --recursive --include "*20171128*" &amp; "%USERPROFILE%\Documents\GitHub\mrs-test-scripts\Headless Mode &amp; Sideloading\WalkAndUnGZ.bat" "%USERPROFILE%\AppData\Local\Temp\OnboardLogs"\RTDC4053\2017-11-28</v>
      </c>
      <c r="AF73" s="235" t="str">
        <f t="shared" si="12"/>
        <v>"C:\Program Files (x86)\AstroGrep\AstroGrep.exe" /e /r /s /spath="%USERPROFILE%\AppData\Local\Temp\OnboardLogs" /stypes="app*4053*20171127*" /stext=" 19:.+((SYSTEM_STATE.+slice.+state.+changed )|(ment ac)|(multiple cpu faults)|(system.+state.+changed )|(\[timeout)|(PRM\|1\|D)|(kpr)|(kdp)|(train st.+moving)|(\|lc)|(penalty))"</v>
      </c>
      <c r="AG73" s="245" t="str">
        <f t="shared" si="13"/>
        <v>EC</v>
      </c>
      <c r="AH73" s="237" t="str">
        <f t="shared" si="19"/>
        <v>"%USERPROFILE%\Documents\GitHub\eaglep3\Utilities\RefineRTDCRunTimes.py" --tripid 160-27 --locoid 4053 --swversion DE.1.0.9.0 --startMP 204:232966 --initTime 2017-11-27T11:55:18 --startdatetime 2017-11-27T11:57:23 --delay 48 --endMP 204:205 --enddatetime 2017-11-27T12:34:16 --enforcementcount 0 &gt;&gt;%USERPROFILE%\Documents\GitHub\eaglep3-reporting\EC\2017-11-27-refined-times.txt</v>
      </c>
      <c r="AI73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{"issue":{"subject":"","project_id":79,"tracker_id":40,"status_id":1,"priority_id":2,"assigned_to_id":338,"start_date":"2017-11-27","description":"","custom_fields":[{"id":1,"name":"Subdivision","value":"EC"},{"id":4,"name":"Milepost","value":"0.0205"},{"id":17,"name":"Train ID","value":"160-27"},{"id":16,"name":"Locomotive ID","value":"4053"},{"id":130,"name":"Impact","value":""},{"id":150,"name":"Time of Event (Mountain Time)","value":"12:34:16"},{"id":151,"name":"Denver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4"/>
      <c r="AK73" s="232"/>
      <c r="AL73" s="232"/>
      <c r="AM73" s="241" t="str">
        <f t="shared" si="21"/>
        <v>start /low /b %USERPROFILE%\Documents\GitHub\eaglep3\Utilities\DownloadLogsFromS3.py --loco 4053 --day 2017-11-27</v>
      </c>
      <c r="AN73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19:34:16"},{"id":29,"name":"Sharepoint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1" t="str">
        <f t="shared" si="23"/>
        <v>https://d0f6bd738d7f1b3e5a7ca70fe4ff75f0.us-east-1.aws.found.io/app/kibana#/discover/Steve-Slow-Train-Analysis-(2080s-and-2083s)?_g=(refreshInterval:(display:Off,pause:!f,section:0,value:0),time:(from:'2017-11-27T10:55:18-0700',mode:absolute,to:'2017-11-27T13:34:16-0700'))&amp;_a=(columns:!('Message%20ID',Summary),filters:!(),index:'emp_*',interval:auto,query:(query_string:(analyze_wildcard:!t,query:'%22rtdc.l.rtdc.4053%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30" t="s">
        <v>694</v>
      </c>
      <c r="B74" s="226">
        <v>4044</v>
      </c>
      <c r="C74" s="228" t="s">
        <v>192</v>
      </c>
      <c r="D74" s="228" t="s">
        <v>861</v>
      </c>
      <c r="E74" s="227">
        <v>43066.466053240743</v>
      </c>
      <c r="F74" s="227">
        <v>43066.469155092593</v>
      </c>
      <c r="G74" s="226">
        <v>152</v>
      </c>
      <c r="H74" s="228" t="s">
        <v>862</v>
      </c>
      <c r="I74" s="227">
        <v>43066.493935185186</v>
      </c>
      <c r="J74" s="226">
        <v>0</v>
      </c>
      <c r="K74" s="238" t="str">
        <f t="shared" si="0"/>
        <v>4043/4044</v>
      </c>
      <c r="L74" s="246" t="str">
        <f>VLOOKUP(A74,'Trips&amp;Operators'!$C$1:$G$99911,5,FALSE)</f>
        <v>DAVIS MICHAEL</v>
      </c>
      <c r="M74" s="225">
        <f t="shared" si="1"/>
        <v>2.4780092593573499E-2</v>
      </c>
      <c r="N74" s="226">
        <f t="shared" si="25"/>
        <v>35.683333334745839</v>
      </c>
      <c r="O74" s="226"/>
      <c r="P74" s="226"/>
      <c r="Q74" s="229"/>
      <c r="R74" s="243"/>
      <c r="S74" s="250">
        <f t="shared" si="24"/>
        <v>1</v>
      </c>
      <c r="T74" s="243" t="str">
        <f t="shared" si="4"/>
        <v>NorthBound</v>
      </c>
      <c r="U74" s="24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9" t="str">
        <f t="shared" si="5"/>
        <v>https://d0f6bd738d7f1b3e5a7ca70fe4ff75f0.us-east-1.aws.found.io/app/kibana#/discover/Steve-Slow-Train-Analysis-(2080s-and-2083s)?_g=(refreshInterval:(display:Off,pause:!f,section:0,value:0),time:(from:'2017-11-27T10:11:07-0700',mode:absolute,to:'2017-11-27T12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4" s="248" t="str">
        <f>IF(AA74&lt;VLOOKUP(AG74,Variables!$AC$3:$AD$8,2,FALSE),"Y","N")</f>
        <v>N</v>
      </c>
      <c r="X74" s="248">
        <f t="shared" si="6"/>
        <v>1</v>
      </c>
      <c r="Y74" s="248">
        <f t="shared" si="7"/>
        <v>4.5499999999999999E-2</v>
      </c>
      <c r="Z74" s="248">
        <f t="shared" si="8"/>
        <v>23.3172</v>
      </c>
      <c r="AA74" s="248">
        <f t="shared" si="9"/>
        <v>23.271699999999999</v>
      </c>
      <c r="AB74" s="234" t="e">
        <f>VLOOKUP(A74,Enforcements!$C$7:$K$9,8,0)</f>
        <v>#N/A</v>
      </c>
      <c r="AC74" s="233" t="e">
        <f>VLOOKUP(A74,Enforcements!$C$7:$E$9,3,0)</f>
        <v>#N/A</v>
      </c>
      <c r="AD74" s="244">
        <f t="shared" si="10"/>
        <v>161</v>
      </c>
      <c r="AE74" s="236" t="str">
        <f t="shared" si="11"/>
        <v>aws s3 cp s3://rtdc.mdm.uploadarchive.raw/RTDC4044/ "%USERPROFILE%\AppData\Local\Temp\OnboardLogs"\RTDC4044\2017-11-27 --exclude "*" --recursive --include "*20171127*" &amp; "%USERPROFILE%\Documents\GitHub\mrs-test-scripts\Headless Mode &amp; Sideloading\WalkAndUnGZ.bat" "%USERPROFILE%\AppData\Local\Temp\OnboardLogs"\RTDC4044\2017-11-27 &amp; aws s3 cp s3://rtdc.mdm.uploadarchive.raw/RTDC4044/ "%USERPROFILE%\AppData\Local\Temp\OnboardLogs"\RTDC4044\2017-11-28 --exclude "*" --recursive --include "*20171128*" &amp; "%USERPROFILE%\Documents\GitHub\mrs-test-scripts\Headless Mode &amp; Sideloading\WalkAndUnGZ.bat" "%USERPROFILE%\AppData\Local\Temp\OnboardLogs"\RTDC4044\2017-11-28</v>
      </c>
      <c r="AF74" s="235" t="str">
        <f t="shared" si="12"/>
        <v>"C:\Program Files (x86)\AstroGrep\AstroGrep.exe" /e /r /s /spath="%USERPROFILE%\AppData\Local\Temp\OnboardLogs" /stypes="app*4044*20171127*" /stext=" 18:.+((SYSTEM_STATE.+slice.+state.+changed )|(ment ac)|(multiple cpu faults)|(system.+state.+changed )|(\[timeout)|(PRM\|1\|D)|(kpr)|(kdp)|(train st.+moving)|(\|lc)|(penalty))"</v>
      </c>
      <c r="AG74" s="245" t="str">
        <f t="shared" si="13"/>
        <v>EC</v>
      </c>
      <c r="AH74" s="237" t="str">
        <f t="shared" si="19"/>
        <v>"%USERPROFILE%\Documents\GitHub\eaglep3\Utilities\RefineRTDCRunTimes.py" --tripid 161-27 --locoid 4044 --swversion DE.1.0.9.0 --startMP 204:455 --initTime 2017-11-27T11:11:07 --startdatetime 2017-11-27T11:15:35 --delay 152 --endMP 204:233172 --enddatetime 2017-11-27T11:51:16 --enforcementcount 0 &gt;&gt;%USERPROFILE%\Documents\GitHub\eaglep3-reporting\EC\2017-11-27-refined-times.txt</v>
      </c>
      <c r="AI74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{"issue":{"subject":"","project_id":79,"tracker_id":40,"status_id":1,"priority_id":2,"assigned_to_id":338,"start_date":"2017-11-27","description":"","custom_fields":[{"id":1,"name":"Subdivision","value":"EC"},{"id":4,"name":"Milepost","value":"23.3172"},{"id":17,"name":"Train ID","value":"161-27"},{"id":16,"name":"Locomotive ID","value":"4044"},{"id":130,"name":"Impact","value":""},{"id":150,"name":"Time of Event (Mountain Time)","value":"11:51:16"},{"id":151,"name":"Denver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4"/>
      <c r="AK74" s="232"/>
      <c r="AL74" s="232"/>
      <c r="AM74" s="241" t="str">
        <f t="shared" si="21"/>
        <v>start /low /b %USERPROFILE%\Documents\GitHub\eaglep3\Utilities\DownloadLogsFromS3.py --loco 4044 --day 2017-11-27</v>
      </c>
      <c r="AN74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18:51:16"},{"id":29,"name":"Sharepoint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1" t="str">
        <f t="shared" si="23"/>
        <v>https://d0f6bd738d7f1b3e5a7ca70fe4ff75f0.us-east-1.aws.found.io/app/kibana#/discover/Steve-Slow-Train-Analysis-(2080s-and-2083s)?_g=(refreshInterval:(display:Off,pause:!f,section:0,value:0),time:(from:'2017-11-27T10:11:07-0700',mode:absolute,to:'2017-11-27T12:51:16-0700'))&amp;_a=(columns:!('Message%20ID',Summary),filters:!(),index:'emp_*',interval:auto,query:(query_string:(analyze_wildcard:!t,query:'%22rtdc.l.rtdc.4044%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30" t="s">
        <v>704</v>
      </c>
      <c r="B75" s="226">
        <v>4043</v>
      </c>
      <c r="C75" s="228" t="s">
        <v>192</v>
      </c>
      <c r="D75" s="228" t="s">
        <v>863</v>
      </c>
      <c r="E75" s="227">
        <v>43066.506712962961</v>
      </c>
      <c r="F75" s="227">
        <v>43066.508912037039</v>
      </c>
      <c r="G75" s="226">
        <v>104</v>
      </c>
      <c r="H75" s="228" t="s">
        <v>415</v>
      </c>
      <c r="I75" s="227">
        <v>43066.536215277774</v>
      </c>
      <c r="J75" s="226">
        <v>0</v>
      </c>
      <c r="K75" s="238" t="str">
        <f t="shared" si="0"/>
        <v>4043/4044</v>
      </c>
      <c r="L75" s="246" t="str">
        <f>VLOOKUP(A75,'Trips&amp;Operators'!$C$1:$G$99911,5,FALSE)</f>
        <v>DAVIS MICHAEL</v>
      </c>
      <c r="M75" s="225">
        <f t="shared" si="1"/>
        <v>2.7303240734909195E-2</v>
      </c>
      <c r="N75" s="226">
        <f t="shared" si="25"/>
        <v>39.316666658269241</v>
      </c>
      <c r="O75" s="226"/>
      <c r="P75" s="226"/>
      <c r="Q75" s="229"/>
      <c r="R75" s="243"/>
      <c r="S75" s="250">
        <f t="shared" si="24"/>
        <v>1</v>
      </c>
      <c r="T75" s="243" t="str">
        <f t="shared" si="4"/>
        <v>Southbound</v>
      </c>
      <c r="U75" s="24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9" t="str">
        <f t="shared" si="5"/>
        <v>https://d0f6bd738d7f1b3e5a7ca70fe4ff75f0.us-east-1.aws.found.io/app/kibana#/discover/Steve-Slow-Train-Analysis-(2080s-and-2083s)?_g=(refreshInterval:(display:Off,pause:!f,section:0,value:0),time:(from:'2017-11-27T11:09:40-0700',mode:absolute,to:'2017-11-27T13:52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5" s="248" t="str">
        <f>IF(AA75&lt;VLOOKUP(AG75,Variables!$AC$3:$AD$8,2,FALSE),"Y","N")</f>
        <v>N</v>
      </c>
      <c r="X75" s="248">
        <f t="shared" si="6"/>
        <v>1</v>
      </c>
      <c r="Y75" s="248">
        <f t="shared" si="7"/>
        <v>23.2971</v>
      </c>
      <c r="Z75" s="248">
        <f t="shared" si="8"/>
        <v>2.1399999999999999E-2</v>
      </c>
      <c r="AA75" s="248">
        <f t="shared" si="9"/>
        <v>23.275700000000001</v>
      </c>
      <c r="AB75" s="234" t="e">
        <f>VLOOKUP(A75,Enforcements!$C$7:$K$9,8,0)</f>
        <v>#N/A</v>
      </c>
      <c r="AC75" s="233" t="e">
        <f>VLOOKUP(A75,Enforcements!$C$7:$E$9,3,0)</f>
        <v>#N/A</v>
      </c>
      <c r="AD75" s="244">
        <f t="shared" si="10"/>
        <v>162</v>
      </c>
      <c r="AE75" s="236" t="str">
        <f t="shared" si="11"/>
        <v>aws s3 cp s3://rtdc.mdm.uploadarchive.raw/RTDC4043/ "%USERPROFILE%\AppData\Local\Temp\OnboardLogs"\RTDC4043\2017-11-27 --exclude "*" --recursive --include "*20171127*" &amp; "%USERPROFILE%\Documents\GitHub\mrs-test-scripts\Headless Mode &amp; Sideloading\WalkAndUnGZ.bat" "%USERPROFILE%\AppData\Local\Temp\OnboardLogs"\RTDC4043\2017-11-27 &amp; aws s3 cp s3://rtdc.mdm.uploadarchive.raw/RTDC4043/ "%USERPROFILE%\AppData\Local\Temp\OnboardLogs"\RTDC4043\2017-11-28 --exclude "*" --recursive --include "*20171128*" &amp; "%USERPROFILE%\Documents\GitHub\mrs-test-scripts\Headless Mode &amp; Sideloading\WalkAndUnGZ.bat" "%USERPROFILE%\AppData\Local\Temp\OnboardLogs"\RTDC4043\2017-11-28</v>
      </c>
      <c r="AF75" s="235" t="str">
        <f t="shared" si="12"/>
        <v>"C:\Program Files (x86)\AstroGrep\AstroGrep.exe" /e /r /s /spath="%USERPROFILE%\AppData\Local\Temp\OnboardLogs" /stypes="app*4043*20171127*" /stext=" 19:.+((SYSTEM_STATE.+slice.+state.+changed )|(ment ac)|(multiple cpu faults)|(system.+state.+changed )|(\[timeout)|(PRM\|1\|D)|(kpr)|(kdp)|(train st.+moving)|(\|lc)|(penalty))"</v>
      </c>
      <c r="AG75" s="245" t="str">
        <f t="shared" si="13"/>
        <v>EC</v>
      </c>
      <c r="AH75" s="237" t="str">
        <f t="shared" si="19"/>
        <v>"%USERPROFILE%\Documents\GitHub\eaglep3\Utilities\RefineRTDCRunTimes.py" --tripid 162-27 --locoid 4043 --swversion DE.1.0.9.0 --startMP 204:232971 --initTime 2017-11-27T12:09:40 --startdatetime 2017-11-27T12:12:50 --delay 104 --endMP 204:214 --enddatetime 2017-11-27T12:52:09 --enforcementcount 0 &gt;&gt;%USERPROFILE%\Documents\GitHub\eaglep3-reporting\EC\2017-11-27-refined-times.txt</v>
      </c>
      <c r="AI75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{"issue":{"subject":"","project_id":79,"tracker_id":40,"status_id":1,"priority_id":2,"assigned_to_id":338,"start_date":"2017-11-27","description":"","custom_fields":[{"id":1,"name":"Subdivision","value":"EC"},{"id":4,"name":"Milepost","value":"0.0214"},{"id":17,"name":"Train ID","value":"162-27"},{"id":16,"name":"Locomotive ID","value":"4043"},{"id":130,"name":"Impact","value":""},{"id":150,"name":"Time of Event (Mountain Time)","value":"12:52:09"},{"id":151,"name":"Denver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4"/>
      <c r="AK75" s="232"/>
      <c r="AL75" s="232"/>
      <c r="AM75" s="241" t="str">
        <f t="shared" si="21"/>
        <v>start /low /b %USERPROFILE%\Documents\GitHub\eaglep3\Utilities\DownloadLogsFromS3.py --loco 4043 --day 2017-11-27</v>
      </c>
      <c r="AN75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19:52:09"},{"id":29,"name":"Sharepoint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1" t="str">
        <f t="shared" si="23"/>
        <v>https://d0f6bd738d7f1b3e5a7ca70fe4ff75f0.us-east-1.aws.found.io/app/kibana#/discover/Steve-Slow-Train-Analysis-(2080s-and-2083s)?_g=(refreshInterval:(display:Off,pause:!f,section:0,value:0),time:(from:'2017-11-27T11:09:40-0700',mode:absolute,to:'2017-11-27T13:52:09-0700'))&amp;_a=(columns:!('Message%20ID',Summary),filters:!(),index:'emp_*',interval:auto,query:(query_string:(analyze_wildcard:!t,query:'%22rtdc.l.rtdc.4043%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30" t="s">
        <v>696</v>
      </c>
      <c r="B76" s="226">
        <v>4026</v>
      </c>
      <c r="C76" s="228" t="s">
        <v>192</v>
      </c>
      <c r="D76" s="228" t="s">
        <v>481</v>
      </c>
      <c r="E76" s="227">
        <v>43066.475381944445</v>
      </c>
      <c r="F76" s="227">
        <v>43066.479363425926</v>
      </c>
      <c r="G76" s="226">
        <v>132</v>
      </c>
      <c r="H76" s="228" t="s">
        <v>476</v>
      </c>
      <c r="I76" s="227">
        <v>43066.504328703704</v>
      </c>
      <c r="J76" s="226">
        <v>0</v>
      </c>
      <c r="K76" s="238" t="str">
        <f t="shared" si="0"/>
        <v>4025/4026</v>
      </c>
      <c r="L76" s="246" t="str">
        <f>VLOOKUP(A76,'Trips&amp;Operators'!$C$1:$G$99911,5,FALSE)</f>
        <v>STEWART MICHAEL</v>
      </c>
      <c r="M76" s="225">
        <f t="shared" si="1"/>
        <v>2.4965277778392192E-2</v>
      </c>
      <c r="N76" s="226">
        <f t="shared" si="25"/>
        <v>35.950000000884756</v>
      </c>
      <c r="O76" s="226"/>
      <c r="P76" s="226"/>
      <c r="Q76" s="229"/>
      <c r="R76" s="243"/>
      <c r="S76" s="250">
        <f t="shared" si="24"/>
        <v>1</v>
      </c>
      <c r="T76" s="243" t="str">
        <f t="shared" si="4"/>
        <v>NorthBound</v>
      </c>
      <c r="U76" s="24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9" t="str">
        <f t="shared" si="5"/>
        <v>https://d0f6bd738d7f1b3e5a7ca70fe4ff75f0.us-east-1.aws.found.io/app/kibana#/discover/Steve-Slow-Train-Analysis-(2080s-and-2083s)?_g=(refreshInterval:(display:Off,pause:!f,section:0,value:0),time:(from:'2017-11-27T10:24:33-0700',mode:absolute,to:'2017-11-27T13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6" s="248" t="str">
        <f>IF(AA76&lt;VLOOKUP(AG76,Variables!$AC$3:$AD$8,2,FALSE),"Y","N")</f>
        <v>N</v>
      </c>
      <c r="X76" s="248">
        <f t="shared" si="6"/>
        <v>1</v>
      </c>
      <c r="Y76" s="248">
        <f t="shared" si="7"/>
        <v>4.82E-2</v>
      </c>
      <c r="Z76" s="248">
        <f t="shared" si="8"/>
        <v>23.33</v>
      </c>
      <c r="AA76" s="248">
        <f t="shared" si="9"/>
        <v>23.281799999999997</v>
      </c>
      <c r="AB76" s="234" t="e">
        <f>VLOOKUP(A76,Enforcements!$C$7:$K$9,8,0)</f>
        <v>#N/A</v>
      </c>
      <c r="AC76" s="233" t="e">
        <f>VLOOKUP(A76,Enforcements!$C$7:$E$9,3,0)</f>
        <v>#N/A</v>
      </c>
      <c r="AD76" s="244">
        <f t="shared" si="10"/>
        <v>163</v>
      </c>
      <c r="AE76" s="236" t="str">
        <f t="shared" si="11"/>
        <v>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 &amp; aws s3 cp s3://rtdc.mdm.uploadarchive.raw/RTDC4026/ "%USERPROFILE%\AppData\Local\Temp\OnboardLogs"\RTDC4026\2017-11-28 --exclude "*" --recursive --include "*20171128*" &amp; "%USERPROFILE%\Documents\GitHub\mrs-test-scripts\Headless Mode &amp; Sideloading\WalkAndUnGZ.bat" "%USERPROFILE%\AppData\Local\Temp\OnboardLogs"\RTDC4026\2017-11-28</v>
      </c>
      <c r="AF76" s="235" t="str">
        <f t="shared" si="12"/>
        <v>"C:\Program Files (x86)\AstroGrep\AstroGrep.exe" /e /r /s /spath="%USERPROFILE%\AppData\Local\Temp\OnboardLogs" /stypes="app*4026*20171127*" /stext=" 19:.+((SYSTEM_STATE.+slice.+state.+changed )|(ment ac)|(multiple cpu faults)|(system.+state.+changed )|(\[timeout)|(PRM\|1\|D)|(kpr)|(kdp)|(train st.+moving)|(\|lc)|(penalty))"</v>
      </c>
      <c r="AG76" s="245" t="str">
        <f t="shared" si="13"/>
        <v>EC</v>
      </c>
      <c r="AH76" s="237" t="str">
        <f t="shared" si="19"/>
        <v>"%USERPROFILE%\Documents\GitHub\eaglep3\Utilities\RefineRTDCRunTimes.py" --tripid 163-27 --locoid 4026 --swversion DE.1.0.9.0 --startMP 204:482 --initTime 2017-11-27T11:24:33 --startdatetime 2017-11-27T11:30:17 --delay 132 --endMP 204:233300 --enddatetime 2017-11-27T12:06:14 --enforcementcount 0 &gt;&gt;%USERPROFILE%\Documents\GitHub\eaglep3-reporting\EC\2017-11-27-refined-times.txt</v>
      </c>
      <c r="AI76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{"issue":{"subject":"","project_id":79,"tracker_id":40,"status_id":1,"priority_id":2,"assigned_to_id":338,"start_date":"2017-11-27","description":"","custom_fields":[{"id":1,"name":"Subdivision","value":"EC"},{"id":4,"name":"Milepost","value":"23.33"},{"id":17,"name":"Train ID","value":"163-27"},{"id":16,"name":"Locomotive ID","value":"4026"},{"id":130,"name":"Impact","value":""},{"id":150,"name":"Time of Event (Mountain Time)","value":"12:06:14"},{"id":151,"name":"Denver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4"/>
      <c r="AK76" s="232"/>
      <c r="AL76" s="232"/>
      <c r="AM76" s="241" t="str">
        <f t="shared" si="21"/>
        <v>start /low /b %USERPROFILE%\Documents\GitHub\eaglep3\Utilities\DownloadLogsFromS3.py --loco 4026 --day 2017-11-27</v>
      </c>
      <c r="AN76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19:06:14"},{"id":29,"name":"Sharepoint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1" t="str">
        <f t="shared" si="23"/>
        <v>https://d0f6bd738d7f1b3e5a7ca70fe4ff75f0.us-east-1.aws.found.io/app/kibana#/discover/Steve-Slow-Train-Analysis-(2080s-and-2083s)?_g=(refreshInterval:(display:Off,pause:!f,section:0,value:0),time:(from:'2017-11-27T10:24:33-0700',mode:absolute,to:'2017-11-27T13:06:14-0700'))&amp;_a=(columns:!('Message%20ID',Summary),filters:!(),index:'emp_*',interval:auto,query:(query_string:(analyze_wildcard:!t,query:'%22rtdc.l.rtdc.4026%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30" t="s">
        <v>706</v>
      </c>
      <c r="B77" s="226">
        <v>4025</v>
      </c>
      <c r="C77" s="228" t="s">
        <v>192</v>
      </c>
      <c r="D77" s="228" t="s">
        <v>864</v>
      </c>
      <c r="E77" s="227">
        <v>43066.514027777775</v>
      </c>
      <c r="F77" s="227">
        <v>43066.51903935185</v>
      </c>
      <c r="G77" s="226">
        <v>116</v>
      </c>
      <c r="H77" s="228" t="s">
        <v>865</v>
      </c>
      <c r="I77" s="227">
        <v>43066.545555555553</v>
      </c>
      <c r="J77" s="226">
        <v>0</v>
      </c>
      <c r="K77" s="238" t="str">
        <f t="shared" ref="K77:K140" si="26">IF(ISEVEN(B77),(B77-1)&amp;"/"&amp;B77,B77&amp;"/"&amp;(B77+1))</f>
        <v>4025/4026</v>
      </c>
      <c r="L77" s="246" t="str">
        <f>VLOOKUP(A77,'Trips&amp;Operators'!$C$1:$G$99911,5,FALSE)</f>
        <v>STEWART MICHAEL</v>
      </c>
      <c r="M77" s="225">
        <f t="shared" ref="M77:M140" si="27">I77-F77</f>
        <v>2.6516203703067731E-2</v>
      </c>
      <c r="N77" s="226">
        <f t="shared" si="25"/>
        <v>38.183333332417533</v>
      </c>
      <c r="O77" s="226"/>
      <c r="P77" s="226"/>
      <c r="Q77" s="229"/>
      <c r="R77" s="243"/>
      <c r="S77" s="250">
        <f t="shared" si="24"/>
        <v>1</v>
      </c>
      <c r="T77" s="243" t="str">
        <f t="shared" ref="T77:T140" si="28">IF(ISEVEN(LEFT(AD77,4)),"Southbound","NorthBound")</f>
        <v>Southbound</v>
      </c>
      <c r="U77" s="24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9" t="str">
        <f t="shared" ref="V77:V140" si="2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-27T11:20:12-0700',mode:absolute,to:'2017-11-27T14:05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7" s="248" t="str">
        <f>IF(AA77&lt;VLOOKUP(AG77,Variables!$AC$3:$AD$8,2,FALSE),"Y","N")</f>
        <v>N</v>
      </c>
      <c r="X77" s="248">
        <f t="shared" ref="X77:X140" si="30">VALUE(LEFT(AD77,4))-VALUE(LEFT(AD76,4))</f>
        <v>1</v>
      </c>
      <c r="Y77" s="248">
        <f t="shared" ref="Y77:Y140" si="31">RIGHT(D77,LEN(D77)-4)/10000</f>
        <v>23.2972</v>
      </c>
      <c r="Z77" s="248">
        <f t="shared" ref="Z77:Z140" si="32">RIGHT(H77,LEN(H77)-4)/10000</f>
        <v>2.2499999999999999E-2</v>
      </c>
      <c r="AA77" s="248">
        <f t="shared" ref="AA77:AA140" si="33">ABS(Z77-Y77)</f>
        <v>23.274699999999999</v>
      </c>
      <c r="AB77" s="234" t="e">
        <f>VLOOKUP(A77,Enforcements!$C$7:$K$9,8,0)</f>
        <v>#N/A</v>
      </c>
      <c r="AC77" s="233" t="e">
        <f>VLOOKUP(A77,Enforcements!$C$7:$E$9,3,0)</f>
        <v>#N/A</v>
      </c>
      <c r="AD77" s="244">
        <f t="shared" ref="AD77:AD140" si="34">VALUE(LEFT(A77,LEN(A77)-3))</f>
        <v>164</v>
      </c>
      <c r="AE77" s="236" t="str">
        <f t="shared" ref="AE77:AE140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 &amp; aws s3 cp s3://rtdc.mdm.uploadarchive.raw/RTDC4025/ "%USERPROFILE%\AppData\Local\Temp\OnboardLogs"\RTDC4025\2017-11-28 --exclude "*" --recursive --include "*20171128*" &amp; "%USERPROFILE%\Documents\GitHub\mrs-test-scripts\Headless Mode &amp; Sideloading\WalkAndUnGZ.bat" "%USERPROFILE%\AppData\Local\Temp\OnboardLogs"\RTDC4025\2017-11-28</v>
      </c>
      <c r="AF77" s="235" t="str">
        <f t="shared" ref="AF77:AF140" si="3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/stypes="app*4025*20171127*" /stext=" 20:.+((SYSTEM_STATE.+slice.+state.+changed )|(ment ac)|(multiple cpu faults)|(system.+state.+changed )|(\[timeout)|(PRM\|1\|D)|(kpr)|(kdp)|(train st.+moving)|(\|lc)|(penalty))"</v>
      </c>
      <c r="AG77" s="245" t="str">
        <f t="shared" ref="AG77:AG140" si="37">DetSubdiv(A77)</f>
        <v>EC</v>
      </c>
      <c r="AH77" s="237" t="str">
        <f t="shared" si="19"/>
        <v>"%USERPROFILE%\Documents\GitHub\eaglep3\Utilities\RefineRTDCRunTimes.py" --tripid 164-27 --locoid 4025 --swversion DE.1.0.9.0 --startMP 204:232972 --initTime 2017-11-27T12:20:12 --startdatetime 2017-11-27T12:27:25 --delay 116 --endMP 204:225 --enddatetime 2017-11-27T13:05:36 --enforcementcount 0 &gt;&gt;%USERPROFILE%\Documents\GitHub\eaglep3-reporting\EC\2017-11-27-refined-times.txt</v>
      </c>
      <c r="AI77" s="239" t="str">
        <f t="shared" si="20"/>
        <v>echo {"issue":{"subject":"","project_id":79,"tracker_id":40,"status_id":1,"priority_id":2,"assigned_to_id":338,"start_date":"2017-11-27","description":"","custom_fields":[{"id":1,"name":"Subdivision","value":"EC"},{"id":4,"name":"Milepost","value":"0.0225"},{"id":17,"name":"Train ID","value":"164-27"},{"id":16,"name":"Locomotive ID","value":"4025"},{"id":130,"name":"Impact","value":""},{"id":150,"name":"Time of Event (Mountain Time)","value":"13:05:36"},{"id":151,"name":"Denver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4"/>
      <c r="AK77" s="232"/>
      <c r="AL77" s="232"/>
      <c r="AM77" s="241" t="str">
        <f t="shared" si="21"/>
        <v>start /low /b %USERPROFILE%\Documents\GitHub\eaglep3\Utilities\DownloadLogsFromS3.py --loco 4025 --day 2017-11-27</v>
      </c>
      <c r="AN77" s="242" t="str">
        <f t="shared" si="2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20:05:36"},{"id":29,"name":"Sharepoint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1" t="str">
        <f t="shared" si="23"/>
        <v>https://d0f6bd738d7f1b3e5a7ca70fe4ff75f0.us-east-1.aws.found.io/app/kibana#/discover/Steve-Slow-Train-Analysis-(2080s-and-2083s)?_g=(refreshInterval:(display:Off,pause:!f,section:0,value:0),time:(from:'2017-11-27T11:20:12-0700',mode:absolute,to:'2017-11-27T14:05:36-0700'))&amp;_a=(columns:!('Message%20ID',Summary),filters:!(),index:'emp_*',interval:auto,query:(query_string:(analyze_wildcard:!t,query:'%22rtdc.l.rtdc.4025%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30" t="s">
        <v>698</v>
      </c>
      <c r="B78" s="226">
        <v>4014</v>
      </c>
      <c r="C78" s="228" t="s">
        <v>192</v>
      </c>
      <c r="D78" s="228" t="s">
        <v>486</v>
      </c>
      <c r="E78" s="227">
        <v>43066.485046296293</v>
      </c>
      <c r="F78" s="227">
        <v>43066.489768518521</v>
      </c>
      <c r="G78" s="226">
        <v>95</v>
      </c>
      <c r="H78" s="228" t="s">
        <v>866</v>
      </c>
      <c r="I78" s="227">
        <v>43066.514872685184</v>
      </c>
      <c r="J78" s="226">
        <v>0</v>
      </c>
      <c r="K78" s="238" t="str">
        <f t="shared" si="26"/>
        <v>4013/4014</v>
      </c>
      <c r="L78" s="246" t="str">
        <f>VLOOKUP(A78,'Trips&amp;Operators'!$C$1:$G$99911,5,FALSE)</f>
        <v>LORI SANTOS</v>
      </c>
      <c r="M78" s="225">
        <f t="shared" si="27"/>
        <v>2.5104166663368233E-2</v>
      </c>
      <c r="N78" s="226">
        <f t="shared" si="25"/>
        <v>36.149999995250255</v>
      </c>
      <c r="O78" s="226"/>
      <c r="P78" s="226"/>
      <c r="Q78" s="229"/>
      <c r="R78" s="243"/>
      <c r="S78" s="250">
        <f t="shared" si="24"/>
        <v>1</v>
      </c>
      <c r="T78" s="243" t="str">
        <f t="shared" si="28"/>
        <v>NorthBound</v>
      </c>
      <c r="U78" s="24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9" t="str">
        <f t="shared" si="29"/>
        <v>https://d0f6bd738d7f1b3e5a7ca70fe4ff75f0.us-east-1.aws.found.io/app/kibana#/discover/Steve-Slow-Train-Analysis-(2080s-and-2083s)?_g=(refreshInterval:(display:Off,pause:!f,section:0,value:0),time:(from:'2017-11-27T10:38:28-0700',mode:absolute,to:'2017-11-27T13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8" s="248" t="str">
        <f>IF(AA78&lt;VLOOKUP(AG78,Variables!$AC$3:$AD$8,2,FALSE),"Y","N")</f>
        <v>N</v>
      </c>
      <c r="X78" s="248">
        <f t="shared" si="30"/>
        <v>1</v>
      </c>
      <c r="Y78" s="248">
        <f t="shared" si="31"/>
        <v>4.7500000000000001E-2</v>
      </c>
      <c r="Z78" s="248">
        <f t="shared" si="32"/>
        <v>23.321999999999999</v>
      </c>
      <c r="AA78" s="248">
        <f t="shared" si="33"/>
        <v>23.2745</v>
      </c>
      <c r="AB78" s="234" t="e">
        <f>VLOOKUP(A78,Enforcements!$C$7:$K$9,8,0)</f>
        <v>#N/A</v>
      </c>
      <c r="AC78" s="233" t="e">
        <f>VLOOKUP(A78,Enforcements!$C$7:$E$9,3,0)</f>
        <v>#N/A</v>
      </c>
      <c r="AD78" s="244">
        <f t="shared" si="34"/>
        <v>165</v>
      </c>
      <c r="AE78" s="236" t="str">
        <f t="shared" si="35"/>
        <v>aws s3 cp s3://rtdc.mdm.uploadarchive.raw/RTDC4014/ "%USERPROFILE%\AppData\Local\Temp\OnboardLogs"\RTDC4014\2017-11-27 --exclude "*" --recursive --include "*20171127*" &amp; "%USERPROFILE%\Documents\GitHub\mrs-test-scripts\Headless Mode &amp; Sideloading\WalkAndUnGZ.bat" "%USERPROFILE%\AppData\Local\Temp\OnboardLogs"\RTDC4014\2017-11-27 &amp; aws s3 cp s3://rtdc.mdm.uploadarchive.raw/RTDC4014/ "%USERPROFILE%\AppData\Local\Temp\OnboardLogs"\RTDC4014\2017-11-28 --exclude "*" --recursive --include "*20171128*" &amp; "%USERPROFILE%\Documents\GitHub\mrs-test-scripts\Headless Mode &amp; Sideloading\WalkAndUnGZ.bat" "%USERPROFILE%\AppData\Local\Temp\OnboardLogs"\RTDC4014\2017-11-28</v>
      </c>
      <c r="AF78" s="235" t="str">
        <f t="shared" si="36"/>
        <v>"C:\Program Files (x86)\AstroGrep\AstroGrep.exe" /e /r /s /spath="%USERPROFILE%\AppData\Local\Temp\OnboardLogs" /stypes="app*4014*20171127*" /stext=" 19:.+((SYSTEM_STATE.+slice.+state.+changed )|(ment ac)|(multiple cpu faults)|(system.+state.+changed )|(\[timeout)|(PRM\|1\|D)|(kpr)|(kdp)|(train st.+moving)|(\|lc)|(penalty))"</v>
      </c>
      <c r="AG78" s="245" t="str">
        <f t="shared" si="37"/>
        <v>EC</v>
      </c>
      <c r="AH78" s="237" t="str">
        <f t="shared" ref="AH78:AH141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165-27 --locoid 4014 --swversion DE.1.0.9.0 --startMP 204:475 --initTime 2017-11-27T11:38:28 --startdatetime 2017-11-27T11:45:16 --delay 95 --endMP 204:233220 --enddatetime 2017-11-27T12:21:25 --enforcementcount 0 &gt;&gt;%USERPROFILE%\Documents\GitHub\eaglep3-reporting\EC\2017-11-27-refined-times.txt</v>
      </c>
      <c r="AI78" s="239" t="str">
        <f t="shared" ref="AI78:AI141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{"issue":{"subject":"","project_id":79,"tracker_id":40,"status_id":1,"priority_id":2,"assigned_to_id":338,"start_date":"2017-11-27","description":"","custom_fields":[{"id":1,"name":"Subdivision","value":"EC"},{"id":4,"name":"Milepost","value":"23.322"},{"id":17,"name":"Train ID","value":"165-27"},{"id":16,"name":"Locomotive ID","value":"4014"},{"id":130,"name":"Impact","value":""},{"id":150,"name":"Time of Event (Mountain Time)","value":"12:21:25"},{"id":151,"name":"Denver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4"/>
      <c r="AK78" s="232"/>
      <c r="AL78" s="232"/>
      <c r="AM78" s="241" t="str">
        <f t="shared" ref="AM78:AM141" si="40">"start /low /b "&amp;dls3logs&amp;" --loco "&amp;B78&amp;" --day "&amp;TEXT(F78,"YYYY-MM-DD")</f>
        <v>start /low /b %USERPROFILE%\Documents\GitHub\eaglep3\Utilities\DownloadLogsFromS3.py --loco 4014 --day 2017-11-27</v>
      </c>
      <c r="AN78" s="242" t="str">
        <f t="shared" ref="AN78:AN141" si="4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19:21:25"},{"id":29,"name":"Sharepoint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1" t="str">
        <f t="shared" ref="AO78:AO141" si="42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-27T10:38:28-0700',mode:absolute,to:'2017-11-27T13:21:25-0700'))&amp;_a=(columns:!('Message%20ID',Summary),filters:!(),index:'emp_*',interval:auto,query:(query_string:(analyze_wildcard:!t,query:'%22rtdc.l.rtdc.4014%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30" t="s">
        <v>709</v>
      </c>
      <c r="B79" s="226">
        <v>4013</v>
      </c>
      <c r="C79" s="228" t="s">
        <v>192</v>
      </c>
      <c r="D79" s="228" t="s">
        <v>867</v>
      </c>
      <c r="E79" s="227">
        <v>43066.52416666667</v>
      </c>
      <c r="F79" s="227">
        <v>43066.529432870368</v>
      </c>
      <c r="G79" s="226">
        <v>90</v>
      </c>
      <c r="H79" s="228" t="s">
        <v>444</v>
      </c>
      <c r="I79" s="227">
        <v>43066.556516203702</v>
      </c>
      <c r="J79" s="226">
        <v>0</v>
      </c>
      <c r="K79" s="238" t="str">
        <f t="shared" si="26"/>
        <v>4013/4014</v>
      </c>
      <c r="L79" s="246" t="str">
        <f>VLOOKUP(A79,'Trips&amp;Operators'!$C$1:$G$99911,5,FALSE)</f>
        <v>LORI SANTOS</v>
      </c>
      <c r="M79" s="225">
        <f t="shared" si="27"/>
        <v>2.7083333334303461E-2</v>
      </c>
      <c r="N79" s="226">
        <f t="shared" si="25"/>
        <v>39.000000001396984</v>
      </c>
      <c r="O79" s="226"/>
      <c r="P79" s="226"/>
      <c r="Q79" s="229"/>
      <c r="R79" s="243"/>
      <c r="S79" s="250">
        <f t="shared" si="24"/>
        <v>1</v>
      </c>
      <c r="T79" s="243" t="str">
        <f t="shared" si="28"/>
        <v>Southbound</v>
      </c>
      <c r="U79" s="24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9" t="str">
        <f t="shared" si="29"/>
        <v>https://d0f6bd738d7f1b3e5a7ca70fe4ff75f0.us-east-1.aws.found.io/app/kibana#/discover/Steve-Slow-Train-Analysis-(2080s-and-2083s)?_g=(refreshInterval:(display:Off,pause:!f,section:0,value:0),time:(from:'2017-11-27T11:34:48-0700',mode:absolute,to:'2017-11-27T14:21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9" s="248" t="str">
        <f>IF(AA79&lt;VLOOKUP(AG79,Variables!$AC$3:$AD$8,2,FALSE),"Y","N")</f>
        <v>N</v>
      </c>
      <c r="X79" s="248">
        <f t="shared" si="30"/>
        <v>1</v>
      </c>
      <c r="Y79" s="248">
        <f t="shared" si="31"/>
        <v>23.289400000000001</v>
      </c>
      <c r="Z79" s="248">
        <f t="shared" si="32"/>
        <v>2.5600000000000001E-2</v>
      </c>
      <c r="AA79" s="248">
        <f t="shared" si="33"/>
        <v>23.2638</v>
      </c>
      <c r="AB79" s="234" t="e">
        <f>VLOOKUP(A79,Enforcements!$C$7:$K$9,8,0)</f>
        <v>#N/A</v>
      </c>
      <c r="AC79" s="233" t="e">
        <f>VLOOKUP(A79,Enforcements!$C$7:$E$9,3,0)</f>
        <v>#N/A</v>
      </c>
      <c r="AD79" s="244">
        <f t="shared" si="34"/>
        <v>166</v>
      </c>
      <c r="AE79" s="236" t="str">
        <f t="shared" si="35"/>
        <v>aws s3 cp s3://rtdc.mdm.uploadarchive.raw/RTDC4013/ "%USERPROFILE%\AppData\Local\Temp\OnboardLogs"\RTDC4013\2017-11-27 --exclude "*" --recursive --include "*20171127*" &amp; "%USERPROFILE%\Documents\GitHub\mrs-test-scripts\Headless Mode &amp; Sideloading\WalkAndUnGZ.bat" "%USERPROFILE%\AppData\Local\Temp\OnboardLogs"\RTDC4013\2017-11-27 &amp; aws s3 cp s3://rtdc.mdm.uploadarchive.raw/RTDC4013/ "%USERPROFILE%\AppData\Local\Temp\OnboardLogs"\RTDC4013\2017-11-28 --exclude "*" --recursive --include "*20171128*" &amp; "%USERPROFILE%\Documents\GitHub\mrs-test-scripts\Headless Mode &amp; Sideloading\WalkAndUnGZ.bat" "%USERPROFILE%\AppData\Local\Temp\OnboardLogs"\RTDC4013\2017-11-28</v>
      </c>
      <c r="AF79" s="235" t="str">
        <f t="shared" si="36"/>
        <v>"C:\Program Files (x86)\AstroGrep\AstroGrep.exe" /e /r /s /spath="%USERPROFILE%\AppData\Local\Temp\OnboardLogs" /stypes="app*4013*20171127*" /stext=" 20:.+((SYSTEM_STATE.+slice.+state.+changed )|(ment ac)|(multiple cpu faults)|(system.+state.+changed )|(\[timeout)|(PRM\|1\|D)|(kpr)|(kdp)|(train st.+moving)|(\|lc)|(penalty))"</v>
      </c>
      <c r="AG79" s="245" t="str">
        <f t="shared" si="37"/>
        <v>EC</v>
      </c>
      <c r="AH79" s="237" t="str">
        <f t="shared" si="38"/>
        <v>"%USERPROFILE%\Documents\GitHub\eaglep3\Utilities\RefineRTDCRunTimes.py" --tripid 166-27 --locoid 4013 --swversion DE.1.0.9.0 --startMP 204:232894 --initTime 2017-11-27T12:34:48 --startdatetime 2017-11-27T12:42:23 --delay 90 --endMP 204:256 --enddatetime 2017-11-27T13:21:23 --enforcementcount 0 &gt;&gt;%USERPROFILE%\Documents\GitHub\eaglep3-reporting\EC\2017-11-27-refined-times.txt</v>
      </c>
      <c r="AI79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{"issue":{"subject":"","project_id":79,"tracker_id":40,"status_id":1,"priority_id":2,"assigned_to_id":338,"start_date":"2017-11-27","description":"","custom_fields":[{"id":1,"name":"Subdivision","value":"EC"},{"id":4,"name":"Milepost","value":"0.0256"},{"id":17,"name":"Train ID","value":"166-27"},{"id":16,"name":"Locomotive ID","value":"4013"},{"id":130,"name":"Impact","value":""},{"id":150,"name":"Time of Event (Mountain Time)","value":"13:21:23"},{"id":151,"name":"Denver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4"/>
      <c r="AK79" s="232"/>
      <c r="AL79" s="232"/>
      <c r="AM79" s="241" t="str">
        <f t="shared" si="40"/>
        <v>start /low /b %USERPROFILE%\Documents\GitHub\eaglep3\Utilities\DownloadLogsFromS3.py --loco 4013 --day 2017-11-27</v>
      </c>
      <c r="AN79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20:21:23"},{"id":29,"name":"Sharepoint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1" t="str">
        <f t="shared" si="42"/>
        <v>https://d0f6bd738d7f1b3e5a7ca70fe4ff75f0.us-east-1.aws.found.io/app/kibana#/discover/Steve-Slow-Train-Analysis-(2080s-and-2083s)?_g=(refreshInterval:(display:Off,pause:!f,section:0,value:0),time:(from:'2017-11-27T11:34:48-0700',mode:absolute,to:'2017-11-27T14:21:23-0700'))&amp;_a=(columns:!('Message%20ID',Summary),filters:!(),index:'emp_*',interval:auto,query:(query_string:(analyze_wildcard:!t,query:'%22rtdc.l.rtdc.4013%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30" t="s">
        <v>702</v>
      </c>
      <c r="B80" s="226">
        <v>4018</v>
      </c>
      <c r="C80" s="228" t="s">
        <v>192</v>
      </c>
      <c r="D80" s="228" t="s">
        <v>567</v>
      </c>
      <c r="E80" s="227">
        <v>43066.497175925928</v>
      </c>
      <c r="F80" s="227">
        <v>43066.500173611108</v>
      </c>
      <c r="G80" s="226">
        <v>77</v>
      </c>
      <c r="H80" s="228" t="s">
        <v>868</v>
      </c>
      <c r="I80" s="227">
        <v>43066.525092592594</v>
      </c>
      <c r="J80" s="226">
        <v>0</v>
      </c>
      <c r="K80" s="238" t="str">
        <f t="shared" si="26"/>
        <v>4017/4018</v>
      </c>
      <c r="L80" s="246" t="str">
        <f>VLOOKUP(A80,'Trips&amp;Operators'!$C$1:$G$99911,5,FALSE)</f>
        <v>GUZMAN DANNY</v>
      </c>
      <c r="M80" s="225">
        <f t="shared" si="27"/>
        <v>2.4918981485825498E-2</v>
      </c>
      <c r="N80" s="226">
        <f t="shared" si="25"/>
        <v>35.883333339588717</v>
      </c>
      <c r="O80" s="226"/>
      <c r="P80" s="226"/>
      <c r="Q80" s="229"/>
      <c r="R80" s="243"/>
      <c r="S80" s="250">
        <f t="shared" si="24"/>
        <v>1</v>
      </c>
      <c r="T80" s="243" t="str">
        <f t="shared" si="28"/>
        <v>NorthBound</v>
      </c>
      <c r="U80" s="24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9" t="str">
        <f t="shared" si="29"/>
        <v>https://d0f6bd738d7f1b3e5a7ca70fe4ff75f0.us-east-1.aws.found.io/app/kibana#/discover/Steve-Slow-Train-Analysis-(2080s-and-2083s)?_g=(refreshInterval:(display:Off,pause:!f,section:0,value:0),time:(from:'2017-11-27T10:55:56-0700',mode:absolute,to:'2017-11-27T13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0" s="248" t="str">
        <f>IF(AA80&lt;VLOOKUP(AG80,Variables!$AC$3:$AD$8,2,FALSE),"Y","N")</f>
        <v>N</v>
      </c>
      <c r="X80" s="248">
        <f t="shared" si="30"/>
        <v>1</v>
      </c>
      <c r="Y80" s="248">
        <f t="shared" si="31"/>
        <v>5.8000000000000003E-2</v>
      </c>
      <c r="Z80" s="248">
        <f t="shared" si="32"/>
        <v>23.318899999999999</v>
      </c>
      <c r="AA80" s="248">
        <f t="shared" si="33"/>
        <v>23.260899999999999</v>
      </c>
      <c r="AB80" s="234" t="e">
        <f>VLOOKUP(A80,Enforcements!$C$7:$K$9,8,0)</f>
        <v>#N/A</v>
      </c>
      <c r="AC80" s="233" t="e">
        <f>VLOOKUP(A80,Enforcements!$C$7:$E$9,3,0)</f>
        <v>#N/A</v>
      </c>
      <c r="AD80" s="244">
        <f t="shared" si="34"/>
        <v>167</v>
      </c>
      <c r="AE80" s="236" t="str">
        <f t="shared" si="35"/>
        <v>aws s3 cp s3://rtdc.mdm.uploadarchive.raw/RTDC4018/ "%USERPROFILE%\AppData\Local\Temp\OnboardLogs"\RTDC4018\2017-11-27 --exclude "*" --recursive --include "*20171127*" &amp; "%USERPROFILE%\Documents\GitHub\mrs-test-scripts\Headless Mode &amp; Sideloading\WalkAndUnGZ.bat" "%USERPROFILE%\AppData\Local\Temp\OnboardLogs"\RTDC4018\2017-11-27 &amp; aws s3 cp s3://rtdc.mdm.uploadarchive.raw/RTDC4018/ "%USERPROFILE%\AppData\Local\Temp\OnboardLogs"\RTDC4018\2017-11-28 --exclude "*" --recursive --include "*20171128*" &amp; "%USERPROFILE%\Documents\GitHub\mrs-test-scripts\Headless Mode &amp; Sideloading\WalkAndUnGZ.bat" "%USERPROFILE%\AppData\Local\Temp\OnboardLogs"\RTDC4018\2017-11-28</v>
      </c>
      <c r="AF80" s="235" t="str">
        <f t="shared" si="36"/>
        <v>"C:\Program Files (x86)\AstroGrep\AstroGrep.exe" /e /r /s /spath="%USERPROFILE%\AppData\Local\Temp\OnboardLogs" /stypes="app*4018*20171127*" /stext=" 19:.+((SYSTEM_STATE.+slice.+state.+changed )|(ment ac)|(multiple cpu faults)|(system.+state.+changed )|(\[timeout)|(PRM\|1\|D)|(kpr)|(kdp)|(train st.+moving)|(\|lc)|(penalty))"</v>
      </c>
      <c r="AG80" s="245" t="str">
        <f t="shared" si="37"/>
        <v>EC</v>
      </c>
      <c r="AH80" s="237" t="str">
        <f t="shared" si="38"/>
        <v>"%USERPROFILE%\Documents\GitHub\eaglep3\Utilities\RefineRTDCRunTimes.py" --tripid 167-27 --locoid 4018 --swversion DE.1.0.9.0 --startMP 204:580 --initTime 2017-11-27T11:55:56 --startdatetime 2017-11-27T12:00:15 --delay 77 --endMP 204:233189 --enddatetime 2017-11-27T12:36:08 --enforcementcount 0 &gt;&gt;%USERPROFILE%\Documents\GitHub\eaglep3-reporting\EC\2017-11-27-refined-times.txt</v>
      </c>
      <c r="AI80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{"issue":{"subject":"","project_id":79,"tracker_id":40,"status_id":1,"priority_id":2,"assigned_to_id":338,"start_date":"2017-11-27","description":"","custom_fields":[{"id":1,"name":"Subdivision","value":"EC"},{"id":4,"name":"Milepost","value":"23.3189"},{"id":17,"name":"Train ID","value":"167-27"},{"id":16,"name":"Locomotive ID","value":"4018"},{"id":130,"name":"Impact","value":""},{"id":150,"name":"Time of Event (Mountain Time)","value":"12:36:08"},{"id":151,"name":"Denver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4"/>
      <c r="AK80" s="232"/>
      <c r="AL80" s="232"/>
      <c r="AM80" s="241" t="str">
        <f t="shared" si="40"/>
        <v>start /low /b %USERPROFILE%\Documents\GitHub\eaglep3\Utilities\DownloadLogsFromS3.py --loco 4018 --day 2017-11-27</v>
      </c>
      <c r="AN80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19:36:08"},{"id":29,"name":"Sharepoint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1" t="str">
        <f t="shared" si="42"/>
        <v>https://d0f6bd738d7f1b3e5a7ca70fe4ff75f0.us-east-1.aws.found.io/app/kibana#/discover/Steve-Slow-Train-Analysis-(2080s-and-2083s)?_g=(refreshInterval:(display:Off,pause:!f,section:0,value:0),time:(from:'2017-11-27T10:55:56-0700',mode:absolute,to:'2017-11-27T13:36:08-0700'))&amp;_a=(columns:!('Message%20ID',Summary),filters:!(),index:'emp_*',interval:auto,query:(query_string:(analyze_wildcard:!t,query:'%22rtdc.l.rtdc.4018%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30" t="s">
        <v>711</v>
      </c>
      <c r="B81" s="226">
        <v>4017</v>
      </c>
      <c r="C81" s="228" t="s">
        <v>192</v>
      </c>
      <c r="D81" s="228" t="s">
        <v>869</v>
      </c>
      <c r="E81" s="227">
        <v>43066.529456018521</v>
      </c>
      <c r="F81" s="227">
        <v>43066.539756944447</v>
      </c>
      <c r="G81" s="226">
        <v>64</v>
      </c>
      <c r="H81" s="228" t="s">
        <v>442</v>
      </c>
      <c r="I81" s="227">
        <v>43066.565393518518</v>
      </c>
      <c r="J81" s="226">
        <v>0</v>
      </c>
      <c r="K81" s="238" t="str">
        <f t="shared" si="26"/>
        <v>4017/4018</v>
      </c>
      <c r="L81" s="246" t="str">
        <f>VLOOKUP(A81,'Trips&amp;Operators'!$C$1:$G$99911,5,FALSE)</f>
        <v>GUZMAN DANNY</v>
      </c>
      <c r="M81" s="225">
        <f t="shared" si="27"/>
        <v>2.5636574071540963E-2</v>
      </c>
      <c r="N81" s="226">
        <f t="shared" si="25"/>
        <v>36.916666663018987</v>
      </c>
      <c r="O81" s="226"/>
      <c r="P81" s="226"/>
      <c r="Q81" s="229"/>
      <c r="R81" s="243"/>
      <c r="S81" s="250">
        <f t="shared" si="24"/>
        <v>1</v>
      </c>
      <c r="T81" s="243" t="str">
        <f t="shared" si="28"/>
        <v>Southbound</v>
      </c>
      <c r="U81" s="24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9" t="str">
        <f t="shared" si="29"/>
        <v>https://d0f6bd738d7f1b3e5a7ca70fe4ff75f0.us-east-1.aws.found.io/app/kibana#/discover/Steve-Slow-Train-Analysis-(2080s-and-2083s)?_g=(refreshInterval:(display:Off,pause:!f,section:0,value:0),time:(from:'2017-11-27T11:42:25-0700',mode:absolute,to:'2017-11-27T14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1" s="248" t="str">
        <f>IF(AA81&lt;VLOOKUP(AG81,Variables!$AC$3:$AD$8,2,FALSE),"Y","N")</f>
        <v>N</v>
      </c>
      <c r="X81" s="248">
        <f t="shared" si="30"/>
        <v>1</v>
      </c>
      <c r="Y81" s="248">
        <f t="shared" si="31"/>
        <v>23.2866</v>
      </c>
      <c r="Z81" s="248">
        <f t="shared" si="32"/>
        <v>2.3800000000000002E-2</v>
      </c>
      <c r="AA81" s="248">
        <f t="shared" si="33"/>
        <v>23.262799999999999</v>
      </c>
      <c r="AB81" s="234" t="e">
        <f>VLOOKUP(A81,Enforcements!$C$7:$K$9,8,0)</f>
        <v>#N/A</v>
      </c>
      <c r="AC81" s="233" t="e">
        <f>VLOOKUP(A81,Enforcements!$C$7:$E$9,3,0)</f>
        <v>#N/A</v>
      </c>
      <c r="AD81" s="244">
        <f t="shared" si="34"/>
        <v>168</v>
      </c>
      <c r="AE81" s="236" t="str">
        <f t="shared" si="35"/>
        <v>aws s3 cp s3://rtdc.mdm.uploadarchive.raw/RTDC4017/ "%USERPROFILE%\AppData\Local\Temp\OnboardLogs"\RTDC4017\2017-11-27 --exclude "*" --recursive --include "*20171127*" &amp; "%USERPROFILE%\Documents\GitHub\mrs-test-scripts\Headless Mode &amp; Sideloading\WalkAndUnGZ.bat" "%USERPROFILE%\AppData\Local\Temp\OnboardLogs"\RTDC4017\2017-11-27 &amp; aws s3 cp s3://rtdc.mdm.uploadarchive.raw/RTDC4017/ "%USERPROFILE%\AppData\Local\Temp\OnboardLogs"\RTDC4017\2017-11-28 --exclude "*" --recursive --include "*20171128*" &amp; "%USERPROFILE%\Documents\GitHub\mrs-test-scripts\Headless Mode &amp; Sideloading\WalkAndUnGZ.bat" "%USERPROFILE%\AppData\Local\Temp\OnboardLogs"\RTDC4017\2017-11-28</v>
      </c>
      <c r="AF81" s="235" t="str">
        <f t="shared" si="36"/>
        <v>"C:\Program Files (x86)\AstroGrep\AstroGrep.exe" /e /r /s /spath="%USERPROFILE%\AppData\Local\Temp\OnboardLogs" /stypes="app*4017*20171127*" /stext=" 20:.+((SYSTEM_STATE.+slice.+state.+changed )|(ment ac)|(multiple cpu faults)|(system.+state.+changed )|(\[timeout)|(PRM\|1\|D)|(kpr)|(kdp)|(train st.+moving)|(\|lc)|(penalty))"</v>
      </c>
      <c r="AG81" s="245" t="str">
        <f t="shared" si="37"/>
        <v>EC</v>
      </c>
      <c r="AH81" s="237" t="str">
        <f t="shared" si="38"/>
        <v>"%USERPROFILE%\Documents\GitHub\eaglep3\Utilities\RefineRTDCRunTimes.py" --tripid 168-27 --locoid 4017 --swversion DE.1.0.9.0 --startMP 204:232866 --initTime 2017-11-27T12:42:25 --startdatetime 2017-11-27T12:57:15 --delay 64 --endMP 204:238 --enddatetime 2017-11-27T13:34:10 --enforcementcount 0 &gt;&gt;%USERPROFILE%\Documents\GitHub\eaglep3-reporting\EC\2017-11-27-refined-times.txt</v>
      </c>
      <c r="AI81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{"issue":{"subject":"","project_id":79,"tracker_id":40,"status_id":1,"priority_id":2,"assigned_to_id":338,"start_date":"2017-11-27","description":"","custom_fields":[{"id":1,"name":"Subdivision","value":"EC"},{"id":4,"name":"Milepost","value":"0.0238"},{"id":17,"name":"Train ID","value":"168-27"},{"id":16,"name":"Locomotive ID","value":"4017"},{"id":130,"name":"Impact","value":""},{"id":150,"name":"Time of Event (Mountain Time)","value":"13:34:10"},{"id":151,"name":"Denver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4"/>
      <c r="AK81" s="232"/>
      <c r="AL81" s="232"/>
      <c r="AM81" s="241" t="str">
        <f t="shared" si="40"/>
        <v>start /low /b %USERPROFILE%\Documents\GitHub\eaglep3\Utilities\DownloadLogsFromS3.py --loco 4017 --day 2017-11-27</v>
      </c>
      <c r="AN81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20:34:10"},{"id":29,"name":"Sharepoint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1" t="str">
        <f t="shared" si="42"/>
        <v>https://d0f6bd738d7f1b3e5a7ca70fe4ff75f0.us-east-1.aws.found.io/app/kibana#/discover/Steve-Slow-Train-Analysis-(2080s-and-2083s)?_g=(refreshInterval:(display:Off,pause:!f,section:0,value:0),time:(from:'2017-11-27T11:42:25-0700',mode:absolute,to:'2017-11-27T14:34:10-0700'))&amp;_a=(columns:!('Message%20ID',Summary),filters:!(),index:'emp_*',interval:auto,query:(query_string:(analyze_wildcard:!t,query:'%22rtdc.l.rtdc.4017%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30" t="s">
        <v>705</v>
      </c>
      <c r="B82" s="226">
        <v>4064</v>
      </c>
      <c r="C82" s="228" t="s">
        <v>192</v>
      </c>
      <c r="D82" s="228" t="s">
        <v>418</v>
      </c>
      <c r="E82" s="227">
        <v>43066.507280092592</v>
      </c>
      <c r="F82" s="227">
        <v>43066.511238425926</v>
      </c>
      <c r="G82" s="226">
        <v>108</v>
      </c>
      <c r="H82" s="228" t="s">
        <v>870</v>
      </c>
      <c r="I82" s="227">
        <v>43066.535046296296</v>
      </c>
      <c r="J82" s="226">
        <v>0</v>
      </c>
      <c r="K82" s="238" t="str">
        <f t="shared" si="26"/>
        <v>4063/4064</v>
      </c>
      <c r="L82" s="246" t="str">
        <f>VLOOKUP(A82,'Trips&amp;Operators'!$C$1:$G$99911,5,FALSE)</f>
        <v>SAFIEF AEIMEN</v>
      </c>
      <c r="M82" s="225">
        <f t="shared" si="27"/>
        <v>2.3807870369637385E-2</v>
      </c>
      <c r="N82" s="226">
        <f t="shared" si="25"/>
        <v>34.283333332277834</v>
      </c>
      <c r="O82" s="226"/>
      <c r="P82" s="226"/>
      <c r="Q82" s="229"/>
      <c r="R82" s="243"/>
      <c r="S82" s="250">
        <f t="shared" si="24"/>
        <v>1</v>
      </c>
      <c r="T82" s="243" t="str">
        <f t="shared" si="28"/>
        <v>NorthBound</v>
      </c>
      <c r="U82" s="24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9" t="str">
        <f t="shared" si="29"/>
        <v>https://d0f6bd738d7f1b3e5a7ca70fe4ff75f0.us-east-1.aws.found.io/app/kibana#/discover/Steve-Slow-Train-Analysis-(2080s-and-2083s)?_g=(refreshInterval:(display:Off,pause:!f,section:0,value:0),time:(from:'2017-11-27T11:10:29-0700',mode:absolute,to:'2017-11-27T13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2" s="248" t="str">
        <f>IF(AA82&lt;VLOOKUP(AG82,Variables!$AC$3:$AD$8,2,FALSE),"Y","N")</f>
        <v>N</v>
      </c>
      <c r="X82" s="248">
        <f t="shared" si="30"/>
        <v>1</v>
      </c>
      <c r="Y82" s="248">
        <f t="shared" si="31"/>
        <v>5.28E-2</v>
      </c>
      <c r="Z82" s="248">
        <f t="shared" si="32"/>
        <v>23.317599999999999</v>
      </c>
      <c r="AA82" s="248">
        <f t="shared" si="33"/>
        <v>23.264799999999997</v>
      </c>
      <c r="AB82" s="234" t="e">
        <f>VLOOKUP(A82,Enforcements!$C$7:$K$9,8,0)</f>
        <v>#N/A</v>
      </c>
      <c r="AC82" s="233" t="e">
        <f>VLOOKUP(A82,Enforcements!$C$7:$E$9,3,0)</f>
        <v>#N/A</v>
      </c>
      <c r="AD82" s="244">
        <f t="shared" si="34"/>
        <v>169</v>
      </c>
      <c r="AE82" s="236" t="str">
        <f t="shared" si="35"/>
        <v>aws s3 cp s3://rtdc.mdm.uploadarchive.raw/RTDC4064/ "%USERPROFILE%\AppData\Local\Temp\OnboardLogs"\RTDC4064\2017-11-27 --exclude "*" --recursive --include "*20171127*" &amp; "%USERPROFILE%\Documents\GitHub\mrs-test-scripts\Headless Mode &amp; Sideloading\WalkAndUnGZ.bat" "%USERPROFILE%\AppData\Local\Temp\OnboardLogs"\RTDC4064\2017-11-27 &amp; aws s3 cp s3://rtdc.mdm.uploadarchive.raw/RTDC4064/ "%USERPROFILE%\AppData\Local\Temp\OnboardLogs"\RTDC4064\2017-11-28 --exclude "*" --recursive --include "*20171128*" &amp; "%USERPROFILE%\Documents\GitHub\mrs-test-scripts\Headless Mode &amp; Sideloading\WalkAndUnGZ.bat" "%USERPROFILE%\AppData\Local\Temp\OnboardLogs"\RTDC4064\2017-11-28</v>
      </c>
      <c r="AF82" s="235" t="str">
        <f t="shared" si="36"/>
        <v>"C:\Program Files (x86)\AstroGrep\AstroGrep.exe" /e /r /s /spath="%USERPROFILE%\AppData\Local\Temp\OnboardLogs" /stypes="app*4064*20171127*" /stext=" 19:.+((SYSTEM_STATE.+slice.+state.+changed )|(ment ac)|(multiple cpu faults)|(system.+state.+changed )|(\[timeout)|(PRM\|1\|D)|(kpr)|(kdp)|(train st.+moving)|(\|lc)|(penalty))"</v>
      </c>
      <c r="AG82" s="245" t="str">
        <f t="shared" si="37"/>
        <v>EC</v>
      </c>
      <c r="AH82" s="237" t="str">
        <f t="shared" si="38"/>
        <v>"%USERPROFILE%\Documents\GitHub\eaglep3\Utilities\RefineRTDCRunTimes.py" --tripid 169-27 --locoid 4064 --swversion DE.1.0.9.0 --startMP 204:528 --initTime 2017-11-27T12:10:29 --startdatetime 2017-11-27T12:16:11 --delay 108 --endMP 204:233176 --enddatetime 2017-11-27T12:50:28 --enforcementcount 0 &gt;&gt;%USERPROFILE%\Documents\GitHub\eaglep3-reporting\EC\2017-11-27-refined-times.txt</v>
      </c>
      <c r="AI82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{"issue":{"subject":"","project_id":79,"tracker_id":40,"status_id":1,"priority_id":2,"assigned_to_id":338,"start_date":"2017-11-27","description":"","custom_fields":[{"id":1,"name":"Subdivision","value":"EC"},{"id":4,"name":"Milepost","value":"23.3176"},{"id":17,"name":"Train ID","value":"169-27"},{"id":16,"name":"Locomotive ID","value":"4064"},{"id":130,"name":"Impact","value":""},{"id":150,"name":"Time of Event (Mountain Time)","value":"12:50:28"},{"id":151,"name":"Denver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4"/>
      <c r="AK82" s="232"/>
      <c r="AL82" s="232"/>
      <c r="AM82" s="241" t="str">
        <f t="shared" si="40"/>
        <v>start /low /b %USERPROFILE%\Documents\GitHub\eaglep3\Utilities\DownloadLogsFromS3.py --loco 4064 --day 2017-11-27</v>
      </c>
      <c r="AN82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19:50:28"},{"id":29,"name":"Sharepoint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1" t="str">
        <f t="shared" si="42"/>
        <v>https://d0f6bd738d7f1b3e5a7ca70fe4ff75f0.us-east-1.aws.found.io/app/kibana#/discover/Steve-Slow-Train-Analysis-(2080s-and-2083s)?_g=(refreshInterval:(display:Off,pause:!f,section:0,value:0),time:(from:'2017-11-27T11:10:29-0700',mode:absolute,to:'2017-11-27T13:50:28-0700'))&amp;_a=(columns:!('Message%20ID',Summary),filters:!(),index:'emp_*',interval:auto,query:(query_string:(analyze_wildcard:!t,query:'%22rtdc.l.rtdc.4064%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30" t="s">
        <v>712</v>
      </c>
      <c r="B83" s="226">
        <v>4063</v>
      </c>
      <c r="C83" s="228" t="s">
        <v>192</v>
      </c>
      <c r="D83" s="228" t="s">
        <v>871</v>
      </c>
      <c r="E83" s="227">
        <v>43066.536886574075</v>
      </c>
      <c r="F83" s="227">
        <v>43066.550370370373</v>
      </c>
      <c r="G83" s="226">
        <v>107</v>
      </c>
      <c r="H83" s="228" t="s">
        <v>537</v>
      </c>
      <c r="I83" s="227">
        <v>43066.57775462963</v>
      </c>
      <c r="J83" s="226">
        <v>0</v>
      </c>
      <c r="K83" s="238" t="str">
        <f t="shared" si="26"/>
        <v>4063/4064</v>
      </c>
      <c r="L83" s="246" t="str">
        <f>VLOOKUP(A83,'Trips&amp;Operators'!$C$1:$G$99911,5,FALSE)</f>
        <v>SAFIEF AEIMEN</v>
      </c>
      <c r="M83" s="225">
        <f t="shared" si="27"/>
        <v>2.7384259257814847E-2</v>
      </c>
      <c r="N83" s="226">
        <f t="shared" si="25"/>
        <v>39.43333333125338</v>
      </c>
      <c r="O83" s="226"/>
      <c r="P83" s="226"/>
      <c r="Q83" s="229"/>
      <c r="R83" s="243"/>
      <c r="S83" s="250">
        <f t="shared" si="24"/>
        <v>1</v>
      </c>
      <c r="T83" s="243" t="str">
        <f t="shared" si="28"/>
        <v>Southbound</v>
      </c>
      <c r="U83" s="24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9" t="str">
        <f t="shared" si="29"/>
        <v>https://d0f6bd738d7f1b3e5a7ca70fe4ff75f0.us-east-1.aws.found.io/app/kibana#/discover/Steve-Slow-Train-Analysis-(2080s-and-2083s)?_g=(refreshInterval:(display:Off,pause:!f,section:0,value:0),time:(from:'2017-11-27T11:53:07-0700',mode:absolute,to:'2017-11-27T14:51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3" s="248" t="str">
        <f>IF(AA83&lt;VLOOKUP(AG83,Variables!$AC$3:$AD$8,2,FALSE),"Y","N")</f>
        <v>N</v>
      </c>
      <c r="X83" s="248">
        <f t="shared" si="30"/>
        <v>1</v>
      </c>
      <c r="Y83" s="248">
        <f t="shared" si="31"/>
        <v>23.284600000000001</v>
      </c>
      <c r="Z83" s="248">
        <f t="shared" si="32"/>
        <v>2.0500000000000001E-2</v>
      </c>
      <c r="AA83" s="248">
        <f t="shared" si="33"/>
        <v>23.264100000000003</v>
      </c>
      <c r="AB83" s="234" t="e">
        <f>VLOOKUP(A83,Enforcements!$C$7:$K$9,8,0)</f>
        <v>#N/A</v>
      </c>
      <c r="AC83" s="233" t="e">
        <f>VLOOKUP(A83,Enforcements!$C$7:$E$9,3,0)</f>
        <v>#N/A</v>
      </c>
      <c r="AD83" s="244">
        <f t="shared" si="34"/>
        <v>170</v>
      </c>
      <c r="AE83" s="236" t="str">
        <f t="shared" si="35"/>
        <v>aws s3 cp s3://rtdc.mdm.uploadarchive.raw/RTDC4063/ "%USERPROFILE%\AppData\Local\Temp\OnboardLogs"\RTDC4063\2017-11-27 --exclude "*" --recursive --include "*20171127*" &amp; "%USERPROFILE%\Documents\GitHub\mrs-test-scripts\Headless Mode &amp; Sideloading\WalkAndUnGZ.bat" "%USERPROFILE%\AppData\Local\Temp\OnboardLogs"\RTDC4063\2017-11-27 &amp; aws s3 cp s3://rtdc.mdm.uploadarchive.raw/RTDC4063/ "%USERPROFILE%\AppData\Local\Temp\OnboardLogs"\RTDC4063\2017-11-28 --exclude "*" --recursive --include "*20171128*" &amp; "%USERPROFILE%\Documents\GitHub\mrs-test-scripts\Headless Mode &amp; Sideloading\WalkAndUnGZ.bat" "%USERPROFILE%\AppData\Local\Temp\OnboardLogs"\RTDC4063\2017-11-28</v>
      </c>
      <c r="AF83" s="235" t="str">
        <f t="shared" si="36"/>
        <v>"C:\Program Files (x86)\AstroGrep\AstroGrep.exe" /e /r /s /spath="%USERPROFILE%\AppData\Local\Temp\OnboardLogs" /stypes="app*4063*20171127*" /stext=" 20:.+((SYSTEM_STATE.+slice.+state.+changed )|(ment ac)|(multiple cpu faults)|(system.+state.+changed )|(\[timeout)|(PRM\|1\|D)|(kpr)|(kdp)|(train st.+moving)|(\|lc)|(penalty))"</v>
      </c>
      <c r="AG83" s="245" t="str">
        <f t="shared" si="37"/>
        <v>EC</v>
      </c>
      <c r="AH83" s="237" t="str">
        <f t="shared" si="38"/>
        <v>"%USERPROFILE%\Documents\GitHub\eaglep3\Utilities\RefineRTDCRunTimes.py" --tripid 170-27 --locoid 4063 --swversion DE.1.0.9.0 --startMP 204:232846 --initTime 2017-11-27T12:53:07 --startdatetime 2017-11-27T13:12:32 --delay 107 --endMP 204:205 --enddatetime 2017-11-27T13:51:58 --enforcementcount 0 &gt;&gt;%USERPROFILE%\Documents\GitHub\eaglep3-reporting\EC\2017-11-27-refined-times.txt</v>
      </c>
      <c r="AI83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{"issue":{"subject":"","project_id":79,"tracker_id":40,"status_id":1,"priority_id":2,"assigned_to_id":338,"start_date":"2017-11-27","description":"","custom_fields":[{"id":1,"name":"Subdivision","value":"EC"},{"id":4,"name":"Milepost","value":"0.0205"},{"id":17,"name":"Train ID","value":"170-27"},{"id":16,"name":"Locomotive ID","value":"4063"},{"id":130,"name":"Impact","value":""},{"id":150,"name":"Time of Event (Mountain Time)","value":"13:51:58"},{"id":151,"name":"Denver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4"/>
      <c r="AK83" s="232"/>
      <c r="AL83" s="232"/>
      <c r="AM83" s="241" t="str">
        <f t="shared" si="40"/>
        <v>start /low /b %USERPROFILE%\Documents\GitHub\eaglep3\Utilities\DownloadLogsFromS3.py --loco 4063 --day 2017-11-27</v>
      </c>
      <c r="AN83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20:51:58"},{"id":29,"name":"Sharepoint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1" t="str">
        <f t="shared" si="42"/>
        <v>https://d0f6bd738d7f1b3e5a7ca70fe4ff75f0.us-east-1.aws.found.io/app/kibana#/discover/Steve-Slow-Train-Analysis-(2080s-and-2083s)?_g=(refreshInterval:(display:Off,pause:!f,section:0,value:0),time:(from:'2017-11-27T11:53:07-0700',mode:absolute,to:'2017-11-27T14:51:58-0700'))&amp;_a=(columns:!('Message%20ID',Summary),filters:!(),index:'emp_*',interval:auto,query:(query_string:(analyze_wildcard:!t,query:'%22rtdc.l.rtdc.4063%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30" t="s">
        <v>708</v>
      </c>
      <c r="B84" s="226">
        <v>4022</v>
      </c>
      <c r="C84" s="228" t="s">
        <v>192</v>
      </c>
      <c r="D84" s="228" t="s">
        <v>418</v>
      </c>
      <c r="E84" s="227">
        <v>43066.518148148149</v>
      </c>
      <c r="F84" s="227">
        <v>43066.521006944444</v>
      </c>
      <c r="G84" s="226">
        <v>53</v>
      </c>
      <c r="H84" s="228" t="s">
        <v>872</v>
      </c>
      <c r="I84" s="227">
        <v>43066.545891203707</v>
      </c>
      <c r="J84" s="226">
        <v>0</v>
      </c>
      <c r="K84" s="238" t="str">
        <f t="shared" si="26"/>
        <v>4021/4022</v>
      </c>
      <c r="L84" s="246" t="str">
        <f>VLOOKUP(A84,'Trips&amp;Operators'!$C$1:$G$99911,5,FALSE)</f>
        <v>BADERTSCHER DIANE</v>
      </c>
      <c r="M84" s="225">
        <f t="shared" si="27"/>
        <v>2.4884259262762498E-2</v>
      </c>
      <c r="N84" s="226">
        <f t="shared" si="25"/>
        <v>35.833333338377997</v>
      </c>
      <c r="O84" s="226"/>
      <c r="P84" s="226"/>
      <c r="Q84" s="229"/>
      <c r="R84" s="243"/>
      <c r="S84" s="250">
        <f t="shared" si="24"/>
        <v>1</v>
      </c>
      <c r="T84" s="243" t="str">
        <f t="shared" si="28"/>
        <v>NorthBound</v>
      </c>
      <c r="U84" s="24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9" t="str">
        <f t="shared" si="29"/>
        <v>https://d0f6bd738d7f1b3e5a7ca70fe4ff75f0.us-east-1.aws.found.io/app/kibana#/discover/Steve-Slow-Train-Analysis-(2080s-and-2083s)?_g=(refreshInterval:(display:Off,pause:!f,section:0,value:0),time:(from:'2017-11-27T11:26:08-0700',mode:absolute,to:'2017-11-27T14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4" s="248" t="str">
        <f>IF(AA84&lt;VLOOKUP(AG84,Variables!$AC$3:$AD$8,2,FALSE),"Y","N")</f>
        <v>N</v>
      </c>
      <c r="X84" s="248">
        <f t="shared" si="30"/>
        <v>1</v>
      </c>
      <c r="Y84" s="248">
        <f t="shared" si="31"/>
        <v>5.28E-2</v>
      </c>
      <c r="Z84" s="248">
        <f t="shared" si="32"/>
        <v>23.3202</v>
      </c>
      <c r="AA84" s="248">
        <f t="shared" si="33"/>
        <v>23.267399999999999</v>
      </c>
      <c r="AB84" s="234" t="e">
        <f>VLOOKUP(A84,Enforcements!$C$7:$K$9,8,0)</f>
        <v>#N/A</v>
      </c>
      <c r="AC84" s="233" t="e">
        <f>VLOOKUP(A84,Enforcements!$C$7:$E$9,3,0)</f>
        <v>#N/A</v>
      </c>
      <c r="AD84" s="244">
        <f t="shared" si="34"/>
        <v>171</v>
      </c>
      <c r="AE84" s="236" t="str">
        <f t="shared" si="35"/>
        <v>aws s3 cp s3://rtdc.mdm.uploadarchive.raw/RTDC4022/ "%USERPROFILE%\AppData\Local\Temp\OnboardLogs"\RTDC4022\2017-11-27 --exclude "*" --recursive --include "*20171127*" &amp; "%USERPROFILE%\Documents\GitHub\mrs-test-scripts\Headless Mode &amp; Sideloading\WalkAndUnGZ.bat" "%USERPROFILE%\AppData\Local\Temp\OnboardLogs"\RTDC4022\2017-11-27 &amp; aws s3 cp s3://rtdc.mdm.uploadarchive.raw/RTDC4022/ "%USERPROFILE%\AppData\Local\Temp\OnboardLogs"\RTDC4022\2017-11-28 --exclude "*" --recursive --include "*20171128*" &amp; "%USERPROFILE%\Documents\GitHub\mrs-test-scripts\Headless Mode &amp; Sideloading\WalkAndUnGZ.bat" "%USERPROFILE%\AppData\Local\Temp\OnboardLogs"\RTDC4022\2017-11-28</v>
      </c>
      <c r="AF84" s="235" t="str">
        <f t="shared" si="36"/>
        <v>"C:\Program Files (x86)\AstroGrep\AstroGrep.exe" /e /r /s /spath="%USERPROFILE%\AppData\Local\Temp\OnboardLogs" /stypes="app*4022*20171127*" /stext=" 20:.+((SYSTEM_STATE.+slice.+state.+changed )|(ment ac)|(multiple cpu faults)|(system.+state.+changed )|(\[timeout)|(PRM\|1\|D)|(kpr)|(kdp)|(train st.+moving)|(\|lc)|(penalty))"</v>
      </c>
      <c r="AG84" s="245" t="str">
        <f t="shared" si="37"/>
        <v>EC</v>
      </c>
      <c r="AH84" s="237" t="str">
        <f t="shared" si="38"/>
        <v>"%USERPROFILE%\Documents\GitHub\eaglep3\Utilities\RefineRTDCRunTimes.py" --tripid 171-27 --locoid 4022 --swversion DE.1.0.9.0 --startMP 204:528 --initTime 2017-11-27T12:26:08 --startdatetime 2017-11-27T12:30:15 --delay 53 --endMP 204:233202 --enddatetime 2017-11-27T13:06:05 --enforcementcount 0 &gt;&gt;%USERPROFILE%\Documents\GitHub\eaglep3-reporting\EC\2017-11-27-refined-times.txt</v>
      </c>
      <c r="AI84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{"issue":{"subject":"","project_id":79,"tracker_id":40,"status_id":1,"priority_id":2,"assigned_to_id":338,"start_date":"2017-11-27","description":"","custom_fields":[{"id":1,"name":"Subdivision","value":"EC"},{"id":4,"name":"Milepost","value":"23.3202"},{"id":17,"name":"Train ID","value":"171-27"},{"id":16,"name":"Locomotive ID","value":"4022"},{"id":130,"name":"Impact","value":""},{"id":150,"name":"Time of Event (Mountain Time)","value":"13:06:05"},{"id":151,"name":"Denver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4"/>
      <c r="AK84" s="232"/>
      <c r="AL84" s="232"/>
      <c r="AM84" s="241" t="str">
        <f t="shared" si="40"/>
        <v>start /low /b %USERPROFILE%\Documents\GitHub\eaglep3\Utilities\DownloadLogsFromS3.py --loco 4022 --day 2017-11-27</v>
      </c>
      <c r="AN84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20:06:05"},{"id":29,"name":"Sharepoint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1" t="str">
        <f t="shared" si="42"/>
        <v>https://d0f6bd738d7f1b3e5a7ca70fe4ff75f0.us-east-1.aws.found.io/app/kibana#/discover/Steve-Slow-Train-Analysis-(2080s-and-2083s)?_g=(refreshInterval:(display:Off,pause:!f,section:0,value:0),time:(from:'2017-11-27T11:26:08-0700',mode:absolute,to:'2017-11-27T14:06:05-0700'))&amp;_a=(columns:!('Message%20ID',Summary),filters:!(),index:'emp_*',interval:auto,query:(query_string:(analyze_wildcard:!t,query:'%22rtdc.l.rtdc.4022%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30" t="s">
        <v>716</v>
      </c>
      <c r="B85" s="226">
        <v>4021</v>
      </c>
      <c r="C85" s="228" t="s">
        <v>192</v>
      </c>
      <c r="D85" s="228" t="s">
        <v>867</v>
      </c>
      <c r="E85" s="227">
        <v>43066.555821759262</v>
      </c>
      <c r="F85" s="227">
        <v>43066.560868055552</v>
      </c>
      <c r="G85" s="226">
        <v>109</v>
      </c>
      <c r="H85" s="228" t="s">
        <v>537</v>
      </c>
      <c r="I85" s="227">
        <v>43066.59033564815</v>
      </c>
      <c r="J85" s="226">
        <v>0</v>
      </c>
      <c r="K85" s="238" t="str">
        <f t="shared" si="26"/>
        <v>4021/4022</v>
      </c>
      <c r="L85" s="246" t="str">
        <f>VLOOKUP(A85,'Trips&amp;Operators'!$C$1:$G$99911,5,FALSE)</f>
        <v>BADERTSCHER DIANE</v>
      </c>
      <c r="M85" s="225">
        <f t="shared" si="27"/>
        <v>2.9467592597939074E-2</v>
      </c>
      <c r="N85" s="226">
        <f t="shared" si="25"/>
        <v>42.433333341032267</v>
      </c>
      <c r="O85" s="226"/>
      <c r="P85" s="226"/>
      <c r="Q85" s="229"/>
      <c r="R85" s="243"/>
      <c r="S85" s="250">
        <f t="shared" si="24"/>
        <v>1</v>
      </c>
      <c r="T85" s="243" t="str">
        <f t="shared" si="28"/>
        <v>Southbound</v>
      </c>
      <c r="U85" s="24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9" t="str">
        <f t="shared" si="29"/>
        <v>https://d0f6bd738d7f1b3e5a7ca70fe4ff75f0.us-east-1.aws.found.io/app/kibana#/discover/Steve-Slow-Train-Analysis-(2080s-and-2083s)?_g=(refreshInterval:(display:Off,pause:!f,section:0,value:0),time:(from:'2017-11-27T12:20:23-0700',mode:absolute,to:'2017-11-27T15:10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5" s="248" t="str">
        <f>IF(AA85&lt;VLOOKUP(AG85,Variables!$AC$3:$AD$8,2,FALSE),"Y","N")</f>
        <v>N</v>
      </c>
      <c r="X85" s="248">
        <f t="shared" si="30"/>
        <v>1</v>
      </c>
      <c r="Y85" s="248">
        <f t="shared" si="31"/>
        <v>23.289400000000001</v>
      </c>
      <c r="Z85" s="248">
        <f t="shared" si="32"/>
        <v>2.0500000000000001E-2</v>
      </c>
      <c r="AA85" s="248">
        <f t="shared" si="33"/>
        <v>23.268900000000002</v>
      </c>
      <c r="AB85" s="234" t="e">
        <f>VLOOKUP(A85,Enforcements!$C$7:$K$9,8,0)</f>
        <v>#N/A</v>
      </c>
      <c r="AC85" s="233" t="e">
        <f>VLOOKUP(A85,Enforcements!$C$7:$E$9,3,0)</f>
        <v>#N/A</v>
      </c>
      <c r="AD85" s="244">
        <f t="shared" si="34"/>
        <v>172</v>
      </c>
      <c r="AE85" s="236" t="str">
        <f t="shared" si="35"/>
        <v>aws s3 cp s3://rtdc.mdm.uploadarchive.raw/RTDC4021/ "%USERPROFILE%\AppData\Local\Temp\OnboardLogs"\RTDC4021\2017-11-27 --exclude "*" --recursive --include "*20171127*" &amp; "%USERPROFILE%\Documents\GitHub\mrs-test-scripts\Headless Mode &amp; Sideloading\WalkAndUnGZ.bat" "%USERPROFILE%\AppData\Local\Temp\OnboardLogs"\RTDC4021\2017-11-27 &amp; aws s3 cp s3://rtdc.mdm.uploadarchive.raw/RTDC4021/ "%USERPROFILE%\AppData\Local\Temp\OnboardLogs"\RTDC4021\2017-11-28 --exclude "*" --recursive --include "*20171128*" &amp; "%USERPROFILE%\Documents\GitHub\mrs-test-scripts\Headless Mode &amp; Sideloading\WalkAndUnGZ.bat" "%USERPROFILE%\AppData\Local\Temp\OnboardLogs"\RTDC4021\2017-11-28</v>
      </c>
      <c r="AF85" s="235" t="str">
        <f t="shared" si="36"/>
        <v>"C:\Program Files (x86)\AstroGrep\AstroGrep.exe" /e /r /s /spath="%USERPROFILE%\AppData\Local\Temp\OnboardLogs" /stypes="app*4021*20171127*" /stext=" 21:.+((SYSTEM_STATE.+slice.+state.+changed )|(ment ac)|(multiple cpu faults)|(system.+state.+changed )|(\[timeout)|(PRM\|1\|D)|(kpr)|(kdp)|(train st.+moving)|(\|lc)|(penalty))"</v>
      </c>
      <c r="AG85" s="245" t="str">
        <f t="shared" si="37"/>
        <v>EC</v>
      </c>
      <c r="AH85" s="237" t="str">
        <f t="shared" si="38"/>
        <v>"%USERPROFILE%\Documents\GitHub\eaglep3\Utilities\RefineRTDCRunTimes.py" --tripid 172-27 --locoid 4021 --swversion DE.1.0.9.0 --startMP 204:232894 --initTime 2017-11-27T13:20:23 --startdatetime 2017-11-27T13:27:39 --delay 109 --endMP 204:205 --enddatetime 2017-11-27T14:10:05 --enforcementcount 0 &gt;&gt;%USERPROFILE%\Documents\GitHub\eaglep3-reporting\EC\2017-11-27-refined-times.txt</v>
      </c>
      <c r="AI85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{"issue":{"subject":"","project_id":79,"tracker_id":40,"status_id":1,"priority_id":2,"assigned_to_id":338,"start_date":"2017-11-27","description":"","custom_fields":[{"id":1,"name":"Subdivision","value":"EC"},{"id":4,"name":"Milepost","value":"0.0205"},{"id":17,"name":"Train ID","value":"172-27"},{"id":16,"name":"Locomotive ID","value":"4021"},{"id":130,"name":"Impact","value":""},{"id":150,"name":"Time of Event (Mountain Time)","value":"14:10:05"},{"id":151,"name":"Denver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4"/>
      <c r="AK85" s="232"/>
      <c r="AL85" s="232"/>
      <c r="AM85" s="241" t="str">
        <f t="shared" si="40"/>
        <v>start /low /b %USERPROFILE%\Documents\GitHub\eaglep3\Utilities\DownloadLogsFromS3.py --loco 4021 --day 2017-11-27</v>
      </c>
      <c r="AN85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21:10:05"},{"id":29,"name":"Sharepoint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1" t="str">
        <f t="shared" si="42"/>
        <v>https://d0f6bd738d7f1b3e5a7ca70fe4ff75f0.us-east-1.aws.found.io/app/kibana#/discover/Steve-Slow-Train-Analysis-(2080s-and-2083s)?_g=(refreshInterval:(display:Off,pause:!f,section:0,value:0),time:(from:'2017-11-27T12:20:23-0700',mode:absolute,to:'2017-11-27T15:10:05-0700'))&amp;_a=(columns:!('Message%20ID',Summary),filters:!(),index:'emp_*',interval:auto,query:(query_string:(analyze_wildcard:!t,query:'%22rtdc.l.rtdc.4021%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30" t="s">
        <v>710</v>
      </c>
      <c r="B86" s="226">
        <v>4054</v>
      </c>
      <c r="C86" s="228" t="s">
        <v>192</v>
      </c>
      <c r="D86" s="228" t="s">
        <v>873</v>
      </c>
      <c r="E86" s="227">
        <v>43066.526539351849</v>
      </c>
      <c r="F86" s="227">
        <v>43066.531597222223</v>
      </c>
      <c r="G86" s="226">
        <v>60</v>
      </c>
      <c r="H86" s="228" t="s">
        <v>497</v>
      </c>
      <c r="I86" s="227">
        <v>43066.555914351855</v>
      </c>
      <c r="J86" s="226">
        <v>0</v>
      </c>
      <c r="K86" s="238" t="str">
        <f t="shared" si="26"/>
        <v>4053/4054</v>
      </c>
      <c r="L86" s="246" t="str">
        <f>VLOOKUP(A86,'Trips&amp;Operators'!$C$1:$G$99911,5,FALSE)</f>
        <v>SMITH MICHAEL</v>
      </c>
      <c r="M86" s="225">
        <f t="shared" si="27"/>
        <v>2.4317129631526768E-2</v>
      </c>
      <c r="N86" s="226">
        <f t="shared" si="25"/>
        <v>35.016666669398546</v>
      </c>
      <c r="O86" s="226"/>
      <c r="P86" s="226"/>
      <c r="Q86" s="229"/>
      <c r="R86" s="243"/>
      <c r="S86" s="250">
        <f t="shared" si="24"/>
        <v>1</v>
      </c>
      <c r="T86" s="243" t="str">
        <f t="shared" si="28"/>
        <v>NorthBound</v>
      </c>
      <c r="U86" s="24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9" t="str">
        <f t="shared" si="29"/>
        <v>https://d0f6bd738d7f1b3e5a7ca70fe4ff75f0.us-east-1.aws.found.io/app/kibana#/discover/Steve-Slow-Train-Analysis-(2080s-and-2083s)?_g=(refreshInterval:(display:Off,pause:!f,section:0,value:0),time:(from:'2017-11-27T11:38:13-0700',mode:absolute,to:'2017-11-27T14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6" s="248" t="str">
        <f>IF(AA86&lt;VLOOKUP(AG86,Variables!$AC$3:$AD$8,2,FALSE),"Y","N")</f>
        <v>N</v>
      </c>
      <c r="X86" s="248">
        <f t="shared" si="30"/>
        <v>1</v>
      </c>
      <c r="Y86" s="248">
        <f t="shared" si="31"/>
        <v>5.0599999999999999E-2</v>
      </c>
      <c r="Z86" s="248">
        <f t="shared" si="32"/>
        <v>23.327999999999999</v>
      </c>
      <c r="AA86" s="248">
        <f t="shared" si="33"/>
        <v>23.2774</v>
      </c>
      <c r="AB86" s="234" t="e">
        <f>VLOOKUP(A86,Enforcements!$C$7:$K$9,8,0)</f>
        <v>#N/A</v>
      </c>
      <c r="AC86" s="233" t="e">
        <f>VLOOKUP(A86,Enforcements!$C$7:$E$9,3,0)</f>
        <v>#N/A</v>
      </c>
      <c r="AD86" s="244">
        <f t="shared" si="34"/>
        <v>173</v>
      </c>
      <c r="AE86" s="236" t="str">
        <f t="shared" si="35"/>
        <v>aws s3 cp s3://rtdc.mdm.uploadarchive.raw/RTDC4054/ "%USERPROFILE%\AppData\Local\Temp\OnboardLogs"\RTDC4054\2017-11-27 --exclude "*" --recursive --include "*20171127*" &amp; "%USERPROFILE%\Documents\GitHub\mrs-test-scripts\Headless Mode &amp; Sideloading\WalkAndUnGZ.bat" "%USERPROFILE%\AppData\Local\Temp\OnboardLogs"\RTDC4054\2017-11-27 &amp; aws s3 cp s3://rtdc.mdm.uploadarchive.raw/RTDC4054/ "%USERPROFILE%\AppData\Local\Temp\OnboardLogs"\RTDC4054\2017-11-28 --exclude "*" --recursive --include "*20171128*" &amp; "%USERPROFILE%\Documents\GitHub\mrs-test-scripts\Headless Mode &amp; Sideloading\WalkAndUnGZ.bat" "%USERPROFILE%\AppData\Local\Temp\OnboardLogs"\RTDC4054\2017-11-28</v>
      </c>
      <c r="AF86" s="235" t="str">
        <f t="shared" si="36"/>
        <v>"C:\Program Files (x86)\AstroGrep\AstroGrep.exe" /e /r /s /spath="%USERPROFILE%\AppData\Local\Temp\OnboardLogs" /stypes="app*4054*20171127*" /stext=" 20:.+((SYSTEM_STATE.+slice.+state.+changed )|(ment ac)|(multiple cpu faults)|(system.+state.+changed )|(\[timeout)|(PRM\|1\|D)|(kpr)|(kdp)|(train st.+moving)|(\|lc)|(penalty))"</v>
      </c>
      <c r="AG86" s="245" t="str">
        <f t="shared" si="37"/>
        <v>EC</v>
      </c>
      <c r="AH86" s="237" t="str">
        <f t="shared" si="38"/>
        <v>"%USERPROFILE%\Documents\GitHub\eaglep3\Utilities\RefineRTDCRunTimes.py" --tripid 173-27 --locoid 4054 --swversion DE.1.0.9.0 --startMP 204:506 --initTime 2017-11-27T12:38:13 --startdatetime 2017-11-27T12:45:30 --delay 60 --endMP 204:233280 --enddatetime 2017-11-27T13:20:31 --enforcementcount 0 &gt;&gt;%USERPROFILE%\Documents\GitHub\eaglep3-reporting\EC\2017-11-27-refined-times.txt</v>
      </c>
      <c r="AI86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{"issue":{"subject":"","project_id":79,"tracker_id":40,"status_id":1,"priority_id":2,"assigned_to_id":338,"start_date":"2017-11-27","description":"","custom_fields":[{"id":1,"name":"Subdivision","value":"EC"},{"id":4,"name":"Milepost","value":"23.328"},{"id":17,"name":"Train ID","value":"173-27"},{"id":16,"name":"Locomotive ID","value":"4054"},{"id":130,"name":"Impact","value":""},{"id":150,"name":"Time of Event (Mountain Time)","value":"13:20:31"},{"id":151,"name":"Denver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4"/>
      <c r="AK86" s="232"/>
      <c r="AL86" s="232"/>
      <c r="AM86" s="241" t="str">
        <f t="shared" si="40"/>
        <v>start /low /b %USERPROFILE%\Documents\GitHub\eaglep3\Utilities\DownloadLogsFromS3.py --loco 4054 --day 2017-11-27</v>
      </c>
      <c r="AN86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20:20:31"},{"id":29,"name":"Sharepoint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1" t="str">
        <f t="shared" si="42"/>
        <v>https://d0f6bd738d7f1b3e5a7ca70fe4ff75f0.us-east-1.aws.found.io/app/kibana#/discover/Steve-Slow-Train-Analysis-(2080s-and-2083s)?_g=(refreshInterval:(display:Off,pause:!f,section:0,value:0),time:(from:'2017-11-27T11:38:13-0700',mode:absolute,to:'2017-11-27T14:20:31-0700'))&amp;_a=(columns:!('Message%20ID',Summary),filters:!(),index:'emp_*',interval:auto,query:(query_string:(analyze_wildcard:!t,query:'%22rtdc.l.rtdc.4054%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30" t="s">
        <v>719</v>
      </c>
      <c r="B87" s="226">
        <v>4053</v>
      </c>
      <c r="C87" s="228" t="s">
        <v>192</v>
      </c>
      <c r="D87" s="228" t="s">
        <v>528</v>
      </c>
      <c r="E87" s="227">
        <v>43066.561689814815</v>
      </c>
      <c r="F87" s="227">
        <v>43066.572245370371</v>
      </c>
      <c r="G87" s="226">
        <v>75</v>
      </c>
      <c r="H87" s="228" t="s">
        <v>479</v>
      </c>
      <c r="I87" s="227">
        <v>43066.598171296297</v>
      </c>
      <c r="J87" s="226">
        <v>0</v>
      </c>
      <c r="K87" s="238" t="str">
        <f t="shared" si="26"/>
        <v>4053/4054</v>
      </c>
      <c r="L87" s="246" t="str">
        <f>VLOOKUP(A87,'Trips&amp;Operators'!$C$1:$G$99911,5,FALSE)</f>
        <v>SMITH MICHAEL</v>
      </c>
      <c r="M87" s="225">
        <f t="shared" si="27"/>
        <v>2.5925925925548654E-2</v>
      </c>
      <c r="N87" s="226">
        <f t="shared" si="25"/>
        <v>37.333333332790062</v>
      </c>
      <c r="O87" s="226"/>
      <c r="P87" s="226"/>
      <c r="Q87" s="229"/>
      <c r="R87" s="243"/>
      <c r="S87" s="250">
        <f t="shared" si="24"/>
        <v>1</v>
      </c>
      <c r="T87" s="243" t="str">
        <f t="shared" si="28"/>
        <v>Southbound</v>
      </c>
      <c r="U87" s="24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9" t="str">
        <f t="shared" si="29"/>
        <v>https://d0f6bd738d7f1b3e5a7ca70fe4ff75f0.us-east-1.aws.found.io/app/kibana#/discover/Steve-Slow-Train-Analysis-(2080s-and-2083s)?_g=(refreshInterval:(display:Off,pause:!f,section:0,value:0),time:(from:'2017-11-27T12:28:50-0700',mode:absolute,to:'2017-11-27T15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7" s="248" t="str">
        <f>IF(AA87&lt;VLOOKUP(AG87,Variables!$AC$3:$AD$8,2,FALSE),"Y","N")</f>
        <v>N</v>
      </c>
      <c r="X87" s="248">
        <f t="shared" si="30"/>
        <v>1</v>
      </c>
      <c r="Y87" s="248">
        <f t="shared" si="31"/>
        <v>23.296900000000001</v>
      </c>
      <c r="Z87" s="248">
        <f t="shared" si="32"/>
        <v>2.29E-2</v>
      </c>
      <c r="AA87" s="248">
        <f t="shared" si="33"/>
        <v>23.274000000000001</v>
      </c>
      <c r="AB87" s="234" t="e">
        <f>VLOOKUP(A87,Enforcements!$C$7:$K$9,8,0)</f>
        <v>#N/A</v>
      </c>
      <c r="AC87" s="233" t="e">
        <f>VLOOKUP(A87,Enforcements!$C$7:$E$9,3,0)</f>
        <v>#N/A</v>
      </c>
      <c r="AD87" s="244">
        <f t="shared" si="34"/>
        <v>174</v>
      </c>
      <c r="AE87" s="236" t="str">
        <f t="shared" si="35"/>
        <v>aws s3 cp s3://rtdc.mdm.uploadarchive.raw/RTDC4053/ "%USERPROFILE%\AppData\Local\Temp\OnboardLogs"\RTDC4053\2017-11-27 --exclude "*" --recursive --include "*20171127*" &amp; "%USERPROFILE%\Documents\GitHub\mrs-test-scripts\Headless Mode &amp; Sideloading\WalkAndUnGZ.bat" "%USERPROFILE%\AppData\Local\Temp\OnboardLogs"\RTDC4053\2017-11-27 &amp; aws s3 cp s3://rtdc.mdm.uploadarchive.raw/RTDC4053/ "%USERPROFILE%\AppData\Local\Temp\OnboardLogs"\RTDC4053\2017-11-28 --exclude "*" --recursive --include "*20171128*" &amp; "%USERPROFILE%\Documents\GitHub\mrs-test-scripts\Headless Mode &amp; Sideloading\WalkAndUnGZ.bat" "%USERPROFILE%\AppData\Local\Temp\OnboardLogs"\RTDC4053\2017-11-28</v>
      </c>
      <c r="AF87" s="235" t="str">
        <f t="shared" si="36"/>
        <v>"C:\Program Files (x86)\AstroGrep\AstroGrep.exe" /e /r /s /spath="%USERPROFILE%\AppData\Local\Temp\OnboardLogs" /stypes="app*4053*20171127*" /stext=" 21:.+((SYSTEM_STATE.+slice.+state.+changed )|(ment ac)|(multiple cpu faults)|(system.+state.+changed )|(\[timeout)|(PRM\|1\|D)|(kpr)|(kdp)|(train st.+moving)|(\|lc)|(penalty))"</v>
      </c>
      <c r="AG87" s="245" t="str">
        <f t="shared" si="37"/>
        <v>EC</v>
      </c>
      <c r="AH87" s="237" t="str">
        <f t="shared" si="38"/>
        <v>"%USERPROFILE%\Documents\GitHub\eaglep3\Utilities\RefineRTDCRunTimes.py" --tripid 174-27 --locoid 4053 --swversion DE.1.0.9.0 --startMP 204:232969 --initTime 2017-11-27T13:28:50 --startdatetime 2017-11-27T13:44:02 --delay 75 --endMP 204:229 --enddatetime 2017-11-27T14:21:22 --enforcementcount 0 &gt;&gt;%USERPROFILE%\Documents\GitHub\eaglep3-reporting\EC\2017-11-27-refined-times.txt</v>
      </c>
      <c r="AI87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{"issue":{"subject":"","project_id":79,"tracker_id":40,"status_id":1,"priority_id":2,"assigned_to_id":338,"start_date":"2017-11-27","description":"","custom_fields":[{"id":1,"name":"Subdivision","value":"EC"},{"id":4,"name":"Milepost","value":"0.0229"},{"id":17,"name":"Train ID","value":"174-27"},{"id":16,"name":"Locomotive ID","value":"4053"},{"id":130,"name":"Impact","value":""},{"id":150,"name":"Time of Event (Mountain Time)","value":"14:21:22"},{"id":151,"name":"Denver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4"/>
      <c r="AK87" s="232"/>
      <c r="AL87" s="232"/>
      <c r="AM87" s="241" t="str">
        <f t="shared" si="40"/>
        <v>start /low /b %USERPROFILE%\Documents\GitHub\eaglep3\Utilities\DownloadLogsFromS3.py --loco 4053 --day 2017-11-27</v>
      </c>
      <c r="AN87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21:21:22"},{"id":29,"name":"Sharepoint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1" t="str">
        <f t="shared" si="42"/>
        <v>https://d0f6bd738d7f1b3e5a7ca70fe4ff75f0.us-east-1.aws.found.io/app/kibana#/discover/Steve-Slow-Train-Analysis-(2080s-and-2083s)?_g=(refreshInterval:(display:Off,pause:!f,section:0,value:0),time:(from:'2017-11-27T12:28:50-0700',mode:absolute,to:'2017-11-27T15:21:22-0700'))&amp;_a=(columns:!('Message%20ID',Summary),filters:!(),index:'emp_*',interval:auto,query:(query_string:(analyze_wildcard:!t,query:'%22rtdc.l.rtdc.4053%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30" t="s">
        <v>713</v>
      </c>
      <c r="B88" s="226">
        <v>4044</v>
      </c>
      <c r="C88" s="228" t="s">
        <v>192</v>
      </c>
      <c r="D88" s="228" t="s">
        <v>441</v>
      </c>
      <c r="E88" s="227">
        <v>43066.540462962963</v>
      </c>
      <c r="F88" s="227">
        <v>43066.548958333333</v>
      </c>
      <c r="G88" s="226">
        <v>59</v>
      </c>
      <c r="H88" s="228" t="s">
        <v>441</v>
      </c>
      <c r="I88" s="227">
        <v>43066.5703587963</v>
      </c>
      <c r="J88" s="226">
        <v>0</v>
      </c>
      <c r="K88" s="238" t="str">
        <f t="shared" si="26"/>
        <v>4043/4044</v>
      </c>
      <c r="L88" s="246" t="str">
        <f>VLOOKUP(A88,'Trips&amp;Operators'!$C$1:$G$99911,5,FALSE)</f>
        <v>DAVIS MICHAEL</v>
      </c>
      <c r="M88" s="225">
        <f t="shared" si="27"/>
        <v>2.1400462966994382E-2</v>
      </c>
      <c r="N88" s="226"/>
      <c r="O88" s="226"/>
      <c r="P88" s="226"/>
      <c r="Q88" s="229"/>
      <c r="R88" s="243"/>
      <c r="S88" s="250"/>
      <c r="T88" s="243" t="str">
        <f t="shared" si="28"/>
        <v>NorthBound</v>
      </c>
      <c r="U88" s="24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0</v>
      </c>
      <c r="V88" s="249" t="str">
        <f t="shared" si="29"/>
        <v>https://d0f6bd738d7f1b3e5a7ca70fe4ff75f0.us-east-1.aws.found.io/app/kibana#/discover/Steve-Slow-Train-Analysis-(2080s-and-2083s)?_g=(refreshInterval:(display:Off,pause:!f,section:0,value:0),time:(from:'2017-11-27T11:58:16-0700',mode:absolute,to:'2017-11-27T14:41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8" s="248" t="str">
        <f>IF(AA88&lt;VLOOKUP(AG88,Variables!$AC$3:$AD$8,2,FALSE),"Y","N")</f>
        <v>Y</v>
      </c>
      <c r="X88" s="248">
        <f t="shared" si="30"/>
        <v>1</v>
      </c>
      <c r="Y88" s="248">
        <f t="shared" si="31"/>
        <v>5.2600000000000001E-2</v>
      </c>
      <c r="Z88" s="248">
        <f t="shared" si="32"/>
        <v>5.2600000000000001E-2</v>
      </c>
      <c r="AA88" s="248">
        <f t="shared" si="33"/>
        <v>0</v>
      </c>
      <c r="AB88" s="234" t="e">
        <f>VLOOKUP(A88,Enforcements!$C$7:$K$9,8,0)</f>
        <v>#N/A</v>
      </c>
      <c r="AC88" s="233" t="e">
        <f>VLOOKUP(A88,Enforcements!$C$7:$E$9,3,0)</f>
        <v>#N/A</v>
      </c>
      <c r="AD88" s="244">
        <f t="shared" si="34"/>
        <v>175</v>
      </c>
      <c r="AE88" s="236" t="str">
        <f t="shared" si="35"/>
        <v>aws s3 cp s3://rtdc.mdm.uploadarchive.raw/RTDC4044/ "%USERPROFILE%\AppData\Local\Temp\OnboardLogs"\RTDC4044\2017-11-27 --exclude "*" --recursive --include "*20171127*" &amp; "%USERPROFILE%\Documents\GitHub\mrs-test-scripts\Headless Mode &amp; Sideloading\WalkAndUnGZ.bat" "%USERPROFILE%\AppData\Local\Temp\OnboardLogs"\RTDC4044\2017-11-27 &amp; aws s3 cp s3://rtdc.mdm.uploadarchive.raw/RTDC4044/ "%USERPROFILE%\AppData\Local\Temp\OnboardLogs"\RTDC4044\2017-11-28 --exclude "*" --recursive --include "*20171128*" &amp; "%USERPROFILE%\Documents\GitHub\mrs-test-scripts\Headless Mode &amp; Sideloading\WalkAndUnGZ.bat" "%USERPROFILE%\AppData\Local\Temp\OnboardLogs"\RTDC4044\2017-11-28</v>
      </c>
      <c r="AF88" s="235" t="str">
        <f t="shared" si="36"/>
        <v>"C:\Program Files (x86)\AstroGrep\AstroGrep.exe" /e /r /s /spath="%USERPROFILE%\AppData\Local\Temp\OnboardLogs" /stypes="app*4044*20171127*" /stext=" 20:.+((SYSTEM_STATE.+slice.+state.+changed )|(ment ac)|(multiple cpu faults)|(system.+state.+changed )|(\[timeout)|(PRM\|1\|D)|(kpr)|(kdp)|(train st.+moving)|(\|lc)|(penalty))"</v>
      </c>
      <c r="AG88" s="245" t="str">
        <f t="shared" si="37"/>
        <v>EC</v>
      </c>
      <c r="AH88" s="237" t="str">
        <f t="shared" si="38"/>
        <v>"%USERPROFILE%\Documents\GitHub\eaglep3\Utilities\RefineRTDCRunTimes.py" --tripid 175-27 --locoid 4044 --swversion DE.1.0.9.0 --startMP 204:526 --initTime 2017-11-27T12:58:16 --startdatetime 2017-11-27T13:10:30 --delay 59 --endMP 204:526 --enddatetime 2017-11-27T13:41:19 --enforcementcount 0 &gt;&gt;%USERPROFILE%\Documents\GitHub\eaglep3-reporting\EC\2017-11-27-refined-times.txt</v>
      </c>
      <c r="AI88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{"issue":{"subject":"","project_id":79,"tracker_id":40,"status_id":1,"priority_id":2,"assigned_to_id":338,"start_date":"2017-11-27","description":"","custom_fields":[{"id":1,"name":"Subdivision","value":"EC"},{"id":4,"name":"Milepost","value":"0.0526"},{"id":17,"name":"Train ID","value":"175-27"},{"id":16,"name":"Locomotive ID","value":"4044"},{"id":130,"name":"Impact","value":""},{"id":150,"name":"Time of Event (Mountain Time)","value":"13:41:19"},{"id":151,"name":"Denver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4"/>
      <c r="AK88" s="232"/>
      <c r="AL88" s="232"/>
      <c r="AM88" s="241" t="str">
        <f t="shared" si="40"/>
        <v>start /low /b %USERPROFILE%\Documents\GitHub\eaglep3\Utilities\DownloadLogsFromS3.py --loco 4044 --day 2017-11-27</v>
      </c>
      <c r="AN88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20:41:19"},{"id":29,"name":"Sharepoint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1" t="str">
        <f t="shared" si="42"/>
        <v>https://d0f6bd738d7f1b3e5a7ca70fe4ff75f0.us-east-1.aws.found.io/app/kibana#/discover/Steve-Slow-Train-Analysis-(2080s-and-2083s)?_g=(refreshInterval:(display:Off,pause:!f,section:0,value:0),time:(from:'2017-11-27T11:58:16-0700',mode:absolute,to:'2017-11-27T14:41:19-0700'))&amp;_a=(columns:!('Message%20ID',Summary),filters:!(),index:'emp_*',interval:auto,query:(query_string:(analyze_wildcard:!t,query:'%22rtdc.l.rtdc.4044%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30" t="s">
        <v>713</v>
      </c>
      <c r="B89" s="226">
        <v>4044</v>
      </c>
      <c r="C89" s="228" t="s">
        <v>192</v>
      </c>
      <c r="D89" s="228" t="s">
        <v>874</v>
      </c>
      <c r="E89" s="227">
        <v>43066.547083333331</v>
      </c>
      <c r="F89" s="227">
        <v>43066.548958333333</v>
      </c>
      <c r="G89" s="226">
        <v>73</v>
      </c>
      <c r="H89" s="228" t="s">
        <v>875</v>
      </c>
      <c r="I89" s="227">
        <v>43066.5703587963</v>
      </c>
      <c r="J89" s="226">
        <v>0</v>
      </c>
      <c r="K89" s="238" t="str">
        <f t="shared" si="26"/>
        <v>4043/4044</v>
      </c>
      <c r="L89" s="246" t="str">
        <f>VLOOKUP(A89,'Trips&amp;Operators'!$C$1:$G$99911,5,FALSE)</f>
        <v>DAVIS MICHAEL</v>
      </c>
      <c r="M89" s="225">
        <f t="shared" si="27"/>
        <v>2.1400462966994382E-2</v>
      </c>
      <c r="N89" s="226"/>
      <c r="O89" s="226"/>
      <c r="P89" s="226">
        <f>24*60*SUM($M89:$M89)</f>
        <v>30.816666672471911</v>
      </c>
      <c r="Q89" s="229"/>
      <c r="R89" s="243" t="s">
        <v>1016</v>
      </c>
      <c r="S89" s="250">
        <f t="shared" ref="S89:S120" si="43">1/IF(AG89="EC",12,1)*SUM(U89:U89)</f>
        <v>1</v>
      </c>
      <c r="T89" s="243" t="str">
        <f t="shared" si="28"/>
        <v>NorthBound</v>
      </c>
      <c r="U89" s="24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9" t="str">
        <f t="shared" si="29"/>
        <v>https://d0f6bd738d7f1b3e5a7ca70fe4ff75f0.us-east-1.aws.found.io/app/kibana#/discover/Steve-Slow-Train-Analysis-(2080s-and-2083s)?_g=(refreshInterval:(display:Off,pause:!f,section:0,value:0),time:(from:'2017-11-27T12:07:48-0700',mode:absolute,to:'2017-11-27T14:41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9" s="248" t="str">
        <f>IF(AA89&lt;VLOOKUP(AG89,Variables!$AC$3:$AD$8,2,FALSE),"Y","N")</f>
        <v>Y</v>
      </c>
      <c r="X89" s="248">
        <f t="shared" si="30"/>
        <v>0</v>
      </c>
      <c r="Y89" s="248">
        <f t="shared" si="31"/>
        <v>1.9111</v>
      </c>
      <c r="Z89" s="248">
        <f t="shared" si="32"/>
        <v>23.328299999999999</v>
      </c>
      <c r="AA89" s="248">
        <f t="shared" si="33"/>
        <v>21.417199999999998</v>
      </c>
      <c r="AB89" s="234" t="e">
        <f>VLOOKUP(A89,Enforcements!$C$7:$K$9,8,0)</f>
        <v>#N/A</v>
      </c>
      <c r="AC89" s="233" t="e">
        <f>VLOOKUP(A89,Enforcements!$C$7:$E$9,3,0)</f>
        <v>#N/A</v>
      </c>
      <c r="AD89" s="244">
        <f t="shared" si="34"/>
        <v>175</v>
      </c>
      <c r="AE89" s="236" t="str">
        <f t="shared" si="35"/>
        <v>aws s3 cp s3://rtdc.mdm.uploadarchive.raw/RTDC4044/ "%USERPROFILE%\AppData\Local\Temp\OnboardLogs"\RTDC4044\2017-11-27 --exclude "*" --recursive --include "*20171127*" &amp; "%USERPROFILE%\Documents\GitHub\mrs-test-scripts\Headless Mode &amp; Sideloading\WalkAndUnGZ.bat" "%USERPROFILE%\AppData\Local\Temp\OnboardLogs"\RTDC4044\2017-11-27 &amp; aws s3 cp s3://rtdc.mdm.uploadarchive.raw/RTDC4044/ "%USERPROFILE%\AppData\Local\Temp\OnboardLogs"\RTDC4044\2017-11-28 --exclude "*" --recursive --include "*20171128*" &amp; "%USERPROFILE%\Documents\GitHub\mrs-test-scripts\Headless Mode &amp; Sideloading\WalkAndUnGZ.bat" "%USERPROFILE%\AppData\Local\Temp\OnboardLogs"\RTDC4044\2017-11-28</v>
      </c>
      <c r="AF89" s="235" t="str">
        <f t="shared" si="36"/>
        <v>"C:\Program Files (x86)\AstroGrep\AstroGrep.exe" /e /r /s /spath="%USERPROFILE%\AppData\Local\Temp\OnboardLogs" /stypes="app*4044*20171127*" /stext=" 20:.+((SYSTEM_STATE.+slice.+state.+changed )|(ment ac)|(multiple cpu faults)|(system.+state.+changed )|(\[timeout)|(PRM\|1\|D)|(kpr)|(kdp)|(train st.+moving)|(\|lc)|(penalty))"</v>
      </c>
      <c r="AG89" s="245" t="str">
        <f t="shared" si="37"/>
        <v>EC</v>
      </c>
      <c r="AH89" s="237" t="str">
        <f t="shared" si="38"/>
        <v>"%USERPROFILE%\Documents\GitHub\eaglep3\Utilities\RefineRTDCRunTimes.py" --tripid 175-27 --locoid 4044 --swversion DE.1.0.9.0 --startMP 204:19111 --initTime 2017-11-27T13:07:48 --startdatetime 2017-11-27T13:10:30 --delay 73 --endMP 204:233283 --enddatetime 2017-11-27T13:41:19 --enforcementcount 0 &gt;&gt;%USERPROFILE%\Documents\GitHub\eaglep3-reporting\EC\2017-11-27-refined-times.txt</v>
      </c>
      <c r="AI89" s="239" t="str">
        <f t="shared" si="39"/>
        <v>echo {"issue":{"subject":"Poor GPS at DUS","project_id":79,"tracker_id":40,"status_id":1,"priority_id":2,"assigned_to_id":338,"start_date":"2017-11-27","description":"","custom_fields":[{"id":1,"name":"Subdivision","value":"EC"},{"id":4,"name":"Milepost","value":"23.3283"},{"id":17,"name":"Train ID","value":"175-27"},{"id":16,"name":"Locomotive ID","value":"4044"},{"id":130,"name":"Impact","value":""},{"id":150,"name":"Time of Event (Mountain Time)","value":"13:41:19"},{"id":151,"name":"Denver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4"/>
      <c r="AK89" s="232"/>
      <c r="AL89" s="232"/>
      <c r="AM89" s="241" t="str">
        <f t="shared" si="40"/>
        <v>start /low /b %USERPROFILE%\Documents\GitHub\eaglep3\Utilities\DownloadLogsFromS3.py --loco 4044 --day 2017-11-27</v>
      </c>
      <c r="AN89" s="242" t="str">
        <f t="shared" si="41"/>
        <v>echo {"issue":{"subject":"Poor GPS at DUS","project_id":30,"tracker_id":4,"status_id":1,"priority_id":1,"assigned_to_id":10,"start_date":"2017-11-27","description":"","custom_fields":[{"id":30,"name":"Category","value":"Issue"},{"id":3,"name":"Functional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20:41:19"},{"id":29,"name":"Sharepoint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1" t="str">
        <f t="shared" si="42"/>
        <v>https://d0f6bd738d7f1b3e5a7ca70fe4ff75f0.us-east-1.aws.found.io/app/kibana#/discover/Steve-Slow-Train-Analysis-(2080s-and-2083s)?_g=(refreshInterval:(display:Off,pause:!f,section:0,value:0),time:(from:'2017-11-27T12:07:48-0700',mode:absolute,to:'2017-11-27T14:41:19-0700'))&amp;_a=(columns:!('Message%20ID',Summary),filters:!(),index:'emp_*',interval:auto,query:(query_string:(analyze_wildcard:!t,query:'%22rtdc.l.rtdc.4044%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30" t="s">
        <v>721</v>
      </c>
      <c r="B90" s="226">
        <v>4043</v>
      </c>
      <c r="C90" s="228" t="s">
        <v>192</v>
      </c>
      <c r="D90" s="228" t="s">
        <v>437</v>
      </c>
      <c r="E90" s="227">
        <v>43066.579548611109</v>
      </c>
      <c r="F90" s="227">
        <v>43066.581678240742</v>
      </c>
      <c r="G90" s="226">
        <v>72</v>
      </c>
      <c r="H90" s="228" t="s">
        <v>865</v>
      </c>
      <c r="I90" s="227">
        <v>43066.608680555553</v>
      </c>
      <c r="J90" s="226">
        <v>0</v>
      </c>
      <c r="K90" s="238" t="str">
        <f t="shared" si="26"/>
        <v>4043/4044</v>
      </c>
      <c r="L90" s="246" t="str">
        <f>VLOOKUP(A90,'Trips&amp;Operators'!$C$1:$G$99911,5,FALSE)</f>
        <v>DAVIS MICHAEL</v>
      </c>
      <c r="M90" s="225">
        <f t="shared" si="27"/>
        <v>2.700231481139781E-2</v>
      </c>
      <c r="N90" s="226">
        <f t="shared" ref="N90:N109" si="44">24*60*SUM($M90:$M90)</f>
        <v>38.883333328412846</v>
      </c>
      <c r="O90" s="226"/>
      <c r="P90" s="226"/>
      <c r="Q90" s="229"/>
      <c r="R90" s="243"/>
      <c r="S90" s="250">
        <f t="shared" si="43"/>
        <v>1</v>
      </c>
      <c r="T90" s="243" t="str">
        <f t="shared" si="28"/>
        <v>Southbound</v>
      </c>
      <c r="U90" s="24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9" t="str">
        <f t="shared" si="29"/>
        <v>https://d0f6bd738d7f1b3e5a7ca70fe4ff75f0.us-east-1.aws.found.io/app/kibana#/discover/Steve-Slow-Train-Analysis-(2080s-and-2083s)?_g=(refreshInterval:(display:Off,pause:!f,section:0,value:0),time:(from:'2017-11-27T12:54:33-0700',mode:absolute,to:'2017-11-27T15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0" s="248" t="str">
        <f>IF(AA90&lt;VLOOKUP(AG90,Variables!$AC$3:$AD$8,2,FALSE),"Y","N")</f>
        <v>N</v>
      </c>
      <c r="X90" s="248">
        <f t="shared" si="30"/>
        <v>1</v>
      </c>
      <c r="Y90" s="248">
        <f t="shared" si="31"/>
        <v>23.297899999999998</v>
      </c>
      <c r="Z90" s="248">
        <f t="shared" si="32"/>
        <v>2.2499999999999999E-2</v>
      </c>
      <c r="AA90" s="248">
        <f t="shared" si="33"/>
        <v>23.275399999999998</v>
      </c>
      <c r="AB90" s="234" t="e">
        <f>VLOOKUP(A90,Enforcements!$C$7:$K$9,8,0)</f>
        <v>#N/A</v>
      </c>
      <c r="AC90" s="233" t="e">
        <f>VLOOKUP(A90,Enforcements!$C$7:$E$9,3,0)</f>
        <v>#N/A</v>
      </c>
      <c r="AD90" s="244">
        <f t="shared" si="34"/>
        <v>176</v>
      </c>
      <c r="AE90" s="236" t="str">
        <f t="shared" si="35"/>
        <v>aws s3 cp s3://rtdc.mdm.uploadarchive.raw/RTDC4043/ "%USERPROFILE%\AppData\Local\Temp\OnboardLogs"\RTDC4043\2017-11-27 --exclude "*" --recursive --include "*20171127*" &amp; "%USERPROFILE%\Documents\GitHub\mrs-test-scripts\Headless Mode &amp; Sideloading\WalkAndUnGZ.bat" "%USERPROFILE%\AppData\Local\Temp\OnboardLogs"\RTDC4043\2017-11-27 &amp; aws s3 cp s3://rtdc.mdm.uploadarchive.raw/RTDC4043/ "%USERPROFILE%\AppData\Local\Temp\OnboardLogs"\RTDC4043\2017-11-28 --exclude "*" --recursive --include "*20171128*" &amp; "%USERPROFILE%\Documents\GitHub\mrs-test-scripts\Headless Mode &amp; Sideloading\WalkAndUnGZ.bat" "%USERPROFILE%\AppData\Local\Temp\OnboardLogs"\RTDC4043\2017-11-28</v>
      </c>
      <c r="AF90" s="235" t="str">
        <f t="shared" si="36"/>
        <v>"C:\Program Files (x86)\AstroGrep\AstroGrep.exe" /e /r /s /spath="%USERPROFILE%\AppData\Local\Temp\OnboardLogs" /stypes="app*4043*20171127*" /stext=" 21:.+((SYSTEM_STATE.+slice.+state.+changed )|(ment ac)|(multiple cpu faults)|(system.+state.+changed )|(\[timeout)|(PRM\|1\|D)|(kpr)|(kdp)|(train st.+moving)|(\|lc)|(penalty))"</v>
      </c>
      <c r="AG90" s="245" t="str">
        <f t="shared" si="37"/>
        <v>EC</v>
      </c>
      <c r="AH90" s="237" t="str">
        <f t="shared" si="38"/>
        <v>"%USERPROFILE%\Documents\GitHub\eaglep3\Utilities\RefineRTDCRunTimes.py" --tripid 176-27 --locoid 4043 --swversion DE.1.0.9.0 --startMP 204:232979 --initTime 2017-11-27T13:54:33 --startdatetime 2017-11-27T13:57:37 --delay 72 --endMP 204:225 --enddatetime 2017-11-27T14:36:30 --enforcementcount 0 &gt;&gt;%USERPROFILE%\Documents\GitHub\eaglep3-reporting\EC\2017-11-27-refined-times.txt</v>
      </c>
      <c r="AI90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{"issue":{"subject":"","project_id":79,"tracker_id":40,"status_id":1,"priority_id":2,"assigned_to_id":338,"start_date":"2017-11-27","description":"","custom_fields":[{"id":1,"name":"Subdivision","value":"EC"},{"id":4,"name":"Milepost","value":"0.0225"},{"id":17,"name":"Train ID","value":"176-27"},{"id":16,"name":"Locomotive ID","value":"4043"},{"id":130,"name":"Impact","value":""},{"id":150,"name":"Time of Event (Mountain Time)","value":"14:36:30"},{"id":151,"name":"Denver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4"/>
      <c r="AK90" s="232"/>
      <c r="AL90" s="232"/>
      <c r="AM90" s="241" t="str">
        <f t="shared" si="40"/>
        <v>start /low /b %USERPROFILE%\Documents\GitHub\eaglep3\Utilities\DownloadLogsFromS3.py --loco 4043 --day 2017-11-27</v>
      </c>
      <c r="AN90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21:36:30"},{"id":29,"name":"Sharepoint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1" t="str">
        <f t="shared" si="42"/>
        <v>https://d0f6bd738d7f1b3e5a7ca70fe4ff75f0.us-east-1.aws.found.io/app/kibana#/discover/Steve-Slow-Train-Analysis-(2080s-and-2083s)?_g=(refreshInterval:(display:Off,pause:!f,section:0,value:0),time:(from:'2017-11-27T12:54:33-0700',mode:absolute,to:'2017-11-27T15:36:30-0700'))&amp;_a=(columns:!('Message%20ID',Summary),filters:!(),index:'emp_*',interval:auto,query:(query_string:(analyze_wildcard:!t,query:'%22rtdc.l.rtdc.4043%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30" t="s">
        <v>715</v>
      </c>
      <c r="B91" s="226">
        <v>4026</v>
      </c>
      <c r="C91" s="228" t="s">
        <v>192</v>
      </c>
      <c r="D91" s="228" t="s">
        <v>873</v>
      </c>
      <c r="E91" s="227">
        <v>43066.548310185186</v>
      </c>
      <c r="F91" s="227">
        <v>43066.552430555559</v>
      </c>
      <c r="G91" s="226">
        <v>64</v>
      </c>
      <c r="H91" s="228" t="s">
        <v>841</v>
      </c>
      <c r="I91" s="227">
        <v>43066.578217592592</v>
      </c>
      <c r="J91" s="226">
        <v>0</v>
      </c>
      <c r="K91" s="238" t="str">
        <f t="shared" si="26"/>
        <v>4025/4026</v>
      </c>
      <c r="L91" s="246" t="str">
        <f>VLOOKUP(A91,'Trips&amp;Operators'!$C$1:$G$99911,5,FALSE)</f>
        <v>STEWART MICHAEL</v>
      </c>
      <c r="M91" s="225">
        <f t="shared" si="27"/>
        <v>2.5787037033296656E-2</v>
      </c>
      <c r="N91" s="226">
        <f t="shared" si="44"/>
        <v>37.133333327947184</v>
      </c>
      <c r="O91" s="226"/>
      <c r="P91" s="226"/>
      <c r="Q91" s="229"/>
      <c r="R91" s="243"/>
      <c r="S91" s="250">
        <f t="shared" si="43"/>
        <v>1</v>
      </c>
      <c r="T91" s="243" t="str">
        <f t="shared" si="28"/>
        <v>NorthBound</v>
      </c>
      <c r="U91" s="24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9" t="str">
        <f t="shared" si="29"/>
        <v>https://d0f6bd738d7f1b3e5a7ca70fe4ff75f0.us-east-1.aws.found.io/app/kibana#/discover/Steve-Slow-Train-Analysis-(2080s-and-2083s)?_g=(refreshInterval:(display:Off,pause:!f,section:0,value:0),time:(from:'2017-11-27T12:09:34-0700',mode:absolute,to:'2017-11-27T14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1" s="248" t="str">
        <f>IF(AA91&lt;VLOOKUP(AG91,Variables!$AC$3:$AD$8,2,FALSE),"Y","N")</f>
        <v>N</v>
      </c>
      <c r="X91" s="248">
        <f t="shared" si="30"/>
        <v>1</v>
      </c>
      <c r="Y91" s="248">
        <f t="shared" si="31"/>
        <v>5.0599999999999999E-2</v>
      </c>
      <c r="Z91" s="248">
        <f t="shared" si="32"/>
        <v>23.328900000000001</v>
      </c>
      <c r="AA91" s="248">
        <f t="shared" si="33"/>
        <v>23.278300000000002</v>
      </c>
      <c r="AB91" s="234" t="e">
        <f>VLOOKUP(A91,Enforcements!$C$7:$K$9,8,0)</f>
        <v>#N/A</v>
      </c>
      <c r="AC91" s="233" t="e">
        <f>VLOOKUP(A91,Enforcements!$C$7:$E$9,3,0)</f>
        <v>#N/A</v>
      </c>
      <c r="AD91" s="244">
        <f t="shared" si="34"/>
        <v>177</v>
      </c>
      <c r="AE91" s="236" t="str">
        <f t="shared" si="35"/>
        <v>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 &amp; aws s3 cp s3://rtdc.mdm.uploadarchive.raw/RTDC4026/ "%USERPROFILE%\AppData\Local\Temp\OnboardLogs"\RTDC4026\2017-11-28 --exclude "*" --recursive --include "*20171128*" &amp; "%USERPROFILE%\Documents\GitHub\mrs-test-scripts\Headless Mode &amp; Sideloading\WalkAndUnGZ.bat" "%USERPROFILE%\AppData\Local\Temp\OnboardLogs"\RTDC4026\2017-11-28</v>
      </c>
      <c r="AF91" s="235" t="str">
        <f t="shared" si="36"/>
        <v>"C:\Program Files (x86)\AstroGrep\AstroGrep.exe" /e /r /s /spath="%USERPROFILE%\AppData\Local\Temp\OnboardLogs" /stypes="app*4026*20171127*" /stext=" 20:.+((SYSTEM_STATE.+slice.+state.+changed )|(ment ac)|(multiple cpu faults)|(system.+state.+changed )|(\[timeout)|(PRM\|1\|D)|(kpr)|(kdp)|(train st.+moving)|(\|lc)|(penalty))"</v>
      </c>
      <c r="AG91" s="245" t="str">
        <f t="shared" si="37"/>
        <v>EC</v>
      </c>
      <c r="AH91" s="237" t="str">
        <f t="shared" si="38"/>
        <v>"%USERPROFILE%\Documents\GitHub\eaglep3\Utilities\RefineRTDCRunTimes.py" --tripid 177-27 --locoid 4026 --swversion DE.1.0.9.0 --startMP 204:506 --initTime 2017-11-27T13:09:34 --startdatetime 2017-11-27T13:15:30 --delay 64 --endMP 204:233289 --enddatetime 2017-11-27T13:52:38 --enforcementcount 0 &gt;&gt;%USERPROFILE%\Documents\GitHub\eaglep3-reporting\EC\2017-11-27-refined-times.txt</v>
      </c>
      <c r="AI91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{"issue":{"subject":"","project_id":79,"tracker_id":40,"status_id":1,"priority_id":2,"assigned_to_id":338,"start_date":"2017-11-27","description":"","custom_fields":[{"id":1,"name":"Subdivision","value":"EC"},{"id":4,"name":"Milepost","value":"23.3289"},{"id":17,"name":"Train ID","value":"177-27"},{"id":16,"name":"Locomotive ID","value":"4026"},{"id":130,"name":"Impact","value":""},{"id":150,"name":"Time of Event (Mountain Time)","value":"13:52:38"},{"id":151,"name":"Denver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4"/>
      <c r="AK91" s="232"/>
      <c r="AL91" s="232"/>
      <c r="AM91" s="241" t="str">
        <f t="shared" si="40"/>
        <v>start /low /b %USERPROFILE%\Documents\GitHub\eaglep3\Utilities\DownloadLogsFromS3.py --loco 4026 --day 2017-11-27</v>
      </c>
      <c r="AN91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20:52:38"},{"id":29,"name":"Sharepoint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1" t="str">
        <f t="shared" si="42"/>
        <v>https://d0f6bd738d7f1b3e5a7ca70fe4ff75f0.us-east-1.aws.found.io/app/kibana#/discover/Steve-Slow-Train-Analysis-(2080s-and-2083s)?_g=(refreshInterval:(display:Off,pause:!f,section:0,value:0),time:(from:'2017-11-27T12:09:34-0700',mode:absolute,to:'2017-11-27T14:52:38-0700'))&amp;_a=(columns:!('Message%20ID',Summary),filters:!(),index:'emp_*',interval:auto,query:(query_string:(analyze_wildcard:!t,query:'%22rtdc.l.rtdc.4026%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30" t="s">
        <v>724</v>
      </c>
      <c r="B92" s="226">
        <v>4025</v>
      </c>
      <c r="C92" s="228" t="s">
        <v>192</v>
      </c>
      <c r="D92" s="228" t="s">
        <v>414</v>
      </c>
      <c r="E92" s="227">
        <v>43066.587268518517</v>
      </c>
      <c r="F92" s="227">
        <v>43066.591851851852</v>
      </c>
      <c r="G92" s="226">
        <v>54</v>
      </c>
      <c r="H92" s="228" t="s">
        <v>527</v>
      </c>
      <c r="I92" s="227">
        <v>43066.618125000001</v>
      </c>
      <c r="J92" s="226">
        <v>0</v>
      </c>
      <c r="K92" s="238" t="str">
        <f t="shared" si="26"/>
        <v>4025/4026</v>
      </c>
      <c r="L92" s="246" t="str">
        <f>VLOOKUP(A92,'Trips&amp;Operators'!$C$1:$G$99911,5,FALSE)</f>
        <v>STEWART MICHAEL</v>
      </c>
      <c r="M92" s="225">
        <f t="shared" si="27"/>
        <v>2.6273148148902692E-2</v>
      </c>
      <c r="N92" s="226">
        <f t="shared" si="44"/>
        <v>37.833333334419876</v>
      </c>
      <c r="O92" s="226"/>
      <c r="P92" s="226"/>
      <c r="Q92" s="229"/>
      <c r="R92" s="243"/>
      <c r="S92" s="250">
        <f t="shared" si="43"/>
        <v>1</v>
      </c>
      <c r="T92" s="243" t="str">
        <f t="shared" si="28"/>
        <v>Southbound</v>
      </c>
      <c r="U92" s="24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9" t="str">
        <f t="shared" si="29"/>
        <v>https://d0f6bd738d7f1b3e5a7ca70fe4ff75f0.us-east-1.aws.found.io/app/kibana#/discover/Steve-Slow-Train-Analysis-(2080s-and-2083s)?_g=(refreshInterval:(display:Off,pause:!f,section:0,value:0),time:(from:'2017-11-27T13:05:40-0700',mode:absolute,to:'2017-11-27T15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2" s="248" t="str">
        <f>IF(AA92&lt;VLOOKUP(AG92,Variables!$AC$3:$AD$8,2,FALSE),"Y","N")</f>
        <v>N</v>
      </c>
      <c r="X92" s="248">
        <f t="shared" si="30"/>
        <v>1</v>
      </c>
      <c r="Y92" s="248">
        <f t="shared" si="31"/>
        <v>23.297699999999999</v>
      </c>
      <c r="Z92" s="248">
        <f t="shared" si="32"/>
        <v>1.9400000000000001E-2</v>
      </c>
      <c r="AA92" s="248">
        <f t="shared" si="33"/>
        <v>23.278299999999998</v>
      </c>
      <c r="AB92" s="234" t="e">
        <f>VLOOKUP(A92,Enforcements!$C$7:$K$9,8,0)</f>
        <v>#N/A</v>
      </c>
      <c r="AC92" s="233" t="e">
        <f>VLOOKUP(A92,Enforcements!$C$7:$E$9,3,0)</f>
        <v>#N/A</v>
      </c>
      <c r="AD92" s="244">
        <f t="shared" si="34"/>
        <v>178</v>
      </c>
      <c r="AE92" s="236" t="str">
        <f t="shared" si="35"/>
        <v>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 &amp; aws s3 cp s3://rtdc.mdm.uploadarchive.raw/RTDC4025/ "%USERPROFILE%\AppData\Local\Temp\OnboardLogs"\RTDC4025\2017-11-28 --exclude "*" --recursive --include "*20171128*" &amp; "%USERPROFILE%\Documents\GitHub\mrs-test-scripts\Headless Mode &amp; Sideloading\WalkAndUnGZ.bat" "%USERPROFILE%\AppData\Local\Temp\OnboardLogs"\RTDC4025\2017-11-28</v>
      </c>
      <c r="AF92" s="235" t="str">
        <f t="shared" si="36"/>
        <v>"C:\Program Files (x86)\AstroGrep\AstroGrep.exe" /e /r /s /spath="%USERPROFILE%\AppData\Local\Temp\OnboardLogs" /stypes="app*4025*20171127*" /stext=" 21:.+((SYSTEM_STATE.+slice.+state.+changed )|(ment ac)|(multiple cpu faults)|(system.+state.+changed )|(\[timeout)|(PRM\|1\|D)|(kpr)|(kdp)|(train st.+moving)|(\|lc)|(penalty))"</v>
      </c>
      <c r="AG92" s="245" t="str">
        <f t="shared" si="37"/>
        <v>EC</v>
      </c>
      <c r="AH92" s="237" t="str">
        <f t="shared" si="38"/>
        <v>"%USERPROFILE%\Documents\GitHub\eaglep3\Utilities\RefineRTDCRunTimes.py" --tripid 178-27 --locoid 4025 --swversion DE.1.0.9.0 --startMP 204:232977 --initTime 2017-11-27T14:05:40 --startdatetime 2017-11-27T14:12:16 --delay 54 --endMP 204:194 --enddatetime 2017-11-27T14:50:06 --enforcementcount 0 &gt;&gt;%USERPROFILE%\Documents\GitHub\eaglep3-reporting\EC\2017-11-27-refined-times.txt</v>
      </c>
      <c r="AI92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{"issue":{"subject":"","project_id":79,"tracker_id":40,"status_id":1,"priority_id":2,"assigned_to_id":338,"start_date":"2017-11-27","description":"","custom_fields":[{"id":1,"name":"Subdivision","value":"EC"},{"id":4,"name":"Milepost","value":"0.0194"},{"id":17,"name":"Train ID","value":"178-27"},{"id":16,"name":"Locomotive ID","value":"4025"},{"id":130,"name":"Impact","value":""},{"id":150,"name":"Time of Event (Mountain Time)","value":"14:50:06"},{"id":151,"name":"Denver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4"/>
      <c r="AK92" s="232"/>
      <c r="AL92" s="232"/>
      <c r="AM92" s="241" t="str">
        <f t="shared" si="40"/>
        <v>start /low /b %USERPROFILE%\Documents\GitHub\eaglep3\Utilities\DownloadLogsFromS3.py --loco 4025 --day 2017-11-27</v>
      </c>
      <c r="AN92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21:50:06"},{"id":29,"name":"Sharepoint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1" t="str">
        <f t="shared" si="42"/>
        <v>https://d0f6bd738d7f1b3e5a7ca70fe4ff75f0.us-east-1.aws.found.io/app/kibana#/discover/Steve-Slow-Train-Analysis-(2080s-and-2083s)?_g=(refreshInterval:(display:Off,pause:!f,section:0,value:0),time:(from:'2017-11-27T13:05:40-0700',mode:absolute,to:'2017-11-27T15:50:06-0700'))&amp;_a=(columns:!('Message%20ID',Summary),filters:!(),index:'emp_*',interval:auto,query:(query_string:(analyze_wildcard:!t,query:'%22rtdc.l.rtdc.4025%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30" t="s">
        <v>717</v>
      </c>
      <c r="B93" s="226">
        <v>4014</v>
      </c>
      <c r="C93" s="228" t="s">
        <v>192</v>
      </c>
      <c r="D93" s="228" t="s">
        <v>876</v>
      </c>
      <c r="E93" s="227">
        <v>43066.558483796296</v>
      </c>
      <c r="F93" s="227">
        <v>43066.562858796293</v>
      </c>
      <c r="G93" s="226">
        <v>67</v>
      </c>
      <c r="H93" s="228" t="s">
        <v>877</v>
      </c>
      <c r="I93" s="227">
        <v>43066.588483796295</v>
      </c>
      <c r="J93" s="226">
        <v>0</v>
      </c>
      <c r="K93" s="238" t="str">
        <f t="shared" si="26"/>
        <v>4013/4014</v>
      </c>
      <c r="L93" s="246" t="str">
        <f>VLOOKUP(A93,'Trips&amp;Operators'!$C$1:$G$99911,5,FALSE)</f>
        <v>LORI SANTOS</v>
      </c>
      <c r="M93" s="225">
        <f t="shared" si="27"/>
        <v>2.5625000002037268E-2</v>
      </c>
      <c r="N93" s="226">
        <f t="shared" si="44"/>
        <v>36.900000002933666</v>
      </c>
      <c r="O93" s="226"/>
      <c r="P93" s="226"/>
      <c r="Q93" s="229"/>
      <c r="R93" s="243"/>
      <c r="S93" s="250">
        <f t="shared" si="43"/>
        <v>1</v>
      </c>
      <c r="T93" s="243" t="str">
        <f t="shared" si="28"/>
        <v>NorthBound</v>
      </c>
      <c r="U93" s="24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9" t="str">
        <f t="shared" si="29"/>
        <v>https://d0f6bd738d7f1b3e5a7ca70fe4ff75f0.us-east-1.aws.found.io/app/kibana#/discover/Steve-Slow-Train-Analysis-(2080s-and-2083s)?_g=(refreshInterval:(display:Off,pause:!f,section:0,value:0),time:(from:'2017-11-27T12:24:13-0700',mode:absolute,to:'2017-11-27T15:07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3" s="248" t="str">
        <f>IF(AA93&lt;VLOOKUP(AG93,Variables!$AC$3:$AD$8,2,FALSE),"Y","N")</f>
        <v>N</v>
      </c>
      <c r="X93" s="248">
        <f t="shared" si="30"/>
        <v>1</v>
      </c>
      <c r="Y93" s="248">
        <f t="shared" si="31"/>
        <v>5.33E-2</v>
      </c>
      <c r="Z93" s="248">
        <f t="shared" si="32"/>
        <v>23.322700000000001</v>
      </c>
      <c r="AA93" s="248">
        <f t="shared" si="33"/>
        <v>23.269400000000001</v>
      </c>
      <c r="AB93" s="234" t="e">
        <f>VLOOKUP(A93,Enforcements!$C$7:$K$9,8,0)</f>
        <v>#N/A</v>
      </c>
      <c r="AC93" s="233" t="e">
        <f>VLOOKUP(A93,Enforcements!$C$7:$E$9,3,0)</f>
        <v>#N/A</v>
      </c>
      <c r="AD93" s="244">
        <f t="shared" si="34"/>
        <v>179</v>
      </c>
      <c r="AE93" s="236" t="str">
        <f t="shared" si="35"/>
        <v>aws s3 cp s3://rtdc.mdm.uploadarchive.raw/RTDC4014/ "%USERPROFILE%\AppData\Local\Temp\OnboardLogs"\RTDC4014\2017-11-27 --exclude "*" --recursive --include "*20171127*" &amp; "%USERPROFILE%\Documents\GitHub\mrs-test-scripts\Headless Mode &amp; Sideloading\WalkAndUnGZ.bat" "%USERPROFILE%\AppData\Local\Temp\OnboardLogs"\RTDC4014\2017-11-27 &amp; aws s3 cp s3://rtdc.mdm.uploadarchive.raw/RTDC4014/ "%USERPROFILE%\AppData\Local\Temp\OnboardLogs"\RTDC4014\2017-11-28 --exclude "*" --recursive --include "*20171128*" &amp; "%USERPROFILE%\Documents\GitHub\mrs-test-scripts\Headless Mode &amp; Sideloading\WalkAndUnGZ.bat" "%USERPROFILE%\AppData\Local\Temp\OnboardLogs"\RTDC4014\2017-11-28</v>
      </c>
      <c r="AF93" s="235" t="str">
        <f t="shared" si="36"/>
        <v>"C:\Program Files (x86)\AstroGrep\AstroGrep.exe" /e /r /s /spath="%USERPROFILE%\AppData\Local\Temp\OnboardLogs" /stypes="app*4014*20171127*" /stext=" 21:.+((SYSTEM_STATE.+slice.+state.+changed )|(ment ac)|(multiple cpu faults)|(system.+state.+changed )|(\[timeout)|(PRM\|1\|D)|(kpr)|(kdp)|(train st.+moving)|(\|lc)|(penalty))"</v>
      </c>
      <c r="AG93" s="245" t="str">
        <f t="shared" si="37"/>
        <v>EC</v>
      </c>
      <c r="AH93" s="237" t="str">
        <f t="shared" si="38"/>
        <v>"%USERPROFILE%\Documents\GitHub\eaglep3\Utilities\RefineRTDCRunTimes.py" --tripid 179-27 --locoid 4014 --swversion DE.1.0.9.0 --startMP 204:533 --initTime 2017-11-27T13:24:13 --startdatetime 2017-11-27T13:30:31 --delay 67 --endMP 204:233227 --enddatetime 2017-11-27T14:07:25 --enforcementcount 0 &gt;&gt;%USERPROFILE%\Documents\GitHub\eaglep3-reporting\EC\2017-11-27-refined-times.txt</v>
      </c>
      <c r="AI93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{"issue":{"subject":"","project_id":79,"tracker_id":40,"status_id":1,"priority_id":2,"assigned_to_id":338,"start_date":"2017-11-27","description":"","custom_fields":[{"id":1,"name":"Subdivision","value":"EC"},{"id":4,"name":"Milepost","value":"23.3227"},{"id":17,"name":"Train ID","value":"179-27"},{"id":16,"name":"Locomotive ID","value":"4014"},{"id":130,"name":"Impact","value":""},{"id":150,"name":"Time of Event (Mountain Time)","value":"14:07:25"},{"id":151,"name":"Denver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4"/>
      <c r="AK93" s="232"/>
      <c r="AL93" s="232"/>
      <c r="AM93" s="241" t="str">
        <f t="shared" si="40"/>
        <v>start /low /b %USERPROFILE%\Documents\GitHub\eaglep3\Utilities\DownloadLogsFromS3.py --loco 4014 --day 2017-11-27</v>
      </c>
      <c r="AN93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21:07:25"},{"id":29,"name":"Sharepoint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1" t="str">
        <f t="shared" si="42"/>
        <v>https://d0f6bd738d7f1b3e5a7ca70fe4ff75f0.us-east-1.aws.found.io/app/kibana#/discover/Steve-Slow-Train-Analysis-(2080s-and-2083s)?_g=(refreshInterval:(display:Off,pause:!f,section:0,value:0),time:(from:'2017-11-27T12:24:13-0700',mode:absolute,to:'2017-11-27T15:07:25-0700'))&amp;_a=(columns:!('Message%20ID',Summary),filters:!(),index:'emp_*',interval:auto,query:(query_string:(analyze_wildcard:!t,query:'%22rtdc.l.rtdc.4014%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30" t="s">
        <v>726</v>
      </c>
      <c r="B94" s="226">
        <v>4013</v>
      </c>
      <c r="C94" s="228" t="s">
        <v>192</v>
      </c>
      <c r="D94" s="228" t="s">
        <v>569</v>
      </c>
      <c r="E94" s="227">
        <v>43066.597615740742</v>
      </c>
      <c r="F94" s="227">
        <v>43066.602349537039</v>
      </c>
      <c r="G94" s="226">
        <v>64</v>
      </c>
      <c r="H94" s="228" t="s">
        <v>857</v>
      </c>
      <c r="I94" s="227">
        <v>43066.630902777775</v>
      </c>
      <c r="J94" s="226">
        <v>0</v>
      </c>
      <c r="K94" s="238" t="str">
        <f t="shared" si="26"/>
        <v>4013/4014</v>
      </c>
      <c r="L94" s="246" t="str">
        <f>VLOOKUP(A94,'Trips&amp;Operators'!$C$1:$G$99911,5,FALSE)</f>
        <v>LORI SANTOS</v>
      </c>
      <c r="M94" s="225">
        <f t="shared" si="27"/>
        <v>2.8553240736073349E-2</v>
      </c>
      <c r="N94" s="226">
        <f t="shared" si="44"/>
        <v>41.116666659945622</v>
      </c>
      <c r="O94" s="226"/>
      <c r="P94" s="226"/>
      <c r="Q94" s="229"/>
      <c r="R94" s="243"/>
      <c r="S94" s="250">
        <f t="shared" si="43"/>
        <v>1</v>
      </c>
      <c r="T94" s="243" t="str">
        <f t="shared" si="28"/>
        <v>Southbound</v>
      </c>
      <c r="U94" s="24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9" t="str">
        <f t="shared" si="29"/>
        <v>https://d0f6bd738d7f1b3e5a7ca70fe4ff75f0.us-east-1.aws.found.io/app/kibana#/discover/Steve-Slow-Train-Analysis-(2080s-and-2083s)?_g=(refreshInterval:(display:Off,pause:!f,section:0,value:0),time:(from:'2017-11-27T13:20:34-0700',mode:absolute,to:'2017-11-27T16:08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4" s="248" t="str">
        <f>IF(AA94&lt;VLOOKUP(AG94,Variables!$AC$3:$AD$8,2,FALSE),"Y","N")</f>
        <v>N</v>
      </c>
      <c r="X94" s="248">
        <f t="shared" si="30"/>
        <v>1</v>
      </c>
      <c r="Y94" s="248">
        <f t="shared" si="31"/>
        <v>23.292300000000001</v>
      </c>
      <c r="Z94" s="248">
        <f t="shared" si="32"/>
        <v>2.76E-2</v>
      </c>
      <c r="AA94" s="248">
        <f t="shared" si="33"/>
        <v>23.264700000000001</v>
      </c>
      <c r="AB94" s="234" t="e">
        <f>VLOOKUP(A94,Enforcements!$C$7:$K$9,8,0)</f>
        <v>#N/A</v>
      </c>
      <c r="AC94" s="233" t="e">
        <f>VLOOKUP(A94,Enforcements!$C$7:$E$9,3,0)</f>
        <v>#N/A</v>
      </c>
      <c r="AD94" s="244">
        <f t="shared" si="34"/>
        <v>180</v>
      </c>
      <c r="AE94" s="236" t="str">
        <f t="shared" si="35"/>
        <v>aws s3 cp s3://rtdc.mdm.uploadarchive.raw/RTDC4013/ "%USERPROFILE%\AppData\Local\Temp\OnboardLogs"\RTDC4013\2017-11-27 --exclude "*" --recursive --include "*20171127*" &amp; "%USERPROFILE%\Documents\GitHub\mrs-test-scripts\Headless Mode &amp; Sideloading\WalkAndUnGZ.bat" "%USERPROFILE%\AppData\Local\Temp\OnboardLogs"\RTDC4013\2017-11-27 &amp; aws s3 cp s3://rtdc.mdm.uploadarchive.raw/RTDC4013/ "%USERPROFILE%\AppData\Local\Temp\OnboardLogs"\RTDC4013\2017-11-28 --exclude "*" --recursive --include "*20171128*" &amp; "%USERPROFILE%\Documents\GitHub\mrs-test-scripts\Headless Mode &amp; Sideloading\WalkAndUnGZ.bat" "%USERPROFILE%\AppData\Local\Temp\OnboardLogs"\RTDC4013\2017-11-28</v>
      </c>
      <c r="AF94" s="235" t="str">
        <f t="shared" si="36"/>
        <v>"C:\Program Files (x86)\AstroGrep\AstroGrep.exe" /e /r /s /spath="%USERPROFILE%\AppData\Local\Temp\OnboardLogs" /stypes="app*4013*20171127*" /stext=" 22:.+((SYSTEM_STATE.+slice.+state.+changed )|(ment ac)|(multiple cpu faults)|(system.+state.+changed )|(\[timeout)|(PRM\|1\|D)|(kpr)|(kdp)|(train st.+moving)|(\|lc)|(penalty))"</v>
      </c>
      <c r="AG94" s="245" t="str">
        <f t="shared" si="37"/>
        <v>EC</v>
      </c>
      <c r="AH94" s="237" t="str">
        <f t="shared" si="38"/>
        <v>"%USERPROFILE%\Documents\GitHub\eaglep3\Utilities\RefineRTDCRunTimes.py" --tripid 180-27 --locoid 4013 --swversion DE.1.0.9.0 --startMP 204:232923 --initTime 2017-11-27T14:20:34 --startdatetime 2017-11-27T14:27:23 --delay 64 --endMP 204:276 --enddatetime 2017-11-27T15:08:30 --enforcementcount 0 &gt;&gt;%USERPROFILE%\Documents\GitHub\eaglep3-reporting\EC\2017-11-27-refined-times.txt</v>
      </c>
      <c r="AI94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{"issue":{"subject":"","project_id":79,"tracker_id":40,"status_id":1,"priority_id":2,"assigned_to_id":338,"start_date":"2017-11-27","description":"","custom_fields":[{"id":1,"name":"Subdivision","value":"EC"},{"id":4,"name":"Milepost","value":"0.0276"},{"id":17,"name":"Train ID","value":"180-27"},{"id":16,"name":"Locomotive ID","value":"4013"},{"id":130,"name":"Impact","value":""},{"id":150,"name":"Time of Event (Mountain Time)","value":"15:08:30"},{"id":151,"name":"Denver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4"/>
      <c r="AK94" s="232"/>
      <c r="AL94" s="232"/>
      <c r="AM94" s="241" t="str">
        <f t="shared" si="40"/>
        <v>start /low /b %USERPROFILE%\Documents\GitHub\eaglep3\Utilities\DownloadLogsFromS3.py --loco 4013 --day 2017-11-27</v>
      </c>
      <c r="AN94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22:08:30"},{"id":29,"name":"Sharepoint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1" t="str">
        <f t="shared" si="42"/>
        <v>https://d0f6bd738d7f1b3e5a7ca70fe4ff75f0.us-east-1.aws.found.io/app/kibana#/discover/Steve-Slow-Train-Analysis-(2080s-and-2083s)?_g=(refreshInterval:(display:Off,pause:!f,section:0,value:0),time:(from:'2017-11-27T13:20:34-0700',mode:absolute,to:'2017-11-27T16:08:30-0700'))&amp;_a=(columns:!('Message%20ID',Summary),filters:!(),index:'emp_*',interval:auto,query:(query_string:(analyze_wildcard:!t,query:'%22rtdc.l.rtdc.4013%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30" t="s">
        <v>720</v>
      </c>
      <c r="B95" s="226">
        <v>4018</v>
      </c>
      <c r="C95" s="228" t="s">
        <v>192</v>
      </c>
      <c r="D95" s="228" t="s">
        <v>878</v>
      </c>
      <c r="E95" s="227">
        <v>43066.567013888889</v>
      </c>
      <c r="F95" s="227">
        <v>43066.573240740741</v>
      </c>
      <c r="G95" s="226">
        <v>50</v>
      </c>
      <c r="H95" s="228" t="s">
        <v>879</v>
      </c>
      <c r="I95" s="227">
        <v>43066.598240740743</v>
      </c>
      <c r="J95" s="226">
        <v>0</v>
      </c>
      <c r="K95" s="238" t="str">
        <f t="shared" si="26"/>
        <v>4017/4018</v>
      </c>
      <c r="L95" s="246" t="str">
        <f>VLOOKUP(A95,'Trips&amp;Operators'!$C$1:$G$99911,5,FALSE)</f>
        <v>GUZMAN DANNY</v>
      </c>
      <c r="M95" s="225">
        <f t="shared" si="27"/>
        <v>2.5000000001455192E-2</v>
      </c>
      <c r="N95" s="226">
        <f t="shared" si="44"/>
        <v>36.000000002095476</v>
      </c>
      <c r="O95" s="226"/>
      <c r="P95" s="226"/>
      <c r="Q95" s="229"/>
      <c r="R95" s="243"/>
      <c r="S95" s="250">
        <f t="shared" si="43"/>
        <v>1</v>
      </c>
      <c r="T95" s="243" t="str">
        <f t="shared" si="28"/>
        <v>NorthBound</v>
      </c>
      <c r="U95" s="24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9" t="str">
        <f t="shared" si="29"/>
        <v>https://d0f6bd738d7f1b3e5a7ca70fe4ff75f0.us-east-1.aws.found.io/app/kibana#/discover/Steve-Slow-Train-Analysis-(2080s-and-2083s)?_g=(refreshInterval:(display:Off,pause:!f,section:0,value:0),time:(from:'2017-11-27T12:36:30-0700',mode:absolute,to:'2017-11-27T15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5" s="248" t="str">
        <f>IF(AA95&lt;VLOOKUP(AG95,Variables!$AC$3:$AD$8,2,FALSE),"Y","N")</f>
        <v>N</v>
      </c>
      <c r="X95" s="248">
        <f t="shared" si="30"/>
        <v>1</v>
      </c>
      <c r="Y95" s="248">
        <f t="shared" si="31"/>
        <v>5.2900000000000003E-2</v>
      </c>
      <c r="Z95" s="248">
        <f t="shared" si="32"/>
        <v>23.319900000000001</v>
      </c>
      <c r="AA95" s="248">
        <f t="shared" si="33"/>
        <v>23.266999999999999</v>
      </c>
      <c r="AB95" s="234" t="e">
        <f>VLOOKUP(A95,Enforcements!$C$7:$K$9,8,0)</f>
        <v>#N/A</v>
      </c>
      <c r="AC95" s="233" t="e">
        <f>VLOOKUP(A95,Enforcements!$C$7:$E$9,3,0)</f>
        <v>#N/A</v>
      </c>
      <c r="AD95" s="244">
        <f t="shared" si="34"/>
        <v>181</v>
      </c>
      <c r="AE95" s="236" t="str">
        <f t="shared" si="35"/>
        <v>aws s3 cp s3://rtdc.mdm.uploadarchive.raw/RTDC4018/ "%USERPROFILE%\AppData\Local\Temp\OnboardLogs"\RTDC4018\2017-11-27 --exclude "*" --recursive --include "*20171127*" &amp; "%USERPROFILE%\Documents\GitHub\mrs-test-scripts\Headless Mode &amp; Sideloading\WalkAndUnGZ.bat" "%USERPROFILE%\AppData\Local\Temp\OnboardLogs"\RTDC4018\2017-11-27 &amp; aws s3 cp s3://rtdc.mdm.uploadarchive.raw/RTDC4018/ "%USERPROFILE%\AppData\Local\Temp\OnboardLogs"\RTDC4018\2017-11-28 --exclude "*" --recursive --include "*20171128*" &amp; "%USERPROFILE%\Documents\GitHub\mrs-test-scripts\Headless Mode &amp; Sideloading\WalkAndUnGZ.bat" "%USERPROFILE%\AppData\Local\Temp\OnboardLogs"\RTDC4018\2017-11-28</v>
      </c>
      <c r="AF95" s="235" t="str">
        <f t="shared" si="36"/>
        <v>"C:\Program Files (x86)\AstroGrep\AstroGrep.exe" /e /r /s /spath="%USERPROFILE%\AppData\Local\Temp\OnboardLogs" /stypes="app*4018*20171127*" /stext=" 21:.+((SYSTEM_STATE.+slice.+state.+changed )|(ment ac)|(multiple cpu faults)|(system.+state.+changed )|(\[timeout)|(PRM\|1\|D)|(kpr)|(kdp)|(train st.+moving)|(\|lc)|(penalty))"</v>
      </c>
      <c r="AG95" s="245" t="str">
        <f t="shared" si="37"/>
        <v>EC</v>
      </c>
      <c r="AH95" s="237" t="str">
        <f t="shared" si="38"/>
        <v>"%USERPROFILE%\Documents\GitHub\eaglep3\Utilities\RefineRTDCRunTimes.py" --tripid 181-27 --locoid 4018 --swversion DE.1.0.9.0 --startMP 204:529 --initTime 2017-11-27T13:36:30 --startdatetime 2017-11-27T13:45:28 --delay 50 --endMP 204:233199 --enddatetime 2017-11-27T14:21:28 --enforcementcount 0 &gt;&gt;%USERPROFILE%\Documents\GitHub\eaglep3-reporting\EC\2017-11-27-refined-times.txt</v>
      </c>
      <c r="AI95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{"issue":{"subject":"","project_id":79,"tracker_id":40,"status_id":1,"priority_id":2,"assigned_to_id":338,"start_date":"2017-11-27","description":"","custom_fields":[{"id":1,"name":"Subdivision","value":"EC"},{"id":4,"name":"Milepost","value":"23.3199"},{"id":17,"name":"Train ID","value":"181-27"},{"id":16,"name":"Locomotive ID","value":"4018"},{"id":130,"name":"Impact","value":""},{"id":150,"name":"Time of Event (Mountain Time)","value":"14:21:28"},{"id":151,"name":"Denver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4"/>
      <c r="AK95" s="232"/>
      <c r="AL95" s="232"/>
      <c r="AM95" s="241" t="str">
        <f t="shared" si="40"/>
        <v>start /low /b %USERPROFILE%\Documents\GitHub\eaglep3\Utilities\DownloadLogsFromS3.py --loco 4018 --day 2017-11-27</v>
      </c>
      <c r="AN95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21:21:28"},{"id":29,"name":"Sharepoint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1" t="str">
        <f t="shared" si="42"/>
        <v>https://d0f6bd738d7f1b3e5a7ca70fe4ff75f0.us-east-1.aws.found.io/app/kibana#/discover/Steve-Slow-Train-Analysis-(2080s-and-2083s)?_g=(refreshInterval:(display:Off,pause:!f,section:0,value:0),time:(from:'2017-11-27T12:36:30-0700',mode:absolute,to:'2017-11-27T15:21:28-0700'))&amp;_a=(columns:!('Message%20ID',Summary),filters:!(),index:'emp_*',interval:auto,query:(query_string:(analyze_wildcard:!t,query:'%22rtdc.l.rtdc.4018%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30" t="s">
        <v>727</v>
      </c>
      <c r="B96" s="226">
        <v>4017</v>
      </c>
      <c r="C96" s="228" t="s">
        <v>192</v>
      </c>
      <c r="D96" s="228" t="s">
        <v>539</v>
      </c>
      <c r="E96" s="227">
        <v>43066.600266203706</v>
      </c>
      <c r="F96" s="227">
        <v>43066.61273148148</v>
      </c>
      <c r="G96" s="226">
        <v>49</v>
      </c>
      <c r="H96" s="228" t="s">
        <v>570</v>
      </c>
      <c r="I96" s="227">
        <v>43066.638553240744</v>
      </c>
      <c r="J96" s="226">
        <v>0</v>
      </c>
      <c r="K96" s="238" t="str">
        <f t="shared" si="26"/>
        <v>4017/4018</v>
      </c>
      <c r="L96" s="246" t="str">
        <f>VLOOKUP(A96,'Trips&amp;Operators'!$C$1:$G$99911,5,FALSE)</f>
        <v>GUZMAN DANNY</v>
      </c>
      <c r="M96" s="225">
        <f t="shared" si="27"/>
        <v>2.5821759263635613E-2</v>
      </c>
      <c r="N96" s="226">
        <f t="shared" si="44"/>
        <v>37.183333339635283</v>
      </c>
      <c r="O96" s="226"/>
      <c r="P96" s="226"/>
      <c r="Q96" s="229"/>
      <c r="R96" s="243"/>
      <c r="S96" s="250">
        <f t="shared" si="43"/>
        <v>1</v>
      </c>
      <c r="T96" s="243" t="str">
        <f t="shared" si="28"/>
        <v>Southbound</v>
      </c>
      <c r="U96" s="24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9" t="str">
        <f t="shared" si="29"/>
        <v>https://d0f6bd738d7f1b3e5a7ca70fe4ff75f0.us-east-1.aws.found.io/app/kibana#/discover/Steve-Slow-Train-Analysis-(2080s-and-2083s)?_g=(refreshInterval:(display:Off,pause:!f,section:0,value:0),time:(from:'2017-11-27T13:24:23-0700',mode:absolute,to:'2017-11-27T16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6" s="248" t="str">
        <f>IF(AA96&lt;VLOOKUP(AG96,Variables!$AC$3:$AD$8,2,FALSE),"Y","N")</f>
        <v>N</v>
      </c>
      <c r="X96" s="248">
        <f t="shared" si="30"/>
        <v>1</v>
      </c>
      <c r="Y96" s="248">
        <f t="shared" si="31"/>
        <v>23.286899999999999</v>
      </c>
      <c r="Z96" s="248">
        <f t="shared" si="32"/>
        <v>2.5999999999999999E-2</v>
      </c>
      <c r="AA96" s="248">
        <f t="shared" si="33"/>
        <v>23.260899999999999</v>
      </c>
      <c r="AB96" s="234" t="e">
        <f>VLOOKUP(A96,Enforcements!$C$7:$K$9,8,0)</f>
        <v>#N/A</v>
      </c>
      <c r="AC96" s="233" t="e">
        <f>VLOOKUP(A96,Enforcements!$C$7:$E$9,3,0)</f>
        <v>#N/A</v>
      </c>
      <c r="AD96" s="244">
        <f t="shared" si="34"/>
        <v>182</v>
      </c>
      <c r="AE96" s="236" t="str">
        <f t="shared" si="35"/>
        <v>aws s3 cp s3://rtdc.mdm.uploadarchive.raw/RTDC4017/ "%USERPROFILE%\AppData\Local\Temp\OnboardLogs"\RTDC4017\2017-11-27 --exclude "*" --recursive --include "*20171127*" &amp; "%USERPROFILE%\Documents\GitHub\mrs-test-scripts\Headless Mode &amp; Sideloading\WalkAndUnGZ.bat" "%USERPROFILE%\AppData\Local\Temp\OnboardLogs"\RTDC4017\2017-11-27 &amp; aws s3 cp s3://rtdc.mdm.uploadarchive.raw/RTDC4017/ "%USERPROFILE%\AppData\Local\Temp\OnboardLogs"\RTDC4017\2017-11-28 --exclude "*" --recursive --include "*20171128*" &amp; "%USERPROFILE%\Documents\GitHub\mrs-test-scripts\Headless Mode &amp; Sideloading\WalkAndUnGZ.bat" "%USERPROFILE%\AppData\Local\Temp\OnboardLogs"\RTDC4017\2017-11-28</v>
      </c>
      <c r="AF96" s="235" t="str">
        <f t="shared" si="36"/>
        <v>"C:\Program Files (x86)\AstroGrep\AstroGrep.exe" /e /r /s /spath="%USERPROFILE%\AppData\Local\Temp\OnboardLogs" /stypes="app*4017*20171127*" /stext=" 22:.+((SYSTEM_STATE.+slice.+state.+changed )|(ment ac)|(multiple cpu faults)|(system.+state.+changed )|(\[timeout)|(PRM\|1\|D)|(kpr)|(kdp)|(train st.+moving)|(\|lc)|(penalty))"</v>
      </c>
      <c r="AG96" s="245" t="str">
        <f t="shared" si="37"/>
        <v>EC</v>
      </c>
      <c r="AH96" s="237" t="str">
        <f t="shared" si="38"/>
        <v>"%USERPROFILE%\Documents\GitHub\eaglep3\Utilities\RefineRTDCRunTimes.py" --tripid 182-27 --locoid 4017 --swversion DE.1.0.9.0 --startMP 204:232869 --initTime 2017-11-27T14:24:23 --startdatetime 2017-11-27T14:42:20 --delay 49 --endMP 204:260 --enddatetime 2017-11-27T15:19:31 --enforcementcount 0 &gt;&gt;%USERPROFILE%\Documents\GitHub\eaglep3-reporting\EC\2017-11-27-refined-times.txt</v>
      </c>
      <c r="AI96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{"issue":{"subject":"","project_id":79,"tracker_id":40,"status_id":1,"priority_id":2,"assigned_to_id":338,"start_date":"2017-11-27","description":"","custom_fields":[{"id":1,"name":"Subdivision","value":"EC"},{"id":4,"name":"Milepost","value":"0.026"},{"id":17,"name":"Train ID","value":"182-27"},{"id":16,"name":"Locomotive ID","value":"4017"},{"id":130,"name":"Impact","value":""},{"id":150,"name":"Time of Event (Mountain Time)","value":"15:19:31"},{"id":151,"name":"Denver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4"/>
      <c r="AK96" s="232"/>
      <c r="AL96" s="232"/>
      <c r="AM96" s="241" t="str">
        <f t="shared" si="40"/>
        <v>start /low /b %USERPROFILE%\Documents\GitHub\eaglep3\Utilities\DownloadLogsFromS3.py --loco 4017 --day 2017-11-27</v>
      </c>
      <c r="AN96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22:19:31"},{"id":29,"name":"Sharepoint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1" t="str">
        <f t="shared" si="42"/>
        <v>https://d0f6bd738d7f1b3e5a7ca70fe4ff75f0.us-east-1.aws.found.io/app/kibana#/discover/Steve-Slow-Train-Analysis-(2080s-and-2083s)?_g=(refreshInterval:(display:Off,pause:!f,section:0,value:0),time:(from:'2017-11-27T13:24:23-0700',mode:absolute,to:'2017-11-27T16:19:31-0700'))&amp;_a=(columns:!('Message%20ID',Summary),filters:!(),index:'emp_*',interval:auto,query:(query_string:(analyze_wildcard:!t,query:'%22rtdc.l.rtdc.4017%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30" t="s">
        <v>722</v>
      </c>
      <c r="B97" s="226">
        <v>4064</v>
      </c>
      <c r="C97" s="228" t="s">
        <v>192</v>
      </c>
      <c r="D97" s="228" t="s">
        <v>538</v>
      </c>
      <c r="E97" s="227">
        <v>43066.579745370371</v>
      </c>
      <c r="F97" s="227">
        <v>43066.583692129629</v>
      </c>
      <c r="G97" s="226">
        <v>79</v>
      </c>
      <c r="H97" s="228" t="s">
        <v>838</v>
      </c>
      <c r="I97" s="227">
        <v>43066.607881944445</v>
      </c>
      <c r="J97" s="226">
        <v>0</v>
      </c>
      <c r="K97" s="238" t="str">
        <f t="shared" si="26"/>
        <v>4063/4064</v>
      </c>
      <c r="L97" s="246" t="str">
        <f>VLOOKUP(A97,'Trips&amp;Operators'!$C$1:$G$99911,5,FALSE)</f>
        <v>SAFIEF AEIMEN</v>
      </c>
      <c r="M97" s="225">
        <f t="shared" si="27"/>
        <v>2.4189814816054422E-2</v>
      </c>
      <c r="N97" s="226">
        <f t="shared" si="44"/>
        <v>34.833333335118368</v>
      </c>
      <c r="O97" s="226"/>
      <c r="P97" s="226"/>
      <c r="Q97" s="229"/>
      <c r="R97" s="243"/>
      <c r="S97" s="250">
        <f t="shared" si="43"/>
        <v>1</v>
      </c>
      <c r="T97" s="243" t="str">
        <f t="shared" si="28"/>
        <v>NorthBound</v>
      </c>
      <c r="U97" s="24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9" t="str">
        <f t="shared" si="29"/>
        <v>https://d0f6bd738d7f1b3e5a7ca70fe4ff75f0.us-east-1.aws.found.io/app/kibana#/discover/Steve-Slow-Train-Analysis-(2080s-and-2083s)?_g=(refreshInterval:(display:Off,pause:!f,section:0,value:0),time:(from:'2017-11-27T12:54:50-0700',mode:absolute,to:'2017-11-27T15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7" s="248" t="str">
        <f>IF(AA97&lt;VLOOKUP(AG97,Variables!$AC$3:$AD$8,2,FALSE),"Y","N")</f>
        <v>N</v>
      </c>
      <c r="X97" s="248">
        <f t="shared" si="30"/>
        <v>1</v>
      </c>
      <c r="Y97" s="248">
        <f t="shared" si="31"/>
        <v>5.1299999999999998E-2</v>
      </c>
      <c r="Z97" s="248">
        <f t="shared" si="32"/>
        <v>23.326799999999999</v>
      </c>
      <c r="AA97" s="248">
        <f t="shared" si="33"/>
        <v>23.275499999999997</v>
      </c>
      <c r="AB97" s="234" t="e">
        <f>VLOOKUP(A97,Enforcements!$C$7:$K$9,8,0)</f>
        <v>#N/A</v>
      </c>
      <c r="AC97" s="233" t="e">
        <f>VLOOKUP(A97,Enforcements!$C$7:$E$9,3,0)</f>
        <v>#N/A</v>
      </c>
      <c r="AD97" s="244">
        <f t="shared" si="34"/>
        <v>183</v>
      </c>
      <c r="AE97" s="236" t="str">
        <f t="shared" si="35"/>
        <v>aws s3 cp s3://rtdc.mdm.uploadarchive.raw/RTDC4064/ "%USERPROFILE%\AppData\Local\Temp\OnboardLogs"\RTDC4064\2017-11-27 --exclude "*" --recursive --include "*20171127*" &amp; "%USERPROFILE%\Documents\GitHub\mrs-test-scripts\Headless Mode &amp; Sideloading\WalkAndUnGZ.bat" "%USERPROFILE%\AppData\Local\Temp\OnboardLogs"\RTDC4064\2017-11-27 &amp; aws s3 cp s3://rtdc.mdm.uploadarchive.raw/RTDC4064/ "%USERPROFILE%\AppData\Local\Temp\OnboardLogs"\RTDC4064\2017-11-28 --exclude "*" --recursive --include "*20171128*" &amp; "%USERPROFILE%\Documents\GitHub\mrs-test-scripts\Headless Mode &amp; Sideloading\WalkAndUnGZ.bat" "%USERPROFILE%\AppData\Local\Temp\OnboardLogs"\RTDC4064\2017-11-28</v>
      </c>
      <c r="AF97" s="235" t="str">
        <f t="shared" si="36"/>
        <v>"C:\Program Files (x86)\AstroGrep\AstroGrep.exe" /e /r /s /spath="%USERPROFILE%\AppData\Local\Temp\OnboardLogs" /stypes="app*4064*20171127*" /stext=" 21:.+((SYSTEM_STATE.+slice.+state.+changed )|(ment ac)|(multiple cpu faults)|(system.+state.+changed )|(\[timeout)|(PRM\|1\|D)|(kpr)|(kdp)|(train st.+moving)|(\|lc)|(penalty))"</v>
      </c>
      <c r="AG97" s="245" t="str">
        <f t="shared" si="37"/>
        <v>EC</v>
      </c>
      <c r="AH97" s="237" t="str">
        <f t="shared" si="38"/>
        <v>"%USERPROFILE%\Documents\GitHub\eaglep3\Utilities\RefineRTDCRunTimes.py" --tripid 183-27 --locoid 4064 --swversion DE.1.0.9.0 --startMP 204:513 --initTime 2017-11-27T13:54:50 --startdatetime 2017-11-27T14:00:31 --delay 79 --endMP 204:233268 --enddatetime 2017-11-27T14:35:21 --enforcementcount 0 &gt;&gt;%USERPROFILE%\Documents\GitHub\eaglep3-reporting\EC\2017-11-27-refined-times.txt</v>
      </c>
      <c r="AI97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{"issue":{"subject":"","project_id":79,"tracker_id":40,"status_id":1,"priority_id":2,"assigned_to_id":338,"start_date":"2017-11-27","description":"","custom_fields":[{"id":1,"name":"Subdivision","value":"EC"},{"id":4,"name":"Milepost","value":"23.3268"},{"id":17,"name":"Train ID","value":"183-27"},{"id":16,"name":"Locomotive ID","value":"4064"},{"id":130,"name":"Impact","value":""},{"id":150,"name":"Time of Event (Mountain Time)","value":"14:35:21"},{"id":151,"name":"Denver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4"/>
      <c r="AK97" s="232"/>
      <c r="AL97" s="232"/>
      <c r="AM97" s="241" t="str">
        <f t="shared" si="40"/>
        <v>start /low /b %USERPROFILE%\Documents\GitHub\eaglep3\Utilities\DownloadLogsFromS3.py --loco 4064 --day 2017-11-27</v>
      </c>
      <c r="AN97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21:35:21"},{"id":29,"name":"Sharepoint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1" t="str">
        <f t="shared" si="42"/>
        <v>https://d0f6bd738d7f1b3e5a7ca70fe4ff75f0.us-east-1.aws.found.io/app/kibana#/discover/Steve-Slow-Train-Analysis-(2080s-and-2083s)?_g=(refreshInterval:(display:Off,pause:!f,section:0,value:0),time:(from:'2017-11-27T12:54:50-0700',mode:absolute,to:'2017-11-27T15:35:21-0700'))&amp;_a=(columns:!('Message%20ID',Summary),filters:!(),index:'emp_*',interval:auto,query:(query_string:(analyze_wildcard:!t,query:'%22rtdc.l.rtdc.4064%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30" t="s">
        <v>730</v>
      </c>
      <c r="B98" s="226">
        <v>4063</v>
      </c>
      <c r="C98" s="228" t="s">
        <v>192</v>
      </c>
      <c r="D98" s="228" t="s">
        <v>469</v>
      </c>
      <c r="E98" s="227">
        <v>43066.609791666669</v>
      </c>
      <c r="F98" s="227">
        <v>43066.623101851852</v>
      </c>
      <c r="G98" s="226">
        <v>64</v>
      </c>
      <c r="H98" s="228" t="s">
        <v>440</v>
      </c>
      <c r="I98" s="227">
        <v>43066.648842592593</v>
      </c>
      <c r="J98" s="226">
        <v>0</v>
      </c>
      <c r="K98" s="238" t="str">
        <f t="shared" si="26"/>
        <v>4063/4064</v>
      </c>
      <c r="L98" s="246" t="str">
        <f>VLOOKUP(A98,'Trips&amp;Operators'!$C$1:$G$99911,5,FALSE)</f>
        <v>SAFIEF AEIMEN</v>
      </c>
      <c r="M98" s="225">
        <f t="shared" si="27"/>
        <v>2.5740740740729962E-2</v>
      </c>
      <c r="N98" s="226">
        <f t="shared" si="44"/>
        <v>37.066666666651145</v>
      </c>
      <c r="O98" s="226"/>
      <c r="P98" s="226"/>
      <c r="Q98" s="229"/>
      <c r="R98" s="243"/>
      <c r="S98" s="250">
        <f t="shared" si="43"/>
        <v>1</v>
      </c>
      <c r="T98" s="243" t="str">
        <f t="shared" si="28"/>
        <v>Southbound</v>
      </c>
      <c r="U98" s="24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9" t="str">
        <f t="shared" si="29"/>
        <v>https://d0f6bd738d7f1b3e5a7ca70fe4ff75f0.us-east-1.aws.found.io/app/kibana#/discover/Steve-Slow-Train-Analysis-(2080s-and-2083s)?_g=(refreshInterval:(display:Off,pause:!f,section:0,value:0),time:(from:'2017-11-27T13:38:06-0700',mode:absolute,to:'2017-11-27T16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8" s="248" t="str">
        <f>IF(AA98&lt;VLOOKUP(AG98,Variables!$AC$3:$AD$8,2,FALSE),"Y","N")</f>
        <v>N</v>
      </c>
      <c r="X98" s="248">
        <f t="shared" si="30"/>
        <v>1</v>
      </c>
      <c r="Y98" s="248">
        <f t="shared" si="31"/>
        <v>23.293600000000001</v>
      </c>
      <c r="Z98" s="248">
        <f t="shared" si="32"/>
        <v>1.9599999999999999E-2</v>
      </c>
      <c r="AA98" s="248">
        <f t="shared" si="33"/>
        <v>23.274000000000001</v>
      </c>
      <c r="AB98" s="234" t="e">
        <f>VLOOKUP(A98,Enforcements!$C$7:$K$9,8,0)</f>
        <v>#N/A</v>
      </c>
      <c r="AC98" s="233" t="e">
        <f>VLOOKUP(A98,Enforcements!$C$7:$E$9,3,0)</f>
        <v>#N/A</v>
      </c>
      <c r="AD98" s="244">
        <f t="shared" si="34"/>
        <v>184</v>
      </c>
      <c r="AE98" s="236" t="str">
        <f t="shared" si="35"/>
        <v>aws s3 cp s3://rtdc.mdm.uploadarchive.raw/RTDC4063/ "%USERPROFILE%\AppData\Local\Temp\OnboardLogs"\RTDC4063\2017-11-27 --exclude "*" --recursive --include "*20171127*" &amp; "%USERPROFILE%\Documents\GitHub\mrs-test-scripts\Headless Mode &amp; Sideloading\WalkAndUnGZ.bat" "%USERPROFILE%\AppData\Local\Temp\OnboardLogs"\RTDC4063\2017-11-27 &amp; aws s3 cp s3://rtdc.mdm.uploadarchive.raw/RTDC4063/ "%USERPROFILE%\AppData\Local\Temp\OnboardLogs"\RTDC4063\2017-11-28 --exclude "*" --recursive --include "*20171128*" &amp; "%USERPROFILE%\Documents\GitHub\mrs-test-scripts\Headless Mode &amp; Sideloading\WalkAndUnGZ.bat" "%USERPROFILE%\AppData\Local\Temp\OnboardLogs"\RTDC4063\2017-11-28</v>
      </c>
      <c r="AF98" s="235" t="str">
        <f t="shared" si="36"/>
        <v>"C:\Program Files (x86)\AstroGrep\AstroGrep.exe" /e /r /s /spath="%USERPROFILE%\AppData\Local\Temp\OnboardLogs" /stypes="app*4063*20171127*" /stext=" 22:.+((SYSTEM_STATE.+slice.+state.+changed )|(ment ac)|(multiple cpu faults)|(system.+state.+changed )|(\[timeout)|(PRM\|1\|D)|(kpr)|(kdp)|(train st.+moving)|(\|lc)|(penalty))"</v>
      </c>
      <c r="AG98" s="245" t="str">
        <f t="shared" si="37"/>
        <v>EC</v>
      </c>
      <c r="AH98" s="237" t="str">
        <f t="shared" si="38"/>
        <v>"%USERPROFILE%\Documents\GitHub\eaglep3\Utilities\RefineRTDCRunTimes.py" --tripid 184-27 --locoid 4063 --swversion DE.1.0.9.0 --startMP 204:232936 --initTime 2017-11-27T14:38:06 --startdatetime 2017-11-27T14:57:16 --delay 64 --endMP 204:196 --enddatetime 2017-11-27T15:34:20 --enforcementcount 0 &gt;&gt;%USERPROFILE%\Documents\GitHub\eaglep3-reporting\EC\2017-11-27-refined-times.txt</v>
      </c>
      <c r="AI98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{"issue":{"subject":"","project_id":79,"tracker_id":40,"status_id":1,"priority_id":2,"assigned_to_id":338,"start_date":"2017-11-27","description":"","custom_fields":[{"id":1,"name":"Subdivision","value":"EC"},{"id":4,"name":"Milepost","value":"0.0196"},{"id":17,"name":"Train ID","value":"184-27"},{"id":16,"name":"Locomotive ID","value":"4063"},{"id":130,"name":"Impact","value":""},{"id":150,"name":"Time of Event (Mountain Time)","value":"15:34:20"},{"id":151,"name":"Denver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4"/>
      <c r="AK98" s="232"/>
      <c r="AL98" s="232"/>
      <c r="AM98" s="241" t="str">
        <f t="shared" si="40"/>
        <v>start /low /b %USERPROFILE%\Documents\GitHub\eaglep3\Utilities\DownloadLogsFromS3.py --loco 4063 --day 2017-11-27</v>
      </c>
      <c r="AN98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22:34:20"},{"id":29,"name":"Sharepoint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1" t="str">
        <f t="shared" si="42"/>
        <v>https://d0f6bd738d7f1b3e5a7ca70fe4ff75f0.us-east-1.aws.found.io/app/kibana#/discover/Steve-Slow-Train-Analysis-(2080s-and-2083s)?_g=(refreshInterval:(display:Off,pause:!f,section:0,value:0),time:(from:'2017-11-27T13:38:06-0700',mode:absolute,to:'2017-11-27T16:34:20-0700'))&amp;_a=(columns:!('Message%20ID',Summary),filters:!(),index:'emp_*',interval:auto,query:(query_string:(analyze_wildcard:!t,query:'%22rtdc.l.rtdc.4063%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30" t="s">
        <v>725</v>
      </c>
      <c r="B99" s="226">
        <v>4022</v>
      </c>
      <c r="C99" s="228" t="s">
        <v>192</v>
      </c>
      <c r="D99" s="228" t="s">
        <v>873</v>
      </c>
      <c r="E99" s="227">
        <v>43066.592118055552</v>
      </c>
      <c r="F99" s="227">
        <v>43066.594039351854</v>
      </c>
      <c r="G99" s="226">
        <v>52</v>
      </c>
      <c r="H99" s="228" t="s">
        <v>495</v>
      </c>
      <c r="I99" s="227">
        <v>43066.619768518518</v>
      </c>
      <c r="J99" s="226">
        <v>0</v>
      </c>
      <c r="K99" s="238" t="str">
        <f t="shared" si="26"/>
        <v>4021/4022</v>
      </c>
      <c r="L99" s="246" t="str">
        <f>VLOOKUP(A99,'Trips&amp;Operators'!$C$1:$G$99911,5,FALSE)</f>
        <v>BADERTSCHER DIANE</v>
      </c>
      <c r="M99" s="225">
        <f t="shared" si="27"/>
        <v>2.5729166663950309E-2</v>
      </c>
      <c r="N99" s="226">
        <f t="shared" si="44"/>
        <v>37.049999996088445</v>
      </c>
      <c r="O99" s="226"/>
      <c r="P99" s="226"/>
      <c r="Q99" s="229"/>
      <c r="R99" s="243"/>
      <c r="S99" s="250">
        <f t="shared" si="43"/>
        <v>1</v>
      </c>
      <c r="T99" s="243" t="str">
        <f t="shared" si="28"/>
        <v>NorthBound</v>
      </c>
      <c r="U99" s="24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9" t="str">
        <f t="shared" si="29"/>
        <v>https://d0f6bd738d7f1b3e5a7ca70fe4ff75f0.us-east-1.aws.found.io/app/kibana#/discover/Steve-Slow-Train-Analysis-(2080s-and-2083s)?_g=(refreshInterval:(display:Off,pause:!f,section:0,value:0),time:(from:'2017-11-27T13:12:39-0700',mode:absolute,to:'2017-11-27T15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9" s="248" t="str">
        <f>IF(AA99&lt;VLOOKUP(AG99,Variables!$AC$3:$AD$8,2,FALSE),"Y","N")</f>
        <v>N</v>
      </c>
      <c r="X99" s="248">
        <f t="shared" si="30"/>
        <v>1</v>
      </c>
      <c r="Y99" s="248">
        <f t="shared" si="31"/>
        <v>5.0599999999999999E-2</v>
      </c>
      <c r="Z99" s="248">
        <f t="shared" si="32"/>
        <v>23.3264</v>
      </c>
      <c r="AA99" s="248">
        <f t="shared" si="33"/>
        <v>23.2758</v>
      </c>
      <c r="AB99" s="234" t="e">
        <f>VLOOKUP(A99,Enforcements!$C$7:$K$9,8,0)</f>
        <v>#N/A</v>
      </c>
      <c r="AC99" s="233" t="e">
        <f>VLOOKUP(A99,Enforcements!$C$7:$E$9,3,0)</f>
        <v>#N/A</v>
      </c>
      <c r="AD99" s="244">
        <f t="shared" si="34"/>
        <v>185</v>
      </c>
      <c r="AE99" s="236" t="str">
        <f t="shared" si="35"/>
        <v>aws s3 cp s3://rtdc.mdm.uploadarchive.raw/RTDC4022/ "%USERPROFILE%\AppData\Local\Temp\OnboardLogs"\RTDC4022\2017-11-27 --exclude "*" --recursive --include "*20171127*" &amp; "%USERPROFILE%\Documents\GitHub\mrs-test-scripts\Headless Mode &amp; Sideloading\WalkAndUnGZ.bat" "%USERPROFILE%\AppData\Local\Temp\OnboardLogs"\RTDC4022\2017-11-27 &amp; aws s3 cp s3://rtdc.mdm.uploadarchive.raw/RTDC4022/ "%USERPROFILE%\AppData\Local\Temp\OnboardLogs"\RTDC4022\2017-11-28 --exclude "*" --recursive --include "*20171128*" &amp; "%USERPROFILE%\Documents\GitHub\mrs-test-scripts\Headless Mode &amp; Sideloading\WalkAndUnGZ.bat" "%USERPROFILE%\AppData\Local\Temp\OnboardLogs"\RTDC4022\2017-11-28</v>
      </c>
      <c r="AF99" s="235" t="str">
        <f t="shared" si="36"/>
        <v>"C:\Program Files (x86)\AstroGrep\AstroGrep.exe" /e /r /s /spath="%USERPROFILE%\AppData\Local\Temp\OnboardLogs" /stypes="app*4022*20171127*" /stext=" 21:.+((SYSTEM_STATE.+slice.+state.+changed )|(ment ac)|(multiple cpu faults)|(system.+state.+changed )|(\[timeout)|(PRM\|1\|D)|(kpr)|(kdp)|(train st.+moving)|(\|lc)|(penalty))"</v>
      </c>
      <c r="AG99" s="245" t="str">
        <f t="shared" si="37"/>
        <v>EC</v>
      </c>
      <c r="AH99" s="237" t="str">
        <f t="shared" si="38"/>
        <v>"%USERPROFILE%\Documents\GitHub\eaglep3\Utilities\RefineRTDCRunTimes.py" --tripid 185-27 --locoid 4022 --swversion DE.1.0.9.0 --startMP 204:506 --initTime 2017-11-27T14:12:39 --startdatetime 2017-11-27T14:15:25 --delay 52 --endMP 204:233264 --enddatetime 2017-11-27T14:52:28 --enforcementcount 0 &gt;&gt;%USERPROFILE%\Documents\GitHub\eaglep3-reporting\EC\2017-11-27-refined-times.txt</v>
      </c>
      <c r="AI99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{"issue":{"subject":"","project_id":79,"tracker_id":40,"status_id":1,"priority_id":2,"assigned_to_id":338,"start_date":"2017-11-27","description":"","custom_fields":[{"id":1,"name":"Subdivision","value":"EC"},{"id":4,"name":"Milepost","value":"23.3264"},{"id":17,"name":"Train ID","value":"185-27"},{"id":16,"name":"Locomotive ID","value":"4022"},{"id":130,"name":"Impact","value":""},{"id":150,"name":"Time of Event (Mountain Time)","value":"14:52:28"},{"id":151,"name":"Denver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4"/>
      <c r="AK99" s="232"/>
      <c r="AL99" s="232"/>
      <c r="AM99" s="241" t="str">
        <f t="shared" si="40"/>
        <v>start /low /b %USERPROFILE%\Documents\GitHub\eaglep3\Utilities\DownloadLogsFromS3.py --loco 4022 --day 2017-11-27</v>
      </c>
      <c r="AN99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21:52:28"},{"id":29,"name":"Sharepoint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1" t="str">
        <f t="shared" si="42"/>
        <v>https://d0f6bd738d7f1b3e5a7ca70fe4ff75f0.us-east-1.aws.found.io/app/kibana#/discover/Steve-Slow-Train-Analysis-(2080s-and-2083s)?_g=(refreshInterval:(display:Off,pause:!f,section:0,value:0),time:(from:'2017-11-27T13:12:39-0700',mode:absolute,to:'2017-11-27T15:52:28-0700'))&amp;_a=(columns:!('Message%20ID',Summary),filters:!(),index:'emp_*',interval:auto,query:(query_string:(analyze_wildcard:!t,query:'%22rtdc.l.rtdc.4022%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30" t="s">
        <v>733</v>
      </c>
      <c r="B100" s="226">
        <v>4021</v>
      </c>
      <c r="C100" s="228" t="s">
        <v>192</v>
      </c>
      <c r="D100" s="228" t="s">
        <v>880</v>
      </c>
      <c r="E100" s="227">
        <v>43066.627847222226</v>
      </c>
      <c r="F100" s="227">
        <v>43066.63349537037</v>
      </c>
      <c r="G100" s="226">
        <v>86</v>
      </c>
      <c r="H100" s="228" t="s">
        <v>442</v>
      </c>
      <c r="I100" s="227">
        <v>43066.66097222222</v>
      </c>
      <c r="J100" s="226">
        <v>0</v>
      </c>
      <c r="K100" s="238" t="str">
        <f t="shared" si="26"/>
        <v>4021/4022</v>
      </c>
      <c r="L100" s="246" t="str">
        <f>VLOOKUP(A100,'Trips&amp;Operators'!$C$1:$G$99911,5,FALSE)</f>
        <v>BADERTSCHER DIANE</v>
      </c>
      <c r="M100" s="225">
        <f t="shared" si="27"/>
        <v>2.7476851850224193E-2</v>
      </c>
      <c r="N100" s="226">
        <f t="shared" si="44"/>
        <v>39.566666664322838</v>
      </c>
      <c r="O100" s="226"/>
      <c r="P100" s="226"/>
      <c r="Q100" s="229"/>
      <c r="R100" s="243"/>
      <c r="S100" s="250">
        <f t="shared" si="43"/>
        <v>1</v>
      </c>
      <c r="T100" s="243" t="str">
        <f t="shared" si="28"/>
        <v>Southbound</v>
      </c>
      <c r="U100" s="24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9" t="str">
        <f t="shared" si="29"/>
        <v>https://d0f6bd738d7f1b3e5a7ca70fe4ff75f0.us-east-1.aws.found.io/app/kibana#/discover/Steve-Slow-Train-Analysis-(2080s-and-2083s)?_g=(refreshInterval:(display:Off,pause:!f,section:0,value:0),time:(from:'2017-11-27T14:04:06-0700',mode:absolute,to:'2017-11-27T16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0" s="248" t="str">
        <f>IF(AA100&lt;VLOOKUP(AG100,Variables!$AC$3:$AD$8,2,FALSE),"Y","N")</f>
        <v>N</v>
      </c>
      <c r="X100" s="248">
        <f t="shared" si="30"/>
        <v>1</v>
      </c>
      <c r="Y100" s="248">
        <f t="shared" si="31"/>
        <v>23.294</v>
      </c>
      <c r="Z100" s="248">
        <f t="shared" si="32"/>
        <v>2.3800000000000002E-2</v>
      </c>
      <c r="AA100" s="248">
        <f t="shared" si="33"/>
        <v>23.270199999999999</v>
      </c>
      <c r="AB100" s="234" t="e">
        <f>VLOOKUP(A100,Enforcements!$C$7:$K$9,8,0)</f>
        <v>#N/A</v>
      </c>
      <c r="AC100" s="233" t="e">
        <f>VLOOKUP(A100,Enforcements!$C$7:$E$9,3,0)</f>
        <v>#N/A</v>
      </c>
      <c r="AD100" s="244">
        <f t="shared" si="34"/>
        <v>186</v>
      </c>
      <c r="AE100" s="236" t="str">
        <f t="shared" si="35"/>
        <v>aws s3 cp s3://rtdc.mdm.uploadarchive.raw/RTDC4021/ "%USERPROFILE%\AppData\Local\Temp\OnboardLogs"\RTDC4021\2017-11-27 --exclude "*" --recursive --include "*20171127*" &amp; "%USERPROFILE%\Documents\GitHub\mrs-test-scripts\Headless Mode &amp; Sideloading\WalkAndUnGZ.bat" "%USERPROFILE%\AppData\Local\Temp\OnboardLogs"\RTDC4021\2017-11-27 &amp; aws s3 cp s3://rtdc.mdm.uploadarchive.raw/RTDC4021/ "%USERPROFILE%\AppData\Local\Temp\OnboardLogs"\RTDC4021\2017-11-28 --exclude "*" --recursive --include "*20171128*" &amp; "%USERPROFILE%\Documents\GitHub\mrs-test-scripts\Headless Mode &amp; Sideloading\WalkAndUnGZ.bat" "%USERPROFILE%\AppData\Local\Temp\OnboardLogs"\RTDC4021\2017-11-28</v>
      </c>
      <c r="AF100" s="235" t="str">
        <f t="shared" si="36"/>
        <v>"C:\Program Files (x86)\AstroGrep\AstroGrep.exe" /e /r /s /spath="%USERPROFILE%\AppData\Local\Temp\OnboardLogs" /stypes="app*4021*20171127*" /stext=" 22:.+((SYSTEM_STATE.+slice.+state.+changed )|(ment ac)|(multiple cpu faults)|(system.+state.+changed )|(\[timeout)|(PRM\|1\|D)|(kpr)|(kdp)|(train st.+moving)|(\|lc)|(penalty))"</v>
      </c>
      <c r="AG100" s="245" t="str">
        <f t="shared" si="37"/>
        <v>EC</v>
      </c>
      <c r="AH100" s="237" t="str">
        <f t="shared" si="38"/>
        <v>"%USERPROFILE%\Documents\GitHub\eaglep3\Utilities\RefineRTDCRunTimes.py" --tripid 186-27 --locoid 4021 --swversion DE.1.0.9.0 --startMP 204:232940 --initTime 2017-11-27T15:04:06 --startdatetime 2017-11-27T15:12:14 --delay 86 --endMP 204:238 --enddatetime 2017-11-27T15:51:48 --enforcementcount 0 &gt;&gt;%USERPROFILE%\Documents\GitHub\eaglep3-reporting\EC\2017-11-27-refined-times.txt</v>
      </c>
      <c r="AI100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{"issue":{"subject":"","project_id":79,"tracker_id":40,"status_id":1,"priority_id":2,"assigned_to_id":338,"start_date":"2017-11-27","description":"","custom_fields":[{"id":1,"name":"Subdivision","value":"EC"},{"id":4,"name":"Milepost","value":"0.0238"},{"id":17,"name":"Train ID","value":"186-27"},{"id":16,"name":"Locomotive ID","value":"4021"},{"id":130,"name":"Impact","value":""},{"id":150,"name":"Time of Event (Mountain Time)","value":"15:51:48"},{"id":151,"name":"Denver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4"/>
      <c r="AK100" s="232"/>
      <c r="AL100" s="232"/>
      <c r="AM100" s="241" t="str">
        <f t="shared" si="40"/>
        <v>start /low /b %USERPROFILE%\Documents\GitHub\eaglep3\Utilities\DownloadLogsFromS3.py --loco 4021 --day 2017-11-27</v>
      </c>
      <c r="AN100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22:51:48"},{"id":29,"name":"Sharepoint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1" t="str">
        <f t="shared" si="42"/>
        <v>https://d0f6bd738d7f1b3e5a7ca70fe4ff75f0.us-east-1.aws.found.io/app/kibana#/discover/Steve-Slow-Train-Analysis-(2080s-and-2083s)?_g=(refreshInterval:(display:Off,pause:!f,section:0,value:0),time:(from:'2017-11-27T14:04:06-0700',mode:absolute,to:'2017-11-27T16:51:48-0700'))&amp;_a=(columns:!('Message%20ID',Summary),filters:!(),index:'emp_*',interval:auto,query:(query_string:(analyze_wildcard:!t,query:'%22rtdc.l.rtdc.4021%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30" t="s">
        <v>729</v>
      </c>
      <c r="B101" s="226">
        <v>4054</v>
      </c>
      <c r="C101" s="228" t="s">
        <v>192</v>
      </c>
      <c r="D101" s="228" t="s">
        <v>878</v>
      </c>
      <c r="E101" s="227">
        <v>43066.600787037038</v>
      </c>
      <c r="F101" s="227">
        <v>43066.604398148149</v>
      </c>
      <c r="G101" s="226">
        <v>59</v>
      </c>
      <c r="H101" s="228" t="s">
        <v>832</v>
      </c>
      <c r="I101" s="227">
        <v>43066.628854166665</v>
      </c>
      <c r="J101" s="226">
        <v>0</v>
      </c>
      <c r="K101" s="238" t="str">
        <f t="shared" si="26"/>
        <v>4053/4054</v>
      </c>
      <c r="L101" s="246" t="str">
        <f>VLOOKUP(A101,'Trips&amp;Operators'!$C$1:$G$99911,5,FALSE)</f>
        <v>SMITH MICHAEL</v>
      </c>
      <c r="M101" s="225">
        <f t="shared" si="27"/>
        <v>2.4456018516502809E-2</v>
      </c>
      <c r="N101" s="226">
        <f t="shared" si="44"/>
        <v>35.216666663764045</v>
      </c>
      <c r="O101" s="226"/>
      <c r="P101" s="226"/>
      <c r="Q101" s="229"/>
      <c r="R101" s="243"/>
      <c r="S101" s="250">
        <f t="shared" si="43"/>
        <v>1</v>
      </c>
      <c r="T101" s="243" t="str">
        <f t="shared" si="28"/>
        <v>NorthBound</v>
      </c>
      <c r="U101" s="24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9" t="str">
        <f t="shared" si="29"/>
        <v>https://d0f6bd738d7f1b3e5a7ca70fe4ff75f0.us-east-1.aws.found.io/app/kibana#/discover/Steve-Slow-Train-Analysis-(2080s-and-2083s)?_g=(refreshInterval:(display:Off,pause:!f,section:0,value:0),time:(from:'2017-11-27T13:25:08-0700',mode:absolute,to:'2017-11-27T16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1" s="248" t="str">
        <f>IF(AA101&lt;VLOOKUP(AG101,Variables!$AC$3:$AD$8,2,FALSE),"Y","N")</f>
        <v>N</v>
      </c>
      <c r="X101" s="248">
        <f t="shared" si="30"/>
        <v>1</v>
      </c>
      <c r="Y101" s="248">
        <f t="shared" si="31"/>
        <v>5.2900000000000003E-2</v>
      </c>
      <c r="Z101" s="248">
        <f t="shared" si="32"/>
        <v>23.3306</v>
      </c>
      <c r="AA101" s="248">
        <f t="shared" si="33"/>
        <v>23.277699999999999</v>
      </c>
      <c r="AB101" s="234" t="e">
        <f>VLOOKUP(A101,Enforcements!$C$7:$K$9,8,0)</f>
        <v>#N/A</v>
      </c>
      <c r="AC101" s="233" t="e">
        <f>VLOOKUP(A101,Enforcements!$C$7:$E$9,3,0)</f>
        <v>#N/A</v>
      </c>
      <c r="AD101" s="244">
        <f t="shared" si="34"/>
        <v>187</v>
      </c>
      <c r="AE101" s="236" t="str">
        <f t="shared" si="35"/>
        <v>aws s3 cp s3://rtdc.mdm.uploadarchive.raw/RTDC4054/ "%USERPROFILE%\AppData\Local\Temp\OnboardLogs"\RTDC4054\2017-11-27 --exclude "*" --recursive --include "*20171127*" &amp; "%USERPROFILE%\Documents\GitHub\mrs-test-scripts\Headless Mode &amp; Sideloading\WalkAndUnGZ.bat" "%USERPROFILE%\AppData\Local\Temp\OnboardLogs"\RTDC4054\2017-11-27 &amp; aws s3 cp s3://rtdc.mdm.uploadarchive.raw/RTDC4054/ "%USERPROFILE%\AppData\Local\Temp\OnboardLogs"\RTDC4054\2017-11-28 --exclude "*" --recursive --include "*20171128*" &amp; "%USERPROFILE%\Documents\GitHub\mrs-test-scripts\Headless Mode &amp; Sideloading\WalkAndUnGZ.bat" "%USERPROFILE%\AppData\Local\Temp\OnboardLogs"\RTDC4054\2017-11-28</v>
      </c>
      <c r="AF101" s="235" t="str">
        <f t="shared" si="36"/>
        <v>"C:\Program Files (x86)\AstroGrep\AstroGrep.exe" /e /r /s /spath="%USERPROFILE%\AppData\Local\Temp\OnboardLogs" /stypes="app*4054*20171127*" /stext=" 22:.+((SYSTEM_STATE.+slice.+state.+changed )|(ment ac)|(multiple cpu faults)|(system.+state.+changed )|(\[timeout)|(PRM\|1\|D)|(kpr)|(kdp)|(train st.+moving)|(\|lc)|(penalty))"</v>
      </c>
      <c r="AG101" s="245" t="str">
        <f t="shared" si="37"/>
        <v>EC</v>
      </c>
      <c r="AH101" s="237" t="str">
        <f t="shared" si="38"/>
        <v>"%USERPROFILE%\Documents\GitHub\eaglep3\Utilities\RefineRTDCRunTimes.py" --tripid 187-27 --locoid 4054 --swversion DE.1.0.9.0 --startMP 204:529 --initTime 2017-11-27T14:25:08 --startdatetime 2017-11-27T14:30:20 --delay 59 --endMP 204:233306 --enddatetime 2017-11-27T15:05:33 --enforcementcount 0 &gt;&gt;%USERPROFILE%\Documents\GitHub\eaglep3-reporting\EC\2017-11-27-refined-times.txt</v>
      </c>
      <c r="AI101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{"issue":{"subject":"","project_id":79,"tracker_id":40,"status_id":1,"priority_id":2,"assigned_to_id":338,"start_date":"2017-11-27","description":"","custom_fields":[{"id":1,"name":"Subdivision","value":"EC"},{"id":4,"name":"Milepost","value":"23.3306"},{"id":17,"name":"Train ID","value":"187-27"},{"id":16,"name":"Locomotive ID","value":"4054"},{"id":130,"name":"Impact","value":""},{"id":150,"name":"Time of Event (Mountain Time)","value":"15:05:33"},{"id":151,"name":"Denver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4"/>
      <c r="AK101" s="232"/>
      <c r="AL101" s="232"/>
      <c r="AM101" s="241" t="str">
        <f t="shared" si="40"/>
        <v>start /low /b %USERPROFILE%\Documents\GitHub\eaglep3\Utilities\DownloadLogsFromS3.py --loco 4054 --day 2017-11-27</v>
      </c>
      <c r="AN101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22:05:33"},{"id":29,"name":"Sharepoint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1" t="str">
        <f t="shared" si="42"/>
        <v>https://d0f6bd738d7f1b3e5a7ca70fe4ff75f0.us-east-1.aws.found.io/app/kibana#/discover/Steve-Slow-Train-Analysis-(2080s-and-2083s)?_g=(refreshInterval:(display:Off,pause:!f,section:0,value:0),time:(from:'2017-11-27T13:25:08-0700',mode:absolute,to:'2017-11-27T16:05:33-0700'))&amp;_a=(columns:!('Message%20ID',Summary),filters:!(),index:'emp_*',interval:auto,query:(query_string:(analyze_wildcard:!t,query:'%22rtdc.l.rtdc.4054%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30" t="s">
        <v>736</v>
      </c>
      <c r="B102" s="226">
        <v>4053</v>
      </c>
      <c r="C102" s="228" t="s">
        <v>192</v>
      </c>
      <c r="D102" s="228" t="s">
        <v>851</v>
      </c>
      <c r="E102" s="227">
        <v>43066.638124999998</v>
      </c>
      <c r="F102" s="227">
        <v>43066.644050925926</v>
      </c>
      <c r="G102" s="226">
        <v>63</v>
      </c>
      <c r="H102" s="228" t="s">
        <v>416</v>
      </c>
      <c r="I102" s="227">
        <v>43066.670069444444</v>
      </c>
      <c r="J102" s="226">
        <v>0</v>
      </c>
      <c r="K102" s="238" t="str">
        <f t="shared" si="26"/>
        <v>4053/4054</v>
      </c>
      <c r="L102" s="246" t="str">
        <f>VLOOKUP(A102,'Trips&amp;Operators'!$C$1:$G$99911,5,FALSE)</f>
        <v>SMITH MICHAEL</v>
      </c>
      <c r="M102" s="225">
        <f t="shared" si="27"/>
        <v>2.6018518517958E-2</v>
      </c>
      <c r="N102" s="226">
        <f t="shared" si="44"/>
        <v>37.46666666585952</v>
      </c>
      <c r="O102" s="226"/>
      <c r="P102" s="226"/>
      <c r="Q102" s="229"/>
      <c r="R102" s="243"/>
      <c r="S102" s="250">
        <f t="shared" si="43"/>
        <v>1</v>
      </c>
      <c r="T102" s="243" t="str">
        <f t="shared" si="28"/>
        <v>Southbound</v>
      </c>
      <c r="U102" s="24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9" t="str">
        <f t="shared" si="29"/>
        <v>https://d0f6bd738d7f1b3e5a7ca70fe4ff75f0.us-east-1.aws.found.io/app/kibana#/discover/Steve-Slow-Train-Analysis-(2080s-and-2083s)?_g=(refreshInterval:(display:Off,pause:!f,section:0,value:0),time:(from:'2017-11-27T14:18:54-0700',mode:absolute,to:'2017-11-27T17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2" s="248" t="str">
        <f>IF(AA102&lt;VLOOKUP(AG102,Variables!$AC$3:$AD$8,2,FALSE),"Y","N")</f>
        <v>N</v>
      </c>
      <c r="X102" s="248">
        <f t="shared" si="30"/>
        <v>1</v>
      </c>
      <c r="Y102" s="248">
        <f t="shared" si="31"/>
        <v>23.299399999999999</v>
      </c>
      <c r="Z102" s="248">
        <f t="shared" si="32"/>
        <v>2.07E-2</v>
      </c>
      <c r="AA102" s="248">
        <f t="shared" si="33"/>
        <v>23.278699999999997</v>
      </c>
      <c r="AB102" s="234" t="e">
        <f>VLOOKUP(A102,Enforcements!$C$7:$K$9,8,0)</f>
        <v>#N/A</v>
      </c>
      <c r="AC102" s="233" t="e">
        <f>VLOOKUP(A102,Enforcements!$C$7:$E$9,3,0)</f>
        <v>#N/A</v>
      </c>
      <c r="AD102" s="244">
        <f t="shared" si="34"/>
        <v>188</v>
      </c>
      <c r="AE102" s="236" t="str">
        <f t="shared" si="35"/>
        <v>aws s3 cp s3://rtdc.mdm.uploadarchive.raw/RTDC4053/ "%USERPROFILE%\AppData\Local\Temp\OnboardLogs"\RTDC4053\2017-11-27 --exclude "*" --recursive --include "*20171127*" &amp; "%USERPROFILE%\Documents\GitHub\mrs-test-scripts\Headless Mode &amp; Sideloading\WalkAndUnGZ.bat" "%USERPROFILE%\AppData\Local\Temp\OnboardLogs"\RTDC4053\2017-11-27 &amp; aws s3 cp s3://rtdc.mdm.uploadarchive.raw/RTDC4053/ "%USERPROFILE%\AppData\Local\Temp\OnboardLogs"\RTDC4053\2017-11-28 --exclude "*" --recursive --include "*20171128*" &amp; "%USERPROFILE%\Documents\GitHub\mrs-test-scripts\Headless Mode &amp; Sideloading\WalkAndUnGZ.bat" "%USERPROFILE%\AppData\Local\Temp\OnboardLogs"\RTDC4053\2017-11-28</v>
      </c>
      <c r="AF102" s="235" t="str">
        <f t="shared" si="36"/>
        <v>"C:\Program Files (x86)\AstroGrep\AstroGrep.exe" /e /r /s /spath="%USERPROFILE%\AppData\Local\Temp\OnboardLogs" /stypes="app*4053*20171127*" /stext=" 23:.+((SYSTEM_STATE.+slice.+state.+changed )|(ment ac)|(multiple cpu faults)|(system.+state.+changed )|(\[timeout)|(PRM\|1\|D)|(kpr)|(kdp)|(train st.+moving)|(\|lc)|(penalty))"</v>
      </c>
      <c r="AG102" s="245" t="str">
        <f t="shared" si="37"/>
        <v>EC</v>
      </c>
      <c r="AH102" s="237" t="str">
        <f t="shared" si="38"/>
        <v>"%USERPROFILE%\Documents\GitHub\eaglep3\Utilities\RefineRTDCRunTimes.py" --tripid 188-27 --locoid 4053 --swversion DE.1.0.9.0 --startMP 204:232994 --initTime 2017-11-27T15:18:54 --startdatetime 2017-11-27T15:27:26 --delay 63 --endMP 204:207 --enddatetime 2017-11-27T16:04:54 --enforcementcount 0 &gt;&gt;%USERPROFILE%\Documents\GitHub\eaglep3-reporting\EC\2017-11-27-refined-times.txt</v>
      </c>
      <c r="AI102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{"issue":{"subject":"","project_id":79,"tracker_id":40,"status_id":1,"priority_id":2,"assigned_to_id":338,"start_date":"2017-11-27","description":"","custom_fields":[{"id":1,"name":"Subdivision","value":"EC"},{"id":4,"name":"Milepost","value":"0.0207"},{"id":17,"name":"Train ID","value":"188-27"},{"id":16,"name":"Locomotive ID","value":"4053"},{"id":130,"name":"Impact","value":""},{"id":150,"name":"Time of Event (Mountain Time)","value":"16:04:54"},{"id":151,"name":"Denver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4"/>
      <c r="AK102" s="232"/>
      <c r="AL102" s="232"/>
      <c r="AM102" s="241" t="str">
        <f t="shared" si="40"/>
        <v>start /low /b %USERPROFILE%\Documents\GitHub\eaglep3\Utilities\DownloadLogsFromS3.py --loco 4053 --day 2017-11-27</v>
      </c>
      <c r="AN102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23:04:54"},{"id":29,"name":"Sharepoint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1" t="str">
        <f t="shared" si="42"/>
        <v>https://d0f6bd738d7f1b3e5a7ca70fe4ff75f0.us-east-1.aws.found.io/app/kibana#/discover/Steve-Slow-Train-Analysis-(2080s-and-2083s)?_g=(refreshInterval:(display:Off,pause:!f,section:0,value:0),time:(from:'2017-11-27T14:18:54-0700',mode:absolute,to:'2017-11-27T17:04:54-0700'))&amp;_a=(columns:!('Message%20ID',Summary),filters:!(),index:'emp_*',interval:auto,query:(query_string:(analyze_wildcard:!t,query:'%22rtdc.l.rtdc.4053%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30" t="s">
        <v>731</v>
      </c>
      <c r="B103" s="226">
        <v>4044</v>
      </c>
      <c r="C103" s="228" t="s">
        <v>192</v>
      </c>
      <c r="D103" s="228" t="s">
        <v>881</v>
      </c>
      <c r="E103" s="227">
        <v>43066.611666666664</v>
      </c>
      <c r="F103" s="227">
        <v>43066.615023148152</v>
      </c>
      <c r="G103" s="226">
        <v>68</v>
      </c>
      <c r="H103" s="228" t="s">
        <v>497</v>
      </c>
      <c r="I103" s="227">
        <v>43066.640833333331</v>
      </c>
      <c r="J103" s="226">
        <v>0</v>
      </c>
      <c r="K103" s="238" t="str">
        <f t="shared" si="26"/>
        <v>4043/4044</v>
      </c>
      <c r="L103" s="246" t="str">
        <f>VLOOKUP(A103,'Trips&amp;Operators'!$C$1:$G$99911,5,FALSE)</f>
        <v>DAVIS MICHAEL</v>
      </c>
      <c r="M103" s="225">
        <f t="shared" si="27"/>
        <v>2.5810185179580003E-2</v>
      </c>
      <c r="N103" s="226">
        <f t="shared" si="44"/>
        <v>37.166666658595204</v>
      </c>
      <c r="O103" s="226"/>
      <c r="P103" s="226"/>
      <c r="Q103" s="229"/>
      <c r="R103" s="243"/>
      <c r="S103" s="250">
        <f t="shared" si="43"/>
        <v>1</v>
      </c>
      <c r="T103" s="243" t="str">
        <f t="shared" si="28"/>
        <v>NorthBound</v>
      </c>
      <c r="U103" s="24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9" t="str">
        <f t="shared" si="29"/>
        <v>https://d0f6bd738d7f1b3e5a7ca70fe4ff75f0.us-east-1.aws.found.io/app/kibana#/discover/Steve-Slow-Train-Analysis-(2080s-and-2083s)?_g=(refreshInterval:(display:Off,pause:!f,section:0,value:0),time:(from:'2017-11-27T13:40:48-0700',mode:absolute,to:'2017-11-27T16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3" s="248" t="str">
        <f>IF(AA103&lt;VLOOKUP(AG103,Variables!$AC$3:$AD$8,2,FALSE),"Y","N")</f>
        <v>N</v>
      </c>
      <c r="X103" s="248">
        <f t="shared" si="30"/>
        <v>1</v>
      </c>
      <c r="Y103" s="248">
        <f t="shared" si="31"/>
        <v>5.3699999999999998E-2</v>
      </c>
      <c r="Z103" s="248">
        <f t="shared" si="32"/>
        <v>23.327999999999999</v>
      </c>
      <c r="AA103" s="248">
        <f t="shared" si="33"/>
        <v>23.2743</v>
      </c>
      <c r="AB103" s="234" t="e">
        <f>VLOOKUP(A103,Enforcements!$C$7:$K$9,8,0)</f>
        <v>#N/A</v>
      </c>
      <c r="AC103" s="233" t="e">
        <f>VLOOKUP(A103,Enforcements!$C$7:$E$9,3,0)</f>
        <v>#N/A</v>
      </c>
      <c r="AD103" s="244">
        <f t="shared" si="34"/>
        <v>189</v>
      </c>
      <c r="AE103" s="236" t="str">
        <f t="shared" si="35"/>
        <v>aws s3 cp s3://rtdc.mdm.uploadarchive.raw/RTDC4044/ "%USERPROFILE%\AppData\Local\Temp\OnboardLogs"\RTDC4044\2017-11-27 --exclude "*" --recursive --include "*20171127*" &amp; "%USERPROFILE%\Documents\GitHub\mrs-test-scripts\Headless Mode &amp; Sideloading\WalkAndUnGZ.bat" "%USERPROFILE%\AppData\Local\Temp\OnboardLogs"\RTDC4044\2017-11-27 &amp; aws s3 cp s3://rtdc.mdm.uploadarchive.raw/RTDC4044/ "%USERPROFILE%\AppData\Local\Temp\OnboardLogs"\RTDC4044\2017-11-28 --exclude "*" --recursive --include "*20171128*" &amp; "%USERPROFILE%\Documents\GitHub\mrs-test-scripts\Headless Mode &amp; Sideloading\WalkAndUnGZ.bat" "%USERPROFILE%\AppData\Local\Temp\OnboardLogs"\RTDC4044\2017-11-28</v>
      </c>
      <c r="AF103" s="235" t="str">
        <f t="shared" si="36"/>
        <v>"C:\Program Files (x86)\AstroGrep\AstroGrep.exe" /e /r /s /spath="%USERPROFILE%\AppData\Local\Temp\OnboardLogs" /stypes="app*4044*20171127*" /stext=" 22:.+((SYSTEM_STATE.+slice.+state.+changed )|(ment ac)|(multiple cpu faults)|(system.+state.+changed )|(\[timeout)|(PRM\|1\|D)|(kpr)|(kdp)|(train st.+moving)|(\|lc)|(penalty))"</v>
      </c>
      <c r="AG103" s="245" t="str">
        <f t="shared" si="37"/>
        <v>EC</v>
      </c>
      <c r="AH103" s="237" t="str">
        <f t="shared" si="38"/>
        <v>"%USERPROFILE%\Documents\GitHub\eaglep3\Utilities\RefineRTDCRunTimes.py" --tripid 189-27 --locoid 4044 --swversion DE.1.0.9.0 --startMP 204:537 --initTime 2017-11-27T14:40:48 --startdatetime 2017-11-27T14:45:38 --delay 68 --endMP 204:233280 --enddatetime 2017-11-27T15:22:48 --enforcementcount 0 &gt;&gt;%USERPROFILE%\Documents\GitHub\eaglep3-reporting\EC\2017-11-27-refined-times.txt</v>
      </c>
      <c r="AI103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{"issue":{"subject":"","project_id":79,"tracker_id":40,"status_id":1,"priority_id":2,"assigned_to_id":338,"start_date":"2017-11-27","description":"","custom_fields":[{"id":1,"name":"Subdivision","value":"EC"},{"id":4,"name":"Milepost","value":"23.328"},{"id":17,"name":"Train ID","value":"189-27"},{"id":16,"name":"Locomotive ID","value":"4044"},{"id":130,"name":"Impact","value":""},{"id":150,"name":"Time of Event (Mountain Time)","value":"15:22:48"},{"id":151,"name":"Denver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4"/>
      <c r="AK103" s="232"/>
      <c r="AL103" s="232"/>
      <c r="AM103" s="241" t="str">
        <f t="shared" si="40"/>
        <v>start /low /b %USERPROFILE%\Documents\GitHub\eaglep3\Utilities\DownloadLogsFromS3.py --loco 4044 --day 2017-11-27</v>
      </c>
      <c r="AN103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22:22:48"},{"id":29,"name":"Sharepoint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1" t="str">
        <f t="shared" si="42"/>
        <v>https://d0f6bd738d7f1b3e5a7ca70fe4ff75f0.us-east-1.aws.found.io/app/kibana#/discover/Steve-Slow-Train-Analysis-(2080s-and-2083s)?_g=(refreshInterval:(display:Off,pause:!f,section:0,value:0),time:(from:'2017-11-27T13:40:48-0700',mode:absolute,to:'2017-11-27T16:22:48-0700'))&amp;_a=(columns:!('Message%20ID',Summary),filters:!(),index:'emp_*',interval:auto,query:(query_string:(analyze_wildcard:!t,query:'%22rtdc.l.rtdc.4044%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30" t="s">
        <v>741</v>
      </c>
      <c r="B104" s="226">
        <v>4043</v>
      </c>
      <c r="C104" s="228" t="s">
        <v>192</v>
      </c>
      <c r="D104" s="228" t="s">
        <v>535</v>
      </c>
      <c r="E104" s="227">
        <v>43066.65253472222</v>
      </c>
      <c r="F104" s="227">
        <v>43066.65457175926</v>
      </c>
      <c r="G104" s="226">
        <v>68</v>
      </c>
      <c r="H104" s="228" t="s">
        <v>443</v>
      </c>
      <c r="I104" s="227">
        <v>43066.682256944441</v>
      </c>
      <c r="J104" s="226">
        <v>0</v>
      </c>
      <c r="K104" s="238" t="str">
        <f t="shared" si="26"/>
        <v>4043/4044</v>
      </c>
      <c r="L104" s="246" t="str">
        <f>VLOOKUP(A104,'Trips&amp;Operators'!$C$1:$G$99911,5,FALSE)</f>
        <v>DAVIS MICHAEL</v>
      </c>
      <c r="M104" s="225">
        <f t="shared" si="27"/>
        <v>2.7685185181326233E-2</v>
      </c>
      <c r="N104" s="226">
        <f t="shared" si="44"/>
        <v>39.866666661109775</v>
      </c>
      <c r="O104" s="226"/>
      <c r="P104" s="226"/>
      <c r="Q104" s="229"/>
      <c r="R104" s="243"/>
      <c r="S104" s="250">
        <f t="shared" si="43"/>
        <v>1</v>
      </c>
      <c r="T104" s="243" t="str">
        <f t="shared" si="28"/>
        <v>Southbound</v>
      </c>
      <c r="U104" s="24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9" t="str">
        <f t="shared" si="29"/>
        <v>https://d0f6bd738d7f1b3e5a7ca70fe4ff75f0.us-east-1.aws.found.io/app/kibana#/discover/Steve-Slow-Train-Analysis-(2080s-and-2083s)?_g=(refreshInterval:(display:Off,pause:!f,section:0,value:0),time:(from:'2017-11-27T14:39:39-0700',mode:absolute,to:'2017-11-27T17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4" s="248" t="str">
        <f>IF(AA104&lt;VLOOKUP(AG104,Variables!$AC$3:$AD$8,2,FALSE),"Y","N")</f>
        <v>N</v>
      </c>
      <c r="X104" s="248">
        <f t="shared" si="30"/>
        <v>1</v>
      </c>
      <c r="Y104" s="248">
        <f t="shared" si="31"/>
        <v>23.298400000000001</v>
      </c>
      <c r="Z104" s="248">
        <f t="shared" si="32"/>
        <v>2.3400000000000001E-2</v>
      </c>
      <c r="AA104" s="248">
        <f t="shared" si="33"/>
        <v>23.275000000000002</v>
      </c>
      <c r="AB104" s="234" t="e">
        <f>VLOOKUP(A104,Enforcements!$C$7:$K$9,8,0)</f>
        <v>#N/A</v>
      </c>
      <c r="AC104" s="233" t="e">
        <f>VLOOKUP(A104,Enforcements!$C$7:$E$9,3,0)</f>
        <v>#N/A</v>
      </c>
      <c r="AD104" s="244">
        <f t="shared" si="34"/>
        <v>190</v>
      </c>
      <c r="AE104" s="236" t="str">
        <f t="shared" si="35"/>
        <v>aws s3 cp s3://rtdc.mdm.uploadarchive.raw/RTDC4043/ "%USERPROFILE%\AppData\Local\Temp\OnboardLogs"\RTDC4043\2017-11-27 --exclude "*" --recursive --include "*20171127*" &amp; "%USERPROFILE%\Documents\GitHub\mrs-test-scripts\Headless Mode &amp; Sideloading\WalkAndUnGZ.bat" "%USERPROFILE%\AppData\Local\Temp\OnboardLogs"\RTDC4043\2017-11-27 &amp; aws s3 cp s3://rtdc.mdm.uploadarchive.raw/RTDC4043/ "%USERPROFILE%\AppData\Local\Temp\OnboardLogs"\RTDC4043\2017-11-28 --exclude "*" --recursive --include "*20171128*" &amp; "%USERPROFILE%\Documents\GitHub\mrs-test-scripts\Headless Mode &amp; Sideloading\WalkAndUnGZ.bat" "%USERPROFILE%\AppData\Local\Temp\OnboardLogs"\RTDC4043\2017-11-28</v>
      </c>
      <c r="AF104" s="235" t="str">
        <f t="shared" si="36"/>
        <v>"C:\Program Files (x86)\AstroGrep\AstroGrep.exe" /e /r /s /spath="%USERPROFILE%\AppData\Local\Temp\OnboardLogs" /stypes="app*4043*20171127*" /stext=" 23:.+((SYSTEM_STATE.+slice.+state.+changed )|(ment ac)|(multiple cpu faults)|(system.+state.+changed )|(\[timeout)|(PRM\|1\|D)|(kpr)|(kdp)|(train st.+moving)|(\|lc)|(penalty))"</v>
      </c>
      <c r="AG104" s="245" t="str">
        <f t="shared" si="37"/>
        <v>EC</v>
      </c>
      <c r="AH104" s="237" t="str">
        <f t="shared" si="38"/>
        <v>"%USERPROFILE%\Documents\GitHub\eaglep3\Utilities\RefineRTDCRunTimes.py" --tripid 190-27 --locoid 4043 --swversion DE.1.0.9.0 --startMP 204:232984 --initTime 2017-11-27T15:39:39 --startdatetime 2017-11-27T15:42:35 --delay 68 --endMP 204:234 --enddatetime 2017-11-27T16:22:27 --enforcementcount 0 &gt;&gt;%USERPROFILE%\Documents\GitHub\eaglep3-reporting\EC\2017-11-27-refined-times.txt</v>
      </c>
      <c r="AI104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{"issue":{"subject":"","project_id":79,"tracker_id":40,"status_id":1,"priority_id":2,"assigned_to_id":338,"start_date":"2017-11-27","description":"","custom_fields":[{"id":1,"name":"Subdivision","value":"EC"},{"id":4,"name":"Milepost","value":"0.0234"},{"id":17,"name":"Train ID","value":"190-27"},{"id":16,"name":"Locomotive ID","value":"4043"},{"id":130,"name":"Impact","value":""},{"id":150,"name":"Time of Event (Mountain Time)","value":"16:22:27"},{"id":151,"name":"Denver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4"/>
      <c r="AK104" s="232"/>
      <c r="AL104" s="232"/>
      <c r="AM104" s="241" t="str">
        <f t="shared" si="40"/>
        <v>start /low /b %USERPROFILE%\Documents\GitHub\eaglep3\Utilities\DownloadLogsFromS3.py --loco 4043 --day 2017-11-27</v>
      </c>
      <c r="AN104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23:22:27"},{"id":29,"name":"Sharepoint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1" t="str">
        <f t="shared" si="42"/>
        <v>https://d0f6bd738d7f1b3e5a7ca70fe4ff75f0.us-east-1.aws.found.io/app/kibana#/discover/Steve-Slow-Train-Analysis-(2080s-and-2083s)?_g=(refreshInterval:(display:Off,pause:!f,section:0,value:0),time:(from:'2017-11-27T14:39:39-0700',mode:absolute,to:'2017-11-27T17:22:27-0700'))&amp;_a=(columns:!('Message%20ID',Summary),filters:!(),index:'emp_*',interval:auto,query:(query_string:(analyze_wildcard:!t,query:'%22rtdc.l.rtdc.4043%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30" t="s">
        <v>732</v>
      </c>
      <c r="B105" s="226">
        <v>4026</v>
      </c>
      <c r="C105" s="228" t="s">
        <v>192</v>
      </c>
      <c r="D105" s="228" t="s">
        <v>462</v>
      </c>
      <c r="E105" s="227">
        <v>43066.620740740742</v>
      </c>
      <c r="F105" s="227">
        <v>43066.625231481485</v>
      </c>
      <c r="G105" s="226">
        <v>65</v>
      </c>
      <c r="H105" s="228" t="s">
        <v>439</v>
      </c>
      <c r="I105" s="227">
        <v>43066.651134259257</v>
      </c>
      <c r="J105" s="226">
        <v>0</v>
      </c>
      <c r="K105" s="238" t="str">
        <f t="shared" si="26"/>
        <v>4025/4026</v>
      </c>
      <c r="L105" s="246" t="str">
        <f>VLOOKUP(A105,'Trips&amp;Operators'!$C$1:$G$99911,5,FALSE)</f>
        <v>STEWART MICHAEL</v>
      </c>
      <c r="M105" s="225">
        <f t="shared" si="27"/>
        <v>2.5902777771989349E-2</v>
      </c>
      <c r="N105" s="226">
        <f t="shared" si="44"/>
        <v>37.299999991664663</v>
      </c>
      <c r="O105" s="226"/>
      <c r="P105" s="226"/>
      <c r="Q105" s="229"/>
      <c r="R105" s="243"/>
      <c r="S105" s="250">
        <f t="shared" si="43"/>
        <v>1</v>
      </c>
      <c r="T105" s="243" t="str">
        <f t="shared" si="28"/>
        <v>NorthBound</v>
      </c>
      <c r="U105" s="24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9" t="str">
        <f t="shared" si="29"/>
        <v>https://d0f6bd738d7f1b3e5a7ca70fe4ff75f0.us-east-1.aws.found.io/app/kibana#/discover/Steve-Slow-Train-Analysis-(2080s-and-2083s)?_g=(refreshInterval:(display:Off,pause:!f,section:0,value:0),time:(from:'2017-11-27T13:53:52-0700',mode:absolute,to:'2017-11-27T16:37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5" s="248" t="str">
        <f>IF(AA105&lt;VLOOKUP(AG105,Variables!$AC$3:$AD$8,2,FALSE),"Y","N")</f>
        <v>N</v>
      </c>
      <c r="X105" s="248">
        <f t="shared" si="30"/>
        <v>1</v>
      </c>
      <c r="Y105" s="248">
        <f t="shared" si="31"/>
        <v>4.8000000000000001E-2</v>
      </c>
      <c r="Z105" s="248">
        <f t="shared" si="32"/>
        <v>23.329499999999999</v>
      </c>
      <c r="AA105" s="248">
        <f t="shared" si="33"/>
        <v>23.281500000000001</v>
      </c>
      <c r="AB105" s="234" t="e">
        <f>VLOOKUP(A105,Enforcements!$C$7:$K$9,8,0)</f>
        <v>#N/A</v>
      </c>
      <c r="AC105" s="233" t="e">
        <f>VLOOKUP(A105,Enforcements!$C$7:$E$9,3,0)</f>
        <v>#N/A</v>
      </c>
      <c r="AD105" s="244">
        <f t="shared" si="34"/>
        <v>191</v>
      </c>
      <c r="AE105" s="236" t="str">
        <f t="shared" si="35"/>
        <v>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 &amp; aws s3 cp s3://rtdc.mdm.uploadarchive.raw/RTDC4026/ "%USERPROFILE%\AppData\Local\Temp\OnboardLogs"\RTDC4026\2017-11-28 --exclude "*" --recursive --include "*20171128*" &amp; "%USERPROFILE%\Documents\GitHub\mrs-test-scripts\Headless Mode &amp; Sideloading\WalkAndUnGZ.bat" "%USERPROFILE%\AppData\Local\Temp\OnboardLogs"\RTDC4026\2017-11-28</v>
      </c>
      <c r="AF105" s="235" t="str">
        <f t="shared" si="36"/>
        <v>"C:\Program Files (x86)\AstroGrep\AstroGrep.exe" /e /r /s /spath="%USERPROFILE%\AppData\Local\Temp\OnboardLogs" /stypes="app*4026*20171127*" /stext=" 22:.+((SYSTEM_STATE.+slice.+state.+changed )|(ment ac)|(multiple cpu faults)|(system.+state.+changed )|(\[timeout)|(PRM\|1\|D)|(kpr)|(kdp)|(train st.+moving)|(\|lc)|(penalty))"</v>
      </c>
      <c r="AG105" s="245" t="str">
        <f t="shared" si="37"/>
        <v>EC</v>
      </c>
      <c r="AH105" s="237" t="str">
        <f t="shared" si="38"/>
        <v>"%USERPROFILE%\Documents\GitHub\eaglep3\Utilities\RefineRTDCRunTimes.py" --tripid 191-27 --locoid 4026 --swversion DE.1.0.9.0 --startMP 204:480 --initTime 2017-11-27T14:53:52 --startdatetime 2017-11-27T15:00:20 --delay 65 --endMP 204:233295 --enddatetime 2017-11-27T15:37:38 --enforcementcount 0 &gt;&gt;%USERPROFILE%\Documents\GitHub\eaglep3-reporting\EC\2017-11-27-refined-times.txt</v>
      </c>
      <c r="AI105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{"issue":{"subject":"","project_id":79,"tracker_id":40,"status_id":1,"priority_id":2,"assigned_to_id":338,"start_date":"2017-11-27","description":"","custom_fields":[{"id":1,"name":"Subdivision","value":"EC"},{"id":4,"name":"Milepost","value":"23.3295"},{"id":17,"name":"Train ID","value":"191-27"},{"id":16,"name":"Locomotive ID","value":"4026"},{"id":130,"name":"Impact","value":""},{"id":150,"name":"Time of Event (Mountain Time)","value":"15:37:38"},{"id":151,"name":"Denver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4"/>
      <c r="AK105" s="232"/>
      <c r="AL105" s="232"/>
      <c r="AM105" s="241" t="str">
        <f t="shared" si="40"/>
        <v>start /low /b %USERPROFILE%\Documents\GitHub\eaglep3\Utilities\DownloadLogsFromS3.py --loco 4026 --day 2017-11-27</v>
      </c>
      <c r="AN105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22:37:38"},{"id":29,"name":"Sharepoint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1" t="str">
        <f t="shared" si="42"/>
        <v>https://d0f6bd738d7f1b3e5a7ca70fe4ff75f0.us-east-1.aws.found.io/app/kibana#/discover/Steve-Slow-Train-Analysis-(2080s-and-2083s)?_g=(refreshInterval:(display:Off,pause:!f,section:0,value:0),time:(from:'2017-11-27T13:53:52-0700',mode:absolute,to:'2017-11-27T16:37:38-0700'))&amp;_a=(columns:!('Message%20ID',Summary),filters:!(),index:'emp_*',interval:auto,query:(query_string:(analyze_wildcard:!t,query:'%22rtdc.l.rtdc.4026%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30" t="s">
        <v>746</v>
      </c>
      <c r="B106" s="226">
        <v>4025</v>
      </c>
      <c r="C106" s="228" t="s">
        <v>192</v>
      </c>
      <c r="D106" s="228" t="s">
        <v>424</v>
      </c>
      <c r="E106" s="227">
        <v>43066.659398148149</v>
      </c>
      <c r="F106" s="227">
        <v>43066.664803240739</v>
      </c>
      <c r="G106" s="226">
        <v>90</v>
      </c>
      <c r="H106" s="228" t="s">
        <v>416</v>
      </c>
      <c r="I106" s="227">
        <v>43066.69190972222</v>
      </c>
      <c r="J106" s="226">
        <v>0</v>
      </c>
      <c r="K106" s="238" t="str">
        <f t="shared" si="26"/>
        <v>4025/4026</v>
      </c>
      <c r="L106" s="246" t="str">
        <f>VLOOKUP(A106,'Trips&amp;Operators'!$C$1:$G$99911,5,FALSE)</f>
        <v>STEWART MICHAEL</v>
      </c>
      <c r="M106" s="225">
        <f t="shared" si="27"/>
        <v>2.7106481480586808E-2</v>
      </c>
      <c r="N106" s="226">
        <f t="shared" si="44"/>
        <v>39.033333332045004</v>
      </c>
      <c r="O106" s="226"/>
      <c r="P106" s="226"/>
      <c r="Q106" s="229"/>
      <c r="R106" s="243"/>
      <c r="S106" s="250">
        <f t="shared" si="43"/>
        <v>1</v>
      </c>
      <c r="T106" s="243" t="str">
        <f t="shared" si="28"/>
        <v>Southbound</v>
      </c>
      <c r="U106" s="24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9" t="str">
        <f t="shared" si="29"/>
        <v>https://d0f6bd738d7f1b3e5a7ca70fe4ff75f0.us-east-1.aws.found.io/app/kibana#/discover/Steve-Slow-Train-Analysis-(2080s-and-2083s)?_g=(refreshInterval:(display:Off,pause:!f,section:0,value:0),time:(from:'2017-11-27T14:49:32-0700',mode:absolute,to:'2017-11-27T17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6" s="248" t="str">
        <f>IF(AA106&lt;VLOOKUP(AG106,Variables!$AC$3:$AD$8,2,FALSE),"Y","N")</f>
        <v>N</v>
      </c>
      <c r="X106" s="248">
        <f t="shared" si="30"/>
        <v>1</v>
      </c>
      <c r="Y106" s="248">
        <f t="shared" si="31"/>
        <v>23.298100000000002</v>
      </c>
      <c r="Z106" s="248">
        <f t="shared" si="32"/>
        <v>2.07E-2</v>
      </c>
      <c r="AA106" s="248">
        <f t="shared" si="33"/>
        <v>23.2774</v>
      </c>
      <c r="AB106" s="234" t="e">
        <f>VLOOKUP(A106,Enforcements!$C$7:$K$9,8,0)</f>
        <v>#N/A</v>
      </c>
      <c r="AC106" s="233" t="e">
        <f>VLOOKUP(A106,Enforcements!$C$7:$E$9,3,0)</f>
        <v>#N/A</v>
      </c>
      <c r="AD106" s="244">
        <f t="shared" si="34"/>
        <v>192</v>
      </c>
      <c r="AE106" s="236" t="str">
        <f t="shared" si="35"/>
        <v>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 &amp; aws s3 cp s3://rtdc.mdm.uploadarchive.raw/RTDC4025/ "%USERPROFILE%\AppData\Local\Temp\OnboardLogs"\RTDC4025\2017-11-28 --exclude "*" --recursive --include "*20171128*" &amp; "%USERPROFILE%\Documents\GitHub\mrs-test-scripts\Headless Mode &amp; Sideloading\WalkAndUnGZ.bat" "%USERPROFILE%\AppData\Local\Temp\OnboardLogs"\RTDC4025\2017-11-28</v>
      </c>
      <c r="AF106" s="235" t="str">
        <f t="shared" si="36"/>
        <v>"C:\Program Files (x86)\AstroGrep\AstroGrep.exe" /e /r /s /spath="%USERPROFILE%\AppData\Local\Temp\OnboardLogs" /stypes="app*4025*20171127*" /stext=" 23:.+((SYSTEM_STATE.+slice.+state.+changed )|(ment ac)|(multiple cpu faults)|(system.+state.+changed )|(\[timeout)|(PRM\|1\|D)|(kpr)|(kdp)|(train st.+moving)|(\|lc)|(penalty))"</v>
      </c>
      <c r="AG106" s="245" t="str">
        <f t="shared" si="37"/>
        <v>EC</v>
      </c>
      <c r="AH106" s="237" t="str">
        <f t="shared" si="38"/>
        <v>"%USERPROFILE%\Documents\GitHub\eaglep3\Utilities\RefineRTDCRunTimes.py" --tripid 192-27 --locoid 4025 --swversion DE.1.0.9.0 --startMP 204:232981 --initTime 2017-11-27T15:49:32 --startdatetime 2017-11-27T15:57:19 --delay 90 --endMP 204:207 --enddatetime 2017-11-27T16:36:21 --enforcementcount 0 &gt;&gt;%USERPROFILE%\Documents\GitHub\eaglep3-reporting\EC\2017-11-27-refined-times.txt</v>
      </c>
      <c r="AI106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{"issue":{"subject":"","project_id":79,"tracker_id":40,"status_id":1,"priority_id":2,"assigned_to_id":338,"start_date":"2017-11-27","description":"","custom_fields":[{"id":1,"name":"Subdivision","value":"EC"},{"id":4,"name":"Milepost","value":"0.0207"},{"id":17,"name":"Train ID","value":"192-27"},{"id":16,"name":"Locomotive ID","value":"4025"},{"id":130,"name":"Impact","value":""},{"id":150,"name":"Time of Event (Mountain Time)","value":"16:36:21"},{"id":151,"name":"Denver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4"/>
      <c r="AK106" s="232"/>
      <c r="AL106" s="232"/>
      <c r="AM106" s="241" t="str">
        <f t="shared" si="40"/>
        <v>start /low /b %USERPROFILE%\Documents\GitHub\eaglep3\Utilities\DownloadLogsFromS3.py --loco 4025 --day 2017-11-27</v>
      </c>
      <c r="AN106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23:36:21"},{"id":29,"name":"Sharepoint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1" t="str">
        <f t="shared" si="42"/>
        <v>https://d0f6bd738d7f1b3e5a7ca70fe4ff75f0.us-east-1.aws.found.io/app/kibana#/discover/Steve-Slow-Train-Analysis-(2080s-and-2083s)?_g=(refreshInterval:(display:Off,pause:!f,section:0,value:0),time:(from:'2017-11-27T14:49:32-0700',mode:absolute,to:'2017-11-27T17:36:21-0700'))&amp;_a=(columns:!('Message%20ID',Summary),filters:!(),index:'emp_*',interval:auto,query:(query_string:(analyze_wildcard:!t,query:'%22rtdc.l.rtdc.4025%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30" t="s">
        <v>735</v>
      </c>
      <c r="B107" s="226">
        <v>4014</v>
      </c>
      <c r="C107" s="228" t="s">
        <v>192</v>
      </c>
      <c r="D107" s="228" t="s">
        <v>882</v>
      </c>
      <c r="E107" s="227">
        <v>43066.633136574077</v>
      </c>
      <c r="F107" s="227">
        <v>43066.635879629626</v>
      </c>
      <c r="G107" s="226">
        <v>73</v>
      </c>
      <c r="H107" s="228" t="s">
        <v>883</v>
      </c>
      <c r="I107" s="227">
        <v>43066.662372685183</v>
      </c>
      <c r="J107" s="226">
        <v>0</v>
      </c>
      <c r="K107" s="238" t="str">
        <f t="shared" si="26"/>
        <v>4013/4014</v>
      </c>
      <c r="L107" s="246" t="str">
        <f>VLOOKUP(A107,'Trips&amp;Operators'!$C$1:$G$99911,5,FALSE)</f>
        <v>LORI SANTOS</v>
      </c>
      <c r="M107" s="225">
        <f t="shared" si="27"/>
        <v>2.6493055556784384E-2</v>
      </c>
      <c r="N107" s="226">
        <f t="shared" si="44"/>
        <v>38.150000001769513</v>
      </c>
      <c r="O107" s="226"/>
      <c r="P107" s="226"/>
      <c r="Q107" s="229"/>
      <c r="R107" s="243"/>
      <c r="S107" s="250">
        <f t="shared" si="43"/>
        <v>1</v>
      </c>
      <c r="T107" s="243" t="str">
        <f t="shared" si="28"/>
        <v>NorthBound</v>
      </c>
      <c r="U107" s="24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9" t="str">
        <f t="shared" si="29"/>
        <v>https://d0f6bd738d7f1b3e5a7ca70fe4ff75f0.us-east-1.aws.found.io/app/kibana#/discover/Steve-Slow-Train-Analysis-(2080s-and-2083s)?_g=(refreshInterval:(display:Off,pause:!f,section:0,value:0),time:(from:'2017-11-27T14:11:43-0700',mode:absolute,to:'2017-11-27T16:53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7" s="248" t="str">
        <f>IF(AA107&lt;VLOOKUP(AG107,Variables!$AC$3:$AD$8,2,FALSE),"Y","N")</f>
        <v>N</v>
      </c>
      <c r="X107" s="248">
        <f t="shared" si="30"/>
        <v>1</v>
      </c>
      <c r="Y107" s="248">
        <f t="shared" si="31"/>
        <v>5.5300000000000002E-2</v>
      </c>
      <c r="Z107" s="248">
        <f t="shared" si="32"/>
        <v>23.3218</v>
      </c>
      <c r="AA107" s="248">
        <f t="shared" si="33"/>
        <v>23.266500000000001</v>
      </c>
      <c r="AB107" s="234" t="e">
        <f>VLOOKUP(A107,Enforcements!$C$7:$K$9,8,0)</f>
        <v>#N/A</v>
      </c>
      <c r="AC107" s="233" t="e">
        <f>VLOOKUP(A107,Enforcements!$C$7:$E$9,3,0)</f>
        <v>#N/A</v>
      </c>
      <c r="AD107" s="244">
        <f t="shared" si="34"/>
        <v>193</v>
      </c>
      <c r="AE107" s="236" t="str">
        <f t="shared" si="35"/>
        <v>aws s3 cp s3://rtdc.mdm.uploadarchive.raw/RTDC4014/ "%USERPROFILE%\AppData\Local\Temp\OnboardLogs"\RTDC4014\2017-11-27 --exclude "*" --recursive --include "*20171127*" &amp; "%USERPROFILE%\Documents\GitHub\mrs-test-scripts\Headless Mode &amp; Sideloading\WalkAndUnGZ.bat" "%USERPROFILE%\AppData\Local\Temp\OnboardLogs"\RTDC4014\2017-11-27 &amp; aws s3 cp s3://rtdc.mdm.uploadarchive.raw/RTDC4014/ "%USERPROFILE%\AppData\Local\Temp\OnboardLogs"\RTDC4014\2017-11-28 --exclude "*" --recursive --include "*20171128*" &amp; "%USERPROFILE%\Documents\GitHub\mrs-test-scripts\Headless Mode &amp; Sideloading\WalkAndUnGZ.bat" "%USERPROFILE%\AppData\Local\Temp\OnboardLogs"\RTDC4014\2017-11-28</v>
      </c>
      <c r="AF107" s="235" t="str">
        <f t="shared" si="36"/>
        <v>"C:\Program Files (x86)\AstroGrep\AstroGrep.exe" /e /r /s /spath="%USERPROFILE%\AppData\Local\Temp\OnboardLogs" /stypes="app*4014*20171127*" /stext=" 22:.+((SYSTEM_STATE.+slice.+state.+changed )|(ment ac)|(multiple cpu faults)|(system.+state.+changed )|(\[timeout)|(PRM\|1\|D)|(kpr)|(kdp)|(train st.+moving)|(\|lc)|(penalty))"</v>
      </c>
      <c r="AG107" s="245" t="str">
        <f t="shared" si="37"/>
        <v>EC</v>
      </c>
      <c r="AH107" s="237" t="str">
        <f t="shared" si="38"/>
        <v>"%USERPROFILE%\Documents\GitHub\eaglep3\Utilities\RefineRTDCRunTimes.py" --tripid 193-27 --locoid 4014 --swversion DE.1.0.9.0 --startMP 204:553 --initTime 2017-11-27T15:11:43 --startdatetime 2017-11-27T15:15:40 --delay 73 --endMP 204:233218 --enddatetime 2017-11-27T15:53:49 --enforcementcount 0 &gt;&gt;%USERPROFILE%\Documents\GitHub\eaglep3-reporting\EC\2017-11-27-refined-times.txt</v>
      </c>
      <c r="AI107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{"issue":{"subject":"","project_id":79,"tracker_id":40,"status_id":1,"priority_id":2,"assigned_to_id":338,"start_date":"2017-11-27","description":"","custom_fields":[{"id":1,"name":"Subdivision","value":"EC"},{"id":4,"name":"Milepost","value":"23.3218"},{"id":17,"name":"Train ID","value":"193-27"},{"id":16,"name":"Locomotive ID","value":"4014"},{"id":130,"name":"Impact","value":""},{"id":150,"name":"Time of Event (Mountain Time)","value":"15:53:49"},{"id":151,"name":"Denver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4"/>
      <c r="AK107" s="232"/>
      <c r="AL107" s="232"/>
      <c r="AM107" s="241" t="str">
        <f t="shared" si="40"/>
        <v>start /low /b %USERPROFILE%\Documents\GitHub\eaglep3\Utilities\DownloadLogsFromS3.py --loco 4014 --day 2017-11-27</v>
      </c>
      <c r="AN107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22:53:49"},{"id":29,"name":"Sharepoint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1" t="str">
        <f t="shared" si="42"/>
        <v>https://d0f6bd738d7f1b3e5a7ca70fe4ff75f0.us-east-1.aws.found.io/app/kibana#/discover/Steve-Slow-Train-Analysis-(2080s-and-2083s)?_g=(refreshInterval:(display:Off,pause:!f,section:0,value:0),time:(from:'2017-11-27T14:11:43-0700',mode:absolute,to:'2017-11-27T16:53:49-0700'))&amp;_a=(columns:!('Message%20ID',Summary),filters:!(),index:'emp_*',interval:auto,query:(query_string:(analyze_wildcard:!t,query:'%22rtdc.l.rtdc.4014%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30" t="s">
        <v>750</v>
      </c>
      <c r="B108" s="226">
        <v>4013</v>
      </c>
      <c r="C108" s="228" t="s">
        <v>192</v>
      </c>
      <c r="D108" s="228" t="s">
        <v>856</v>
      </c>
      <c r="E108" s="227">
        <v>43066.671550925923</v>
      </c>
      <c r="F108" s="227">
        <v>43066.675196759257</v>
      </c>
      <c r="G108" s="226">
        <v>81</v>
      </c>
      <c r="H108" s="228" t="s">
        <v>884</v>
      </c>
      <c r="I108" s="227">
        <v>43066.701979166668</v>
      </c>
      <c r="J108" s="226">
        <v>0</v>
      </c>
      <c r="K108" s="238" t="str">
        <f t="shared" si="26"/>
        <v>4013/4014</v>
      </c>
      <c r="L108" s="246" t="str">
        <f>VLOOKUP(A108,'Trips&amp;Operators'!$C$1:$G$99911,5,FALSE)</f>
        <v>LORI SANTOS</v>
      </c>
      <c r="M108" s="225">
        <f t="shared" si="27"/>
        <v>2.6782407410792075E-2</v>
      </c>
      <c r="N108" s="226">
        <f t="shared" si="44"/>
        <v>38.566666671540588</v>
      </c>
      <c r="O108" s="226"/>
      <c r="P108" s="226"/>
      <c r="Q108" s="229"/>
      <c r="R108" s="243"/>
      <c r="S108" s="250">
        <f t="shared" si="43"/>
        <v>1</v>
      </c>
      <c r="T108" s="243" t="str">
        <f t="shared" si="28"/>
        <v>Southbound</v>
      </c>
      <c r="U108" s="24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9" t="str">
        <f t="shared" si="29"/>
        <v>https://d0f6bd738d7f1b3e5a7ca70fe4ff75f0.us-east-1.aws.found.io/app/kibana#/discover/Steve-Slow-Train-Analysis-(2080s-and-2083s)?_g=(refreshInterval:(display:Off,pause:!f,section:0,value:0),time:(from:'2017-11-27T15:07:02-0700',mode:absolute,to:'2017-11-27T17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8" s="248" t="str">
        <f>IF(AA108&lt;VLOOKUP(AG108,Variables!$AC$3:$AD$8,2,FALSE),"Y","N")</f>
        <v>N</v>
      </c>
      <c r="X108" s="248">
        <f t="shared" si="30"/>
        <v>1</v>
      </c>
      <c r="Y108" s="248">
        <f t="shared" si="31"/>
        <v>23.2896</v>
      </c>
      <c r="Z108" s="248">
        <f t="shared" si="32"/>
        <v>2.52E-2</v>
      </c>
      <c r="AA108" s="248">
        <f t="shared" si="33"/>
        <v>23.264399999999998</v>
      </c>
      <c r="AB108" s="234" t="e">
        <f>VLOOKUP(A108,Enforcements!$C$7:$K$9,8,0)</f>
        <v>#N/A</v>
      </c>
      <c r="AC108" s="233" t="e">
        <f>VLOOKUP(A108,Enforcements!$C$7:$E$9,3,0)</f>
        <v>#N/A</v>
      </c>
      <c r="AD108" s="244">
        <f t="shared" si="34"/>
        <v>194</v>
      </c>
      <c r="AE108" s="236" t="str">
        <f t="shared" si="35"/>
        <v>aws s3 cp s3://rtdc.mdm.uploadarchive.raw/RTDC4013/ "%USERPROFILE%\AppData\Local\Temp\OnboardLogs"\RTDC4013\2017-11-27 --exclude "*" --recursive --include "*20171127*" &amp; "%USERPROFILE%\Documents\GitHub\mrs-test-scripts\Headless Mode &amp; Sideloading\WalkAndUnGZ.bat" "%USERPROFILE%\AppData\Local\Temp\OnboardLogs"\RTDC4013\2017-11-27 &amp; aws s3 cp s3://rtdc.mdm.uploadarchive.raw/RTDC4013/ "%USERPROFILE%\AppData\Local\Temp\OnboardLogs"\RTDC4013\2017-11-28 --exclude "*" --recursive --include "*20171128*" &amp; "%USERPROFILE%\Documents\GitHub\mrs-test-scripts\Headless Mode &amp; Sideloading\WalkAndUnGZ.bat" "%USERPROFILE%\AppData\Local\Temp\OnboardLogs"\RTDC4013\2017-11-28</v>
      </c>
      <c r="AF108" s="235" t="str">
        <f t="shared" si="36"/>
        <v>"C:\Program Files (x86)\AstroGrep\AstroGrep.exe" /e /r /s /spath="%USERPROFILE%\AppData\Local\Temp\OnboardLogs" /stypes="app*4013*20171127*" /stext=" 23:.+((SYSTEM_STATE.+slice.+state.+changed )|(ment ac)|(multiple cpu faults)|(system.+state.+changed )|(\[timeout)|(PRM\|1\|D)|(kpr)|(kdp)|(train st.+moving)|(\|lc)|(penalty))"</v>
      </c>
      <c r="AG108" s="245" t="str">
        <f t="shared" si="37"/>
        <v>EC</v>
      </c>
      <c r="AH108" s="237" t="str">
        <f t="shared" si="38"/>
        <v>"%USERPROFILE%\Documents\GitHub\eaglep3\Utilities\RefineRTDCRunTimes.py" --tripid 194-27 --locoid 4013 --swversion DE.1.0.9.0 --startMP 204:232896 --initTime 2017-11-27T16:07:02 --startdatetime 2017-11-27T16:12:17 --delay 81 --endMP 204:252 --enddatetime 2017-11-27T16:50:51 --enforcementcount 0 &gt;&gt;%USERPROFILE%\Documents\GitHub\eaglep3-reporting\EC\2017-11-27-refined-times.txt</v>
      </c>
      <c r="AI108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{"issue":{"subject":"","project_id":79,"tracker_id":40,"status_id":1,"priority_id":2,"assigned_to_id":338,"start_date":"2017-11-27","description":"","custom_fields":[{"id":1,"name":"Subdivision","value":"EC"},{"id":4,"name":"Milepost","value":"0.0252"},{"id":17,"name":"Train ID","value":"194-27"},{"id":16,"name":"Locomotive ID","value":"4013"},{"id":130,"name":"Impact","value":""},{"id":150,"name":"Time of Event (Mountain Time)","value":"16:50:51"},{"id":151,"name":"Denver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4"/>
      <c r="AK108" s="232"/>
      <c r="AL108" s="232"/>
      <c r="AM108" s="241" t="str">
        <f t="shared" si="40"/>
        <v>start /low /b %USERPROFILE%\Documents\GitHub\eaglep3\Utilities\DownloadLogsFromS3.py --loco 4013 --day 2017-11-27</v>
      </c>
      <c r="AN108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23:50:51"},{"id":29,"name":"Sharepoint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1" t="str">
        <f t="shared" si="42"/>
        <v>https://d0f6bd738d7f1b3e5a7ca70fe4ff75f0.us-east-1.aws.found.io/app/kibana#/discover/Steve-Slow-Train-Analysis-(2080s-and-2083s)?_g=(refreshInterval:(display:Off,pause:!f,section:0,value:0),time:(from:'2017-11-27T15:07:02-0700',mode:absolute,to:'2017-11-27T17:50:51-0700'))&amp;_a=(columns:!('Message%20ID',Summary),filters:!(),index:'emp_*',interval:auto,query:(query_string:(analyze_wildcard:!t,query:'%22rtdc.l.rtdc.4013%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30" t="s">
        <v>738</v>
      </c>
      <c r="B109" s="226">
        <v>4018</v>
      </c>
      <c r="C109" s="228" t="s">
        <v>192</v>
      </c>
      <c r="D109" s="228" t="s">
        <v>488</v>
      </c>
      <c r="E109" s="227">
        <v>43066.641759259262</v>
      </c>
      <c r="F109" s="227">
        <v>43066.646053240744</v>
      </c>
      <c r="G109" s="226">
        <v>64</v>
      </c>
      <c r="H109" s="228" t="s">
        <v>877</v>
      </c>
      <c r="I109" s="227">
        <v>43066.670706018522</v>
      </c>
      <c r="J109" s="226">
        <v>0</v>
      </c>
      <c r="K109" s="238" t="str">
        <f t="shared" si="26"/>
        <v>4017/4018</v>
      </c>
      <c r="L109" s="246" t="str">
        <f>VLOOKUP(A109,'Trips&amp;Operators'!$C$1:$G$99911,5,FALSE)</f>
        <v>GUZMAN DANNY</v>
      </c>
      <c r="M109" s="225">
        <f t="shared" si="27"/>
        <v>2.4652777778101154E-2</v>
      </c>
      <c r="N109" s="226">
        <f t="shared" si="44"/>
        <v>35.500000000465661</v>
      </c>
      <c r="O109" s="226"/>
      <c r="P109" s="226"/>
      <c r="Q109" s="229"/>
      <c r="R109" s="243"/>
      <c r="S109" s="250">
        <f t="shared" si="43"/>
        <v>1</v>
      </c>
      <c r="T109" s="243" t="str">
        <f t="shared" si="28"/>
        <v>NorthBound</v>
      </c>
      <c r="U109" s="24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9" t="str">
        <f t="shared" si="29"/>
        <v>https://d0f6bd738d7f1b3e5a7ca70fe4ff75f0.us-east-1.aws.found.io/app/kibana#/discover/Steve-Slow-Train-Analysis-(2080s-and-2083s)?_g=(refreshInterval:(display:Off,pause:!f,section:0,value:0),time:(from:'2017-11-27T14:24:08-0700',mode:absolute,to:'2017-11-27T17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9" s="248" t="str">
        <f>IF(AA109&lt;VLOOKUP(AG109,Variables!$AC$3:$AD$8,2,FALSE),"Y","N")</f>
        <v>N</v>
      </c>
      <c r="X109" s="248">
        <f t="shared" si="30"/>
        <v>1</v>
      </c>
      <c r="Y109" s="248">
        <f t="shared" si="31"/>
        <v>5.4600000000000003E-2</v>
      </c>
      <c r="Z109" s="248">
        <f t="shared" si="32"/>
        <v>23.322700000000001</v>
      </c>
      <c r="AA109" s="248">
        <f t="shared" si="33"/>
        <v>23.2681</v>
      </c>
      <c r="AB109" s="234" t="e">
        <f>VLOOKUP(A109,Enforcements!$C$7:$K$9,8,0)</f>
        <v>#N/A</v>
      </c>
      <c r="AC109" s="233" t="e">
        <f>VLOOKUP(A109,Enforcements!$C$7:$E$9,3,0)</f>
        <v>#N/A</v>
      </c>
      <c r="AD109" s="244">
        <f t="shared" si="34"/>
        <v>195</v>
      </c>
      <c r="AE109" s="236" t="str">
        <f t="shared" si="35"/>
        <v>aws s3 cp s3://rtdc.mdm.uploadarchive.raw/RTDC4018/ "%USERPROFILE%\AppData\Local\Temp\OnboardLogs"\RTDC4018\2017-11-27 --exclude "*" --recursive --include "*20171127*" &amp; "%USERPROFILE%\Documents\GitHub\mrs-test-scripts\Headless Mode &amp; Sideloading\WalkAndUnGZ.bat" "%USERPROFILE%\AppData\Local\Temp\OnboardLogs"\RTDC4018\2017-11-27 &amp; aws s3 cp s3://rtdc.mdm.uploadarchive.raw/RTDC4018/ "%USERPROFILE%\AppData\Local\Temp\OnboardLogs"\RTDC4018\2017-11-28 --exclude "*" --recursive --include "*20171128*" &amp; "%USERPROFILE%\Documents\GitHub\mrs-test-scripts\Headless Mode &amp; Sideloading\WalkAndUnGZ.bat" "%USERPROFILE%\AppData\Local\Temp\OnboardLogs"\RTDC4018\2017-11-28</v>
      </c>
      <c r="AF109" s="235" t="str">
        <f t="shared" si="36"/>
        <v>"C:\Program Files (x86)\AstroGrep\AstroGrep.exe" /e /r /s /spath="%USERPROFILE%\AppData\Local\Temp\OnboardLogs" /stypes="app*4018*20171127*" /stext=" 23:.+((SYSTEM_STATE.+slice.+state.+changed )|(ment ac)|(multiple cpu faults)|(system.+state.+changed )|(\[timeout)|(PRM\|1\|D)|(kpr)|(kdp)|(train st.+moving)|(\|lc)|(penalty))"</v>
      </c>
      <c r="AG109" s="245" t="str">
        <f t="shared" si="37"/>
        <v>EC</v>
      </c>
      <c r="AH109" s="237" t="str">
        <f t="shared" si="38"/>
        <v>"%USERPROFILE%\Documents\GitHub\eaglep3\Utilities\RefineRTDCRunTimes.py" --tripid 195-27 --locoid 4018 --swversion DE.1.0.9.0 --startMP 204:546 --initTime 2017-11-27T15:24:08 --startdatetime 2017-11-27T15:30:19 --delay 64 --endMP 204:233227 --enddatetime 2017-11-27T16:05:49 --enforcementcount 0 &gt;&gt;%USERPROFILE%\Documents\GitHub\eaglep3-reporting\EC\2017-11-27-refined-times.txt</v>
      </c>
      <c r="AI109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{"issue":{"subject":"","project_id":79,"tracker_id":40,"status_id":1,"priority_id":2,"assigned_to_id":338,"start_date":"2017-11-27","description":"","custom_fields":[{"id":1,"name":"Subdivision","value":"EC"},{"id":4,"name":"Milepost","value":"23.3227"},{"id":17,"name":"Train ID","value":"195-27"},{"id":16,"name":"Locomotive ID","value":"4018"},{"id":130,"name":"Impact","value":""},{"id":150,"name":"Time of Event (Mountain Time)","value":"16:05:49"},{"id":151,"name":"Denver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4"/>
      <c r="AK109" s="232"/>
      <c r="AL109" s="232"/>
      <c r="AM109" s="241" t="str">
        <f t="shared" si="40"/>
        <v>start /low /b %USERPROFILE%\Documents\GitHub\eaglep3\Utilities\DownloadLogsFromS3.py --loco 4018 --day 2017-11-27</v>
      </c>
      <c r="AN109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23:05:49"},{"id":29,"name":"Sharepoint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1" t="str">
        <f t="shared" si="42"/>
        <v>https://d0f6bd738d7f1b3e5a7ca70fe4ff75f0.us-east-1.aws.found.io/app/kibana#/discover/Steve-Slow-Train-Analysis-(2080s-and-2083s)?_g=(refreshInterval:(display:Off,pause:!f,section:0,value:0),time:(from:'2017-11-27T14:24:08-0700',mode:absolute,to:'2017-11-27T17:05:49-0700'))&amp;_a=(columns:!('Message%20ID',Summary),filters:!(),index:'emp_*',interval:auto,query:(query_string:(analyze_wildcard:!t,query:'%22rtdc.l.rtdc.4018%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30" t="s">
        <v>583</v>
      </c>
      <c r="B110" s="226">
        <v>4017</v>
      </c>
      <c r="C110" s="228" t="s">
        <v>192</v>
      </c>
      <c r="D110" s="228" t="s">
        <v>885</v>
      </c>
      <c r="E110" s="227">
        <v>43066.672511574077</v>
      </c>
      <c r="F110" s="227">
        <v>43066.685578703706</v>
      </c>
      <c r="G110" s="226">
        <v>53</v>
      </c>
      <c r="H110" s="228" t="s">
        <v>886</v>
      </c>
      <c r="I110" s="227">
        <v>43066.709097222221</v>
      </c>
      <c r="J110" s="226">
        <v>0</v>
      </c>
      <c r="K110" s="238" t="str">
        <f t="shared" si="26"/>
        <v>4017/4018</v>
      </c>
      <c r="L110" s="246" t="str">
        <f>VLOOKUP(A110,'Trips&amp;Operators'!$C$1:$G$99911,5,FALSE)</f>
        <v>GUZMAN DANNY</v>
      </c>
      <c r="M110" s="225">
        <f t="shared" si="27"/>
        <v>2.3518518515629694E-2</v>
      </c>
      <c r="N110" s="226"/>
      <c r="O110" s="226"/>
      <c r="P110" s="226">
        <f>24*60*SUM($M110:$M110)</f>
        <v>33.866666662506759</v>
      </c>
      <c r="Q110" s="229"/>
      <c r="R110" s="243" t="s">
        <v>1017</v>
      </c>
      <c r="S110" s="250">
        <f t="shared" si="43"/>
        <v>1</v>
      </c>
      <c r="T110" s="243" t="str">
        <f t="shared" si="28"/>
        <v>Southbound</v>
      </c>
      <c r="U110" s="24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9" t="str">
        <f t="shared" si="29"/>
        <v>https://d0f6bd738d7f1b3e5a7ca70fe4ff75f0.us-east-1.aws.found.io/app/kibana#/discover/Steve-Slow-Train-Analysis-(2080s-and-2083s)?_g=(refreshInterval:(display:Off,pause:!f,section:0,value:0),time:(from:'2017-11-27T15:08:25-0700',mode:absolute,to:'2017-11-27T18:01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0" s="248" t="str">
        <f>IF(AA110&lt;VLOOKUP(AG110,Variables!$AC$3:$AD$8,2,FALSE),"Y","N")</f>
        <v>Y</v>
      </c>
      <c r="X110" s="248">
        <f t="shared" si="30"/>
        <v>1</v>
      </c>
      <c r="Y110" s="248">
        <f t="shared" si="31"/>
        <v>23.290600000000001</v>
      </c>
      <c r="Z110" s="248">
        <f t="shared" si="32"/>
        <v>1.2664</v>
      </c>
      <c r="AA110" s="248">
        <f t="shared" si="33"/>
        <v>22.0242</v>
      </c>
      <c r="AB110" s="234" t="e">
        <f>VLOOKUP(A110,Enforcements!$C$7:$K$9,8,0)</f>
        <v>#N/A</v>
      </c>
      <c r="AC110" s="233" t="e">
        <f>VLOOKUP(A110,Enforcements!$C$7:$E$9,3,0)</f>
        <v>#N/A</v>
      </c>
      <c r="AD110" s="244">
        <f t="shared" si="34"/>
        <v>196</v>
      </c>
      <c r="AE110" s="236" t="str">
        <f t="shared" si="35"/>
        <v>aws s3 cp s3://rtdc.mdm.uploadarchive.raw/RTDC4017/ "%USERPROFILE%\AppData\Local\Temp\OnboardLogs"\RTDC4017\2017-11-27 --exclude "*" --recursive --include "*20171127*" &amp; "%USERPROFILE%\Documents\GitHub\mrs-test-scripts\Headless Mode &amp; Sideloading\WalkAndUnGZ.bat" "%USERPROFILE%\AppData\Local\Temp\OnboardLogs"\RTDC4017\2017-11-27 &amp; aws s3 cp s3://rtdc.mdm.uploadarchive.raw/RTDC4017/ "%USERPROFILE%\AppData\Local\Temp\OnboardLogs"\RTDC4017\2017-11-28 --exclude "*" --recursive --include "*20171128*" &amp; "%USERPROFILE%\Documents\GitHub\mrs-test-scripts\Headless Mode &amp; Sideloading\WalkAndUnGZ.bat" "%USERPROFILE%\AppData\Local\Temp\OnboardLogs"\RTDC4017\2017-11-28</v>
      </c>
      <c r="AF110" s="235" t="str">
        <f t="shared" si="36"/>
        <v>"C:\Program Files (x86)\AstroGrep\AstroGrep.exe" /e /r /s /spath="%USERPROFILE%\AppData\Local\Temp\OnboardLogs" /stypes="app*4017*20171128*" /stext=" 00:.+((SYSTEM_STATE.+slice.+state.+changed )|(ment ac)|(multiple cpu faults)|(system.+state.+changed )|(\[timeout)|(PRM\|1\|D)|(kpr)|(kdp)|(train st.+moving)|(\|lc)|(penalty))"</v>
      </c>
      <c r="AG110" s="245" t="str">
        <f t="shared" si="37"/>
        <v>EC</v>
      </c>
      <c r="AH110" s="237" t="str">
        <f t="shared" si="38"/>
        <v>"%USERPROFILE%\Documents\GitHub\eaglep3\Utilities\RefineRTDCRunTimes.py" --tripid 196-27 --locoid 4017 --swversion DE.1.0.9.0 --startMP 204:232906 --initTime 2017-11-27T16:08:25 --startdatetime 2017-11-27T16:27:14 --delay 53 --endMP 204:12664 --enddatetime 2017-11-27T17:01:06 --enforcementcount 0 &gt;&gt;%USERPROFILE%\Documents\GitHub\eaglep3-reporting\EC\2017-11-27-refined-times.txt</v>
      </c>
      <c r="AI110" s="239" t="str">
        <f t="shared" si="39"/>
        <v>echo {"issue":{"subject":"Wi-MAX data drop","project_id":79,"tracker_id":40,"status_id":1,"priority_id":2,"assigned_to_id":338,"start_date":"2017-11-27","description":"","custom_fields":[{"id":1,"name":"Subdivision","value":"EC"},{"id":4,"name":"Milepost","value":"1.2664"},{"id":17,"name":"Train ID","value":"196-27"},{"id":16,"name":"Locomotive ID","value":"4017"},{"id":130,"name":"Impact","value":""},{"id":150,"name":"Time of Event (Mountain Time)","value":"17:01:06"},{"id":151,"name":"Denver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4"/>
      <c r="AK110" s="232"/>
      <c r="AL110" s="232"/>
      <c r="AM110" s="241" t="str">
        <f t="shared" si="40"/>
        <v>start /low /b %USERPROFILE%\Documents\GitHub\eaglep3\Utilities\DownloadLogsFromS3.py --loco 4017 --day 2017-11-27</v>
      </c>
      <c r="AN110" s="242" t="str">
        <f t="shared" si="41"/>
        <v>echo {"issue":{"subject":"Wi-MAX data drop","project_id":30,"tracker_id":4,"status_id":1,"priority_id":1,"assigned_to_id":10,"start_date":"2017-11-28","description":"","custom_fields":[{"id":30,"name":"Category","value":"Issue"},{"id":3,"name":"Functional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00:01:06"},{"id":29,"name":"Sharepoint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1" t="str">
        <f t="shared" si="42"/>
        <v>https://d0f6bd738d7f1b3e5a7ca70fe4ff75f0.us-east-1.aws.found.io/app/kibana#/discover/Steve-Slow-Train-Analysis-(2080s-and-2083s)?_g=(refreshInterval:(display:Off,pause:!f,section:0,value:0),time:(from:'2017-11-27T15:08:25-0700',mode:absolute,to:'2017-11-27T18:01:06-0700'))&amp;_a=(columns:!('Message%20ID',Summary),filters:!(),index:'emp_*',interval:auto,query:(query_string:(analyze_wildcard:!t,query:'%22rtdc.l.rtdc.4017%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30" t="s">
        <v>742</v>
      </c>
      <c r="B111" s="226">
        <v>4064</v>
      </c>
      <c r="C111" s="228" t="s">
        <v>192</v>
      </c>
      <c r="D111" s="228" t="s">
        <v>432</v>
      </c>
      <c r="E111" s="227">
        <v>43066.653935185182</v>
      </c>
      <c r="F111" s="227">
        <v>43066.656736111108</v>
      </c>
      <c r="G111" s="226">
        <v>61</v>
      </c>
      <c r="H111" s="228" t="s">
        <v>887</v>
      </c>
      <c r="I111" s="227">
        <v>43066.681793981479</v>
      </c>
      <c r="J111" s="226">
        <v>0</v>
      </c>
      <c r="K111" s="238" t="str">
        <f t="shared" si="26"/>
        <v>4063/4064</v>
      </c>
      <c r="L111" s="246" t="str">
        <f>VLOOKUP(A111,'Trips&amp;Operators'!$C$1:$G$99911,5,FALSE)</f>
        <v>SAFIEF AEIMEN</v>
      </c>
      <c r="M111" s="225">
        <f t="shared" si="27"/>
        <v>2.5057870370801538E-2</v>
      </c>
      <c r="N111" s="226">
        <f t="shared" ref="N111:N142" si="45">24*60*SUM($M111:$M111)</f>
        <v>36.083333333954215</v>
      </c>
      <c r="O111" s="226"/>
      <c r="P111" s="226"/>
      <c r="Q111" s="229"/>
      <c r="R111" s="243"/>
      <c r="S111" s="250">
        <f t="shared" si="43"/>
        <v>1</v>
      </c>
      <c r="T111" s="243" t="str">
        <f t="shared" si="28"/>
        <v>NorthBound</v>
      </c>
      <c r="U111" s="24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9" t="str">
        <f t="shared" si="29"/>
        <v>https://d0f6bd738d7f1b3e5a7ca70fe4ff75f0.us-east-1.aws.found.io/app/kibana#/discover/Steve-Slow-Train-Analysis-(2080s-and-2083s)?_g=(refreshInterval:(display:Off,pause:!f,section:0,value:0),time:(from:'2017-11-27T14:41:40-0700',mode:absolute,to:'2017-11-27T17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1" s="248" t="str">
        <f>IF(AA111&lt;VLOOKUP(AG111,Variables!$AC$3:$AD$8,2,FALSE),"Y","N")</f>
        <v>N</v>
      </c>
      <c r="X111" s="248">
        <f t="shared" si="30"/>
        <v>1</v>
      </c>
      <c r="Y111" s="248">
        <f t="shared" si="31"/>
        <v>5.2200000000000003E-2</v>
      </c>
      <c r="Z111" s="248">
        <f t="shared" si="32"/>
        <v>23.324300000000001</v>
      </c>
      <c r="AA111" s="248">
        <f t="shared" si="33"/>
        <v>23.272100000000002</v>
      </c>
      <c r="AB111" s="234" t="e">
        <f>VLOOKUP(A111,Enforcements!$C$7:$K$9,8,0)</f>
        <v>#N/A</v>
      </c>
      <c r="AC111" s="233" t="e">
        <f>VLOOKUP(A111,Enforcements!$C$7:$E$9,3,0)</f>
        <v>#N/A</v>
      </c>
      <c r="AD111" s="244">
        <f t="shared" si="34"/>
        <v>197</v>
      </c>
      <c r="AE111" s="236" t="str">
        <f t="shared" si="35"/>
        <v>aws s3 cp s3://rtdc.mdm.uploadarchive.raw/RTDC4064/ "%USERPROFILE%\AppData\Local\Temp\OnboardLogs"\RTDC4064\2017-11-27 --exclude "*" --recursive --include "*20171127*" &amp; "%USERPROFILE%\Documents\GitHub\mrs-test-scripts\Headless Mode &amp; Sideloading\WalkAndUnGZ.bat" "%USERPROFILE%\AppData\Local\Temp\OnboardLogs"\RTDC4064\2017-11-27 &amp; aws s3 cp s3://rtdc.mdm.uploadarchive.raw/RTDC4064/ "%USERPROFILE%\AppData\Local\Temp\OnboardLogs"\RTDC4064\2017-11-28 --exclude "*" --recursive --include "*20171128*" &amp; "%USERPROFILE%\Documents\GitHub\mrs-test-scripts\Headless Mode &amp; Sideloading\WalkAndUnGZ.bat" "%USERPROFILE%\AppData\Local\Temp\OnboardLogs"\RTDC4064\2017-11-28</v>
      </c>
      <c r="AF111" s="235" t="str">
        <f t="shared" si="36"/>
        <v>"C:\Program Files (x86)\AstroGrep\AstroGrep.exe" /e /r /s /spath="%USERPROFILE%\AppData\Local\Temp\OnboardLogs" /stypes="app*4064*20171127*" /stext=" 23:.+((SYSTEM_STATE.+slice.+state.+changed )|(ment ac)|(multiple cpu faults)|(system.+state.+changed )|(\[timeout)|(PRM\|1\|D)|(kpr)|(kdp)|(train st.+moving)|(\|lc)|(penalty))"</v>
      </c>
      <c r="AG111" s="245" t="str">
        <f t="shared" si="37"/>
        <v>EC</v>
      </c>
      <c r="AH111" s="237" t="str">
        <f t="shared" si="38"/>
        <v>"%USERPROFILE%\Documents\GitHub\eaglep3\Utilities\RefineRTDCRunTimes.py" --tripid 197-27 --locoid 4064 --swversion DE.1.0.9.0 --startMP 204:522 --initTime 2017-11-27T15:41:40 --startdatetime 2017-11-27T15:45:42 --delay 61 --endMP 204:233243 --enddatetime 2017-11-27T16:21:47 --enforcementcount 0 &gt;&gt;%USERPROFILE%\Documents\GitHub\eaglep3-reporting\EC\2017-11-27-refined-times.txt</v>
      </c>
      <c r="AI111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{"issue":{"subject":"","project_id":79,"tracker_id":40,"status_id":1,"priority_id":2,"assigned_to_id":338,"start_date":"2017-11-27","description":"","custom_fields":[{"id":1,"name":"Subdivision","value":"EC"},{"id":4,"name":"Milepost","value":"23.3243"},{"id":17,"name":"Train ID","value":"197-27"},{"id":16,"name":"Locomotive ID","value":"4064"},{"id":130,"name":"Impact","value":""},{"id":150,"name":"Time of Event (Mountain Time)","value":"16:21:47"},{"id":151,"name":"Denver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4"/>
      <c r="AK111" s="232"/>
      <c r="AL111" s="232"/>
      <c r="AM111" s="241" t="str">
        <f t="shared" si="40"/>
        <v>start /low /b %USERPROFILE%\Documents\GitHub\eaglep3\Utilities\DownloadLogsFromS3.py --loco 4064 --day 2017-11-27</v>
      </c>
      <c r="AN111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23:21:47"},{"id":29,"name":"Sharepoint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1" t="str">
        <f t="shared" si="42"/>
        <v>https://d0f6bd738d7f1b3e5a7ca70fe4ff75f0.us-east-1.aws.found.io/app/kibana#/discover/Steve-Slow-Train-Analysis-(2080s-and-2083s)?_g=(refreshInterval:(display:Off,pause:!f,section:0,value:0),time:(from:'2017-11-27T14:41:40-0700',mode:absolute,to:'2017-11-27T17:21:47-0700'))&amp;_a=(columns:!('Message%20ID',Summary),filters:!(),index:'emp_*',interval:auto,query:(query_string:(analyze_wildcard:!t,query:'%22rtdc.l.rtdc.4064%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30" t="s">
        <v>754</v>
      </c>
      <c r="B112" s="226">
        <v>4063</v>
      </c>
      <c r="C112" s="228" t="s">
        <v>192</v>
      </c>
      <c r="D112" s="228" t="s">
        <v>542</v>
      </c>
      <c r="E112" s="227">
        <v>43066.693043981482</v>
      </c>
      <c r="F112" s="227">
        <v>43066.696006944447</v>
      </c>
      <c r="G112" s="226">
        <v>72</v>
      </c>
      <c r="H112" s="228" t="s">
        <v>537</v>
      </c>
      <c r="I112" s="227">
        <v>43066.722083333334</v>
      </c>
      <c r="J112" s="226">
        <v>0</v>
      </c>
      <c r="K112" s="238" t="str">
        <f t="shared" si="26"/>
        <v>4063/4064</v>
      </c>
      <c r="L112" s="246" t="str">
        <f>VLOOKUP(A112,'Trips&amp;Operators'!$C$1:$G$99911,5,FALSE)</f>
        <v>SAFIEF AEIMEN</v>
      </c>
      <c r="M112" s="225">
        <f t="shared" si="27"/>
        <v>2.6076388887304347E-2</v>
      </c>
      <c r="N112" s="226">
        <f t="shared" si="45"/>
        <v>37.54999999771826</v>
      </c>
      <c r="O112" s="226"/>
      <c r="P112" s="226"/>
      <c r="Q112" s="229"/>
      <c r="R112" s="243"/>
      <c r="S112" s="250">
        <f t="shared" si="43"/>
        <v>1</v>
      </c>
      <c r="T112" s="243" t="str">
        <f t="shared" si="28"/>
        <v>Southbound</v>
      </c>
      <c r="U112" s="24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9" t="str">
        <f t="shared" si="29"/>
        <v>https://d0f6bd738d7f1b3e5a7ca70fe4ff75f0.us-east-1.aws.found.io/app/kibana#/discover/Steve-Slow-Train-Analysis-(2080s-and-2083s)?_g=(refreshInterval:(display:Off,pause:!f,section:0,value:0),time:(from:'2017-11-27T15:37:59-0700',mode:absolute,to:'2017-11-27T18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2" s="248" t="str">
        <f>IF(AA112&lt;VLOOKUP(AG112,Variables!$AC$3:$AD$8,2,FALSE),"Y","N")</f>
        <v>N</v>
      </c>
      <c r="X112" s="248">
        <f t="shared" si="30"/>
        <v>1</v>
      </c>
      <c r="Y112" s="248">
        <f t="shared" si="31"/>
        <v>23.291899999999998</v>
      </c>
      <c r="Z112" s="248">
        <f t="shared" si="32"/>
        <v>2.0500000000000001E-2</v>
      </c>
      <c r="AA112" s="248">
        <f t="shared" si="33"/>
        <v>23.2714</v>
      </c>
      <c r="AB112" s="234" t="e">
        <f>VLOOKUP(A112,Enforcements!$C$7:$K$9,8,0)</f>
        <v>#N/A</v>
      </c>
      <c r="AC112" s="233" t="e">
        <f>VLOOKUP(A112,Enforcements!$C$7:$E$9,3,0)</f>
        <v>#N/A</v>
      </c>
      <c r="AD112" s="244">
        <f t="shared" si="34"/>
        <v>198</v>
      </c>
      <c r="AE112" s="236" t="str">
        <f t="shared" si="35"/>
        <v>aws s3 cp s3://rtdc.mdm.uploadarchive.raw/RTDC4063/ "%USERPROFILE%\AppData\Local\Temp\OnboardLogs"\RTDC4063\2017-11-27 --exclude "*" --recursive --include "*20171127*" &amp; "%USERPROFILE%\Documents\GitHub\mrs-test-scripts\Headless Mode &amp; Sideloading\WalkAndUnGZ.bat" "%USERPROFILE%\AppData\Local\Temp\OnboardLogs"\RTDC4063\2017-11-27 &amp; aws s3 cp s3://rtdc.mdm.uploadarchive.raw/RTDC4063/ "%USERPROFILE%\AppData\Local\Temp\OnboardLogs"\RTDC4063\2017-11-28 --exclude "*" --recursive --include "*20171128*" &amp; "%USERPROFILE%\Documents\GitHub\mrs-test-scripts\Headless Mode &amp; Sideloading\WalkAndUnGZ.bat" "%USERPROFILE%\AppData\Local\Temp\OnboardLogs"\RTDC4063\2017-11-28</v>
      </c>
      <c r="AF112" s="235" t="str">
        <f t="shared" si="36"/>
        <v>"C:\Program Files (x86)\AstroGrep\AstroGrep.exe" /e /r /s /spath="%USERPROFILE%\AppData\Local\Temp\OnboardLogs" /stypes="app*4063*20171128*" /stext=" 00:.+((SYSTEM_STATE.+slice.+state.+changed )|(ment ac)|(multiple cpu faults)|(system.+state.+changed )|(\[timeout)|(PRM\|1\|D)|(kpr)|(kdp)|(train st.+moving)|(\|lc)|(penalty))"</v>
      </c>
      <c r="AG112" s="245" t="str">
        <f t="shared" si="37"/>
        <v>EC</v>
      </c>
      <c r="AH112" s="237" t="str">
        <f t="shared" si="38"/>
        <v>"%USERPROFILE%\Documents\GitHub\eaglep3\Utilities\RefineRTDCRunTimes.py" --tripid 198-27 --locoid 4063 --swversion DE.1.0.9.0 --startMP 204:232919 --initTime 2017-11-27T16:37:59 --startdatetime 2017-11-27T16:42:15 --delay 72 --endMP 204:205 --enddatetime 2017-11-27T17:19:48 --enforcementcount 0 &gt;&gt;%USERPROFILE%\Documents\GitHub\eaglep3-reporting\EC\2017-11-27-refined-times.txt</v>
      </c>
      <c r="AI112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{"issue":{"subject":"","project_id":79,"tracker_id":40,"status_id":1,"priority_id":2,"assigned_to_id":338,"start_date":"2017-11-27","description":"","custom_fields":[{"id":1,"name":"Subdivision","value":"EC"},{"id":4,"name":"Milepost","value":"0.0205"},{"id":17,"name":"Train ID","value":"198-27"},{"id":16,"name":"Locomotive ID","value":"4063"},{"id":130,"name":"Impact","value":""},{"id":150,"name":"Time of Event (Mountain Time)","value":"17:19:48"},{"id":151,"name":"Denver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4"/>
      <c r="AK112" s="232"/>
      <c r="AL112" s="232"/>
      <c r="AM112" s="241" t="str">
        <f t="shared" si="40"/>
        <v>start /low /b %USERPROFILE%\Documents\GitHub\eaglep3\Utilities\DownloadLogsFromS3.py --loco 4063 --day 2017-11-27</v>
      </c>
      <c r="AN112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00:19:48"},{"id":29,"name":"Sharepoint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1" t="str">
        <f t="shared" si="42"/>
        <v>https://d0f6bd738d7f1b3e5a7ca70fe4ff75f0.us-east-1.aws.found.io/app/kibana#/discover/Steve-Slow-Train-Analysis-(2080s-and-2083s)?_g=(refreshInterval:(display:Off,pause:!f,section:0,value:0),time:(from:'2017-11-27T15:37:59-0700',mode:absolute,to:'2017-11-27T18:19:48-0700'))&amp;_a=(columns:!('Message%20ID',Summary),filters:!(),index:'emp_*',interval:auto,query:(query_string:(analyze_wildcard:!t,query:'%22rtdc.l.rtdc.4063%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30" t="s">
        <v>747</v>
      </c>
      <c r="B113" s="226">
        <v>4022</v>
      </c>
      <c r="C113" s="228" t="s">
        <v>192</v>
      </c>
      <c r="D113" s="228" t="s">
        <v>498</v>
      </c>
      <c r="E113" s="227">
        <v>43066.662881944445</v>
      </c>
      <c r="F113" s="227">
        <v>43066.666828703703</v>
      </c>
      <c r="G113" s="226">
        <v>59</v>
      </c>
      <c r="H113" s="228" t="s">
        <v>888</v>
      </c>
      <c r="I113" s="227">
        <v>43066.692384259259</v>
      </c>
      <c r="J113" s="226">
        <v>0</v>
      </c>
      <c r="K113" s="238" t="str">
        <f t="shared" si="26"/>
        <v>4021/4022</v>
      </c>
      <c r="L113" s="246" t="str">
        <f>VLOOKUP(A113,'Trips&amp;Operators'!$C$1:$G$99911,5,FALSE)</f>
        <v>BADERTSCHER DIANE</v>
      </c>
      <c r="M113" s="225">
        <f t="shared" si="27"/>
        <v>2.5555555555911269E-2</v>
      </c>
      <c r="N113" s="226">
        <f t="shared" si="45"/>
        <v>36.800000000512227</v>
      </c>
      <c r="O113" s="226"/>
      <c r="P113" s="226"/>
      <c r="Q113" s="229"/>
      <c r="R113" s="243"/>
      <c r="S113" s="250">
        <f t="shared" si="43"/>
        <v>1</v>
      </c>
      <c r="T113" s="243" t="str">
        <f t="shared" si="28"/>
        <v>NorthBound</v>
      </c>
      <c r="U113" s="24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9" t="str">
        <f t="shared" si="29"/>
        <v>https://d0f6bd738d7f1b3e5a7ca70fe4ff75f0.us-east-1.aws.found.io/app/kibana#/discover/Steve-Slow-Train-Analysis-(2080s-and-2083s)?_g=(refreshInterval:(display:Off,pause:!f,section:0,value:0),time:(from:'2017-11-27T14:54:33-0700',mode:absolute,to:'2017-11-27T17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3" s="248" t="str">
        <f>IF(AA113&lt;VLOOKUP(AG113,Variables!$AC$3:$AD$8,2,FALSE),"Y","N")</f>
        <v>N</v>
      </c>
      <c r="X113" s="248">
        <f t="shared" si="30"/>
        <v>1</v>
      </c>
      <c r="Y113" s="248">
        <f t="shared" si="31"/>
        <v>5.3999999999999999E-2</v>
      </c>
      <c r="Z113" s="248">
        <f t="shared" si="32"/>
        <v>23.324400000000001</v>
      </c>
      <c r="AA113" s="248">
        <f t="shared" si="33"/>
        <v>23.270400000000002</v>
      </c>
      <c r="AB113" s="234" t="e">
        <f>VLOOKUP(A113,Enforcements!$C$7:$K$9,8,0)</f>
        <v>#N/A</v>
      </c>
      <c r="AC113" s="233" t="e">
        <f>VLOOKUP(A113,Enforcements!$C$7:$E$9,3,0)</f>
        <v>#N/A</v>
      </c>
      <c r="AD113" s="244">
        <f t="shared" si="34"/>
        <v>199</v>
      </c>
      <c r="AE113" s="236" t="str">
        <f t="shared" si="35"/>
        <v>aws s3 cp s3://rtdc.mdm.uploadarchive.raw/RTDC4022/ "%USERPROFILE%\AppData\Local\Temp\OnboardLogs"\RTDC4022\2017-11-27 --exclude "*" --recursive --include "*20171127*" &amp; "%USERPROFILE%\Documents\GitHub\mrs-test-scripts\Headless Mode &amp; Sideloading\WalkAndUnGZ.bat" "%USERPROFILE%\AppData\Local\Temp\OnboardLogs"\RTDC4022\2017-11-27 &amp; aws s3 cp s3://rtdc.mdm.uploadarchive.raw/RTDC4022/ "%USERPROFILE%\AppData\Local\Temp\OnboardLogs"\RTDC4022\2017-11-28 --exclude "*" --recursive --include "*20171128*" &amp; "%USERPROFILE%\Documents\GitHub\mrs-test-scripts\Headless Mode &amp; Sideloading\WalkAndUnGZ.bat" "%USERPROFILE%\AppData\Local\Temp\OnboardLogs"\RTDC4022\2017-11-28</v>
      </c>
      <c r="AF113" s="235" t="str">
        <f t="shared" si="36"/>
        <v>"C:\Program Files (x86)\AstroGrep\AstroGrep.exe" /e /r /s /spath="%USERPROFILE%\AppData\Local\Temp\OnboardLogs" /stypes="app*4022*20171127*" /stext=" 23:.+((SYSTEM_STATE.+slice.+state.+changed )|(ment ac)|(multiple cpu faults)|(system.+state.+changed )|(\[timeout)|(PRM\|1\|D)|(kpr)|(kdp)|(train st.+moving)|(\|lc)|(penalty))"</v>
      </c>
      <c r="AG113" s="245" t="str">
        <f t="shared" si="37"/>
        <v>EC</v>
      </c>
      <c r="AH113" s="237" t="str">
        <f t="shared" si="38"/>
        <v>"%USERPROFILE%\Documents\GitHub\eaglep3\Utilities\RefineRTDCRunTimes.py" --tripid 199-27 --locoid 4022 --swversion DE.1.0.9.0 --startMP 204:540 --initTime 2017-11-27T15:54:33 --startdatetime 2017-11-27T16:00:14 --delay 59 --endMP 204:233244 --enddatetime 2017-11-27T16:37:02 --enforcementcount 0 &gt;&gt;%USERPROFILE%\Documents\GitHub\eaglep3-reporting\EC\2017-11-27-refined-times.txt</v>
      </c>
      <c r="AI113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{"issue":{"subject":"","project_id":79,"tracker_id":40,"status_id":1,"priority_id":2,"assigned_to_id":338,"start_date":"2017-11-27","description":"","custom_fields":[{"id":1,"name":"Subdivision","value":"EC"},{"id":4,"name":"Milepost","value":"23.3244"},{"id":17,"name":"Train ID","value":"199-27"},{"id":16,"name":"Locomotive ID","value":"4022"},{"id":130,"name":"Impact","value":""},{"id":150,"name":"Time of Event (Mountain Time)","value":"16:37:02"},{"id":151,"name":"Denver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4"/>
      <c r="AK113" s="232"/>
      <c r="AL113" s="232"/>
      <c r="AM113" s="241" t="str">
        <f t="shared" si="40"/>
        <v>start /low /b %USERPROFILE%\Documents\GitHub\eaglep3\Utilities\DownloadLogsFromS3.py --loco 4022 --day 2017-11-27</v>
      </c>
      <c r="AN113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23:37:02"},{"id":29,"name":"Sharepoint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1" t="str">
        <f t="shared" si="42"/>
        <v>https://d0f6bd738d7f1b3e5a7ca70fe4ff75f0.us-east-1.aws.found.io/app/kibana#/discover/Steve-Slow-Train-Analysis-(2080s-and-2083s)?_g=(refreshInterval:(display:Off,pause:!f,section:0,value:0),time:(from:'2017-11-27T14:54:33-0700',mode:absolute,to:'2017-11-27T17:37:02-0700'))&amp;_a=(columns:!('Message%20ID',Summary),filters:!(),index:'emp_*',interval:auto,query:(query_string:(analyze_wildcard:!t,query:'%22rtdc.l.rtdc.4022%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30" t="s">
        <v>756</v>
      </c>
      <c r="B114" s="226">
        <v>4021</v>
      </c>
      <c r="C114" s="228" t="s">
        <v>192</v>
      </c>
      <c r="D114" s="228" t="s">
        <v>859</v>
      </c>
      <c r="E114" s="227">
        <v>43066.700844907406</v>
      </c>
      <c r="F114" s="227">
        <v>43066.706423611111</v>
      </c>
      <c r="G114" s="226">
        <v>63</v>
      </c>
      <c r="H114" s="228" t="s">
        <v>860</v>
      </c>
      <c r="I114" s="227">
        <v>43066.7346875</v>
      </c>
      <c r="J114" s="226">
        <v>0</v>
      </c>
      <c r="K114" s="238" t="str">
        <f t="shared" si="26"/>
        <v>4021/4022</v>
      </c>
      <c r="L114" s="246" t="str">
        <f>VLOOKUP(A114,'Trips&amp;Operators'!$C$1:$G$99911,5,FALSE)</f>
        <v>BADERTSCHER DIANE</v>
      </c>
      <c r="M114" s="225">
        <f t="shared" si="27"/>
        <v>2.8263888889341615E-2</v>
      </c>
      <c r="N114" s="226">
        <f t="shared" si="45"/>
        <v>40.700000000651926</v>
      </c>
      <c r="O114" s="226"/>
      <c r="P114" s="226"/>
      <c r="Q114" s="229"/>
      <c r="R114" s="243"/>
      <c r="S114" s="250">
        <f t="shared" si="43"/>
        <v>1</v>
      </c>
      <c r="T114" s="243" t="str">
        <f t="shared" si="28"/>
        <v>Southbound</v>
      </c>
      <c r="U114" s="24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9" t="str">
        <f t="shared" si="29"/>
        <v>https://d0f6bd738d7f1b3e5a7ca70fe4ff75f0.us-east-1.aws.found.io/app/kibana#/discover/Steve-Slow-Train-Analysis-(2080s-and-2083s)?_g=(refreshInterval:(display:Off,pause:!f,section:0,value:0),time:(from:'2017-11-27T15:49:13-0700',mode:absolute,to:'2017-11-27T18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4" s="248" t="str">
        <f>IF(AA114&lt;VLOOKUP(AG114,Variables!$AC$3:$AD$8,2,FALSE),"Y","N")</f>
        <v>N</v>
      </c>
      <c r="X114" s="248">
        <f t="shared" si="30"/>
        <v>1</v>
      </c>
      <c r="Y114" s="248">
        <f t="shared" si="31"/>
        <v>23.291499999999999</v>
      </c>
      <c r="Z114" s="248">
        <f t="shared" si="32"/>
        <v>2.3099999999999999E-2</v>
      </c>
      <c r="AA114" s="248">
        <f t="shared" si="33"/>
        <v>23.2684</v>
      </c>
      <c r="AB114" s="234" t="e">
        <f>VLOOKUP(A114,Enforcements!$C$7:$K$9,8,0)</f>
        <v>#N/A</v>
      </c>
      <c r="AC114" s="233" t="e">
        <f>VLOOKUP(A114,Enforcements!$C$7:$E$9,3,0)</f>
        <v>#N/A</v>
      </c>
      <c r="AD114" s="244">
        <f t="shared" si="34"/>
        <v>200</v>
      </c>
      <c r="AE114" s="236" t="str">
        <f t="shared" si="35"/>
        <v>aws s3 cp s3://rtdc.mdm.uploadarchive.raw/RTDC4021/ "%USERPROFILE%\AppData\Local\Temp\OnboardLogs"\RTDC4021\2017-11-27 --exclude "*" --recursive --include "*20171127*" &amp; "%USERPROFILE%\Documents\GitHub\mrs-test-scripts\Headless Mode &amp; Sideloading\WalkAndUnGZ.bat" "%USERPROFILE%\AppData\Local\Temp\OnboardLogs"\RTDC4021\2017-11-27 &amp; aws s3 cp s3://rtdc.mdm.uploadarchive.raw/RTDC4021/ "%USERPROFILE%\AppData\Local\Temp\OnboardLogs"\RTDC4021\2017-11-28 --exclude "*" --recursive --include "*20171128*" &amp; "%USERPROFILE%\Documents\GitHub\mrs-test-scripts\Headless Mode &amp; Sideloading\WalkAndUnGZ.bat" "%USERPROFILE%\AppData\Local\Temp\OnboardLogs"\RTDC4021\2017-11-28</v>
      </c>
      <c r="AF114" s="235" t="str">
        <f t="shared" si="36"/>
        <v>"C:\Program Files (x86)\AstroGrep\AstroGrep.exe" /e /r /s /spath="%USERPROFILE%\AppData\Local\Temp\OnboardLogs" /stypes="app*4021*20171128*" /stext=" 00:.+((SYSTEM_STATE.+slice.+state.+changed )|(ment ac)|(multiple cpu faults)|(system.+state.+changed )|(\[timeout)|(PRM\|1\|D)|(kpr)|(kdp)|(train st.+moving)|(\|lc)|(penalty))"</v>
      </c>
      <c r="AG114" s="245" t="str">
        <f t="shared" si="37"/>
        <v>EC</v>
      </c>
      <c r="AH114" s="237" t="str">
        <f t="shared" si="38"/>
        <v>"%USERPROFILE%\Documents\GitHub\eaglep3\Utilities\RefineRTDCRunTimes.py" --tripid 200-27 --locoid 4021 --swversion DE.1.0.9.0 --startMP 204:232915 --initTime 2017-11-27T16:49:13 --startdatetime 2017-11-27T16:57:15 --delay 63 --endMP 204:231 --enddatetime 2017-11-27T17:37:57 --enforcementcount 0 &gt;&gt;%USERPROFILE%\Documents\GitHub\eaglep3-reporting\EC\2017-11-27-refined-times.txt</v>
      </c>
      <c r="AI114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{"issue":{"subject":"","project_id":79,"tracker_id":40,"status_id":1,"priority_id":2,"assigned_to_id":338,"start_date":"2017-11-27","description":"","custom_fields":[{"id":1,"name":"Subdivision","value":"EC"},{"id":4,"name":"Milepost","value":"0.0231"},{"id":17,"name":"Train ID","value":"200-27"},{"id":16,"name":"Locomotive ID","value":"4021"},{"id":130,"name":"Impact","value":""},{"id":150,"name":"Time of Event (Mountain Time)","value":"17:37:57"},{"id":151,"name":"Denver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4"/>
      <c r="AK114" s="232"/>
      <c r="AL114" s="232"/>
      <c r="AM114" s="241" t="str">
        <f t="shared" si="40"/>
        <v>start /low /b %USERPROFILE%\Documents\GitHub\eaglep3\Utilities\DownloadLogsFromS3.py --loco 4021 --day 2017-11-27</v>
      </c>
      <c r="AN114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00:37:57"},{"id":29,"name":"Sharepoint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1" t="str">
        <f t="shared" si="42"/>
        <v>https://d0f6bd738d7f1b3e5a7ca70fe4ff75f0.us-east-1.aws.found.io/app/kibana#/discover/Steve-Slow-Train-Analysis-(2080s-and-2083s)?_g=(refreshInterval:(display:Off,pause:!f,section:0,value:0),time:(from:'2017-11-27T15:49:13-0700',mode:absolute,to:'2017-11-27T18:37:57-0700'))&amp;_a=(columns:!('Message%20ID',Summary),filters:!(),index:'emp_*',interval:auto,query:(query_string:(analyze_wildcard:!t,query:'%22rtdc.l.rtdc.4021%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30" t="s">
        <v>751</v>
      </c>
      <c r="B115" s="226">
        <v>4054</v>
      </c>
      <c r="C115" s="228" t="s">
        <v>192</v>
      </c>
      <c r="D115" s="228" t="s">
        <v>417</v>
      </c>
      <c r="E115" s="227">
        <v>43066.672256944446</v>
      </c>
      <c r="F115" s="227">
        <v>43066.677372685182</v>
      </c>
      <c r="G115" s="226">
        <v>70</v>
      </c>
      <c r="H115" s="228" t="s">
        <v>534</v>
      </c>
      <c r="I115" s="227">
        <v>43066.702268518522</v>
      </c>
      <c r="J115" s="226">
        <v>0</v>
      </c>
      <c r="K115" s="238" t="str">
        <f t="shared" si="26"/>
        <v>4053/4054</v>
      </c>
      <c r="L115" s="246" t="str">
        <f>VLOOKUP(A115,'Trips&amp;Operators'!$C$1:$G$99911,5,FALSE)</f>
        <v>SMITH MICHAEL</v>
      </c>
      <c r="M115" s="225">
        <f t="shared" si="27"/>
        <v>2.489583333954215E-2</v>
      </c>
      <c r="N115" s="226">
        <f t="shared" si="45"/>
        <v>35.850000008940697</v>
      </c>
      <c r="O115" s="226"/>
      <c r="P115" s="226"/>
      <c r="Q115" s="229"/>
      <c r="R115" s="243"/>
      <c r="S115" s="250">
        <f t="shared" si="43"/>
        <v>1</v>
      </c>
      <c r="T115" s="243" t="str">
        <f t="shared" si="28"/>
        <v>NorthBound</v>
      </c>
      <c r="U115" s="24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9" t="str">
        <f t="shared" si="29"/>
        <v>https://d0f6bd738d7f1b3e5a7ca70fe4ff75f0.us-east-1.aws.found.io/app/kibana#/discover/Steve-Slow-Train-Analysis-(2080s-and-2083s)?_g=(refreshInterval:(display:Off,pause:!f,section:0,value:0),time:(from:'2017-11-27T15:08:03-0700',mode:absolute,to:'2017-11-27T17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5" s="248" t="str">
        <f>IF(AA115&lt;VLOOKUP(AG115,Variables!$AC$3:$AD$8,2,FALSE),"Y","N")</f>
        <v>N</v>
      </c>
      <c r="X115" s="248">
        <f t="shared" si="30"/>
        <v>1</v>
      </c>
      <c r="Y115" s="248">
        <f t="shared" si="31"/>
        <v>5.1900000000000002E-2</v>
      </c>
      <c r="Z115" s="248">
        <f t="shared" si="32"/>
        <v>23.3293</v>
      </c>
      <c r="AA115" s="248">
        <f t="shared" si="33"/>
        <v>23.2774</v>
      </c>
      <c r="AB115" s="234" t="e">
        <f>VLOOKUP(A115,Enforcements!$C$7:$K$9,8,0)</f>
        <v>#N/A</v>
      </c>
      <c r="AC115" s="233" t="e">
        <f>VLOOKUP(A115,Enforcements!$C$7:$E$9,3,0)</f>
        <v>#N/A</v>
      </c>
      <c r="AD115" s="244">
        <f t="shared" si="34"/>
        <v>201</v>
      </c>
      <c r="AE115" s="236" t="str">
        <f t="shared" si="35"/>
        <v>aws s3 cp s3://rtdc.mdm.uploadarchive.raw/RTDC4054/ "%USERPROFILE%\AppData\Local\Temp\OnboardLogs"\RTDC4054\2017-11-27 --exclude "*" --recursive --include "*20171127*" &amp; "%USERPROFILE%\Documents\GitHub\mrs-test-scripts\Headless Mode &amp; Sideloading\WalkAndUnGZ.bat" "%USERPROFILE%\AppData\Local\Temp\OnboardLogs"\RTDC4054\2017-11-27 &amp; aws s3 cp s3://rtdc.mdm.uploadarchive.raw/RTDC4054/ "%USERPROFILE%\AppData\Local\Temp\OnboardLogs"\RTDC4054\2017-11-28 --exclude "*" --recursive --include "*20171128*" &amp; "%USERPROFILE%\Documents\GitHub\mrs-test-scripts\Headless Mode &amp; Sideloading\WalkAndUnGZ.bat" "%USERPROFILE%\AppData\Local\Temp\OnboardLogs"\RTDC4054\2017-11-28</v>
      </c>
      <c r="AF115" s="235" t="str">
        <f t="shared" si="36"/>
        <v>"C:\Program Files (x86)\AstroGrep\AstroGrep.exe" /e /r /s /spath="%USERPROFILE%\AppData\Local\Temp\OnboardLogs" /stypes="app*4054*20171127*" /stext=" 23:.+((SYSTEM_STATE.+slice.+state.+changed )|(ment ac)|(multiple cpu faults)|(system.+state.+changed )|(\[timeout)|(PRM\|1\|D)|(kpr)|(kdp)|(train st.+moving)|(\|lc)|(penalty))"</v>
      </c>
      <c r="AG115" s="245" t="str">
        <f t="shared" si="37"/>
        <v>EC</v>
      </c>
      <c r="AH115" s="237" t="str">
        <f t="shared" si="38"/>
        <v>"%USERPROFILE%\Documents\GitHub\eaglep3\Utilities\RefineRTDCRunTimes.py" --tripid 201-27 --locoid 4054 --swversion DE.1.0.9.0 --startMP 204:519 --initTime 2017-11-27T16:08:03 --startdatetime 2017-11-27T16:15:25 --delay 70 --endMP 204:233293 --enddatetime 2017-11-27T16:51:16 --enforcementcount 0 &gt;&gt;%USERPROFILE%\Documents\GitHub\eaglep3-reporting\EC\2017-11-27-refined-times.txt</v>
      </c>
      <c r="AI115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{"issue":{"subject":"","project_id":79,"tracker_id":40,"status_id":1,"priority_id":2,"assigned_to_id":338,"start_date":"2017-11-27","description":"","custom_fields":[{"id":1,"name":"Subdivision","value":"EC"},{"id":4,"name":"Milepost","value":"23.3293"},{"id":17,"name":"Train ID","value":"201-27"},{"id":16,"name":"Locomotive ID","value":"4054"},{"id":130,"name":"Impact","value":""},{"id":150,"name":"Time of Event (Mountain Time)","value":"16:51:16"},{"id":151,"name":"Denver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4"/>
      <c r="AK115" s="232"/>
      <c r="AL115" s="232"/>
      <c r="AM115" s="241" t="str">
        <f t="shared" si="40"/>
        <v>start /low /b %USERPROFILE%\Documents\GitHub\eaglep3\Utilities\DownloadLogsFromS3.py --loco 4054 --day 2017-11-27</v>
      </c>
      <c r="AN115" s="242" t="str">
        <f t="shared" si="41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23:51:16"},{"id":29,"name":"Sharepoint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1" t="str">
        <f t="shared" si="42"/>
        <v>https://d0f6bd738d7f1b3e5a7ca70fe4ff75f0.us-east-1.aws.found.io/app/kibana#/discover/Steve-Slow-Train-Analysis-(2080s-and-2083s)?_g=(refreshInterval:(display:Off,pause:!f,section:0,value:0),time:(from:'2017-11-27T15:08:03-0700',mode:absolute,to:'2017-11-27T17:51:16-0700'))&amp;_a=(columns:!('Message%20ID',Summary),filters:!(),index:'emp_*',interval:auto,query:(query_string:(analyze_wildcard:!t,query:'%22rtdc.l.rtdc.4054%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30" t="s">
        <v>759</v>
      </c>
      <c r="B116" s="226">
        <v>4053</v>
      </c>
      <c r="C116" s="228" t="s">
        <v>192</v>
      </c>
      <c r="D116" s="228" t="s">
        <v>463</v>
      </c>
      <c r="E116" s="227">
        <v>43066.708009259259</v>
      </c>
      <c r="F116" s="227">
        <v>43066.716944444444</v>
      </c>
      <c r="G116" s="226">
        <v>74</v>
      </c>
      <c r="H116" s="228" t="s">
        <v>446</v>
      </c>
      <c r="I116" s="227">
        <v>43066.744675925926</v>
      </c>
      <c r="J116" s="226">
        <v>0</v>
      </c>
      <c r="K116" s="238" t="str">
        <f t="shared" si="26"/>
        <v>4053/4054</v>
      </c>
      <c r="L116" s="246" t="str">
        <f>VLOOKUP(A116,'Trips&amp;Operators'!$C$1:$G$99911,5,FALSE)</f>
        <v>SMITH MICHAEL</v>
      </c>
      <c r="M116" s="225">
        <f t="shared" si="27"/>
        <v>2.7731481481168885E-2</v>
      </c>
      <c r="N116" s="226">
        <f t="shared" si="45"/>
        <v>39.933333332883194</v>
      </c>
      <c r="O116" s="226"/>
      <c r="P116" s="226"/>
      <c r="Q116" s="229"/>
      <c r="R116" s="243"/>
      <c r="S116" s="250">
        <f t="shared" si="43"/>
        <v>1</v>
      </c>
      <c r="T116" s="243" t="str">
        <f t="shared" si="28"/>
        <v>Southbound</v>
      </c>
      <c r="U116" s="24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9" t="str">
        <f t="shared" si="29"/>
        <v>https://d0f6bd738d7f1b3e5a7ca70fe4ff75f0.us-east-1.aws.found.io/app/kibana#/discover/Steve-Slow-Train-Analysis-(2080s-and-2083s)?_g=(refreshInterval:(display:Off,pause:!f,section:0,value:0),time:(from:'2017-11-27T15:59:32-0700',mode:absolute,to:'2017-11-27T18:52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6" s="248" t="str">
        <f>IF(AA116&lt;VLOOKUP(AG116,Variables!$AC$3:$AD$8,2,FALSE),"Y","N")</f>
        <v>N</v>
      </c>
      <c r="X116" s="248">
        <f t="shared" si="30"/>
        <v>1</v>
      </c>
      <c r="Y116" s="248">
        <f t="shared" si="31"/>
        <v>23.296099999999999</v>
      </c>
      <c r="Z116" s="248">
        <f t="shared" si="32"/>
        <v>2.12E-2</v>
      </c>
      <c r="AA116" s="248">
        <f t="shared" si="33"/>
        <v>23.274899999999999</v>
      </c>
      <c r="AB116" s="234" t="e">
        <f>VLOOKUP(A116,Enforcements!$C$7:$K$9,8,0)</f>
        <v>#N/A</v>
      </c>
      <c r="AC116" s="233" t="e">
        <f>VLOOKUP(A116,Enforcements!$C$7:$E$9,3,0)</f>
        <v>#N/A</v>
      </c>
      <c r="AD116" s="244">
        <f t="shared" si="34"/>
        <v>202</v>
      </c>
      <c r="AE116" s="236" t="str">
        <f t="shared" si="35"/>
        <v>aws s3 cp s3://rtdc.mdm.uploadarchive.raw/RTDC4053/ "%USERPROFILE%\AppData\Local\Temp\OnboardLogs"\RTDC4053\2017-11-27 --exclude "*" --recursive --include "*20171127*" &amp; "%USERPROFILE%\Documents\GitHub\mrs-test-scripts\Headless Mode &amp; Sideloading\WalkAndUnGZ.bat" "%USERPROFILE%\AppData\Local\Temp\OnboardLogs"\RTDC4053\2017-11-27 &amp; aws s3 cp s3://rtdc.mdm.uploadarchive.raw/RTDC4053/ "%USERPROFILE%\AppData\Local\Temp\OnboardLogs"\RTDC4053\2017-11-28 --exclude "*" --recursive --include "*20171128*" &amp; "%USERPROFILE%\Documents\GitHub\mrs-test-scripts\Headless Mode &amp; Sideloading\WalkAndUnGZ.bat" "%USERPROFILE%\AppData\Local\Temp\OnboardLogs"\RTDC4053\2017-11-28</v>
      </c>
      <c r="AF116" s="235" t="str">
        <f t="shared" si="36"/>
        <v>"C:\Program Files (x86)\AstroGrep\AstroGrep.exe" /e /r /s /spath="%USERPROFILE%\AppData\Local\Temp\OnboardLogs" /stypes="app*4053*20171128*" /stext=" 00:.+((SYSTEM_STATE.+slice.+state.+changed )|(ment ac)|(multiple cpu faults)|(system.+state.+changed )|(\[timeout)|(PRM\|1\|D)|(kpr)|(kdp)|(train st.+moving)|(\|lc)|(penalty))"</v>
      </c>
      <c r="AG116" s="245" t="str">
        <f t="shared" si="37"/>
        <v>EC</v>
      </c>
      <c r="AH116" s="237" t="str">
        <f t="shared" si="38"/>
        <v>"%USERPROFILE%\Documents\GitHub\eaglep3\Utilities\RefineRTDCRunTimes.py" --tripid 202-27 --locoid 4053 --swversion DE.1.0.9.0 --startMP 204:232961 --initTime 2017-11-27T16:59:32 --startdatetime 2017-11-27T17:12:24 --delay 74 --endMP 204:212 --enddatetime 2017-11-27T17:52:20 --enforcementcount 0 &gt;&gt;%USERPROFILE%\Documents\GitHub\eaglep3-reporting\EC\2017-11-27-refined-times.txt</v>
      </c>
      <c r="AI116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{"issue":{"subject":"","project_id":79,"tracker_id":40,"status_id":1,"priority_id":2,"assigned_to_id":338,"start_date":"2017-11-27","description":"","custom_fields":[{"id":1,"name":"Subdivision","value":"EC"},{"id":4,"name":"Milepost","value":"0.0212"},{"id":17,"name":"Train ID","value":"202-27"},{"id":16,"name":"Locomotive ID","value":"4053"},{"id":130,"name":"Impact","value":""},{"id":150,"name":"Time of Event (Mountain Time)","value":"17:52:20"},{"id":151,"name":"Denver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4"/>
      <c r="AK116" s="232"/>
      <c r="AL116" s="232"/>
      <c r="AM116" s="241" t="str">
        <f t="shared" si="40"/>
        <v>start /low /b %USERPROFILE%\Documents\GitHub\eaglep3\Utilities\DownloadLogsFromS3.py --loco 4053 --day 2017-11-27</v>
      </c>
      <c r="AN116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00:52:20"},{"id":29,"name":"Sharepoint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1" t="str">
        <f t="shared" si="42"/>
        <v>https://d0f6bd738d7f1b3e5a7ca70fe4ff75f0.us-east-1.aws.found.io/app/kibana#/discover/Steve-Slow-Train-Analysis-(2080s-and-2083s)?_g=(refreshInterval:(display:Off,pause:!f,section:0,value:0),time:(from:'2017-11-27T15:59:32-0700',mode:absolute,to:'2017-11-27T18:52:20-0700'))&amp;_a=(columns:!('Message%20ID',Summary),filters:!(),index:'emp_*',interval:auto,query:(query_string:(analyze_wildcard:!t,query:'%22rtdc.l.rtdc.4053%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4" customFormat="1" x14ac:dyDescent="0.25">
      <c r="A117" s="230" t="s">
        <v>752</v>
      </c>
      <c r="B117" s="226">
        <v>4044</v>
      </c>
      <c r="C117" s="228" t="s">
        <v>192</v>
      </c>
      <c r="D117" s="228" t="s">
        <v>878</v>
      </c>
      <c r="E117" s="227">
        <v>43066.685729166667</v>
      </c>
      <c r="F117" s="227">
        <v>43066.687789351854</v>
      </c>
      <c r="G117" s="226">
        <v>63</v>
      </c>
      <c r="H117" s="228" t="s">
        <v>471</v>
      </c>
      <c r="I117" s="227">
        <v>43066.714178240742</v>
      </c>
      <c r="J117" s="226">
        <v>0</v>
      </c>
      <c r="K117" s="238" t="str">
        <f t="shared" si="26"/>
        <v>4043/4044</v>
      </c>
      <c r="L117" s="246" t="str">
        <f>VLOOKUP(A117,'Trips&amp;Operators'!$C$1:$G$99911,5,FALSE)</f>
        <v>DAVIS MICHAEL</v>
      </c>
      <c r="M117" s="225">
        <f t="shared" si="27"/>
        <v>2.6388888887595385E-2</v>
      </c>
      <c r="N117" s="226">
        <f t="shared" si="45"/>
        <v>37.999999998137355</v>
      </c>
      <c r="O117" s="226"/>
      <c r="P117" s="226"/>
      <c r="Q117" s="229"/>
      <c r="R117" s="243"/>
      <c r="S117" s="250">
        <f t="shared" si="43"/>
        <v>1</v>
      </c>
      <c r="T117" s="243" t="str">
        <f t="shared" si="28"/>
        <v>NorthBound</v>
      </c>
      <c r="U117" s="24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9" t="str">
        <f t="shared" si="29"/>
        <v>https://d0f6bd738d7f1b3e5a7ca70fe4ff75f0.us-east-1.aws.found.io/app/kibana#/discover/Steve-Slow-Train-Analysis-(2080s-and-2083s)?_g=(refreshInterval:(display:Off,pause:!f,section:0,value:0),time:(from:'2017-11-27T15:27:27-0700',mode:absolute,to:'2017-11-27T18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7" s="248" t="str">
        <f>IF(AA117&lt;VLOOKUP(AG117,Variables!$AC$3:$AD$8,2,FALSE),"Y","N")</f>
        <v>N</v>
      </c>
      <c r="X117" s="248">
        <f t="shared" si="30"/>
        <v>1</v>
      </c>
      <c r="Y117" s="248">
        <f t="shared" si="31"/>
        <v>5.2900000000000003E-2</v>
      </c>
      <c r="Z117" s="248">
        <f t="shared" si="32"/>
        <v>23.3308</v>
      </c>
      <c r="AA117" s="248">
        <f t="shared" si="33"/>
        <v>23.277899999999999</v>
      </c>
      <c r="AB117" s="234" t="e">
        <f>VLOOKUP(A117,Enforcements!$C$7:$K$9,8,0)</f>
        <v>#N/A</v>
      </c>
      <c r="AC117" s="233" t="e">
        <f>VLOOKUP(A117,Enforcements!$C$7:$E$9,3,0)</f>
        <v>#N/A</v>
      </c>
      <c r="AD117" s="244">
        <f t="shared" si="34"/>
        <v>203</v>
      </c>
      <c r="AE117" s="236" t="str">
        <f t="shared" si="35"/>
        <v>aws s3 cp s3://rtdc.mdm.uploadarchive.raw/RTDC4044/ "%USERPROFILE%\AppData\Local\Temp\OnboardLogs"\RTDC4044\2017-11-27 --exclude "*" --recursive --include "*20171127*" &amp; "%USERPROFILE%\Documents\GitHub\mrs-test-scripts\Headless Mode &amp; Sideloading\WalkAndUnGZ.bat" "%USERPROFILE%\AppData\Local\Temp\OnboardLogs"\RTDC4044\2017-11-27 &amp; aws s3 cp s3://rtdc.mdm.uploadarchive.raw/RTDC4044/ "%USERPROFILE%\AppData\Local\Temp\OnboardLogs"\RTDC4044\2017-11-28 --exclude "*" --recursive --include "*20171128*" &amp; "%USERPROFILE%\Documents\GitHub\mrs-test-scripts\Headless Mode &amp; Sideloading\WalkAndUnGZ.bat" "%USERPROFILE%\AppData\Local\Temp\OnboardLogs"\RTDC4044\2017-11-28</v>
      </c>
      <c r="AF117" s="235" t="str">
        <f t="shared" si="36"/>
        <v>"C:\Program Files (x86)\AstroGrep\AstroGrep.exe" /e /r /s /spath="%USERPROFILE%\AppData\Local\Temp\OnboardLogs" /stypes="app*4044*20171128*" /stext=" 00:.+((SYSTEM_STATE.+slice.+state.+changed )|(ment ac)|(multiple cpu faults)|(system.+state.+changed )|(\[timeout)|(PRM\|1\|D)|(kpr)|(kdp)|(train st.+moving)|(\|lc)|(penalty))"</v>
      </c>
      <c r="AG117" s="245" t="str">
        <f t="shared" si="37"/>
        <v>EC</v>
      </c>
      <c r="AH117" s="237" t="str">
        <f t="shared" si="38"/>
        <v>"%USERPROFILE%\Documents\GitHub\eaglep3\Utilities\RefineRTDCRunTimes.py" --tripid 203-27 --locoid 4044 --swversion DE.1.0.9.0 --startMP 204:529 --initTime 2017-11-27T16:27:27 --startdatetime 2017-11-27T16:30:25 --delay 63 --endMP 204:233308 --enddatetime 2017-11-27T17:08:25 --enforcementcount 0 &gt;&gt;%USERPROFILE%\Documents\GitHub\eaglep3-reporting\EC\2017-11-27-refined-times.txt</v>
      </c>
      <c r="AI117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{"issue":{"subject":"","project_id":79,"tracker_id":40,"status_id":1,"priority_id":2,"assigned_to_id":338,"start_date":"2017-11-27","description":"","custom_fields":[{"id":1,"name":"Subdivision","value":"EC"},{"id":4,"name":"Milepost","value":"23.3308"},{"id":17,"name":"Train ID","value":"203-27"},{"id":16,"name":"Locomotive ID","value":"4044"},{"id":130,"name":"Impact","value":""},{"id":150,"name":"Time of Event (Mountain Time)","value":"17:08:25"},{"id":151,"name":"Denver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2"/>
      <c r="AL117" s="232"/>
      <c r="AM117" s="241" t="str">
        <f t="shared" si="40"/>
        <v>start /low /b %USERPROFILE%\Documents\GitHub\eaglep3\Utilities\DownloadLogsFromS3.py --loco 4044 --day 2017-11-27</v>
      </c>
      <c r="AN117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00:08:25"},{"id":29,"name":"Sharepoint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1" t="str">
        <f t="shared" si="42"/>
        <v>https://d0f6bd738d7f1b3e5a7ca70fe4ff75f0.us-east-1.aws.found.io/app/kibana#/discover/Steve-Slow-Train-Analysis-(2080s-and-2083s)?_g=(refreshInterval:(display:Off,pause:!f,section:0,value:0),time:(from:'2017-11-27T15:27:27-0700',mode:absolute,to:'2017-11-27T18:08:25-0700'))&amp;_a=(columns:!('Message%20ID',Summary),filters:!(),index:'emp_*',interval:auto,query:(query_string:(analyze_wildcard:!t,query:'%22rtdc.l.rtdc.4044%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230" t="s">
        <v>766</v>
      </c>
      <c r="B118" s="226">
        <v>4043</v>
      </c>
      <c r="C118" s="228" t="s">
        <v>192</v>
      </c>
      <c r="D118" s="228" t="s">
        <v>837</v>
      </c>
      <c r="E118" s="227">
        <v>43066.725243055553</v>
      </c>
      <c r="F118" s="227">
        <v>43066.727650462963</v>
      </c>
      <c r="G118" s="226">
        <v>66</v>
      </c>
      <c r="H118" s="228" t="s">
        <v>419</v>
      </c>
      <c r="I118" s="227">
        <v>43066.756435185183</v>
      </c>
      <c r="J118" s="226">
        <v>0</v>
      </c>
      <c r="K118" s="238" t="str">
        <f t="shared" si="26"/>
        <v>4043/4044</v>
      </c>
      <c r="L118" s="246" t="str">
        <f>VLOOKUP(A118,'Trips&amp;Operators'!$C$1:$G$99911,5,FALSE)</f>
        <v>DAVIS MICHAEL</v>
      </c>
      <c r="M118" s="225">
        <f t="shared" si="27"/>
        <v>2.8784722220734693E-2</v>
      </c>
      <c r="N118" s="226">
        <f t="shared" si="45"/>
        <v>41.449999997857958</v>
      </c>
      <c r="O118" s="226"/>
      <c r="P118" s="226"/>
      <c r="Q118" s="229"/>
      <c r="R118" s="243"/>
      <c r="S118" s="250">
        <f t="shared" si="43"/>
        <v>1</v>
      </c>
      <c r="T118" s="243" t="str">
        <f t="shared" si="28"/>
        <v>Southbound</v>
      </c>
      <c r="U118" s="24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9" t="str">
        <f t="shared" si="29"/>
        <v>https://d0f6bd738d7f1b3e5a7ca70fe4ff75f0.us-east-1.aws.found.io/app/kibana#/discover/Steve-Slow-Train-Analysis-(2080s-and-2083s)?_g=(refreshInterval:(display:Off,pause:!f,section:0,value:0),time:(from:'2017-11-27T16:24:21-0700',mode:absolute,to:'2017-11-27T19:09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8" s="248" t="str">
        <f>IF(AA118&lt;VLOOKUP(AG118,Variables!$AC$3:$AD$8,2,FALSE),"Y","N")</f>
        <v>N</v>
      </c>
      <c r="X118" s="248">
        <f t="shared" si="30"/>
        <v>1</v>
      </c>
      <c r="Y118" s="248">
        <f t="shared" si="31"/>
        <v>23.299800000000001</v>
      </c>
      <c r="Z118" s="248">
        <f t="shared" si="32"/>
        <v>2.2700000000000001E-2</v>
      </c>
      <c r="AA118" s="248">
        <f t="shared" si="33"/>
        <v>23.277100000000001</v>
      </c>
      <c r="AB118" s="234" t="e">
        <f>VLOOKUP(A118,Enforcements!$C$7:$K$9,8,0)</f>
        <v>#N/A</v>
      </c>
      <c r="AC118" s="233" t="e">
        <f>VLOOKUP(A118,Enforcements!$C$7:$E$9,3,0)</f>
        <v>#N/A</v>
      </c>
      <c r="AD118" s="244">
        <f t="shared" si="34"/>
        <v>204</v>
      </c>
      <c r="AE118" s="236" t="str">
        <f t="shared" si="35"/>
        <v>aws s3 cp s3://rtdc.mdm.uploadarchive.raw/RTDC4043/ "%USERPROFILE%\AppData\Local\Temp\OnboardLogs"\RTDC4043\2017-11-27 --exclude "*" --recursive --include "*20171127*" &amp; "%USERPROFILE%\Documents\GitHub\mrs-test-scripts\Headless Mode &amp; Sideloading\WalkAndUnGZ.bat" "%USERPROFILE%\AppData\Local\Temp\OnboardLogs"\RTDC4043\2017-11-27 &amp; aws s3 cp s3://rtdc.mdm.uploadarchive.raw/RTDC4043/ "%USERPROFILE%\AppData\Local\Temp\OnboardLogs"\RTDC4043\2017-11-28 --exclude "*" --recursive --include "*20171128*" &amp; "%USERPROFILE%\Documents\GitHub\mrs-test-scripts\Headless Mode &amp; Sideloading\WalkAndUnGZ.bat" "%USERPROFILE%\AppData\Local\Temp\OnboardLogs"\RTDC4043\2017-11-28</v>
      </c>
      <c r="AF118" s="235" t="str">
        <f t="shared" si="36"/>
        <v>"C:\Program Files (x86)\AstroGrep\AstroGrep.exe" /e /r /s /spath="%USERPROFILE%\AppData\Local\Temp\OnboardLogs" /stypes="app*4043*20171128*" /stext=" 01:.+((SYSTEM_STATE.+slice.+state.+changed )|(ment ac)|(multiple cpu faults)|(system.+state.+changed )|(\[timeout)|(PRM\|1\|D)|(kpr)|(kdp)|(train st.+moving)|(\|lc)|(penalty))"</v>
      </c>
      <c r="AG118" s="245" t="str">
        <f t="shared" si="37"/>
        <v>EC</v>
      </c>
      <c r="AH118" s="237" t="str">
        <f t="shared" si="38"/>
        <v>"%USERPROFILE%\Documents\GitHub\eaglep3\Utilities\RefineRTDCRunTimes.py" --tripid 204-27 --locoid 4043 --swversion DE.1.0.9.0 --startMP 204:232998 --initTime 2017-11-27T17:24:21 --startdatetime 2017-11-27T17:27:49 --delay 66 --endMP 204:227 --enddatetime 2017-11-27T18:09:16 --enforcementcount 0 &gt;&gt;%USERPROFILE%\Documents\GitHub\eaglep3-reporting\EC\2017-11-27-refined-times.txt</v>
      </c>
      <c r="AI118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{"issue":{"subject":"","project_id":79,"tracker_id":40,"status_id":1,"priority_id":2,"assigned_to_id":338,"start_date":"2017-11-27","description":"","custom_fields":[{"id":1,"name":"Subdivision","value":"EC"},{"id":4,"name":"Milepost","value":"0.0227"},{"id":17,"name":"Train ID","value":"204-27"},{"id":16,"name":"Locomotive ID","value":"4043"},{"id":130,"name":"Impact","value":""},{"id":150,"name":"Time of Event (Mountain Time)","value":"18:09:16"},{"id":151,"name":"Denver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4"/>
      <c r="AK118" s="232"/>
      <c r="AL118" s="232"/>
      <c r="AM118" s="241" t="str">
        <f t="shared" si="40"/>
        <v>start /low /b %USERPROFILE%\Documents\GitHub\eaglep3\Utilities\DownloadLogsFromS3.py --loco 4043 --day 2017-11-27</v>
      </c>
      <c r="AN118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01:09:16"},{"id":29,"name":"Sharepoint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1" t="str">
        <f t="shared" si="42"/>
        <v>https://d0f6bd738d7f1b3e5a7ca70fe4ff75f0.us-east-1.aws.found.io/app/kibana#/discover/Steve-Slow-Train-Analysis-(2080s-and-2083s)?_g=(refreshInterval:(display:Off,pause:!f,section:0,value:0),time:(from:'2017-11-27T16:24:21-0700',mode:absolute,to:'2017-11-27T19:09:16-0700'))&amp;_a=(columns:!('Message%20ID',Summary),filters:!(),index:'emp_*',interval:auto,query:(query_string:(analyze_wildcard:!t,query:'%22rtdc.l.rtdc.4043%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30" t="s">
        <v>755</v>
      </c>
      <c r="B119" s="226">
        <v>4026</v>
      </c>
      <c r="C119" s="228" t="s">
        <v>192</v>
      </c>
      <c r="D119" s="228" t="s">
        <v>451</v>
      </c>
      <c r="E119" s="227">
        <v>43066.694733796299</v>
      </c>
      <c r="F119" s="227">
        <v>43066.698298611111</v>
      </c>
      <c r="G119" s="226">
        <v>58</v>
      </c>
      <c r="H119" s="228" t="s">
        <v>526</v>
      </c>
      <c r="I119" s="227">
        <v>43066.724606481483</v>
      </c>
      <c r="J119" s="226">
        <v>0</v>
      </c>
      <c r="K119" s="238" t="str">
        <f t="shared" si="26"/>
        <v>4025/4026</v>
      </c>
      <c r="L119" s="246" t="str">
        <f>VLOOKUP(A119,'Trips&amp;Operators'!$C$1:$G$99911,5,FALSE)</f>
        <v>STEWART MICHAEL</v>
      </c>
      <c r="M119" s="225">
        <f t="shared" si="27"/>
        <v>2.6307870371965691E-2</v>
      </c>
      <c r="N119" s="226">
        <f t="shared" si="45"/>
        <v>37.883333335630596</v>
      </c>
      <c r="O119" s="226"/>
      <c r="P119" s="226"/>
      <c r="Q119" s="229"/>
      <c r="R119" s="243"/>
      <c r="S119" s="250">
        <f t="shared" si="43"/>
        <v>1</v>
      </c>
      <c r="T119" s="243" t="str">
        <f t="shared" si="28"/>
        <v>NorthBound</v>
      </c>
      <c r="U119" s="24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9" t="str">
        <f t="shared" si="29"/>
        <v>https://d0f6bd738d7f1b3e5a7ca70fe4ff75f0.us-east-1.aws.found.io/app/kibana#/discover/Steve-Slow-Train-Analysis-(2080s-and-2083s)?_g=(refreshInterval:(display:Off,pause:!f,section:0,value:0),time:(from:'2017-11-27T15:40:25-0700',mode:absolute,to:'2017-11-27T18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9" s="248" t="str">
        <f>IF(AA119&lt;VLOOKUP(AG119,Variables!$AC$3:$AD$8,2,FALSE),"Y","N")</f>
        <v>N</v>
      </c>
      <c r="X119" s="248">
        <f t="shared" si="30"/>
        <v>1</v>
      </c>
      <c r="Y119" s="248">
        <f t="shared" si="31"/>
        <v>5.1499999999999997E-2</v>
      </c>
      <c r="Z119" s="248">
        <f t="shared" si="32"/>
        <v>23.328399999999998</v>
      </c>
      <c r="AA119" s="248">
        <f t="shared" si="33"/>
        <v>23.276899999999998</v>
      </c>
      <c r="AB119" s="234" t="e">
        <f>VLOOKUP(A119,Enforcements!$C$7:$K$9,8,0)</f>
        <v>#N/A</v>
      </c>
      <c r="AC119" s="233" t="e">
        <f>VLOOKUP(A119,Enforcements!$C$7:$E$9,3,0)</f>
        <v>#N/A</v>
      </c>
      <c r="AD119" s="244">
        <f t="shared" si="34"/>
        <v>205</v>
      </c>
      <c r="AE119" s="236" t="str">
        <f t="shared" si="35"/>
        <v>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 &amp; aws s3 cp s3://rtdc.mdm.uploadarchive.raw/RTDC4026/ "%USERPROFILE%\AppData\Local\Temp\OnboardLogs"\RTDC4026\2017-11-28 --exclude "*" --recursive --include "*20171128*" &amp; "%USERPROFILE%\Documents\GitHub\mrs-test-scripts\Headless Mode &amp; Sideloading\WalkAndUnGZ.bat" "%USERPROFILE%\AppData\Local\Temp\OnboardLogs"\RTDC4026\2017-11-28</v>
      </c>
      <c r="AF119" s="235" t="str">
        <f t="shared" si="36"/>
        <v>"C:\Program Files (x86)\AstroGrep\AstroGrep.exe" /e /r /s /spath="%USERPROFILE%\AppData\Local\Temp\OnboardLogs" /stypes="app*4026*20171128*" /stext=" 00:.+((SYSTEM_STATE.+slice.+state.+changed )|(ment ac)|(multiple cpu faults)|(system.+state.+changed )|(\[timeout)|(PRM\|1\|D)|(kpr)|(kdp)|(train st.+moving)|(\|lc)|(penalty))"</v>
      </c>
      <c r="AG119" s="245" t="str">
        <f t="shared" si="37"/>
        <v>EC</v>
      </c>
      <c r="AH119" s="237" t="str">
        <f t="shared" si="38"/>
        <v>"%USERPROFILE%\Documents\GitHub\eaglep3\Utilities\RefineRTDCRunTimes.py" --tripid 205-27 --locoid 4026 --swversion DE.1.0.9.0 --startMP 204:515 --initTime 2017-11-27T16:40:25 --startdatetime 2017-11-27T16:45:33 --delay 58 --endMP 204:233284 --enddatetime 2017-11-27T17:23:26 --enforcementcount 0 &gt;&gt;%USERPROFILE%\Documents\GitHub\eaglep3-reporting\EC\2017-11-27-refined-times.txt</v>
      </c>
      <c r="AI119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{"issue":{"subject":"","project_id":79,"tracker_id":40,"status_id":1,"priority_id":2,"assigned_to_id":338,"start_date":"2017-11-27","description":"","custom_fields":[{"id":1,"name":"Subdivision","value":"EC"},{"id":4,"name":"Milepost","value":"23.3284"},{"id":17,"name":"Train ID","value":"205-27"},{"id":16,"name":"Locomotive ID","value":"4026"},{"id":130,"name":"Impact","value":""},{"id":150,"name":"Time of Event (Mountain Time)","value":"17:23:26"},{"id":151,"name":"Denver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4"/>
      <c r="AK119" s="232"/>
      <c r="AL119" s="232"/>
      <c r="AM119" s="241" t="str">
        <f t="shared" si="40"/>
        <v>start /low /b %USERPROFILE%\Documents\GitHub\eaglep3\Utilities\DownloadLogsFromS3.py --loco 4026 --day 2017-11-27</v>
      </c>
      <c r="AN119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00:23:26"},{"id":29,"name":"Sharepoint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1" t="str">
        <f t="shared" si="42"/>
        <v>https://d0f6bd738d7f1b3e5a7ca70fe4ff75f0.us-east-1.aws.found.io/app/kibana#/discover/Steve-Slow-Train-Analysis-(2080s-and-2083s)?_g=(refreshInterval:(display:Off,pause:!f,section:0,value:0),time:(from:'2017-11-27T15:40:25-0700',mode:absolute,to:'2017-11-27T18:23:26-0700'))&amp;_a=(columns:!('Message%20ID',Summary),filters:!(),index:'emp_*',interval:auto,query:(query_string:(analyze_wildcard:!t,query:'%22rtdc.l.rtdc.4026%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30" t="s">
        <v>769</v>
      </c>
      <c r="B120" s="226">
        <v>4025</v>
      </c>
      <c r="C120" s="228" t="s">
        <v>192</v>
      </c>
      <c r="D120" s="228" t="s">
        <v>433</v>
      </c>
      <c r="E120" s="227">
        <v>43066.733344907407</v>
      </c>
      <c r="F120" s="227">
        <v>43066.737719907411</v>
      </c>
      <c r="G120" s="226">
        <v>57</v>
      </c>
      <c r="H120" s="228" t="s">
        <v>537</v>
      </c>
      <c r="I120" s="227">
        <v>43066.764560185184</v>
      </c>
      <c r="J120" s="226">
        <v>0</v>
      </c>
      <c r="K120" s="238" t="str">
        <f t="shared" si="26"/>
        <v>4025/4026</v>
      </c>
      <c r="L120" s="246" t="str">
        <f>VLOOKUP(A120,'Trips&amp;Operators'!$C$1:$G$99911,5,FALSE)</f>
        <v>STEWART MICHAEL</v>
      </c>
      <c r="M120" s="225">
        <f t="shared" si="27"/>
        <v>2.6840277772862464E-2</v>
      </c>
      <c r="N120" s="226">
        <f t="shared" si="45"/>
        <v>38.649999992921948</v>
      </c>
      <c r="O120" s="226"/>
      <c r="P120" s="226"/>
      <c r="Q120" s="229"/>
      <c r="R120" s="243"/>
      <c r="S120" s="250">
        <f t="shared" si="43"/>
        <v>1</v>
      </c>
      <c r="T120" s="243" t="str">
        <f t="shared" si="28"/>
        <v>Southbound</v>
      </c>
      <c r="U120" s="24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9" t="str">
        <f t="shared" si="29"/>
        <v>https://d0f6bd738d7f1b3e5a7ca70fe4ff75f0.us-east-1.aws.found.io/app/kibana#/discover/Steve-Slow-Train-Analysis-(2080s-and-2083s)?_g=(refreshInterval:(display:Off,pause:!f,section:0,value:0),time:(from:'2017-11-27T16:36:01-0700',mode:absolute,to:'2017-11-27T19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0" s="248" t="str">
        <f>IF(AA120&lt;VLOOKUP(AG120,Variables!$AC$3:$AD$8,2,FALSE),"Y","N")</f>
        <v>N</v>
      </c>
      <c r="X120" s="248">
        <f t="shared" si="30"/>
        <v>1</v>
      </c>
      <c r="Y120" s="248">
        <f t="shared" si="31"/>
        <v>23.2959</v>
      </c>
      <c r="Z120" s="248">
        <f t="shared" si="32"/>
        <v>2.0500000000000001E-2</v>
      </c>
      <c r="AA120" s="248">
        <f t="shared" si="33"/>
        <v>23.275400000000001</v>
      </c>
      <c r="AB120" s="234" t="e">
        <f>VLOOKUP(A120,Enforcements!$C$7:$K$9,8,0)</f>
        <v>#N/A</v>
      </c>
      <c r="AC120" s="233" t="e">
        <f>VLOOKUP(A120,Enforcements!$C$7:$E$9,3,0)</f>
        <v>#N/A</v>
      </c>
      <c r="AD120" s="244">
        <f t="shared" si="34"/>
        <v>206</v>
      </c>
      <c r="AE120" s="236" t="str">
        <f t="shared" si="35"/>
        <v>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 &amp; aws s3 cp s3://rtdc.mdm.uploadarchive.raw/RTDC4025/ "%USERPROFILE%\AppData\Local\Temp\OnboardLogs"\RTDC4025\2017-11-28 --exclude "*" --recursive --include "*20171128*" &amp; "%USERPROFILE%\Documents\GitHub\mrs-test-scripts\Headless Mode &amp; Sideloading\WalkAndUnGZ.bat" "%USERPROFILE%\AppData\Local\Temp\OnboardLogs"\RTDC4025\2017-11-28</v>
      </c>
      <c r="AF120" s="235" t="str">
        <f t="shared" si="36"/>
        <v>"C:\Program Files (x86)\AstroGrep\AstroGrep.exe" /e /r /s /spath="%USERPROFILE%\AppData\Local\Temp\OnboardLogs" /stypes="app*4025*20171128*" /stext=" 01:.+((SYSTEM_STATE.+slice.+state.+changed )|(ment ac)|(multiple cpu faults)|(system.+state.+changed )|(\[timeout)|(PRM\|1\|D)|(kpr)|(kdp)|(train st.+moving)|(\|lc)|(penalty))"</v>
      </c>
      <c r="AG120" s="245" t="str">
        <f t="shared" si="37"/>
        <v>EC</v>
      </c>
      <c r="AH120" s="237" t="str">
        <f t="shared" si="38"/>
        <v>"%USERPROFILE%\Documents\GitHub\eaglep3\Utilities\RefineRTDCRunTimes.py" --tripid 206-27 --locoid 4025 --swversion DE.1.0.9.0 --startMP 204:232959 --initTime 2017-11-27T17:36:01 --startdatetime 2017-11-27T17:42:19 --delay 57 --endMP 204:205 --enddatetime 2017-11-27T18:20:58 --enforcementcount 0 &gt;&gt;%USERPROFILE%\Documents\GitHub\eaglep3-reporting\EC\2017-11-27-refined-times.txt</v>
      </c>
      <c r="AI120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{"issue":{"subject":"","project_id":79,"tracker_id":40,"status_id":1,"priority_id":2,"assigned_to_id":338,"start_date":"2017-11-27","description":"","custom_fields":[{"id":1,"name":"Subdivision","value":"EC"},{"id":4,"name":"Milepost","value":"0.0205"},{"id":17,"name":"Train ID","value":"206-27"},{"id":16,"name":"Locomotive ID","value":"4025"},{"id":130,"name":"Impact","value":""},{"id":150,"name":"Time of Event (Mountain Time)","value":"18:20:58"},{"id":151,"name":"Denver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4"/>
      <c r="AK120" s="232"/>
      <c r="AL120" s="232"/>
      <c r="AM120" s="241" t="str">
        <f t="shared" si="40"/>
        <v>start /low /b %USERPROFILE%\Documents\GitHub\eaglep3\Utilities\DownloadLogsFromS3.py --loco 4025 --day 2017-11-27</v>
      </c>
      <c r="AN120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01:20:58"},{"id":29,"name":"Sharepoint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1" t="str">
        <f t="shared" si="42"/>
        <v>https://d0f6bd738d7f1b3e5a7ca70fe4ff75f0.us-east-1.aws.found.io/app/kibana#/discover/Steve-Slow-Train-Analysis-(2080s-and-2083s)?_g=(refreshInterval:(display:Off,pause:!f,section:0,value:0),time:(from:'2017-11-27T16:36:01-0700',mode:absolute,to:'2017-11-27T19:20:58-0700'))&amp;_a=(columns:!('Message%20ID',Summary),filters:!(),index:'emp_*',interval:auto,query:(query_string:(analyze_wildcard:!t,query:'%22rtdc.l.rtdc.4025%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4" customFormat="1" x14ac:dyDescent="0.25">
      <c r="A121" s="230" t="s">
        <v>757</v>
      </c>
      <c r="B121" s="226">
        <v>4014</v>
      </c>
      <c r="C121" s="228" t="s">
        <v>192</v>
      </c>
      <c r="D121" s="228" t="s">
        <v>889</v>
      </c>
      <c r="E121" s="227">
        <v>43066.704722222225</v>
      </c>
      <c r="F121" s="227">
        <v>43066.708599537036</v>
      </c>
      <c r="G121" s="226">
        <v>68</v>
      </c>
      <c r="H121" s="228" t="s">
        <v>890</v>
      </c>
      <c r="I121" s="227">
        <v>43066.736018518517</v>
      </c>
      <c r="J121" s="226">
        <v>0</v>
      </c>
      <c r="K121" s="238" t="str">
        <f t="shared" si="26"/>
        <v>4013/4014</v>
      </c>
      <c r="L121" s="246" t="str">
        <f>VLOOKUP(A121,'Trips&amp;Operators'!$C$1:$G$99911,5,FALSE)</f>
        <v>LORI SANTOS</v>
      </c>
      <c r="M121" s="225">
        <f t="shared" si="27"/>
        <v>2.7418981480877846E-2</v>
      </c>
      <c r="N121" s="226">
        <f t="shared" si="45"/>
        <v>39.483333332464099</v>
      </c>
      <c r="O121" s="226"/>
      <c r="P121" s="226"/>
      <c r="Q121" s="229"/>
      <c r="R121" s="243"/>
      <c r="S121" s="250">
        <f t="shared" ref="S121:S152" si="46">1/IF(AG121="EC",12,1)*SUM(U121:U121)</f>
        <v>1</v>
      </c>
      <c r="T121" s="243" t="str">
        <f t="shared" si="28"/>
        <v>NorthBound</v>
      </c>
      <c r="U121" s="24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9" t="str">
        <f t="shared" si="29"/>
        <v>https://d0f6bd738d7f1b3e5a7ca70fe4ff75f0.us-east-1.aws.found.io/app/kibana#/discover/Steve-Slow-Train-Analysis-(2080s-and-2083s)?_g=(refreshInterval:(display:Off,pause:!f,section:0,value:0),time:(from:'2017-11-27T15:54:48-0700',mode:absolute,to:'2017-11-27T18:39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1" s="248" t="str">
        <f>IF(AA121&lt;VLOOKUP(AG121,Variables!$AC$3:$AD$8,2,FALSE),"Y","N")</f>
        <v>N</v>
      </c>
      <c r="X121" s="248">
        <f t="shared" si="30"/>
        <v>1</v>
      </c>
      <c r="Y121" s="248">
        <f t="shared" si="31"/>
        <v>5.6399999999999999E-2</v>
      </c>
      <c r="Z121" s="248">
        <f t="shared" si="32"/>
        <v>23.324000000000002</v>
      </c>
      <c r="AA121" s="248">
        <f t="shared" si="33"/>
        <v>23.267600000000002</v>
      </c>
      <c r="AB121" s="234" t="e">
        <f>VLOOKUP(A121,Enforcements!$C$7:$K$9,8,0)</f>
        <v>#N/A</v>
      </c>
      <c r="AC121" s="233" t="e">
        <f>VLOOKUP(A121,Enforcements!$C$7:$E$9,3,0)</f>
        <v>#N/A</v>
      </c>
      <c r="AD121" s="244">
        <f t="shared" si="34"/>
        <v>207</v>
      </c>
      <c r="AE121" s="236" t="str">
        <f t="shared" si="35"/>
        <v>aws s3 cp s3://rtdc.mdm.uploadarchive.raw/RTDC4014/ "%USERPROFILE%\AppData\Local\Temp\OnboardLogs"\RTDC4014\2017-11-27 --exclude "*" --recursive --include "*20171127*" &amp; "%USERPROFILE%\Documents\GitHub\mrs-test-scripts\Headless Mode &amp; Sideloading\WalkAndUnGZ.bat" "%USERPROFILE%\AppData\Local\Temp\OnboardLogs"\RTDC4014\2017-11-27 &amp; aws s3 cp s3://rtdc.mdm.uploadarchive.raw/RTDC4014/ "%USERPROFILE%\AppData\Local\Temp\OnboardLogs"\RTDC4014\2017-11-28 --exclude "*" --recursive --include "*20171128*" &amp; "%USERPROFILE%\Documents\GitHub\mrs-test-scripts\Headless Mode &amp; Sideloading\WalkAndUnGZ.bat" "%USERPROFILE%\AppData\Local\Temp\OnboardLogs"\RTDC4014\2017-11-28</v>
      </c>
      <c r="AF121" s="235" t="str">
        <f t="shared" si="36"/>
        <v>"C:\Program Files (x86)\AstroGrep\AstroGrep.exe" /e /r /s /spath="%USERPROFILE%\AppData\Local\Temp\OnboardLogs" /stypes="app*4014*20171128*" /stext=" 00:.+((SYSTEM_STATE.+slice.+state.+changed )|(ment ac)|(multiple cpu faults)|(system.+state.+changed )|(\[timeout)|(PRM\|1\|D)|(kpr)|(kdp)|(train st.+moving)|(\|lc)|(penalty))"</v>
      </c>
      <c r="AG121" s="245" t="str">
        <f t="shared" si="37"/>
        <v>EC</v>
      </c>
      <c r="AH121" s="237" t="str">
        <f t="shared" si="38"/>
        <v>"%USERPROFILE%\Documents\GitHub\eaglep3\Utilities\RefineRTDCRunTimes.py" --tripid 207-27 --locoid 4014 --swversion DE.1.0.9.0 --startMP 204:564 --initTime 2017-11-27T16:54:48 --startdatetime 2017-11-27T17:00:23 --delay 68 --endMP 204:233240 --enddatetime 2017-11-27T17:39:52 --enforcementcount 0 &gt;&gt;%USERPROFILE%\Documents\GitHub\eaglep3-reporting\EC\2017-11-27-refined-times.txt</v>
      </c>
      <c r="AI121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{"issue":{"subject":"","project_id":79,"tracker_id":40,"status_id":1,"priority_id":2,"assigned_to_id":338,"start_date":"2017-11-27","description":"","custom_fields":[{"id":1,"name":"Subdivision","value":"EC"},{"id":4,"name":"Milepost","value":"23.324"},{"id":17,"name":"Train ID","value":"207-27"},{"id":16,"name":"Locomotive ID","value":"4014"},{"id":130,"name":"Impact","value":""},{"id":150,"name":"Time of Event (Mountain Time)","value":"17:39:52"},{"id":151,"name":"Denver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2"/>
      <c r="AL121" s="232"/>
      <c r="AM121" s="241" t="str">
        <f t="shared" si="40"/>
        <v>start /low /b %USERPROFILE%\Documents\GitHub\eaglep3\Utilities\DownloadLogsFromS3.py --loco 4014 --day 2017-11-27</v>
      </c>
      <c r="AN121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00:39:52"},{"id":29,"name":"Sharepoint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1" t="str">
        <f t="shared" si="42"/>
        <v>https://d0f6bd738d7f1b3e5a7ca70fe4ff75f0.us-east-1.aws.found.io/app/kibana#/discover/Steve-Slow-Train-Analysis-(2080s-and-2083s)?_g=(refreshInterval:(display:Off,pause:!f,section:0,value:0),time:(from:'2017-11-27T15:54:48-0700',mode:absolute,to:'2017-11-27T18:39:52-0700'))&amp;_a=(columns:!('Message%20ID',Summary),filters:!(),index:'emp_*',interval:auto,query:(query_string:(analyze_wildcard:!t,query:'%22rtdc.l.rtdc.4014%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30" t="s">
        <v>772</v>
      </c>
      <c r="B122" s="226">
        <v>4013</v>
      </c>
      <c r="C122" s="228" t="s">
        <v>192</v>
      </c>
      <c r="D122" s="228" t="s">
        <v>542</v>
      </c>
      <c r="E122" s="227">
        <v>43066.743125000001</v>
      </c>
      <c r="F122" s="227">
        <v>43066.748344907406</v>
      </c>
      <c r="G122" s="226">
        <v>103</v>
      </c>
      <c r="H122" s="228" t="s">
        <v>566</v>
      </c>
      <c r="I122" s="227">
        <v>43066.776087962964</v>
      </c>
      <c r="J122" s="226">
        <v>0</v>
      </c>
      <c r="K122" s="238" t="str">
        <f t="shared" si="26"/>
        <v>4013/4014</v>
      </c>
      <c r="L122" s="246" t="str">
        <f>VLOOKUP(A122,'Trips&amp;Operators'!$C$1:$G$99911,5,FALSE)</f>
        <v>LORI SANTOS</v>
      </c>
      <c r="M122" s="225">
        <f t="shared" si="27"/>
        <v>2.7743055557948537E-2</v>
      </c>
      <c r="N122" s="226">
        <f t="shared" si="45"/>
        <v>39.950000003445894</v>
      </c>
      <c r="O122" s="226"/>
      <c r="P122" s="226"/>
      <c r="Q122" s="229"/>
      <c r="R122" s="243"/>
      <c r="S122" s="250">
        <f t="shared" si="46"/>
        <v>1</v>
      </c>
      <c r="T122" s="243" t="str">
        <f t="shared" si="28"/>
        <v>Southbound</v>
      </c>
      <c r="U122" s="24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9" t="str">
        <f t="shared" si="29"/>
        <v>https://d0f6bd738d7f1b3e5a7ca70fe4ff75f0.us-east-1.aws.found.io/app/kibana#/discover/Steve-Slow-Train-Analysis-(2080s-and-2083s)?_g=(refreshInterval:(display:Off,pause:!f,section:0,value:0),time:(from:'2017-11-27T16:50:06-0700',mode:absolute,to:'2017-11-27T19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2" s="248" t="str">
        <f>IF(AA122&lt;VLOOKUP(AG122,Variables!$AC$3:$AD$8,2,FALSE),"Y","N")</f>
        <v>N</v>
      </c>
      <c r="X122" s="248">
        <f t="shared" si="30"/>
        <v>1</v>
      </c>
      <c r="Y122" s="248">
        <f t="shared" si="31"/>
        <v>23.291899999999998</v>
      </c>
      <c r="Z122" s="248">
        <f t="shared" si="32"/>
        <v>2.47E-2</v>
      </c>
      <c r="AA122" s="248">
        <f t="shared" si="33"/>
        <v>23.267199999999999</v>
      </c>
      <c r="AB122" s="234" t="e">
        <f>VLOOKUP(A122,Enforcements!$C$7:$K$9,8,0)</f>
        <v>#N/A</v>
      </c>
      <c r="AC122" s="233" t="e">
        <f>VLOOKUP(A122,Enforcements!$C$7:$E$9,3,0)</f>
        <v>#N/A</v>
      </c>
      <c r="AD122" s="244">
        <f t="shared" si="34"/>
        <v>208</v>
      </c>
      <c r="AE122" s="236" t="str">
        <f t="shared" si="35"/>
        <v>aws s3 cp s3://rtdc.mdm.uploadarchive.raw/RTDC4013/ "%USERPROFILE%\AppData\Local\Temp\OnboardLogs"\RTDC4013\2017-11-27 --exclude "*" --recursive --include "*20171127*" &amp; "%USERPROFILE%\Documents\GitHub\mrs-test-scripts\Headless Mode &amp; Sideloading\WalkAndUnGZ.bat" "%USERPROFILE%\AppData\Local\Temp\OnboardLogs"\RTDC4013\2017-11-27 &amp; aws s3 cp s3://rtdc.mdm.uploadarchive.raw/RTDC4013/ "%USERPROFILE%\AppData\Local\Temp\OnboardLogs"\RTDC4013\2017-11-28 --exclude "*" --recursive --include "*20171128*" &amp; "%USERPROFILE%\Documents\GitHub\mrs-test-scripts\Headless Mode &amp; Sideloading\WalkAndUnGZ.bat" "%USERPROFILE%\AppData\Local\Temp\OnboardLogs"\RTDC4013\2017-11-28</v>
      </c>
      <c r="AF122" s="235" t="str">
        <f t="shared" si="36"/>
        <v>"C:\Program Files (x86)\AstroGrep\AstroGrep.exe" /e /r /s /spath="%USERPROFILE%\AppData\Local\Temp\OnboardLogs" /stypes="app*4013*20171128*" /stext=" 01:.+((SYSTEM_STATE.+slice.+state.+changed )|(ment ac)|(multiple cpu faults)|(system.+state.+changed )|(\[timeout)|(PRM\|1\|D)|(kpr)|(kdp)|(train st.+moving)|(\|lc)|(penalty))"</v>
      </c>
      <c r="AG122" s="245" t="str">
        <f t="shared" si="37"/>
        <v>EC</v>
      </c>
      <c r="AH122" s="237" t="str">
        <f t="shared" si="38"/>
        <v>"%USERPROFILE%\Documents\GitHub\eaglep3\Utilities\RefineRTDCRunTimes.py" --tripid 208-27 --locoid 4013 --swversion DE.1.0.9.0 --startMP 204:232919 --initTime 2017-11-27T17:50:06 --startdatetime 2017-11-27T17:57:37 --delay 103 --endMP 204:247 --enddatetime 2017-11-27T18:37:34 --enforcementcount 0 &gt;&gt;%USERPROFILE%\Documents\GitHub\eaglep3-reporting\EC\2017-11-27-refined-times.txt</v>
      </c>
      <c r="AI122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{"issue":{"subject":"","project_id":79,"tracker_id":40,"status_id":1,"priority_id":2,"assigned_to_id":338,"start_date":"2017-11-27","description":"","custom_fields":[{"id":1,"name":"Subdivision","value":"EC"},{"id":4,"name":"Milepost","value":"0.0247"},{"id":17,"name":"Train ID","value":"208-27"},{"id":16,"name":"Locomotive ID","value":"4013"},{"id":130,"name":"Impact","value":""},{"id":150,"name":"Time of Event (Mountain Time)","value":"18:37:34"},{"id":151,"name":"Denver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4"/>
      <c r="AK122" s="232"/>
      <c r="AL122" s="232"/>
      <c r="AM122" s="241" t="str">
        <f t="shared" si="40"/>
        <v>start /low /b %USERPROFILE%\Documents\GitHub\eaglep3\Utilities\DownloadLogsFromS3.py --loco 4013 --day 2017-11-27</v>
      </c>
      <c r="AN122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01:37:34"},{"id":29,"name":"Sharepoint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1" t="str">
        <f t="shared" si="42"/>
        <v>https://d0f6bd738d7f1b3e5a7ca70fe4ff75f0.us-east-1.aws.found.io/app/kibana#/discover/Steve-Slow-Train-Analysis-(2080s-and-2083s)?_g=(refreshInterval:(display:Off,pause:!f,section:0,value:0),time:(from:'2017-11-27T16:50:06-0700',mode:absolute,to:'2017-11-27T19:37:34-0700'))&amp;_a=(columns:!('Message%20ID',Summary),filters:!(),index:'emp_*',interval:auto,query:(query_string:(analyze_wildcard:!t,query:'%22rtdc.l.rtdc.4013%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30" t="s">
        <v>764</v>
      </c>
      <c r="B123" s="226">
        <v>4018</v>
      </c>
      <c r="C123" s="228" t="s">
        <v>192</v>
      </c>
      <c r="D123" s="228" t="s">
        <v>441</v>
      </c>
      <c r="E123" s="227">
        <v>43066.715497685182</v>
      </c>
      <c r="F123" s="227">
        <v>43066.718958333331</v>
      </c>
      <c r="G123" s="226">
        <v>51</v>
      </c>
      <c r="H123" s="228" t="s">
        <v>891</v>
      </c>
      <c r="I123" s="227">
        <v>43066.744583333333</v>
      </c>
      <c r="J123" s="226">
        <v>0</v>
      </c>
      <c r="K123" s="238" t="str">
        <f t="shared" si="26"/>
        <v>4017/4018</v>
      </c>
      <c r="L123" s="246" t="str">
        <f>VLOOKUP(A123,'Trips&amp;Operators'!$C$1:$G$99911,5,FALSE)</f>
        <v>GUZMAN DANNY</v>
      </c>
      <c r="M123" s="225">
        <f t="shared" si="27"/>
        <v>2.5625000002037268E-2</v>
      </c>
      <c r="N123" s="226">
        <f t="shared" si="45"/>
        <v>36.900000002933666</v>
      </c>
      <c r="O123" s="226"/>
      <c r="P123" s="226"/>
      <c r="Q123" s="229"/>
      <c r="R123" s="243"/>
      <c r="S123" s="250">
        <f t="shared" si="46"/>
        <v>1</v>
      </c>
      <c r="T123" s="243" t="str">
        <f t="shared" si="28"/>
        <v>NorthBound</v>
      </c>
      <c r="U123" s="24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9" t="str">
        <f t="shared" si="29"/>
        <v>https://d0f6bd738d7f1b3e5a7ca70fe4ff75f0.us-east-1.aws.found.io/app/kibana#/discover/Steve-Slow-Train-Analysis-(2080s-and-2083s)?_g=(refreshInterval:(display:Off,pause:!f,section:0,value:0),time:(from:'2017-11-27T16:10:19-0700',mode:absolute,to:'2017-11-27T18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3" s="248" t="str">
        <f>IF(AA123&lt;VLOOKUP(AG123,Variables!$AC$3:$AD$8,2,FALSE),"Y","N")</f>
        <v>N</v>
      </c>
      <c r="X123" s="248">
        <f t="shared" si="30"/>
        <v>1</v>
      </c>
      <c r="Y123" s="248">
        <f t="shared" si="31"/>
        <v>5.2600000000000001E-2</v>
      </c>
      <c r="Z123" s="248">
        <f t="shared" si="32"/>
        <v>23.317799999999998</v>
      </c>
      <c r="AA123" s="248">
        <f t="shared" si="33"/>
        <v>23.265199999999997</v>
      </c>
      <c r="AB123" s="234" t="e">
        <f>VLOOKUP(A123,Enforcements!$C$7:$K$9,8,0)</f>
        <v>#N/A</v>
      </c>
      <c r="AC123" s="233" t="e">
        <f>VLOOKUP(A123,Enforcements!$C$7:$E$9,3,0)</f>
        <v>#N/A</v>
      </c>
      <c r="AD123" s="244">
        <f t="shared" si="34"/>
        <v>209</v>
      </c>
      <c r="AE123" s="236" t="str">
        <f t="shared" si="35"/>
        <v>aws s3 cp s3://rtdc.mdm.uploadarchive.raw/RTDC4018/ "%USERPROFILE%\AppData\Local\Temp\OnboardLogs"\RTDC4018\2017-11-27 --exclude "*" --recursive --include "*20171127*" &amp; "%USERPROFILE%\Documents\GitHub\mrs-test-scripts\Headless Mode &amp; Sideloading\WalkAndUnGZ.bat" "%USERPROFILE%\AppData\Local\Temp\OnboardLogs"\RTDC4018\2017-11-27 &amp; aws s3 cp s3://rtdc.mdm.uploadarchive.raw/RTDC4018/ "%USERPROFILE%\AppData\Local\Temp\OnboardLogs"\RTDC4018\2017-11-28 --exclude "*" --recursive --include "*20171128*" &amp; "%USERPROFILE%\Documents\GitHub\mrs-test-scripts\Headless Mode &amp; Sideloading\WalkAndUnGZ.bat" "%USERPROFILE%\AppData\Local\Temp\OnboardLogs"\RTDC4018\2017-11-28</v>
      </c>
      <c r="AF123" s="235" t="str">
        <f t="shared" si="36"/>
        <v>"C:\Program Files (x86)\AstroGrep\AstroGrep.exe" /e /r /s /spath="%USERPROFILE%\AppData\Local\Temp\OnboardLogs" /stypes="app*4018*20171128*" /stext=" 00:.+((SYSTEM_STATE.+slice.+state.+changed )|(ment ac)|(multiple cpu faults)|(system.+state.+changed )|(\[timeout)|(PRM\|1\|D)|(kpr)|(kdp)|(train st.+moving)|(\|lc)|(penalty))"</v>
      </c>
      <c r="AG123" s="245" t="str">
        <f t="shared" si="37"/>
        <v>EC</v>
      </c>
      <c r="AH123" s="237" t="str">
        <f t="shared" si="38"/>
        <v>"%USERPROFILE%\Documents\GitHub\eaglep3\Utilities\RefineRTDCRunTimes.py" --tripid 209-27 --locoid 4018 --swversion DE.1.0.9.0 --startMP 204:526 --initTime 2017-11-27T17:10:19 --startdatetime 2017-11-27T17:15:18 --delay 51 --endMP 204:233178 --enddatetime 2017-11-27T17:52:12 --enforcementcount 0 &gt;&gt;%USERPROFILE%\Documents\GitHub\eaglep3-reporting\EC\2017-11-27-refined-times.txt</v>
      </c>
      <c r="AI123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{"issue":{"subject":"","project_id":79,"tracker_id":40,"status_id":1,"priority_id":2,"assigned_to_id":338,"start_date":"2017-11-27","description":"","custom_fields":[{"id":1,"name":"Subdivision","value":"EC"},{"id":4,"name":"Milepost","value":"23.3178"},{"id":17,"name":"Train ID","value":"209-27"},{"id":16,"name":"Locomotive ID","value":"4018"},{"id":130,"name":"Impact","value":""},{"id":150,"name":"Time of Event (Mountain Time)","value":"17:52:12"},{"id":151,"name":"Denver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4"/>
      <c r="AK123" s="232"/>
      <c r="AL123" s="232"/>
      <c r="AM123" s="241" t="str">
        <f t="shared" si="40"/>
        <v>start /low /b %USERPROFILE%\Documents\GitHub\eaglep3\Utilities\DownloadLogsFromS3.py --loco 4018 --day 2017-11-27</v>
      </c>
      <c r="AN123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00:52:12"},{"id":29,"name":"Sharepoint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1" t="str">
        <f t="shared" si="42"/>
        <v>https://d0f6bd738d7f1b3e5a7ca70fe4ff75f0.us-east-1.aws.found.io/app/kibana#/discover/Steve-Slow-Train-Analysis-(2080s-and-2083s)?_g=(refreshInterval:(display:Off,pause:!f,section:0,value:0),time:(from:'2017-11-27T16:10:19-0700',mode:absolute,to:'2017-11-27T18:52:12-0700'))&amp;_a=(columns:!('Message%20ID',Summary),filters:!(),index:'emp_*',interval:auto,query:(query_string:(analyze_wildcard:!t,query:'%22rtdc.l.rtdc.4018%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230" t="s">
        <v>776</v>
      </c>
      <c r="B124" s="226">
        <v>4017</v>
      </c>
      <c r="C124" s="228" t="s">
        <v>192</v>
      </c>
      <c r="D124" s="228" t="s">
        <v>892</v>
      </c>
      <c r="E124" s="227">
        <v>43066.754745370374</v>
      </c>
      <c r="F124" s="227">
        <v>43066.75849537037</v>
      </c>
      <c r="G124" s="226">
        <v>49</v>
      </c>
      <c r="H124" s="228" t="s">
        <v>893</v>
      </c>
      <c r="I124" s="227">
        <v>43066.78402777778</v>
      </c>
      <c r="J124" s="226">
        <v>0</v>
      </c>
      <c r="K124" s="238" t="str">
        <f t="shared" si="26"/>
        <v>4017/4018</v>
      </c>
      <c r="L124" s="246" t="str">
        <f>VLOOKUP(A124,'Trips&amp;Operators'!$C$1:$G$99911,5,FALSE)</f>
        <v>GUZMAN DANNY</v>
      </c>
      <c r="M124" s="225">
        <f t="shared" si="27"/>
        <v>2.5532407409627922E-2</v>
      </c>
      <c r="N124" s="226">
        <f t="shared" si="45"/>
        <v>36.766666669864208</v>
      </c>
      <c r="O124" s="226"/>
      <c r="P124" s="226"/>
      <c r="Q124" s="229"/>
      <c r="R124" s="243"/>
      <c r="S124" s="250">
        <f t="shared" si="46"/>
        <v>1</v>
      </c>
      <c r="T124" s="243" t="str">
        <f t="shared" si="28"/>
        <v>Southbound</v>
      </c>
      <c r="U124" s="24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9" t="str">
        <f t="shared" si="29"/>
        <v>https://d0f6bd738d7f1b3e5a7ca70fe4ff75f0.us-east-1.aws.found.io/app/kibana#/discover/Steve-Slow-Train-Analysis-(2080s-and-2083s)?_g=(refreshInterval:(display:Off,pause:!f,section:0,value:0),time:(from:'2017-11-27T17:06:50-0700',mode:absolute,to:'2017-11-27T19:49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4" s="248" t="str">
        <f>IF(AA124&lt;VLOOKUP(AG124,Variables!$AC$3:$AD$8,2,FALSE),"Y","N")</f>
        <v>N</v>
      </c>
      <c r="X124" s="248">
        <f t="shared" si="30"/>
        <v>1</v>
      </c>
      <c r="Y124" s="248">
        <f t="shared" si="31"/>
        <v>23.286100000000001</v>
      </c>
      <c r="Z124" s="248">
        <f t="shared" si="32"/>
        <v>2.6700000000000002E-2</v>
      </c>
      <c r="AA124" s="248">
        <f t="shared" si="33"/>
        <v>23.259399999999999</v>
      </c>
      <c r="AB124" s="234" t="e">
        <f>VLOOKUP(A124,Enforcements!$C$7:$K$9,8,0)</f>
        <v>#N/A</v>
      </c>
      <c r="AC124" s="233" t="e">
        <f>VLOOKUP(A124,Enforcements!$C$7:$E$9,3,0)</f>
        <v>#N/A</v>
      </c>
      <c r="AD124" s="244">
        <f t="shared" si="34"/>
        <v>210</v>
      </c>
      <c r="AE124" s="236" t="str">
        <f t="shared" si="35"/>
        <v>aws s3 cp s3://rtdc.mdm.uploadarchive.raw/RTDC4017/ "%USERPROFILE%\AppData\Local\Temp\OnboardLogs"\RTDC4017\2017-11-27 --exclude "*" --recursive --include "*20171127*" &amp; "%USERPROFILE%\Documents\GitHub\mrs-test-scripts\Headless Mode &amp; Sideloading\WalkAndUnGZ.bat" "%USERPROFILE%\AppData\Local\Temp\OnboardLogs"\RTDC4017\2017-11-27 &amp; aws s3 cp s3://rtdc.mdm.uploadarchive.raw/RTDC4017/ "%USERPROFILE%\AppData\Local\Temp\OnboardLogs"\RTDC4017\2017-11-28 --exclude "*" --recursive --include "*20171128*" &amp; "%USERPROFILE%\Documents\GitHub\mrs-test-scripts\Headless Mode &amp; Sideloading\WalkAndUnGZ.bat" "%USERPROFILE%\AppData\Local\Temp\OnboardLogs"\RTDC4017\2017-11-28</v>
      </c>
      <c r="AF124" s="235" t="str">
        <f t="shared" si="36"/>
        <v>"C:\Program Files (x86)\AstroGrep\AstroGrep.exe" /e /r /s /spath="%USERPROFILE%\AppData\Local\Temp\OnboardLogs" /stypes="app*4017*20171128*" /stext=" 01:.+((SYSTEM_STATE.+slice.+state.+changed )|(ment ac)|(multiple cpu faults)|(system.+state.+changed )|(\[timeout)|(PRM\|1\|D)|(kpr)|(kdp)|(train st.+moving)|(\|lc)|(penalty))"</v>
      </c>
      <c r="AG124" s="245" t="str">
        <f t="shared" si="37"/>
        <v>EC</v>
      </c>
      <c r="AH124" s="237" t="str">
        <f t="shared" si="38"/>
        <v>"%USERPROFILE%\Documents\GitHub\eaglep3\Utilities\RefineRTDCRunTimes.py" --tripid 210-27 --locoid 4017 --swversion DE.1.0.9.0 --startMP 204:232861 --initTime 2017-11-27T18:06:50 --startdatetime 2017-11-27T18:12:14 --delay 49 --endMP 204:267 --enddatetime 2017-11-27T18:49:00 --enforcementcount 0 &gt;&gt;%USERPROFILE%\Documents\GitHub\eaglep3-reporting\EC\2017-11-27-refined-times.txt</v>
      </c>
      <c r="AI124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{"issue":{"subject":"","project_id":79,"tracker_id":40,"status_id":1,"priority_id":2,"assigned_to_id":338,"start_date":"2017-11-27","description":"","custom_fields":[{"id":1,"name":"Subdivision","value":"EC"},{"id":4,"name":"Milepost","value":"0.0267"},{"id":17,"name":"Train ID","value":"210-27"},{"id":16,"name":"Locomotive ID","value":"4017"},{"id":130,"name":"Impact","value":""},{"id":150,"name":"Time of Event (Mountain Time)","value":"18:49:00"},{"id":151,"name":"Denver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4"/>
      <c r="AK124" s="232"/>
      <c r="AL124" s="232"/>
      <c r="AM124" s="241" t="str">
        <f t="shared" si="40"/>
        <v>start /low /b %USERPROFILE%\Documents\GitHub\eaglep3\Utilities\DownloadLogsFromS3.py --loco 4017 --day 2017-11-27</v>
      </c>
      <c r="AN124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01:49:00"},{"id":29,"name":"Sharepoint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1" t="str">
        <f t="shared" si="42"/>
        <v>https://d0f6bd738d7f1b3e5a7ca70fe4ff75f0.us-east-1.aws.found.io/app/kibana#/discover/Steve-Slow-Train-Analysis-(2080s-and-2083s)?_g=(refreshInterval:(display:Off,pause:!f,section:0,value:0),time:(from:'2017-11-27T17:06:50-0700',mode:absolute,to:'2017-11-27T19:49:00-0700'))&amp;_a=(columns:!('Message%20ID',Summary),filters:!(),index:'emp_*',interval:auto,query:(query_string:(analyze_wildcard:!t,query:'%22rtdc.l.rtdc.4017%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230" t="s">
        <v>765</v>
      </c>
      <c r="B125" s="226">
        <v>4064</v>
      </c>
      <c r="C125" s="228" t="s">
        <v>192</v>
      </c>
      <c r="D125" s="228" t="s">
        <v>478</v>
      </c>
      <c r="E125" s="227">
        <v>43066.724479166667</v>
      </c>
      <c r="F125" s="227">
        <v>43066.72934027778</v>
      </c>
      <c r="G125" s="226">
        <v>77</v>
      </c>
      <c r="H125" s="228" t="s">
        <v>894</v>
      </c>
      <c r="I125" s="227">
        <v>43066.754282407404</v>
      </c>
      <c r="J125" s="226">
        <v>0</v>
      </c>
      <c r="K125" s="238" t="str">
        <f t="shared" si="26"/>
        <v>4063/4064</v>
      </c>
      <c r="L125" s="246" t="str">
        <f>VLOOKUP(A125,'Trips&amp;Operators'!$C$1:$G$99911,5,FALSE)</f>
        <v>SAFIEF AEIMEN</v>
      </c>
      <c r="M125" s="225">
        <f t="shared" si="27"/>
        <v>2.4942129624832887E-2</v>
      </c>
      <c r="N125" s="226">
        <f t="shared" si="45"/>
        <v>35.916666659759358</v>
      </c>
      <c r="O125" s="226"/>
      <c r="P125" s="226"/>
      <c r="Q125" s="229"/>
      <c r="R125" s="243"/>
      <c r="S125" s="250">
        <f t="shared" si="46"/>
        <v>1</v>
      </c>
      <c r="T125" s="243" t="str">
        <f t="shared" si="28"/>
        <v>NorthBound</v>
      </c>
      <c r="U125" s="24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9" t="str">
        <f t="shared" si="29"/>
        <v>https://d0f6bd738d7f1b3e5a7ca70fe4ff75f0.us-east-1.aws.found.io/app/kibana#/discover/Steve-Slow-Train-Analysis-(2080s-and-2083s)?_g=(refreshInterval:(display:Off,pause:!f,section:0,value:0),time:(from:'2017-11-27T16:23:15-0700',mode:absolute,to:'2017-11-27T19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5" s="248" t="str">
        <f>IF(AA125&lt;VLOOKUP(AG125,Variables!$AC$3:$AD$8,2,FALSE),"Y","N")</f>
        <v>N</v>
      </c>
      <c r="X125" s="248">
        <f t="shared" si="30"/>
        <v>1</v>
      </c>
      <c r="Y125" s="248">
        <f t="shared" si="31"/>
        <v>4.6899999999999997E-2</v>
      </c>
      <c r="Z125" s="248">
        <f t="shared" si="32"/>
        <v>23.324200000000001</v>
      </c>
      <c r="AA125" s="248">
        <f t="shared" si="33"/>
        <v>23.2773</v>
      </c>
      <c r="AB125" s="234" t="e">
        <f>VLOOKUP(A125,Enforcements!$C$7:$K$9,8,0)</f>
        <v>#N/A</v>
      </c>
      <c r="AC125" s="233" t="e">
        <f>VLOOKUP(A125,Enforcements!$C$7:$E$9,3,0)</f>
        <v>#N/A</v>
      </c>
      <c r="AD125" s="244">
        <f t="shared" si="34"/>
        <v>211</v>
      </c>
      <c r="AE125" s="236" t="str">
        <f t="shared" si="35"/>
        <v>aws s3 cp s3://rtdc.mdm.uploadarchive.raw/RTDC4064/ "%USERPROFILE%\AppData\Local\Temp\OnboardLogs"\RTDC4064\2017-11-27 --exclude "*" --recursive --include "*20171127*" &amp; "%USERPROFILE%\Documents\GitHub\mrs-test-scripts\Headless Mode &amp; Sideloading\WalkAndUnGZ.bat" "%USERPROFILE%\AppData\Local\Temp\OnboardLogs"\RTDC4064\2017-11-27 &amp; aws s3 cp s3://rtdc.mdm.uploadarchive.raw/RTDC4064/ "%USERPROFILE%\AppData\Local\Temp\OnboardLogs"\RTDC4064\2017-11-28 --exclude "*" --recursive --include "*20171128*" &amp; "%USERPROFILE%\Documents\GitHub\mrs-test-scripts\Headless Mode &amp; Sideloading\WalkAndUnGZ.bat" "%USERPROFILE%\AppData\Local\Temp\OnboardLogs"\RTDC4064\2017-11-28</v>
      </c>
      <c r="AF125" s="235" t="str">
        <f t="shared" si="36"/>
        <v>"C:\Program Files (x86)\AstroGrep\AstroGrep.exe" /e /r /s /spath="%USERPROFILE%\AppData\Local\Temp\OnboardLogs" /stypes="app*4064*20171128*" /stext=" 01:.+((SYSTEM_STATE.+slice.+state.+changed )|(ment ac)|(multiple cpu faults)|(system.+state.+changed )|(\[timeout)|(PRM\|1\|D)|(kpr)|(kdp)|(train st.+moving)|(\|lc)|(penalty))"</v>
      </c>
      <c r="AG125" s="245" t="str">
        <f t="shared" si="37"/>
        <v>EC</v>
      </c>
      <c r="AH125" s="237" t="str">
        <f t="shared" si="38"/>
        <v>"%USERPROFILE%\Documents\GitHub\eaglep3\Utilities\RefineRTDCRunTimes.py" --tripid 211-27 --locoid 4064 --swversion DE.1.0.9.0 --startMP 204:469 --initTime 2017-11-27T17:23:15 --startdatetime 2017-11-27T17:30:15 --delay 77 --endMP 204:233242 --enddatetime 2017-11-27T18:06:10 --enforcementcount 0 &gt;&gt;%USERPROFILE%\Documents\GitHub\eaglep3-reporting\EC\2017-11-27-refined-times.txt</v>
      </c>
      <c r="AI125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{"issue":{"subject":"","project_id":79,"tracker_id":40,"status_id":1,"priority_id":2,"assigned_to_id":338,"start_date":"2017-11-27","description":"","custom_fields":[{"id":1,"name":"Subdivision","value":"EC"},{"id":4,"name":"Milepost","value":"23.3242"},{"id":17,"name":"Train ID","value":"211-27"},{"id":16,"name":"Locomotive ID","value":"4064"},{"id":130,"name":"Impact","value":""},{"id":150,"name":"Time of Event (Mountain Time)","value":"18:06:10"},{"id":151,"name":"Denver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4"/>
      <c r="AK125" s="232"/>
      <c r="AL125" s="232"/>
      <c r="AM125" s="241" t="str">
        <f t="shared" si="40"/>
        <v>start /low /b %USERPROFILE%\Documents\GitHub\eaglep3\Utilities\DownloadLogsFromS3.py --loco 4064 --day 2017-11-27</v>
      </c>
      <c r="AN125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01:06:10"},{"id":29,"name":"Sharepoint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1" t="str">
        <f t="shared" si="42"/>
        <v>https://d0f6bd738d7f1b3e5a7ca70fe4ff75f0.us-east-1.aws.found.io/app/kibana#/discover/Steve-Slow-Train-Analysis-(2080s-and-2083s)?_g=(refreshInterval:(display:Off,pause:!f,section:0,value:0),time:(from:'2017-11-27T16:23:15-0700',mode:absolute,to:'2017-11-27T19:06:10-0700'))&amp;_a=(columns:!('Message%20ID',Summary),filters:!(),index:'emp_*',interval:auto,query:(query_string:(analyze_wildcard:!t,query:'%22rtdc.l.rtdc.4064%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30" t="s">
        <v>777</v>
      </c>
      <c r="B126" s="226">
        <v>4063</v>
      </c>
      <c r="C126" s="228" t="s">
        <v>192</v>
      </c>
      <c r="D126" s="228" t="s">
        <v>895</v>
      </c>
      <c r="E126" s="227">
        <v>43066.756145833337</v>
      </c>
      <c r="F126" s="227">
        <v>43066.769108796296</v>
      </c>
      <c r="G126" s="226">
        <v>60</v>
      </c>
      <c r="H126" s="228" t="s">
        <v>436</v>
      </c>
      <c r="I126" s="227">
        <v>43066.794895833336</v>
      </c>
      <c r="J126" s="226">
        <v>0</v>
      </c>
      <c r="K126" s="238" t="str">
        <f t="shared" si="26"/>
        <v>4063/4064</v>
      </c>
      <c r="L126" s="246" t="str">
        <f>VLOOKUP(A126,'Trips&amp;Operators'!$C$1:$G$99911,5,FALSE)</f>
        <v>SAFIEF AEIMEN</v>
      </c>
      <c r="M126" s="225">
        <f t="shared" si="27"/>
        <v>2.5787037040572613E-2</v>
      </c>
      <c r="N126" s="226">
        <f t="shared" si="45"/>
        <v>37.133333338424563</v>
      </c>
      <c r="O126" s="226"/>
      <c r="P126" s="226"/>
      <c r="Q126" s="229"/>
      <c r="R126" s="243"/>
      <c r="S126" s="250">
        <f t="shared" si="46"/>
        <v>1</v>
      </c>
      <c r="T126" s="243" t="str">
        <f t="shared" si="28"/>
        <v>Southbound</v>
      </c>
      <c r="U126" s="24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9" t="str">
        <f t="shared" si="29"/>
        <v>https://d0f6bd738d7f1b3e5a7ca70fe4ff75f0.us-east-1.aws.found.io/app/kibana#/discover/Steve-Slow-Train-Analysis-(2080s-and-2083s)?_g=(refreshInterval:(display:Off,pause:!f,section:0,value:0),time:(from:'2017-11-27T17:08:51-0700',mode:absolute,to:'2017-11-27T20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6" s="248" t="str">
        <f>IF(AA126&lt;VLOOKUP(AG126,Variables!$AC$3:$AD$8,2,FALSE),"Y","N")</f>
        <v>N</v>
      </c>
      <c r="X126" s="248">
        <f t="shared" si="30"/>
        <v>1</v>
      </c>
      <c r="Y126" s="248">
        <f t="shared" si="31"/>
        <v>23.291699999999999</v>
      </c>
      <c r="Z126" s="248">
        <f t="shared" si="32"/>
        <v>2.1999999999999999E-2</v>
      </c>
      <c r="AA126" s="248">
        <f t="shared" si="33"/>
        <v>23.2697</v>
      </c>
      <c r="AB126" s="234" t="e">
        <f>VLOOKUP(A126,Enforcements!$C$7:$K$9,8,0)</f>
        <v>#N/A</v>
      </c>
      <c r="AC126" s="233" t="e">
        <f>VLOOKUP(A126,Enforcements!$C$7:$E$9,3,0)</f>
        <v>#N/A</v>
      </c>
      <c r="AD126" s="244">
        <f t="shared" si="34"/>
        <v>212</v>
      </c>
      <c r="AE126" s="236" t="str">
        <f t="shared" si="35"/>
        <v>aws s3 cp s3://rtdc.mdm.uploadarchive.raw/RTDC4063/ "%USERPROFILE%\AppData\Local\Temp\OnboardLogs"\RTDC4063\2017-11-27 --exclude "*" --recursive --include "*20171127*" &amp; "%USERPROFILE%\Documents\GitHub\mrs-test-scripts\Headless Mode &amp; Sideloading\WalkAndUnGZ.bat" "%USERPROFILE%\AppData\Local\Temp\OnboardLogs"\RTDC4063\2017-11-27 &amp; aws s3 cp s3://rtdc.mdm.uploadarchive.raw/RTDC4063/ "%USERPROFILE%\AppData\Local\Temp\OnboardLogs"\RTDC4063\2017-11-28 --exclude "*" --recursive --include "*20171128*" &amp; "%USERPROFILE%\Documents\GitHub\mrs-test-scripts\Headless Mode &amp; Sideloading\WalkAndUnGZ.bat" "%USERPROFILE%\AppData\Local\Temp\OnboardLogs"\RTDC4063\2017-11-28</v>
      </c>
      <c r="AF126" s="235" t="str">
        <f t="shared" si="36"/>
        <v>"C:\Program Files (x86)\AstroGrep\AstroGrep.exe" /e /r /s /spath="%USERPROFILE%\AppData\Local\Temp\OnboardLogs" /stypes="app*4063*20171128*" /stext=" 02:.+((SYSTEM_STATE.+slice.+state.+changed )|(ment ac)|(multiple cpu faults)|(system.+state.+changed )|(\[timeout)|(PRM\|1\|D)|(kpr)|(kdp)|(train st.+moving)|(\|lc)|(penalty))"</v>
      </c>
      <c r="AG126" s="245" t="str">
        <f t="shared" si="37"/>
        <v>EC</v>
      </c>
      <c r="AH126" s="237" t="str">
        <f t="shared" si="38"/>
        <v>"%USERPROFILE%\Documents\GitHub\eaglep3\Utilities\RefineRTDCRunTimes.py" --tripid 212-27 --locoid 4063 --swversion DE.1.0.9.0 --startMP 204:232917 --initTime 2017-11-27T18:08:51 --startdatetime 2017-11-27T18:27:31 --delay 60 --endMP 204:220 --enddatetime 2017-11-27T19:04:39 --enforcementcount 0 &gt;&gt;%USERPROFILE%\Documents\GitHub\eaglep3-reporting\EC\2017-11-27-refined-times.txt</v>
      </c>
      <c r="AI126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{"issue":{"subject":"","project_id":79,"tracker_id":40,"status_id":1,"priority_id":2,"assigned_to_id":338,"start_date":"2017-11-27","description":"","custom_fields":[{"id":1,"name":"Subdivision","value":"EC"},{"id":4,"name":"Milepost","value":"0.022"},{"id":17,"name":"Train ID","value":"212-27"},{"id":16,"name":"Locomotive ID","value":"4063"},{"id":130,"name":"Impact","value":""},{"id":150,"name":"Time of Event (Mountain Time)","value":"19:04:39"},{"id":151,"name":"Denver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4"/>
      <c r="AK126" s="232"/>
      <c r="AL126" s="232"/>
      <c r="AM126" s="241" t="str">
        <f t="shared" si="40"/>
        <v>start /low /b %USERPROFILE%\Documents\GitHub\eaglep3\Utilities\DownloadLogsFromS3.py --loco 4063 --day 2017-11-27</v>
      </c>
      <c r="AN126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02:04:39"},{"id":29,"name":"Sharepoint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1" t="str">
        <f t="shared" si="42"/>
        <v>https://d0f6bd738d7f1b3e5a7ca70fe4ff75f0.us-east-1.aws.found.io/app/kibana#/discover/Steve-Slow-Train-Analysis-(2080s-and-2083s)?_g=(refreshInterval:(display:Off,pause:!f,section:0,value:0),time:(from:'2017-11-27T17:08:51-0700',mode:absolute,to:'2017-11-27T20:04:39-0700'))&amp;_a=(columns:!('Message%20ID',Summary),filters:!(),index:'emp_*',interval:auto,query:(query_string:(analyze_wildcard:!t,query:'%22rtdc.l.rtdc.4063%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30" t="s">
        <v>771</v>
      </c>
      <c r="B127" s="226">
        <v>4022</v>
      </c>
      <c r="C127" s="228" t="s">
        <v>192</v>
      </c>
      <c r="D127" s="228" t="s">
        <v>498</v>
      </c>
      <c r="E127" s="227">
        <v>43066.737002314818</v>
      </c>
      <c r="F127" s="227">
        <v>43066.74015046296</v>
      </c>
      <c r="G127" s="226">
        <v>165</v>
      </c>
      <c r="H127" s="228" t="s">
        <v>866</v>
      </c>
      <c r="I127" s="227">
        <v>43066.764594907407</v>
      </c>
      <c r="J127" s="226">
        <v>0</v>
      </c>
      <c r="K127" s="238" t="str">
        <f t="shared" si="26"/>
        <v>4021/4022</v>
      </c>
      <c r="L127" s="246" t="str">
        <f>VLOOKUP(A127,'Trips&amp;Operators'!$C$1:$G$99911,5,FALSE)</f>
        <v>LOZA FIDEL</v>
      </c>
      <c r="M127" s="225">
        <f t="shared" si="27"/>
        <v>2.4444444446999114E-2</v>
      </c>
      <c r="N127" s="226">
        <f t="shared" si="45"/>
        <v>35.200000003678724</v>
      </c>
      <c r="O127" s="226"/>
      <c r="P127" s="226"/>
      <c r="Q127" s="229"/>
      <c r="R127" s="243"/>
      <c r="S127" s="250">
        <f t="shared" si="46"/>
        <v>1</v>
      </c>
      <c r="T127" s="243" t="str">
        <f t="shared" si="28"/>
        <v>NorthBound</v>
      </c>
      <c r="U127" s="24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9" t="str">
        <f t="shared" si="29"/>
        <v>https://d0f6bd738d7f1b3e5a7ca70fe4ff75f0.us-east-1.aws.found.io/app/kibana#/discover/Steve-Slow-Train-Analysis-(2080s-and-2083s)?_g=(refreshInterval:(display:Off,pause:!f,section:0,value:0),time:(from:'2017-11-27T16:41:17-0700',mode:absolute,to:'2017-11-27T19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7" s="248" t="str">
        <f>IF(AA127&lt;VLOOKUP(AG127,Variables!$AC$3:$AD$8,2,FALSE),"Y","N")</f>
        <v>N</v>
      </c>
      <c r="X127" s="248">
        <f t="shared" si="30"/>
        <v>1</v>
      </c>
      <c r="Y127" s="248">
        <f t="shared" si="31"/>
        <v>5.3999999999999999E-2</v>
      </c>
      <c r="Z127" s="248">
        <f t="shared" si="32"/>
        <v>23.321999999999999</v>
      </c>
      <c r="AA127" s="248">
        <f t="shared" si="33"/>
        <v>23.268000000000001</v>
      </c>
      <c r="AB127" s="234" t="e">
        <f>VLOOKUP(A127,Enforcements!$C$7:$K$9,8,0)</f>
        <v>#N/A</v>
      </c>
      <c r="AC127" s="233" t="e">
        <f>VLOOKUP(A127,Enforcements!$C$7:$E$9,3,0)</f>
        <v>#N/A</v>
      </c>
      <c r="AD127" s="244">
        <f t="shared" si="34"/>
        <v>213</v>
      </c>
      <c r="AE127" s="236" t="str">
        <f t="shared" si="35"/>
        <v>aws s3 cp s3://rtdc.mdm.uploadarchive.raw/RTDC4022/ "%USERPROFILE%\AppData\Local\Temp\OnboardLogs"\RTDC4022\2017-11-27 --exclude "*" --recursive --include "*20171127*" &amp; "%USERPROFILE%\Documents\GitHub\mrs-test-scripts\Headless Mode &amp; Sideloading\WalkAndUnGZ.bat" "%USERPROFILE%\AppData\Local\Temp\OnboardLogs"\RTDC4022\2017-11-27 &amp; aws s3 cp s3://rtdc.mdm.uploadarchive.raw/RTDC4022/ "%USERPROFILE%\AppData\Local\Temp\OnboardLogs"\RTDC4022\2017-11-28 --exclude "*" --recursive --include "*20171128*" &amp; "%USERPROFILE%\Documents\GitHub\mrs-test-scripts\Headless Mode &amp; Sideloading\WalkAndUnGZ.bat" "%USERPROFILE%\AppData\Local\Temp\OnboardLogs"\RTDC4022\2017-11-28</v>
      </c>
      <c r="AF127" s="235" t="str">
        <f t="shared" si="36"/>
        <v>"C:\Program Files (x86)\AstroGrep\AstroGrep.exe" /e /r /s /spath="%USERPROFILE%\AppData\Local\Temp\OnboardLogs" /stypes="app*4022*20171128*" /stext=" 01:.+((SYSTEM_STATE.+slice.+state.+changed )|(ment ac)|(multiple cpu faults)|(system.+state.+changed )|(\[timeout)|(PRM\|1\|D)|(kpr)|(kdp)|(train st.+moving)|(\|lc)|(penalty))"</v>
      </c>
      <c r="AG127" s="245" t="str">
        <f t="shared" si="37"/>
        <v>EC</v>
      </c>
      <c r="AH127" s="237" t="str">
        <f t="shared" si="38"/>
        <v>"%USERPROFILE%\Documents\GitHub\eaglep3\Utilities\RefineRTDCRunTimes.py" --tripid 213-27 --locoid 4022 --swversion DE.1.0.9.0 --startMP 204:540 --initTime 2017-11-27T17:41:17 --startdatetime 2017-11-27T17:45:49 --delay 165 --endMP 204:233220 --enddatetime 2017-11-27T18:21:01 --enforcementcount 0 &gt;&gt;%USERPROFILE%\Documents\GitHub\eaglep3-reporting\EC\2017-11-27-refined-times.txt</v>
      </c>
      <c r="AI127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{"issue":{"subject":"","project_id":79,"tracker_id":40,"status_id":1,"priority_id":2,"assigned_to_id":338,"start_date":"2017-11-27","description":"","custom_fields":[{"id":1,"name":"Subdivision","value":"EC"},{"id":4,"name":"Milepost","value":"23.322"},{"id":17,"name":"Train ID","value":"213-27"},{"id":16,"name":"Locomotive ID","value":"4022"},{"id":130,"name":"Impact","value":""},{"id":150,"name":"Time of Event (Mountain Time)","value":"18:21:01"},{"id":151,"name":"Denver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4"/>
      <c r="AK127" s="232"/>
      <c r="AL127" s="232"/>
      <c r="AM127" s="241" t="str">
        <f t="shared" si="40"/>
        <v>start /low /b %USERPROFILE%\Documents\GitHub\eaglep3\Utilities\DownloadLogsFromS3.py --loco 4022 --day 2017-11-27</v>
      </c>
      <c r="AN127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01:21:01"},{"id":29,"name":"Sharepoint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1" t="str">
        <f t="shared" si="42"/>
        <v>https://d0f6bd738d7f1b3e5a7ca70fe4ff75f0.us-east-1.aws.found.io/app/kibana#/discover/Steve-Slow-Train-Analysis-(2080s-and-2083s)?_g=(refreshInterval:(display:Off,pause:!f,section:0,value:0),time:(from:'2017-11-27T16:41:17-0700',mode:absolute,to:'2017-11-27T19:21:01-0700'))&amp;_a=(columns:!('Message%20ID',Summary),filters:!(),index:'emp_*',interval:auto,query:(query_string:(analyze_wildcard:!t,query:'%22rtdc.l.rtdc.4022%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30" t="s">
        <v>782</v>
      </c>
      <c r="B128" s="226">
        <v>4021</v>
      </c>
      <c r="C128" s="228" t="s">
        <v>192</v>
      </c>
      <c r="D128" s="228" t="s">
        <v>450</v>
      </c>
      <c r="E128" s="227">
        <v>43066.774189814816</v>
      </c>
      <c r="F128" s="227">
        <v>43066.779386574075</v>
      </c>
      <c r="G128" s="226">
        <v>165</v>
      </c>
      <c r="H128" s="228" t="s">
        <v>494</v>
      </c>
      <c r="I128" s="227">
        <v>43066.804803240739</v>
      </c>
      <c r="J128" s="226">
        <v>0</v>
      </c>
      <c r="K128" s="238" t="str">
        <f t="shared" si="26"/>
        <v>4021/4022</v>
      </c>
      <c r="L128" s="246" t="str">
        <f>VLOOKUP(A128,'Trips&amp;Operators'!$C$1:$G$99911,5,FALSE)</f>
        <v>LOZA FIDEL</v>
      </c>
      <c r="M128" s="225">
        <f t="shared" si="27"/>
        <v>2.5416666663659271E-2</v>
      </c>
      <c r="N128" s="226">
        <f t="shared" si="45"/>
        <v>36.59999999566935</v>
      </c>
      <c r="O128" s="226"/>
      <c r="P128" s="226"/>
      <c r="Q128" s="229"/>
      <c r="R128" s="243"/>
      <c r="S128" s="250">
        <f t="shared" si="46"/>
        <v>1</v>
      </c>
      <c r="T128" s="243" t="str">
        <f t="shared" si="28"/>
        <v>Southbound</v>
      </c>
      <c r="U128" s="24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9" t="str">
        <f t="shared" si="29"/>
        <v>https://d0f6bd738d7f1b3e5a7ca70fe4ff75f0.us-east-1.aws.found.io/app/kibana#/discover/Steve-Slow-Train-Analysis-(2080s-and-2083s)?_g=(refreshInterval:(display:Off,pause:!f,section:0,value:0),time:(from:'2017-11-27T17:34:50-0700',mode:absolute,to:'2017-11-27T20:18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8" s="248" t="str">
        <f>IF(AA128&lt;VLOOKUP(AG128,Variables!$AC$3:$AD$8,2,FALSE),"Y","N")</f>
        <v>N</v>
      </c>
      <c r="X128" s="248">
        <f t="shared" si="30"/>
        <v>1</v>
      </c>
      <c r="Y128" s="248">
        <f t="shared" si="31"/>
        <v>23.293399999999998</v>
      </c>
      <c r="Z128" s="248">
        <f t="shared" si="32"/>
        <v>2.01E-2</v>
      </c>
      <c r="AA128" s="248">
        <f t="shared" si="33"/>
        <v>23.273299999999999</v>
      </c>
      <c r="AB128" s="234" t="e">
        <f>VLOOKUP(A128,Enforcements!$C$7:$K$9,8,0)</f>
        <v>#N/A</v>
      </c>
      <c r="AC128" s="233" t="e">
        <f>VLOOKUP(A128,Enforcements!$C$7:$E$9,3,0)</f>
        <v>#N/A</v>
      </c>
      <c r="AD128" s="244">
        <f t="shared" si="34"/>
        <v>214</v>
      </c>
      <c r="AE128" s="236" t="str">
        <f t="shared" si="35"/>
        <v>aws s3 cp s3://rtdc.mdm.uploadarchive.raw/RTDC4021/ "%USERPROFILE%\AppData\Local\Temp\OnboardLogs"\RTDC4021\2017-11-27 --exclude "*" --recursive --include "*20171127*" &amp; "%USERPROFILE%\Documents\GitHub\mrs-test-scripts\Headless Mode &amp; Sideloading\WalkAndUnGZ.bat" "%USERPROFILE%\AppData\Local\Temp\OnboardLogs"\RTDC4021\2017-11-27 &amp; aws s3 cp s3://rtdc.mdm.uploadarchive.raw/RTDC4021/ "%USERPROFILE%\AppData\Local\Temp\OnboardLogs"\RTDC4021\2017-11-28 --exclude "*" --recursive --include "*20171128*" &amp; "%USERPROFILE%\Documents\GitHub\mrs-test-scripts\Headless Mode &amp; Sideloading\WalkAndUnGZ.bat" "%USERPROFILE%\AppData\Local\Temp\OnboardLogs"\RTDC4021\2017-11-28</v>
      </c>
      <c r="AF128" s="235" t="str">
        <f t="shared" si="36"/>
        <v>"C:\Program Files (x86)\AstroGrep\AstroGrep.exe" /e /r /s /spath="%USERPROFILE%\AppData\Local\Temp\OnboardLogs" /stypes="app*4021*20171128*" /stext=" 02:.+((SYSTEM_STATE.+slice.+state.+changed )|(ment ac)|(multiple cpu faults)|(system.+state.+changed )|(\[timeout)|(PRM\|1\|D)|(kpr)|(kdp)|(train st.+moving)|(\|lc)|(penalty))"</v>
      </c>
      <c r="AG128" s="245" t="str">
        <f t="shared" si="37"/>
        <v>EC</v>
      </c>
      <c r="AH128" s="237" t="str">
        <f t="shared" si="38"/>
        <v>"%USERPROFILE%\Documents\GitHub\eaglep3\Utilities\RefineRTDCRunTimes.py" --tripid 214-27 --locoid 4021 --swversion DE.1.0.9.0 --startMP 204:232934 --initTime 2017-11-27T18:34:50 --startdatetime 2017-11-27T18:42:19 --delay 165 --endMP 204:201 --enddatetime 2017-11-27T19:18:55 --enforcementcount 0 &gt;&gt;%USERPROFILE%\Documents\GitHub\eaglep3-reporting\EC\2017-11-27-refined-times.txt</v>
      </c>
      <c r="AI128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{"issue":{"subject":"","project_id":79,"tracker_id":40,"status_id":1,"priority_id":2,"assigned_to_id":338,"start_date":"2017-11-27","description":"","custom_fields":[{"id":1,"name":"Subdivision","value":"EC"},{"id":4,"name":"Milepost","value":"0.0201"},{"id":17,"name":"Train ID","value":"214-27"},{"id":16,"name":"Locomotive ID","value":"4021"},{"id":130,"name":"Impact","value":""},{"id":150,"name":"Time of Event (Mountain Time)","value":"19:18:55"},{"id":151,"name":"Denver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4"/>
      <c r="AK128" s="232"/>
      <c r="AL128" s="232"/>
      <c r="AM128" s="241" t="str">
        <f t="shared" si="40"/>
        <v>start /low /b %USERPROFILE%\Documents\GitHub\eaglep3\Utilities\DownloadLogsFromS3.py --loco 4021 --day 2017-11-27</v>
      </c>
      <c r="AN128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02:18:55"},{"id":29,"name":"Sharepoint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1" t="str">
        <f t="shared" si="42"/>
        <v>https://d0f6bd738d7f1b3e5a7ca70fe4ff75f0.us-east-1.aws.found.io/app/kibana#/discover/Steve-Slow-Train-Analysis-(2080s-and-2083s)?_g=(refreshInterval:(display:Off,pause:!f,section:0,value:0),time:(from:'2017-11-27T17:34:50-0700',mode:absolute,to:'2017-11-27T20:18:55-0700'))&amp;_a=(columns:!('Message%20ID',Summary),filters:!(),index:'emp_*',interval:auto,query:(query_string:(analyze_wildcard:!t,query:'%22rtdc.l.rtdc.4021%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4" customFormat="1" x14ac:dyDescent="0.25">
      <c r="A129" s="230" t="s">
        <v>773</v>
      </c>
      <c r="B129" s="226">
        <v>4054</v>
      </c>
      <c r="C129" s="228" t="s">
        <v>192</v>
      </c>
      <c r="D129" s="228" t="s">
        <v>536</v>
      </c>
      <c r="E129" s="227">
        <v>43066.74628472222</v>
      </c>
      <c r="F129" s="227">
        <v>43066.750208333331</v>
      </c>
      <c r="G129" s="226">
        <v>63</v>
      </c>
      <c r="H129" s="228" t="s">
        <v>841</v>
      </c>
      <c r="I129" s="227">
        <v>43066.774768518517</v>
      </c>
      <c r="J129" s="226">
        <v>0</v>
      </c>
      <c r="K129" s="238" t="str">
        <f t="shared" si="26"/>
        <v>4053/4054</v>
      </c>
      <c r="L129" s="246" t="str">
        <f>VLOOKUP(A129,'Trips&amp;Operators'!$C$1:$G$99911,5,FALSE)</f>
        <v>SMITH MICHAEL</v>
      </c>
      <c r="M129" s="225">
        <f t="shared" si="27"/>
        <v>2.4560185185691807E-2</v>
      </c>
      <c r="N129" s="226">
        <f t="shared" si="45"/>
        <v>35.366666667396203</v>
      </c>
      <c r="O129" s="226"/>
      <c r="P129" s="226"/>
      <c r="Q129" s="229"/>
      <c r="R129" s="243"/>
      <c r="S129" s="250">
        <f t="shared" si="46"/>
        <v>1</v>
      </c>
      <c r="T129" s="243" t="str">
        <f t="shared" si="28"/>
        <v>NorthBound</v>
      </c>
      <c r="U129" s="24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9" t="str">
        <f t="shared" si="29"/>
        <v>https://d0f6bd738d7f1b3e5a7ca70fe4ff75f0.us-east-1.aws.found.io/app/kibana#/discover/Steve-Slow-Train-Analysis-(2080s-and-2083s)?_g=(refreshInterval:(display:Off,pause:!f,section:0,value:0),time:(from:'2017-11-27T16:54:39-0700',mode:absolute,to:'2017-11-27T19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9" s="248" t="str">
        <f>IF(AA129&lt;VLOOKUP(AG129,Variables!$AC$3:$AD$8,2,FALSE),"Y","N")</f>
        <v>N</v>
      </c>
      <c r="X129" s="248">
        <f t="shared" si="30"/>
        <v>1</v>
      </c>
      <c r="Y129" s="248">
        <f t="shared" si="31"/>
        <v>0.05</v>
      </c>
      <c r="Z129" s="248">
        <f t="shared" si="32"/>
        <v>23.328900000000001</v>
      </c>
      <c r="AA129" s="248">
        <f t="shared" si="33"/>
        <v>23.2789</v>
      </c>
      <c r="AB129" s="234" t="e">
        <f>VLOOKUP(A129,Enforcements!$C$7:$K$9,8,0)</f>
        <v>#N/A</v>
      </c>
      <c r="AC129" s="233" t="e">
        <f>VLOOKUP(A129,Enforcements!$C$7:$E$9,3,0)</f>
        <v>#N/A</v>
      </c>
      <c r="AD129" s="244">
        <f t="shared" si="34"/>
        <v>215</v>
      </c>
      <c r="AE129" s="236" t="str">
        <f t="shared" si="35"/>
        <v>aws s3 cp s3://rtdc.mdm.uploadarchive.raw/RTDC4054/ "%USERPROFILE%\AppData\Local\Temp\OnboardLogs"\RTDC4054\2017-11-27 --exclude "*" --recursive --include "*20171127*" &amp; "%USERPROFILE%\Documents\GitHub\mrs-test-scripts\Headless Mode &amp; Sideloading\WalkAndUnGZ.bat" "%USERPROFILE%\AppData\Local\Temp\OnboardLogs"\RTDC4054\2017-11-27 &amp; aws s3 cp s3://rtdc.mdm.uploadarchive.raw/RTDC4054/ "%USERPROFILE%\AppData\Local\Temp\OnboardLogs"\RTDC4054\2017-11-28 --exclude "*" --recursive --include "*20171128*" &amp; "%USERPROFILE%\Documents\GitHub\mrs-test-scripts\Headless Mode &amp; Sideloading\WalkAndUnGZ.bat" "%USERPROFILE%\AppData\Local\Temp\OnboardLogs"\RTDC4054\2017-11-28</v>
      </c>
      <c r="AF129" s="235" t="str">
        <f t="shared" si="36"/>
        <v>"C:\Program Files (x86)\AstroGrep\AstroGrep.exe" /e /r /s /spath="%USERPROFILE%\AppData\Local\Temp\OnboardLogs" /stypes="app*4054*20171128*" /stext=" 01:.+((SYSTEM_STATE.+slice.+state.+changed )|(ment ac)|(multiple cpu faults)|(system.+state.+changed )|(\[timeout)|(PRM\|1\|D)|(kpr)|(kdp)|(train st.+moving)|(\|lc)|(penalty))"</v>
      </c>
      <c r="AG129" s="245" t="str">
        <f t="shared" si="37"/>
        <v>EC</v>
      </c>
      <c r="AH129" s="237" t="str">
        <f t="shared" si="38"/>
        <v>"%USERPROFILE%\Documents\GitHub\eaglep3\Utilities\RefineRTDCRunTimes.py" --tripid 215-27 --locoid 4054 --swversion DE.1.0.9.0 --startMP 204:500 --initTime 2017-11-27T17:54:39 --startdatetime 2017-11-27T18:00:18 --delay 63 --endMP 204:233289 --enddatetime 2017-11-27T18:35:40 --enforcementcount 0 &gt;&gt;%USERPROFILE%\Documents\GitHub\eaglep3-reporting\EC\2017-11-27-refined-times.txt</v>
      </c>
      <c r="AI129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{"issue":{"subject":"","project_id":79,"tracker_id":40,"status_id":1,"priority_id":2,"assigned_to_id":338,"start_date":"2017-11-27","description":"","custom_fields":[{"id":1,"name":"Subdivision","value":"EC"},{"id":4,"name":"Milepost","value":"23.3289"},{"id":17,"name":"Train ID","value":"215-27"},{"id":16,"name":"Locomotive ID","value":"4054"},{"id":130,"name":"Impact","value":""},{"id":150,"name":"Time of Event (Mountain Time)","value":"18:35:40"},{"id":151,"name":"Denver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2"/>
      <c r="AL129" s="232"/>
      <c r="AM129" s="241" t="str">
        <f t="shared" si="40"/>
        <v>start /low /b %USERPROFILE%\Documents\GitHub\eaglep3\Utilities\DownloadLogsFromS3.py --loco 4054 --day 2017-11-27</v>
      </c>
      <c r="AN129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01:35:40"},{"id":29,"name":"Sharepoint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1" t="str">
        <f t="shared" si="42"/>
        <v>https://d0f6bd738d7f1b3e5a7ca70fe4ff75f0.us-east-1.aws.found.io/app/kibana#/discover/Steve-Slow-Train-Analysis-(2080s-and-2083s)?_g=(refreshInterval:(display:Off,pause:!f,section:0,value:0),time:(from:'2017-11-27T16:54:39-0700',mode:absolute,to:'2017-11-27T19:35:40-0700'))&amp;_a=(columns:!('Message%20ID',Summary),filters:!(),index:'emp_*',interval:auto,query:(query_string:(analyze_wildcard:!t,query:'%22rtdc.l.rtdc.4054%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30" t="s">
        <v>783</v>
      </c>
      <c r="B130" s="226">
        <v>4053</v>
      </c>
      <c r="C130" s="228" t="s">
        <v>192</v>
      </c>
      <c r="D130" s="228" t="s">
        <v>437</v>
      </c>
      <c r="E130" s="227">
        <v>43066.782858796294</v>
      </c>
      <c r="F130" s="227">
        <v>43066.789814814816</v>
      </c>
      <c r="G130" s="226">
        <v>64</v>
      </c>
      <c r="H130" s="228" t="s">
        <v>527</v>
      </c>
      <c r="I130" s="227">
        <v>43066.81585648148</v>
      </c>
      <c r="J130" s="226">
        <v>0</v>
      </c>
      <c r="K130" s="238" t="str">
        <f t="shared" si="26"/>
        <v>4053/4054</v>
      </c>
      <c r="L130" s="246" t="str">
        <f>VLOOKUP(A130,'Trips&amp;Operators'!$C$1:$G$99911,5,FALSE)</f>
        <v>SMITH MICHAEL</v>
      </c>
      <c r="M130" s="225">
        <f t="shared" si="27"/>
        <v>2.6041666664241347E-2</v>
      </c>
      <c r="N130" s="226">
        <f t="shared" si="45"/>
        <v>37.49999999650754</v>
      </c>
      <c r="O130" s="226"/>
      <c r="P130" s="226"/>
      <c r="Q130" s="229"/>
      <c r="R130" s="243"/>
      <c r="S130" s="250">
        <f t="shared" si="46"/>
        <v>1</v>
      </c>
      <c r="T130" s="243" t="str">
        <f t="shared" si="28"/>
        <v>Southbound</v>
      </c>
      <c r="U130" s="24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9" t="str">
        <f t="shared" si="29"/>
        <v>https://d0f6bd738d7f1b3e5a7ca70fe4ff75f0.us-east-1.aws.found.io/app/kibana#/discover/Steve-Slow-Train-Analysis-(2080s-and-2083s)?_g=(refreshInterval:(display:Off,pause:!f,section:0,value:0),time:(from:'2017-11-27T17:47:19-0700',mode:absolute,to:'2017-11-27T20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0" s="248" t="str">
        <f>IF(AA130&lt;VLOOKUP(AG130,Variables!$AC$3:$AD$8,2,FALSE),"Y","N")</f>
        <v>N</v>
      </c>
      <c r="X130" s="248">
        <f t="shared" si="30"/>
        <v>1</v>
      </c>
      <c r="Y130" s="248">
        <f t="shared" si="31"/>
        <v>23.297899999999998</v>
      </c>
      <c r="Z130" s="248">
        <f t="shared" si="32"/>
        <v>1.9400000000000001E-2</v>
      </c>
      <c r="AA130" s="248">
        <f t="shared" si="33"/>
        <v>23.278499999999998</v>
      </c>
      <c r="AB130" s="234" t="e">
        <f>VLOOKUP(A130,Enforcements!$C$7:$K$9,8,0)</f>
        <v>#N/A</v>
      </c>
      <c r="AC130" s="233" t="e">
        <f>VLOOKUP(A130,Enforcements!$C$7:$E$9,3,0)</f>
        <v>#N/A</v>
      </c>
      <c r="AD130" s="244">
        <f t="shared" si="34"/>
        <v>216</v>
      </c>
      <c r="AE130" s="236" t="str">
        <f t="shared" si="35"/>
        <v>aws s3 cp s3://rtdc.mdm.uploadarchive.raw/RTDC4053/ "%USERPROFILE%\AppData\Local\Temp\OnboardLogs"\RTDC4053\2017-11-27 --exclude "*" --recursive --include "*20171127*" &amp; "%USERPROFILE%\Documents\GitHub\mrs-test-scripts\Headless Mode &amp; Sideloading\WalkAndUnGZ.bat" "%USERPROFILE%\AppData\Local\Temp\OnboardLogs"\RTDC4053\2017-11-27 &amp; aws s3 cp s3://rtdc.mdm.uploadarchive.raw/RTDC4053/ "%USERPROFILE%\AppData\Local\Temp\OnboardLogs"\RTDC4053\2017-11-28 --exclude "*" --recursive --include "*20171128*" &amp; "%USERPROFILE%\Documents\GitHub\mrs-test-scripts\Headless Mode &amp; Sideloading\WalkAndUnGZ.bat" "%USERPROFILE%\AppData\Local\Temp\OnboardLogs"\RTDC4053\2017-11-28</v>
      </c>
      <c r="AF130" s="235" t="str">
        <f t="shared" si="36"/>
        <v>"C:\Program Files (x86)\AstroGrep\AstroGrep.exe" /e /r /s /spath="%USERPROFILE%\AppData\Local\Temp\OnboardLogs" /stypes="app*4053*20171128*" /stext=" 02:.+((SYSTEM_STATE.+slice.+state.+changed )|(ment ac)|(multiple cpu faults)|(system.+state.+changed )|(\[timeout)|(PRM\|1\|D)|(kpr)|(kdp)|(train st.+moving)|(\|lc)|(penalty))"</v>
      </c>
      <c r="AG130" s="245" t="str">
        <f t="shared" si="37"/>
        <v>EC</v>
      </c>
      <c r="AH130" s="237" t="str">
        <f t="shared" si="38"/>
        <v>"%USERPROFILE%\Documents\GitHub\eaglep3\Utilities\RefineRTDCRunTimes.py" --tripid 216-27 --locoid 4053 --swversion DE.1.0.9.0 --startMP 204:232979 --initTime 2017-11-27T18:47:19 --startdatetime 2017-11-27T18:57:20 --delay 64 --endMP 204:194 --enddatetime 2017-11-27T19:34:50 --enforcementcount 0 &gt;&gt;%USERPROFILE%\Documents\GitHub\eaglep3-reporting\EC\2017-11-27-refined-times.txt</v>
      </c>
      <c r="AI130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{"issue":{"subject":"","project_id":79,"tracker_id":40,"status_id":1,"priority_id":2,"assigned_to_id":338,"start_date":"2017-11-27","description":"","custom_fields":[{"id":1,"name":"Subdivision","value":"EC"},{"id":4,"name":"Milepost","value":"0.0194"},{"id":17,"name":"Train ID","value":"216-27"},{"id":16,"name":"Locomotive ID","value":"4053"},{"id":130,"name":"Impact","value":""},{"id":150,"name":"Time of Event (Mountain Time)","value":"19:34:50"},{"id":151,"name":"Denver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4"/>
      <c r="AK130" s="232"/>
      <c r="AL130" s="232"/>
      <c r="AM130" s="241" t="str">
        <f t="shared" si="40"/>
        <v>start /low /b %USERPROFILE%\Documents\GitHub\eaglep3\Utilities\DownloadLogsFromS3.py --loco 4053 --day 2017-11-27</v>
      </c>
      <c r="AN130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02:34:50"},{"id":29,"name":"Sharepoint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1" t="str">
        <f t="shared" si="42"/>
        <v>https://d0f6bd738d7f1b3e5a7ca70fe4ff75f0.us-east-1.aws.found.io/app/kibana#/discover/Steve-Slow-Train-Analysis-(2080s-and-2083s)?_g=(refreshInterval:(display:Off,pause:!f,section:0,value:0),time:(from:'2017-11-27T17:47:19-0700',mode:absolute,to:'2017-11-27T20:34:50-0700'))&amp;_a=(columns:!('Message%20ID',Summary),filters:!(),index:'emp_*',interval:auto,query:(query_string:(analyze_wildcard:!t,query:'%22rtdc.l.rtdc.4053%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30" t="s">
        <v>778</v>
      </c>
      <c r="B131" s="226">
        <v>4044</v>
      </c>
      <c r="C131" s="228" t="s">
        <v>192</v>
      </c>
      <c r="D131" s="228" t="s">
        <v>896</v>
      </c>
      <c r="E131" s="227">
        <v>43066.757916666669</v>
      </c>
      <c r="F131" s="227">
        <v>43066.760648148149</v>
      </c>
      <c r="G131" s="226">
        <v>80</v>
      </c>
      <c r="H131" s="228" t="s">
        <v>897</v>
      </c>
      <c r="I131" s="227">
        <v>43066.786585648151</v>
      </c>
      <c r="J131" s="226">
        <v>0</v>
      </c>
      <c r="K131" s="238" t="str">
        <f t="shared" si="26"/>
        <v>4043/4044</v>
      </c>
      <c r="L131" s="246" t="str">
        <f>VLOOKUP(A131,'Trips&amp;Operators'!$C$1:$G$99911,5,FALSE)</f>
        <v>RESPASS AARON</v>
      </c>
      <c r="M131" s="225">
        <f t="shared" si="27"/>
        <v>2.5937500002328306E-2</v>
      </c>
      <c r="N131" s="226">
        <f t="shared" si="45"/>
        <v>37.350000003352761</v>
      </c>
      <c r="O131" s="226"/>
      <c r="P131" s="226"/>
      <c r="Q131" s="229"/>
      <c r="R131" s="243"/>
      <c r="S131" s="250">
        <f t="shared" si="46"/>
        <v>1</v>
      </c>
      <c r="T131" s="243" t="str">
        <f t="shared" si="28"/>
        <v>NorthBound</v>
      </c>
      <c r="U131" s="24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9" t="str">
        <f t="shared" si="29"/>
        <v>https://d0f6bd738d7f1b3e5a7ca70fe4ff75f0.us-east-1.aws.found.io/app/kibana#/discover/Steve-Slow-Train-Analysis-(2080s-and-2083s)?_g=(refreshInterval:(display:Off,pause:!f,section:0,value:0),time:(from:'2017-11-27T17:11:24-0700',mode:absolute,to:'2017-11-27T19:52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1" s="248" t="str">
        <f>IF(AA131&lt;VLOOKUP(AG131,Variables!$AC$3:$AD$8,2,FALSE),"Y","N")</f>
        <v>N</v>
      </c>
      <c r="X131" s="248">
        <f t="shared" si="30"/>
        <v>1</v>
      </c>
      <c r="Y131" s="248">
        <f t="shared" si="31"/>
        <v>5.0900000000000001E-2</v>
      </c>
      <c r="Z131" s="248">
        <f t="shared" si="32"/>
        <v>23.319700000000001</v>
      </c>
      <c r="AA131" s="248">
        <f t="shared" si="33"/>
        <v>23.268800000000002</v>
      </c>
      <c r="AB131" s="234" t="e">
        <f>VLOOKUP(A131,Enforcements!$C$7:$K$9,8,0)</f>
        <v>#N/A</v>
      </c>
      <c r="AC131" s="233" t="e">
        <f>VLOOKUP(A131,Enforcements!$C$7:$E$9,3,0)</f>
        <v>#N/A</v>
      </c>
      <c r="AD131" s="244">
        <f t="shared" si="34"/>
        <v>217</v>
      </c>
      <c r="AE131" s="236" t="str">
        <f t="shared" si="35"/>
        <v>aws s3 cp s3://rtdc.mdm.uploadarchive.raw/RTDC4044/ "%USERPROFILE%\AppData\Local\Temp\OnboardLogs"\RTDC4044\2017-11-27 --exclude "*" --recursive --include "*20171127*" &amp; "%USERPROFILE%\Documents\GitHub\mrs-test-scripts\Headless Mode &amp; Sideloading\WalkAndUnGZ.bat" "%USERPROFILE%\AppData\Local\Temp\OnboardLogs"\RTDC4044\2017-11-27 &amp; aws s3 cp s3://rtdc.mdm.uploadarchive.raw/RTDC4044/ "%USERPROFILE%\AppData\Local\Temp\OnboardLogs"\RTDC4044\2017-11-28 --exclude "*" --recursive --include "*20171128*" &amp; "%USERPROFILE%\Documents\GitHub\mrs-test-scripts\Headless Mode &amp; Sideloading\WalkAndUnGZ.bat" "%USERPROFILE%\AppData\Local\Temp\OnboardLogs"\RTDC4044\2017-11-28</v>
      </c>
      <c r="AF131" s="235" t="str">
        <f t="shared" si="36"/>
        <v>"C:\Program Files (x86)\AstroGrep\AstroGrep.exe" /e /r /s /spath="%USERPROFILE%\AppData\Local\Temp\OnboardLogs" /stypes="app*4044*20171128*" /stext=" 01:.+((SYSTEM_STATE.+slice.+state.+changed )|(ment ac)|(multiple cpu faults)|(system.+state.+changed )|(\[timeout)|(PRM\|1\|D)|(kpr)|(kdp)|(train st.+moving)|(\|lc)|(penalty))"</v>
      </c>
      <c r="AG131" s="245" t="str">
        <f t="shared" si="37"/>
        <v>EC</v>
      </c>
      <c r="AH131" s="237" t="str">
        <f t="shared" si="38"/>
        <v>"%USERPROFILE%\Documents\GitHub\eaglep3\Utilities\RefineRTDCRunTimes.py" --tripid 217-27 --locoid 4044 --swversion DE.1.0.9.0 --startMP 204:509 --initTime 2017-11-27T18:11:24 --startdatetime 2017-11-27T18:15:20 --delay 80 --endMP 204:233197 --enddatetime 2017-11-27T18:52:41 --enforcementcount 0 &gt;&gt;%USERPROFILE%\Documents\GitHub\eaglep3-reporting\EC\2017-11-27-refined-times.txt</v>
      </c>
      <c r="AI131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{"issue":{"subject":"","project_id":79,"tracker_id":40,"status_id":1,"priority_id":2,"assigned_to_id":338,"start_date":"2017-11-27","description":"","custom_fields":[{"id":1,"name":"Subdivision","value":"EC"},{"id":4,"name":"Milepost","value":"23.3197"},{"id":17,"name":"Train ID","value":"217-27"},{"id":16,"name":"Locomotive ID","value":"4044"},{"id":130,"name":"Impact","value":""},{"id":150,"name":"Time of Event (Mountain Time)","value":"18:52:41"},{"id":151,"name":"Denver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4"/>
      <c r="AK131" s="232"/>
      <c r="AL131" s="232"/>
      <c r="AM131" s="241" t="str">
        <f t="shared" si="40"/>
        <v>start /low /b %USERPROFILE%\Documents\GitHub\eaglep3\Utilities\DownloadLogsFromS3.py --loco 4044 --day 2017-11-27</v>
      </c>
      <c r="AN131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01:52:41"},{"id":29,"name":"Sharepoint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1" t="str">
        <f t="shared" si="42"/>
        <v>https://d0f6bd738d7f1b3e5a7ca70fe4ff75f0.us-east-1.aws.found.io/app/kibana#/discover/Steve-Slow-Train-Analysis-(2080s-and-2083s)?_g=(refreshInterval:(display:Off,pause:!f,section:0,value:0),time:(from:'2017-11-27T17:11:24-0700',mode:absolute,to:'2017-11-27T19:52:41-0700'))&amp;_a=(columns:!('Message%20ID',Summary),filters:!(),index:'emp_*',interval:auto,query:(query_string:(analyze_wildcard:!t,query:'%22rtdc.l.rtdc.4044%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30" t="s">
        <v>787</v>
      </c>
      <c r="B132" s="226">
        <v>4043</v>
      </c>
      <c r="C132" s="228" t="s">
        <v>192</v>
      </c>
      <c r="D132" s="228" t="s">
        <v>489</v>
      </c>
      <c r="E132" s="227">
        <v>43066.796701388892</v>
      </c>
      <c r="F132" s="227">
        <v>43066.800162037034</v>
      </c>
      <c r="G132" s="226">
        <v>102</v>
      </c>
      <c r="H132" s="228" t="s">
        <v>898</v>
      </c>
      <c r="I132" s="227">
        <v>43066.825578703705</v>
      </c>
      <c r="J132" s="226">
        <v>0</v>
      </c>
      <c r="K132" s="238" t="str">
        <f t="shared" si="26"/>
        <v>4043/4044</v>
      </c>
      <c r="L132" s="246" t="str">
        <f>VLOOKUP(A132,'Trips&amp;Operators'!$C$1:$G$99911,5,FALSE)</f>
        <v>RESPASS AARON</v>
      </c>
      <c r="M132" s="225">
        <f t="shared" si="27"/>
        <v>2.5416666670935228E-2</v>
      </c>
      <c r="N132" s="226">
        <f t="shared" si="45"/>
        <v>36.600000006146729</v>
      </c>
      <c r="O132" s="226"/>
      <c r="P132" s="226"/>
      <c r="Q132" s="229"/>
      <c r="R132" s="243"/>
      <c r="S132" s="250">
        <f t="shared" si="46"/>
        <v>1</v>
      </c>
      <c r="T132" s="243" t="str">
        <f t="shared" si="28"/>
        <v>Southbound</v>
      </c>
      <c r="U132" s="24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9" t="str">
        <f t="shared" si="29"/>
        <v>https://d0f6bd738d7f1b3e5a7ca70fe4ff75f0.us-east-1.aws.found.io/app/kibana#/discover/Steve-Slow-Train-Analysis-(2080s-and-2083s)?_g=(refreshInterval:(display:Off,pause:!f,section:0,value:0),time:(from:'2017-11-27T18:07:15-0700',mode:absolute,to:'2017-11-27T20:48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2" s="248" t="str">
        <f>IF(AA132&lt;VLOOKUP(AG132,Variables!$AC$3:$AD$8,2,FALSE),"Y","N")</f>
        <v>N</v>
      </c>
      <c r="X132" s="248">
        <f t="shared" si="30"/>
        <v>1</v>
      </c>
      <c r="Y132" s="248">
        <f t="shared" si="31"/>
        <v>23.290400000000002</v>
      </c>
      <c r="Z132" s="248">
        <f t="shared" si="32"/>
        <v>2.63E-2</v>
      </c>
      <c r="AA132" s="248">
        <f t="shared" si="33"/>
        <v>23.264100000000003</v>
      </c>
      <c r="AB132" s="234" t="e">
        <f>VLOOKUP(A132,Enforcements!$C$7:$K$9,8,0)</f>
        <v>#N/A</v>
      </c>
      <c r="AC132" s="233" t="e">
        <f>VLOOKUP(A132,Enforcements!$C$7:$E$9,3,0)</f>
        <v>#N/A</v>
      </c>
      <c r="AD132" s="244">
        <f t="shared" si="34"/>
        <v>218</v>
      </c>
      <c r="AE132" s="236" t="str">
        <f t="shared" si="35"/>
        <v>aws s3 cp s3://rtdc.mdm.uploadarchive.raw/RTDC4043/ "%USERPROFILE%\AppData\Local\Temp\OnboardLogs"\RTDC4043\2017-11-27 --exclude "*" --recursive --include "*20171127*" &amp; "%USERPROFILE%\Documents\GitHub\mrs-test-scripts\Headless Mode &amp; Sideloading\WalkAndUnGZ.bat" "%USERPROFILE%\AppData\Local\Temp\OnboardLogs"\RTDC4043\2017-11-27 &amp; aws s3 cp s3://rtdc.mdm.uploadarchive.raw/RTDC4043/ "%USERPROFILE%\AppData\Local\Temp\OnboardLogs"\RTDC4043\2017-11-28 --exclude "*" --recursive --include "*20171128*" &amp; "%USERPROFILE%\Documents\GitHub\mrs-test-scripts\Headless Mode &amp; Sideloading\WalkAndUnGZ.bat" "%USERPROFILE%\AppData\Local\Temp\OnboardLogs"\RTDC4043\2017-11-28</v>
      </c>
      <c r="AF132" s="235" t="str">
        <f t="shared" si="36"/>
        <v>"C:\Program Files (x86)\AstroGrep\AstroGrep.exe" /e /r /s /spath="%USERPROFILE%\AppData\Local\Temp\OnboardLogs" /stypes="app*4043*20171128*" /stext=" 02:.+((SYSTEM_STATE.+slice.+state.+changed )|(ment ac)|(multiple cpu faults)|(system.+state.+changed )|(\[timeout)|(PRM\|1\|D)|(kpr)|(kdp)|(train st.+moving)|(\|lc)|(penalty))"</v>
      </c>
      <c r="AG132" s="245" t="str">
        <f t="shared" si="37"/>
        <v>EC</v>
      </c>
      <c r="AH132" s="237" t="str">
        <f t="shared" si="38"/>
        <v>"%USERPROFILE%\Documents\GitHub\eaglep3\Utilities\RefineRTDCRunTimes.py" --tripid 218-27 --locoid 4043 --swversion DE.1.0.9.0 --startMP 204:232904 --initTime 2017-11-27T19:07:15 --startdatetime 2017-11-27T19:12:14 --delay 102 --endMP 204:263 --enddatetime 2017-11-27T19:48:50 --enforcementcount 0 &gt;&gt;%USERPROFILE%\Documents\GitHub\eaglep3-reporting\EC\2017-11-27-refined-times.txt</v>
      </c>
      <c r="AI132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{"issue":{"subject":"","project_id":79,"tracker_id":40,"status_id":1,"priority_id":2,"assigned_to_id":338,"start_date":"2017-11-27","description":"","custom_fields":[{"id":1,"name":"Subdivision","value":"EC"},{"id":4,"name":"Milepost","value":"0.0263"},{"id":17,"name":"Train ID","value":"218-27"},{"id":16,"name":"Locomotive ID","value":"4043"},{"id":130,"name":"Impact","value":""},{"id":150,"name":"Time of Event (Mountain Time)","value":"19:48:50"},{"id":151,"name":"Denver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4"/>
      <c r="AK132" s="232"/>
      <c r="AL132" s="232"/>
      <c r="AM132" s="241" t="str">
        <f t="shared" si="40"/>
        <v>start /low /b %USERPROFILE%\Documents\GitHub\eaglep3\Utilities\DownloadLogsFromS3.py --loco 4043 --day 2017-11-27</v>
      </c>
      <c r="AN132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02:48:50"},{"id":29,"name":"Sharepoint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1" t="str">
        <f t="shared" si="42"/>
        <v>https://d0f6bd738d7f1b3e5a7ca70fe4ff75f0.us-east-1.aws.found.io/app/kibana#/discover/Steve-Slow-Train-Analysis-(2080s-and-2083s)?_g=(refreshInterval:(display:Off,pause:!f,section:0,value:0),time:(from:'2017-11-27T18:07:15-0700',mode:absolute,to:'2017-11-27T20:48:50-0700'))&amp;_a=(columns:!('Message%20ID',Summary),filters:!(),index:'emp_*',interval:auto,query:(query_string:(analyze_wildcard:!t,query:'%22rtdc.l.rtdc.4043%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30" t="s">
        <v>779</v>
      </c>
      <c r="B133" s="226">
        <v>4026</v>
      </c>
      <c r="C133" s="228" t="s">
        <v>192</v>
      </c>
      <c r="D133" s="228" t="s">
        <v>418</v>
      </c>
      <c r="E133" s="227">
        <v>43066.767754629633</v>
      </c>
      <c r="F133" s="227">
        <v>43066.771111111113</v>
      </c>
      <c r="G133" s="226">
        <v>151</v>
      </c>
      <c r="H133" s="228" t="s">
        <v>545</v>
      </c>
      <c r="I133" s="227">
        <v>43066.796388888892</v>
      </c>
      <c r="J133" s="226">
        <v>0</v>
      </c>
      <c r="K133" s="238" t="str">
        <f t="shared" si="26"/>
        <v>4025/4026</v>
      </c>
      <c r="L133" s="246" t="str">
        <f>VLOOKUP(A133,'Trips&amp;Operators'!$C$1:$G$99911,5,FALSE)</f>
        <v>WILLIAMS DONTE</v>
      </c>
      <c r="M133" s="225">
        <f t="shared" si="27"/>
        <v>2.527777777868323E-2</v>
      </c>
      <c r="N133" s="226">
        <f t="shared" si="45"/>
        <v>36.400000001303852</v>
      </c>
      <c r="O133" s="226"/>
      <c r="P133" s="226"/>
      <c r="Q133" s="229"/>
      <c r="R133" s="243"/>
      <c r="S133" s="250">
        <f t="shared" si="46"/>
        <v>1</v>
      </c>
      <c r="T133" s="243" t="str">
        <f t="shared" si="28"/>
        <v>NorthBound</v>
      </c>
      <c r="U133" s="24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9" t="str">
        <f t="shared" si="29"/>
        <v>https://d0f6bd738d7f1b3e5a7ca70fe4ff75f0.us-east-1.aws.found.io/app/kibana#/discover/Steve-Slow-Train-Analysis-(2080s-and-2083s)?_g=(refreshInterval:(display:Off,pause:!f,section:0,value:0),time:(from:'2017-11-27T17:25:34-0700',mode:absolute,to:'2017-11-27T20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3" s="248" t="str">
        <f>IF(AA133&lt;VLOOKUP(AG133,Variables!$AC$3:$AD$8,2,FALSE),"Y","N")</f>
        <v>N</v>
      </c>
      <c r="X133" s="248">
        <f t="shared" si="30"/>
        <v>1</v>
      </c>
      <c r="Y133" s="248">
        <f t="shared" si="31"/>
        <v>5.28E-2</v>
      </c>
      <c r="Z133" s="248">
        <f t="shared" si="32"/>
        <v>23.3232</v>
      </c>
      <c r="AA133" s="248">
        <f t="shared" si="33"/>
        <v>23.270399999999999</v>
      </c>
      <c r="AB133" s="234" t="e">
        <f>VLOOKUP(A133,Enforcements!$C$7:$K$9,8,0)</f>
        <v>#N/A</v>
      </c>
      <c r="AC133" s="233" t="e">
        <f>VLOOKUP(A133,Enforcements!$C$7:$E$9,3,0)</f>
        <v>#N/A</v>
      </c>
      <c r="AD133" s="244">
        <f t="shared" si="34"/>
        <v>219</v>
      </c>
      <c r="AE133" s="236" t="str">
        <f t="shared" si="35"/>
        <v>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 &amp; aws s3 cp s3://rtdc.mdm.uploadarchive.raw/RTDC4026/ "%USERPROFILE%\AppData\Local\Temp\OnboardLogs"\RTDC4026\2017-11-28 --exclude "*" --recursive --include "*20171128*" &amp; "%USERPROFILE%\Documents\GitHub\mrs-test-scripts\Headless Mode &amp; Sideloading\WalkAndUnGZ.bat" "%USERPROFILE%\AppData\Local\Temp\OnboardLogs"\RTDC4026\2017-11-28</v>
      </c>
      <c r="AF133" s="235" t="str">
        <f t="shared" si="36"/>
        <v>"C:\Program Files (x86)\AstroGrep\AstroGrep.exe" /e /r /s /spath="%USERPROFILE%\AppData\Local\Temp\OnboardLogs" /stypes="app*4026*20171128*" /stext=" 02:.+((SYSTEM_STATE.+slice.+state.+changed )|(ment ac)|(multiple cpu faults)|(system.+state.+changed )|(\[timeout)|(PRM\|1\|D)|(kpr)|(kdp)|(train st.+moving)|(\|lc)|(penalty))"</v>
      </c>
      <c r="AG133" s="245" t="str">
        <f t="shared" si="37"/>
        <v>EC</v>
      </c>
      <c r="AH133" s="237" t="str">
        <f t="shared" si="38"/>
        <v>"%USERPROFILE%\Documents\GitHub\eaglep3\Utilities\RefineRTDCRunTimes.py" --tripid 219-27 --locoid 4026 --swversion DE.1.0.9.0 --startMP 204:528 --initTime 2017-11-27T18:25:34 --startdatetime 2017-11-27T18:30:24 --delay 151 --endMP 204:233232 --enddatetime 2017-11-27T19:06:48 --enforcementcount 0 &gt;&gt;%USERPROFILE%\Documents\GitHub\eaglep3-reporting\EC\2017-11-27-refined-times.txt</v>
      </c>
      <c r="AI133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{"issue":{"subject":"","project_id":79,"tracker_id":40,"status_id":1,"priority_id":2,"assigned_to_id":338,"start_date":"2017-11-27","description":"","custom_fields":[{"id":1,"name":"Subdivision","value":"EC"},{"id":4,"name":"Milepost","value":"23.3232"},{"id":17,"name":"Train ID","value":"219-27"},{"id":16,"name":"Locomotive ID","value":"4026"},{"id":130,"name":"Impact","value":""},{"id":150,"name":"Time of Event (Mountain Time)","value":"19:06:48"},{"id":151,"name":"Denver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4"/>
      <c r="AK133" s="232"/>
      <c r="AL133" s="232"/>
      <c r="AM133" s="241" t="str">
        <f t="shared" si="40"/>
        <v>start /low /b %USERPROFILE%\Documents\GitHub\eaglep3\Utilities\DownloadLogsFromS3.py --loco 4026 --day 2017-11-27</v>
      </c>
      <c r="AN133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02:06:48"},{"id":29,"name":"Sharepoint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1" t="str">
        <f t="shared" si="42"/>
        <v>https://d0f6bd738d7f1b3e5a7ca70fe4ff75f0.us-east-1.aws.found.io/app/kibana#/discover/Steve-Slow-Train-Analysis-(2080s-and-2083s)?_g=(refreshInterval:(display:Off,pause:!f,section:0,value:0),time:(from:'2017-11-27T17:25:34-0700',mode:absolute,to:'2017-11-27T20:06:48-0700'))&amp;_a=(columns:!('Message%20ID',Summary),filters:!(),index:'emp_*',interval:auto,query:(query_string:(analyze_wildcard:!t,query:'%22rtdc.l.rtdc.4026%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30" t="s">
        <v>789</v>
      </c>
      <c r="B134" s="226">
        <v>4025</v>
      </c>
      <c r="C134" s="228" t="s">
        <v>192</v>
      </c>
      <c r="D134" s="228" t="s">
        <v>885</v>
      </c>
      <c r="E134" s="227">
        <v>43066.806006944447</v>
      </c>
      <c r="F134" s="227">
        <v>43066.810590277775</v>
      </c>
      <c r="G134" s="226">
        <v>109</v>
      </c>
      <c r="H134" s="228" t="s">
        <v>899</v>
      </c>
      <c r="I134" s="227">
        <v>43066.836331018516</v>
      </c>
      <c r="J134" s="226">
        <v>0</v>
      </c>
      <c r="K134" s="238" t="str">
        <f t="shared" si="26"/>
        <v>4025/4026</v>
      </c>
      <c r="L134" s="246" t="str">
        <f>VLOOKUP(A134,'Trips&amp;Operators'!$C$1:$G$99911,5,FALSE)</f>
        <v>WILLIAMS DONTE</v>
      </c>
      <c r="M134" s="225">
        <f t="shared" si="27"/>
        <v>2.5740740740729962E-2</v>
      </c>
      <c r="N134" s="226">
        <f t="shared" si="45"/>
        <v>37.066666666651145</v>
      </c>
      <c r="O134" s="226"/>
      <c r="P134" s="226"/>
      <c r="Q134" s="229"/>
      <c r="R134" s="243"/>
      <c r="S134" s="250">
        <f t="shared" si="46"/>
        <v>1</v>
      </c>
      <c r="T134" s="243" t="str">
        <f t="shared" si="28"/>
        <v>Southbound</v>
      </c>
      <c r="U134" s="24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9" t="str">
        <f t="shared" si="29"/>
        <v>https://d0f6bd738d7f1b3e5a7ca70fe4ff75f0.us-east-1.aws.found.io/app/kibana#/discover/Steve-Slow-Train-Analysis-(2080s-and-2083s)?_g=(refreshInterval:(display:Off,pause:!f,section:0,value:0),time:(from:'2017-11-27T18:20:39-0700',mode:absolute,to:'2017-11-27T21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4" s="248" t="str">
        <f>IF(AA134&lt;VLOOKUP(AG134,Variables!$AC$3:$AD$8,2,FALSE),"Y","N")</f>
        <v>N</v>
      </c>
      <c r="X134" s="248">
        <f t="shared" si="30"/>
        <v>1</v>
      </c>
      <c r="Y134" s="248">
        <f t="shared" si="31"/>
        <v>23.290600000000001</v>
      </c>
      <c r="Z134" s="248">
        <f t="shared" si="32"/>
        <v>1.9199999999999998E-2</v>
      </c>
      <c r="AA134" s="248">
        <f t="shared" si="33"/>
        <v>23.2714</v>
      </c>
      <c r="AB134" s="234" t="e">
        <f>VLOOKUP(A134,Enforcements!$C$7:$K$9,8,0)</f>
        <v>#N/A</v>
      </c>
      <c r="AC134" s="233" t="e">
        <f>VLOOKUP(A134,Enforcements!$C$7:$E$9,3,0)</f>
        <v>#N/A</v>
      </c>
      <c r="AD134" s="244">
        <f t="shared" si="34"/>
        <v>220</v>
      </c>
      <c r="AE134" s="236" t="str">
        <f t="shared" si="35"/>
        <v>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 &amp; aws s3 cp s3://rtdc.mdm.uploadarchive.raw/RTDC4025/ "%USERPROFILE%\AppData\Local\Temp\OnboardLogs"\RTDC4025\2017-11-28 --exclude "*" --recursive --include "*20171128*" &amp; "%USERPROFILE%\Documents\GitHub\mrs-test-scripts\Headless Mode &amp; Sideloading\WalkAndUnGZ.bat" "%USERPROFILE%\AppData\Local\Temp\OnboardLogs"\RTDC4025\2017-11-28</v>
      </c>
      <c r="AF134" s="235" t="str">
        <f t="shared" si="36"/>
        <v>"C:\Program Files (x86)\AstroGrep\AstroGrep.exe" /e /r /s /spath="%USERPROFILE%\AppData\Local\Temp\OnboardLogs" /stypes="app*4025*20171128*" /stext=" 03:.+((SYSTEM_STATE.+slice.+state.+changed )|(ment ac)|(multiple cpu faults)|(system.+state.+changed )|(\[timeout)|(PRM\|1\|D)|(kpr)|(kdp)|(train st.+moving)|(\|lc)|(penalty))"</v>
      </c>
      <c r="AG134" s="245" t="str">
        <f t="shared" si="37"/>
        <v>EC</v>
      </c>
      <c r="AH134" s="237" t="str">
        <f t="shared" si="38"/>
        <v>"%USERPROFILE%\Documents\GitHub\eaglep3\Utilities\RefineRTDCRunTimes.py" --tripid 220-27 --locoid 4025 --swversion DE.1.0.9.0 --startMP 204:232906 --initTime 2017-11-27T19:20:39 --startdatetime 2017-11-27T19:27:15 --delay 109 --endMP 204:192 --enddatetime 2017-11-27T20:04:19 --enforcementcount 0 &gt;&gt;%USERPROFILE%\Documents\GitHub\eaglep3-reporting\EC\2017-11-27-refined-times.txt</v>
      </c>
      <c r="AI134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{"issue":{"subject":"","project_id":79,"tracker_id":40,"status_id":1,"priority_id":2,"assigned_to_id":338,"start_date":"2017-11-27","description":"","custom_fields":[{"id":1,"name":"Subdivision","value":"EC"},{"id":4,"name":"Milepost","value":"0.0192"},{"id":17,"name":"Train ID","value":"220-27"},{"id":16,"name":"Locomotive ID","value":"4025"},{"id":130,"name":"Impact","value":""},{"id":150,"name":"Time of Event (Mountain Time)","value":"20:04:19"},{"id":151,"name":"Denver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4"/>
      <c r="AK134" s="232"/>
      <c r="AL134" s="232"/>
      <c r="AM134" s="241" t="str">
        <f t="shared" si="40"/>
        <v>start /low /b %USERPROFILE%\Documents\GitHub\eaglep3\Utilities\DownloadLogsFromS3.py --loco 4025 --day 2017-11-27</v>
      </c>
      <c r="AN134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03:04:19"},{"id":29,"name":"Sharepoint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1" t="str">
        <f t="shared" si="42"/>
        <v>https://d0f6bd738d7f1b3e5a7ca70fe4ff75f0.us-east-1.aws.found.io/app/kibana#/discover/Steve-Slow-Train-Analysis-(2080s-and-2083s)?_g=(refreshInterval:(display:Off,pause:!f,section:0,value:0),time:(from:'2017-11-27T18:20:39-0700',mode:absolute,to:'2017-11-27T21:04:19-0700'))&amp;_a=(columns:!('Message%20ID',Summary),filters:!(),index:'emp_*',interval:auto,query:(query_string:(analyze_wildcard:!t,query:'%22rtdc.l.rtdc.4025%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30" t="s">
        <v>784</v>
      </c>
      <c r="B135" s="226">
        <v>4018</v>
      </c>
      <c r="C135" s="228" t="s">
        <v>192</v>
      </c>
      <c r="D135" s="228" t="s">
        <v>900</v>
      </c>
      <c r="E135" s="227">
        <v>43066.785081018519</v>
      </c>
      <c r="F135" s="227">
        <v>43066.791805555556</v>
      </c>
      <c r="G135" s="226">
        <v>96</v>
      </c>
      <c r="H135" s="228" t="s">
        <v>492</v>
      </c>
      <c r="I135" s="227">
        <v>43066.816064814811</v>
      </c>
      <c r="J135" s="226">
        <v>0</v>
      </c>
      <c r="K135" s="238" t="str">
        <f t="shared" si="26"/>
        <v>4017/4018</v>
      </c>
      <c r="L135" s="246" t="str">
        <f>VLOOKUP(A135,'Trips&amp;Operators'!$C$1:$G$99911,5,FALSE)</f>
        <v>ELBAUM MIKE</v>
      </c>
      <c r="M135" s="225">
        <f t="shared" si="27"/>
        <v>2.4259259254904464E-2</v>
      </c>
      <c r="N135" s="226">
        <f t="shared" si="45"/>
        <v>34.933333327062428</v>
      </c>
      <c r="O135" s="226"/>
      <c r="P135" s="226"/>
      <c r="Q135" s="229"/>
      <c r="R135" s="243"/>
      <c r="S135" s="250">
        <f t="shared" si="46"/>
        <v>1</v>
      </c>
      <c r="T135" s="243" t="str">
        <f t="shared" si="28"/>
        <v>NorthBound</v>
      </c>
      <c r="U135" s="24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9" t="str">
        <f t="shared" si="29"/>
        <v>https://d0f6bd738d7f1b3e5a7ca70fe4ff75f0.us-east-1.aws.found.io/app/kibana#/discover/Steve-Slow-Train-Analysis-(2080s-and-2083s)?_g=(refreshInterval:(display:Off,pause:!f,section:0,value:0),time:(from:'2017-11-27T17:50:31-0700',mode:absolute,to:'2017-11-27T20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5" s="248" t="str">
        <f>IF(AA135&lt;VLOOKUP(AG135,Variables!$AC$3:$AD$8,2,FALSE),"Y","N")</f>
        <v>N</v>
      </c>
      <c r="X135" s="248">
        <f t="shared" si="30"/>
        <v>1</v>
      </c>
      <c r="Y135" s="248">
        <f t="shared" si="31"/>
        <v>5.7700000000000001E-2</v>
      </c>
      <c r="Z135" s="248">
        <f t="shared" si="32"/>
        <v>23.3261</v>
      </c>
      <c r="AA135" s="248">
        <f t="shared" si="33"/>
        <v>23.2684</v>
      </c>
      <c r="AB135" s="234" t="e">
        <f>VLOOKUP(A135,Enforcements!$C$7:$K$9,8,0)</f>
        <v>#N/A</v>
      </c>
      <c r="AC135" s="233" t="e">
        <f>VLOOKUP(A135,Enforcements!$C$7:$E$9,3,0)</f>
        <v>#N/A</v>
      </c>
      <c r="AD135" s="244">
        <f t="shared" si="34"/>
        <v>221</v>
      </c>
      <c r="AE135" s="236" t="str">
        <f t="shared" si="35"/>
        <v>aws s3 cp s3://rtdc.mdm.uploadarchive.raw/RTDC4018/ "%USERPROFILE%\AppData\Local\Temp\OnboardLogs"\RTDC4018\2017-11-27 --exclude "*" --recursive --include "*20171127*" &amp; "%USERPROFILE%\Documents\GitHub\mrs-test-scripts\Headless Mode &amp; Sideloading\WalkAndUnGZ.bat" "%USERPROFILE%\AppData\Local\Temp\OnboardLogs"\RTDC4018\2017-11-27 &amp; aws s3 cp s3://rtdc.mdm.uploadarchive.raw/RTDC4018/ "%USERPROFILE%\AppData\Local\Temp\OnboardLogs"\RTDC4018\2017-11-28 --exclude "*" --recursive --include "*20171128*" &amp; "%USERPROFILE%\Documents\GitHub\mrs-test-scripts\Headless Mode &amp; Sideloading\WalkAndUnGZ.bat" "%USERPROFILE%\AppData\Local\Temp\OnboardLogs"\RTDC4018\2017-11-28</v>
      </c>
      <c r="AF135" s="235" t="str">
        <f t="shared" si="36"/>
        <v>"C:\Program Files (x86)\AstroGrep\AstroGrep.exe" /e /r /s /spath="%USERPROFILE%\AppData\Local\Temp\OnboardLogs" /stypes="app*4018*20171128*" /stext=" 02:.+((SYSTEM_STATE.+slice.+state.+changed )|(ment ac)|(multiple cpu faults)|(system.+state.+changed )|(\[timeout)|(PRM\|1\|D)|(kpr)|(kdp)|(train st.+moving)|(\|lc)|(penalty))"</v>
      </c>
      <c r="AG135" s="245" t="str">
        <f t="shared" si="37"/>
        <v>EC</v>
      </c>
      <c r="AH135" s="237" t="str">
        <f t="shared" si="38"/>
        <v>"%USERPROFILE%\Documents\GitHub\eaglep3\Utilities\RefineRTDCRunTimes.py" --tripid 221-27 --locoid 4018 --swversion DE.1.0.9.0 --startMP 204:577 --initTime 2017-11-27T18:50:31 --startdatetime 2017-11-27T19:00:12 --delay 96 --endMP 204:233261 --enddatetime 2017-11-27T19:35:08 --enforcementcount 0 &gt;&gt;%USERPROFILE%\Documents\GitHub\eaglep3-reporting\EC\2017-11-27-refined-times.txt</v>
      </c>
      <c r="AI135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{"issue":{"subject":"","project_id":79,"tracker_id":40,"status_id":1,"priority_id":2,"assigned_to_id":338,"start_date":"2017-11-27","description":"","custom_fields":[{"id":1,"name":"Subdivision","value":"EC"},{"id":4,"name":"Milepost","value":"23.3261"},{"id":17,"name":"Train ID","value":"221-27"},{"id":16,"name":"Locomotive ID","value":"4018"},{"id":130,"name":"Impact","value":""},{"id":150,"name":"Time of Event (Mountain Time)","value":"19:35:08"},{"id":151,"name":"Denver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4"/>
      <c r="AK135" s="232"/>
      <c r="AL135" s="232"/>
      <c r="AM135" s="241" t="str">
        <f t="shared" si="40"/>
        <v>start /low /b %USERPROFILE%\Documents\GitHub\eaglep3\Utilities\DownloadLogsFromS3.py --loco 4018 --day 2017-11-27</v>
      </c>
      <c r="AN135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02:35:08"},{"id":29,"name":"Sharepoint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1" t="str">
        <f t="shared" si="42"/>
        <v>https://d0f6bd738d7f1b3e5a7ca70fe4ff75f0.us-east-1.aws.found.io/app/kibana#/discover/Steve-Slow-Train-Analysis-(2080s-and-2083s)?_g=(refreshInterval:(display:Off,pause:!f,section:0,value:0),time:(from:'2017-11-27T17:50:31-0700',mode:absolute,to:'2017-11-27T20:35:08-0700'))&amp;_a=(columns:!('Message%20ID',Summary),filters:!(),index:'emp_*',interval:auto,query:(query_string:(analyze_wildcard:!t,query:'%22rtdc.l.rtdc.4018%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30" t="s">
        <v>585</v>
      </c>
      <c r="B136" s="226">
        <v>4017</v>
      </c>
      <c r="C136" s="228" t="s">
        <v>192</v>
      </c>
      <c r="D136" s="228" t="s">
        <v>496</v>
      </c>
      <c r="E136" s="227">
        <v>43066.817303240743</v>
      </c>
      <c r="F136" s="227">
        <v>43066.831423611111</v>
      </c>
      <c r="G136" s="226">
        <v>78</v>
      </c>
      <c r="H136" s="228" t="s">
        <v>901</v>
      </c>
      <c r="I136" s="227">
        <v>43066.856956018521</v>
      </c>
      <c r="J136" s="226">
        <v>0</v>
      </c>
      <c r="K136" s="238" t="str">
        <f t="shared" si="26"/>
        <v>4017/4018</v>
      </c>
      <c r="L136" s="246" t="str">
        <f>VLOOKUP(A136,'Trips&amp;Operators'!$C$1:$G$99911,5,FALSE)</f>
        <v>ELBAUM MIKE</v>
      </c>
      <c r="M136" s="225">
        <f t="shared" si="27"/>
        <v>2.5532407409627922E-2</v>
      </c>
      <c r="N136" s="226">
        <f t="shared" si="45"/>
        <v>36.766666669864208</v>
      </c>
      <c r="O136" s="226"/>
      <c r="P136" s="226"/>
      <c r="Q136" s="229"/>
      <c r="R136" s="243"/>
      <c r="S136" s="250">
        <f t="shared" si="46"/>
        <v>1</v>
      </c>
      <c r="T136" s="243" t="str">
        <f t="shared" si="28"/>
        <v>Southbound</v>
      </c>
      <c r="U136" s="24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9" t="str">
        <f t="shared" si="29"/>
        <v>https://d0f6bd738d7f1b3e5a7ca70fe4ff75f0.us-east-1.aws.found.io/app/kibana#/discover/Steve-Slow-Train-Analysis-(2080s-and-2083s)?_g=(refreshInterval:(display:Off,pause:!f,section:0,value:0),time:(from:'2017-11-27T18:36:55-0700',mode:absolute,to:'2017-11-27T21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6" s="248" t="str">
        <f>IF(AA136&lt;VLOOKUP(AG136,Variables!$AC$3:$AD$8,2,FALSE),"Y","N")</f>
        <v>N</v>
      </c>
      <c r="X136" s="248">
        <f t="shared" si="30"/>
        <v>1</v>
      </c>
      <c r="Y136" s="248">
        <f t="shared" si="31"/>
        <v>23.294699999999999</v>
      </c>
      <c r="Z136" s="248">
        <f t="shared" si="32"/>
        <v>2.4899999999999999E-2</v>
      </c>
      <c r="AA136" s="248">
        <f t="shared" si="33"/>
        <v>23.2698</v>
      </c>
      <c r="AB136" s="234" t="e">
        <f>VLOOKUP(A136,Enforcements!$C$7:$K$9,8,0)</f>
        <v>#N/A</v>
      </c>
      <c r="AC136" s="233" t="e">
        <f>VLOOKUP(A136,Enforcements!$C$7:$E$9,3,0)</f>
        <v>#N/A</v>
      </c>
      <c r="AD136" s="244">
        <f t="shared" si="34"/>
        <v>222</v>
      </c>
      <c r="AE136" s="236" t="str">
        <f t="shared" si="35"/>
        <v>aws s3 cp s3://rtdc.mdm.uploadarchive.raw/RTDC4017/ "%USERPROFILE%\AppData\Local\Temp\OnboardLogs"\RTDC4017\2017-11-27 --exclude "*" --recursive --include "*20171127*" &amp; "%USERPROFILE%\Documents\GitHub\mrs-test-scripts\Headless Mode &amp; Sideloading\WalkAndUnGZ.bat" "%USERPROFILE%\AppData\Local\Temp\OnboardLogs"\RTDC4017\2017-11-27 &amp; aws s3 cp s3://rtdc.mdm.uploadarchive.raw/RTDC4017/ "%USERPROFILE%\AppData\Local\Temp\OnboardLogs"\RTDC4017\2017-11-28 --exclude "*" --recursive --include "*20171128*" &amp; "%USERPROFILE%\Documents\GitHub\mrs-test-scripts\Headless Mode &amp; Sideloading\WalkAndUnGZ.bat" "%USERPROFILE%\AppData\Local\Temp\OnboardLogs"\RTDC4017\2017-11-28</v>
      </c>
      <c r="AF136" s="235" t="str">
        <f t="shared" si="36"/>
        <v>"C:\Program Files (x86)\AstroGrep\AstroGrep.exe" /e /r /s /spath="%USERPROFILE%\AppData\Local\Temp\OnboardLogs" /stypes="app*4017*20171128*" /stext=" 03:.+((SYSTEM_STATE.+slice.+state.+changed )|(ment ac)|(multiple cpu faults)|(system.+state.+changed )|(\[timeout)|(PRM\|1\|D)|(kpr)|(kdp)|(train st.+moving)|(\|lc)|(penalty))"</v>
      </c>
      <c r="AG136" s="245" t="str">
        <f t="shared" si="37"/>
        <v>EC</v>
      </c>
      <c r="AH136" s="237" t="str">
        <f t="shared" si="38"/>
        <v>"%USERPROFILE%\Documents\GitHub\eaglep3\Utilities\RefineRTDCRunTimes.py" --tripid 222-27 --locoid 4017 --swversion DE.1.0.9.0 --startMP 204:232947 --initTime 2017-11-27T19:36:55 --startdatetime 2017-11-27T19:57:15 --delay 78 --endMP 204:249 --enddatetime 2017-11-27T20:34:01 --enforcementcount 0 &gt;&gt;%USERPROFILE%\Documents\GitHub\eaglep3-reporting\EC\2017-11-27-refined-times.txt</v>
      </c>
      <c r="AI136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{"issue":{"subject":"","project_id":79,"tracker_id":40,"status_id":1,"priority_id":2,"assigned_to_id":338,"start_date":"2017-11-27","description":"","custom_fields":[{"id":1,"name":"Subdivision","value":"EC"},{"id":4,"name":"Milepost","value":"0.0249"},{"id":17,"name":"Train ID","value":"222-27"},{"id":16,"name":"Locomotive ID","value":"4017"},{"id":130,"name":"Impact","value":""},{"id":150,"name":"Time of Event (Mountain Time)","value":"20:34:01"},{"id":151,"name":"Denver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4"/>
      <c r="AK136" s="232"/>
      <c r="AL136" s="232"/>
      <c r="AM136" s="241" t="str">
        <f t="shared" si="40"/>
        <v>start /low /b %USERPROFILE%\Documents\GitHub\eaglep3\Utilities\DownloadLogsFromS3.py --loco 4017 --day 2017-11-27</v>
      </c>
      <c r="AN136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03:34:01"},{"id":29,"name":"Sharepoint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1" t="str">
        <f t="shared" si="42"/>
        <v>https://d0f6bd738d7f1b3e5a7ca70fe4ff75f0.us-east-1.aws.found.io/app/kibana#/discover/Steve-Slow-Train-Analysis-(2080s-and-2083s)?_g=(refreshInterval:(display:Off,pause:!f,section:0,value:0),time:(from:'2017-11-27T18:36:55-0700',mode:absolute,to:'2017-11-27T21:34:01-0700'))&amp;_a=(columns:!('Message%20ID',Summary),filters:!(),index:'emp_*',interval:auto,query:(query_string:(analyze_wildcard:!t,query:'%22rtdc.l.rtdc.4017%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30" t="s">
        <v>790</v>
      </c>
      <c r="B137" s="226">
        <v>4022</v>
      </c>
      <c r="C137" s="228" t="s">
        <v>192</v>
      </c>
      <c r="D137" s="228" t="s">
        <v>417</v>
      </c>
      <c r="E137" s="227">
        <v>43066.806909722225</v>
      </c>
      <c r="F137" s="227">
        <v>43066.812789351854</v>
      </c>
      <c r="G137" s="226">
        <v>69</v>
      </c>
      <c r="H137" s="228" t="s">
        <v>532</v>
      </c>
      <c r="I137" s="227">
        <v>43066.83798611111</v>
      </c>
      <c r="J137" s="226">
        <v>0</v>
      </c>
      <c r="K137" s="238" t="str">
        <f t="shared" si="26"/>
        <v>4021/4022</v>
      </c>
      <c r="L137" s="246" t="str">
        <f>VLOOKUP(A137,'Trips&amp;Operators'!$C$1:$G$99911,5,FALSE)</f>
        <v>LOZA FIDEL</v>
      </c>
      <c r="M137" s="225">
        <f t="shared" si="27"/>
        <v>2.5196759255777579E-2</v>
      </c>
      <c r="N137" s="226">
        <f t="shared" si="45"/>
        <v>36.283333328319713</v>
      </c>
      <c r="O137" s="226"/>
      <c r="P137" s="226"/>
      <c r="Q137" s="229"/>
      <c r="R137" s="243"/>
      <c r="S137" s="250">
        <f t="shared" si="46"/>
        <v>1</v>
      </c>
      <c r="T137" s="243" t="str">
        <f t="shared" si="28"/>
        <v>NorthBound</v>
      </c>
      <c r="U137" s="24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9" t="str">
        <f t="shared" si="29"/>
        <v>https://d0f6bd738d7f1b3e5a7ca70fe4ff75f0.us-east-1.aws.found.io/app/kibana#/discover/Steve-Slow-Train-Analysis-(2080s-and-2083s)?_g=(refreshInterval:(display:Off,pause:!f,section:0,value:0),time:(from:'2017-11-27T18:21:57-0700',mode:absolute,to:'2017-11-27T21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7" s="248" t="str">
        <f>IF(AA137&lt;VLOOKUP(AG137,Variables!$AC$3:$AD$8,2,FALSE),"Y","N")</f>
        <v>N</v>
      </c>
      <c r="X137" s="248">
        <f t="shared" si="30"/>
        <v>1</v>
      </c>
      <c r="Y137" s="248">
        <f t="shared" si="31"/>
        <v>5.1900000000000002E-2</v>
      </c>
      <c r="Z137" s="248">
        <f t="shared" si="32"/>
        <v>23.3263</v>
      </c>
      <c r="AA137" s="248">
        <f t="shared" si="33"/>
        <v>23.2744</v>
      </c>
      <c r="AB137" s="234" t="e">
        <f>VLOOKUP(A137,Enforcements!$C$7:$K$9,8,0)</f>
        <v>#N/A</v>
      </c>
      <c r="AC137" s="233" t="e">
        <f>VLOOKUP(A137,Enforcements!$C$7:$E$9,3,0)</f>
        <v>#N/A</v>
      </c>
      <c r="AD137" s="244">
        <f t="shared" si="34"/>
        <v>223</v>
      </c>
      <c r="AE137" s="236" t="str">
        <f t="shared" si="35"/>
        <v>aws s3 cp s3://rtdc.mdm.uploadarchive.raw/RTDC4022/ "%USERPROFILE%\AppData\Local\Temp\OnboardLogs"\RTDC4022\2017-11-27 --exclude "*" --recursive --include "*20171127*" &amp; "%USERPROFILE%\Documents\GitHub\mrs-test-scripts\Headless Mode &amp; Sideloading\WalkAndUnGZ.bat" "%USERPROFILE%\AppData\Local\Temp\OnboardLogs"\RTDC4022\2017-11-27 &amp; aws s3 cp s3://rtdc.mdm.uploadarchive.raw/RTDC4022/ "%USERPROFILE%\AppData\Local\Temp\OnboardLogs"\RTDC4022\2017-11-28 --exclude "*" --recursive --include "*20171128*" &amp; "%USERPROFILE%\Documents\GitHub\mrs-test-scripts\Headless Mode &amp; Sideloading\WalkAndUnGZ.bat" "%USERPROFILE%\AppData\Local\Temp\OnboardLogs"\RTDC4022\2017-11-28</v>
      </c>
      <c r="AF137" s="235" t="str">
        <f t="shared" si="36"/>
        <v>"C:\Program Files (x86)\AstroGrep\AstroGrep.exe" /e /r /s /spath="%USERPROFILE%\AppData\Local\Temp\OnboardLogs" /stypes="app*4022*20171128*" /stext=" 03:.+((SYSTEM_STATE.+slice.+state.+changed )|(ment ac)|(multiple cpu faults)|(system.+state.+changed )|(\[timeout)|(PRM\|1\|D)|(kpr)|(kdp)|(train st.+moving)|(\|lc)|(penalty))"</v>
      </c>
      <c r="AG137" s="245" t="str">
        <f t="shared" si="37"/>
        <v>EC</v>
      </c>
      <c r="AH137" s="237" t="str">
        <f t="shared" si="38"/>
        <v>"%USERPROFILE%\Documents\GitHub\eaglep3\Utilities\RefineRTDCRunTimes.py" --tripid 223-27 --locoid 4022 --swversion DE.1.0.9.0 --startMP 204:519 --initTime 2017-11-27T19:21:57 --startdatetime 2017-11-27T19:30:25 --delay 69 --endMP 204:233263 --enddatetime 2017-11-27T20:06:42 --enforcementcount 0 &gt;&gt;%USERPROFILE%\Documents\GitHub\eaglep3-reporting\EC\2017-11-27-refined-times.txt</v>
      </c>
      <c r="AI137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{"issue":{"subject":"","project_id":79,"tracker_id":40,"status_id":1,"priority_id":2,"assigned_to_id":338,"start_date":"2017-11-27","description":"","custom_fields":[{"id":1,"name":"Subdivision","value":"EC"},{"id":4,"name":"Milepost","value":"23.3263"},{"id":17,"name":"Train ID","value":"223-27"},{"id":16,"name":"Locomotive ID","value":"4022"},{"id":130,"name":"Impact","value":""},{"id":150,"name":"Time of Event (Mountain Time)","value":"20:06:42"},{"id":151,"name":"Denver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4"/>
      <c r="AK137" s="232"/>
      <c r="AL137" s="232"/>
      <c r="AM137" s="241" t="str">
        <f t="shared" si="40"/>
        <v>start /low /b %USERPROFILE%\Documents\GitHub\eaglep3\Utilities\DownloadLogsFromS3.py --loco 4022 --day 2017-11-27</v>
      </c>
      <c r="AN137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03:06:42"},{"id":29,"name":"Sharepoint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1" t="str">
        <f t="shared" si="42"/>
        <v>https://d0f6bd738d7f1b3e5a7ca70fe4ff75f0.us-east-1.aws.found.io/app/kibana#/discover/Steve-Slow-Train-Analysis-(2080s-and-2083s)?_g=(refreshInterval:(display:Off,pause:!f,section:0,value:0),time:(from:'2017-11-27T18:21:57-0700',mode:absolute,to:'2017-11-27T21:06:42-0700'))&amp;_a=(columns:!('Message%20ID',Summary),filters:!(),index:'emp_*',interval:auto,query:(query_string:(analyze_wildcard:!t,query:'%22rtdc.l.rtdc.4022%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30" t="s">
        <v>795</v>
      </c>
      <c r="B138" s="226">
        <v>4021</v>
      </c>
      <c r="C138" s="228" t="s">
        <v>192</v>
      </c>
      <c r="D138" s="228" t="s">
        <v>902</v>
      </c>
      <c r="E138" s="227">
        <v>43066.849386574075</v>
      </c>
      <c r="F138" s="227">
        <v>43066.852256944447</v>
      </c>
      <c r="G138" s="226">
        <v>66</v>
      </c>
      <c r="H138" s="228" t="s">
        <v>527</v>
      </c>
      <c r="I138" s="227">
        <v>43066.87773148148</v>
      </c>
      <c r="J138" s="226">
        <v>0</v>
      </c>
      <c r="K138" s="238" t="str">
        <f t="shared" si="26"/>
        <v>4021/4022</v>
      </c>
      <c r="L138" s="246" t="str">
        <f>VLOOKUP(A138,'Trips&amp;Operators'!$C$1:$G$99911,5,FALSE)</f>
        <v>LOZA FIDEL</v>
      </c>
      <c r="M138" s="225">
        <f t="shared" si="27"/>
        <v>2.5474537033005618E-2</v>
      </c>
      <c r="N138" s="226">
        <f t="shared" si="45"/>
        <v>36.683333327528089</v>
      </c>
      <c r="O138" s="226"/>
      <c r="P138" s="226"/>
      <c r="Q138" s="229"/>
      <c r="R138" s="243"/>
      <c r="S138" s="250">
        <f t="shared" si="46"/>
        <v>1</v>
      </c>
      <c r="T138" s="243" t="str">
        <f t="shared" si="28"/>
        <v>Southbound</v>
      </c>
      <c r="U138" s="24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9" t="str">
        <f t="shared" si="29"/>
        <v>https://d0f6bd738d7f1b3e5a7ca70fe4ff75f0.us-east-1.aws.found.io/app/kibana#/discover/Steve-Slow-Train-Analysis-(2080s-and-2083s)?_g=(refreshInterval:(display:Off,pause:!f,section:0,value:0),time:(from:'2017-11-27T19:23:07-0700',mode:absolute,to:'2017-11-27T22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8" s="248" t="str">
        <f>IF(AA138&lt;VLOOKUP(AG138,Variables!$AC$3:$AD$8,2,FALSE),"Y","N")</f>
        <v>N</v>
      </c>
      <c r="X138" s="248">
        <f t="shared" si="30"/>
        <v>1</v>
      </c>
      <c r="Y138" s="248">
        <f t="shared" si="31"/>
        <v>23.295100000000001</v>
      </c>
      <c r="Z138" s="248">
        <f t="shared" si="32"/>
        <v>1.9400000000000001E-2</v>
      </c>
      <c r="AA138" s="248">
        <f t="shared" si="33"/>
        <v>23.275700000000001</v>
      </c>
      <c r="AB138" s="234" t="e">
        <f>VLOOKUP(A138,Enforcements!$C$7:$K$9,8,0)</f>
        <v>#N/A</v>
      </c>
      <c r="AC138" s="233" t="e">
        <f>VLOOKUP(A138,Enforcements!$C$7:$E$9,3,0)</f>
        <v>#N/A</v>
      </c>
      <c r="AD138" s="244">
        <f t="shared" si="34"/>
        <v>224</v>
      </c>
      <c r="AE138" s="236" t="str">
        <f t="shared" si="35"/>
        <v>aws s3 cp s3://rtdc.mdm.uploadarchive.raw/RTDC4021/ "%USERPROFILE%\AppData\Local\Temp\OnboardLogs"\RTDC4021\2017-11-27 --exclude "*" --recursive --include "*20171127*" &amp; "%USERPROFILE%\Documents\GitHub\mrs-test-scripts\Headless Mode &amp; Sideloading\WalkAndUnGZ.bat" "%USERPROFILE%\AppData\Local\Temp\OnboardLogs"\RTDC4021\2017-11-27 &amp; aws s3 cp s3://rtdc.mdm.uploadarchive.raw/RTDC4021/ "%USERPROFILE%\AppData\Local\Temp\OnboardLogs"\RTDC4021\2017-11-28 --exclude "*" --recursive --include "*20171128*" &amp; "%USERPROFILE%\Documents\GitHub\mrs-test-scripts\Headless Mode &amp; Sideloading\WalkAndUnGZ.bat" "%USERPROFILE%\AppData\Local\Temp\OnboardLogs"\RTDC4021\2017-11-28</v>
      </c>
      <c r="AF138" s="235" t="str">
        <f t="shared" si="36"/>
        <v>"C:\Program Files (x86)\AstroGrep\AstroGrep.exe" /e /r /s /spath="%USERPROFILE%\AppData\Local\Temp\OnboardLogs" /stypes="app*4021*20171128*" /stext=" 04:.+((SYSTEM_STATE.+slice.+state.+changed )|(ment ac)|(multiple cpu faults)|(system.+state.+changed )|(\[timeout)|(PRM\|1\|D)|(kpr)|(kdp)|(train st.+moving)|(\|lc)|(penalty))"</v>
      </c>
      <c r="AG138" s="245" t="str">
        <f t="shared" si="37"/>
        <v>EC</v>
      </c>
      <c r="AH138" s="237" t="str">
        <f t="shared" si="38"/>
        <v>"%USERPROFILE%\Documents\GitHub\eaglep3\Utilities\RefineRTDCRunTimes.py" --tripid 224-27 --locoid 4021 --swversion DE.1.0.9.0 --startMP 204:232951 --initTime 2017-11-27T20:23:07 --startdatetime 2017-11-27T20:27:15 --delay 66 --endMP 204:194 --enddatetime 2017-11-27T21:03:56 --enforcementcount 0 &gt;&gt;%USERPROFILE%\Documents\GitHub\eaglep3-reporting\EC\2017-11-27-refined-times.txt</v>
      </c>
      <c r="AI138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{"issue":{"subject":"","project_id":79,"tracker_id":40,"status_id":1,"priority_id":2,"assigned_to_id":338,"start_date":"2017-11-27","description":"","custom_fields":[{"id":1,"name":"Subdivision","value":"EC"},{"id":4,"name":"Milepost","value":"0.0194"},{"id":17,"name":"Train ID","value":"224-27"},{"id":16,"name":"Locomotive ID","value":"4021"},{"id":130,"name":"Impact","value":""},{"id":150,"name":"Time of Event (Mountain Time)","value":"21:03:56"},{"id":151,"name":"Denver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4"/>
      <c r="AK138" s="232"/>
      <c r="AL138" s="232"/>
      <c r="AM138" s="241" t="str">
        <f t="shared" si="40"/>
        <v>start /low /b %USERPROFILE%\Documents\GitHub\eaglep3\Utilities\DownloadLogsFromS3.py --loco 4021 --day 2017-11-27</v>
      </c>
      <c r="AN138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04:03:56"},{"id":29,"name":"Sharepoint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1" t="str">
        <f t="shared" si="42"/>
        <v>https://d0f6bd738d7f1b3e5a7ca70fe4ff75f0.us-east-1.aws.found.io/app/kibana#/discover/Steve-Slow-Train-Analysis-(2080s-and-2083s)?_g=(refreshInterval:(display:Off,pause:!f,section:0,value:0),time:(from:'2017-11-27T19:23:07-0700',mode:absolute,to:'2017-11-27T22:03:56-0700'))&amp;_a=(columns:!('Message%20ID',Summary),filters:!(),index:'emp_*',interval:auto,query:(query_string:(analyze_wildcard:!t,query:'%22rtdc.l.rtdc.4021%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30" t="s">
        <v>793</v>
      </c>
      <c r="B139" s="226">
        <v>4044</v>
      </c>
      <c r="C139" s="228" t="s">
        <v>192</v>
      </c>
      <c r="D139" s="228" t="s">
        <v>903</v>
      </c>
      <c r="E139" s="227">
        <v>43066.827013888891</v>
      </c>
      <c r="F139" s="227">
        <v>43066.833831018521</v>
      </c>
      <c r="G139" s="226">
        <v>53</v>
      </c>
      <c r="H139" s="228" t="s">
        <v>904</v>
      </c>
      <c r="I139" s="227">
        <v>43066.857789351852</v>
      </c>
      <c r="J139" s="226">
        <v>0</v>
      </c>
      <c r="K139" s="238" t="str">
        <f t="shared" si="26"/>
        <v>4043/4044</v>
      </c>
      <c r="L139" s="246" t="str">
        <f>VLOOKUP(A139,'Trips&amp;Operators'!$C$1:$G$99911,5,FALSE)</f>
        <v>RESPASS AARON</v>
      </c>
      <c r="M139" s="225">
        <f t="shared" si="27"/>
        <v>2.3958333331393078E-2</v>
      </c>
      <c r="N139" s="226">
        <f t="shared" si="45"/>
        <v>34.499999997206032</v>
      </c>
      <c r="O139" s="226"/>
      <c r="P139" s="226"/>
      <c r="Q139" s="229"/>
      <c r="R139" s="243"/>
      <c r="S139" s="250">
        <f t="shared" si="46"/>
        <v>1</v>
      </c>
      <c r="T139" s="243" t="str">
        <f t="shared" si="28"/>
        <v>NorthBound</v>
      </c>
      <c r="U139" s="24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9" t="str">
        <f t="shared" si="29"/>
        <v>https://d0f6bd738d7f1b3e5a7ca70fe4ff75f0.us-east-1.aws.found.io/app/kibana#/discover/Steve-Slow-Train-Analysis-(2080s-and-2083s)?_g=(refreshInterval:(display:Off,pause:!f,section:0,value:0),time:(from:'2017-11-27T18:50:54-0700',mode:absolute,to:'2017-11-27T21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9" s="248" t="str">
        <f>IF(AA139&lt;VLOOKUP(AG139,Variables!$AC$3:$AD$8,2,FALSE),"Y","N")</f>
        <v>N</v>
      </c>
      <c r="X139" s="248">
        <f t="shared" si="30"/>
        <v>1</v>
      </c>
      <c r="Y139" s="248">
        <f t="shared" si="31"/>
        <v>5.9700000000000003E-2</v>
      </c>
      <c r="Z139" s="248">
        <f t="shared" si="32"/>
        <v>23.3246</v>
      </c>
      <c r="AA139" s="248">
        <f t="shared" si="33"/>
        <v>23.264900000000001</v>
      </c>
      <c r="AB139" s="234" t="e">
        <f>VLOOKUP(A139,Enforcements!$C$7:$K$9,8,0)</f>
        <v>#N/A</v>
      </c>
      <c r="AC139" s="233" t="e">
        <f>VLOOKUP(A139,Enforcements!$C$7:$E$9,3,0)</f>
        <v>#N/A</v>
      </c>
      <c r="AD139" s="244">
        <f t="shared" si="34"/>
        <v>225</v>
      </c>
      <c r="AE139" s="236" t="str">
        <f t="shared" si="35"/>
        <v>aws s3 cp s3://rtdc.mdm.uploadarchive.raw/RTDC4044/ "%USERPROFILE%\AppData\Local\Temp\OnboardLogs"\RTDC4044\2017-11-27 --exclude "*" --recursive --include "*20171127*" &amp; "%USERPROFILE%\Documents\GitHub\mrs-test-scripts\Headless Mode &amp; Sideloading\WalkAndUnGZ.bat" "%USERPROFILE%\AppData\Local\Temp\OnboardLogs"\RTDC4044\2017-11-27 &amp; aws s3 cp s3://rtdc.mdm.uploadarchive.raw/RTDC4044/ "%USERPROFILE%\AppData\Local\Temp\OnboardLogs"\RTDC4044\2017-11-28 --exclude "*" --recursive --include "*20171128*" &amp; "%USERPROFILE%\Documents\GitHub\mrs-test-scripts\Headless Mode &amp; Sideloading\WalkAndUnGZ.bat" "%USERPROFILE%\AppData\Local\Temp\OnboardLogs"\RTDC4044\2017-11-28</v>
      </c>
      <c r="AF139" s="235" t="str">
        <f t="shared" si="36"/>
        <v>"C:\Program Files (x86)\AstroGrep\AstroGrep.exe" /e /r /s /spath="%USERPROFILE%\AppData\Local\Temp\OnboardLogs" /stypes="app*4044*20171128*" /stext=" 03:.+((SYSTEM_STATE.+slice.+state.+changed )|(ment ac)|(multiple cpu faults)|(system.+state.+changed )|(\[timeout)|(PRM\|1\|D)|(kpr)|(kdp)|(train st.+moving)|(\|lc)|(penalty))"</v>
      </c>
      <c r="AG139" s="245" t="str">
        <f t="shared" si="37"/>
        <v>EC</v>
      </c>
      <c r="AH139" s="237" t="str">
        <f t="shared" si="38"/>
        <v>"%USERPROFILE%\Documents\GitHub\eaglep3\Utilities\RefineRTDCRunTimes.py" --tripid 225-27 --locoid 4044 --swversion DE.1.0.9.0 --startMP 204:597 --initTime 2017-11-27T19:50:54 --startdatetime 2017-11-27T20:00:43 --delay 53 --endMP 204:233246 --enddatetime 2017-11-27T20:35:13 --enforcementcount 0 &gt;&gt;%USERPROFILE%\Documents\GitHub\eaglep3-reporting\EC\2017-11-27-refined-times.txt</v>
      </c>
      <c r="AI139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{"issue":{"subject":"","project_id":79,"tracker_id":40,"status_id":1,"priority_id":2,"assigned_to_id":338,"start_date":"2017-11-27","description":"","custom_fields":[{"id":1,"name":"Subdivision","value":"EC"},{"id":4,"name":"Milepost","value":"23.3246"},{"id":17,"name":"Train ID","value":"225-27"},{"id":16,"name":"Locomotive ID","value":"4044"},{"id":130,"name":"Impact","value":""},{"id":150,"name":"Time of Event (Mountain Time)","value":"20:35:13"},{"id":151,"name":"Denver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4"/>
      <c r="AK139" s="232"/>
      <c r="AL139" s="232"/>
      <c r="AM139" s="241" t="str">
        <f t="shared" si="40"/>
        <v>start /low /b %USERPROFILE%\Documents\GitHub\eaglep3\Utilities\DownloadLogsFromS3.py --loco 4044 --day 2017-11-27</v>
      </c>
      <c r="AN139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03:35:13"},{"id":29,"name":"Sharepoint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1" t="str">
        <f t="shared" si="42"/>
        <v>https://d0f6bd738d7f1b3e5a7ca70fe4ff75f0.us-east-1.aws.found.io/app/kibana#/discover/Steve-Slow-Train-Analysis-(2080s-and-2083s)?_g=(refreshInterval:(display:Off,pause:!f,section:0,value:0),time:(from:'2017-11-27T18:50:54-0700',mode:absolute,to:'2017-11-27T21:35:13-0700'))&amp;_a=(columns:!('Message%20ID',Summary),filters:!(),index:'emp_*',interval:auto,query:(query_string:(analyze_wildcard:!t,query:'%22rtdc.l.rtdc.4044%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30" t="s">
        <v>590</v>
      </c>
      <c r="B140" s="226">
        <v>4043</v>
      </c>
      <c r="C140" s="228" t="s">
        <v>192</v>
      </c>
      <c r="D140" s="228" t="s">
        <v>500</v>
      </c>
      <c r="E140" s="227">
        <v>43066.86928240741</v>
      </c>
      <c r="F140" s="227">
        <v>43066.873067129629</v>
      </c>
      <c r="G140" s="226">
        <v>66</v>
      </c>
      <c r="H140" s="228" t="s">
        <v>860</v>
      </c>
      <c r="I140" s="227">
        <v>43066.899282407408</v>
      </c>
      <c r="J140" s="226">
        <v>0</v>
      </c>
      <c r="K140" s="238" t="str">
        <f t="shared" si="26"/>
        <v>4043/4044</v>
      </c>
      <c r="L140" s="246" t="str">
        <f>VLOOKUP(A140,'Trips&amp;Operators'!$C$1:$G$99911,5,FALSE)</f>
        <v>RESPASS AARON</v>
      </c>
      <c r="M140" s="225">
        <f t="shared" si="27"/>
        <v>2.6215277779556345E-2</v>
      </c>
      <c r="N140" s="226">
        <f t="shared" si="45"/>
        <v>37.750000002561137</v>
      </c>
      <c r="O140" s="226"/>
      <c r="P140" s="226"/>
      <c r="Q140" s="229"/>
      <c r="R140" s="243"/>
      <c r="S140" s="250">
        <f t="shared" si="46"/>
        <v>1</v>
      </c>
      <c r="T140" s="243" t="str">
        <f t="shared" si="28"/>
        <v>Southbound</v>
      </c>
      <c r="U140" s="24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9" t="str">
        <f t="shared" si="29"/>
        <v>https://d0f6bd738d7f1b3e5a7ca70fe4ff75f0.us-east-1.aws.found.io/app/kibana#/discover/Steve-Slow-Train-Analysis-(2080s-and-2083s)?_g=(refreshInterval:(display:Off,pause:!f,section:0,value:0),time:(from:'2017-11-27T19:51:46-0700',mode:absolute,to:'2017-11-27T22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0" s="248" t="str">
        <f>IF(AA140&lt;VLOOKUP(AG140,Variables!$AC$3:$AD$8,2,FALSE),"Y","N")</f>
        <v>N</v>
      </c>
      <c r="X140" s="248">
        <f t="shared" si="30"/>
        <v>1</v>
      </c>
      <c r="Y140" s="248">
        <f t="shared" si="31"/>
        <v>23.293800000000001</v>
      </c>
      <c r="Z140" s="248">
        <f t="shared" si="32"/>
        <v>2.3099999999999999E-2</v>
      </c>
      <c r="AA140" s="248">
        <f t="shared" si="33"/>
        <v>23.270700000000001</v>
      </c>
      <c r="AB140" s="234" t="e">
        <f>VLOOKUP(A140,Enforcements!$C$7:$K$9,8,0)</f>
        <v>#N/A</v>
      </c>
      <c r="AC140" s="233" t="e">
        <f>VLOOKUP(A140,Enforcements!$C$7:$E$9,3,0)</f>
        <v>#N/A</v>
      </c>
      <c r="AD140" s="244">
        <f t="shared" si="34"/>
        <v>226</v>
      </c>
      <c r="AE140" s="236" t="str">
        <f t="shared" si="35"/>
        <v>aws s3 cp s3://rtdc.mdm.uploadarchive.raw/RTDC4043/ "%USERPROFILE%\AppData\Local\Temp\OnboardLogs"\RTDC4043\2017-11-27 --exclude "*" --recursive --include "*20171127*" &amp; "%USERPROFILE%\Documents\GitHub\mrs-test-scripts\Headless Mode &amp; Sideloading\WalkAndUnGZ.bat" "%USERPROFILE%\AppData\Local\Temp\OnboardLogs"\RTDC4043\2017-11-27 &amp; aws s3 cp s3://rtdc.mdm.uploadarchive.raw/RTDC4043/ "%USERPROFILE%\AppData\Local\Temp\OnboardLogs"\RTDC4043\2017-11-28 --exclude "*" --recursive --include "*20171128*" &amp; "%USERPROFILE%\Documents\GitHub\mrs-test-scripts\Headless Mode &amp; Sideloading\WalkAndUnGZ.bat" "%USERPROFILE%\AppData\Local\Temp\OnboardLogs"\RTDC4043\2017-11-28</v>
      </c>
      <c r="AF140" s="235" t="str">
        <f t="shared" si="36"/>
        <v>"C:\Program Files (x86)\AstroGrep\AstroGrep.exe" /e /r /s /spath="%USERPROFILE%\AppData\Local\Temp\OnboardLogs" /stypes="app*4043*20171128*" /stext=" 04:.+((SYSTEM_STATE.+slice.+state.+changed )|(ment ac)|(multiple cpu faults)|(system.+state.+changed )|(\[timeout)|(PRM\|1\|D)|(kpr)|(kdp)|(train st.+moving)|(\|lc)|(penalty))"</v>
      </c>
      <c r="AG140" s="245" t="str">
        <f t="shared" si="37"/>
        <v>EC</v>
      </c>
      <c r="AH140" s="237" t="str">
        <f t="shared" si="38"/>
        <v>"%USERPROFILE%\Documents\GitHub\eaglep3\Utilities\RefineRTDCRunTimes.py" --tripid 226-27 --locoid 4043 --swversion DE.1.0.9.0 --startMP 204:232938 --initTime 2017-11-27T20:51:46 --startdatetime 2017-11-27T20:57:13 --delay 66 --endMP 204:231 --enddatetime 2017-11-27T21:34:58 --enforcementcount 0 &gt;&gt;%USERPROFILE%\Documents\GitHub\eaglep3-reporting\EC\2017-11-27-refined-times.txt</v>
      </c>
      <c r="AI140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{"issue":{"subject":"","project_id":79,"tracker_id":40,"status_id":1,"priority_id":2,"assigned_to_id":338,"start_date":"2017-11-27","description":"","custom_fields":[{"id":1,"name":"Subdivision","value":"EC"},{"id":4,"name":"Milepost","value":"0.0231"},{"id":17,"name":"Train ID","value":"226-27"},{"id":16,"name":"Locomotive ID","value":"4043"},{"id":130,"name":"Impact","value":""},{"id":150,"name":"Time of Event (Mountain Time)","value":"21:34:58"},{"id":151,"name":"Denver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4"/>
      <c r="AK140" s="232"/>
      <c r="AL140" s="232"/>
      <c r="AM140" s="241" t="str">
        <f t="shared" si="40"/>
        <v>start /low /b %USERPROFILE%\Documents\GitHub\eaglep3\Utilities\DownloadLogsFromS3.py --loco 4043 --day 2017-11-27</v>
      </c>
      <c r="AN140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04:34:58"},{"id":29,"name":"Sharepoint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1" t="str">
        <f t="shared" si="42"/>
        <v>https://d0f6bd738d7f1b3e5a7ca70fe4ff75f0.us-east-1.aws.found.io/app/kibana#/discover/Steve-Slow-Train-Analysis-(2080s-and-2083s)?_g=(refreshInterval:(display:Off,pause:!f,section:0,value:0),time:(from:'2017-11-27T19:51:46-0700',mode:absolute,to:'2017-11-27T22:34:58-0700'))&amp;_a=(columns:!('Message%20ID',Summary),filters:!(),index:'emp_*',interval:auto,query:(query_string:(analyze_wildcard:!t,query:'%22rtdc.l.rtdc.4043%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30" t="s">
        <v>794</v>
      </c>
      <c r="B141" s="226">
        <v>4026</v>
      </c>
      <c r="C141" s="228" t="s">
        <v>192</v>
      </c>
      <c r="D141" s="228" t="s">
        <v>473</v>
      </c>
      <c r="E141" s="227">
        <v>43066.848877314813</v>
      </c>
      <c r="F141" s="227">
        <v>43066.854351851849</v>
      </c>
      <c r="G141" s="226">
        <v>99</v>
      </c>
      <c r="H141" s="228" t="s">
        <v>545</v>
      </c>
      <c r="I141" s="227">
        <v>43066.879178240742</v>
      </c>
      <c r="J141" s="226">
        <v>0</v>
      </c>
      <c r="K141" s="238" t="str">
        <f t="shared" ref="K141:K204" si="47">IF(ISEVEN(B141),(B141-1)&amp;"/"&amp;B141,B141&amp;"/"&amp;(B141+1))</f>
        <v>4025/4026</v>
      </c>
      <c r="L141" s="246" t="str">
        <f>VLOOKUP(A141,'Trips&amp;Operators'!$C$1:$G$99911,5,FALSE)</f>
        <v>WILLIAMS DONTE</v>
      </c>
      <c r="M141" s="225">
        <f t="shared" ref="M141:M204" si="48">I141-F141</f>
        <v>2.4826388893416151E-2</v>
      </c>
      <c r="N141" s="226">
        <f t="shared" si="45"/>
        <v>35.750000006519258</v>
      </c>
      <c r="O141" s="226"/>
      <c r="P141" s="226"/>
      <c r="Q141" s="229"/>
      <c r="R141" s="243"/>
      <c r="S141" s="250">
        <f t="shared" si="46"/>
        <v>1</v>
      </c>
      <c r="T141" s="243" t="str">
        <f t="shared" ref="T141:T204" si="49">IF(ISEVEN(LEFT(AD141,4)),"Southbound","NorthBound")</f>
        <v>NorthBound</v>
      </c>
      <c r="U141" s="24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9" t="str">
        <f t="shared" ref="V141:V204" si="5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-27T19:22:23-0700',mode:absolute,to:'2017-11-27T22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1" s="248" t="str">
        <f>IF(AA141&lt;VLOOKUP(AG141,Variables!$AC$3:$AD$8,2,FALSE),"Y","N")</f>
        <v>N</v>
      </c>
      <c r="X141" s="248">
        <f t="shared" ref="X141:X204" si="51">VALUE(LEFT(AD141,4))-VALUE(LEFT(AD140,4))</f>
        <v>1</v>
      </c>
      <c r="Y141" s="248">
        <f t="shared" ref="Y141:Y204" si="52">RIGHT(D141,LEN(D141)-4)/10000</f>
        <v>5.11E-2</v>
      </c>
      <c r="Z141" s="248">
        <f t="shared" ref="Z141:Z204" si="53">RIGHT(H141,LEN(H141)-4)/10000</f>
        <v>23.3232</v>
      </c>
      <c r="AA141" s="248">
        <f t="shared" ref="AA141:AA204" si="54">ABS(Z141-Y141)</f>
        <v>23.272099999999998</v>
      </c>
      <c r="AB141" s="234" t="e">
        <f>VLOOKUP(A141,Enforcements!$C$7:$K$9,8,0)</f>
        <v>#N/A</v>
      </c>
      <c r="AC141" s="233" t="e">
        <f>VLOOKUP(A141,Enforcements!$C$7:$E$9,3,0)</f>
        <v>#N/A</v>
      </c>
      <c r="AD141" s="244">
        <f t="shared" ref="AD141:AD204" si="55">VALUE(LEFT(A141,LEN(A141)-3))</f>
        <v>227</v>
      </c>
      <c r="AE141" s="236" t="str">
        <f t="shared" ref="AE141:AE204" si="5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 &amp; aws s3 cp s3://rtdc.mdm.uploadarchive.raw/RTDC4026/ "%USERPROFILE%\AppData\Local\Temp\OnboardLogs"\RTDC4026\2017-11-28 --exclude "*" --recursive --include "*20171128*" &amp; "%USERPROFILE%\Documents\GitHub\mrs-test-scripts\Headless Mode &amp; Sideloading\WalkAndUnGZ.bat" "%USERPROFILE%\AppData\Local\Temp\OnboardLogs"\RTDC4026\2017-11-28</v>
      </c>
      <c r="AF141" s="235" t="str">
        <f t="shared" ref="AF141:AF204" si="5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/stypes="app*4026*20171128*" /stext=" 04:.+((SYSTEM_STATE.+slice.+state.+changed )|(ment ac)|(multiple cpu faults)|(system.+state.+changed )|(\[timeout)|(PRM\|1\|D)|(kpr)|(kdp)|(train st.+moving)|(\|lc)|(penalty))"</v>
      </c>
      <c r="AG141" s="245" t="str">
        <f t="shared" ref="AG141:AG204" si="58">DetSubdiv(A141)</f>
        <v>EC</v>
      </c>
      <c r="AH141" s="237" t="str">
        <f t="shared" si="38"/>
        <v>"%USERPROFILE%\Documents\GitHub\eaglep3\Utilities\RefineRTDCRunTimes.py" --tripid 227-27 --locoid 4026 --swversion DE.1.0.9.0 --startMP 204:511 --initTime 2017-11-27T20:22:23 --startdatetime 2017-11-27T20:30:16 --delay 99 --endMP 204:233232 --enddatetime 2017-11-27T21:06:01 --enforcementcount 0 &gt;&gt;%USERPROFILE%\Documents\GitHub\eaglep3-reporting\EC\2017-11-27-refined-times.txt</v>
      </c>
      <c r="AI141" s="239" t="str">
        <f t="shared" si="39"/>
        <v>echo {"issue":{"subject":"","project_id":79,"tracker_id":40,"status_id":1,"priority_id":2,"assigned_to_id":338,"start_date":"2017-11-27","description":"","custom_fields":[{"id":1,"name":"Subdivision","value":"EC"},{"id":4,"name":"Milepost","value":"23.3232"},{"id":17,"name":"Train ID","value":"227-27"},{"id":16,"name":"Locomotive ID","value":"4026"},{"id":130,"name":"Impact","value":""},{"id":150,"name":"Time of Event (Mountain Time)","value":"21:06:01"},{"id":151,"name":"Denver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4"/>
      <c r="AK141" s="232"/>
      <c r="AL141" s="232"/>
      <c r="AM141" s="241" t="str">
        <f t="shared" si="40"/>
        <v>start /low /b %USERPROFILE%\Documents\GitHub\eaglep3\Utilities\DownloadLogsFromS3.py --loco 4026 --day 2017-11-27</v>
      </c>
      <c r="AN141" s="242" t="str">
        <f t="shared" si="41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04:06:01"},{"id":29,"name":"Sharepoint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1" t="str">
        <f t="shared" si="42"/>
        <v>https://d0f6bd738d7f1b3e5a7ca70fe4ff75f0.us-east-1.aws.found.io/app/kibana#/discover/Steve-Slow-Train-Analysis-(2080s-and-2083s)?_g=(refreshInterval:(display:Off,pause:!f,section:0,value:0),time:(from:'2017-11-27T19:22:23-0700',mode:absolute,to:'2017-11-27T22:06:01-0700'))&amp;_a=(columns:!('Message%20ID',Summary),filters:!(),index:'emp_*',interval:auto,query:(query_string:(analyze_wildcard:!t,query:'%22rtdc.l.rtdc.4026%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30" t="s">
        <v>799</v>
      </c>
      <c r="B142" s="226">
        <v>4025</v>
      </c>
      <c r="C142" s="228" t="s">
        <v>192</v>
      </c>
      <c r="D142" s="228" t="s">
        <v>895</v>
      </c>
      <c r="E142" s="227">
        <v>43066.888680555552</v>
      </c>
      <c r="F142" s="227">
        <v>43066.894259259258</v>
      </c>
      <c r="G142" s="226">
        <v>113</v>
      </c>
      <c r="H142" s="228" t="s">
        <v>438</v>
      </c>
      <c r="I142" s="227">
        <v>43066.921134259261</v>
      </c>
      <c r="J142" s="226">
        <v>0</v>
      </c>
      <c r="K142" s="238" t="str">
        <f t="shared" si="47"/>
        <v>4025/4026</v>
      </c>
      <c r="L142" s="246" t="str">
        <f>VLOOKUP(A142,'Trips&amp;Operators'!$C$1:$G$99911,5,FALSE)</f>
        <v>WILLIAMS DONTE</v>
      </c>
      <c r="M142" s="225">
        <f t="shared" si="48"/>
        <v>2.6875000003201421E-2</v>
      </c>
      <c r="N142" s="226">
        <f t="shared" si="45"/>
        <v>38.700000004610047</v>
      </c>
      <c r="O142" s="226"/>
      <c r="P142" s="226"/>
      <c r="Q142" s="229"/>
      <c r="R142" s="243"/>
      <c r="S142" s="250">
        <f t="shared" si="46"/>
        <v>1</v>
      </c>
      <c r="T142" s="243" t="str">
        <f t="shared" si="49"/>
        <v>Southbound</v>
      </c>
      <c r="U142" s="24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9" t="str">
        <f t="shared" si="50"/>
        <v>https://d0f6bd738d7f1b3e5a7ca70fe4ff75f0.us-east-1.aws.found.io/app/kibana#/discover/Steve-Slow-Train-Analysis-(2080s-and-2083s)?_g=(refreshInterval:(display:Off,pause:!f,section:0,value:0),time:(from:'2017-11-27T20:19:42-0700',mode:absolute,to:'2017-11-27T23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2" s="248" t="str">
        <f>IF(AA142&lt;VLOOKUP(AG142,Variables!$AC$3:$AD$8,2,FALSE),"Y","N")</f>
        <v>N</v>
      </c>
      <c r="X142" s="248">
        <f t="shared" si="51"/>
        <v>1</v>
      </c>
      <c r="Y142" s="248">
        <f t="shared" si="52"/>
        <v>23.291699999999999</v>
      </c>
      <c r="Z142" s="248">
        <f t="shared" si="53"/>
        <v>2.1100000000000001E-2</v>
      </c>
      <c r="AA142" s="248">
        <f t="shared" si="54"/>
        <v>23.270599999999998</v>
      </c>
      <c r="AB142" s="234" t="e">
        <f>VLOOKUP(A142,Enforcements!$C$7:$K$9,8,0)</f>
        <v>#N/A</v>
      </c>
      <c r="AC142" s="233" t="e">
        <f>VLOOKUP(A142,Enforcements!$C$7:$E$9,3,0)</f>
        <v>#N/A</v>
      </c>
      <c r="AD142" s="244">
        <f t="shared" si="55"/>
        <v>228</v>
      </c>
      <c r="AE142" s="236" t="str">
        <f t="shared" si="56"/>
        <v>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 &amp; aws s3 cp s3://rtdc.mdm.uploadarchive.raw/RTDC4025/ "%USERPROFILE%\AppData\Local\Temp\OnboardLogs"\RTDC4025\2017-11-28 --exclude "*" --recursive --include "*20171128*" &amp; "%USERPROFILE%\Documents\GitHub\mrs-test-scripts\Headless Mode &amp; Sideloading\WalkAndUnGZ.bat" "%USERPROFILE%\AppData\Local\Temp\OnboardLogs"\RTDC4025\2017-11-28</v>
      </c>
      <c r="AF142" s="235" t="str">
        <f t="shared" si="57"/>
        <v>"C:\Program Files (x86)\AstroGrep\AstroGrep.exe" /e /r /s /spath="%USERPROFILE%\AppData\Local\Temp\OnboardLogs" /stypes="app*4025*20171128*" /stext=" 05:.+((SYSTEM_STATE.+slice.+state.+changed )|(ment ac)|(multiple cpu faults)|(system.+state.+changed )|(\[timeout)|(PRM\|1\|D)|(kpr)|(kdp)|(train st.+moving)|(\|lc)|(penalty))"</v>
      </c>
      <c r="AG142" s="245" t="str">
        <f t="shared" si="58"/>
        <v>EC</v>
      </c>
      <c r="AH142" s="237" t="str">
        <f t="shared" ref="AH142:AH205" si="5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228-27 --locoid 4025 --swversion DE.1.0.9.0 --startMP 204:232917 --initTime 2017-11-27T21:19:42 --startdatetime 2017-11-27T21:27:44 --delay 113 --endMP 204:211 --enddatetime 2017-11-27T22:06:26 --enforcementcount 0 &gt;&gt;%USERPROFILE%\Documents\GitHub\eaglep3-reporting\EC\2017-11-27-refined-times.txt</v>
      </c>
      <c r="AI142" s="239" t="str">
        <f t="shared" ref="AI142:AI205" si="6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{"issue":{"subject":"","project_id":79,"tracker_id":40,"status_id":1,"priority_id":2,"assigned_to_id":338,"start_date":"2017-11-27","description":"","custom_fields":[{"id":1,"name":"Subdivision","value":"EC"},{"id":4,"name":"Milepost","value":"0.0211"},{"id":17,"name":"Train ID","value":"228-27"},{"id":16,"name":"Locomotive ID","value":"4025"},{"id":130,"name":"Impact","value":""},{"id":150,"name":"Time of Event (Mountain Time)","value":"22:06:26"},{"id":151,"name":"Denver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4"/>
      <c r="AK142" s="232"/>
      <c r="AL142" s="232"/>
      <c r="AM142" s="241" t="str">
        <f t="shared" ref="AM142:AM205" si="61">"start /low /b "&amp;dls3logs&amp;" --loco "&amp;B142&amp;" --day "&amp;TEXT(F142,"YYYY-MM-DD")</f>
        <v>start /low /b %USERPROFILE%\Documents\GitHub\eaglep3\Utilities\DownloadLogsFromS3.py --loco 4025 --day 2017-11-27</v>
      </c>
      <c r="AN142" s="242" t="str">
        <f t="shared" ref="AN142:AN205" si="62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05:06:26"},{"id":29,"name":"Sharepoint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1" t="str">
        <f t="shared" ref="AO142:AO205" si="63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-27T20:19:42-0700',mode:absolute,to:'2017-11-27T23:06:26-0700'))&amp;_a=(columns:!('Message%20ID',Summary),filters:!(),index:'emp_*',interval:auto,query:(query_string:(analyze_wildcard:!t,query:'%22rtdc.l.rtdc.4025%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30" t="s">
        <v>588</v>
      </c>
      <c r="B143" s="226">
        <v>4018</v>
      </c>
      <c r="C143" s="228" t="s">
        <v>192</v>
      </c>
      <c r="D143" s="228" t="s">
        <v>564</v>
      </c>
      <c r="E143" s="227">
        <v>43066.858055555553</v>
      </c>
      <c r="F143" s="227">
        <v>43066.8752662037</v>
      </c>
      <c r="G143" s="226">
        <v>61</v>
      </c>
      <c r="H143" s="228" t="s">
        <v>495</v>
      </c>
      <c r="I143" s="227">
        <v>43066.899606481478</v>
      </c>
      <c r="J143" s="226">
        <v>0</v>
      </c>
      <c r="K143" s="238" t="str">
        <f t="shared" si="47"/>
        <v>4017/4018</v>
      </c>
      <c r="L143" s="246" t="str">
        <f>VLOOKUP(A143,'Trips&amp;Operators'!$C$1:$G$99911,5,FALSE)</f>
        <v>ELBAUM MIKE</v>
      </c>
      <c r="M143" s="225">
        <f t="shared" si="48"/>
        <v>2.4340277777810115E-2</v>
      </c>
      <c r="N143" s="226">
        <f t="shared" ref="N143:N174" si="64">24*60*SUM($M143:$M143)</f>
        <v>35.050000000046566</v>
      </c>
      <c r="O143" s="226"/>
      <c r="P143" s="226"/>
      <c r="Q143" s="229"/>
      <c r="R143" s="243"/>
      <c r="S143" s="250">
        <f t="shared" si="46"/>
        <v>1</v>
      </c>
      <c r="T143" s="243" t="str">
        <f t="shared" si="49"/>
        <v>NorthBound</v>
      </c>
      <c r="U143" s="24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9" t="str">
        <f t="shared" si="50"/>
        <v>https://d0f6bd738d7f1b3e5a7ca70fe4ff75f0.us-east-1.aws.found.io/app/kibana#/discover/Steve-Slow-Train-Analysis-(2080s-and-2083s)?_g=(refreshInterval:(display:Off,pause:!f,section:0,value:0),time:(from:'2017-11-27T19:35:36-0700',mode:absolute,to:'2017-11-27T22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3" s="248" t="str">
        <f>IF(AA143&lt;VLOOKUP(AG143,Variables!$AC$3:$AD$8,2,FALSE),"Y","N")</f>
        <v>N</v>
      </c>
      <c r="X143" s="248">
        <f t="shared" si="51"/>
        <v>1</v>
      </c>
      <c r="Y143" s="248">
        <f t="shared" si="52"/>
        <v>5.5500000000000001E-2</v>
      </c>
      <c r="Z143" s="248">
        <f t="shared" si="53"/>
        <v>23.3264</v>
      </c>
      <c r="AA143" s="248">
        <f t="shared" si="54"/>
        <v>23.270900000000001</v>
      </c>
      <c r="AB143" s="234" t="str">
        <f>VLOOKUP(A143,Enforcements!$C$7:$K$9,8,0)</f>
        <v>Bulletin (2)</v>
      </c>
      <c r="AC143" s="233" t="str">
        <f>VLOOKUP(A143,Enforcements!$C$7:$E$9,3,0)</f>
        <v>GRADE CROSSING</v>
      </c>
      <c r="AD143" s="244">
        <f t="shared" si="55"/>
        <v>229</v>
      </c>
      <c r="AE143" s="236" t="str">
        <f t="shared" si="56"/>
        <v>aws s3 cp s3://rtdc.mdm.uploadarchive.raw/RTDC4018/ "%USERPROFILE%\AppData\Local\Temp\OnboardLogs"\RTDC4018\2017-11-27 --exclude "*" --recursive --include "*20171127*" &amp; "%USERPROFILE%\Documents\GitHub\mrs-test-scripts\Headless Mode &amp; Sideloading\WalkAndUnGZ.bat" "%USERPROFILE%\AppData\Local\Temp\OnboardLogs"\RTDC4018\2017-11-27 &amp; aws s3 cp s3://rtdc.mdm.uploadarchive.raw/RTDC4018/ "%USERPROFILE%\AppData\Local\Temp\OnboardLogs"\RTDC4018\2017-11-28 --exclude "*" --recursive --include "*20171128*" &amp; "%USERPROFILE%\Documents\GitHub\mrs-test-scripts\Headless Mode &amp; Sideloading\WalkAndUnGZ.bat" "%USERPROFILE%\AppData\Local\Temp\OnboardLogs"\RTDC4018\2017-11-28</v>
      </c>
      <c r="AF143" s="235" t="str">
        <f t="shared" si="57"/>
        <v>"C:\Program Files (x86)\AstroGrep\AstroGrep.exe" /e /r /s /spath="%USERPROFILE%\AppData\Local\Temp\OnboardLogs" /stypes="app*4018*20171128*" /stext=" 04:.+((SYSTEM_STATE.+slice.+state.+changed )|(ment ac)|(multiple cpu faults)|(system.+state.+changed )|(\[timeout)|(PRM\|1\|D)|(kpr)|(kdp)|(train st.+moving)|(\|lc)|(penalty))"</v>
      </c>
      <c r="AG143" s="245" t="str">
        <f t="shared" si="58"/>
        <v>EC</v>
      </c>
      <c r="AH143" s="237" t="str">
        <f t="shared" si="59"/>
        <v>"%USERPROFILE%\Documents\GitHub\eaglep3\Utilities\RefineRTDCRunTimes.py" --tripid 229-27 --locoid 4018 --swversion DE.1.0.9.0 --startMP 204:555 --initTime 2017-11-27T20:35:36 --startdatetime 2017-11-27T21:00:23 --delay 61 --endMP 204:233264 --enddatetime 2017-11-27T21:35:26 --enforcementcount 0 &gt;&gt;%USERPROFILE%\Documents\GitHub\eaglep3-reporting\EC\2017-11-27-refined-times.txt</v>
      </c>
      <c r="AI143" s="239" t="str">
        <f t="shared" si="60"/>
        <v>echo {"issue":{"subject":"","project_id":79,"tracker_id":40,"status_id":1,"priority_id":2,"assigned_to_id":338,"start_date":"2017-11-27","description":"","custom_fields":[{"id":1,"name":"Subdivision","value":"EC"},{"id":4,"name":"Milepost","value":"23.3264"},{"id":17,"name":"Train ID","value":"229-27"},{"id":16,"name":"Locomotive ID","value":"4018"},{"id":130,"name":"Impact","value":""},{"id":150,"name":"Time of Event (Mountain Time)","value":"21:35:26"},{"id":151,"name":"Denver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4"/>
      <c r="AK143" s="232"/>
      <c r="AL143" s="232"/>
      <c r="AM143" s="241" t="str">
        <f t="shared" si="61"/>
        <v>start /low /b %USERPROFILE%\Documents\GitHub\eaglep3\Utilities\DownloadLogsFromS3.py --loco 4018 --day 2017-11-27</v>
      </c>
      <c r="AN143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04:35:26"},{"id":29,"name":"Sharepoint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1" t="str">
        <f t="shared" si="63"/>
        <v>https://d0f6bd738d7f1b3e5a7ca70fe4ff75f0.us-east-1.aws.found.io/app/kibana#/discover/Steve-Slow-Train-Analysis-(2080s-and-2083s)?_g=(refreshInterval:(display:Off,pause:!f,section:0,value:0),time:(from:'2017-11-27T19:35:36-0700',mode:absolute,to:'2017-11-27T22:35:26-0700'))&amp;_a=(columns:!('Message%20ID',Summary),filters:!(),index:'emp_*',interval:auto,query:(query_string:(analyze_wildcard:!t,query:'%22rtdc.l.rtdc.4018%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30" t="s">
        <v>801</v>
      </c>
      <c r="B144" s="226">
        <v>4017</v>
      </c>
      <c r="C144" s="228" t="s">
        <v>192</v>
      </c>
      <c r="D144" s="228" t="s">
        <v>445</v>
      </c>
      <c r="E144" s="227">
        <v>43066.900694444441</v>
      </c>
      <c r="F144" s="227">
        <v>43066.914722222224</v>
      </c>
      <c r="G144" s="226">
        <v>56</v>
      </c>
      <c r="H144" s="228" t="s">
        <v>898</v>
      </c>
      <c r="I144" s="227">
        <v>43066.941134259258</v>
      </c>
      <c r="J144" s="226">
        <v>0</v>
      </c>
      <c r="K144" s="238" t="str">
        <f t="shared" si="47"/>
        <v>4017/4018</v>
      </c>
      <c r="L144" s="246" t="str">
        <f>VLOOKUP(A144,'Trips&amp;Operators'!$C$1:$G$99911,5,FALSE)</f>
        <v>ELBAUM MIKE</v>
      </c>
      <c r="M144" s="225">
        <f t="shared" si="48"/>
        <v>2.6412037033878732E-2</v>
      </c>
      <c r="N144" s="226">
        <f t="shared" si="64"/>
        <v>38.033333328785375</v>
      </c>
      <c r="O144" s="226"/>
      <c r="P144" s="226"/>
      <c r="Q144" s="229"/>
      <c r="R144" s="243"/>
      <c r="S144" s="250">
        <f t="shared" si="46"/>
        <v>1</v>
      </c>
      <c r="T144" s="243" t="str">
        <f t="shared" si="49"/>
        <v>Southbound</v>
      </c>
      <c r="U144" s="24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9" t="str">
        <f t="shared" si="50"/>
        <v>https://d0f6bd738d7f1b3e5a7ca70fe4ff75f0.us-east-1.aws.found.io/app/kibana#/discover/Steve-Slow-Train-Analysis-(2080s-and-2083s)?_g=(refreshInterval:(display:Off,pause:!f,section:0,value:0),time:(from:'2017-11-27T20:37:00-0700',mode:absolute,to:'2017-11-27T23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4" s="248" t="str">
        <f>IF(AA144&lt;VLOOKUP(AG144,Variables!$AC$3:$AD$8,2,FALSE),"Y","N")</f>
        <v>N</v>
      </c>
      <c r="X144" s="248">
        <f t="shared" si="51"/>
        <v>1</v>
      </c>
      <c r="Y144" s="248">
        <f t="shared" si="52"/>
        <v>23.2943</v>
      </c>
      <c r="Z144" s="248">
        <f t="shared" si="53"/>
        <v>2.63E-2</v>
      </c>
      <c r="AA144" s="248">
        <f t="shared" si="54"/>
        <v>23.268000000000001</v>
      </c>
      <c r="AB144" s="234" t="e">
        <f>VLOOKUP(A144,Enforcements!$C$7:$K$9,8,0)</f>
        <v>#N/A</v>
      </c>
      <c r="AC144" s="233" t="e">
        <f>VLOOKUP(A144,Enforcements!$C$7:$E$9,3,0)</f>
        <v>#N/A</v>
      </c>
      <c r="AD144" s="244">
        <f t="shared" si="55"/>
        <v>230</v>
      </c>
      <c r="AE144" s="236" t="str">
        <f t="shared" si="56"/>
        <v>aws s3 cp s3://rtdc.mdm.uploadarchive.raw/RTDC4017/ "%USERPROFILE%\AppData\Local\Temp\OnboardLogs"\RTDC4017\2017-11-27 --exclude "*" --recursive --include "*20171127*" &amp; "%USERPROFILE%\Documents\GitHub\mrs-test-scripts\Headless Mode &amp; Sideloading\WalkAndUnGZ.bat" "%USERPROFILE%\AppData\Local\Temp\OnboardLogs"\RTDC4017\2017-11-27 &amp; aws s3 cp s3://rtdc.mdm.uploadarchive.raw/RTDC4017/ "%USERPROFILE%\AppData\Local\Temp\OnboardLogs"\RTDC4017\2017-11-28 --exclude "*" --recursive --include "*20171128*" &amp; "%USERPROFILE%\Documents\GitHub\mrs-test-scripts\Headless Mode &amp; Sideloading\WalkAndUnGZ.bat" "%USERPROFILE%\AppData\Local\Temp\OnboardLogs"\RTDC4017\2017-11-28</v>
      </c>
      <c r="AF144" s="235" t="str">
        <f t="shared" si="57"/>
        <v>"C:\Program Files (x86)\AstroGrep\AstroGrep.exe" /e /r /s /spath="%USERPROFILE%\AppData\Local\Temp\OnboardLogs" /stypes="app*4017*20171128*" /stext=" 05:.+((SYSTEM_STATE.+slice.+state.+changed )|(ment ac)|(multiple cpu faults)|(system.+state.+changed )|(\[timeout)|(PRM\|1\|D)|(kpr)|(kdp)|(train st.+moving)|(\|lc)|(penalty))"</v>
      </c>
      <c r="AG144" s="245" t="str">
        <f t="shared" si="58"/>
        <v>EC</v>
      </c>
      <c r="AH144" s="237" t="str">
        <f t="shared" si="59"/>
        <v>"%USERPROFILE%\Documents\GitHub\eaglep3\Utilities\RefineRTDCRunTimes.py" --tripid 230-27 --locoid 4017 --swversion DE.1.0.9.0 --startMP 204:232943 --initTime 2017-11-27T21:37:00 --startdatetime 2017-11-27T21:57:12 --delay 56 --endMP 204:263 --enddatetime 2017-11-27T22:35:14 --enforcementcount 0 &gt;&gt;%USERPROFILE%\Documents\GitHub\eaglep3-reporting\EC\2017-11-27-refined-times.txt</v>
      </c>
      <c r="AI144" s="239" t="str">
        <f t="shared" si="60"/>
        <v>echo {"issue":{"subject":"","project_id":79,"tracker_id":40,"status_id":1,"priority_id":2,"assigned_to_id":338,"start_date":"2017-11-27","description":"","custom_fields":[{"id":1,"name":"Subdivision","value":"EC"},{"id":4,"name":"Milepost","value":"0.0263"},{"id":17,"name":"Train ID","value":"230-27"},{"id":16,"name":"Locomotive ID","value":"4017"},{"id":130,"name":"Impact","value":""},{"id":150,"name":"Time of Event (Mountain Time)","value":"22:35:14"},{"id":151,"name":"Denver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4"/>
      <c r="AK144" s="232"/>
      <c r="AL144" s="232"/>
      <c r="AM144" s="241" t="str">
        <f t="shared" si="61"/>
        <v>start /low /b %USERPROFILE%\Documents\GitHub\eaglep3\Utilities\DownloadLogsFromS3.py --loco 4017 --day 2017-11-27</v>
      </c>
      <c r="AN144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05:35:14"},{"id":29,"name":"Sharepoint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1" t="str">
        <f t="shared" si="63"/>
        <v>https://d0f6bd738d7f1b3e5a7ca70fe4ff75f0.us-east-1.aws.found.io/app/kibana#/discover/Steve-Slow-Train-Analysis-(2080s-and-2083s)?_g=(refreshInterval:(display:Off,pause:!f,section:0,value:0),time:(from:'2017-11-27T20:37:00-0700',mode:absolute,to:'2017-11-27T23:35:14-0700'))&amp;_a=(columns:!('Message%20ID',Summary),filters:!(),index:'emp_*',interval:auto,query:(query_string:(analyze_wildcard:!t,query:'%22rtdc.l.rtdc.4017%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4" customFormat="1" x14ac:dyDescent="0.25">
      <c r="A145" s="230" t="s">
        <v>798</v>
      </c>
      <c r="B145" s="226">
        <v>4022</v>
      </c>
      <c r="C145" s="228" t="s">
        <v>192</v>
      </c>
      <c r="D145" s="228" t="s">
        <v>431</v>
      </c>
      <c r="E145" s="227">
        <v>43066.879351851851</v>
      </c>
      <c r="F145" s="227">
        <v>43066.896006944444</v>
      </c>
      <c r="G145" s="226">
        <v>133</v>
      </c>
      <c r="H145" s="228" t="s">
        <v>439</v>
      </c>
      <c r="I145" s="227">
        <v>43066.92015046296</v>
      </c>
      <c r="J145" s="226">
        <v>0</v>
      </c>
      <c r="K145" s="238" t="str">
        <f t="shared" si="47"/>
        <v>4021/4022</v>
      </c>
      <c r="L145" s="246" t="str">
        <f>VLOOKUP(A145,'Trips&amp;Operators'!$C$1:$G$99911,5,FALSE)</f>
        <v>LOZA FIDEL</v>
      </c>
      <c r="M145" s="225">
        <f t="shared" si="48"/>
        <v>2.414351851621177E-2</v>
      </c>
      <c r="N145" s="226">
        <f t="shared" si="64"/>
        <v>34.766666663344949</v>
      </c>
      <c r="O145" s="226"/>
      <c r="P145" s="226"/>
      <c r="Q145" s="229"/>
      <c r="R145" s="243"/>
      <c r="S145" s="250">
        <f t="shared" si="46"/>
        <v>1</v>
      </c>
      <c r="T145" s="243" t="str">
        <f t="shared" si="49"/>
        <v>NorthBound</v>
      </c>
      <c r="U145" s="24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9" t="str">
        <f t="shared" si="50"/>
        <v>https://d0f6bd738d7f1b3e5a7ca70fe4ff75f0.us-east-1.aws.found.io/app/kibana#/discover/Steve-Slow-Train-Analysis-(2080s-and-2083s)?_g=(refreshInterval:(display:Off,pause:!f,section:0,value:0),time:(from:'2017-11-27T20:06:16-0700',mode:absolute,to:'2017-11-27T23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5" s="248" t="str">
        <f>IF(AA145&lt;VLOOKUP(AG145,Variables!$AC$3:$AD$8,2,FALSE),"Y","N")</f>
        <v>N</v>
      </c>
      <c r="X145" s="248">
        <f t="shared" si="51"/>
        <v>1</v>
      </c>
      <c r="Y145" s="248">
        <f t="shared" si="52"/>
        <v>5.0200000000000002E-2</v>
      </c>
      <c r="Z145" s="248">
        <f t="shared" si="53"/>
        <v>23.329499999999999</v>
      </c>
      <c r="AA145" s="248">
        <f t="shared" si="54"/>
        <v>23.279299999999999</v>
      </c>
      <c r="AB145" s="234" t="e">
        <f>VLOOKUP(A145,Enforcements!$C$7:$K$9,8,0)</f>
        <v>#N/A</v>
      </c>
      <c r="AC145" s="233" t="e">
        <f>VLOOKUP(A145,Enforcements!$C$7:$E$9,3,0)</f>
        <v>#N/A</v>
      </c>
      <c r="AD145" s="244">
        <f t="shared" si="55"/>
        <v>231</v>
      </c>
      <c r="AE145" s="236" t="str">
        <f t="shared" si="56"/>
        <v>aws s3 cp s3://rtdc.mdm.uploadarchive.raw/RTDC4022/ "%USERPROFILE%\AppData\Local\Temp\OnboardLogs"\RTDC4022\2017-11-27 --exclude "*" --recursive --include "*20171127*" &amp; "%USERPROFILE%\Documents\GitHub\mrs-test-scripts\Headless Mode &amp; Sideloading\WalkAndUnGZ.bat" "%USERPROFILE%\AppData\Local\Temp\OnboardLogs"\RTDC4022\2017-11-27 &amp; aws s3 cp s3://rtdc.mdm.uploadarchive.raw/RTDC4022/ "%USERPROFILE%\AppData\Local\Temp\OnboardLogs"\RTDC4022\2017-11-28 --exclude "*" --recursive --include "*20171128*" &amp; "%USERPROFILE%\Documents\GitHub\mrs-test-scripts\Headless Mode &amp; Sideloading\WalkAndUnGZ.bat" "%USERPROFILE%\AppData\Local\Temp\OnboardLogs"\RTDC4022\2017-11-28</v>
      </c>
      <c r="AF145" s="235" t="str">
        <f t="shared" si="57"/>
        <v>"C:\Program Files (x86)\AstroGrep\AstroGrep.exe" /e /r /s /spath="%USERPROFILE%\AppData\Local\Temp\OnboardLogs" /stypes="app*4022*20171128*" /stext=" 05:.+((SYSTEM_STATE.+slice.+state.+changed )|(ment ac)|(multiple cpu faults)|(system.+state.+changed )|(\[timeout)|(PRM\|1\|D)|(kpr)|(kdp)|(train st.+moving)|(\|lc)|(penalty))"</v>
      </c>
      <c r="AG145" s="245" t="str">
        <f t="shared" si="58"/>
        <v>EC</v>
      </c>
      <c r="AH145" s="237" t="str">
        <f t="shared" si="59"/>
        <v>"%USERPROFILE%\Documents\GitHub\eaglep3\Utilities\RefineRTDCRunTimes.py" --tripid 231-27 --locoid 4022 --swversion DE.1.0.9.0 --startMP 204:502 --initTime 2017-11-27T21:06:16 --startdatetime 2017-11-27T21:30:15 --delay 133 --endMP 204:233295 --enddatetime 2017-11-27T22:05:01 --enforcementcount 0 &gt;&gt;%USERPROFILE%\Documents\GitHub\eaglep3-reporting\EC\2017-11-27-refined-times.txt</v>
      </c>
      <c r="AI145" s="239" t="str">
        <f t="shared" si="60"/>
        <v>echo {"issue":{"subject":"","project_id":79,"tracker_id":40,"status_id":1,"priority_id":2,"assigned_to_id":338,"start_date":"2017-11-27","description":"","custom_fields":[{"id":1,"name":"Subdivision","value":"EC"},{"id":4,"name":"Milepost","value":"23.3295"},{"id":17,"name":"Train ID","value":"231-27"},{"id":16,"name":"Locomotive ID","value":"4022"},{"id":130,"name":"Impact","value":""},{"id":150,"name":"Time of Event (Mountain Time)","value":"22:05:01"},{"id":151,"name":"Denver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2"/>
      <c r="AL145" s="232"/>
      <c r="AM145" s="241" t="str">
        <f t="shared" si="61"/>
        <v>start /low /b %USERPROFILE%\Documents\GitHub\eaglep3\Utilities\DownloadLogsFromS3.py --loco 4022 --day 2017-11-27</v>
      </c>
      <c r="AN145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05:05:01"},{"id":29,"name":"Sharepoint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1" t="str">
        <f t="shared" si="63"/>
        <v>https://d0f6bd738d7f1b3e5a7ca70fe4ff75f0.us-east-1.aws.found.io/app/kibana#/discover/Steve-Slow-Train-Analysis-(2080s-and-2083s)?_g=(refreshInterval:(display:Off,pause:!f,section:0,value:0),time:(from:'2017-11-27T20:06:16-0700',mode:absolute,to:'2017-11-27T23:05:01-0700'))&amp;_a=(columns:!('Message%20ID',Summary),filters:!(),index:'emp_*',interval:auto,query:(query_string:(analyze_wildcard:!t,query:'%22rtdc.l.rtdc.4022%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30" t="s">
        <v>804</v>
      </c>
      <c r="B146" s="226">
        <v>4021</v>
      </c>
      <c r="C146" s="228" t="s">
        <v>192</v>
      </c>
      <c r="D146" s="228" t="s">
        <v>905</v>
      </c>
      <c r="E146" s="227">
        <v>43066.931145833332</v>
      </c>
      <c r="F146" s="227">
        <v>43066.935914351852</v>
      </c>
      <c r="G146" s="226">
        <v>73</v>
      </c>
      <c r="H146" s="228" t="s">
        <v>540</v>
      </c>
      <c r="I146" s="227">
        <v>43066.961562500001</v>
      </c>
      <c r="J146" s="226">
        <v>0</v>
      </c>
      <c r="K146" s="238" t="str">
        <f t="shared" si="47"/>
        <v>4021/4022</v>
      </c>
      <c r="L146" s="246" t="str">
        <f>VLOOKUP(A146,'Trips&amp;Operators'!$C$1:$G$99911,5,FALSE)</f>
        <v>LOZA FIDEL</v>
      </c>
      <c r="M146" s="225">
        <f t="shared" si="48"/>
        <v>2.5648148148320615E-2</v>
      </c>
      <c r="N146" s="226">
        <f t="shared" si="64"/>
        <v>36.933333333581686</v>
      </c>
      <c r="O146" s="226"/>
      <c r="P146" s="226"/>
      <c r="Q146" s="229"/>
      <c r="R146" s="243"/>
      <c r="S146" s="250">
        <f t="shared" si="46"/>
        <v>1</v>
      </c>
      <c r="T146" s="243" t="str">
        <f t="shared" si="49"/>
        <v>Southbound</v>
      </c>
      <c r="U146" s="24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9" t="str">
        <f t="shared" si="50"/>
        <v>https://d0f6bd738d7f1b3e5a7ca70fe4ff75f0.us-east-1.aws.found.io/app/kibana#/discover/Steve-Slow-Train-Analysis-(2080s-and-2083s)?_g=(refreshInterval:(display:Off,pause:!f,section:0,value:0),time:(from:'2017-11-27T21:20:51-0700',mode:absolute,to:'2017-11-28T00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6" s="248" t="str">
        <f>IF(AA146&lt;VLOOKUP(AG146,Variables!$AC$3:$AD$8,2,FALSE),"Y","N")</f>
        <v>N</v>
      </c>
      <c r="X146" s="248">
        <f t="shared" si="51"/>
        <v>1</v>
      </c>
      <c r="Y146" s="248">
        <f t="shared" si="52"/>
        <v>23.296399999999998</v>
      </c>
      <c r="Z146" s="248">
        <f t="shared" si="53"/>
        <v>2.23E-2</v>
      </c>
      <c r="AA146" s="248">
        <f t="shared" si="54"/>
        <v>23.274099999999997</v>
      </c>
      <c r="AB146" s="234" t="e">
        <f>VLOOKUP(A146,Enforcements!$C$7:$K$9,8,0)</f>
        <v>#N/A</v>
      </c>
      <c r="AC146" s="233" t="e">
        <f>VLOOKUP(A146,Enforcements!$C$7:$E$9,3,0)</f>
        <v>#N/A</v>
      </c>
      <c r="AD146" s="244">
        <f t="shared" si="55"/>
        <v>232</v>
      </c>
      <c r="AE146" s="236" t="str">
        <f t="shared" si="56"/>
        <v>aws s3 cp s3://rtdc.mdm.uploadarchive.raw/RTDC4021/ "%USERPROFILE%\AppData\Local\Temp\OnboardLogs"\RTDC4021\2017-11-27 --exclude "*" --recursive --include "*20171127*" &amp; "%USERPROFILE%\Documents\GitHub\mrs-test-scripts\Headless Mode &amp; Sideloading\WalkAndUnGZ.bat" "%USERPROFILE%\AppData\Local\Temp\OnboardLogs"\RTDC4021\2017-11-27 &amp; aws s3 cp s3://rtdc.mdm.uploadarchive.raw/RTDC4021/ "%USERPROFILE%\AppData\Local\Temp\OnboardLogs"\RTDC4021\2017-11-28 --exclude "*" --recursive --include "*20171128*" &amp; "%USERPROFILE%\Documents\GitHub\mrs-test-scripts\Headless Mode &amp; Sideloading\WalkAndUnGZ.bat" "%USERPROFILE%\AppData\Local\Temp\OnboardLogs"\RTDC4021\2017-11-28</v>
      </c>
      <c r="AF146" s="235" t="str">
        <f t="shared" si="57"/>
        <v>"C:\Program Files (x86)\AstroGrep\AstroGrep.exe" /e /r /s /spath="%USERPROFILE%\AppData\Local\Temp\OnboardLogs" /stypes="app*4021*20171128*" /stext=" 06:.+((SYSTEM_STATE.+slice.+state.+changed )|(ment ac)|(multiple cpu faults)|(system.+state.+changed )|(\[timeout)|(PRM\|1\|D)|(kpr)|(kdp)|(train st.+moving)|(\|lc)|(penalty))"</v>
      </c>
      <c r="AG146" s="245" t="str">
        <f t="shared" si="58"/>
        <v>EC</v>
      </c>
      <c r="AH146" s="237" t="str">
        <f t="shared" si="59"/>
        <v>"%USERPROFILE%\Documents\GitHub\eaglep3\Utilities\RefineRTDCRunTimes.py" --tripid 232-27 --locoid 4021 --swversion DE.1.0.9.0 --startMP 204:232964 --initTime 2017-11-27T22:20:51 --startdatetime 2017-11-27T22:27:43 --delay 73 --endMP 204:223 --enddatetime 2017-11-27T23:04:39 --enforcementcount 0 &gt;&gt;%USERPROFILE%\Documents\GitHub\eaglep3-reporting\EC\2017-11-27-refined-times.txt</v>
      </c>
      <c r="AI146" s="239" t="str">
        <f t="shared" si="60"/>
        <v>echo {"issue":{"subject":"","project_id":79,"tracker_id":40,"status_id":1,"priority_id":2,"assigned_to_id":338,"start_date":"2017-11-27","description":"","custom_fields":[{"id":1,"name":"Subdivision","value":"EC"},{"id":4,"name":"Milepost","value":"0.0223"},{"id":17,"name":"Train ID","value":"232-27"},{"id":16,"name":"Locomotive ID","value":"4021"},{"id":130,"name":"Impact","value":""},{"id":150,"name":"Time of Event (Mountain Time)","value":"23:04:39"},{"id":151,"name":"Denver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4"/>
      <c r="AK146" s="232"/>
      <c r="AL146" s="232"/>
      <c r="AM146" s="241" t="str">
        <f t="shared" si="61"/>
        <v>start /low /b %USERPROFILE%\Documents\GitHub\eaglep3\Utilities\DownloadLogsFromS3.py --loco 4021 --day 2017-11-27</v>
      </c>
      <c r="AN146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06:04:39"},{"id":29,"name":"Sharepoint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1" t="str">
        <f t="shared" si="63"/>
        <v>https://d0f6bd738d7f1b3e5a7ca70fe4ff75f0.us-east-1.aws.found.io/app/kibana#/discover/Steve-Slow-Train-Analysis-(2080s-and-2083s)?_g=(refreshInterval:(display:Off,pause:!f,section:0,value:0),time:(from:'2017-11-27T21:20:51-0700',mode:absolute,to:'2017-11-28T00:04:39-0700'))&amp;_a=(columns:!('Message%20ID',Summary),filters:!(),index:'emp_*',interval:auto,query:(query_string:(analyze_wildcard:!t,query:'%22rtdc.l.rtdc.4021%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30" t="s">
        <v>802</v>
      </c>
      <c r="B147" s="226">
        <v>4044</v>
      </c>
      <c r="C147" s="228" t="s">
        <v>192</v>
      </c>
      <c r="D147" s="228" t="s">
        <v>881</v>
      </c>
      <c r="E147" s="227">
        <v>43066.902349537035</v>
      </c>
      <c r="F147" s="227">
        <v>43066.916828703703</v>
      </c>
      <c r="G147" s="226">
        <v>74</v>
      </c>
      <c r="H147" s="228" t="s">
        <v>906</v>
      </c>
      <c r="I147" s="227">
        <v>43066.941446759258</v>
      </c>
      <c r="J147" s="226">
        <v>0</v>
      </c>
      <c r="K147" s="238" t="str">
        <f t="shared" si="47"/>
        <v>4043/4044</v>
      </c>
      <c r="L147" s="246" t="str">
        <f>VLOOKUP(A147,'Trips&amp;Operators'!$C$1:$G$99911,5,FALSE)</f>
        <v>GUNTHIER ERIC</v>
      </c>
      <c r="M147" s="225">
        <f t="shared" si="48"/>
        <v>2.4618055555038154E-2</v>
      </c>
      <c r="N147" s="226">
        <f t="shared" si="64"/>
        <v>35.449999999254942</v>
      </c>
      <c r="O147" s="226"/>
      <c r="P147" s="226"/>
      <c r="Q147" s="229"/>
      <c r="R147" s="243"/>
      <c r="S147" s="250">
        <f t="shared" si="46"/>
        <v>1</v>
      </c>
      <c r="T147" s="243" t="str">
        <f t="shared" si="49"/>
        <v>NorthBound</v>
      </c>
      <c r="U147" s="24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9" t="str">
        <f t="shared" si="50"/>
        <v>https://d0f6bd738d7f1b3e5a7ca70fe4ff75f0.us-east-1.aws.found.io/app/kibana#/discover/Steve-Slow-Train-Analysis-(2080s-and-2083s)?_g=(refreshInterval:(display:Off,pause:!f,section:0,value:0),time:(from:'2017-11-27T20:39:23-0700',mode:absolute,to:'2017-11-27T23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7" s="248" t="str">
        <f>IF(AA147&lt;VLOOKUP(AG147,Variables!$AC$3:$AD$8,2,FALSE),"Y","N")</f>
        <v>N</v>
      </c>
      <c r="X147" s="248">
        <f t="shared" si="51"/>
        <v>1</v>
      </c>
      <c r="Y147" s="248">
        <f t="shared" si="52"/>
        <v>5.3699999999999998E-2</v>
      </c>
      <c r="Z147" s="248">
        <f t="shared" si="53"/>
        <v>23.321000000000002</v>
      </c>
      <c r="AA147" s="248">
        <f t="shared" si="54"/>
        <v>23.267300000000002</v>
      </c>
      <c r="AB147" s="234" t="e">
        <f>VLOOKUP(A147,Enforcements!$C$7:$K$9,8,0)</f>
        <v>#N/A</v>
      </c>
      <c r="AC147" s="233" t="e">
        <f>VLOOKUP(A147,Enforcements!$C$7:$E$9,3,0)</f>
        <v>#N/A</v>
      </c>
      <c r="AD147" s="244">
        <f t="shared" si="55"/>
        <v>233</v>
      </c>
      <c r="AE147" s="236" t="str">
        <f t="shared" si="56"/>
        <v>aws s3 cp s3://rtdc.mdm.uploadarchive.raw/RTDC4044/ "%USERPROFILE%\AppData\Local\Temp\OnboardLogs"\RTDC4044\2017-11-27 --exclude "*" --recursive --include "*20171127*" &amp; "%USERPROFILE%\Documents\GitHub\mrs-test-scripts\Headless Mode &amp; Sideloading\WalkAndUnGZ.bat" "%USERPROFILE%\AppData\Local\Temp\OnboardLogs"\RTDC4044\2017-11-27 &amp; aws s3 cp s3://rtdc.mdm.uploadarchive.raw/RTDC4044/ "%USERPROFILE%\AppData\Local\Temp\OnboardLogs"\RTDC4044\2017-11-28 --exclude "*" --recursive --include "*20171128*" &amp; "%USERPROFILE%\Documents\GitHub\mrs-test-scripts\Headless Mode &amp; Sideloading\WalkAndUnGZ.bat" "%USERPROFILE%\AppData\Local\Temp\OnboardLogs"\RTDC4044\2017-11-28</v>
      </c>
      <c r="AF147" s="235" t="str">
        <f t="shared" si="57"/>
        <v>"C:\Program Files (x86)\AstroGrep\AstroGrep.exe" /e /r /s /spath="%USERPROFILE%\AppData\Local\Temp\OnboardLogs" /stypes="app*4044*20171128*" /stext=" 05:.+((SYSTEM_STATE.+slice.+state.+changed )|(ment ac)|(multiple cpu faults)|(system.+state.+changed )|(\[timeout)|(PRM\|1\|D)|(kpr)|(kdp)|(train st.+moving)|(\|lc)|(penalty))"</v>
      </c>
      <c r="AG147" s="245" t="str">
        <f t="shared" si="58"/>
        <v>EC</v>
      </c>
      <c r="AH147" s="237" t="str">
        <f t="shared" si="59"/>
        <v>"%USERPROFILE%\Documents\GitHub\eaglep3\Utilities\RefineRTDCRunTimes.py" --tripid 233-27 --locoid 4044 --swversion DE.1.0.9.0 --startMP 204:537 --initTime 2017-11-27T21:39:23 --startdatetime 2017-11-27T22:00:14 --delay 74 --endMP 204:233210 --enddatetime 2017-11-27T22:35:41 --enforcementcount 0 &gt;&gt;%USERPROFILE%\Documents\GitHub\eaglep3-reporting\EC\2017-11-27-refined-times.txt</v>
      </c>
      <c r="AI147" s="239" t="str">
        <f t="shared" si="60"/>
        <v>echo {"issue":{"subject":"","project_id":79,"tracker_id":40,"status_id":1,"priority_id":2,"assigned_to_id":338,"start_date":"2017-11-27","description":"","custom_fields":[{"id":1,"name":"Subdivision","value":"EC"},{"id":4,"name":"Milepost","value":"23.321"},{"id":17,"name":"Train ID","value":"233-27"},{"id":16,"name":"Locomotive ID","value":"4044"},{"id":130,"name":"Impact","value":""},{"id":150,"name":"Time of Event (Mountain Time)","value":"22:35:41"},{"id":151,"name":"Denver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4"/>
      <c r="AK147" s="232"/>
      <c r="AL147" s="232"/>
      <c r="AM147" s="241" t="str">
        <f t="shared" si="61"/>
        <v>start /low /b %USERPROFILE%\Documents\GitHub\eaglep3\Utilities\DownloadLogsFromS3.py --loco 4044 --day 2017-11-27</v>
      </c>
      <c r="AN147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05:35:41"},{"id":29,"name":"Sharepoint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1" t="str">
        <f t="shared" si="63"/>
        <v>https://d0f6bd738d7f1b3e5a7ca70fe4ff75f0.us-east-1.aws.found.io/app/kibana#/discover/Steve-Slow-Train-Analysis-(2080s-and-2083s)?_g=(refreshInterval:(display:Off,pause:!f,section:0,value:0),time:(from:'2017-11-27T20:39:23-0700',mode:absolute,to:'2017-11-27T23:35:41-0700'))&amp;_a=(columns:!('Message%20ID',Summary),filters:!(),index:'emp_*',interval:auto,query:(query_string:(analyze_wildcard:!t,query:'%22rtdc.l.rtdc.4044%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30" t="s">
        <v>807</v>
      </c>
      <c r="B148" s="226">
        <v>4043</v>
      </c>
      <c r="C148" s="228" t="s">
        <v>192</v>
      </c>
      <c r="D148" s="228" t="s">
        <v>563</v>
      </c>
      <c r="E148" s="227">
        <v>43066.946238425924</v>
      </c>
      <c r="F148" s="227">
        <v>43066.956412037034</v>
      </c>
      <c r="G148" s="226">
        <v>76</v>
      </c>
      <c r="H148" s="228" t="s">
        <v>884</v>
      </c>
      <c r="I148" s="227">
        <v>43066.98333333333</v>
      </c>
      <c r="J148" s="226">
        <v>0</v>
      </c>
      <c r="K148" s="238" t="str">
        <f t="shared" si="47"/>
        <v>4043/4044</v>
      </c>
      <c r="L148" s="246" t="str">
        <f>VLOOKUP(A148,'Trips&amp;Operators'!$C$1:$G$99911,5,FALSE)</f>
        <v>GUNTHIER ERIC</v>
      </c>
      <c r="M148" s="225">
        <f t="shared" si="48"/>
        <v>2.6921296295768116E-2</v>
      </c>
      <c r="N148" s="226">
        <f t="shared" si="64"/>
        <v>38.766666665906087</v>
      </c>
      <c r="O148" s="226"/>
      <c r="P148" s="226"/>
      <c r="Q148" s="229"/>
      <c r="R148" s="243"/>
      <c r="S148" s="250">
        <f t="shared" si="46"/>
        <v>1</v>
      </c>
      <c r="T148" s="243" t="str">
        <f t="shared" si="49"/>
        <v>Southbound</v>
      </c>
      <c r="U148" s="24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9" t="str">
        <f t="shared" si="50"/>
        <v>https://d0f6bd738d7f1b3e5a7ca70fe4ff75f0.us-east-1.aws.found.io/app/kibana#/discover/Steve-Slow-Train-Analysis-(2080s-and-2083s)?_g=(refreshInterval:(display:Off,pause:!f,section:0,value:0),time:(from:'2017-11-27T21:42:35-0700',mode:absolute,to:'2017-11-28T00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8" s="248" t="str">
        <f>IF(AA148&lt;VLOOKUP(AG148,Variables!$AC$3:$AD$8,2,FALSE),"Y","N")</f>
        <v>N</v>
      </c>
      <c r="X148" s="248">
        <f t="shared" si="51"/>
        <v>1</v>
      </c>
      <c r="Y148" s="248">
        <f t="shared" si="52"/>
        <v>23.2928</v>
      </c>
      <c r="Z148" s="248">
        <f t="shared" si="53"/>
        <v>2.52E-2</v>
      </c>
      <c r="AA148" s="248">
        <f t="shared" si="54"/>
        <v>23.267599999999998</v>
      </c>
      <c r="AB148" s="234" t="e">
        <f>VLOOKUP(A148,Enforcements!$C$7:$K$9,8,0)</f>
        <v>#N/A</v>
      </c>
      <c r="AC148" s="233" t="e">
        <f>VLOOKUP(A148,Enforcements!$C$7:$E$9,3,0)</f>
        <v>#N/A</v>
      </c>
      <c r="AD148" s="244">
        <f t="shared" si="55"/>
        <v>234</v>
      </c>
      <c r="AE148" s="236" t="str">
        <f t="shared" si="56"/>
        <v>aws s3 cp s3://rtdc.mdm.uploadarchive.raw/RTDC4043/ "%USERPROFILE%\AppData\Local\Temp\OnboardLogs"\RTDC4043\2017-11-27 --exclude "*" --recursive --include "*20171127*" &amp; "%USERPROFILE%\Documents\GitHub\mrs-test-scripts\Headless Mode &amp; Sideloading\WalkAndUnGZ.bat" "%USERPROFILE%\AppData\Local\Temp\OnboardLogs"\RTDC4043\2017-11-27 &amp; aws s3 cp s3://rtdc.mdm.uploadarchive.raw/RTDC4043/ "%USERPROFILE%\AppData\Local\Temp\OnboardLogs"\RTDC4043\2017-11-28 --exclude "*" --recursive --include "*20171128*" &amp; "%USERPROFILE%\Documents\GitHub\mrs-test-scripts\Headless Mode &amp; Sideloading\WalkAndUnGZ.bat" "%USERPROFILE%\AppData\Local\Temp\OnboardLogs"\RTDC4043\2017-11-28</v>
      </c>
      <c r="AF148" s="235" t="str">
        <f t="shared" si="57"/>
        <v>"C:\Program Files (x86)\AstroGrep\AstroGrep.exe" /e /r /s /spath="%USERPROFILE%\AppData\Local\Temp\OnboardLogs" /stypes="app*4043*20171128*" /stext=" 06:.+((SYSTEM_STATE.+slice.+state.+changed )|(ment ac)|(multiple cpu faults)|(system.+state.+changed )|(\[timeout)|(PRM\|1\|D)|(kpr)|(kdp)|(train st.+moving)|(\|lc)|(penalty))"</v>
      </c>
      <c r="AG148" s="245" t="str">
        <f t="shared" si="58"/>
        <v>EC</v>
      </c>
      <c r="AH148" s="237" t="str">
        <f t="shared" si="59"/>
        <v>"%USERPROFILE%\Documents\GitHub\eaglep3\Utilities\RefineRTDCRunTimes.py" --tripid 234-27 --locoid 4043 --swversion DE.1.0.9.0 --startMP 204:232928 --initTime 2017-11-27T22:42:35 --startdatetime 2017-11-27T22:57:14 --delay 76 --endMP 204:252 --enddatetime 2017-11-27T23:36:00 --enforcementcount 0 &gt;&gt;%USERPROFILE%\Documents\GitHub\eaglep3-reporting\EC\2017-11-27-refined-times.txt</v>
      </c>
      <c r="AI148" s="239" t="str">
        <f t="shared" si="60"/>
        <v>echo {"issue":{"subject":"","project_id":79,"tracker_id":40,"status_id":1,"priority_id":2,"assigned_to_id":338,"start_date":"2017-11-27","description":"","custom_fields":[{"id":1,"name":"Subdivision","value":"EC"},{"id":4,"name":"Milepost","value":"0.0252"},{"id":17,"name":"Train ID","value":"234-27"},{"id":16,"name":"Locomotive ID","value":"4043"},{"id":130,"name":"Impact","value":""},{"id":150,"name":"Time of Event (Mountain Time)","value":"23:36:00"},{"id":151,"name":"Denver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4"/>
      <c r="AK148" s="232"/>
      <c r="AL148" s="232"/>
      <c r="AM148" s="241" t="str">
        <f t="shared" si="61"/>
        <v>start /low /b %USERPROFILE%\Documents\GitHub\eaglep3\Utilities\DownloadLogsFromS3.py --loco 4043 --day 2017-11-27</v>
      </c>
      <c r="AN148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06:36:00"},{"id":29,"name":"Sharepoint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1" t="str">
        <f t="shared" si="63"/>
        <v>https://d0f6bd738d7f1b3e5a7ca70fe4ff75f0.us-east-1.aws.found.io/app/kibana#/discover/Steve-Slow-Train-Analysis-(2080s-and-2083s)?_g=(refreshInterval:(display:Off,pause:!f,section:0,value:0),time:(from:'2017-11-27T21:42:35-0700',mode:absolute,to:'2017-11-28T00:36:00-0700'))&amp;_a=(columns:!('Message%20ID',Summary),filters:!(),index:'emp_*',interval:auto,query:(query_string:(analyze_wildcard:!t,query:'%22rtdc.l.rtdc.4043%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4" customFormat="1" x14ac:dyDescent="0.25">
      <c r="A149" s="230" t="s">
        <v>803</v>
      </c>
      <c r="B149" s="226">
        <v>4026</v>
      </c>
      <c r="C149" s="228" t="s">
        <v>192</v>
      </c>
      <c r="D149" s="228" t="s">
        <v>896</v>
      </c>
      <c r="E149" s="227">
        <v>43066.928657407407</v>
      </c>
      <c r="F149" s="227">
        <v>43066.937673611108</v>
      </c>
      <c r="G149" s="226">
        <v>104</v>
      </c>
      <c r="H149" s="228" t="s">
        <v>467</v>
      </c>
      <c r="I149" s="227">
        <v>43066.962696759256</v>
      </c>
      <c r="J149" s="226">
        <v>0</v>
      </c>
      <c r="K149" s="238" t="str">
        <f t="shared" si="47"/>
        <v>4025/4026</v>
      </c>
      <c r="L149" s="246" t="str">
        <f>VLOOKUP(A149,'Trips&amp;Operators'!$C$1:$G$99911,5,FALSE)</f>
        <v>WILLIAMS DONTE</v>
      </c>
      <c r="M149" s="225">
        <f t="shared" si="48"/>
        <v>2.5023148147738539E-2</v>
      </c>
      <c r="N149" s="226">
        <f t="shared" si="64"/>
        <v>36.033333332743496</v>
      </c>
      <c r="O149" s="226"/>
      <c r="P149" s="226"/>
      <c r="Q149" s="229"/>
      <c r="R149" s="243"/>
      <c r="S149" s="250">
        <f t="shared" si="46"/>
        <v>1</v>
      </c>
      <c r="T149" s="243" t="str">
        <f t="shared" si="49"/>
        <v>NorthBound</v>
      </c>
      <c r="U149" s="24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9" t="str">
        <f t="shared" si="50"/>
        <v>https://d0f6bd738d7f1b3e5a7ca70fe4ff75f0.us-east-1.aws.found.io/app/kibana#/discover/Steve-Slow-Train-Analysis-(2080s-and-2083s)?_g=(refreshInterval:(display:Off,pause:!f,section:0,value:0),time:(from:'2017-11-27T21:17:16-0700',mode:absolute,to:'2017-11-28T00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9" s="248" t="str">
        <f>IF(AA149&lt;VLOOKUP(AG149,Variables!$AC$3:$AD$8,2,FALSE),"Y","N")</f>
        <v>N</v>
      </c>
      <c r="X149" s="248">
        <f t="shared" si="51"/>
        <v>1</v>
      </c>
      <c r="Y149" s="248">
        <f t="shared" si="52"/>
        <v>5.0900000000000001E-2</v>
      </c>
      <c r="Z149" s="248">
        <f t="shared" si="53"/>
        <v>23.323599999999999</v>
      </c>
      <c r="AA149" s="248">
        <f t="shared" si="54"/>
        <v>23.2727</v>
      </c>
      <c r="AB149" s="234" t="e">
        <f>VLOOKUP(A149,Enforcements!$C$7:$K$9,8,0)</f>
        <v>#N/A</v>
      </c>
      <c r="AC149" s="233" t="e">
        <f>VLOOKUP(A149,Enforcements!$C$7:$E$9,3,0)</f>
        <v>#N/A</v>
      </c>
      <c r="AD149" s="244">
        <f t="shared" si="55"/>
        <v>235</v>
      </c>
      <c r="AE149" s="236" t="str">
        <f t="shared" si="56"/>
        <v>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 &amp; aws s3 cp s3://rtdc.mdm.uploadarchive.raw/RTDC4026/ "%USERPROFILE%\AppData\Local\Temp\OnboardLogs"\RTDC4026\2017-11-28 --exclude "*" --recursive --include "*20171128*" &amp; "%USERPROFILE%\Documents\GitHub\mrs-test-scripts\Headless Mode &amp; Sideloading\WalkAndUnGZ.bat" "%USERPROFILE%\AppData\Local\Temp\OnboardLogs"\RTDC4026\2017-11-28</v>
      </c>
      <c r="AF149" s="235" t="str">
        <f t="shared" si="57"/>
        <v>"C:\Program Files (x86)\AstroGrep\AstroGrep.exe" /e /r /s /spath="%USERPROFILE%\AppData\Local\Temp\OnboardLogs" /stypes="app*4026*20171128*" /stext=" 06:.+((SYSTEM_STATE.+slice.+state.+changed )|(ment ac)|(multiple cpu faults)|(system.+state.+changed )|(\[timeout)|(PRM\|1\|D)|(kpr)|(kdp)|(train st.+moving)|(\|lc)|(penalty))"</v>
      </c>
      <c r="AG149" s="245" t="str">
        <f t="shared" si="58"/>
        <v>EC</v>
      </c>
      <c r="AH149" s="237" t="str">
        <f t="shared" si="59"/>
        <v>"%USERPROFILE%\Documents\GitHub\eaglep3\Utilities\RefineRTDCRunTimes.py" --tripid 235-27 --locoid 4026 --swversion DE.1.0.9.0 --startMP 204:509 --initTime 2017-11-27T22:17:16 --startdatetime 2017-11-27T22:30:15 --delay 104 --endMP 204:233236 --enddatetime 2017-11-27T23:06:17 --enforcementcount 0 &gt;&gt;%USERPROFILE%\Documents\GitHub\eaglep3-reporting\EC\2017-11-27-refined-times.txt</v>
      </c>
      <c r="AI149" s="239" t="str">
        <f t="shared" si="60"/>
        <v>echo {"issue":{"subject":"","project_id":79,"tracker_id":40,"status_id":1,"priority_id":2,"assigned_to_id":338,"start_date":"2017-11-27","description":"","custom_fields":[{"id":1,"name":"Subdivision","value":"EC"},{"id":4,"name":"Milepost","value":"23.3236"},{"id":17,"name":"Train ID","value":"235-27"},{"id":16,"name":"Locomotive ID","value":"4026"},{"id":130,"name":"Impact","value":""},{"id":150,"name":"Time of Event (Mountain Time)","value":"23:06:17"},{"id":151,"name":"Denver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2"/>
      <c r="AL149" s="232"/>
      <c r="AM149" s="241" t="str">
        <f t="shared" si="61"/>
        <v>start /low /b %USERPROFILE%\Documents\GitHub\eaglep3\Utilities\DownloadLogsFromS3.py --loco 4026 --day 2017-11-27</v>
      </c>
      <c r="AN149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06:06:17"},{"id":29,"name":"Sharepoint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1" t="str">
        <f t="shared" si="63"/>
        <v>https://d0f6bd738d7f1b3e5a7ca70fe4ff75f0.us-east-1.aws.found.io/app/kibana#/discover/Steve-Slow-Train-Analysis-(2080s-and-2083s)?_g=(refreshInterval:(display:Off,pause:!f,section:0,value:0),time:(from:'2017-11-27T21:17:16-0700',mode:absolute,to:'2017-11-28T00:06:17-0700'))&amp;_a=(columns:!('Message%20ID',Summary),filters:!(),index:'emp_*',interval:auto,query:(query_string:(analyze_wildcard:!t,query:'%22rtdc.l.rtdc.4026%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230" t="s">
        <v>810</v>
      </c>
      <c r="B150" s="226">
        <v>4025</v>
      </c>
      <c r="C150" s="228" t="s">
        <v>192</v>
      </c>
      <c r="D150" s="228" t="s">
        <v>493</v>
      </c>
      <c r="E150" s="227">
        <v>43066.973530092589</v>
      </c>
      <c r="F150" s="227">
        <v>43066.977303240739</v>
      </c>
      <c r="G150" s="226">
        <v>67</v>
      </c>
      <c r="H150" s="228" t="s">
        <v>466</v>
      </c>
      <c r="I150" s="227">
        <v>43067.005289351851</v>
      </c>
      <c r="J150" s="226">
        <v>0</v>
      </c>
      <c r="K150" s="238" t="str">
        <f t="shared" si="47"/>
        <v>4025/4026</v>
      </c>
      <c r="L150" s="246" t="str">
        <f>VLOOKUP(A150,'Trips&amp;Operators'!$C$1:$G$99911,5,FALSE)</f>
        <v>WILLIAMS DONTE</v>
      </c>
      <c r="M150" s="225">
        <f t="shared" si="48"/>
        <v>2.7986111112113576E-2</v>
      </c>
      <c r="N150" s="226">
        <f t="shared" si="64"/>
        <v>40.30000000144355</v>
      </c>
      <c r="O150" s="226"/>
      <c r="P150" s="226"/>
      <c r="Q150" s="229"/>
      <c r="R150" s="243" t="s">
        <v>1020</v>
      </c>
      <c r="S150" s="250">
        <f t="shared" si="46"/>
        <v>1</v>
      </c>
      <c r="T150" s="243" t="str">
        <f t="shared" si="49"/>
        <v>Southbound</v>
      </c>
      <c r="U150" s="24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9" t="str">
        <f t="shared" si="50"/>
        <v>https://d0f6bd738d7f1b3e5a7ca70fe4ff75f0.us-east-1.aws.found.io/app/kibana#/discover/Steve-Slow-Train-Analysis-(2080s-and-2083s)?_g=(refreshInterval:(display:Off,pause:!f,section:0,value:0),time:(from:'2017-11-27T22:21:53-0700',mode:absolute,to:'2017-11-28T01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0" s="248" t="str">
        <f>IF(AA150&lt;VLOOKUP(AG150,Variables!$AC$3:$AD$8,2,FALSE),"Y","N")</f>
        <v>N</v>
      </c>
      <c r="X150" s="248">
        <f t="shared" si="51"/>
        <v>1</v>
      </c>
      <c r="Y150" s="248">
        <f t="shared" si="52"/>
        <v>23.293199999999999</v>
      </c>
      <c r="Z150" s="248">
        <f t="shared" si="53"/>
        <v>2.0899999999999998E-2</v>
      </c>
      <c r="AA150" s="248">
        <f t="shared" si="54"/>
        <v>23.272299999999998</v>
      </c>
      <c r="AB150" s="234" t="e">
        <f>VLOOKUP(A150,Enforcements!$C$7:$K$9,8,0)</f>
        <v>#N/A</v>
      </c>
      <c r="AC150" s="233" t="e">
        <f>VLOOKUP(A150,Enforcements!$C$7:$E$9,3,0)</f>
        <v>#N/A</v>
      </c>
      <c r="AD150" s="244">
        <f t="shared" si="55"/>
        <v>236</v>
      </c>
      <c r="AE150" s="236" t="str">
        <f t="shared" si="56"/>
        <v>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 &amp; aws s3 cp s3://rtdc.mdm.uploadarchive.raw/RTDC4025/ "%USERPROFILE%\AppData\Local\Temp\OnboardLogs"\RTDC4025\2017-11-28 --exclude "*" --recursive --include "*20171128*" &amp; "%USERPROFILE%\Documents\GitHub\mrs-test-scripts\Headless Mode &amp; Sideloading\WalkAndUnGZ.bat" "%USERPROFILE%\AppData\Local\Temp\OnboardLogs"\RTDC4025\2017-11-28</v>
      </c>
      <c r="AF150" s="235" t="str">
        <f t="shared" si="57"/>
        <v>"C:\Program Files (x86)\AstroGrep\AstroGrep.exe" /e /r /s /spath="%USERPROFILE%\AppData\Local\Temp\OnboardLogs" /stypes="app*4025*20171128*" /stext=" 07:.+((SYSTEM_STATE.+slice.+state.+changed )|(ment ac)|(multiple cpu faults)|(system.+state.+changed )|(\[timeout)|(PRM\|1\|D)|(kpr)|(kdp)|(train st.+moving)|(\|lc)|(penalty))"</v>
      </c>
      <c r="AG150" s="245" t="str">
        <f t="shared" si="58"/>
        <v>EC</v>
      </c>
      <c r="AH150" s="237" t="str">
        <f t="shared" si="59"/>
        <v>"%USERPROFILE%\Documents\GitHub\eaglep3\Utilities\RefineRTDCRunTimes.py" --tripid 236-27 --locoid 4025 --swversion DE.1.0.9.0 --startMP 204:232932 --initTime 2017-11-27T23:21:53 --startdatetime 2017-11-27T23:27:19 --delay 67 --endMP 204:209 --enddatetime 2017-11-28T00:07:37 --enforcementcount 0 &gt;&gt;%USERPROFILE%\Documents\GitHub\eaglep3-reporting\EC\2017-11-27-refined-times.txt</v>
      </c>
      <c r="AI150" s="239" t="str">
        <f t="shared" si="60"/>
        <v>echo {"issue":{"subject":"Unhealthy @ Chambers due to train stop","project_id":79,"tracker_id":40,"status_id":1,"priority_id":2,"assigned_to_id":338,"start_date":"2017-11-28","description":"","custom_fields":[{"id":1,"name":"Subdivision","value":"EC"},{"id":4,"name":"Milepost","value":"0.0209"},{"id":17,"name":"Train ID","value":"236-27"},{"id":16,"name":"Locomotive ID","value":"4025"},{"id":130,"name":"Impact","value":""},{"id":150,"name":"Time of Event (Mountain Time)","value":"00:07:37"},{"id":151,"name":"Denver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4"/>
      <c r="AK150" s="232"/>
      <c r="AL150" s="232"/>
      <c r="AM150" s="241" t="str">
        <f t="shared" si="61"/>
        <v>start /low /b %USERPROFILE%\Documents\GitHub\eaglep3\Utilities\DownloadLogsFromS3.py --loco 4025 --day 2017-11-27</v>
      </c>
      <c r="AN150" s="242" t="str">
        <f t="shared" si="62"/>
        <v>echo {"issue":{"subject":"Unhealthy @ Chambers due to train stop","project_id":30,"tracker_id":4,"status_id":1,"priority_id":1,"assigned_to_id":10,"start_date":"2017-11-28","description":"","custom_fields":[{"id":30,"name":"Category","value":"Issue"},{"id":3,"name":"Functional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07:07:37"},{"id":29,"name":"Sharepoint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1" t="str">
        <f t="shared" si="63"/>
        <v>https://d0f6bd738d7f1b3e5a7ca70fe4ff75f0.us-east-1.aws.found.io/app/kibana#/discover/Steve-Slow-Train-Analysis-(2080s-and-2083s)?_g=(refreshInterval:(display:Off,pause:!f,section:0,value:0),time:(from:'2017-11-27T22:21:53-0700',mode:absolute,to:'2017-11-28T01:07:37-0700'))&amp;_a=(columns:!('Message%20ID',Summary),filters:!(),index:'emp_*',interval:auto,query:(query_string:(analyze_wildcard:!t,query:'%22rtdc.l.rtdc.4025%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230" t="s">
        <v>806</v>
      </c>
      <c r="B151" s="226">
        <v>4018</v>
      </c>
      <c r="C151" s="228" t="s">
        <v>192</v>
      </c>
      <c r="D151" s="228" t="s">
        <v>907</v>
      </c>
      <c r="E151" s="227">
        <v>43066.945138888892</v>
      </c>
      <c r="F151" s="227">
        <v>43066.958472222221</v>
      </c>
      <c r="G151" s="226">
        <v>57</v>
      </c>
      <c r="H151" s="228" t="s">
        <v>908</v>
      </c>
      <c r="I151" s="227">
        <v>43066.982754629629</v>
      </c>
      <c r="J151" s="226">
        <v>0</v>
      </c>
      <c r="K151" s="238" t="str">
        <f t="shared" si="47"/>
        <v>4017/4018</v>
      </c>
      <c r="L151" s="246" t="str">
        <f>VLOOKUP(A151,'Trips&amp;Operators'!$C$1:$G$99911,5,FALSE)</f>
        <v>ELBAUM MIKE</v>
      </c>
      <c r="M151" s="225">
        <f t="shared" si="48"/>
        <v>2.4282407408463769E-2</v>
      </c>
      <c r="N151" s="226">
        <f t="shared" si="64"/>
        <v>34.966666668187827</v>
      </c>
      <c r="O151" s="226"/>
      <c r="P151" s="226"/>
      <c r="Q151" s="229"/>
      <c r="R151" s="243"/>
      <c r="S151" s="250">
        <f t="shared" si="46"/>
        <v>1</v>
      </c>
      <c r="T151" s="243" t="str">
        <f t="shared" si="49"/>
        <v>NorthBound</v>
      </c>
      <c r="U151" s="24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9" t="str">
        <f t="shared" si="50"/>
        <v>https://d0f6bd738d7f1b3e5a7ca70fe4ff75f0.us-east-1.aws.found.io/app/kibana#/discover/Steve-Slow-Train-Analysis-(2080s-and-2083s)?_g=(refreshInterval:(display:Off,pause:!f,section:0,value:0),time:(from:'2017-11-27T21:41:00-0700',mode:absolute,to:'2017-11-28T00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1" s="248" t="str">
        <f>IF(AA151&lt;VLOOKUP(AG151,Variables!$AC$3:$AD$8,2,FALSE),"Y","N")</f>
        <v>N</v>
      </c>
      <c r="X151" s="248">
        <f t="shared" si="51"/>
        <v>1</v>
      </c>
      <c r="Y151" s="248">
        <f t="shared" si="52"/>
        <v>5.79E-2</v>
      </c>
      <c r="Z151" s="248">
        <f t="shared" si="53"/>
        <v>23.327200000000001</v>
      </c>
      <c r="AA151" s="248">
        <f t="shared" si="54"/>
        <v>23.269300000000001</v>
      </c>
      <c r="AB151" s="234" t="e">
        <f>VLOOKUP(A151,Enforcements!$C$7:$K$9,8,0)</f>
        <v>#N/A</v>
      </c>
      <c r="AC151" s="233" t="e">
        <f>VLOOKUP(A151,Enforcements!$C$7:$E$9,3,0)</f>
        <v>#N/A</v>
      </c>
      <c r="AD151" s="244">
        <f t="shared" si="55"/>
        <v>237</v>
      </c>
      <c r="AE151" s="236" t="str">
        <f t="shared" si="56"/>
        <v>aws s3 cp s3://rtdc.mdm.uploadarchive.raw/RTDC4018/ "%USERPROFILE%\AppData\Local\Temp\OnboardLogs"\RTDC4018\2017-11-27 --exclude "*" --recursive --include "*20171127*" &amp; "%USERPROFILE%\Documents\GitHub\mrs-test-scripts\Headless Mode &amp; Sideloading\WalkAndUnGZ.bat" "%USERPROFILE%\AppData\Local\Temp\OnboardLogs"\RTDC4018\2017-11-27 &amp; aws s3 cp s3://rtdc.mdm.uploadarchive.raw/RTDC4018/ "%USERPROFILE%\AppData\Local\Temp\OnboardLogs"\RTDC4018\2017-11-28 --exclude "*" --recursive --include "*20171128*" &amp; "%USERPROFILE%\Documents\GitHub\mrs-test-scripts\Headless Mode &amp; Sideloading\WalkAndUnGZ.bat" "%USERPROFILE%\AppData\Local\Temp\OnboardLogs"\RTDC4018\2017-11-28</v>
      </c>
      <c r="AF151" s="235" t="str">
        <f t="shared" si="57"/>
        <v>"C:\Program Files (x86)\AstroGrep\AstroGrep.exe" /e /r /s /spath="%USERPROFILE%\AppData\Local\Temp\OnboardLogs" /stypes="app*4018*20171128*" /stext=" 06:.+((SYSTEM_STATE.+slice.+state.+changed )|(ment ac)|(multiple cpu faults)|(system.+state.+changed )|(\[timeout)|(PRM\|1\|D)|(kpr)|(kdp)|(train st.+moving)|(\|lc)|(penalty))"</v>
      </c>
      <c r="AG151" s="245" t="str">
        <f t="shared" si="58"/>
        <v>EC</v>
      </c>
      <c r="AH151" s="237" t="str">
        <f t="shared" si="59"/>
        <v>"%USERPROFILE%\Documents\GitHub\eaglep3\Utilities\RefineRTDCRunTimes.py" --tripid 237-27 --locoid 4018 --swversion DE.1.0.9.0 --startMP 204:579 --initTime 2017-11-27T22:41:00 --startdatetime 2017-11-27T23:00:12 --delay 57 --endMP 204:233272 --enddatetime 2017-11-27T23:35:10 --enforcementcount 0 &gt;&gt;%USERPROFILE%\Documents\GitHub\eaglep3-reporting\EC\2017-11-27-refined-times.txt</v>
      </c>
      <c r="AI151" s="239" t="str">
        <f t="shared" si="60"/>
        <v>echo {"issue":{"subject":"","project_id":79,"tracker_id":40,"status_id":1,"priority_id":2,"assigned_to_id":338,"start_date":"2017-11-27","description":"","custom_fields":[{"id":1,"name":"Subdivision","value":"EC"},{"id":4,"name":"Milepost","value":"23.3272"},{"id":17,"name":"Train ID","value":"237-27"},{"id":16,"name":"Locomotive ID","value":"4018"},{"id":130,"name":"Impact","value":""},{"id":150,"name":"Time of Event (Mountain Time)","value":"23:35:10"},{"id":151,"name":"Denver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4"/>
      <c r="AK151" s="232"/>
      <c r="AL151" s="232"/>
      <c r="AM151" s="241" t="str">
        <f t="shared" si="61"/>
        <v>start /low /b %USERPROFILE%\Documents\GitHub\eaglep3\Utilities\DownloadLogsFromS3.py --loco 4018 --day 2017-11-27</v>
      </c>
      <c r="AN151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06:35:10"},{"id":29,"name":"Sharepoint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1" t="str">
        <f t="shared" si="63"/>
        <v>https://d0f6bd738d7f1b3e5a7ca70fe4ff75f0.us-east-1.aws.found.io/app/kibana#/discover/Steve-Slow-Train-Analysis-(2080s-and-2083s)?_g=(refreshInterval:(display:Off,pause:!f,section:0,value:0),time:(from:'2017-11-27T21:41:00-0700',mode:absolute,to:'2017-11-28T00:35:10-0700'))&amp;_a=(columns:!('Message%20ID',Summary),filters:!(),index:'emp_*',interval:auto,query:(query_string:(analyze_wildcard:!t,query:'%22rtdc.l.rtdc.4018%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30" t="s">
        <v>812</v>
      </c>
      <c r="B152" s="226">
        <v>4017</v>
      </c>
      <c r="C152" s="228" t="s">
        <v>192</v>
      </c>
      <c r="D152" s="228" t="s">
        <v>902</v>
      </c>
      <c r="E152" s="227">
        <v>43066.986597222225</v>
      </c>
      <c r="F152" s="227">
        <v>43066.998055555552</v>
      </c>
      <c r="G152" s="226">
        <v>54</v>
      </c>
      <c r="H152" s="228" t="s">
        <v>898</v>
      </c>
      <c r="I152" s="227">
        <v>43067.023912037039</v>
      </c>
      <c r="J152" s="226">
        <v>0</v>
      </c>
      <c r="K152" s="238" t="str">
        <f t="shared" si="47"/>
        <v>4017/4018</v>
      </c>
      <c r="L152" s="246" t="str">
        <f>VLOOKUP(A152,'Trips&amp;Operators'!$C$1:$G$99911,5,FALSE)</f>
        <v>ELBAUM MIKE</v>
      </c>
      <c r="M152" s="225">
        <f t="shared" si="48"/>
        <v>2.5856481486698613E-2</v>
      </c>
      <c r="N152" s="226">
        <f t="shared" si="64"/>
        <v>37.233333340846002</v>
      </c>
      <c r="O152" s="226"/>
      <c r="P152" s="226"/>
      <c r="Q152" s="229"/>
      <c r="R152" s="243"/>
      <c r="S152" s="250">
        <f t="shared" si="46"/>
        <v>1</v>
      </c>
      <c r="T152" s="243" t="str">
        <f t="shared" si="49"/>
        <v>Southbound</v>
      </c>
      <c r="U152" s="24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9" t="str">
        <f t="shared" si="50"/>
        <v>https://d0f6bd738d7f1b3e5a7ca70fe4ff75f0.us-east-1.aws.found.io/app/kibana#/discover/Steve-Slow-Train-Analysis-(2080s-and-2083s)?_g=(refreshInterval:(display:Off,pause:!f,section:0,value:0),time:(from:'2017-11-27T22:40:42-0700',mode:absolute,to:'2017-11-28T01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2" s="248" t="str">
        <f>IF(AA152&lt;VLOOKUP(AG152,Variables!$AC$3:$AD$8,2,FALSE),"Y","N")</f>
        <v>N</v>
      </c>
      <c r="X152" s="248">
        <f t="shared" si="51"/>
        <v>1</v>
      </c>
      <c r="Y152" s="248">
        <f t="shared" si="52"/>
        <v>23.295100000000001</v>
      </c>
      <c r="Z152" s="248">
        <f t="shared" si="53"/>
        <v>2.63E-2</v>
      </c>
      <c r="AA152" s="248">
        <f t="shared" si="54"/>
        <v>23.268800000000002</v>
      </c>
      <c r="AB152" s="234" t="e">
        <f>VLOOKUP(A152,Enforcements!$C$7:$K$9,8,0)</f>
        <v>#N/A</v>
      </c>
      <c r="AC152" s="233" t="e">
        <f>VLOOKUP(A152,Enforcements!$C$7:$E$9,3,0)</f>
        <v>#N/A</v>
      </c>
      <c r="AD152" s="244">
        <f t="shared" si="55"/>
        <v>238</v>
      </c>
      <c r="AE152" s="236" t="str">
        <f t="shared" si="56"/>
        <v>aws s3 cp s3://rtdc.mdm.uploadarchive.raw/RTDC4017/ "%USERPROFILE%\AppData\Local\Temp\OnboardLogs"\RTDC4017\2017-11-27 --exclude "*" --recursive --include "*20171127*" &amp; "%USERPROFILE%\Documents\GitHub\mrs-test-scripts\Headless Mode &amp; Sideloading\WalkAndUnGZ.bat" "%USERPROFILE%\AppData\Local\Temp\OnboardLogs"\RTDC4017\2017-11-27 &amp; aws s3 cp s3://rtdc.mdm.uploadarchive.raw/RTDC4017/ "%USERPROFILE%\AppData\Local\Temp\OnboardLogs"\RTDC4017\2017-11-28 --exclude "*" --recursive --include "*20171128*" &amp; "%USERPROFILE%\Documents\GitHub\mrs-test-scripts\Headless Mode &amp; Sideloading\WalkAndUnGZ.bat" "%USERPROFILE%\AppData\Local\Temp\OnboardLogs"\RTDC4017\2017-11-28</v>
      </c>
      <c r="AF152" s="235" t="str">
        <f t="shared" si="57"/>
        <v>"C:\Program Files (x86)\AstroGrep\AstroGrep.exe" /e /r /s /spath="%USERPROFILE%\AppData\Local\Temp\OnboardLogs" /stypes="app*4017*20171128*" /stext=" 07:.+((SYSTEM_STATE.+slice.+state.+changed )|(ment ac)|(multiple cpu faults)|(system.+state.+changed )|(\[timeout)|(PRM\|1\|D)|(kpr)|(kdp)|(train st.+moving)|(\|lc)|(penalty))"</v>
      </c>
      <c r="AG152" s="245" t="str">
        <f t="shared" si="58"/>
        <v>EC</v>
      </c>
      <c r="AH152" s="237" t="str">
        <f t="shared" si="59"/>
        <v>"%USERPROFILE%\Documents\GitHub\eaglep3\Utilities\RefineRTDCRunTimes.py" --tripid 238-27 --locoid 4017 --swversion DE.1.0.9.0 --startMP 204:232951 --initTime 2017-11-27T23:40:42 --startdatetime 2017-11-27T23:57:12 --delay 54 --endMP 204:263 --enddatetime 2017-11-28T00:34:26 --enforcementcount 0 &gt;&gt;%USERPROFILE%\Documents\GitHub\eaglep3-reporting\EC\2017-11-27-refined-times.txt</v>
      </c>
      <c r="AI152" s="239" t="str">
        <f t="shared" si="60"/>
        <v>echo {"issue":{"subject":"","project_id":79,"tracker_id":40,"status_id":1,"priority_id":2,"assigned_to_id":338,"start_date":"2017-11-28","description":"","custom_fields":[{"id":1,"name":"Subdivision","value":"EC"},{"id":4,"name":"Milepost","value":"0.0263"},{"id":17,"name":"Train ID","value":"238-27"},{"id":16,"name":"Locomotive ID","value":"4017"},{"id":130,"name":"Impact","value":""},{"id":150,"name":"Time of Event (Mountain Time)","value":"00:34:26"},{"id":151,"name":"Denver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4"/>
      <c r="AK152" s="232"/>
      <c r="AL152" s="232"/>
      <c r="AM152" s="241" t="str">
        <f t="shared" si="61"/>
        <v>start /low /b %USERPROFILE%\Documents\GitHub\eaglep3\Utilities\DownloadLogsFromS3.py --loco 4017 --day 2017-11-27</v>
      </c>
      <c r="AN152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07:34:26"},{"id":29,"name":"Sharepoint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1" t="str">
        <f t="shared" si="63"/>
        <v>https://d0f6bd738d7f1b3e5a7ca70fe4ff75f0.us-east-1.aws.found.io/app/kibana#/discover/Steve-Slow-Train-Analysis-(2080s-and-2083s)?_g=(refreshInterval:(display:Off,pause:!f,section:0,value:0),time:(from:'2017-11-27T22:40:42-0700',mode:absolute,to:'2017-11-28T01:34:26-0700'))&amp;_a=(columns:!('Message%20ID',Summary),filters:!(),index:'emp_*',interval:auto,query:(query_string:(analyze_wildcard:!t,query:'%22rtdc.l.rtdc.4017%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230" t="s">
        <v>809</v>
      </c>
      <c r="B153" s="226">
        <v>4022</v>
      </c>
      <c r="C153" s="228" t="s">
        <v>192</v>
      </c>
      <c r="D153" s="228" t="s">
        <v>909</v>
      </c>
      <c r="E153" s="227">
        <v>43066.968518518515</v>
      </c>
      <c r="F153" s="227">
        <v>43066.979537037034</v>
      </c>
      <c r="G153" s="226">
        <v>63</v>
      </c>
      <c r="H153" s="228" t="s">
        <v>838</v>
      </c>
      <c r="I153" s="227">
        <v>43067.003483796296</v>
      </c>
      <c r="J153" s="226">
        <v>0</v>
      </c>
      <c r="K153" s="238" t="str">
        <f t="shared" si="47"/>
        <v>4021/4022</v>
      </c>
      <c r="L153" s="246" t="str">
        <f>VLOOKUP(A153,'Trips&amp;Operators'!$C$1:$G$99911,5,FALSE)</f>
        <v>LOZA FIDEL</v>
      </c>
      <c r="M153" s="225">
        <f t="shared" si="48"/>
        <v>2.3946759261889383E-2</v>
      </c>
      <c r="N153" s="226">
        <f t="shared" si="64"/>
        <v>34.483333337120712</v>
      </c>
      <c r="O153" s="226"/>
      <c r="P153" s="226"/>
      <c r="Q153" s="229"/>
      <c r="R153" s="243"/>
      <c r="S153" s="250">
        <f t="shared" ref="S153:S184" si="65">1/IF(AG153="EC",12,1)*SUM(U153:U153)</f>
        <v>1</v>
      </c>
      <c r="T153" s="243" t="str">
        <f t="shared" si="49"/>
        <v>NorthBound</v>
      </c>
      <c r="U153" s="24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9" t="str">
        <f t="shared" si="50"/>
        <v>https://d0f6bd738d7f1b3e5a7ca70fe4ff75f0.us-east-1.aws.found.io/app/kibana#/discover/Steve-Slow-Train-Analysis-(2080s-and-2083s)?_g=(refreshInterval:(display:Off,pause:!f,section:0,value:0),time:(from:'2017-11-27T22:14:40-0700',mode:absolute,to:'2017-11-28T01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3" s="248" t="str">
        <f>IF(AA153&lt;VLOOKUP(AG153,Variables!$AC$3:$AD$8,2,FALSE),"Y","N")</f>
        <v>N</v>
      </c>
      <c r="X153" s="248">
        <f t="shared" si="51"/>
        <v>1</v>
      </c>
      <c r="Y153" s="248">
        <f t="shared" si="52"/>
        <v>5.5899999999999998E-2</v>
      </c>
      <c r="Z153" s="248">
        <f t="shared" si="53"/>
        <v>23.326799999999999</v>
      </c>
      <c r="AA153" s="248">
        <f t="shared" si="54"/>
        <v>23.270899999999997</v>
      </c>
      <c r="AB153" s="234" t="e">
        <f>VLOOKUP(A153,Enforcements!$C$7:$K$9,8,0)</f>
        <v>#N/A</v>
      </c>
      <c r="AC153" s="233" t="e">
        <f>VLOOKUP(A153,Enforcements!$C$7:$E$9,3,0)</f>
        <v>#N/A</v>
      </c>
      <c r="AD153" s="244">
        <f t="shared" si="55"/>
        <v>239</v>
      </c>
      <c r="AE153" s="236" t="str">
        <f t="shared" si="56"/>
        <v>aws s3 cp s3://rtdc.mdm.uploadarchive.raw/RTDC4022/ "%USERPROFILE%\AppData\Local\Temp\OnboardLogs"\RTDC4022\2017-11-27 --exclude "*" --recursive --include "*20171127*" &amp; "%USERPROFILE%\Documents\GitHub\mrs-test-scripts\Headless Mode &amp; Sideloading\WalkAndUnGZ.bat" "%USERPROFILE%\AppData\Local\Temp\OnboardLogs"\RTDC4022\2017-11-27 &amp; aws s3 cp s3://rtdc.mdm.uploadarchive.raw/RTDC4022/ "%USERPROFILE%\AppData\Local\Temp\OnboardLogs"\RTDC4022\2017-11-28 --exclude "*" --recursive --include "*20171128*" &amp; "%USERPROFILE%\Documents\GitHub\mrs-test-scripts\Headless Mode &amp; Sideloading\WalkAndUnGZ.bat" "%USERPROFILE%\AppData\Local\Temp\OnboardLogs"\RTDC4022\2017-11-28</v>
      </c>
      <c r="AF153" s="235" t="str">
        <f t="shared" si="57"/>
        <v>"C:\Program Files (x86)\AstroGrep\AstroGrep.exe" /e /r /s /spath="%USERPROFILE%\AppData\Local\Temp\OnboardLogs" /stypes="app*4022*20171128*" /stext=" 07:.+((SYSTEM_STATE.+slice.+state.+changed )|(ment ac)|(multiple cpu faults)|(system.+state.+changed )|(\[timeout)|(PRM\|1\|D)|(kpr)|(kdp)|(train st.+moving)|(\|lc)|(penalty))"</v>
      </c>
      <c r="AG153" s="245" t="str">
        <f t="shared" si="58"/>
        <v>EC</v>
      </c>
      <c r="AH153" s="237" t="str">
        <f t="shared" si="59"/>
        <v>"%USERPROFILE%\Documents\GitHub\eaglep3\Utilities\RefineRTDCRunTimes.py" --tripid 239-27 --locoid 4022 --swversion DE.1.0.9.0 --startMP 204:559 --initTime 2017-11-27T23:14:40 --startdatetime 2017-11-27T23:30:32 --delay 63 --endMP 204:233268 --enddatetime 2017-11-28T00:05:01 --enforcementcount 0 &gt;&gt;%USERPROFILE%\Documents\GitHub\eaglep3-reporting\EC\2017-11-27-refined-times.txt</v>
      </c>
      <c r="AI153" s="239" t="str">
        <f t="shared" si="60"/>
        <v>echo {"issue":{"subject":"","project_id":79,"tracker_id":40,"status_id":1,"priority_id":2,"assigned_to_id":338,"start_date":"2017-11-28","description":"","custom_fields":[{"id":1,"name":"Subdivision","value":"EC"},{"id":4,"name":"Milepost","value":"23.3268"},{"id":17,"name":"Train ID","value":"239-27"},{"id":16,"name":"Locomotive ID","value":"4022"},{"id":130,"name":"Impact","value":""},{"id":150,"name":"Time of Event (Mountain Time)","value":"00:05:01"},{"id":151,"name":"Denver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4"/>
      <c r="AK153" s="232"/>
      <c r="AL153" s="232"/>
      <c r="AM153" s="241" t="str">
        <f t="shared" si="61"/>
        <v>start /low /b %USERPROFILE%\Documents\GitHub\eaglep3\Utilities\DownloadLogsFromS3.py --loco 4022 --day 2017-11-27</v>
      </c>
      <c r="AN153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07:05:01"},{"id":29,"name":"Sharepoint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1" t="str">
        <f t="shared" si="63"/>
        <v>https://d0f6bd738d7f1b3e5a7ca70fe4ff75f0.us-east-1.aws.found.io/app/kibana#/discover/Steve-Slow-Train-Analysis-(2080s-and-2083s)?_g=(refreshInterval:(display:Off,pause:!f,section:0,value:0),time:(from:'2017-11-27T22:14:40-0700',mode:absolute,to:'2017-11-28T01:05:01-0700'))&amp;_a=(columns:!('Message%20ID',Summary),filters:!(),index:'emp_*',interval:auto,query:(query_string:(analyze_wildcard:!t,query:'%22rtdc.l.rtdc.4022%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30" t="s">
        <v>814</v>
      </c>
      <c r="B154" s="226">
        <v>4021</v>
      </c>
      <c r="C154" s="228" t="s">
        <v>192</v>
      </c>
      <c r="D154" s="228" t="s">
        <v>496</v>
      </c>
      <c r="E154" s="227">
        <v>43067.015289351853</v>
      </c>
      <c r="F154" s="227">
        <v>43067.01898148148</v>
      </c>
      <c r="G154" s="226">
        <v>85</v>
      </c>
      <c r="H154" s="228" t="s">
        <v>479</v>
      </c>
      <c r="I154" s="227">
        <v>43067.044456018521</v>
      </c>
      <c r="J154" s="226">
        <v>0</v>
      </c>
      <c r="K154" s="238" t="str">
        <f t="shared" si="47"/>
        <v>4021/4022</v>
      </c>
      <c r="L154" s="246" t="str">
        <f>VLOOKUP(A154,'Trips&amp;Operators'!$C$1:$G$99911,5,FALSE)</f>
        <v>LOZA FIDEL</v>
      </c>
      <c r="M154" s="225">
        <f t="shared" si="48"/>
        <v>2.5474537040281575E-2</v>
      </c>
      <c r="N154" s="226">
        <f t="shared" si="64"/>
        <v>36.683333338005468</v>
      </c>
      <c r="O154" s="226"/>
      <c r="P154" s="226"/>
      <c r="Q154" s="229"/>
      <c r="R154" s="243"/>
      <c r="S154" s="250">
        <f t="shared" si="65"/>
        <v>1</v>
      </c>
      <c r="T154" s="243" t="str">
        <f t="shared" si="49"/>
        <v>Southbound</v>
      </c>
      <c r="U154" s="24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9" t="str">
        <f t="shared" si="50"/>
        <v>https://d0f6bd738d7f1b3e5a7ca70fe4ff75f0.us-east-1.aws.found.io/app/kibana#/discover/Steve-Slow-Train-Analysis-(2080s-and-2083s)?_g=(refreshInterval:(display:Off,pause:!f,section:0,value:0),time:(from:'2017-11-27T23:22:01-0700',mode:absolute,to:'2017-11-28T02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4" s="248" t="str">
        <f>IF(AA154&lt;VLOOKUP(AG154,Variables!$AC$3:$AD$8,2,FALSE),"Y","N")</f>
        <v>N</v>
      </c>
      <c r="X154" s="248">
        <f t="shared" si="51"/>
        <v>1</v>
      </c>
      <c r="Y154" s="248">
        <f t="shared" si="52"/>
        <v>23.294699999999999</v>
      </c>
      <c r="Z154" s="248">
        <f t="shared" si="53"/>
        <v>2.29E-2</v>
      </c>
      <c r="AA154" s="248">
        <f t="shared" si="54"/>
        <v>23.271799999999999</v>
      </c>
      <c r="AB154" s="234" t="e">
        <f>VLOOKUP(A154,Enforcements!$C$7:$K$9,8,0)</f>
        <v>#N/A</v>
      </c>
      <c r="AC154" s="233" t="e">
        <f>VLOOKUP(A154,Enforcements!$C$7:$E$9,3,0)</f>
        <v>#N/A</v>
      </c>
      <c r="AD154" s="244">
        <f t="shared" si="55"/>
        <v>240</v>
      </c>
      <c r="AE154" s="236" t="str">
        <f t="shared" si="56"/>
        <v>aws s3 cp s3://rtdc.mdm.uploadarchive.raw/RTDC4021/ "%USERPROFILE%\AppData\Local\Temp\OnboardLogs"\RTDC4021\2017-11-28 --exclude "*" --recursive --include "*20171128*" &amp; "%USERPROFILE%\Documents\GitHub\mrs-test-scripts\Headless Mode &amp; Sideloading\WalkAndUnGZ.bat" "%USERPROFILE%\AppData\Local\Temp\OnboardLogs"\RTDC4021\2017-11-28 &amp; aws s3 cp s3://rtdc.mdm.uploadarchive.raw/RTDC4021/ "%USERPROFILE%\AppData\Local\Temp\OnboardLogs"\RTDC4021\2017-11-29 --exclude "*" --recursive --include "*20171129*" &amp; "%USERPROFILE%\Documents\GitHub\mrs-test-scripts\Headless Mode &amp; Sideloading\WalkAndUnGZ.bat" "%USERPROFILE%\AppData\Local\Temp\OnboardLogs"\RTDC4021\2017-11-29</v>
      </c>
      <c r="AF154" s="235" t="str">
        <f t="shared" si="57"/>
        <v>"C:\Program Files (x86)\AstroGrep\AstroGrep.exe" /e /r /s /spath="%USERPROFILE%\AppData\Local\Temp\OnboardLogs" /stypes="app*4021*20171128*" /stext=" 08:.+((SYSTEM_STATE.+slice.+state.+changed )|(ment ac)|(multiple cpu faults)|(system.+state.+changed )|(\[timeout)|(PRM\|1\|D)|(kpr)|(kdp)|(train st.+moving)|(\|lc)|(penalty))"</v>
      </c>
      <c r="AG154" s="245" t="str">
        <f t="shared" si="58"/>
        <v>EC</v>
      </c>
      <c r="AH154" s="237" t="str">
        <f t="shared" si="59"/>
        <v>"%USERPROFILE%\Documents\GitHub\eaglep3\Utilities\RefineRTDCRunTimes.py" --tripid 240-27 --locoid 4021 --swversion DE.1.0.9.0 --startMP 204:232947 --initTime 2017-11-28T00:22:01 --startdatetime 2017-11-28T00:27:20 --delay 85 --endMP 204:229 --enddatetime 2017-11-28T01:04:01 --enforcementcount 0 &gt;&gt;%USERPROFILE%\Documents\GitHub\eaglep3-reporting\EC\2017-11-27-refined-times.txt</v>
      </c>
      <c r="AI154" s="239" t="str">
        <f t="shared" si="60"/>
        <v>echo {"issue":{"subject":"","project_id":79,"tracker_id":40,"status_id":1,"priority_id":2,"assigned_to_id":338,"start_date":"2017-11-28","description":"","custom_fields":[{"id":1,"name":"Subdivision","value":"EC"},{"id":4,"name":"Milepost","value":"0.0229"},{"id":17,"name":"Train ID","value":"240-27"},{"id":16,"name":"Locomotive ID","value":"4021"},{"id":130,"name":"Impact","value":""},{"id":150,"name":"Time of Event (Mountain Time)","value":"01:04:01"},{"id":151,"name":"Denver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4"/>
      <c r="AK154" s="232"/>
      <c r="AL154" s="232"/>
      <c r="AM154" s="241" t="str">
        <f t="shared" si="61"/>
        <v>start /low /b %USERPROFILE%\Documents\GitHub\eaglep3\Utilities\DownloadLogsFromS3.py --loco 4021 --day 2017-11-28</v>
      </c>
      <c r="AN154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08:04:01"},{"id":29,"name":"Sharepoint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1" t="str">
        <f t="shared" si="63"/>
        <v>https://d0f6bd738d7f1b3e5a7ca70fe4ff75f0.us-east-1.aws.found.io/app/kibana#/discover/Steve-Slow-Train-Analysis-(2080s-and-2083s)?_g=(refreshInterval:(display:Off,pause:!f,section:0,value:0),time:(from:'2017-11-27T23:22:01-0700',mode:absolute,to:'2017-11-28T02:04:01-0700'))&amp;_a=(columns:!('Message%20ID',Summary),filters:!(),index:'emp_*',interval:auto,query:(query_string:(analyze_wildcard:!t,query:'%22rtdc.l.rtdc.4021%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30" t="s">
        <v>813</v>
      </c>
      <c r="B155" s="226">
        <v>4044</v>
      </c>
      <c r="C155" s="228" t="s">
        <v>192</v>
      </c>
      <c r="D155" s="228" t="s">
        <v>573</v>
      </c>
      <c r="E155" s="227">
        <v>43066.991979166669</v>
      </c>
      <c r="F155" s="227">
        <v>43067.000277777777</v>
      </c>
      <c r="G155" s="226">
        <v>86</v>
      </c>
      <c r="H155" s="228" t="s">
        <v>532</v>
      </c>
      <c r="I155" s="227">
        <v>43067.024976851855</v>
      </c>
      <c r="J155" s="226">
        <v>0</v>
      </c>
      <c r="K155" s="238" t="str">
        <f t="shared" si="47"/>
        <v>4043/4044</v>
      </c>
      <c r="L155" s="246" t="str">
        <f>VLOOKUP(A155,'Trips&amp;Operators'!$C$1:$G$99911,5,FALSE)</f>
        <v>RESPASS AARON</v>
      </c>
      <c r="M155" s="225">
        <f t="shared" si="48"/>
        <v>2.4699074077943806E-2</v>
      </c>
      <c r="N155" s="226">
        <f t="shared" si="64"/>
        <v>35.56666667223908</v>
      </c>
      <c r="O155" s="226"/>
      <c r="P155" s="226"/>
      <c r="Q155" s="229"/>
      <c r="R155" s="243"/>
      <c r="S155" s="250">
        <f t="shared" si="65"/>
        <v>1</v>
      </c>
      <c r="T155" s="243" t="str">
        <f t="shared" si="49"/>
        <v>NorthBound</v>
      </c>
      <c r="U155" s="24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9" t="str">
        <f t="shared" si="50"/>
        <v>https://d0f6bd738d7f1b3e5a7ca70fe4ff75f0.us-east-1.aws.found.io/app/kibana#/discover/Steve-Slow-Train-Analysis-(2080s-and-2083s)?_g=(refreshInterval:(display:Off,pause:!f,section:0,value:0),time:(from:'2017-11-27T22:48:27-0700',mode:absolute,to:'2017-11-28T01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5" s="248" t="str">
        <f>IF(AA155&lt;VLOOKUP(AG155,Variables!$AC$3:$AD$8,2,FALSE),"Y","N")</f>
        <v>N</v>
      </c>
      <c r="X155" s="248">
        <f t="shared" si="51"/>
        <v>1</v>
      </c>
      <c r="Y155" s="248">
        <f t="shared" si="52"/>
        <v>5.7000000000000002E-2</v>
      </c>
      <c r="Z155" s="248">
        <f t="shared" si="53"/>
        <v>23.3263</v>
      </c>
      <c r="AA155" s="248">
        <f t="shared" si="54"/>
        <v>23.269300000000001</v>
      </c>
      <c r="AB155" s="234" t="e">
        <f>VLOOKUP(A155,Enforcements!$C$7:$K$9,8,0)</f>
        <v>#N/A</v>
      </c>
      <c r="AC155" s="233" t="e">
        <f>VLOOKUP(A155,Enforcements!$C$7:$E$9,3,0)</f>
        <v>#N/A</v>
      </c>
      <c r="AD155" s="244">
        <f t="shared" si="55"/>
        <v>241</v>
      </c>
      <c r="AE155" s="236" t="str">
        <f t="shared" si="56"/>
        <v>aws s3 cp s3://rtdc.mdm.uploadarchive.raw/RTDC4044/ "%USERPROFILE%\AppData\Local\Temp\OnboardLogs"\RTDC4044\2017-11-28 --exclude "*" --recursive --include "*20171128*" &amp; "%USERPROFILE%\Documents\GitHub\mrs-test-scripts\Headless Mode &amp; Sideloading\WalkAndUnGZ.bat" "%USERPROFILE%\AppData\Local\Temp\OnboardLogs"\RTDC4044\2017-11-28 &amp; aws s3 cp s3://rtdc.mdm.uploadarchive.raw/RTDC4044/ "%USERPROFILE%\AppData\Local\Temp\OnboardLogs"\RTDC4044\2017-11-29 --exclude "*" --recursive --include "*20171129*" &amp; "%USERPROFILE%\Documents\GitHub\mrs-test-scripts\Headless Mode &amp; Sideloading\WalkAndUnGZ.bat" "%USERPROFILE%\AppData\Local\Temp\OnboardLogs"\RTDC4044\2017-11-29</v>
      </c>
      <c r="AF155" s="235" t="str">
        <f t="shared" si="57"/>
        <v>"C:\Program Files (x86)\AstroGrep\AstroGrep.exe" /e /r /s /spath="%USERPROFILE%\AppData\Local\Temp\OnboardLogs" /stypes="app*4044*20171128*" /stext=" 07:.+((SYSTEM_STATE.+slice.+state.+changed )|(ment ac)|(multiple cpu faults)|(system.+state.+changed )|(\[timeout)|(PRM\|1\|D)|(kpr)|(kdp)|(train st.+moving)|(\|lc)|(penalty))"</v>
      </c>
      <c r="AG155" s="245" t="str">
        <f t="shared" si="58"/>
        <v>EC</v>
      </c>
      <c r="AH155" s="237" t="str">
        <f t="shared" si="59"/>
        <v>"%USERPROFILE%\Documents\GitHub\eaglep3\Utilities\RefineRTDCRunTimes.py" --tripid 241-27 --locoid 4044 --swversion DE.1.0.9.0 --startMP 204:570 --initTime 2017-11-27T23:48:27 --startdatetime 2017-11-28T00:00:24 --delay 86 --endMP 204:233263 --enddatetime 2017-11-28T00:35:58 --enforcementcount 0 &gt;&gt;%USERPROFILE%\Documents\GitHub\eaglep3-reporting\EC\2017-11-27-refined-times.txt</v>
      </c>
      <c r="AI155" s="239" t="str">
        <f t="shared" si="60"/>
        <v>echo {"issue":{"subject":"","project_id":79,"tracker_id":40,"status_id":1,"priority_id":2,"assigned_to_id":338,"start_date":"2017-11-28","description":"","custom_fields":[{"id":1,"name":"Subdivision","value":"EC"},{"id":4,"name":"Milepost","value":"23.3263"},{"id":17,"name":"Train ID","value":"241-27"},{"id":16,"name":"Locomotive ID","value":"4044"},{"id":130,"name":"Impact","value":""},{"id":150,"name":"Time of Event (Mountain Time)","value":"00:35:58"},{"id":151,"name":"Denver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4"/>
      <c r="AK155" s="232"/>
      <c r="AL155" s="232"/>
      <c r="AM155" s="241" t="str">
        <f t="shared" si="61"/>
        <v>start /low /b %USERPROFILE%\Documents\GitHub\eaglep3\Utilities\DownloadLogsFromS3.py --loco 4044 --day 2017-11-28</v>
      </c>
      <c r="AN155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07:35:58"},{"id":29,"name":"Sharepoint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1" t="str">
        <f t="shared" si="63"/>
        <v>https://d0f6bd738d7f1b3e5a7ca70fe4ff75f0.us-east-1.aws.found.io/app/kibana#/discover/Steve-Slow-Train-Analysis-(2080s-and-2083s)?_g=(refreshInterval:(display:Off,pause:!f,section:0,value:0),time:(from:'2017-11-27T22:48:27-0700',mode:absolute,to:'2017-11-28T01:35:58-0700'))&amp;_a=(columns:!('Message%20ID',Summary),filters:!(),index:'emp_*',interval:auto,query:(query_string:(analyze_wildcard:!t,query:'%22rtdc.l.rtdc.4044%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4" customFormat="1" x14ac:dyDescent="0.25">
      <c r="A156" s="230" t="s">
        <v>817</v>
      </c>
      <c r="B156" s="226">
        <v>4043</v>
      </c>
      <c r="C156" s="228" t="s">
        <v>192</v>
      </c>
      <c r="D156" s="228" t="s">
        <v>902</v>
      </c>
      <c r="E156" s="227">
        <v>43067.034375000003</v>
      </c>
      <c r="F156" s="227">
        <v>43067.039895833332</v>
      </c>
      <c r="G156" s="226">
        <v>104</v>
      </c>
      <c r="H156" s="228" t="s">
        <v>893</v>
      </c>
      <c r="I156" s="227">
        <v>43067.065138888887</v>
      </c>
      <c r="J156" s="226">
        <v>0</v>
      </c>
      <c r="K156" s="238" t="str">
        <f t="shared" si="47"/>
        <v>4043/4044</v>
      </c>
      <c r="L156" s="246" t="str">
        <f>VLOOKUP(A156,'Trips&amp;Operators'!$C$1:$G$99911,5,FALSE)</f>
        <v>RESPASS AARON</v>
      </c>
      <c r="M156" s="225">
        <f t="shared" si="48"/>
        <v>2.5243055555620231E-2</v>
      </c>
      <c r="N156" s="226">
        <f t="shared" si="64"/>
        <v>36.350000000093132</v>
      </c>
      <c r="O156" s="226"/>
      <c r="P156" s="226"/>
      <c r="Q156" s="229"/>
      <c r="R156" s="243"/>
      <c r="S156" s="250">
        <f t="shared" si="65"/>
        <v>1</v>
      </c>
      <c r="T156" s="243" t="str">
        <f t="shared" si="49"/>
        <v>Southbound</v>
      </c>
      <c r="U156" s="24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9" t="str">
        <f t="shared" si="50"/>
        <v>https://d0f6bd738d7f1b3e5a7ca70fe4ff75f0.us-east-1.aws.found.io/app/kibana#/discover/Steve-Slow-Train-Analysis-(2080s-and-2083s)?_g=(refreshInterval:(display:Off,pause:!f,section:0,value:0),time:(from:'2017-11-27T23:49:30-0700',mode:absolute,to:'2017-11-28T02:33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6" s="248" t="str">
        <f>IF(AA156&lt;VLOOKUP(AG156,Variables!$AC$3:$AD$8,2,FALSE),"Y","N")</f>
        <v>N</v>
      </c>
      <c r="X156" s="248">
        <f t="shared" si="51"/>
        <v>1</v>
      </c>
      <c r="Y156" s="248">
        <f t="shared" si="52"/>
        <v>23.295100000000001</v>
      </c>
      <c r="Z156" s="248">
        <f t="shared" si="53"/>
        <v>2.6700000000000002E-2</v>
      </c>
      <c r="AA156" s="248">
        <f t="shared" si="54"/>
        <v>23.2684</v>
      </c>
      <c r="AB156" s="234" t="e">
        <f>VLOOKUP(A156,Enforcements!$C$7:$K$9,8,0)</f>
        <v>#N/A</v>
      </c>
      <c r="AC156" s="233" t="e">
        <f>VLOOKUP(A156,Enforcements!$C$7:$E$9,3,0)</f>
        <v>#N/A</v>
      </c>
      <c r="AD156" s="244">
        <f t="shared" si="55"/>
        <v>242</v>
      </c>
      <c r="AE156" s="236" t="str">
        <f t="shared" si="56"/>
        <v>aws s3 cp s3://rtdc.mdm.uploadarchive.raw/RTDC4043/ "%USERPROFILE%\AppData\Local\Temp\OnboardLogs"\RTDC4043\2017-11-28 --exclude "*" --recursive --include "*20171128*" &amp; "%USERPROFILE%\Documents\GitHub\mrs-test-scripts\Headless Mode &amp; Sideloading\WalkAndUnGZ.bat" "%USERPROFILE%\AppData\Local\Temp\OnboardLogs"\RTDC4043\2017-11-28 &amp; aws s3 cp s3://rtdc.mdm.uploadarchive.raw/RTDC4043/ "%USERPROFILE%\AppData\Local\Temp\OnboardLogs"\RTDC4043\2017-11-29 --exclude "*" --recursive --include "*20171129*" &amp; "%USERPROFILE%\Documents\GitHub\mrs-test-scripts\Headless Mode &amp; Sideloading\WalkAndUnGZ.bat" "%USERPROFILE%\AppData\Local\Temp\OnboardLogs"\RTDC4043\2017-11-29</v>
      </c>
      <c r="AF156" s="235" t="str">
        <f t="shared" si="57"/>
        <v>"C:\Program Files (x86)\AstroGrep\AstroGrep.exe" /e /r /s /spath="%USERPROFILE%\AppData\Local\Temp\OnboardLogs" /stypes="app*4043*20171128*" /stext=" 08:.+((SYSTEM_STATE.+slice.+state.+changed )|(ment ac)|(multiple cpu faults)|(system.+state.+changed )|(\[timeout)|(PRM\|1\|D)|(kpr)|(kdp)|(train st.+moving)|(\|lc)|(penalty))"</v>
      </c>
      <c r="AG156" s="245" t="str">
        <f t="shared" si="58"/>
        <v>EC</v>
      </c>
      <c r="AH156" s="237" t="str">
        <f t="shared" si="59"/>
        <v>"%USERPROFILE%\Documents\GitHub\eaglep3\Utilities\RefineRTDCRunTimes.py" --tripid 242-27 --locoid 4043 --swversion DE.1.0.9.0 --startMP 204:232951 --initTime 2017-11-28T00:49:30 --startdatetime 2017-11-28T00:57:27 --delay 104 --endMP 204:267 --enddatetime 2017-11-28T01:33:48 --enforcementcount 0 &gt;&gt;%USERPROFILE%\Documents\GitHub\eaglep3-reporting\EC\2017-11-27-refined-times.txt</v>
      </c>
      <c r="AI156" s="239" t="str">
        <f t="shared" si="60"/>
        <v>echo {"issue":{"subject":"","project_id":79,"tracker_id":40,"status_id":1,"priority_id":2,"assigned_to_id":338,"start_date":"2017-11-28","description":"","custom_fields":[{"id":1,"name":"Subdivision","value":"EC"},{"id":4,"name":"Milepost","value":"0.0267"},{"id":17,"name":"Train ID","value":"242-27"},{"id":16,"name":"Locomotive ID","value":"4043"},{"id":130,"name":"Impact","value":""},{"id":150,"name":"Time of Event (Mountain Time)","value":"01:33:48"},{"id":151,"name":"Denver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2"/>
      <c r="AL156" s="232"/>
      <c r="AM156" s="241" t="str">
        <f t="shared" si="61"/>
        <v>start /low /b %USERPROFILE%\Documents\GitHub\eaglep3\Utilities\DownloadLogsFromS3.py --loco 4043 --day 2017-11-28</v>
      </c>
      <c r="AN156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08:33:48"},{"id":29,"name":"Sharepoint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1" t="str">
        <f t="shared" si="63"/>
        <v>https://d0f6bd738d7f1b3e5a7ca70fe4ff75f0.us-east-1.aws.found.io/app/kibana#/discover/Steve-Slow-Train-Analysis-(2080s-and-2083s)?_g=(refreshInterval:(display:Off,pause:!f,section:0,value:0),time:(from:'2017-11-27T23:49:30-0700',mode:absolute,to:'2017-11-28T02:33:48-0700'))&amp;_a=(columns:!('Message%20ID',Summary),filters:!(),index:'emp_*',interval:auto,query:(query_string:(analyze_wildcard:!t,query:'%22rtdc.l.rtdc.4043%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230" t="s">
        <v>815</v>
      </c>
      <c r="B157" s="226">
        <v>4026</v>
      </c>
      <c r="C157" s="228" t="s">
        <v>192</v>
      </c>
      <c r="D157" s="228" t="s">
        <v>470</v>
      </c>
      <c r="E157" s="227">
        <v>43067.01630787037</v>
      </c>
      <c r="F157" s="227">
        <v>43067.021006944444</v>
      </c>
      <c r="G157" s="226">
        <v>101</v>
      </c>
      <c r="H157" s="228" t="s">
        <v>910</v>
      </c>
      <c r="I157" s="227">
        <v>43067.046064814815</v>
      </c>
      <c r="J157" s="226">
        <v>0</v>
      </c>
      <c r="K157" s="238" t="str">
        <f t="shared" si="47"/>
        <v>4025/4026</v>
      </c>
      <c r="L157" s="246" t="str">
        <f>VLOOKUP(A157,'Trips&amp;Operators'!$C$1:$G$99911,5,FALSE)</f>
        <v>WILLIAMS DONTE</v>
      </c>
      <c r="M157" s="225">
        <f t="shared" si="48"/>
        <v>2.5057870370801538E-2</v>
      </c>
      <c r="N157" s="226">
        <f t="shared" si="64"/>
        <v>36.083333333954215</v>
      </c>
      <c r="O157" s="226"/>
      <c r="P157" s="226"/>
      <c r="Q157" s="229"/>
      <c r="R157" s="243"/>
      <c r="S157" s="250">
        <f t="shared" si="65"/>
        <v>1</v>
      </c>
      <c r="T157" s="243" t="str">
        <f t="shared" si="49"/>
        <v>NorthBound</v>
      </c>
      <c r="U157" s="24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9" t="str">
        <f t="shared" si="50"/>
        <v>https://d0f6bd738d7f1b3e5a7ca70fe4ff75f0.us-east-1.aws.found.io/app/kibana#/discover/Steve-Slow-Train-Analysis-(2080s-and-2083s)?_g=(refreshInterval:(display:Off,pause:!f,section:0,value:0),time:(from:'2017-11-27T23:23:29-0700',mode:absolute,to:'2017-11-28T02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7" s="248" t="str">
        <f>IF(AA157&lt;VLOOKUP(AG157,Variables!$AC$3:$AD$8,2,FALSE),"Y","N")</f>
        <v>N</v>
      </c>
      <c r="X157" s="248">
        <f t="shared" si="51"/>
        <v>1</v>
      </c>
      <c r="Y157" s="248">
        <f t="shared" si="52"/>
        <v>5.0799999999999998E-2</v>
      </c>
      <c r="Z157" s="248">
        <f t="shared" si="53"/>
        <v>23.323</v>
      </c>
      <c r="AA157" s="248">
        <f t="shared" si="54"/>
        <v>23.272200000000002</v>
      </c>
      <c r="AB157" s="234" t="e">
        <f>VLOOKUP(A157,Enforcements!$C$7:$K$9,8,0)</f>
        <v>#N/A</v>
      </c>
      <c r="AC157" s="233" t="e">
        <f>VLOOKUP(A157,Enforcements!$C$7:$E$9,3,0)</f>
        <v>#N/A</v>
      </c>
      <c r="AD157" s="244">
        <f t="shared" si="55"/>
        <v>243</v>
      </c>
      <c r="AE157" s="236" t="str">
        <f t="shared" si="56"/>
        <v>aws s3 cp s3://rtdc.mdm.uploadarchive.raw/RTDC4026/ "%USERPROFILE%\AppData\Local\Temp\OnboardLogs"\RTDC4026\2017-11-28 --exclude "*" --recursive --include "*20171128*" &amp; "%USERPROFILE%\Documents\GitHub\mrs-test-scripts\Headless Mode &amp; Sideloading\WalkAndUnGZ.bat" "%USERPROFILE%\AppData\Local\Temp\OnboardLogs"\RTDC4026\2017-11-28 &amp; 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</v>
      </c>
      <c r="AF157" s="235" t="str">
        <f t="shared" si="57"/>
        <v>"C:\Program Files (x86)\AstroGrep\AstroGrep.exe" /e /r /s /spath="%USERPROFILE%\AppData\Local\Temp\OnboardLogs" /stypes="app*4026*20171128*" /stext=" 08:.+((SYSTEM_STATE.+slice.+state.+changed )|(ment ac)|(multiple cpu faults)|(system.+state.+changed )|(\[timeout)|(PRM\|1\|D)|(kpr)|(kdp)|(train st.+moving)|(\|lc)|(penalty))"</v>
      </c>
      <c r="AG157" s="245" t="str">
        <f t="shared" si="58"/>
        <v>EC</v>
      </c>
      <c r="AH157" s="237" t="str">
        <f t="shared" si="59"/>
        <v>"%USERPROFILE%\Documents\GitHub\eaglep3\Utilities\RefineRTDCRunTimes.py" --tripid 243-27 --locoid 4026 --swversion DE.1.0.9.0 --startMP 204:508 --initTime 2017-11-28T00:23:29 --startdatetime 2017-11-28T00:30:15 --delay 101 --endMP 204:233230 --enddatetime 2017-11-28T01:06:20 --enforcementcount 0 &gt;&gt;%USERPROFILE%\Documents\GitHub\eaglep3-reporting\EC\2017-11-27-refined-times.txt</v>
      </c>
      <c r="AI157" s="239" t="str">
        <f t="shared" si="60"/>
        <v>echo {"issue":{"subject":"","project_id":79,"tracker_id":40,"status_id":1,"priority_id":2,"assigned_to_id":338,"start_date":"2017-11-28","description":"","custom_fields":[{"id":1,"name":"Subdivision","value":"EC"},{"id":4,"name":"Milepost","value":"23.323"},{"id":17,"name":"Train ID","value":"243-27"},{"id":16,"name":"Locomotive ID","value":"4026"},{"id":130,"name":"Impact","value":""},{"id":150,"name":"Time of Event (Mountain Time)","value":"01:06:20"},{"id":151,"name":"Denver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4"/>
      <c r="AK157" s="232"/>
      <c r="AL157" s="232"/>
      <c r="AM157" s="241" t="str">
        <f t="shared" si="61"/>
        <v>start /low /b %USERPROFILE%\Documents\GitHub\eaglep3\Utilities\DownloadLogsFromS3.py --loco 4026 --day 2017-11-28</v>
      </c>
      <c r="AN157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08:06:20"},{"id":29,"name":"Sharepoint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1" t="str">
        <f t="shared" si="63"/>
        <v>https://d0f6bd738d7f1b3e5a7ca70fe4ff75f0.us-east-1.aws.found.io/app/kibana#/discover/Steve-Slow-Train-Analysis-(2080s-and-2083s)?_g=(refreshInterval:(display:Off,pause:!f,section:0,value:0),time:(from:'2017-11-27T23:23:29-0700',mode:absolute,to:'2017-11-28T02:06:20-0700'))&amp;_a=(columns:!('Message%20ID',Summary),filters:!(),index:'emp_*',interval:auto,query:(query_string:(analyze_wildcard:!t,query:'%22rtdc.l.rtdc.4026%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230" t="s">
        <v>818</v>
      </c>
      <c r="B158" s="226">
        <v>4025</v>
      </c>
      <c r="C158" s="228" t="s">
        <v>192</v>
      </c>
      <c r="D158" s="228" t="s">
        <v>885</v>
      </c>
      <c r="E158" s="227">
        <v>43067.055659722224</v>
      </c>
      <c r="F158" s="227">
        <v>43067.060590277775</v>
      </c>
      <c r="G158" s="226">
        <v>65</v>
      </c>
      <c r="H158" s="228" t="s">
        <v>446</v>
      </c>
      <c r="I158" s="227">
        <v>43067.08662037037</v>
      </c>
      <c r="J158" s="226">
        <v>0</v>
      </c>
      <c r="K158" s="238" t="str">
        <f t="shared" si="47"/>
        <v>4025/4026</v>
      </c>
      <c r="L158" s="246" t="str">
        <f>VLOOKUP(A158,'Trips&amp;Operators'!$C$1:$G$99911,5,FALSE)</f>
        <v>WILLIAMS DONTE</v>
      </c>
      <c r="M158" s="225">
        <f t="shared" si="48"/>
        <v>2.6030092594737653E-2</v>
      </c>
      <c r="N158" s="226">
        <f t="shared" si="64"/>
        <v>37.48333333642222</v>
      </c>
      <c r="O158" s="226"/>
      <c r="P158" s="226"/>
      <c r="Q158" s="229"/>
      <c r="R158" s="243"/>
      <c r="S158" s="250">
        <f t="shared" si="65"/>
        <v>1</v>
      </c>
      <c r="T158" s="243" t="str">
        <f t="shared" si="49"/>
        <v>Southbound</v>
      </c>
      <c r="U158" s="24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9" t="str">
        <f t="shared" si="50"/>
        <v>https://d0f6bd738d7f1b3e5a7ca70fe4ff75f0.us-east-1.aws.found.io/app/kibana#/discover/Steve-Slow-Train-Analysis-(2080s-and-2083s)?_g=(refreshInterval:(display:Off,pause:!f,section:0,value:0),time:(from:'2017-11-28T00:20:09-0700',mode:absolute,to:'2017-11-28T03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8" s="248" t="str">
        <f>IF(AA158&lt;VLOOKUP(AG158,Variables!$AC$3:$AD$8,2,FALSE),"Y","N")</f>
        <v>N</v>
      </c>
      <c r="X158" s="248">
        <f t="shared" si="51"/>
        <v>1</v>
      </c>
      <c r="Y158" s="248">
        <f t="shared" si="52"/>
        <v>23.290600000000001</v>
      </c>
      <c r="Z158" s="248">
        <f t="shared" si="53"/>
        <v>2.12E-2</v>
      </c>
      <c r="AA158" s="248">
        <f t="shared" si="54"/>
        <v>23.269400000000001</v>
      </c>
      <c r="AB158" s="234" t="e">
        <f>VLOOKUP(A158,Enforcements!$C$7:$K$9,8,0)</f>
        <v>#N/A</v>
      </c>
      <c r="AC158" s="233" t="e">
        <f>VLOOKUP(A158,Enforcements!$C$7:$E$9,3,0)</f>
        <v>#N/A</v>
      </c>
      <c r="AD158" s="244">
        <f t="shared" si="55"/>
        <v>244</v>
      </c>
      <c r="AE158" s="236" t="str">
        <f t="shared" si="56"/>
        <v>aws s3 cp s3://rtdc.mdm.uploadarchive.raw/RTDC4025/ "%USERPROFILE%\AppData\Local\Temp\OnboardLogs"\RTDC4025\2017-11-28 --exclude "*" --recursive --include "*20171128*" &amp; "%USERPROFILE%\Documents\GitHub\mrs-test-scripts\Headless Mode &amp; Sideloading\WalkAndUnGZ.bat" "%USERPROFILE%\AppData\Local\Temp\OnboardLogs"\RTDC4025\2017-11-28 &amp; aws s3 cp s3://rtdc.mdm.uploadarchive.raw/RTDC4025/ "%USERPROFILE%\AppData\Local\Temp\OnboardLogs"\RTDC4025\2017-11-29 --exclude "*" --recursive --include "*20171129*" &amp; "%USERPROFILE%\Documents\GitHub\mrs-test-scripts\Headless Mode &amp; Sideloading\WalkAndUnGZ.bat" "%USERPROFILE%\AppData\Local\Temp\OnboardLogs"\RTDC4025\2017-11-29</v>
      </c>
      <c r="AF158" s="235" t="str">
        <f t="shared" si="57"/>
        <v>"C:\Program Files (x86)\AstroGrep\AstroGrep.exe" /e /r /s /spath="%USERPROFILE%\AppData\Local\Temp\OnboardLogs" /stypes="app*4025*20171128*" /stext=" 09:.+((SYSTEM_STATE.+slice.+state.+changed )|(ment ac)|(multiple cpu faults)|(system.+state.+changed )|(\[timeout)|(PRM\|1\|D)|(kpr)|(kdp)|(train st.+moving)|(\|lc)|(penalty))"</v>
      </c>
      <c r="AG158" s="245" t="str">
        <f t="shared" si="58"/>
        <v>EC</v>
      </c>
      <c r="AH158" s="237" t="str">
        <f t="shared" si="59"/>
        <v>"%USERPROFILE%\Documents\GitHub\eaglep3\Utilities\RefineRTDCRunTimes.py" --tripid 244-27 --locoid 4025 --swversion DE.1.0.9.0 --startMP 204:232906 --initTime 2017-11-28T01:20:09 --startdatetime 2017-11-28T01:27:15 --delay 65 --endMP 204:212 --enddatetime 2017-11-28T02:04:44 --enforcementcount 0 &gt;&gt;%USERPROFILE%\Documents\GitHub\eaglep3-reporting\EC\2017-11-27-refined-times.txt</v>
      </c>
      <c r="AI158" s="239" t="str">
        <f t="shared" si="60"/>
        <v>echo {"issue":{"subject":"","project_id":79,"tracker_id":40,"status_id":1,"priority_id":2,"assigned_to_id":338,"start_date":"2017-11-28","description":"","custom_fields":[{"id":1,"name":"Subdivision","value":"EC"},{"id":4,"name":"Milepost","value":"0.0212"},{"id":17,"name":"Train ID","value":"244-27"},{"id":16,"name":"Locomotive ID","value":"4025"},{"id":130,"name":"Impact","value":""},{"id":150,"name":"Time of Event (Mountain Time)","value":"02:04:44"},{"id":151,"name":"Denver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4"/>
      <c r="AK158" s="232"/>
      <c r="AL158" s="232"/>
      <c r="AM158" s="241" t="str">
        <f t="shared" si="61"/>
        <v>start /low /b %USERPROFILE%\Documents\GitHub\eaglep3\Utilities\DownloadLogsFromS3.py --loco 4025 --day 2017-11-28</v>
      </c>
      <c r="AN158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09:04:44"},{"id":29,"name":"Sharepoint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1" t="str">
        <f t="shared" si="63"/>
        <v>https://d0f6bd738d7f1b3e5a7ca70fe4ff75f0.us-east-1.aws.found.io/app/kibana#/discover/Steve-Slow-Train-Analysis-(2080s-and-2083s)?_g=(refreshInterval:(display:Off,pause:!f,section:0,value:0),time:(from:'2017-11-28T00:20:09-0700',mode:absolute,to:'2017-11-28T03:04:44-0700'))&amp;_a=(columns:!('Message%20ID',Summary),filters:!(),index:'emp_*',interval:auto,query:(query_string:(analyze_wildcard:!t,query:'%22rtdc.l.rtdc.4025%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230" t="s">
        <v>624</v>
      </c>
      <c r="B159" s="226">
        <v>4019</v>
      </c>
      <c r="C159" s="228" t="s">
        <v>192</v>
      </c>
      <c r="D159" s="228" t="s">
        <v>447</v>
      </c>
      <c r="E159" s="227">
        <v>43066.205509259256</v>
      </c>
      <c r="F159" s="227">
        <v>43066.217361111114</v>
      </c>
      <c r="G159" s="226">
        <v>135</v>
      </c>
      <c r="H159" s="228" t="s">
        <v>928</v>
      </c>
      <c r="I159" s="227">
        <v>43066.225983796299</v>
      </c>
      <c r="J159" s="226">
        <v>0</v>
      </c>
      <c r="K159" s="238" t="str">
        <f t="shared" si="47"/>
        <v>4019/4020</v>
      </c>
      <c r="L159" s="246" t="str">
        <f>VLOOKUP(A159,'Trips&amp;Operators'!$C$1:$G$99911,5,FALSE)</f>
        <v>MACDONALD THOMAS</v>
      </c>
      <c r="M159" s="225">
        <f t="shared" si="48"/>
        <v>8.6226851854007691E-3</v>
      </c>
      <c r="N159" s="226">
        <f t="shared" si="64"/>
        <v>12.416666666977108</v>
      </c>
      <c r="O159" s="226"/>
      <c r="P159" s="226"/>
      <c r="Q159" s="229"/>
      <c r="R159" s="243"/>
      <c r="S159" s="250">
        <f t="shared" si="65"/>
        <v>1</v>
      </c>
      <c r="T159" s="243" t="str">
        <f t="shared" si="49"/>
        <v>Southbound</v>
      </c>
      <c r="U159" s="24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9" t="str">
        <f t="shared" si="50"/>
        <v>https://d0f6bd738d7f1b3e5a7ca70fe4ff75f0.us-east-1.aws.found.io/app/kibana#/discover/Steve-Slow-Train-Analysis-(2080s-and-2083s)?_g=(refreshInterval:(display:Off,pause:!f,section:0,value:0),time:(from:'2017-11-27T03:55:56-0700',mode:absolute,to:'2017-11-27T06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9" s="248" t="str">
        <f>IF(AA159&lt;VLOOKUP(AG159,Variables!$AC$3:$AD$8,2,FALSE),"Y","N")</f>
        <v>N</v>
      </c>
      <c r="X159" s="248">
        <f t="shared" si="51"/>
        <v>556</v>
      </c>
      <c r="Y159" s="248">
        <f t="shared" si="52"/>
        <v>5.8604000000000003</v>
      </c>
      <c r="Z159" s="248">
        <f t="shared" si="53"/>
        <v>8.1500000000000003E-2</v>
      </c>
      <c r="AA159" s="248">
        <f t="shared" si="54"/>
        <v>5.7789000000000001</v>
      </c>
      <c r="AB159" s="234" t="e">
        <f>VLOOKUP(A159,Enforcements!$C$7:$K$9,8,0)</f>
        <v>#N/A</v>
      </c>
      <c r="AC159" s="233" t="e">
        <f>VLOOKUP(A159,Enforcements!$C$7:$E$9,3,0)</f>
        <v>#N/A</v>
      </c>
      <c r="AD159" s="244">
        <f t="shared" si="55"/>
        <v>800</v>
      </c>
      <c r="AE159" s="236" t="str">
        <f t="shared" si="56"/>
        <v>aws s3 cp s3://rtdc.mdm.uploadarchive.raw/RTDC4019/ "%USERPROFILE%\AppData\Local\Temp\OnboardLogs"\RTDC4019\2017-11-27 --exclude "*" --recursive --include "*20171127*" &amp; "%USERPROFILE%\Documents\GitHub\mrs-test-scripts\Headless Mode &amp; Sideloading\WalkAndUnGZ.bat" "%USERPROFILE%\AppData\Local\Temp\OnboardLogs"\RTDC4019\2017-11-27 &amp; aws s3 cp s3://rtdc.mdm.uploadarchive.raw/RTDC4019/ "%USERPROFILE%\AppData\Local\Temp\OnboardLogs"\RTDC4019\2017-11-28 --exclude "*" --recursive --include "*20171128*" &amp; "%USERPROFILE%\Documents\GitHub\mrs-test-scripts\Headless Mode &amp; Sideloading\WalkAndUnGZ.bat" "%USERPROFILE%\AppData\Local\Temp\OnboardLogs"\RTDC4019\2017-11-28</v>
      </c>
      <c r="AF159" s="235" t="str">
        <f t="shared" si="57"/>
        <v>"C:\Program Files (x86)\AstroGrep\AstroGrep.exe" /e /r /s /spath="%USERPROFILE%\AppData\Local\Temp\OnboardLogs" /stypes="app*4019*20171127*" /stext=" 12:.+((SYSTEM_STATE.+slice.+state.+changed )|(ment ac)|(multiple cpu faults)|(system.+state.+changed )|(\[timeout)|(PRM\|1\|D)|(kpr)|(kdp)|(train st.+moving)|(\|lc)|(penalty))"</v>
      </c>
      <c r="AG159" s="245" t="str">
        <f t="shared" si="58"/>
        <v>NW</v>
      </c>
      <c r="AH159" s="237" t="str">
        <f t="shared" si="59"/>
        <v>"%USERPROFILE%\Documents\GitHub\eaglep3\Utilities\RefineRTDCRunTimes.py" --tripid 800-27 --locoid 4019 --swversion DE.1.0.9.0 --startMP 300:58604 --initTime 2017-11-27T04:55:56 --startdatetime 2017-11-27T05:13:00 --delay 135 --endMP 204:815 --enddatetime 2017-11-27T05:25:25 --enforcementcount 0 &gt;&gt;%USERPROFILE%\Documents\GitHub\eaglep3-reporting\EC\2017-11-27-refined-times.txt</v>
      </c>
      <c r="AI159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{"issue":{"subject":"","project_id":79,"tracker_id":40,"status_id":1,"priority_id":2,"assigned_to_id":338,"start_date":"2017-11-27","description":"","custom_fields":[{"id":1,"name":"Subdivision","value":"NW"},{"id":4,"name":"Milepost","value":"0.0815"},{"id":17,"name":"Train ID","value":"800-27"},{"id":16,"name":"Locomotive ID","value":"4019"},{"id":130,"name":"Impact","value":""},{"id":150,"name":"Time of Event (Mountain Time)","value":"05:25:25"},{"id":151,"name":"Denver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4"/>
      <c r="AK159" s="232"/>
      <c r="AL159" s="232"/>
      <c r="AM159" s="241" t="str">
        <f t="shared" si="61"/>
        <v>start /low /b %USERPROFILE%\Documents\GitHub\eaglep3\Utilities\DownloadLogsFromS3.py --loco 4019 --day 2017-11-27</v>
      </c>
      <c r="AN159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12:25:25"},{"id":29,"name":"Sharepoint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1" t="str">
        <f t="shared" si="63"/>
        <v>https://d0f6bd738d7f1b3e5a7ca70fe4ff75f0.us-east-1.aws.found.io/app/kibana#/discover/Steve-Slow-Train-Analysis-(2080s-and-2083s)?_g=(refreshInterval:(display:Off,pause:!f,section:0,value:0),time:(from:'2017-11-27T03:55:56-0700',mode:absolute,to:'2017-11-27T06:25:25-0700'))&amp;_a=(columns:!('Message%20ID',Summary),filters:!(),index:'emp_*',interval:auto,query:(query_string:(analyze_wildcard:!t,query:'%22rtdc.l.rtdc.4019%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230" t="s">
        <v>635</v>
      </c>
      <c r="B160" s="226">
        <v>4020</v>
      </c>
      <c r="C160" s="228" t="s">
        <v>192</v>
      </c>
      <c r="D160" s="228" t="s">
        <v>552</v>
      </c>
      <c r="E160" s="227">
        <v>43066.232511574075</v>
      </c>
      <c r="F160" s="227">
        <v>43066.236597222225</v>
      </c>
      <c r="G160" s="226">
        <v>61</v>
      </c>
      <c r="H160" s="228" t="s">
        <v>553</v>
      </c>
      <c r="I160" s="227">
        <v>43066.245659722219</v>
      </c>
      <c r="J160" s="226">
        <v>0</v>
      </c>
      <c r="K160" s="238" t="str">
        <f t="shared" si="47"/>
        <v>4019/4020</v>
      </c>
      <c r="L160" s="246" t="str">
        <f>VLOOKUP(A160,'Trips&amp;Operators'!$C$1:$G$99911,5,FALSE)</f>
        <v>MACDONALD THOMAS</v>
      </c>
      <c r="M160" s="225">
        <f t="shared" si="48"/>
        <v>9.0624999938881956E-3</v>
      </c>
      <c r="N160" s="226">
        <f t="shared" si="64"/>
        <v>13.049999991199002</v>
      </c>
      <c r="O160" s="226"/>
      <c r="P160" s="226"/>
      <c r="Q160" s="229"/>
      <c r="R160" s="243"/>
      <c r="S160" s="250">
        <f t="shared" si="65"/>
        <v>1</v>
      </c>
      <c r="T160" s="243" t="str">
        <f t="shared" si="49"/>
        <v>NorthBound</v>
      </c>
      <c r="U160" s="24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9" t="str">
        <f t="shared" si="50"/>
        <v>https://d0f6bd738d7f1b3e5a7ca70fe4ff75f0.us-east-1.aws.found.io/app/kibana#/discover/Steve-Slow-Train-Analysis-(2080s-and-2083s)?_g=(refreshInterval:(display:Off,pause:!f,section:0,value:0),time:(from:'2017-11-27T04:34:49-0700',mode:absolute,to:'2017-11-27T06:53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0" s="248" t="str">
        <f>IF(AA160&lt;VLOOKUP(AG160,Variables!$AC$3:$AD$8,2,FALSE),"Y","N")</f>
        <v>N</v>
      </c>
      <c r="X160" s="248">
        <f t="shared" si="51"/>
        <v>1</v>
      </c>
      <c r="Y160" s="248">
        <f t="shared" si="52"/>
        <v>0.11</v>
      </c>
      <c r="Z160" s="248">
        <f t="shared" si="53"/>
        <v>5.8910999999999998</v>
      </c>
      <c r="AA160" s="248">
        <f t="shared" si="54"/>
        <v>5.7810999999999995</v>
      </c>
      <c r="AB160" s="234" t="e">
        <f>VLOOKUP(A160,Enforcements!$C$7:$K$9,8,0)</f>
        <v>#N/A</v>
      </c>
      <c r="AC160" s="233" t="e">
        <f>VLOOKUP(A160,Enforcements!$C$7:$E$9,3,0)</f>
        <v>#N/A</v>
      </c>
      <c r="AD160" s="244">
        <f t="shared" si="55"/>
        <v>801</v>
      </c>
      <c r="AE160" s="236" t="str">
        <f t="shared" si="56"/>
        <v>aws s3 cp s3://rtdc.mdm.uploadarchive.raw/RTDC4020/ "%USERPROFILE%\AppData\Local\Temp\OnboardLogs"\RTDC4020\2017-11-27 --exclude "*" --recursive --include "*20171127*" &amp; "%USERPROFILE%\Documents\GitHub\mrs-test-scripts\Headless Mode &amp; Sideloading\WalkAndUnGZ.bat" "%USERPROFILE%\AppData\Local\Temp\OnboardLogs"\RTDC4020\2017-11-27 &amp; aws s3 cp s3://rtdc.mdm.uploadarchive.raw/RTDC4020/ "%USERPROFILE%\AppData\Local\Temp\OnboardLogs"\RTDC4020\2017-11-28 --exclude "*" --recursive --include "*20171128*" &amp; "%USERPROFILE%\Documents\GitHub\mrs-test-scripts\Headless Mode &amp; Sideloading\WalkAndUnGZ.bat" "%USERPROFILE%\AppData\Local\Temp\OnboardLogs"\RTDC4020\2017-11-28</v>
      </c>
      <c r="AF160" s="235" t="str">
        <f t="shared" si="57"/>
        <v>"C:\Program Files (x86)\AstroGrep\AstroGrep.exe" /e /r /s /spath="%USERPROFILE%\AppData\Local\Temp\OnboardLogs" /stypes="app*4020*20171127*" /stext=" 12:.+((SYSTEM_STATE.+slice.+state.+changed )|(ment ac)|(multiple cpu faults)|(system.+state.+changed )|(\[timeout)|(PRM\|1\|D)|(kpr)|(kdp)|(train st.+moving)|(\|lc)|(penalty))"</v>
      </c>
      <c r="AG160" s="245" t="str">
        <f t="shared" si="58"/>
        <v>NW</v>
      </c>
      <c r="AH160" s="237" t="str">
        <f t="shared" si="59"/>
        <v>"%USERPROFILE%\Documents\GitHub\eaglep3\Utilities\RefineRTDCRunTimes.py" --tripid 801-27 --locoid 4020 --swversion DE.1.0.9.0 --startMP 204:1100 --initTime 2017-11-27T05:34:49 --startdatetime 2017-11-27T05:40:42 --delay 61 --endMP 300:58911 --enddatetime 2017-11-27T05:53:45 --enforcementcount 0 &gt;&gt;%USERPROFILE%\Documents\GitHub\eaglep3-reporting\EC\2017-11-27-refined-times.txt</v>
      </c>
      <c r="AI160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{"issue":{"subject":"","project_id":79,"tracker_id":40,"status_id":1,"priority_id":2,"assigned_to_id":338,"start_date":"2017-11-27","description":"","custom_fields":[{"id":1,"name":"Subdivision","value":"NW"},{"id":4,"name":"Milepost","value":"5.8911"},{"id":17,"name":"Train ID","value":"801-27"},{"id":16,"name":"Locomotive ID","value":"4020"},{"id":130,"name":"Impact","value":""},{"id":150,"name":"Time of Event (Mountain Time)","value":"05:53:45"},{"id":151,"name":"Denver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4"/>
      <c r="AK160" s="232"/>
      <c r="AL160" s="232"/>
      <c r="AM160" s="241" t="str">
        <f t="shared" si="61"/>
        <v>start /low /b %USERPROFILE%\Documents\GitHub\eaglep3\Utilities\DownloadLogsFromS3.py --loco 4020 --day 2017-11-27</v>
      </c>
      <c r="AN160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12:53:45"},{"id":29,"name":"Sharepoint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1" t="str">
        <f t="shared" si="63"/>
        <v>https://d0f6bd738d7f1b3e5a7ca70fe4ff75f0.us-east-1.aws.found.io/app/kibana#/discover/Steve-Slow-Train-Analysis-(2080s-and-2083s)?_g=(refreshInterval:(display:Off,pause:!f,section:0,value:0),time:(from:'2017-11-27T04:34:49-0700',mode:absolute,to:'2017-11-27T06:53:45-0700'))&amp;_a=(columns:!('Message%20ID',Summary),filters:!(),index:'emp_*',interval:auto,query:(query_string:(analyze_wildcard:!t,query:'%22rtdc.l.rtdc.4020%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4" customFormat="1" x14ac:dyDescent="0.25">
      <c r="A161" s="230" t="s">
        <v>640</v>
      </c>
      <c r="B161" s="226">
        <v>4019</v>
      </c>
      <c r="C161" s="228" t="s">
        <v>192</v>
      </c>
      <c r="D161" s="228" t="s">
        <v>929</v>
      </c>
      <c r="E161" s="227">
        <v>43066.246331018519</v>
      </c>
      <c r="F161" s="227">
        <v>43066.259027777778</v>
      </c>
      <c r="G161" s="226">
        <v>75</v>
      </c>
      <c r="H161" s="228" t="s">
        <v>930</v>
      </c>
      <c r="I161" s="227">
        <v>43066.268067129633</v>
      </c>
      <c r="J161" s="226">
        <v>0</v>
      </c>
      <c r="K161" s="238" t="str">
        <f t="shared" si="47"/>
        <v>4019/4020</v>
      </c>
      <c r="L161" s="246" t="str">
        <f>VLOOKUP(A161,'Trips&amp;Operators'!$C$1:$G$99911,5,FALSE)</f>
        <v>MACDONALD THOMAS</v>
      </c>
      <c r="M161" s="225">
        <f t="shared" si="48"/>
        <v>9.0393518548808061E-3</v>
      </c>
      <c r="N161" s="226">
        <f t="shared" si="64"/>
        <v>13.016666671028361</v>
      </c>
      <c r="O161" s="226"/>
      <c r="P161" s="226"/>
      <c r="Q161" s="229"/>
      <c r="R161" s="243"/>
      <c r="S161" s="250">
        <f t="shared" si="65"/>
        <v>1</v>
      </c>
      <c r="T161" s="243" t="str">
        <f t="shared" si="49"/>
        <v>Southbound</v>
      </c>
      <c r="U161" s="24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9" t="str">
        <f t="shared" si="50"/>
        <v>https://d0f6bd738d7f1b3e5a7ca70fe4ff75f0.us-east-1.aws.found.io/app/kibana#/discover/Steve-Slow-Train-Analysis-(2080s-and-2083s)?_g=(refreshInterval:(display:Off,pause:!f,section:0,value:0),time:(from:'2017-11-27T04:54:43-0700',mode:absolute,to:'2017-11-27T07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1" s="248" t="str">
        <f>IF(AA161&lt;VLOOKUP(AG161,Variables!$AC$3:$AD$8,2,FALSE),"Y","N")</f>
        <v>N</v>
      </c>
      <c r="X161" s="248">
        <f t="shared" si="51"/>
        <v>1</v>
      </c>
      <c r="Y161" s="248">
        <f t="shared" si="52"/>
        <v>5.8593999999999999</v>
      </c>
      <c r="Z161" s="248">
        <f t="shared" si="53"/>
        <v>7.85E-2</v>
      </c>
      <c r="AA161" s="248">
        <f t="shared" si="54"/>
        <v>5.7808999999999999</v>
      </c>
      <c r="AB161" s="234" t="e">
        <f>VLOOKUP(A161,Enforcements!$C$7:$K$9,8,0)</f>
        <v>#N/A</v>
      </c>
      <c r="AC161" s="233" t="e">
        <f>VLOOKUP(A161,Enforcements!$C$7:$E$9,3,0)</f>
        <v>#N/A</v>
      </c>
      <c r="AD161" s="244">
        <f t="shared" si="55"/>
        <v>802</v>
      </c>
      <c r="AE161" s="236" t="str">
        <f t="shared" si="56"/>
        <v>aws s3 cp s3://rtdc.mdm.uploadarchive.raw/RTDC4019/ "%USERPROFILE%\AppData\Local\Temp\OnboardLogs"\RTDC4019\2017-11-27 --exclude "*" --recursive --include "*20171127*" &amp; "%USERPROFILE%\Documents\GitHub\mrs-test-scripts\Headless Mode &amp; Sideloading\WalkAndUnGZ.bat" "%USERPROFILE%\AppData\Local\Temp\OnboardLogs"\RTDC4019\2017-11-27 &amp; aws s3 cp s3://rtdc.mdm.uploadarchive.raw/RTDC4019/ "%USERPROFILE%\AppData\Local\Temp\OnboardLogs"\RTDC4019\2017-11-28 --exclude "*" --recursive --include "*20171128*" &amp; "%USERPROFILE%\Documents\GitHub\mrs-test-scripts\Headless Mode &amp; Sideloading\WalkAndUnGZ.bat" "%USERPROFILE%\AppData\Local\Temp\OnboardLogs"\RTDC4019\2017-11-28</v>
      </c>
      <c r="AF161" s="235" t="str">
        <f t="shared" si="57"/>
        <v>"C:\Program Files (x86)\AstroGrep\AstroGrep.exe" /e /r /s /spath="%USERPROFILE%\AppData\Local\Temp\OnboardLogs" /stypes="app*4019*20171127*" /stext=" 13:.+((SYSTEM_STATE.+slice.+state.+changed )|(ment ac)|(multiple cpu faults)|(system.+state.+changed )|(\[timeout)|(PRM\|1\|D)|(kpr)|(kdp)|(train st.+moving)|(\|lc)|(penalty))"</v>
      </c>
      <c r="AG161" s="245" t="str">
        <f t="shared" si="58"/>
        <v>NW</v>
      </c>
      <c r="AH161" s="237" t="str">
        <f t="shared" si="59"/>
        <v>"%USERPROFILE%\Documents\GitHub\eaglep3\Utilities\RefineRTDCRunTimes.py" --tripid 802-27 --locoid 4019 --swversion DE.1.0.9.0 --startMP 300:58594 --initTime 2017-11-27T05:54:43 --startdatetime 2017-11-27T06:13:00 --delay 75 --endMP 204:785 --enddatetime 2017-11-27T06:26:01 --enforcementcount 0 &gt;&gt;%USERPROFILE%\Documents\GitHub\eaglep3-reporting\EC\2017-11-27-refined-times.txt</v>
      </c>
      <c r="AI161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{"issue":{"subject":"","project_id":79,"tracker_id":40,"status_id":1,"priority_id":2,"assigned_to_id":338,"start_date":"2017-11-27","description":"","custom_fields":[{"id":1,"name":"Subdivision","value":"NW"},{"id":4,"name":"Milepost","value":"0.0785"},{"id":17,"name":"Train ID","value":"802-27"},{"id":16,"name":"Locomotive ID","value":"4019"},{"id":130,"name":"Impact","value":""},{"id":150,"name":"Time of Event (Mountain Time)","value":"06:26:01"},{"id":151,"name":"Denver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2"/>
      <c r="AL161" s="232"/>
      <c r="AM161" s="241" t="str">
        <f t="shared" si="61"/>
        <v>start /low /b %USERPROFILE%\Documents\GitHub\eaglep3\Utilities\DownloadLogsFromS3.py --loco 4019 --day 2017-11-27</v>
      </c>
      <c r="AN161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13:26:01"},{"id":29,"name":"Sharepoint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1" t="str">
        <f t="shared" si="63"/>
        <v>https://d0f6bd738d7f1b3e5a7ca70fe4ff75f0.us-east-1.aws.found.io/app/kibana#/discover/Steve-Slow-Train-Analysis-(2080s-and-2083s)?_g=(refreshInterval:(display:Off,pause:!f,section:0,value:0),time:(from:'2017-11-27T04:54:43-0700',mode:absolute,to:'2017-11-27T07:26:01-0700'))&amp;_a=(columns:!('Message%20ID',Summary),filters:!(),index:'emp_*',interval:auto,query:(query_string:(analyze_wildcard:!t,query:'%22rtdc.l.rtdc.4019%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4" customFormat="1" x14ac:dyDescent="0.25">
      <c r="A162" s="230" t="s">
        <v>638</v>
      </c>
      <c r="B162" s="226">
        <v>4056</v>
      </c>
      <c r="C162" s="228" t="s">
        <v>192</v>
      </c>
      <c r="D162" s="228" t="s">
        <v>931</v>
      </c>
      <c r="E162" s="227">
        <v>43066.241840277777</v>
      </c>
      <c r="F162" s="227">
        <v>43066.256493055553</v>
      </c>
      <c r="G162" s="226">
        <v>231</v>
      </c>
      <c r="H162" s="228" t="s">
        <v>551</v>
      </c>
      <c r="I162" s="227">
        <v>43066.267060185186</v>
      </c>
      <c r="J162" s="226">
        <v>0</v>
      </c>
      <c r="K162" s="238" t="str">
        <f t="shared" si="47"/>
        <v>4055/4056</v>
      </c>
      <c r="L162" s="246" t="str">
        <f>VLOOKUP(A162,'Trips&amp;Operators'!$C$1:$G$99911,5,FALSE)</f>
        <v>LONG FULLER</v>
      </c>
      <c r="M162" s="225">
        <f t="shared" si="48"/>
        <v>1.0567129633272998E-2</v>
      </c>
      <c r="N162" s="226">
        <f t="shared" si="64"/>
        <v>15.216666671913117</v>
      </c>
      <c r="O162" s="226"/>
      <c r="P162" s="226"/>
      <c r="Q162" s="229"/>
      <c r="R162" s="243"/>
      <c r="S162" s="250">
        <f t="shared" si="65"/>
        <v>1</v>
      </c>
      <c r="T162" s="243" t="str">
        <f t="shared" si="49"/>
        <v>NorthBound</v>
      </c>
      <c r="U162" s="24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9" t="str">
        <f t="shared" si="50"/>
        <v>https://d0f6bd738d7f1b3e5a7ca70fe4ff75f0.us-east-1.aws.found.io/app/kibana#/discover/Steve-Slow-Train-Analysis-(2080s-and-2083s)?_g=(refreshInterval:(display:Off,pause:!f,section:0,value:0),time:(from:'2017-11-27T04:48:15-0700',mode:absolute,to:'2017-11-27T07:24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2" s="248" t="str">
        <f>IF(AA162&lt;VLOOKUP(AG162,Variables!$AC$3:$AD$8,2,FALSE),"Y","N")</f>
        <v>N</v>
      </c>
      <c r="X162" s="248">
        <f t="shared" si="51"/>
        <v>1</v>
      </c>
      <c r="Y162" s="248">
        <f t="shared" si="52"/>
        <v>0.114</v>
      </c>
      <c r="Z162" s="248">
        <f t="shared" si="53"/>
        <v>5.8917999999999999</v>
      </c>
      <c r="AA162" s="248">
        <f t="shared" si="54"/>
        <v>5.7778</v>
      </c>
      <c r="AB162" s="234" t="e">
        <f>VLOOKUP(A162,Enforcements!$C$7:$K$9,8,0)</f>
        <v>#N/A</v>
      </c>
      <c r="AC162" s="233" t="e">
        <f>VLOOKUP(A162,Enforcements!$C$7:$E$9,3,0)</f>
        <v>#N/A</v>
      </c>
      <c r="AD162" s="244">
        <f t="shared" si="55"/>
        <v>803</v>
      </c>
      <c r="AE162" s="236" t="str">
        <f t="shared" si="56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162" s="235" t="str">
        <f t="shared" si="57"/>
        <v>"C:\Program Files (x86)\AstroGrep\AstroGrep.exe" /e /r /s /spath="%USERPROFILE%\AppData\Local\Temp\OnboardLogs" /stypes="app*4056*20171127*" /stext=" 13:.+((SYSTEM_STATE.+slice.+state.+changed )|(ment ac)|(multiple cpu faults)|(system.+state.+changed )|(\[timeout)|(PRM\|1\|D)|(kpr)|(kdp)|(train st.+moving)|(\|lc)|(penalty))"</v>
      </c>
      <c r="AG162" s="245" t="str">
        <f t="shared" si="58"/>
        <v>NW</v>
      </c>
      <c r="AH162" s="237" t="str">
        <f t="shared" si="59"/>
        <v>"%USERPROFILE%\Documents\GitHub\eaglep3\Utilities\RefineRTDCRunTimes.py" --tripid 803-27 --locoid 4056 --swversion DE.1.0.9.0 --startMP 204:1140 --initTime 2017-11-27T05:48:15 --startdatetime 2017-11-27T06:09:21 --delay 231 --endMP 300:58918 --enddatetime 2017-11-27T06:24:34 --enforcementcount 0 &gt;&gt;%USERPROFILE%\Documents\GitHub\eaglep3-reporting\EC\2017-11-27-refined-times.txt</v>
      </c>
      <c r="AI162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{"issue":{"subject":"","project_id":79,"tracker_id":40,"status_id":1,"priority_id":2,"assigned_to_id":338,"start_date":"2017-11-27","description":"","custom_fields":[{"id":1,"name":"Subdivision","value":"NW"},{"id":4,"name":"Milepost","value":"5.8918"},{"id":17,"name":"Train ID","value":"803-27"},{"id":16,"name":"Locomotive ID","value":"4056"},{"id":130,"name":"Impact","value":""},{"id":150,"name":"Time of Event (Mountain Time)","value":"06:24:34"},{"id":151,"name":"Denver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2"/>
      <c r="AL162" s="232"/>
      <c r="AM162" s="241" t="str">
        <f t="shared" si="61"/>
        <v>start /low /b %USERPROFILE%\Documents\GitHub\eaglep3\Utilities\DownloadLogsFromS3.py --loco 4056 --day 2017-11-27</v>
      </c>
      <c r="AN162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13:24:34"},{"id":29,"name":"Sharepoint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1" t="str">
        <f t="shared" si="63"/>
        <v>https://d0f6bd738d7f1b3e5a7ca70fe4ff75f0.us-east-1.aws.found.io/app/kibana#/discover/Steve-Slow-Train-Analysis-(2080s-and-2083s)?_g=(refreshInterval:(display:Off,pause:!f,section:0,value:0),time:(from:'2017-11-27T04:48:15-0700',mode:absolute,to:'2017-11-27T07:24:34-0700'))&amp;_a=(columns:!('Message%20ID',Summary),filters:!(),index:'emp_*',interval:auto,query:(query_string:(analyze_wildcard:!t,query:'%22rtdc.l.rtdc.4056%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30" t="s">
        <v>645</v>
      </c>
      <c r="B163" s="226">
        <v>4055</v>
      </c>
      <c r="C163" s="228" t="s">
        <v>192</v>
      </c>
      <c r="D163" s="228" t="s">
        <v>556</v>
      </c>
      <c r="E163" s="227">
        <v>43066.268136574072</v>
      </c>
      <c r="F163" s="227">
        <v>43066.279166666667</v>
      </c>
      <c r="G163" s="226">
        <v>79</v>
      </c>
      <c r="H163" s="228" t="s">
        <v>932</v>
      </c>
      <c r="I163" s="227">
        <v>43066.288472222222</v>
      </c>
      <c r="J163" s="226">
        <v>0</v>
      </c>
      <c r="K163" s="238" t="str">
        <f t="shared" si="47"/>
        <v>4055/4056</v>
      </c>
      <c r="L163" s="246" t="str">
        <f>VLOOKUP(A163,'Trips&amp;Operators'!$C$1:$G$99911,5,FALSE)</f>
        <v>LONG FULLER</v>
      </c>
      <c r="M163" s="225">
        <f t="shared" si="48"/>
        <v>9.3055555553291924E-3</v>
      </c>
      <c r="N163" s="226">
        <f t="shared" si="64"/>
        <v>13.399999999674037</v>
      </c>
      <c r="O163" s="226"/>
      <c r="P163" s="226"/>
      <c r="Q163" s="229"/>
      <c r="R163" s="243"/>
      <c r="S163" s="250">
        <f t="shared" si="65"/>
        <v>1</v>
      </c>
      <c r="T163" s="243" t="str">
        <f t="shared" si="49"/>
        <v>Southbound</v>
      </c>
      <c r="U163" s="24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9" t="str">
        <f t="shared" si="50"/>
        <v>https://d0f6bd738d7f1b3e5a7ca70fe4ff75f0.us-east-1.aws.found.io/app/kibana#/discover/Steve-Slow-Train-Analysis-(2080s-and-2083s)?_g=(refreshInterval:(display:Off,pause:!f,section:0,value:0),time:(from:'2017-11-27T05:26:07-0700',mode:absolute,to:'2017-11-27T07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3" s="248" t="str">
        <f>IF(AA163&lt;VLOOKUP(AG163,Variables!$AC$3:$AD$8,2,FALSE),"Y","N")</f>
        <v>N</v>
      </c>
      <c r="X163" s="248">
        <f t="shared" si="51"/>
        <v>1</v>
      </c>
      <c r="Y163" s="248">
        <f t="shared" si="52"/>
        <v>5.8608000000000002</v>
      </c>
      <c r="Z163" s="248">
        <f t="shared" si="53"/>
        <v>8.4599999999999995E-2</v>
      </c>
      <c r="AA163" s="248">
        <f t="shared" si="54"/>
        <v>5.7762000000000002</v>
      </c>
      <c r="AB163" s="234" t="e">
        <f>VLOOKUP(A163,Enforcements!$C$7:$K$9,8,0)</f>
        <v>#N/A</v>
      </c>
      <c r="AC163" s="233" t="e">
        <f>VLOOKUP(A163,Enforcements!$C$7:$E$9,3,0)</f>
        <v>#N/A</v>
      </c>
      <c r="AD163" s="244">
        <f t="shared" si="55"/>
        <v>804</v>
      </c>
      <c r="AE163" s="236" t="str">
        <f t="shared" si="56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163" s="235" t="str">
        <f t="shared" si="57"/>
        <v>"C:\Program Files (x86)\AstroGrep\AstroGrep.exe" /e /r /s /spath="%USERPROFILE%\AppData\Local\Temp\OnboardLogs" /stypes="app*4055*20171127*" /stext=" 13:.+((SYSTEM_STATE.+slice.+state.+changed )|(ment ac)|(multiple cpu faults)|(system.+state.+changed )|(\[timeout)|(PRM\|1\|D)|(kpr)|(kdp)|(train st.+moving)|(\|lc)|(penalty))"</v>
      </c>
      <c r="AG163" s="245" t="str">
        <f t="shared" si="58"/>
        <v>NW</v>
      </c>
      <c r="AH163" s="237" t="str">
        <f t="shared" si="59"/>
        <v>"%USERPROFILE%\Documents\GitHub\eaglep3\Utilities\RefineRTDCRunTimes.py" --tripid 804-27 --locoid 4055 --swversion DE.1.0.9.0 --startMP 300:58608 --initTime 2017-11-27T06:26:07 --startdatetime 2017-11-27T06:42:00 --delay 79 --endMP 204:846 --enddatetime 2017-11-27T06:55:24 --enforcementcount 0 &gt;&gt;%USERPROFILE%\Documents\GitHub\eaglep3-reporting\EC\2017-11-27-refined-times.txt</v>
      </c>
      <c r="AI163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{"issue":{"subject":"","project_id":79,"tracker_id":40,"status_id":1,"priority_id":2,"assigned_to_id":338,"start_date":"2017-11-27","description":"","custom_fields":[{"id":1,"name":"Subdivision","value":"NW"},{"id":4,"name":"Milepost","value":"0.0846"},{"id":17,"name":"Train ID","value":"804-27"},{"id":16,"name":"Locomotive ID","value":"4055"},{"id":130,"name":"Impact","value":""},{"id":150,"name":"Time of Event (Mountain Time)","value":"06:55:24"},{"id":151,"name":"Denver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4"/>
      <c r="AK163" s="232"/>
      <c r="AL163" s="232"/>
      <c r="AM163" s="241" t="str">
        <f t="shared" si="61"/>
        <v>start /low /b %USERPROFILE%\Documents\GitHub\eaglep3\Utilities\DownloadLogsFromS3.py --loco 4055 --day 2017-11-27</v>
      </c>
      <c r="AN163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1" t="str">
        <f t="shared" si="63"/>
        <v>https://d0f6bd738d7f1b3e5a7ca70fe4ff75f0.us-east-1.aws.found.io/app/kibana#/discover/Steve-Slow-Train-Analysis-(2080s-and-2083s)?_g=(refreshInterval:(display:Off,pause:!f,section:0,value:0),time:(from:'2017-11-27T05:26:07-0700',mode:absolute,to:'2017-11-27T07:55:24-0700'))&amp;_a=(columns:!('Message%20ID',Summary),filters:!(),index:'emp_*',interval:auto,query:(query_string:(analyze_wildcard:!t,query:'%22rtdc.l.rtdc.4055%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30" t="s">
        <v>646</v>
      </c>
      <c r="B164" s="226">
        <v>4020</v>
      </c>
      <c r="C164" s="228" t="s">
        <v>192</v>
      </c>
      <c r="D164" s="228" t="s">
        <v>933</v>
      </c>
      <c r="E164" s="227">
        <v>43066.273912037039</v>
      </c>
      <c r="F164" s="227">
        <v>43066.278460648151</v>
      </c>
      <c r="G164" s="226">
        <v>168</v>
      </c>
      <c r="H164" s="228" t="s">
        <v>934</v>
      </c>
      <c r="I164" s="227">
        <v>43066.288553240738</v>
      </c>
      <c r="J164" s="226">
        <v>0</v>
      </c>
      <c r="K164" s="238" t="str">
        <f t="shared" si="47"/>
        <v>4019/4020</v>
      </c>
      <c r="L164" s="246" t="str">
        <f>VLOOKUP(A164,'Trips&amp;Operators'!$C$1:$G$99911,5,FALSE)</f>
        <v>MACDONALD THOMAS</v>
      </c>
      <c r="M164" s="225">
        <f t="shared" si="48"/>
        <v>1.0092592587170657E-2</v>
      </c>
      <c r="N164" s="226">
        <f t="shared" si="64"/>
        <v>14.533333325525746</v>
      </c>
      <c r="O164" s="226"/>
      <c r="P164" s="226"/>
      <c r="Q164" s="229"/>
      <c r="R164" s="243"/>
      <c r="S164" s="250">
        <f t="shared" si="65"/>
        <v>1</v>
      </c>
      <c r="T164" s="243" t="str">
        <f t="shared" si="49"/>
        <v>NorthBound</v>
      </c>
      <c r="U164" s="24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9" t="str">
        <f t="shared" si="50"/>
        <v>https://d0f6bd738d7f1b3e5a7ca70fe4ff75f0.us-east-1.aws.found.io/app/kibana#/discover/Steve-Slow-Train-Analysis-(2080s-and-2083s)?_g=(refreshInterval:(display:Off,pause:!f,section:0,value:0),time:(from:'2017-11-27T05:34:26-0700',mode:absolute,to:'2017-11-27T07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4" s="248" t="str">
        <f>IF(AA164&lt;VLOOKUP(AG164,Variables!$AC$3:$AD$8,2,FALSE),"Y","N")</f>
        <v>N</v>
      </c>
      <c r="X164" s="248">
        <f t="shared" si="51"/>
        <v>1</v>
      </c>
      <c r="Y164" s="248">
        <f t="shared" si="52"/>
        <v>0.14199999999999999</v>
      </c>
      <c r="Z164" s="248">
        <f t="shared" si="53"/>
        <v>5.8916000000000004</v>
      </c>
      <c r="AA164" s="248">
        <f t="shared" si="54"/>
        <v>5.7496</v>
      </c>
      <c r="AB164" s="234" t="e">
        <f>VLOOKUP(A164,Enforcements!$C$7:$K$9,8,0)</f>
        <v>#N/A</v>
      </c>
      <c r="AC164" s="233" t="e">
        <f>VLOOKUP(A164,Enforcements!$C$7:$E$9,3,0)</f>
        <v>#N/A</v>
      </c>
      <c r="AD164" s="244">
        <f t="shared" si="55"/>
        <v>805</v>
      </c>
      <c r="AE164" s="236" t="str">
        <f t="shared" si="56"/>
        <v>aws s3 cp s3://rtdc.mdm.uploadarchive.raw/RTDC4020/ "%USERPROFILE%\AppData\Local\Temp\OnboardLogs"\RTDC4020\2017-11-27 --exclude "*" --recursive --include "*20171127*" &amp; "%USERPROFILE%\Documents\GitHub\mrs-test-scripts\Headless Mode &amp; Sideloading\WalkAndUnGZ.bat" "%USERPROFILE%\AppData\Local\Temp\OnboardLogs"\RTDC4020\2017-11-27 &amp; aws s3 cp s3://rtdc.mdm.uploadarchive.raw/RTDC4020/ "%USERPROFILE%\AppData\Local\Temp\OnboardLogs"\RTDC4020\2017-11-28 --exclude "*" --recursive --include "*20171128*" &amp; "%USERPROFILE%\Documents\GitHub\mrs-test-scripts\Headless Mode &amp; Sideloading\WalkAndUnGZ.bat" "%USERPROFILE%\AppData\Local\Temp\OnboardLogs"\RTDC4020\2017-11-28</v>
      </c>
      <c r="AF164" s="235" t="str">
        <f t="shared" si="57"/>
        <v>"C:\Program Files (x86)\AstroGrep\AstroGrep.exe" /e /r /s /spath="%USERPROFILE%\AppData\Local\Temp\OnboardLogs" /stypes="app*4020*20171127*" /stext=" 13:.+((SYSTEM_STATE.+slice.+state.+changed )|(ment ac)|(multiple cpu faults)|(system.+state.+changed )|(\[timeout)|(PRM\|1\|D)|(kpr)|(kdp)|(train st.+moving)|(\|lc)|(penalty))"</v>
      </c>
      <c r="AG164" s="245" t="str">
        <f t="shared" si="58"/>
        <v>NW</v>
      </c>
      <c r="AH164" s="237" t="str">
        <f t="shared" si="59"/>
        <v>"%USERPROFILE%\Documents\GitHub\eaglep3\Utilities\RefineRTDCRunTimes.py" --tripid 805-27 --locoid 4020 --swversion DE.1.0.9.0 --startMP 204:1420 --initTime 2017-11-27T06:34:26 --startdatetime 2017-11-27T06:40:59 --delay 168 --endMP 300:58916 --enddatetime 2017-11-27T06:55:31 --enforcementcount 0 &gt;&gt;%USERPROFILE%\Documents\GitHub\eaglep3-reporting\EC\2017-11-27-refined-times.txt</v>
      </c>
      <c r="AI164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{"issue":{"subject":"","project_id":79,"tracker_id":40,"status_id":1,"priority_id":2,"assigned_to_id":338,"start_date":"2017-11-27","description":"","custom_fields":[{"id":1,"name":"Subdivision","value":"NW"},{"id":4,"name":"Milepost","value":"5.8916"},{"id":17,"name":"Train ID","value":"805-27"},{"id":16,"name":"Locomotive ID","value":"4020"},{"id":130,"name":"Impact","value":""},{"id":150,"name":"Time of Event (Mountain Time)","value":"06:55:31"},{"id":151,"name":"Denver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4"/>
      <c r="AK164" s="232"/>
      <c r="AL164" s="232"/>
      <c r="AM164" s="241" t="str">
        <f t="shared" si="61"/>
        <v>start /low /b %USERPROFILE%\Documents\GitHub\eaglep3\Utilities\DownloadLogsFromS3.py --loco 4020 --day 2017-11-27</v>
      </c>
      <c r="AN164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13:55:31"},{"id":29,"name":"Sharepoint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1" t="str">
        <f t="shared" si="63"/>
        <v>https://d0f6bd738d7f1b3e5a7ca70fe4ff75f0.us-east-1.aws.found.io/app/kibana#/discover/Steve-Slow-Train-Analysis-(2080s-and-2083s)?_g=(refreshInterval:(display:Off,pause:!f,section:0,value:0),time:(from:'2017-11-27T05:34:26-0700',mode:absolute,to:'2017-11-27T07:55:31-0700'))&amp;_a=(columns:!('Message%20ID',Summary),filters:!(),index:'emp_*',interval:auto,query:(query_string:(analyze_wildcard:!t,query:'%22rtdc.l.rtdc.4020%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30" t="s">
        <v>651</v>
      </c>
      <c r="B165" s="226">
        <v>4019</v>
      </c>
      <c r="C165" s="228" t="s">
        <v>192</v>
      </c>
      <c r="D165" s="228" t="s">
        <v>935</v>
      </c>
      <c r="E165" s="227">
        <v>43066.289664351854</v>
      </c>
      <c r="F165" s="227">
        <v>43066.300694444442</v>
      </c>
      <c r="G165" s="226">
        <v>45</v>
      </c>
      <c r="H165" s="228" t="s">
        <v>558</v>
      </c>
      <c r="I165" s="227">
        <v>43066.30940972222</v>
      </c>
      <c r="J165" s="226">
        <v>0</v>
      </c>
      <c r="K165" s="238" t="str">
        <f t="shared" si="47"/>
        <v>4019/4020</v>
      </c>
      <c r="L165" s="246" t="str">
        <f>VLOOKUP(A165,'Trips&amp;Operators'!$C$1:$G$99911,5,FALSE)</f>
        <v>MACDONALD THOMAS</v>
      </c>
      <c r="M165" s="225">
        <f t="shared" si="48"/>
        <v>8.7152777778101154E-3</v>
      </c>
      <c r="N165" s="226">
        <f t="shared" si="64"/>
        <v>12.550000000046566</v>
      </c>
      <c r="O165" s="226"/>
      <c r="P165" s="226"/>
      <c r="Q165" s="229"/>
      <c r="R165" s="243"/>
      <c r="S165" s="250">
        <f t="shared" si="65"/>
        <v>1</v>
      </c>
      <c r="T165" s="243" t="str">
        <f t="shared" si="49"/>
        <v>Southbound</v>
      </c>
      <c r="U165" s="24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9" t="str">
        <f t="shared" si="50"/>
        <v>https://d0f6bd738d7f1b3e5a7ca70fe4ff75f0.us-east-1.aws.found.io/app/kibana#/discover/Steve-Slow-Train-Analysis-(2080s-and-2083s)?_g=(refreshInterval:(display:Off,pause:!f,section:0,value:0),time:(from:'2017-11-27T05:57:07-0700',mode:absolute,to:'2017-11-27T08:25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5" s="248" t="str">
        <f>IF(AA165&lt;VLOOKUP(AG165,Variables!$AC$3:$AD$8,2,FALSE),"Y","N")</f>
        <v>N</v>
      </c>
      <c r="X165" s="248">
        <f t="shared" si="51"/>
        <v>1</v>
      </c>
      <c r="Y165" s="248">
        <f t="shared" si="52"/>
        <v>5.8613</v>
      </c>
      <c r="Z165" s="248">
        <f t="shared" si="53"/>
        <v>8.4500000000000006E-2</v>
      </c>
      <c r="AA165" s="248">
        <f t="shared" si="54"/>
        <v>5.7767999999999997</v>
      </c>
      <c r="AB165" s="234" t="e">
        <f>VLOOKUP(A165,Enforcements!$C$7:$K$9,8,0)</f>
        <v>#N/A</v>
      </c>
      <c r="AC165" s="233" t="e">
        <f>VLOOKUP(A165,Enforcements!$C$7:$E$9,3,0)</f>
        <v>#N/A</v>
      </c>
      <c r="AD165" s="244">
        <f t="shared" si="55"/>
        <v>806</v>
      </c>
      <c r="AE165" s="236" t="str">
        <f t="shared" si="56"/>
        <v>aws s3 cp s3://rtdc.mdm.uploadarchive.raw/RTDC4019/ "%USERPROFILE%\AppData\Local\Temp\OnboardLogs"\RTDC4019\2017-11-27 --exclude "*" --recursive --include "*20171127*" &amp; "%USERPROFILE%\Documents\GitHub\mrs-test-scripts\Headless Mode &amp; Sideloading\WalkAndUnGZ.bat" "%USERPROFILE%\AppData\Local\Temp\OnboardLogs"\RTDC4019\2017-11-27 &amp; aws s3 cp s3://rtdc.mdm.uploadarchive.raw/RTDC4019/ "%USERPROFILE%\AppData\Local\Temp\OnboardLogs"\RTDC4019\2017-11-28 --exclude "*" --recursive --include "*20171128*" &amp; "%USERPROFILE%\Documents\GitHub\mrs-test-scripts\Headless Mode &amp; Sideloading\WalkAndUnGZ.bat" "%USERPROFILE%\AppData\Local\Temp\OnboardLogs"\RTDC4019\2017-11-28</v>
      </c>
      <c r="AF165" s="235" t="str">
        <f t="shared" si="57"/>
        <v>"C:\Program Files (x86)\AstroGrep\AstroGrep.exe" /e /r /s /spath="%USERPROFILE%\AppData\Local\Temp\OnboardLogs" /stypes="app*4019*20171127*" /stext=" 14:.+((SYSTEM_STATE.+slice.+state.+changed )|(ment ac)|(multiple cpu faults)|(system.+state.+changed )|(\[timeout)|(PRM\|1\|D)|(kpr)|(kdp)|(train st.+moving)|(\|lc)|(penalty))"</v>
      </c>
      <c r="AG165" s="245" t="str">
        <f t="shared" si="58"/>
        <v>NW</v>
      </c>
      <c r="AH165" s="237" t="str">
        <f t="shared" si="59"/>
        <v>"%USERPROFILE%\Documents\GitHub\eaglep3\Utilities\RefineRTDCRunTimes.py" --tripid 806-27 --locoid 4019 --swversion DE.1.0.9.0 --startMP 300:58613 --initTime 2017-11-27T06:57:07 --startdatetime 2017-11-27T07:13:00 --delay 45 --endMP 204:845 --enddatetime 2017-11-27T07:25:33 --enforcementcount 0 &gt;&gt;%USERPROFILE%\Documents\GitHub\eaglep3-reporting\EC\2017-11-27-refined-times.txt</v>
      </c>
      <c r="AI165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{"issue":{"subject":"","project_id":79,"tracker_id":40,"status_id":1,"priority_id":2,"assigned_to_id":338,"start_date":"2017-11-27","description":"","custom_fields":[{"id":1,"name":"Subdivision","value":"NW"},{"id":4,"name":"Milepost","value":"0.0845"},{"id":17,"name":"Train ID","value":"806-27"},{"id":16,"name":"Locomotive ID","value":"4019"},{"id":130,"name":"Impact","value":""},{"id":150,"name":"Time of Event (Mountain Time)","value":"07:25:33"},{"id":151,"name":"Denver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4"/>
      <c r="AK165" s="232"/>
      <c r="AL165" s="232"/>
      <c r="AM165" s="241" t="str">
        <f t="shared" si="61"/>
        <v>start /low /b %USERPROFILE%\Documents\GitHub\eaglep3\Utilities\DownloadLogsFromS3.py --loco 4019 --day 2017-11-27</v>
      </c>
      <c r="AN165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14:25:33"},{"id":29,"name":"Sharepoint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1" t="str">
        <f t="shared" si="63"/>
        <v>https://d0f6bd738d7f1b3e5a7ca70fe4ff75f0.us-east-1.aws.found.io/app/kibana#/discover/Steve-Slow-Train-Analysis-(2080s-and-2083s)?_g=(refreshInterval:(display:Off,pause:!f,section:0,value:0),time:(from:'2017-11-27T05:57:07-0700',mode:absolute,to:'2017-11-27T08:25:33-0700'))&amp;_a=(columns:!('Message%20ID',Summary),filters:!(),index:'emp_*',interval:auto,query:(query_string:(analyze_wildcard:!t,query:'%22rtdc.l.rtdc.4019%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30" t="s">
        <v>652</v>
      </c>
      <c r="B166" s="226">
        <v>4056</v>
      </c>
      <c r="C166" s="228" t="s">
        <v>192</v>
      </c>
      <c r="D166" s="228" t="s">
        <v>936</v>
      </c>
      <c r="E166" s="227">
        <v>43066.292002314818</v>
      </c>
      <c r="F166" s="227">
        <v>43066.298159722224</v>
      </c>
      <c r="G166" s="226">
        <v>49</v>
      </c>
      <c r="H166" s="228" t="s">
        <v>557</v>
      </c>
      <c r="I166" s="227">
        <v>43066.309131944443</v>
      </c>
      <c r="J166" s="226">
        <v>0</v>
      </c>
      <c r="K166" s="238" t="str">
        <f t="shared" si="47"/>
        <v>4055/4056</v>
      </c>
      <c r="L166" s="246" t="str">
        <f>VLOOKUP(A166,'Trips&amp;Operators'!$C$1:$G$99911,5,FALSE)</f>
        <v>LONG FULLER</v>
      </c>
      <c r="M166" s="225">
        <f t="shared" si="48"/>
        <v>1.0972222218697425E-2</v>
      </c>
      <c r="N166" s="226">
        <f t="shared" si="64"/>
        <v>15.799999994924292</v>
      </c>
      <c r="O166" s="226"/>
      <c r="P166" s="226"/>
      <c r="Q166" s="229"/>
      <c r="R166" s="243"/>
      <c r="S166" s="250">
        <f t="shared" si="65"/>
        <v>1</v>
      </c>
      <c r="T166" s="243" t="str">
        <f t="shared" si="49"/>
        <v>NorthBound</v>
      </c>
      <c r="U166" s="24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9" t="str">
        <f t="shared" si="50"/>
        <v>https://d0f6bd738d7f1b3e5a7ca70fe4ff75f0.us-east-1.aws.found.io/app/kibana#/discover/Steve-Slow-Train-Analysis-(2080s-and-2083s)?_g=(refreshInterval:(display:Off,pause:!f,section:0,value:0),time:(from:'2017-11-27T06:00:29-0700',mode:absolute,to:'2017-11-27T08:25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6" s="248" t="str">
        <f>IF(AA166&lt;VLOOKUP(AG166,Variables!$AC$3:$AD$8,2,FALSE),"Y","N")</f>
        <v>N</v>
      </c>
      <c r="X166" s="248">
        <f t="shared" si="51"/>
        <v>1</v>
      </c>
      <c r="Y166" s="248">
        <f t="shared" si="52"/>
        <v>0.1137</v>
      </c>
      <c r="Z166" s="248">
        <f t="shared" si="53"/>
        <v>5.8925999999999998</v>
      </c>
      <c r="AA166" s="248">
        <f t="shared" si="54"/>
        <v>5.7789000000000001</v>
      </c>
      <c r="AB166" s="234" t="e">
        <f>VLOOKUP(A166,Enforcements!$C$7:$K$9,8,0)</f>
        <v>#N/A</v>
      </c>
      <c r="AC166" s="233" t="e">
        <f>VLOOKUP(A166,Enforcements!$C$7:$E$9,3,0)</f>
        <v>#N/A</v>
      </c>
      <c r="AD166" s="244">
        <f t="shared" si="55"/>
        <v>807</v>
      </c>
      <c r="AE166" s="236" t="str">
        <f t="shared" si="56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166" s="235" t="str">
        <f t="shared" si="57"/>
        <v>"C:\Program Files (x86)\AstroGrep\AstroGrep.exe" /e /r /s /spath="%USERPROFILE%\AppData\Local\Temp\OnboardLogs" /stypes="app*4056*20171127*" /stext=" 14:.+((SYSTEM_STATE.+slice.+state.+changed )|(ment ac)|(multiple cpu faults)|(system.+state.+changed )|(\[timeout)|(PRM\|1\|D)|(kpr)|(kdp)|(train st.+moving)|(\|lc)|(penalty))"</v>
      </c>
      <c r="AG166" s="245" t="str">
        <f t="shared" si="58"/>
        <v>NW</v>
      </c>
      <c r="AH166" s="237" t="str">
        <f t="shared" si="59"/>
        <v>"%USERPROFILE%\Documents\GitHub\eaglep3\Utilities\RefineRTDCRunTimes.py" --tripid 807-27 --locoid 4056 --swversion DE.1.0.9.0 --startMP 204:1137 --initTime 2017-11-27T07:00:29 --startdatetime 2017-11-27T07:09:21 --delay 49 --endMP 300:58926 --enddatetime 2017-11-27T07:25:09 --enforcementcount 0 &gt;&gt;%USERPROFILE%\Documents\GitHub\eaglep3-reporting\EC\2017-11-27-refined-times.txt</v>
      </c>
      <c r="AI166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{"issue":{"subject":"","project_id":79,"tracker_id":40,"status_id":1,"priority_id":2,"assigned_to_id":338,"start_date":"2017-11-27","description":"","custom_fields":[{"id":1,"name":"Subdivision","value":"NW"},{"id":4,"name":"Milepost","value":"5.8926"},{"id":17,"name":"Train ID","value":"807-27"},{"id":16,"name":"Locomotive ID","value":"4056"},{"id":130,"name":"Impact","value":""},{"id":150,"name":"Time of Event (Mountain Time)","value":"07:25:09"},{"id":151,"name":"Denver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4"/>
      <c r="AK166" s="232"/>
      <c r="AL166" s="232"/>
      <c r="AM166" s="241" t="str">
        <f t="shared" si="61"/>
        <v>start /low /b %USERPROFILE%\Documents\GitHub\eaglep3\Utilities\DownloadLogsFromS3.py --loco 4056 --day 2017-11-27</v>
      </c>
      <c r="AN166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14:25:09"},{"id":29,"name":"Sharepoint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1" t="str">
        <f t="shared" si="63"/>
        <v>https://d0f6bd738d7f1b3e5a7ca70fe4ff75f0.us-east-1.aws.found.io/app/kibana#/discover/Steve-Slow-Train-Analysis-(2080s-and-2083s)?_g=(refreshInterval:(display:Off,pause:!f,section:0,value:0),time:(from:'2017-11-27T06:00:29-0700',mode:absolute,to:'2017-11-27T08:25:09-0700'))&amp;_a=(columns:!('Message%20ID',Summary),filters:!(),index:'emp_*',interval:auto,query:(query_string:(analyze_wildcard:!t,query:'%22rtdc.l.rtdc.4056%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230" t="s">
        <v>656</v>
      </c>
      <c r="B167" s="226">
        <v>4055</v>
      </c>
      <c r="C167" s="228" t="s">
        <v>192</v>
      </c>
      <c r="D167" s="228" t="s">
        <v>556</v>
      </c>
      <c r="E167" s="227">
        <v>43066.310370370367</v>
      </c>
      <c r="F167" s="227">
        <v>43066.320833333331</v>
      </c>
      <c r="G167" s="226">
        <v>67</v>
      </c>
      <c r="H167" s="228" t="s">
        <v>561</v>
      </c>
      <c r="I167" s="227">
        <v>43066.32984953704</v>
      </c>
      <c r="J167" s="226">
        <v>0</v>
      </c>
      <c r="K167" s="238" t="str">
        <f t="shared" si="47"/>
        <v>4055/4056</v>
      </c>
      <c r="L167" s="246" t="str">
        <f>VLOOKUP(A167,'Trips&amp;Operators'!$C$1:$G$99911,5,FALSE)</f>
        <v>LONG FULLER</v>
      </c>
      <c r="M167" s="225">
        <f t="shared" si="48"/>
        <v>9.0162037085974589E-3</v>
      </c>
      <c r="N167" s="226">
        <f t="shared" si="64"/>
        <v>12.983333340380341</v>
      </c>
      <c r="O167" s="226"/>
      <c r="P167" s="226"/>
      <c r="Q167" s="229"/>
      <c r="R167" s="243"/>
      <c r="S167" s="250">
        <f t="shared" si="65"/>
        <v>1</v>
      </c>
      <c r="T167" s="243" t="str">
        <f t="shared" si="49"/>
        <v>Southbound</v>
      </c>
      <c r="U167" s="24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9" t="str">
        <f t="shared" si="50"/>
        <v>https://d0f6bd738d7f1b3e5a7ca70fe4ff75f0.us-east-1.aws.found.io/app/kibana#/discover/Steve-Slow-Train-Analysis-(2080s-and-2083s)?_g=(refreshInterval:(display:Off,pause:!f,section:0,value:0),time:(from:'2017-11-27T06:26:56-0700',mode:absolute,to:'2017-11-27T08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7" s="248" t="str">
        <f>IF(AA167&lt;VLOOKUP(AG167,Variables!$AC$3:$AD$8,2,FALSE),"Y","N")</f>
        <v>N</v>
      </c>
      <c r="X167" s="248">
        <f t="shared" si="51"/>
        <v>1</v>
      </c>
      <c r="Y167" s="248">
        <f t="shared" si="52"/>
        <v>5.8608000000000002</v>
      </c>
      <c r="Z167" s="248">
        <f t="shared" si="53"/>
        <v>8.5999999999999993E-2</v>
      </c>
      <c r="AA167" s="248">
        <f t="shared" si="54"/>
        <v>5.7747999999999999</v>
      </c>
      <c r="AB167" s="234" t="e">
        <f>VLOOKUP(A167,Enforcements!$C$7:$K$9,8,0)</f>
        <v>#N/A</v>
      </c>
      <c r="AC167" s="233" t="e">
        <f>VLOOKUP(A167,Enforcements!$C$7:$E$9,3,0)</f>
        <v>#N/A</v>
      </c>
      <c r="AD167" s="244">
        <f t="shared" si="55"/>
        <v>808</v>
      </c>
      <c r="AE167" s="236" t="str">
        <f t="shared" si="56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167" s="235" t="str">
        <f t="shared" si="57"/>
        <v>"C:\Program Files (x86)\AstroGrep\AstroGrep.exe" /e /r /s /spath="%USERPROFILE%\AppData\Local\Temp\OnboardLogs" /stypes="app*4055*20171127*" /stext=" 14:.+((SYSTEM_STATE.+slice.+state.+changed )|(ment ac)|(multiple cpu faults)|(system.+state.+changed )|(\[timeout)|(PRM\|1\|D)|(kpr)|(kdp)|(train st.+moving)|(\|lc)|(penalty))"</v>
      </c>
      <c r="AG167" s="245" t="str">
        <f t="shared" si="58"/>
        <v>NW</v>
      </c>
      <c r="AH167" s="237" t="str">
        <f t="shared" si="59"/>
        <v>"%USERPROFILE%\Documents\GitHub\eaglep3\Utilities\RefineRTDCRunTimes.py" --tripid 808-27 --locoid 4055 --swversion DE.1.0.9.0 --startMP 300:58608 --initTime 2017-11-27T07:26:56 --startdatetime 2017-11-27T07:42:00 --delay 67 --endMP 204:860 --enddatetime 2017-11-27T07:54:59 --enforcementcount 0 &gt;&gt;%USERPROFILE%\Documents\GitHub\eaglep3-reporting\EC\2017-11-27-refined-times.txt</v>
      </c>
      <c r="AI167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{"issue":{"subject":"","project_id":79,"tracker_id":40,"status_id":1,"priority_id":2,"assigned_to_id":338,"start_date":"2017-11-27","description":"","custom_fields":[{"id":1,"name":"Subdivision","value":"NW"},{"id":4,"name":"Milepost","value":"0.086"},{"id":17,"name":"Train ID","value":"808-27"},{"id":16,"name":"Locomotive ID","value":"4055"},{"id":130,"name":"Impact","value":""},{"id":150,"name":"Time of Event (Mountain Time)","value":"07:54:59"},{"id":151,"name":"Denver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4"/>
      <c r="AK167" s="232"/>
      <c r="AL167" s="232"/>
      <c r="AM167" s="241" t="str">
        <f t="shared" si="61"/>
        <v>start /low /b %USERPROFILE%\Documents\GitHub\eaglep3\Utilities\DownloadLogsFromS3.py --loco 4055 --day 2017-11-27</v>
      </c>
      <c r="AN167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14:54:59"},{"id":29,"name":"Sharepoint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1" t="str">
        <f t="shared" si="63"/>
        <v>https://d0f6bd738d7f1b3e5a7ca70fe4ff75f0.us-east-1.aws.found.io/app/kibana#/discover/Steve-Slow-Train-Analysis-(2080s-and-2083s)?_g=(refreshInterval:(display:Off,pause:!f,section:0,value:0),time:(from:'2017-11-27T06:26:56-0700',mode:absolute,to:'2017-11-27T08:54:59-0700'))&amp;_a=(columns:!('Message%20ID',Summary),filters:!(),index:'emp_*',interval:auto,query:(query_string:(analyze_wildcard:!t,query:'%22rtdc.l.rtdc.4055%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230" t="s">
        <v>657</v>
      </c>
      <c r="B168" s="226">
        <v>4020</v>
      </c>
      <c r="C168" s="228" t="s">
        <v>192</v>
      </c>
      <c r="D168" s="228" t="s">
        <v>560</v>
      </c>
      <c r="E168" s="227">
        <v>43066.316736111112</v>
      </c>
      <c r="F168" s="227">
        <v>43066.319212962961</v>
      </c>
      <c r="G168" s="226">
        <v>88</v>
      </c>
      <c r="H168" s="228" t="s">
        <v>555</v>
      </c>
      <c r="I168" s="227">
        <v>43066.329212962963</v>
      </c>
      <c r="J168" s="226">
        <v>0</v>
      </c>
      <c r="K168" s="238" t="str">
        <f t="shared" si="47"/>
        <v>4019/4020</v>
      </c>
      <c r="L168" s="246" t="str">
        <f>VLOOKUP(A168,'Trips&amp;Operators'!$C$1:$G$99911,5,FALSE)</f>
        <v>MACDONALD THOMAS</v>
      </c>
      <c r="M168" s="225">
        <f t="shared" si="48"/>
        <v>1.0000000002037268E-2</v>
      </c>
      <c r="N168" s="226">
        <f t="shared" si="64"/>
        <v>14.400000002933666</v>
      </c>
      <c r="O168" s="226"/>
      <c r="P168" s="226"/>
      <c r="Q168" s="229"/>
      <c r="R168" s="243"/>
      <c r="S168" s="250">
        <f t="shared" si="65"/>
        <v>1</v>
      </c>
      <c r="T168" s="243" t="str">
        <f t="shared" si="49"/>
        <v>NorthBound</v>
      </c>
      <c r="U168" s="24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9" t="str">
        <f t="shared" si="50"/>
        <v>https://d0f6bd738d7f1b3e5a7ca70fe4ff75f0.us-east-1.aws.found.io/app/kibana#/discover/Steve-Slow-Train-Analysis-(2080s-and-2083s)?_g=(refreshInterval:(display:Off,pause:!f,section:0,value:0),time:(from:'2017-11-27T06:36:06-0700',mode:absolute,to:'2017-11-27T08:54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8" s="248" t="str">
        <f>IF(AA168&lt;VLOOKUP(AG168,Variables!$AC$3:$AD$8,2,FALSE),"Y","N")</f>
        <v>N</v>
      </c>
      <c r="X168" s="248">
        <f t="shared" si="51"/>
        <v>1</v>
      </c>
      <c r="Y168" s="248">
        <f t="shared" si="52"/>
        <v>0.11459999999999999</v>
      </c>
      <c r="Z168" s="248">
        <f t="shared" si="53"/>
        <v>5.8909000000000002</v>
      </c>
      <c r="AA168" s="248">
        <f t="shared" si="54"/>
        <v>5.7763</v>
      </c>
      <c r="AB168" s="234" t="e">
        <f>VLOOKUP(A168,Enforcements!$C$7:$K$9,8,0)</f>
        <v>#N/A</v>
      </c>
      <c r="AC168" s="233" t="e">
        <f>VLOOKUP(A168,Enforcements!$C$7:$E$9,3,0)</f>
        <v>#N/A</v>
      </c>
      <c r="AD168" s="244">
        <f t="shared" si="55"/>
        <v>809</v>
      </c>
      <c r="AE168" s="236" t="str">
        <f t="shared" si="56"/>
        <v>aws s3 cp s3://rtdc.mdm.uploadarchive.raw/RTDC4020/ "%USERPROFILE%\AppData\Local\Temp\OnboardLogs"\RTDC4020\2017-11-27 --exclude "*" --recursive --include "*20171127*" &amp; "%USERPROFILE%\Documents\GitHub\mrs-test-scripts\Headless Mode &amp; Sideloading\WalkAndUnGZ.bat" "%USERPROFILE%\AppData\Local\Temp\OnboardLogs"\RTDC4020\2017-11-27 &amp; aws s3 cp s3://rtdc.mdm.uploadarchive.raw/RTDC4020/ "%USERPROFILE%\AppData\Local\Temp\OnboardLogs"\RTDC4020\2017-11-28 --exclude "*" --recursive --include "*20171128*" &amp; "%USERPROFILE%\Documents\GitHub\mrs-test-scripts\Headless Mode &amp; Sideloading\WalkAndUnGZ.bat" "%USERPROFILE%\AppData\Local\Temp\OnboardLogs"\RTDC4020\2017-11-28</v>
      </c>
      <c r="AF168" s="235" t="str">
        <f t="shared" si="57"/>
        <v>"C:\Program Files (x86)\AstroGrep\AstroGrep.exe" /e /r /s /spath="%USERPROFILE%\AppData\Local\Temp\OnboardLogs" /stypes="app*4020*20171127*" /stext=" 14:.+((SYSTEM_STATE.+slice.+state.+changed )|(ment ac)|(multiple cpu faults)|(system.+state.+changed )|(\[timeout)|(PRM\|1\|D)|(kpr)|(kdp)|(train st.+moving)|(\|lc)|(penalty))"</v>
      </c>
      <c r="AG168" s="245" t="str">
        <f t="shared" si="58"/>
        <v>NW</v>
      </c>
      <c r="AH168" s="237" t="str">
        <f t="shared" si="59"/>
        <v>"%USERPROFILE%\Documents\GitHub\eaglep3\Utilities\RefineRTDCRunTimes.py" --tripid 809-27 --locoid 4020 --swversion DE.1.0.9.0 --startMP 204:1146 --initTime 2017-11-27T07:36:06 --startdatetime 2017-11-27T07:39:40 --delay 88 --endMP 300:58909 --enddatetime 2017-11-27T07:54:04 --enforcementcount 0 &gt;&gt;%USERPROFILE%\Documents\GitHub\eaglep3-reporting\EC\2017-11-27-refined-times.txt</v>
      </c>
      <c r="AI168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{"issue":{"subject":"","project_id":79,"tracker_id":40,"status_id":1,"priority_id":2,"assigned_to_id":338,"start_date":"2017-11-27","description":"","custom_fields":[{"id":1,"name":"Subdivision","value":"NW"},{"id":4,"name":"Milepost","value":"5.8909"},{"id":17,"name":"Train ID","value":"809-27"},{"id":16,"name":"Locomotive ID","value":"4020"},{"id":130,"name":"Impact","value":""},{"id":150,"name":"Time of Event (Mountain Time)","value":"07:54:04"},{"id":151,"name":"Denver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4"/>
      <c r="AK168" s="232"/>
      <c r="AL168" s="232"/>
      <c r="AM168" s="241" t="str">
        <f t="shared" si="61"/>
        <v>start /low /b %USERPROFILE%\Documents\GitHub\eaglep3\Utilities\DownloadLogsFromS3.py --loco 4020 --day 2017-11-27</v>
      </c>
      <c r="AN168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14:54:04"},{"id":29,"name":"Sharepoint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1" t="str">
        <f t="shared" si="63"/>
        <v>https://d0f6bd738d7f1b3e5a7ca70fe4ff75f0.us-east-1.aws.found.io/app/kibana#/discover/Steve-Slow-Train-Analysis-(2080s-and-2083s)?_g=(refreshInterval:(display:Off,pause:!f,section:0,value:0),time:(from:'2017-11-27T06:36:06-0700',mode:absolute,to:'2017-11-27T08:54:04-0700'))&amp;_a=(columns:!('Message%20ID',Summary),filters:!(),index:'emp_*',interval:auto,query:(query_string:(analyze_wildcard:!t,query:'%22rtdc.l.rtdc.4020%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230" t="s">
        <v>660</v>
      </c>
      <c r="B169" s="226">
        <v>4019</v>
      </c>
      <c r="C169" s="228" t="s">
        <v>192</v>
      </c>
      <c r="D169" s="228" t="s">
        <v>937</v>
      </c>
      <c r="E169" s="227">
        <v>43066.329930555556</v>
      </c>
      <c r="F169" s="227">
        <v>43066.342361111114</v>
      </c>
      <c r="G169" s="226">
        <v>49</v>
      </c>
      <c r="H169" s="228" t="s">
        <v>938</v>
      </c>
      <c r="I169" s="227">
        <v>43066.352546296293</v>
      </c>
      <c r="J169" s="226">
        <v>0</v>
      </c>
      <c r="K169" s="238" t="str">
        <f t="shared" si="47"/>
        <v>4019/4020</v>
      </c>
      <c r="L169" s="246" t="str">
        <f>VLOOKUP(A169,'Trips&amp;Operators'!$C$1:$G$99911,5,FALSE)</f>
        <v>MACDONALD THOMAS</v>
      </c>
      <c r="M169" s="225">
        <f t="shared" si="48"/>
        <v>1.0185185179580003E-2</v>
      </c>
      <c r="N169" s="226">
        <f t="shared" si="64"/>
        <v>14.666666658595204</v>
      </c>
      <c r="O169" s="226"/>
      <c r="P169" s="226"/>
      <c r="Q169" s="229"/>
      <c r="R169" s="243"/>
      <c r="S169" s="250">
        <f t="shared" si="65"/>
        <v>1</v>
      </c>
      <c r="T169" s="243" t="str">
        <f t="shared" si="49"/>
        <v>Southbound</v>
      </c>
      <c r="U169" s="24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9" t="str">
        <f t="shared" si="50"/>
        <v>https://d0f6bd738d7f1b3e5a7ca70fe4ff75f0.us-east-1.aws.found.io/app/kibana#/discover/Steve-Slow-Train-Analysis-(2080s-and-2083s)?_g=(refreshInterval:(display:Off,pause:!f,section:0,value:0),time:(from:'2017-11-27T06:55:06-0700',mode:absolute,to:'2017-11-27T09:27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9" s="248" t="str">
        <f>IF(AA169&lt;VLOOKUP(AG169,Variables!$AC$3:$AD$8,2,FALSE),"Y","N")</f>
        <v>N</v>
      </c>
      <c r="X169" s="248">
        <f t="shared" si="51"/>
        <v>1</v>
      </c>
      <c r="Y169" s="248">
        <f t="shared" si="52"/>
        <v>5.8589000000000002</v>
      </c>
      <c r="Z169" s="248">
        <f t="shared" si="53"/>
        <v>9.2299999999999993E-2</v>
      </c>
      <c r="AA169" s="248">
        <f t="shared" si="54"/>
        <v>5.7666000000000004</v>
      </c>
      <c r="AB169" s="234" t="e">
        <f>VLOOKUP(A169,Enforcements!$C$7:$K$9,8,0)</f>
        <v>#N/A</v>
      </c>
      <c r="AC169" s="233" t="e">
        <f>VLOOKUP(A169,Enforcements!$C$7:$E$9,3,0)</f>
        <v>#N/A</v>
      </c>
      <c r="AD169" s="244">
        <f t="shared" si="55"/>
        <v>810</v>
      </c>
      <c r="AE169" s="236" t="str">
        <f t="shared" si="56"/>
        <v>aws s3 cp s3://rtdc.mdm.uploadarchive.raw/RTDC4019/ "%USERPROFILE%\AppData\Local\Temp\OnboardLogs"\RTDC4019\2017-11-27 --exclude "*" --recursive --include "*20171127*" &amp; "%USERPROFILE%\Documents\GitHub\mrs-test-scripts\Headless Mode &amp; Sideloading\WalkAndUnGZ.bat" "%USERPROFILE%\AppData\Local\Temp\OnboardLogs"\RTDC4019\2017-11-27 &amp; aws s3 cp s3://rtdc.mdm.uploadarchive.raw/RTDC4019/ "%USERPROFILE%\AppData\Local\Temp\OnboardLogs"\RTDC4019\2017-11-28 --exclude "*" --recursive --include "*20171128*" &amp; "%USERPROFILE%\Documents\GitHub\mrs-test-scripts\Headless Mode &amp; Sideloading\WalkAndUnGZ.bat" "%USERPROFILE%\AppData\Local\Temp\OnboardLogs"\RTDC4019\2017-11-28</v>
      </c>
      <c r="AF169" s="235" t="str">
        <f t="shared" si="57"/>
        <v>"C:\Program Files (x86)\AstroGrep\AstroGrep.exe" /e /r /s /spath="%USERPROFILE%\AppData\Local\Temp\OnboardLogs" /stypes="app*4019*20171127*" /stext=" 15:.+((SYSTEM_STATE.+slice.+state.+changed )|(ment ac)|(multiple cpu faults)|(system.+state.+changed )|(\[timeout)|(PRM\|1\|D)|(kpr)|(kdp)|(train st.+moving)|(\|lc)|(penalty))"</v>
      </c>
      <c r="AG169" s="245" t="str">
        <f t="shared" si="58"/>
        <v>NW</v>
      </c>
      <c r="AH169" s="237" t="str">
        <f t="shared" si="59"/>
        <v>"%USERPROFILE%\Documents\GitHub\eaglep3\Utilities\RefineRTDCRunTimes.py" --tripid 810-27 --locoid 4019 --swversion DE.1.0.9.0 --startMP 300:58589 --initTime 2017-11-27T07:55:06 --startdatetime 2017-11-27T08:13:00 --delay 49 --endMP 204:923 --enddatetime 2017-11-27T08:27:40 --enforcementcount 0 &gt;&gt;%USERPROFILE%\Documents\GitHub\eaglep3-reporting\EC\2017-11-27-refined-times.txt</v>
      </c>
      <c r="AI169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{"issue":{"subject":"","project_id":79,"tracker_id":40,"status_id":1,"priority_id":2,"assigned_to_id":338,"start_date":"2017-11-27","description":"","custom_fields":[{"id":1,"name":"Subdivision","value":"NW"},{"id":4,"name":"Milepost","value":"0.0923"},{"id":17,"name":"Train ID","value":"810-27"},{"id":16,"name":"Locomotive ID","value":"4019"},{"id":130,"name":"Impact","value":""},{"id":150,"name":"Time of Event (Mountain Time)","value":"08:27:40"},{"id":151,"name":"Denver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4"/>
      <c r="AK169" s="232"/>
      <c r="AL169" s="232"/>
      <c r="AM169" s="241" t="str">
        <f t="shared" si="61"/>
        <v>start /low /b %USERPROFILE%\Documents\GitHub\eaglep3\Utilities\DownloadLogsFromS3.py --loco 4019 --day 2017-11-27</v>
      </c>
      <c r="AN169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15:27:40"},{"id":29,"name":"Sharepoint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1" t="str">
        <f t="shared" si="63"/>
        <v>https://d0f6bd738d7f1b3e5a7ca70fe4ff75f0.us-east-1.aws.found.io/app/kibana#/discover/Steve-Slow-Train-Analysis-(2080s-and-2083s)?_g=(refreshInterval:(display:Off,pause:!f,section:0,value:0),time:(from:'2017-11-27T06:55:06-0700',mode:absolute,to:'2017-11-27T09:27:40-0700'))&amp;_a=(columns:!('Message%20ID',Summary),filters:!(),index:'emp_*',interval:auto,query:(query_string:(analyze_wildcard:!t,query:'%22rtdc.l.rtdc.4019%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30" t="s">
        <v>662</v>
      </c>
      <c r="B170" s="226">
        <v>4056</v>
      </c>
      <c r="C170" s="228" t="s">
        <v>192</v>
      </c>
      <c r="D170" s="228" t="s">
        <v>939</v>
      </c>
      <c r="E170" s="227">
        <v>43066.33221064815</v>
      </c>
      <c r="F170" s="227">
        <v>43066.339803240742</v>
      </c>
      <c r="G170" s="226">
        <v>75</v>
      </c>
      <c r="H170" s="228" t="s">
        <v>940</v>
      </c>
      <c r="I170" s="227">
        <v>43066.352523148147</v>
      </c>
      <c r="J170" s="226">
        <v>0</v>
      </c>
      <c r="K170" s="238" t="str">
        <f t="shared" si="47"/>
        <v>4055/4056</v>
      </c>
      <c r="L170" s="246" t="str">
        <f>VLOOKUP(A170,'Trips&amp;Operators'!$C$1:$G$99911,5,FALSE)</f>
        <v>LONG FULLER</v>
      </c>
      <c r="M170" s="225">
        <f t="shared" si="48"/>
        <v>1.2719907404971309E-2</v>
      </c>
      <c r="N170" s="226">
        <f t="shared" si="64"/>
        <v>18.316666663158685</v>
      </c>
      <c r="O170" s="226"/>
      <c r="P170" s="226"/>
      <c r="Q170" s="229"/>
      <c r="R170" s="243"/>
      <c r="S170" s="250">
        <f t="shared" si="65"/>
        <v>1</v>
      </c>
      <c r="T170" s="243" t="str">
        <f t="shared" si="49"/>
        <v>NorthBound</v>
      </c>
      <c r="U170" s="24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9" t="str">
        <f t="shared" si="50"/>
        <v>https://d0f6bd738d7f1b3e5a7ca70fe4ff75f0.us-east-1.aws.found.io/app/kibana#/discover/Steve-Slow-Train-Analysis-(2080s-and-2083s)?_g=(refreshInterval:(display:Off,pause:!f,section:0,value:0),time:(from:'2017-11-27T06:58:23-0700',mode:absolute,to:'2017-11-27T09:27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0" s="248" t="str">
        <f>IF(AA170&lt;VLOOKUP(AG170,Variables!$AC$3:$AD$8,2,FALSE),"Y","N")</f>
        <v>N</v>
      </c>
      <c r="X170" s="248">
        <f t="shared" si="51"/>
        <v>1</v>
      </c>
      <c r="Y170" s="248">
        <f t="shared" si="52"/>
        <v>0.1158</v>
      </c>
      <c r="Z170" s="248">
        <f t="shared" si="53"/>
        <v>5.8935000000000004</v>
      </c>
      <c r="AA170" s="248">
        <f t="shared" si="54"/>
        <v>5.7777000000000003</v>
      </c>
      <c r="AB170" s="234" t="e">
        <f>VLOOKUP(A170,Enforcements!$C$7:$K$9,8,0)</f>
        <v>#N/A</v>
      </c>
      <c r="AC170" s="233" t="e">
        <f>VLOOKUP(A170,Enforcements!$C$7:$E$9,3,0)</f>
        <v>#N/A</v>
      </c>
      <c r="AD170" s="244">
        <f t="shared" si="55"/>
        <v>811</v>
      </c>
      <c r="AE170" s="236" t="str">
        <f t="shared" si="56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170" s="235" t="str">
        <f t="shared" si="57"/>
        <v>"C:\Program Files (x86)\AstroGrep\AstroGrep.exe" /e /r /s /spath="%USERPROFILE%\AppData\Local\Temp\OnboardLogs" /stypes="app*4056*20171127*" /stext=" 15:.+((SYSTEM_STATE.+slice.+state.+changed )|(ment ac)|(multiple cpu faults)|(system.+state.+changed )|(\[timeout)|(PRM\|1\|D)|(kpr)|(kdp)|(train st.+moving)|(\|lc)|(penalty))"</v>
      </c>
      <c r="AG170" s="245" t="str">
        <f t="shared" si="58"/>
        <v>NW</v>
      </c>
      <c r="AH170" s="237" t="str">
        <f t="shared" si="59"/>
        <v>"%USERPROFILE%\Documents\GitHub\eaglep3\Utilities\RefineRTDCRunTimes.py" --tripid 811-27 --locoid 4056 --swversion DE.1.0.9.0 --startMP 204:1158 --initTime 2017-11-27T07:58:23 --startdatetime 2017-11-27T08:09:19 --delay 75 --endMP 300:58935 --enddatetime 2017-11-27T08:27:38 --enforcementcount 0 &gt;&gt;%USERPROFILE%\Documents\GitHub\eaglep3-reporting\EC\2017-11-27-refined-times.txt</v>
      </c>
      <c r="AI170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{"issue":{"subject":"","project_id":79,"tracker_id":40,"status_id":1,"priority_id":2,"assigned_to_id":338,"start_date":"2017-11-27","description":"","custom_fields":[{"id":1,"name":"Subdivision","value":"NW"},{"id":4,"name":"Milepost","value":"5.8935"},{"id":17,"name":"Train ID","value":"811-27"},{"id":16,"name":"Locomotive ID","value":"4056"},{"id":130,"name":"Impact","value":""},{"id":150,"name":"Time of Event (Mountain Time)","value":"08:27:38"},{"id":151,"name":"Denver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4"/>
      <c r="AK170" s="232"/>
      <c r="AL170" s="232"/>
      <c r="AM170" s="241" t="str">
        <f t="shared" si="61"/>
        <v>start /low /b %USERPROFILE%\Documents\GitHub\eaglep3\Utilities\DownloadLogsFromS3.py --loco 4056 --day 2017-11-27</v>
      </c>
      <c r="AN170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15:27:38"},{"id":29,"name":"Sharepoint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1" t="str">
        <f t="shared" si="63"/>
        <v>https://d0f6bd738d7f1b3e5a7ca70fe4ff75f0.us-east-1.aws.found.io/app/kibana#/discover/Steve-Slow-Train-Analysis-(2080s-and-2083s)?_g=(refreshInterval:(display:Off,pause:!f,section:0,value:0),time:(from:'2017-11-27T06:58:23-0700',mode:absolute,to:'2017-11-27T09:27:38-0700'))&amp;_a=(columns:!('Message%20ID',Summary),filters:!(),index:'emp_*',interval:auto,query:(query_string:(analyze_wildcard:!t,query:'%22rtdc.l.rtdc.4056%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30" t="s">
        <v>668</v>
      </c>
      <c r="B171" s="226">
        <v>4055</v>
      </c>
      <c r="C171" s="228" t="s">
        <v>192</v>
      </c>
      <c r="D171" s="228" t="s">
        <v>941</v>
      </c>
      <c r="E171" s="227">
        <v>43066.353715277779</v>
      </c>
      <c r="F171" s="227">
        <v>43066.355416666665</v>
      </c>
      <c r="G171" s="226">
        <v>67</v>
      </c>
      <c r="H171" s="228" t="s">
        <v>942</v>
      </c>
      <c r="I171" s="227">
        <v>43066.372094907405</v>
      </c>
      <c r="J171" s="226">
        <v>0</v>
      </c>
      <c r="K171" s="238" t="str">
        <f t="shared" si="47"/>
        <v>4055/4056</v>
      </c>
      <c r="L171" s="246" t="str">
        <f>VLOOKUP(A171,'Trips&amp;Operators'!$C$1:$G$99911,5,FALSE)</f>
        <v>LONG FULLER</v>
      </c>
      <c r="M171" s="225">
        <f t="shared" si="48"/>
        <v>1.6678240739565808E-2</v>
      </c>
      <c r="N171" s="226">
        <f t="shared" si="64"/>
        <v>24.016666664974764</v>
      </c>
      <c r="O171" s="226"/>
      <c r="P171" s="226"/>
      <c r="Q171" s="229"/>
      <c r="R171" s="243"/>
      <c r="S171" s="250">
        <f t="shared" si="65"/>
        <v>1</v>
      </c>
      <c r="T171" s="243" t="str">
        <f t="shared" si="49"/>
        <v>Southbound</v>
      </c>
      <c r="U171" s="24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9" t="str">
        <f t="shared" si="50"/>
        <v>https://d0f6bd738d7f1b3e5a7ca70fe4ff75f0.us-east-1.aws.found.io/app/kibana#/discover/Steve-Slow-Train-Analysis-(2080s-and-2083s)?_g=(refreshInterval:(display:Off,pause:!f,section:0,value:0),time:(from:'2017-11-27T07:29:21-0700',mode:absolute,to:'2017-11-27T09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1" s="248" t="str">
        <f>IF(AA171&lt;VLOOKUP(AG171,Variables!$AC$3:$AD$8,2,FALSE),"Y","N")</f>
        <v>N</v>
      </c>
      <c r="X171" s="248">
        <f t="shared" si="51"/>
        <v>1</v>
      </c>
      <c r="Y171" s="248">
        <f t="shared" si="52"/>
        <v>5.8615000000000004</v>
      </c>
      <c r="Z171" s="248">
        <f t="shared" si="53"/>
        <v>9.2899999999999996E-2</v>
      </c>
      <c r="AA171" s="248">
        <f t="shared" si="54"/>
        <v>5.7686000000000002</v>
      </c>
      <c r="AB171" s="234" t="e">
        <f>VLOOKUP(A171,Enforcements!$C$7:$K$9,8,0)</f>
        <v>#N/A</v>
      </c>
      <c r="AC171" s="233" t="e">
        <f>VLOOKUP(A171,Enforcements!$C$7:$E$9,3,0)</f>
        <v>#N/A</v>
      </c>
      <c r="AD171" s="244">
        <f t="shared" si="55"/>
        <v>812</v>
      </c>
      <c r="AE171" s="236" t="str">
        <f t="shared" si="56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171" s="235" t="str">
        <f t="shared" si="57"/>
        <v>"C:\Program Files (x86)\AstroGrep\AstroGrep.exe" /e /r /s /spath="%USERPROFILE%\AppData\Local\Temp\OnboardLogs" /stypes="app*4055*20171127*" /stext=" 15:.+((SYSTEM_STATE.+slice.+state.+changed )|(ment ac)|(multiple cpu faults)|(system.+state.+changed )|(\[timeout)|(PRM\|1\|D)|(kpr)|(kdp)|(train st.+moving)|(\|lc)|(penalty))"</v>
      </c>
      <c r="AG171" s="245" t="str">
        <f t="shared" si="58"/>
        <v>NW</v>
      </c>
      <c r="AH171" s="237" t="str">
        <f t="shared" si="59"/>
        <v>"%USERPROFILE%\Documents\GitHub\eaglep3\Utilities\RefineRTDCRunTimes.py" --tripid 812-27 --locoid 4055 --swversion DE.1.0.9.0 --startMP 300:58615 --initTime 2017-11-27T08:29:21 --startdatetime 2017-11-27T08:31:48 --delay 67 --endMP 204:929 --enddatetime 2017-11-27T08:55:49 --enforcementcount 0 &gt;&gt;%USERPROFILE%\Documents\GitHub\eaglep3-reporting\EC\2017-11-27-refined-times.txt</v>
      </c>
      <c r="AI171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{"issue":{"subject":"","project_id":79,"tracker_id":40,"status_id":1,"priority_id":2,"assigned_to_id":338,"start_date":"2017-11-27","description":"","custom_fields":[{"id":1,"name":"Subdivision","value":"NW"},{"id":4,"name":"Milepost","value":"0.0929"},{"id":17,"name":"Train ID","value":"812-27"},{"id":16,"name":"Locomotive ID","value":"4055"},{"id":130,"name":"Impact","value":""},{"id":150,"name":"Time of Event (Mountain Time)","value":"08:55:49"},{"id":151,"name":"Denver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4"/>
      <c r="AK171" s="232"/>
      <c r="AL171" s="232"/>
      <c r="AM171" s="241" t="str">
        <f t="shared" si="61"/>
        <v>start /low /b %USERPROFILE%\Documents\GitHub\eaglep3\Utilities\DownloadLogsFromS3.py --loco 4055 --day 2017-11-27</v>
      </c>
      <c r="AN171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15:55:49"},{"id":29,"name":"Sharepoint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1" t="str">
        <f t="shared" si="63"/>
        <v>https://d0f6bd738d7f1b3e5a7ca70fe4ff75f0.us-east-1.aws.found.io/app/kibana#/discover/Steve-Slow-Train-Analysis-(2080s-and-2083s)?_g=(refreshInterval:(display:Off,pause:!f,section:0,value:0),time:(from:'2017-11-27T07:29:21-0700',mode:absolute,to:'2017-11-27T09:55:49-0700'))&amp;_a=(columns:!('Message%20ID',Summary),filters:!(),index:'emp_*',interval:auto,query:(query_string:(analyze_wildcard:!t,query:'%22rtdc.l.rtdc.4055%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30" t="s">
        <v>673</v>
      </c>
      <c r="B172" s="226">
        <v>4056</v>
      </c>
      <c r="C172" s="228" t="s">
        <v>192</v>
      </c>
      <c r="D172" s="228" t="s">
        <v>506</v>
      </c>
      <c r="E172" s="227">
        <v>43066.373749999999</v>
      </c>
      <c r="F172" s="227">
        <v>43066.381516203706</v>
      </c>
      <c r="G172" s="226">
        <v>79</v>
      </c>
      <c r="H172" s="228" t="s">
        <v>943</v>
      </c>
      <c r="I172" s="227">
        <v>43066.391770833332</v>
      </c>
      <c r="J172" s="226">
        <v>0</v>
      </c>
      <c r="K172" s="238" t="str">
        <f t="shared" si="47"/>
        <v>4055/4056</v>
      </c>
      <c r="L172" s="246" t="str">
        <f>VLOOKUP(A172,'Trips&amp;Operators'!$C$1:$G$99911,5,FALSE)</f>
        <v>LONG FULLER</v>
      </c>
      <c r="M172" s="225">
        <f t="shared" si="48"/>
        <v>1.0254629625706002E-2</v>
      </c>
      <c r="N172" s="226">
        <f t="shared" si="64"/>
        <v>14.766666661016643</v>
      </c>
      <c r="O172" s="226"/>
      <c r="P172" s="226"/>
      <c r="Q172" s="229"/>
      <c r="R172" s="243"/>
      <c r="S172" s="250">
        <f t="shared" si="65"/>
        <v>1</v>
      </c>
      <c r="T172" s="243" t="str">
        <f t="shared" si="49"/>
        <v>NorthBound</v>
      </c>
      <c r="U172" s="24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9" t="str">
        <f t="shared" si="50"/>
        <v>https://d0f6bd738d7f1b3e5a7ca70fe4ff75f0.us-east-1.aws.found.io/app/kibana#/discover/Steve-Slow-Train-Analysis-(2080s-and-2083s)?_g=(refreshInterval:(display:Off,pause:!f,section:0,value:0),time:(from:'2017-11-27T07:58:12-0700',mode:absolute,to:'2017-11-27T10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2" s="248" t="str">
        <f>IF(AA172&lt;VLOOKUP(AG172,Variables!$AC$3:$AD$8,2,FALSE),"Y","N")</f>
        <v>N</v>
      </c>
      <c r="X172" s="248">
        <f t="shared" si="51"/>
        <v>1</v>
      </c>
      <c r="Y172" s="248">
        <f t="shared" si="52"/>
        <v>0.1111</v>
      </c>
      <c r="Z172" s="248">
        <f t="shared" si="53"/>
        <v>5.8939000000000004</v>
      </c>
      <c r="AA172" s="248">
        <f t="shared" si="54"/>
        <v>5.7827999999999999</v>
      </c>
      <c r="AB172" s="234" t="e">
        <f>VLOOKUP(A172,Enforcements!$C$7:$K$9,8,0)</f>
        <v>#N/A</v>
      </c>
      <c r="AC172" s="233" t="e">
        <f>VLOOKUP(A172,Enforcements!$C$7:$E$9,3,0)</f>
        <v>#N/A</v>
      </c>
      <c r="AD172" s="244">
        <f t="shared" si="55"/>
        <v>813</v>
      </c>
      <c r="AE172" s="236" t="str">
        <f t="shared" si="56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172" s="235" t="str">
        <f t="shared" si="57"/>
        <v>"C:\Program Files (x86)\AstroGrep\AstroGrep.exe" /e /r /s /spath="%USERPROFILE%\AppData\Local\Temp\OnboardLogs" /stypes="app*4056*20171127*" /stext=" 16:.+((SYSTEM_STATE.+slice.+state.+changed )|(ment ac)|(multiple cpu faults)|(system.+state.+changed )|(\[timeout)|(PRM\|1\|D)|(kpr)|(kdp)|(train st.+moving)|(\|lc)|(penalty))"</v>
      </c>
      <c r="AG172" s="245" t="str">
        <f t="shared" si="58"/>
        <v>NW</v>
      </c>
      <c r="AH172" s="237" t="str">
        <f t="shared" si="59"/>
        <v>"%USERPROFILE%\Documents\GitHub\eaglep3\Utilities\RefineRTDCRunTimes.py" --tripid 813-27 --locoid 4056 --swversion DE.1.0.9.0 --startMP 204:1111 --initTime 2017-11-27T08:58:12 --startdatetime 2017-11-27T09:09:23 --delay 79 --endMP 300:58939 --enddatetime 2017-11-27T09:24:09 --enforcementcount 0 &gt;&gt;%USERPROFILE%\Documents\GitHub\eaglep3-reporting\EC\2017-11-27-refined-times.txt</v>
      </c>
      <c r="AI172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{"issue":{"subject":"","project_id":79,"tracker_id":40,"status_id":1,"priority_id":2,"assigned_to_id":338,"start_date":"2017-11-27","description":"","custom_fields":[{"id":1,"name":"Subdivision","value":"NW"},{"id":4,"name":"Milepost","value":"5.8939"},{"id":17,"name":"Train ID","value":"813-27"},{"id":16,"name":"Locomotive ID","value":"4056"},{"id":130,"name":"Impact","value":""},{"id":150,"name":"Time of Event (Mountain Time)","value":"09:24:09"},{"id":151,"name":"Denver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4"/>
      <c r="AK172" s="232"/>
      <c r="AL172" s="232"/>
      <c r="AM172" s="241" t="str">
        <f t="shared" si="61"/>
        <v>start /low /b %USERPROFILE%\Documents\GitHub\eaglep3\Utilities\DownloadLogsFromS3.py --loco 4056 --day 2017-11-27</v>
      </c>
      <c r="AN172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16:24:09"},{"id":29,"name":"Sharepoint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1" t="str">
        <f t="shared" si="63"/>
        <v>https://d0f6bd738d7f1b3e5a7ca70fe4ff75f0.us-east-1.aws.found.io/app/kibana#/discover/Steve-Slow-Train-Analysis-(2080s-and-2083s)?_g=(refreshInterval:(display:Off,pause:!f,section:0,value:0),time:(from:'2017-11-27T07:58:12-0700',mode:absolute,to:'2017-11-27T10:24:09-0700'))&amp;_a=(columns:!('Message%20ID',Summary),filters:!(),index:'emp_*',interval:auto,query:(query_string:(analyze_wildcard:!t,query:'%22rtdc.l.rtdc.4056%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30" t="s">
        <v>676</v>
      </c>
      <c r="B173" s="226">
        <v>4055</v>
      </c>
      <c r="C173" s="228" t="s">
        <v>192</v>
      </c>
      <c r="D173" s="228" t="s">
        <v>941</v>
      </c>
      <c r="E173" s="227">
        <v>43066.393136574072</v>
      </c>
      <c r="F173" s="227">
        <v>43066.396192129629</v>
      </c>
      <c r="G173" s="226">
        <v>77</v>
      </c>
      <c r="H173" s="228" t="s">
        <v>944</v>
      </c>
      <c r="I173" s="227">
        <v>43066.413530092592</v>
      </c>
      <c r="J173" s="226">
        <v>0</v>
      </c>
      <c r="K173" s="238" t="str">
        <f t="shared" si="47"/>
        <v>4055/4056</v>
      </c>
      <c r="L173" s="246" t="str">
        <f>VLOOKUP(A173,'Trips&amp;Operators'!$C$1:$G$99911,5,FALSE)</f>
        <v>LONG FULLER</v>
      </c>
      <c r="M173" s="225">
        <f t="shared" si="48"/>
        <v>1.7337962963210884E-2</v>
      </c>
      <c r="N173" s="226">
        <f t="shared" si="64"/>
        <v>24.966666667023674</v>
      </c>
      <c r="O173" s="226"/>
      <c r="P173" s="226"/>
      <c r="Q173" s="229"/>
      <c r="R173" s="243"/>
      <c r="S173" s="250">
        <f t="shared" si="65"/>
        <v>1</v>
      </c>
      <c r="T173" s="243" t="str">
        <f t="shared" si="49"/>
        <v>Southbound</v>
      </c>
      <c r="U173" s="24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9" t="str">
        <f t="shared" si="50"/>
        <v>https://d0f6bd738d7f1b3e5a7ca70fe4ff75f0.us-east-1.aws.found.io/app/kibana#/discover/Steve-Slow-Train-Analysis-(2080s-and-2083s)?_g=(refreshInterval:(display:Off,pause:!f,section:0,value:0),time:(from:'2017-11-27T08:26:07-0700',mode:absolute,to:'2017-11-27T10:55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3" s="248" t="str">
        <f>IF(AA173&lt;VLOOKUP(AG173,Variables!$AC$3:$AD$8,2,FALSE),"Y","N")</f>
        <v>N</v>
      </c>
      <c r="X173" s="248">
        <f t="shared" si="51"/>
        <v>1</v>
      </c>
      <c r="Y173" s="248">
        <f t="shared" si="52"/>
        <v>5.8615000000000004</v>
      </c>
      <c r="Z173" s="248">
        <f t="shared" si="53"/>
        <v>8.5199999999999998E-2</v>
      </c>
      <c r="AA173" s="248">
        <f t="shared" si="54"/>
        <v>5.7763</v>
      </c>
      <c r="AB173" s="234" t="e">
        <f>VLOOKUP(A173,Enforcements!$C$7:$K$9,8,0)</f>
        <v>#N/A</v>
      </c>
      <c r="AC173" s="233" t="e">
        <f>VLOOKUP(A173,Enforcements!$C$7:$E$9,3,0)</f>
        <v>#N/A</v>
      </c>
      <c r="AD173" s="244">
        <f t="shared" si="55"/>
        <v>814</v>
      </c>
      <c r="AE173" s="236" t="str">
        <f t="shared" si="56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173" s="235" t="str">
        <f t="shared" si="57"/>
        <v>"C:\Program Files (x86)\AstroGrep\AstroGrep.exe" /e /r /s /spath="%USERPROFILE%\AppData\Local\Temp\OnboardLogs" /stypes="app*4055*20171127*" /stext=" 16:.+((SYSTEM_STATE.+slice.+state.+changed )|(ment ac)|(multiple cpu faults)|(system.+state.+changed )|(\[timeout)|(PRM\|1\|D)|(kpr)|(kdp)|(train st.+moving)|(\|lc)|(penalty))"</v>
      </c>
      <c r="AG173" s="245" t="str">
        <f t="shared" si="58"/>
        <v>NW</v>
      </c>
      <c r="AH173" s="237" t="str">
        <f t="shared" si="59"/>
        <v>"%USERPROFILE%\Documents\GitHub\eaglep3\Utilities\RefineRTDCRunTimes.py" --tripid 814-27 --locoid 4055 --swversion DE.1.0.9.0 --startMP 300:58615 --initTime 2017-11-27T09:26:07 --startdatetime 2017-11-27T09:30:31 --delay 77 --endMP 204:852 --enddatetime 2017-11-27T09:55:29 --enforcementcount 0 &gt;&gt;%USERPROFILE%\Documents\GitHub\eaglep3-reporting\EC\2017-11-27-refined-times.txt</v>
      </c>
      <c r="AI173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{"issue":{"subject":"","project_id":79,"tracker_id":40,"status_id":1,"priority_id":2,"assigned_to_id":338,"start_date":"2017-11-27","description":"","custom_fields":[{"id":1,"name":"Subdivision","value":"NW"},{"id":4,"name":"Milepost","value":"0.0852"},{"id":17,"name":"Train ID","value":"814-27"},{"id":16,"name":"Locomotive ID","value":"4055"},{"id":130,"name":"Impact","value":""},{"id":150,"name":"Time of Event (Mountain Time)","value":"09:55:29"},{"id":151,"name":"Denver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4"/>
      <c r="AK173" s="232"/>
      <c r="AL173" s="232"/>
      <c r="AM173" s="241" t="str">
        <f t="shared" si="61"/>
        <v>start /low /b %USERPROFILE%\Documents\GitHub\eaglep3\Utilities\DownloadLogsFromS3.py --loco 4055 --day 2017-11-27</v>
      </c>
      <c r="AN173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16:55:29"},{"id":29,"name":"Sharepoint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1" t="str">
        <f t="shared" si="63"/>
        <v>https://d0f6bd738d7f1b3e5a7ca70fe4ff75f0.us-east-1.aws.found.io/app/kibana#/discover/Steve-Slow-Train-Analysis-(2080s-and-2083s)?_g=(refreshInterval:(display:Off,pause:!f,section:0,value:0),time:(from:'2017-11-27T08:26:07-0700',mode:absolute,to:'2017-11-27T10:55:29-0700'))&amp;_a=(columns:!('Message%20ID',Summary),filters:!(),index:'emp_*',interval:auto,query:(query_string:(analyze_wildcard:!t,query:'%22rtdc.l.rtdc.4055%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30" t="s">
        <v>681</v>
      </c>
      <c r="B174" s="226">
        <v>4056</v>
      </c>
      <c r="C174" s="228" t="s">
        <v>192</v>
      </c>
      <c r="D174" s="228" t="s">
        <v>504</v>
      </c>
      <c r="E174" s="227">
        <v>43066.415219907409</v>
      </c>
      <c r="F174" s="227">
        <v>43066.423067129632</v>
      </c>
      <c r="G174" s="226">
        <v>62</v>
      </c>
      <c r="H174" s="228" t="s">
        <v>945</v>
      </c>
      <c r="I174" s="227">
        <v>43066.432002314818</v>
      </c>
      <c r="J174" s="226">
        <v>0</v>
      </c>
      <c r="K174" s="238" t="str">
        <f t="shared" si="47"/>
        <v>4055/4056</v>
      </c>
      <c r="L174" s="246" t="str">
        <f>VLOOKUP(A174,'Trips&amp;Operators'!$C$1:$G$99911,5,FALSE)</f>
        <v>LONG FULLER</v>
      </c>
      <c r="M174" s="225">
        <f t="shared" si="48"/>
        <v>8.9351851856918074E-3</v>
      </c>
      <c r="N174" s="226">
        <f t="shared" si="64"/>
        <v>12.866666667396203</v>
      </c>
      <c r="O174" s="226"/>
      <c r="P174" s="226"/>
      <c r="Q174" s="229"/>
      <c r="R174" s="243"/>
      <c r="S174" s="250">
        <f t="shared" si="65"/>
        <v>1</v>
      </c>
      <c r="T174" s="243" t="str">
        <f t="shared" si="49"/>
        <v>NorthBound</v>
      </c>
      <c r="U174" s="24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9" t="str">
        <f t="shared" si="50"/>
        <v>https://d0f6bd738d7f1b3e5a7ca70fe4ff75f0.us-east-1.aws.found.io/app/kibana#/discover/Steve-Slow-Train-Analysis-(2080s-and-2083s)?_g=(refreshInterval:(display:Off,pause:!f,section:0,value:0),time:(from:'2017-11-27T08:57:55-0700',mode:absolute,to:'2017-11-27T11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4" s="248" t="str">
        <f>IF(AA174&lt;VLOOKUP(AG174,Variables!$AC$3:$AD$8,2,FALSE),"Y","N")</f>
        <v>N</v>
      </c>
      <c r="X174" s="248">
        <f t="shared" si="51"/>
        <v>1</v>
      </c>
      <c r="Y174" s="248">
        <f t="shared" si="52"/>
        <v>0.1128</v>
      </c>
      <c r="Z174" s="248">
        <f t="shared" si="53"/>
        <v>5.8920000000000003</v>
      </c>
      <c r="AA174" s="248">
        <f t="shared" si="54"/>
        <v>5.7792000000000003</v>
      </c>
      <c r="AB174" s="234" t="e">
        <f>VLOOKUP(A174,Enforcements!$C$7:$K$9,8,0)</f>
        <v>#N/A</v>
      </c>
      <c r="AC174" s="233" t="e">
        <f>VLOOKUP(A174,Enforcements!$C$7:$E$9,3,0)</f>
        <v>#N/A</v>
      </c>
      <c r="AD174" s="244">
        <f t="shared" si="55"/>
        <v>815</v>
      </c>
      <c r="AE174" s="236" t="str">
        <f t="shared" si="56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174" s="235" t="str">
        <f t="shared" si="57"/>
        <v>"C:\Program Files (x86)\AstroGrep\AstroGrep.exe" /e /r /s /spath="%USERPROFILE%\AppData\Local\Temp\OnboardLogs" /stypes="app*4056*20171127*" /stext=" 17:.+((SYSTEM_STATE.+slice.+state.+changed )|(ment ac)|(multiple cpu faults)|(system.+state.+changed )|(\[timeout)|(PRM\|1\|D)|(kpr)|(kdp)|(train st.+moving)|(\|lc)|(penalty))"</v>
      </c>
      <c r="AG174" s="245" t="str">
        <f t="shared" si="58"/>
        <v>NW</v>
      </c>
      <c r="AH174" s="237" t="str">
        <f t="shared" si="59"/>
        <v>"%USERPROFILE%\Documents\GitHub\eaglep3\Utilities\RefineRTDCRunTimes.py" --tripid 815-27 --locoid 4056 --swversion DE.1.0.9.0 --startMP 204:1128 --initTime 2017-11-27T09:57:55 --startdatetime 2017-11-27T10:09:13 --delay 62 --endMP 300:58920 --enddatetime 2017-11-27T10:22:05 --enforcementcount 0 &gt;&gt;%USERPROFILE%\Documents\GitHub\eaglep3-reporting\EC\2017-11-27-refined-times.txt</v>
      </c>
      <c r="AI174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{"issue":{"subject":"","project_id":79,"tracker_id":40,"status_id":1,"priority_id":2,"assigned_to_id":338,"start_date":"2017-11-27","description":"","custom_fields":[{"id":1,"name":"Subdivision","value":"NW"},{"id":4,"name":"Milepost","value":"5.892"},{"id":17,"name":"Train ID","value":"815-27"},{"id":16,"name":"Locomotive ID","value":"4056"},{"id":130,"name":"Impact","value":""},{"id":150,"name":"Time of Event (Mountain Time)","value":"10:22:05"},{"id":151,"name":"Denver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4"/>
      <c r="AK174" s="232"/>
      <c r="AL174" s="232"/>
      <c r="AM174" s="241" t="str">
        <f t="shared" si="61"/>
        <v>start /low /b %USERPROFILE%\Documents\GitHub\eaglep3\Utilities\DownloadLogsFromS3.py --loco 4056 --day 2017-11-27</v>
      </c>
      <c r="AN174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17:22:05"},{"id":29,"name":"Sharepoint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1" t="str">
        <f t="shared" si="63"/>
        <v>https://d0f6bd738d7f1b3e5a7ca70fe4ff75f0.us-east-1.aws.found.io/app/kibana#/discover/Steve-Slow-Train-Analysis-(2080s-and-2083s)?_g=(refreshInterval:(display:Off,pause:!f,section:0,value:0),time:(from:'2017-11-27T08:57:55-0700',mode:absolute,to:'2017-11-27T11:22:05-0700'))&amp;_a=(columns:!('Message%20ID',Summary),filters:!(),index:'emp_*',interval:auto,query:(query_string:(analyze_wildcard:!t,query:'%22rtdc.l.rtdc.4056%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30" t="s">
        <v>684</v>
      </c>
      <c r="B175" s="226">
        <v>4055</v>
      </c>
      <c r="C175" s="228" t="s">
        <v>192</v>
      </c>
      <c r="D175" s="228" t="s">
        <v>554</v>
      </c>
      <c r="E175" s="227">
        <v>43066.43273148148</v>
      </c>
      <c r="F175" s="227">
        <v>43066.445833333331</v>
      </c>
      <c r="G175" s="226">
        <v>50</v>
      </c>
      <c r="H175" s="228" t="s">
        <v>946</v>
      </c>
      <c r="I175" s="227">
        <v>43066.454386574071</v>
      </c>
      <c r="J175" s="226">
        <v>0</v>
      </c>
      <c r="K175" s="238" t="str">
        <f t="shared" si="47"/>
        <v>4055/4056</v>
      </c>
      <c r="L175" s="246" t="str">
        <f>VLOOKUP(A175,'Trips&amp;Operators'!$C$1:$G$99911,5,FALSE)</f>
        <v>LONG FULLER</v>
      </c>
      <c r="M175" s="225">
        <f t="shared" si="48"/>
        <v>8.55324073927477E-3</v>
      </c>
      <c r="N175" s="226">
        <f t="shared" ref="N175:N206" si="66">24*60*SUM($M175:$M175)</f>
        <v>12.316666664555669</v>
      </c>
      <c r="O175" s="226"/>
      <c r="P175" s="226"/>
      <c r="Q175" s="229"/>
      <c r="R175" s="243"/>
      <c r="S175" s="250">
        <f t="shared" si="65"/>
        <v>1</v>
      </c>
      <c r="T175" s="243" t="str">
        <f t="shared" si="49"/>
        <v>Southbound</v>
      </c>
      <c r="U175" s="24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9" t="str">
        <f t="shared" si="50"/>
        <v>https://d0f6bd738d7f1b3e5a7ca70fe4ff75f0.us-east-1.aws.found.io/app/kibana#/discover/Steve-Slow-Train-Analysis-(2080s-and-2083s)?_g=(refreshInterval:(display:Off,pause:!f,section:0,value:0),time:(from:'2017-11-27T09:23:08-0700',mode:absolute,to:'2017-11-27T11:54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5" s="248" t="str">
        <f>IF(AA175&lt;VLOOKUP(AG175,Variables!$AC$3:$AD$8,2,FALSE),"Y","N")</f>
        <v>N</v>
      </c>
      <c r="X175" s="248">
        <f t="shared" si="51"/>
        <v>1</v>
      </c>
      <c r="Y175" s="248">
        <f t="shared" si="52"/>
        <v>5.8601999999999999</v>
      </c>
      <c r="Z175" s="248">
        <f t="shared" si="53"/>
        <v>8.3400000000000002E-2</v>
      </c>
      <c r="AA175" s="248">
        <f t="shared" si="54"/>
        <v>5.7767999999999997</v>
      </c>
      <c r="AB175" s="234" t="e">
        <f>VLOOKUP(A175,Enforcements!$C$7:$K$9,8,0)</f>
        <v>#N/A</v>
      </c>
      <c r="AC175" s="233" t="e">
        <f>VLOOKUP(A175,Enforcements!$C$7:$E$9,3,0)</f>
        <v>#N/A</v>
      </c>
      <c r="AD175" s="244">
        <f t="shared" si="55"/>
        <v>816</v>
      </c>
      <c r="AE175" s="236" t="str">
        <f t="shared" si="56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175" s="235" t="str">
        <f t="shared" si="57"/>
        <v>"C:\Program Files (x86)\AstroGrep\AstroGrep.exe" /e /r /s /spath="%USERPROFILE%\AppData\Local\Temp\OnboardLogs" /stypes="app*4055*20171127*" /stext=" 17:.+((SYSTEM_STATE.+slice.+state.+changed )|(ment ac)|(multiple cpu faults)|(system.+state.+changed )|(\[timeout)|(PRM\|1\|D)|(kpr)|(kdp)|(train st.+moving)|(\|lc)|(penalty))"</v>
      </c>
      <c r="AG175" s="245" t="str">
        <f t="shared" si="58"/>
        <v>NW</v>
      </c>
      <c r="AH175" s="237" t="str">
        <f t="shared" si="59"/>
        <v>"%USERPROFILE%\Documents\GitHub\eaglep3\Utilities\RefineRTDCRunTimes.py" --tripid 816-27 --locoid 4055 --swversion DE.1.0.9.0 --startMP 300:58602 --initTime 2017-11-27T10:23:08 --startdatetime 2017-11-27T10:42:00 --delay 50 --endMP 204:834 --enddatetime 2017-11-27T10:54:19 --enforcementcount 0 &gt;&gt;%USERPROFILE%\Documents\GitHub\eaglep3-reporting\EC\2017-11-27-refined-times.txt</v>
      </c>
      <c r="AI175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{"issue":{"subject":"","project_id":79,"tracker_id":40,"status_id":1,"priority_id":2,"assigned_to_id":338,"start_date":"2017-11-27","description":"","custom_fields":[{"id":1,"name":"Subdivision","value":"NW"},{"id":4,"name":"Milepost","value":"0.0834"},{"id":17,"name":"Train ID","value":"816-27"},{"id":16,"name":"Locomotive ID","value":"4055"},{"id":130,"name":"Impact","value":""},{"id":150,"name":"Time of Event (Mountain Time)","value":"10:54:19"},{"id":151,"name":"Denver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4"/>
      <c r="AK175" s="232"/>
      <c r="AL175" s="232"/>
      <c r="AM175" s="241" t="str">
        <f t="shared" si="61"/>
        <v>start /low /b %USERPROFILE%\Documents\GitHub\eaglep3\Utilities\DownloadLogsFromS3.py --loco 4055 --day 2017-11-27</v>
      </c>
      <c r="AN175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17:54:19"},{"id":29,"name":"Sharepoint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1" t="str">
        <f t="shared" si="63"/>
        <v>https://d0f6bd738d7f1b3e5a7ca70fe4ff75f0.us-east-1.aws.found.io/app/kibana#/discover/Steve-Slow-Train-Analysis-(2080s-and-2083s)?_g=(refreshInterval:(display:Off,pause:!f,section:0,value:0),time:(from:'2017-11-27T09:23:08-0700',mode:absolute,to:'2017-11-27T11:54:19-0700'))&amp;_a=(columns:!('Message%20ID',Summary),filters:!(),index:'emp_*',interval:auto,query:(query_string:(analyze_wildcard:!t,query:'%22rtdc.l.rtdc.4055%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30" t="s">
        <v>691</v>
      </c>
      <c r="B176" s="226">
        <v>4056</v>
      </c>
      <c r="C176" s="228" t="s">
        <v>192</v>
      </c>
      <c r="D176" s="228" t="s">
        <v>562</v>
      </c>
      <c r="E176" s="227">
        <v>43066.457118055558</v>
      </c>
      <c r="F176" s="227">
        <v>43066.464745370373</v>
      </c>
      <c r="G176" s="226">
        <v>90</v>
      </c>
      <c r="H176" s="228" t="s">
        <v>947</v>
      </c>
      <c r="I176" s="227">
        <v>43066.474074074074</v>
      </c>
      <c r="J176" s="226">
        <v>0</v>
      </c>
      <c r="K176" s="238" t="str">
        <f t="shared" si="47"/>
        <v>4055/4056</v>
      </c>
      <c r="L176" s="246" t="str">
        <f>VLOOKUP(A176,'Trips&amp;Operators'!$C$1:$G$99911,5,FALSE)</f>
        <v>LONG FULLER</v>
      </c>
      <c r="M176" s="225">
        <f t="shared" si="48"/>
        <v>9.3287037016125396E-3</v>
      </c>
      <c r="N176" s="226">
        <f t="shared" si="66"/>
        <v>13.433333330322057</v>
      </c>
      <c r="O176" s="226"/>
      <c r="P176" s="226"/>
      <c r="Q176" s="229"/>
      <c r="R176" s="243"/>
      <c r="S176" s="250">
        <f t="shared" si="65"/>
        <v>1</v>
      </c>
      <c r="T176" s="243" t="str">
        <f t="shared" si="49"/>
        <v>NorthBound</v>
      </c>
      <c r="U176" s="24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9" t="str">
        <f t="shared" si="50"/>
        <v>https://d0f6bd738d7f1b3e5a7ca70fe4ff75f0.us-east-1.aws.found.io/app/kibana#/discover/Steve-Slow-Train-Analysis-(2080s-and-2083s)?_g=(refreshInterval:(display:Off,pause:!f,section:0,value:0),time:(from:'2017-11-27T09:58:15-0700',mode:absolute,to:'2017-11-27T12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6" s="248" t="str">
        <f>IF(AA176&lt;VLOOKUP(AG176,Variables!$AC$3:$AD$8,2,FALSE),"Y","N")</f>
        <v>N</v>
      </c>
      <c r="X176" s="248">
        <f t="shared" si="51"/>
        <v>1</v>
      </c>
      <c r="Y176" s="248">
        <f t="shared" si="52"/>
        <v>0.1125</v>
      </c>
      <c r="Z176" s="248">
        <f t="shared" si="53"/>
        <v>5.8929</v>
      </c>
      <c r="AA176" s="248">
        <f t="shared" si="54"/>
        <v>5.7804000000000002</v>
      </c>
      <c r="AB176" s="234" t="e">
        <f>VLOOKUP(A176,Enforcements!$C$7:$K$9,8,0)</f>
        <v>#N/A</v>
      </c>
      <c r="AC176" s="233" t="e">
        <f>VLOOKUP(A176,Enforcements!$C$7:$E$9,3,0)</f>
        <v>#N/A</v>
      </c>
      <c r="AD176" s="244">
        <f t="shared" si="55"/>
        <v>817</v>
      </c>
      <c r="AE176" s="236" t="str">
        <f t="shared" si="56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176" s="235" t="str">
        <f t="shared" si="57"/>
        <v>"C:\Program Files (x86)\AstroGrep\AstroGrep.exe" /e /r /s /spath="%USERPROFILE%\AppData\Local\Temp\OnboardLogs" /stypes="app*4056*20171127*" /stext=" 18:.+((SYSTEM_STATE.+slice.+state.+changed )|(ment ac)|(multiple cpu faults)|(system.+state.+changed )|(\[timeout)|(PRM\|1\|D)|(kpr)|(kdp)|(train st.+moving)|(\|lc)|(penalty))"</v>
      </c>
      <c r="AG176" s="245" t="str">
        <f t="shared" si="58"/>
        <v>NW</v>
      </c>
      <c r="AH176" s="237" t="str">
        <f t="shared" si="59"/>
        <v>"%USERPROFILE%\Documents\GitHub\eaglep3\Utilities\RefineRTDCRunTimes.py" --tripid 817-27 --locoid 4056 --swversion DE.1.0.9.0 --startMP 204:1125 --initTime 2017-11-27T10:58:15 --startdatetime 2017-11-27T11:09:14 --delay 90 --endMP 300:58929 --enddatetime 2017-11-27T11:22:40 --enforcementcount 0 &gt;&gt;%USERPROFILE%\Documents\GitHub\eaglep3-reporting\EC\2017-11-27-refined-times.txt</v>
      </c>
      <c r="AI176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{"issue":{"subject":"","project_id":79,"tracker_id":40,"status_id":1,"priority_id":2,"assigned_to_id":338,"start_date":"2017-11-27","description":"","custom_fields":[{"id":1,"name":"Subdivision","value":"NW"},{"id":4,"name":"Milepost","value":"5.8929"},{"id":17,"name":"Train ID","value":"817-27"},{"id":16,"name":"Locomotive ID","value":"4056"},{"id":130,"name":"Impact","value":""},{"id":150,"name":"Time of Event (Mountain Time)","value":"11:22:40"},{"id":151,"name":"Denver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4"/>
      <c r="AK176" s="232"/>
      <c r="AL176" s="232"/>
      <c r="AM176" s="241" t="str">
        <f t="shared" si="61"/>
        <v>start /low /b %USERPROFILE%\Documents\GitHub\eaglep3\Utilities\DownloadLogsFromS3.py --loco 4056 --day 2017-11-27</v>
      </c>
      <c r="AN176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18:22:40"},{"id":29,"name":"Sharepoint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1" t="str">
        <f t="shared" si="63"/>
        <v>https://d0f6bd738d7f1b3e5a7ca70fe4ff75f0.us-east-1.aws.found.io/app/kibana#/discover/Steve-Slow-Train-Analysis-(2080s-and-2083s)?_g=(refreshInterval:(display:Off,pause:!f,section:0,value:0),time:(from:'2017-11-27T09:58:15-0700',mode:absolute,to:'2017-11-27T12:22:40-0700'))&amp;_a=(columns:!('Message%20ID',Summary),filters:!(),index:'emp_*',interval:auto,query:(query_string:(analyze_wildcard:!t,query:'%22rtdc.l.rtdc.4056%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30" t="s">
        <v>695</v>
      </c>
      <c r="B177" s="226">
        <v>4055</v>
      </c>
      <c r="C177" s="228" t="s">
        <v>192</v>
      </c>
      <c r="D177" s="228" t="s">
        <v>935</v>
      </c>
      <c r="E177" s="227">
        <v>43066.474756944444</v>
      </c>
      <c r="F177" s="227">
        <v>43066.487500000003</v>
      </c>
      <c r="G177" s="226">
        <v>48</v>
      </c>
      <c r="H177" s="228" t="s">
        <v>948</v>
      </c>
      <c r="I177" s="227">
        <v>43066.496030092596</v>
      </c>
      <c r="J177" s="226">
        <v>0</v>
      </c>
      <c r="K177" s="238" t="str">
        <f t="shared" si="47"/>
        <v>4055/4056</v>
      </c>
      <c r="L177" s="246" t="str">
        <f>VLOOKUP(A177,'Trips&amp;Operators'!$C$1:$G$99911,5,FALSE)</f>
        <v>LONG FULLER</v>
      </c>
      <c r="M177" s="225">
        <f t="shared" si="48"/>
        <v>8.5300925929914229E-3</v>
      </c>
      <c r="N177" s="226">
        <f t="shared" si="66"/>
        <v>12.283333333907649</v>
      </c>
      <c r="O177" s="226"/>
      <c r="P177" s="226"/>
      <c r="Q177" s="229"/>
      <c r="R177" s="243"/>
      <c r="S177" s="250">
        <f t="shared" si="65"/>
        <v>1</v>
      </c>
      <c r="T177" s="243" t="str">
        <f t="shared" si="49"/>
        <v>Southbound</v>
      </c>
      <c r="U177" s="24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9" t="str">
        <f t="shared" si="50"/>
        <v>https://d0f6bd738d7f1b3e5a7ca70fe4ff75f0.us-east-1.aws.found.io/app/kibana#/discover/Steve-Slow-Train-Analysis-(2080s-and-2083s)?_g=(refreshInterval:(display:Off,pause:!f,section:0,value:0),time:(from:'2017-11-27T10:23:39-0700',mode:absolute,to:'2017-11-27T12:54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7" s="248" t="str">
        <f>IF(AA177&lt;VLOOKUP(AG177,Variables!$AC$3:$AD$8,2,FALSE),"Y","N")</f>
        <v>N</v>
      </c>
      <c r="X177" s="248">
        <f t="shared" si="51"/>
        <v>1</v>
      </c>
      <c r="Y177" s="248">
        <f t="shared" si="52"/>
        <v>5.8613</v>
      </c>
      <c r="Z177" s="248">
        <f t="shared" si="53"/>
        <v>8.6699999999999999E-2</v>
      </c>
      <c r="AA177" s="248">
        <f t="shared" si="54"/>
        <v>5.7745999999999995</v>
      </c>
      <c r="AB177" s="234" t="e">
        <f>VLOOKUP(A177,Enforcements!$C$7:$K$9,8,0)</f>
        <v>#N/A</v>
      </c>
      <c r="AC177" s="233" t="e">
        <f>VLOOKUP(A177,Enforcements!$C$7:$E$9,3,0)</f>
        <v>#N/A</v>
      </c>
      <c r="AD177" s="244">
        <f t="shared" si="55"/>
        <v>818</v>
      </c>
      <c r="AE177" s="236" t="str">
        <f t="shared" si="56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177" s="235" t="str">
        <f t="shared" si="57"/>
        <v>"C:\Program Files (x86)\AstroGrep\AstroGrep.exe" /e /r /s /spath="%USERPROFILE%\AppData\Local\Temp\OnboardLogs" /stypes="app*4055*20171127*" /stext=" 18:.+((SYSTEM_STATE.+slice.+state.+changed )|(ment ac)|(multiple cpu faults)|(system.+state.+changed )|(\[timeout)|(PRM\|1\|D)|(kpr)|(kdp)|(train st.+moving)|(\|lc)|(penalty))"</v>
      </c>
      <c r="AG177" s="245" t="str">
        <f t="shared" si="58"/>
        <v>NW</v>
      </c>
      <c r="AH177" s="237" t="str">
        <f t="shared" si="59"/>
        <v>"%USERPROFILE%\Documents\GitHub\eaglep3\Utilities\RefineRTDCRunTimes.py" --tripid 818-27 --locoid 4055 --swversion DE.1.0.9.0 --startMP 300:58613 --initTime 2017-11-27T11:23:39 --startdatetime 2017-11-27T11:42:00 --delay 48 --endMP 204:867 --enddatetime 2017-11-27T11:54:17 --enforcementcount 0 &gt;&gt;%USERPROFILE%\Documents\GitHub\eaglep3-reporting\EC\2017-11-27-refined-times.txt</v>
      </c>
      <c r="AI177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{"issue":{"subject":"","project_id":79,"tracker_id":40,"status_id":1,"priority_id":2,"assigned_to_id":338,"start_date":"2017-11-27","description":"","custom_fields":[{"id":1,"name":"Subdivision","value":"NW"},{"id":4,"name":"Milepost","value":"0.0867"},{"id":17,"name":"Train ID","value":"818-27"},{"id":16,"name":"Locomotive ID","value":"4055"},{"id":130,"name":"Impact","value":""},{"id":150,"name":"Time of Event (Mountain Time)","value":"11:54:17"},{"id":151,"name":"Denver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4"/>
      <c r="AK177" s="232"/>
      <c r="AL177" s="232"/>
      <c r="AM177" s="241" t="str">
        <f t="shared" si="61"/>
        <v>start /low /b %USERPROFILE%\Documents\GitHub\eaglep3\Utilities\DownloadLogsFromS3.py --loco 4055 --day 2017-11-27</v>
      </c>
      <c r="AN177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18:54:17"},{"id":29,"name":"Sharepoint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1" t="str">
        <f t="shared" si="63"/>
        <v>https://d0f6bd738d7f1b3e5a7ca70fe4ff75f0.us-east-1.aws.found.io/app/kibana#/discover/Steve-Slow-Train-Analysis-(2080s-and-2083s)?_g=(refreshInterval:(display:Off,pause:!f,section:0,value:0),time:(from:'2017-11-27T10:23:39-0700',mode:absolute,to:'2017-11-27T12:54:17-0700'))&amp;_a=(columns:!('Message%20ID',Summary),filters:!(),index:'emp_*',interval:auto,query:(query_string:(analyze_wildcard:!t,query:'%22rtdc.l.rtdc.4055%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30" t="s">
        <v>703</v>
      </c>
      <c r="B178" s="226">
        <v>4056</v>
      </c>
      <c r="C178" s="228" t="s">
        <v>192</v>
      </c>
      <c r="D178" s="228" t="s">
        <v>559</v>
      </c>
      <c r="E178" s="227">
        <v>43066.498796296299</v>
      </c>
      <c r="F178" s="227">
        <v>43066.50640046296</v>
      </c>
      <c r="G178" s="226">
        <v>124</v>
      </c>
      <c r="H178" s="228" t="s">
        <v>505</v>
      </c>
      <c r="I178" s="227">
        <v>43066.515335648146</v>
      </c>
      <c r="J178" s="226">
        <v>0</v>
      </c>
      <c r="K178" s="238" t="str">
        <f t="shared" si="47"/>
        <v>4055/4056</v>
      </c>
      <c r="L178" s="246" t="str">
        <f>VLOOKUP(A178,'Trips&amp;Operators'!$C$1:$G$99911,5,FALSE)</f>
        <v>LONG FULLER</v>
      </c>
      <c r="M178" s="225">
        <f t="shared" si="48"/>
        <v>8.9351851856918074E-3</v>
      </c>
      <c r="N178" s="226">
        <f t="shared" si="66"/>
        <v>12.866666667396203</v>
      </c>
      <c r="O178" s="226"/>
      <c r="P178" s="226"/>
      <c r="Q178" s="229"/>
      <c r="R178" s="243"/>
      <c r="S178" s="250">
        <f t="shared" si="65"/>
        <v>1</v>
      </c>
      <c r="T178" s="243" t="str">
        <f t="shared" si="49"/>
        <v>NorthBound</v>
      </c>
      <c r="U178" s="24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9" t="str">
        <f t="shared" si="50"/>
        <v>https://d0f6bd738d7f1b3e5a7ca70fe4ff75f0.us-east-1.aws.found.io/app/kibana#/discover/Steve-Slow-Train-Analysis-(2080s-and-2083s)?_g=(refreshInterval:(display:Off,pause:!f,section:0,value:0),time:(from:'2017-11-27T10:58:16-0700',mode:absolute,to:'2017-11-27T13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8" s="248" t="str">
        <f>IF(AA178&lt;VLOOKUP(AG178,Variables!$AC$3:$AD$8,2,FALSE),"Y","N")</f>
        <v>N</v>
      </c>
      <c r="X178" s="248">
        <f t="shared" si="51"/>
        <v>1</v>
      </c>
      <c r="Y178" s="248">
        <f t="shared" si="52"/>
        <v>0.1154</v>
      </c>
      <c r="Z178" s="248">
        <f t="shared" si="53"/>
        <v>5.8930999999999996</v>
      </c>
      <c r="AA178" s="248">
        <f t="shared" si="54"/>
        <v>5.7776999999999994</v>
      </c>
      <c r="AB178" s="234" t="e">
        <f>VLOOKUP(A178,Enforcements!$C$7:$K$9,8,0)</f>
        <v>#N/A</v>
      </c>
      <c r="AC178" s="233" t="e">
        <f>VLOOKUP(A178,Enforcements!$C$7:$E$9,3,0)</f>
        <v>#N/A</v>
      </c>
      <c r="AD178" s="244">
        <f t="shared" si="55"/>
        <v>819</v>
      </c>
      <c r="AE178" s="236" t="str">
        <f t="shared" si="56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178" s="235" t="str">
        <f t="shared" si="57"/>
        <v>"C:\Program Files (x86)\AstroGrep\AstroGrep.exe" /e /r /s /spath="%USERPROFILE%\AppData\Local\Temp\OnboardLogs" /stypes="app*4056*20171127*" /stext=" 19:.+((SYSTEM_STATE.+slice.+state.+changed )|(ment ac)|(multiple cpu faults)|(system.+state.+changed )|(\[timeout)|(PRM\|1\|D)|(kpr)|(kdp)|(train st.+moving)|(\|lc)|(penalty))"</v>
      </c>
      <c r="AG178" s="245" t="str">
        <f t="shared" si="58"/>
        <v>NW</v>
      </c>
      <c r="AH178" s="237" t="str">
        <f t="shared" si="59"/>
        <v>"%USERPROFILE%\Documents\GitHub\eaglep3\Utilities\RefineRTDCRunTimes.py" --tripid 819-27 --locoid 4056 --swversion DE.1.0.9.0 --startMP 204:1154 --initTime 2017-11-27T11:58:16 --startdatetime 2017-11-27T12:09:13 --delay 124 --endMP 300:58931 --enddatetime 2017-11-27T12:22:05 --enforcementcount 0 &gt;&gt;%USERPROFILE%\Documents\GitHub\eaglep3-reporting\EC\2017-11-27-refined-times.txt</v>
      </c>
      <c r="AI178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{"issue":{"subject":"","project_id":79,"tracker_id":40,"status_id":1,"priority_id":2,"assigned_to_id":338,"start_date":"2017-11-27","description":"","custom_fields":[{"id":1,"name":"Subdivision","value":"NW"},{"id":4,"name":"Milepost","value":"5.8931"},{"id":17,"name":"Train ID","value":"819-27"},{"id":16,"name":"Locomotive ID","value":"4056"},{"id":130,"name":"Impact","value":""},{"id":150,"name":"Time of Event (Mountain Time)","value":"12:22:05"},{"id":151,"name":"Denver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4"/>
      <c r="AK178" s="232"/>
      <c r="AL178" s="232"/>
      <c r="AM178" s="241" t="str">
        <f t="shared" si="61"/>
        <v>start /low /b %USERPROFILE%\Documents\GitHub\eaglep3\Utilities\DownloadLogsFromS3.py --loco 4056 --day 2017-11-27</v>
      </c>
      <c r="AN178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19:22:05"},{"id":29,"name":"Sharepoint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1" t="str">
        <f t="shared" si="63"/>
        <v>https://d0f6bd738d7f1b3e5a7ca70fe4ff75f0.us-east-1.aws.found.io/app/kibana#/discover/Steve-Slow-Train-Analysis-(2080s-and-2083s)?_g=(refreshInterval:(display:Off,pause:!f,section:0,value:0),time:(from:'2017-11-27T10:58:16-0700',mode:absolute,to:'2017-11-27T13:22:05-0700'))&amp;_a=(columns:!('Message%20ID',Summary),filters:!(),index:'emp_*',interval:auto,query:(query_string:(analyze_wildcard:!t,query:'%22rtdc.l.rtdc.4056%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30" t="s">
        <v>707</v>
      </c>
      <c r="B179" s="226">
        <v>4055</v>
      </c>
      <c r="C179" s="228" t="s">
        <v>192</v>
      </c>
      <c r="D179" s="228" t="s">
        <v>503</v>
      </c>
      <c r="E179" s="227">
        <v>43066.516087962962</v>
      </c>
      <c r="F179" s="227">
        <v>43066.529166666667</v>
      </c>
      <c r="G179" s="226">
        <v>86</v>
      </c>
      <c r="H179" s="228" t="s">
        <v>949</v>
      </c>
      <c r="I179" s="227">
        <v>43066.537708333337</v>
      </c>
      <c r="J179" s="226">
        <v>0</v>
      </c>
      <c r="K179" s="238" t="str">
        <f t="shared" si="47"/>
        <v>4055/4056</v>
      </c>
      <c r="L179" s="246" t="str">
        <f>VLOOKUP(A179,'Trips&amp;Operators'!$C$1:$G$99911,5,FALSE)</f>
        <v>LONG FULLER</v>
      </c>
      <c r="M179" s="225">
        <f t="shared" si="48"/>
        <v>8.5416666697710752E-3</v>
      </c>
      <c r="N179" s="226">
        <f t="shared" si="66"/>
        <v>12.300000004470348</v>
      </c>
      <c r="O179" s="226"/>
      <c r="P179" s="226"/>
      <c r="Q179" s="229"/>
      <c r="R179" s="243"/>
      <c r="S179" s="250">
        <f t="shared" si="65"/>
        <v>1</v>
      </c>
      <c r="T179" s="243" t="str">
        <f t="shared" si="49"/>
        <v>Southbound</v>
      </c>
      <c r="U179" s="24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9" t="str">
        <f t="shared" si="50"/>
        <v>https://d0f6bd738d7f1b3e5a7ca70fe4ff75f0.us-east-1.aws.found.io/app/kibana#/discover/Steve-Slow-Train-Analysis-(2080s-and-2083s)?_g=(refreshInterval:(display:Off,pause:!f,section:0,value:0),time:(from:'2017-11-27T11:23:10-0700',mode:absolute,to:'2017-11-27T13:54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9" s="248" t="str">
        <f>IF(AA179&lt;VLOOKUP(AG179,Variables!$AC$3:$AD$8,2,FALSE),"Y","N")</f>
        <v>N</v>
      </c>
      <c r="X179" s="248">
        <f t="shared" si="51"/>
        <v>1</v>
      </c>
      <c r="Y179" s="248">
        <f t="shared" si="52"/>
        <v>5.8611000000000004</v>
      </c>
      <c r="Z179" s="248">
        <f t="shared" si="53"/>
        <v>8.3599999999999994E-2</v>
      </c>
      <c r="AA179" s="248">
        <f t="shared" si="54"/>
        <v>5.7775000000000007</v>
      </c>
      <c r="AB179" s="234" t="e">
        <f>VLOOKUP(A179,Enforcements!$C$7:$K$9,8,0)</f>
        <v>#N/A</v>
      </c>
      <c r="AC179" s="233" t="e">
        <f>VLOOKUP(A179,Enforcements!$C$7:$E$9,3,0)</f>
        <v>#N/A</v>
      </c>
      <c r="AD179" s="244">
        <f t="shared" si="55"/>
        <v>820</v>
      </c>
      <c r="AE179" s="236" t="str">
        <f t="shared" si="56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179" s="235" t="str">
        <f t="shared" si="57"/>
        <v>"C:\Program Files (x86)\AstroGrep\AstroGrep.exe" /e /r /s /spath="%USERPROFILE%\AppData\Local\Temp\OnboardLogs" /stypes="app*4055*20171127*" /stext=" 19:.+((SYSTEM_STATE.+slice.+state.+changed )|(ment ac)|(multiple cpu faults)|(system.+state.+changed )|(\[timeout)|(PRM\|1\|D)|(kpr)|(kdp)|(train st.+moving)|(\|lc)|(penalty))"</v>
      </c>
      <c r="AG179" s="245" t="str">
        <f t="shared" si="58"/>
        <v>NW</v>
      </c>
      <c r="AH179" s="237" t="str">
        <f t="shared" si="59"/>
        <v>"%USERPROFILE%\Documents\GitHub\eaglep3\Utilities\RefineRTDCRunTimes.py" --tripid 820-27 --locoid 4055 --swversion DE.1.0.9.0 --startMP 300:58611 --initTime 2017-11-27T12:23:10 --startdatetime 2017-11-27T12:42:00 --delay 86 --endMP 204:836 --enddatetime 2017-11-27T12:54:18 --enforcementcount 0 &gt;&gt;%USERPROFILE%\Documents\GitHub\eaglep3-reporting\EC\2017-11-27-refined-times.txt</v>
      </c>
      <c r="AI179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{"issue":{"subject":"","project_id":79,"tracker_id":40,"status_id":1,"priority_id":2,"assigned_to_id":338,"start_date":"2017-11-27","description":"","custom_fields":[{"id":1,"name":"Subdivision","value":"NW"},{"id":4,"name":"Milepost","value":"0.0836"},{"id":17,"name":"Train ID","value":"820-27"},{"id":16,"name":"Locomotive ID","value":"4055"},{"id":130,"name":"Impact","value":""},{"id":150,"name":"Time of Event (Mountain Time)","value":"12:54:18"},{"id":151,"name":"Denver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4"/>
      <c r="AK179" s="232"/>
      <c r="AL179" s="232"/>
      <c r="AM179" s="241" t="str">
        <f t="shared" si="61"/>
        <v>start /low /b %USERPROFILE%\Documents\GitHub\eaglep3\Utilities\DownloadLogsFromS3.py --loco 4055 --day 2017-11-27</v>
      </c>
      <c r="AN179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19:54:18"},{"id":29,"name":"Sharepoint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1" t="str">
        <f t="shared" si="63"/>
        <v>https://d0f6bd738d7f1b3e5a7ca70fe4ff75f0.us-east-1.aws.found.io/app/kibana#/discover/Steve-Slow-Train-Analysis-(2080s-and-2083s)?_g=(refreshInterval:(display:Off,pause:!f,section:0,value:0),time:(from:'2017-11-27T11:23:10-0700',mode:absolute,to:'2017-11-27T13:54:18-0700'))&amp;_a=(columns:!('Message%20ID',Summary),filters:!(),index:'emp_*',interval:auto,query:(query_string:(analyze_wildcard:!t,query:'%22rtdc.l.rtdc.4055%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30" t="s">
        <v>714</v>
      </c>
      <c r="B180" s="226">
        <v>4056</v>
      </c>
      <c r="C180" s="228" t="s">
        <v>192</v>
      </c>
      <c r="D180" s="228" t="s">
        <v>950</v>
      </c>
      <c r="E180" s="227">
        <v>43066.545960648145</v>
      </c>
      <c r="F180" s="227">
        <v>43066.548136574071</v>
      </c>
      <c r="G180" s="226">
        <v>114</v>
      </c>
      <c r="H180" s="228" t="s">
        <v>951</v>
      </c>
      <c r="I180" s="227">
        <v>43066.557696759257</v>
      </c>
      <c r="J180" s="226">
        <v>0</v>
      </c>
      <c r="K180" s="238" t="str">
        <f t="shared" si="47"/>
        <v>4055/4056</v>
      </c>
      <c r="L180" s="246" t="str">
        <f>VLOOKUP(A180,'Trips&amp;Operators'!$C$1:$G$99911,5,FALSE)</f>
        <v>BIRENBAUM THOMAS</v>
      </c>
      <c r="M180" s="225">
        <f t="shared" si="48"/>
        <v>9.560185186273884E-3</v>
      </c>
      <c r="N180" s="226">
        <f t="shared" si="66"/>
        <v>13.766666668234393</v>
      </c>
      <c r="O180" s="226"/>
      <c r="P180" s="226"/>
      <c r="Q180" s="229"/>
      <c r="R180" s="243"/>
      <c r="S180" s="250">
        <f t="shared" si="65"/>
        <v>1</v>
      </c>
      <c r="T180" s="243" t="str">
        <f t="shared" si="49"/>
        <v>NorthBound</v>
      </c>
      <c r="U180" s="24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9" t="str">
        <f t="shared" si="50"/>
        <v>https://d0f6bd738d7f1b3e5a7ca70fe4ff75f0.us-east-1.aws.found.io/app/kibana#/discover/Steve-Slow-Train-Analysis-(2080s-and-2083s)?_g=(refreshInterval:(display:Off,pause:!f,section:0,value:0),time:(from:'2017-11-27T12:06:11-0700',mode:absolute,to:'2017-11-27T14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0" s="248" t="str">
        <f>IF(AA180&lt;VLOOKUP(AG180,Variables!$AC$3:$AD$8,2,FALSE),"Y","N")</f>
        <v>N</v>
      </c>
      <c r="X180" s="248">
        <f t="shared" si="51"/>
        <v>1</v>
      </c>
      <c r="Y180" s="248">
        <f t="shared" si="52"/>
        <v>0.1119</v>
      </c>
      <c r="Z180" s="248">
        <f t="shared" si="53"/>
        <v>5.8936999999999999</v>
      </c>
      <c r="AA180" s="248">
        <f t="shared" si="54"/>
        <v>5.7817999999999996</v>
      </c>
      <c r="AB180" s="234" t="e">
        <f>VLOOKUP(A180,Enforcements!$C$7:$K$9,8,0)</f>
        <v>#N/A</v>
      </c>
      <c r="AC180" s="233" t="e">
        <f>VLOOKUP(A180,Enforcements!$C$7:$E$9,3,0)</f>
        <v>#N/A</v>
      </c>
      <c r="AD180" s="244">
        <f t="shared" si="55"/>
        <v>821</v>
      </c>
      <c r="AE180" s="236" t="str">
        <f t="shared" si="56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180" s="235" t="str">
        <f t="shared" si="57"/>
        <v>"C:\Program Files (x86)\AstroGrep\AstroGrep.exe" /e /r /s /spath="%USERPROFILE%\AppData\Local\Temp\OnboardLogs" /stypes="app*4056*20171127*" /stext=" 20:.+((SYSTEM_STATE.+slice.+state.+changed )|(ment ac)|(multiple cpu faults)|(system.+state.+changed )|(\[timeout)|(PRM\|1\|D)|(kpr)|(kdp)|(train st.+moving)|(\|lc)|(penalty))"</v>
      </c>
      <c r="AG180" s="245" t="str">
        <f t="shared" si="58"/>
        <v>NW</v>
      </c>
      <c r="AH180" s="237" t="str">
        <f t="shared" si="59"/>
        <v>"%USERPROFILE%\Documents\GitHub\eaglep3\Utilities\RefineRTDCRunTimes.py" --tripid 821-27 --locoid 4056 --swversion DE.1.0.9.0 --startMP 204:1119 --initTime 2017-11-27T13:06:11 --startdatetime 2017-11-27T13:09:19 --delay 114 --endMP 300:58937 --enddatetime 2017-11-27T13:23:05 --enforcementcount 0 &gt;&gt;%USERPROFILE%\Documents\GitHub\eaglep3-reporting\EC\2017-11-27-refined-times.txt</v>
      </c>
      <c r="AI180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{"issue":{"subject":"","project_id":79,"tracker_id":40,"status_id":1,"priority_id":2,"assigned_to_id":338,"start_date":"2017-11-27","description":"","custom_fields":[{"id":1,"name":"Subdivision","value":"NW"},{"id":4,"name":"Milepost","value":"5.8937"},{"id":17,"name":"Train ID","value":"821-27"},{"id":16,"name":"Locomotive ID","value":"4056"},{"id":130,"name":"Impact","value":""},{"id":150,"name":"Time of Event (Mountain Time)","value":"13:23:05"},{"id":151,"name":"Denver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4"/>
      <c r="AK180" s="232"/>
      <c r="AL180" s="232"/>
      <c r="AM180" s="241" t="str">
        <f t="shared" si="61"/>
        <v>start /low /b %USERPROFILE%\Documents\GitHub\eaglep3\Utilities\DownloadLogsFromS3.py --loco 4056 --day 2017-11-27</v>
      </c>
      <c r="AN180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20:23:05"},{"id":29,"name":"Sharepoint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1" t="str">
        <f t="shared" si="63"/>
        <v>https://d0f6bd738d7f1b3e5a7ca70fe4ff75f0.us-east-1.aws.found.io/app/kibana#/discover/Steve-Slow-Train-Analysis-(2080s-and-2083s)?_g=(refreshInterval:(display:Off,pause:!f,section:0,value:0),time:(from:'2017-11-27T12:06:11-0700',mode:absolute,to:'2017-11-27T14:23:05-0700'))&amp;_a=(columns:!('Message%20ID',Summary),filters:!(),index:'emp_*',interval:auto,query:(query_string:(analyze_wildcard:!t,query:'%22rtdc.l.rtdc.4056%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30" t="s">
        <v>718</v>
      </c>
      <c r="B181" s="226">
        <v>4055</v>
      </c>
      <c r="C181" s="228" t="s">
        <v>192</v>
      </c>
      <c r="D181" s="228" t="s">
        <v>952</v>
      </c>
      <c r="E181" s="227">
        <v>43066.558900462966</v>
      </c>
      <c r="F181" s="227">
        <v>43066.570833333331</v>
      </c>
      <c r="G181" s="226">
        <v>61</v>
      </c>
      <c r="H181" s="228" t="s">
        <v>953</v>
      </c>
      <c r="I181" s="227">
        <v>43066.579108796293</v>
      </c>
      <c r="J181" s="226">
        <v>0</v>
      </c>
      <c r="K181" s="238" t="str">
        <f t="shared" si="47"/>
        <v>4055/4056</v>
      </c>
      <c r="L181" s="246" t="str">
        <f>VLOOKUP(A181,'Trips&amp;Operators'!$C$1:$G$99911,5,FALSE)</f>
        <v>BIRENBAUM THOMAS</v>
      </c>
      <c r="M181" s="225">
        <f t="shared" si="48"/>
        <v>8.2754629620467313E-3</v>
      </c>
      <c r="N181" s="226">
        <f t="shared" si="66"/>
        <v>11.916666665347293</v>
      </c>
      <c r="O181" s="226"/>
      <c r="P181" s="226"/>
      <c r="Q181" s="229"/>
      <c r="R181" s="243"/>
      <c r="S181" s="250">
        <f t="shared" si="65"/>
        <v>1</v>
      </c>
      <c r="T181" s="243" t="str">
        <f t="shared" si="49"/>
        <v>Southbound</v>
      </c>
      <c r="U181" s="24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9" t="str">
        <f t="shared" si="50"/>
        <v>https://d0f6bd738d7f1b3e5a7ca70fe4ff75f0.us-east-1.aws.found.io/app/kibana#/discover/Steve-Slow-Train-Analysis-(2080s-and-2083s)?_g=(refreshInterval:(display:Off,pause:!f,section:0,value:0),time:(from:'2017-11-27T12:24:49-0700',mode:absolute,to:'2017-11-27T14:53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1" s="248" t="str">
        <f>IF(AA181&lt;VLOOKUP(AG181,Variables!$AC$3:$AD$8,2,FALSE),"Y","N")</f>
        <v>N</v>
      </c>
      <c r="X181" s="248">
        <f t="shared" si="51"/>
        <v>1</v>
      </c>
      <c r="Y181" s="248">
        <f t="shared" si="52"/>
        <v>5.8625999999999996</v>
      </c>
      <c r="Z181" s="248">
        <f t="shared" si="53"/>
        <v>8.0799999999999997E-2</v>
      </c>
      <c r="AA181" s="248">
        <f t="shared" si="54"/>
        <v>5.7817999999999996</v>
      </c>
      <c r="AB181" s="234" t="e">
        <f>VLOOKUP(A181,Enforcements!$C$7:$K$9,8,0)</f>
        <v>#N/A</v>
      </c>
      <c r="AC181" s="233" t="e">
        <f>VLOOKUP(A181,Enforcements!$C$7:$E$9,3,0)</f>
        <v>#N/A</v>
      </c>
      <c r="AD181" s="244">
        <f t="shared" si="55"/>
        <v>822</v>
      </c>
      <c r="AE181" s="236" t="str">
        <f t="shared" si="56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181" s="235" t="str">
        <f t="shared" si="57"/>
        <v>"C:\Program Files (x86)\AstroGrep\AstroGrep.exe" /e /r /s /spath="%USERPROFILE%\AppData\Local\Temp\OnboardLogs" /stypes="app*4055*20171127*" /stext=" 20:.+((SYSTEM_STATE.+slice.+state.+changed )|(ment ac)|(multiple cpu faults)|(system.+state.+changed )|(\[timeout)|(PRM\|1\|D)|(kpr)|(kdp)|(train st.+moving)|(\|lc)|(penalty))"</v>
      </c>
      <c r="AG181" s="245" t="str">
        <f t="shared" si="58"/>
        <v>NW</v>
      </c>
      <c r="AH181" s="237" t="str">
        <f t="shared" si="59"/>
        <v>"%USERPROFILE%\Documents\GitHub\eaglep3\Utilities\RefineRTDCRunTimes.py" --tripid 822-27 --locoid 4055 --swversion DE.1.0.9.0 --startMP 300:58626 --initTime 2017-11-27T13:24:49 --startdatetime 2017-11-27T13:42:00 --delay 61 --endMP 204:808 --enddatetime 2017-11-27T13:53:55 --enforcementcount 0 &gt;&gt;%USERPROFILE%\Documents\GitHub\eaglep3-reporting\EC\2017-11-27-refined-times.txt</v>
      </c>
      <c r="AI181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{"issue":{"subject":"","project_id":79,"tracker_id":40,"status_id":1,"priority_id":2,"assigned_to_id":338,"start_date":"2017-11-27","description":"","custom_fields":[{"id":1,"name":"Subdivision","value":"NW"},{"id":4,"name":"Milepost","value":"0.0808"},{"id":17,"name":"Train ID","value":"822-27"},{"id":16,"name":"Locomotive ID","value":"4055"},{"id":130,"name":"Impact","value":""},{"id":150,"name":"Time of Event (Mountain Time)","value":"13:53:55"},{"id":151,"name":"Denver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4"/>
      <c r="AK181" s="232"/>
      <c r="AL181" s="232"/>
      <c r="AM181" s="241" t="str">
        <f t="shared" si="61"/>
        <v>start /low /b %USERPROFILE%\Documents\GitHub\eaglep3\Utilities\DownloadLogsFromS3.py --loco 4055 --day 2017-11-27</v>
      </c>
      <c r="AN181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20:53:55"},{"id":29,"name":"Sharepoint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1" t="str">
        <f t="shared" si="63"/>
        <v>https://d0f6bd738d7f1b3e5a7ca70fe4ff75f0.us-east-1.aws.found.io/app/kibana#/discover/Steve-Slow-Train-Analysis-(2080s-and-2083s)?_g=(refreshInterval:(display:Off,pause:!f,section:0,value:0),time:(from:'2017-11-27T12:24:49-0700',mode:absolute,to:'2017-11-27T14:53:55-0700'))&amp;_a=(columns:!('Message%20ID',Summary),filters:!(),index:'emp_*',interval:auto,query:(query_string:(analyze_wildcard:!t,query:'%22rtdc.l.rtdc.4055%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30" t="s">
        <v>723</v>
      </c>
      <c r="B182" s="226">
        <v>4056</v>
      </c>
      <c r="C182" s="228" t="s">
        <v>192</v>
      </c>
      <c r="D182" s="228" t="s">
        <v>954</v>
      </c>
      <c r="E182" s="227">
        <v>43066.580972222226</v>
      </c>
      <c r="F182" s="227">
        <v>43066.589745370373</v>
      </c>
      <c r="G182" s="226">
        <v>46</v>
      </c>
      <c r="H182" s="228" t="s">
        <v>955</v>
      </c>
      <c r="I182" s="227">
        <v>43066.599247685182</v>
      </c>
      <c r="J182" s="226">
        <v>0</v>
      </c>
      <c r="K182" s="238" t="str">
        <f t="shared" si="47"/>
        <v>4055/4056</v>
      </c>
      <c r="L182" s="246" t="str">
        <f>VLOOKUP(A182,'Trips&amp;Operators'!$C$1:$G$99911,5,FALSE)</f>
        <v>BIRENBAUM THOMAS</v>
      </c>
      <c r="M182" s="225">
        <f t="shared" si="48"/>
        <v>9.5023148096515797E-3</v>
      </c>
      <c r="N182" s="226">
        <f t="shared" si="66"/>
        <v>13.683333325898275</v>
      </c>
      <c r="O182" s="226"/>
      <c r="P182" s="226"/>
      <c r="Q182" s="229"/>
      <c r="R182" s="243"/>
      <c r="S182" s="250">
        <f t="shared" si="65"/>
        <v>1</v>
      </c>
      <c r="T182" s="243" t="str">
        <f t="shared" si="49"/>
        <v>NorthBound</v>
      </c>
      <c r="U182" s="24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9" t="str">
        <f t="shared" si="50"/>
        <v>https://d0f6bd738d7f1b3e5a7ca70fe4ff75f0.us-east-1.aws.found.io/app/kibana#/discover/Steve-Slow-Train-Analysis-(2080s-and-2083s)?_g=(refreshInterval:(display:Off,pause:!f,section:0,value:0),time:(from:'2017-11-27T12:56:36-0700',mode:absolute,to:'2017-11-27T15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2" s="248" t="str">
        <f>IF(AA182&lt;VLOOKUP(AG182,Variables!$AC$3:$AD$8,2,FALSE),"Y","N")</f>
        <v>N</v>
      </c>
      <c r="X182" s="248">
        <f t="shared" si="51"/>
        <v>1</v>
      </c>
      <c r="Y182" s="248">
        <f t="shared" si="52"/>
        <v>0.1132</v>
      </c>
      <c r="Z182" s="248">
        <f t="shared" si="53"/>
        <v>5.8943000000000003</v>
      </c>
      <c r="AA182" s="248">
        <f t="shared" si="54"/>
        <v>5.7811000000000003</v>
      </c>
      <c r="AB182" s="234" t="e">
        <f>VLOOKUP(A182,Enforcements!$C$7:$K$9,8,0)</f>
        <v>#N/A</v>
      </c>
      <c r="AC182" s="233" t="e">
        <f>VLOOKUP(A182,Enforcements!$C$7:$E$9,3,0)</f>
        <v>#N/A</v>
      </c>
      <c r="AD182" s="244">
        <f t="shared" si="55"/>
        <v>823</v>
      </c>
      <c r="AE182" s="236" t="str">
        <f t="shared" si="56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182" s="235" t="str">
        <f t="shared" si="57"/>
        <v>"C:\Program Files (x86)\AstroGrep\AstroGrep.exe" /e /r /s /spath="%USERPROFILE%\AppData\Local\Temp\OnboardLogs" /stypes="app*4056*20171127*" /stext=" 21:.+((SYSTEM_STATE.+slice.+state.+changed )|(ment ac)|(multiple cpu faults)|(system.+state.+changed )|(\[timeout)|(PRM\|1\|D)|(kpr)|(kdp)|(train st.+moving)|(\|lc)|(penalty))"</v>
      </c>
      <c r="AG182" s="245" t="str">
        <f t="shared" si="58"/>
        <v>NW</v>
      </c>
      <c r="AH182" s="237" t="str">
        <f t="shared" si="59"/>
        <v>"%USERPROFILE%\Documents\GitHub\eaglep3\Utilities\RefineRTDCRunTimes.py" --tripid 823-27 --locoid 4056 --swversion DE.1.0.9.0 --startMP 204:1132 --initTime 2017-11-27T13:56:36 --startdatetime 2017-11-27T14:09:14 --delay 46 --endMP 300:58943 --enddatetime 2017-11-27T14:22:55 --enforcementcount 0 &gt;&gt;%USERPROFILE%\Documents\GitHub\eaglep3-reporting\EC\2017-11-27-refined-times.txt</v>
      </c>
      <c r="AI182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{"issue":{"subject":"","project_id":79,"tracker_id":40,"status_id":1,"priority_id":2,"assigned_to_id":338,"start_date":"2017-11-27","description":"","custom_fields":[{"id":1,"name":"Subdivision","value":"NW"},{"id":4,"name":"Milepost","value":"5.8943"},{"id":17,"name":"Train ID","value":"823-27"},{"id":16,"name":"Locomotive ID","value":"4056"},{"id":130,"name":"Impact","value":""},{"id":150,"name":"Time of Event (Mountain Time)","value":"14:22:55"},{"id":151,"name":"Denver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4"/>
      <c r="AK182" s="232"/>
      <c r="AL182" s="232"/>
      <c r="AM182" s="241" t="str">
        <f t="shared" si="61"/>
        <v>start /low /b %USERPROFILE%\Documents\GitHub\eaglep3\Utilities\DownloadLogsFromS3.py --loco 4056 --day 2017-11-27</v>
      </c>
      <c r="AN182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21:22:55"},{"id":29,"name":"Sharepoint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1" t="str">
        <f t="shared" si="63"/>
        <v>https://d0f6bd738d7f1b3e5a7ca70fe4ff75f0.us-east-1.aws.found.io/app/kibana#/discover/Steve-Slow-Train-Analysis-(2080s-and-2083s)?_g=(refreshInterval:(display:Off,pause:!f,section:0,value:0),time:(from:'2017-11-27T12:56:36-0700',mode:absolute,to:'2017-11-27T15:22:55-0700'))&amp;_a=(columns:!('Message%20ID',Summary),filters:!(),index:'emp_*',interval:auto,query:(query_string:(analyze_wildcard:!t,query:'%22rtdc.l.rtdc.4056%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30" t="s">
        <v>728</v>
      </c>
      <c r="B183" s="226">
        <v>4055</v>
      </c>
      <c r="C183" s="228" t="s">
        <v>192</v>
      </c>
      <c r="D183" s="228" t="s">
        <v>952</v>
      </c>
      <c r="E183" s="227">
        <v>43066.600578703707</v>
      </c>
      <c r="F183" s="227">
        <v>43066.612500000003</v>
      </c>
      <c r="G183" s="226">
        <v>54</v>
      </c>
      <c r="H183" s="228" t="s">
        <v>558</v>
      </c>
      <c r="I183" s="227">
        <v>43066.621412037035</v>
      </c>
      <c r="J183" s="226">
        <v>0</v>
      </c>
      <c r="K183" s="238" t="str">
        <f t="shared" si="47"/>
        <v>4055/4056</v>
      </c>
      <c r="L183" s="246" t="str">
        <f>VLOOKUP(A183,'Trips&amp;Operators'!$C$1:$G$99911,5,FALSE)</f>
        <v>BIRENBAUM THOMAS</v>
      </c>
      <c r="M183" s="225">
        <f t="shared" si="48"/>
        <v>8.9120370321325026E-3</v>
      </c>
      <c r="N183" s="226">
        <f t="shared" si="66"/>
        <v>12.833333326270804</v>
      </c>
      <c r="O183" s="226"/>
      <c r="P183" s="226"/>
      <c r="Q183" s="229"/>
      <c r="R183" s="243"/>
      <c r="S183" s="250">
        <f t="shared" si="65"/>
        <v>1</v>
      </c>
      <c r="T183" s="243" t="str">
        <f t="shared" si="49"/>
        <v>Southbound</v>
      </c>
      <c r="U183" s="24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9" t="str">
        <f t="shared" si="50"/>
        <v>https://d0f6bd738d7f1b3e5a7ca70fe4ff75f0.us-east-1.aws.found.io/app/kibana#/discover/Steve-Slow-Train-Analysis-(2080s-and-2083s)?_g=(refreshInterval:(display:Off,pause:!f,section:0,value:0),time:(from:'2017-11-27T13:24:50-0700',mode:absolute,to:'2017-11-27T15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3" s="248" t="str">
        <f>IF(AA183&lt;VLOOKUP(AG183,Variables!$AC$3:$AD$8,2,FALSE),"Y","N")</f>
        <v>N</v>
      </c>
      <c r="X183" s="248">
        <f t="shared" si="51"/>
        <v>1</v>
      </c>
      <c r="Y183" s="248">
        <f t="shared" si="52"/>
        <v>5.8625999999999996</v>
      </c>
      <c r="Z183" s="248">
        <f t="shared" si="53"/>
        <v>8.4500000000000006E-2</v>
      </c>
      <c r="AA183" s="248">
        <f t="shared" si="54"/>
        <v>5.7780999999999993</v>
      </c>
      <c r="AB183" s="234" t="e">
        <f>VLOOKUP(A183,Enforcements!$C$7:$K$9,8,0)</f>
        <v>#N/A</v>
      </c>
      <c r="AC183" s="233" t="e">
        <f>VLOOKUP(A183,Enforcements!$C$7:$E$9,3,0)</f>
        <v>#N/A</v>
      </c>
      <c r="AD183" s="244">
        <f t="shared" si="55"/>
        <v>824</v>
      </c>
      <c r="AE183" s="236" t="str">
        <f t="shared" si="56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183" s="235" t="str">
        <f t="shared" si="57"/>
        <v>"C:\Program Files (x86)\AstroGrep\AstroGrep.exe" /e /r /s /spath="%USERPROFILE%\AppData\Local\Temp\OnboardLogs" /stypes="app*4055*20171127*" /stext=" 21:.+((SYSTEM_STATE.+slice.+state.+changed )|(ment ac)|(multiple cpu faults)|(system.+state.+changed )|(\[timeout)|(PRM\|1\|D)|(kpr)|(kdp)|(train st.+moving)|(\|lc)|(penalty))"</v>
      </c>
      <c r="AG183" s="245" t="str">
        <f t="shared" si="58"/>
        <v>NW</v>
      </c>
      <c r="AH183" s="237" t="str">
        <f t="shared" si="59"/>
        <v>"%USERPROFILE%\Documents\GitHub\eaglep3\Utilities\RefineRTDCRunTimes.py" --tripid 824-27 --locoid 4055 --swversion DE.1.0.9.0 --startMP 300:58626 --initTime 2017-11-27T14:24:50 --startdatetime 2017-11-27T14:42:00 --delay 54 --endMP 204:845 --enddatetime 2017-11-27T14:54:50 --enforcementcount 0 &gt;&gt;%USERPROFILE%\Documents\GitHub\eaglep3-reporting\EC\2017-11-27-refined-times.txt</v>
      </c>
      <c r="AI183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{"issue":{"subject":"","project_id":79,"tracker_id":40,"status_id":1,"priority_id":2,"assigned_to_id":338,"start_date":"2017-11-27","description":"","custom_fields":[{"id":1,"name":"Subdivision","value":"NW"},{"id":4,"name":"Milepost","value":"0.0845"},{"id":17,"name":"Train ID","value":"824-27"},{"id":16,"name":"Locomotive ID","value":"4055"},{"id":130,"name":"Impact","value":""},{"id":150,"name":"Time of Event (Mountain Time)","value":"14:54:50"},{"id":151,"name":"Denver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4"/>
      <c r="AK183" s="232"/>
      <c r="AL183" s="232"/>
      <c r="AM183" s="241" t="str">
        <f t="shared" si="61"/>
        <v>start /low /b %USERPROFILE%\Documents\GitHub\eaglep3\Utilities\DownloadLogsFromS3.py --loco 4055 --day 2017-11-27</v>
      </c>
      <c r="AN183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21:54:50"},{"id":29,"name":"Sharepoint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1" t="str">
        <f t="shared" si="63"/>
        <v>https://d0f6bd738d7f1b3e5a7ca70fe4ff75f0.us-east-1.aws.found.io/app/kibana#/discover/Steve-Slow-Train-Analysis-(2080s-and-2083s)?_g=(refreshInterval:(display:Off,pause:!f,section:0,value:0),time:(from:'2017-11-27T13:24:50-0700',mode:absolute,to:'2017-11-27T15:54:50-0700'))&amp;_a=(columns:!('Message%20ID',Summary),filters:!(),index:'emp_*',interval:auto,query:(query_string:(analyze_wildcard:!t,query:'%22rtdc.l.rtdc.4055%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30" t="s">
        <v>734</v>
      </c>
      <c r="B184" s="226">
        <v>4056</v>
      </c>
      <c r="C184" s="228" t="s">
        <v>192</v>
      </c>
      <c r="D184" s="228" t="s">
        <v>956</v>
      </c>
      <c r="E184" s="227">
        <v>43066.628321759257</v>
      </c>
      <c r="F184" s="227">
        <v>43066.631608796299</v>
      </c>
      <c r="G184" s="226">
        <v>46</v>
      </c>
      <c r="H184" s="228" t="s">
        <v>957</v>
      </c>
      <c r="I184" s="227">
        <v>43066.641076388885</v>
      </c>
      <c r="J184" s="226">
        <v>0</v>
      </c>
      <c r="K184" s="238" t="str">
        <f t="shared" si="47"/>
        <v>4055/4056</v>
      </c>
      <c r="L184" s="246" t="str">
        <f>VLOOKUP(A184,'Trips&amp;Operators'!$C$1:$G$99911,5,FALSE)</f>
        <v>BIRENBAUM THOMAS</v>
      </c>
      <c r="M184" s="225">
        <f t="shared" si="48"/>
        <v>9.4675925865885802E-3</v>
      </c>
      <c r="N184" s="226">
        <f t="shared" si="66"/>
        <v>13.633333324687555</v>
      </c>
      <c r="O184" s="226"/>
      <c r="P184" s="226"/>
      <c r="Q184" s="229"/>
      <c r="R184" s="243"/>
      <c r="S184" s="250">
        <f t="shared" si="65"/>
        <v>1</v>
      </c>
      <c r="T184" s="243" t="str">
        <f t="shared" si="49"/>
        <v>NorthBound</v>
      </c>
      <c r="U184" s="24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9" t="str">
        <f t="shared" si="50"/>
        <v>https://d0f6bd738d7f1b3e5a7ca70fe4ff75f0.us-east-1.aws.found.io/app/kibana#/discover/Steve-Slow-Train-Analysis-(2080s-and-2083s)?_g=(refreshInterval:(display:Off,pause:!f,section:0,value:0),time:(from:'2017-11-27T14:04:47-0700',mode:absolute,to:'2017-11-27T16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4" s="248" t="str">
        <f>IF(AA184&lt;VLOOKUP(AG184,Variables!$AC$3:$AD$8,2,FALSE),"Y","N")</f>
        <v>N</v>
      </c>
      <c r="X184" s="248">
        <f t="shared" si="51"/>
        <v>1</v>
      </c>
      <c r="Y184" s="248">
        <f t="shared" si="52"/>
        <v>0.1142</v>
      </c>
      <c r="Z184" s="248">
        <f t="shared" si="53"/>
        <v>5.8959999999999999</v>
      </c>
      <c r="AA184" s="248">
        <f t="shared" si="54"/>
        <v>5.7817999999999996</v>
      </c>
      <c r="AB184" s="234" t="e">
        <f>VLOOKUP(A184,Enforcements!$C$7:$K$9,8,0)</f>
        <v>#N/A</v>
      </c>
      <c r="AC184" s="233" t="e">
        <f>VLOOKUP(A184,Enforcements!$C$7:$E$9,3,0)</f>
        <v>#N/A</v>
      </c>
      <c r="AD184" s="244">
        <f t="shared" si="55"/>
        <v>825</v>
      </c>
      <c r="AE184" s="236" t="str">
        <f t="shared" si="56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184" s="235" t="str">
        <f t="shared" si="57"/>
        <v>"C:\Program Files (x86)\AstroGrep\AstroGrep.exe" /e /r /s /spath="%USERPROFILE%\AppData\Local\Temp\OnboardLogs" /stypes="app*4056*20171127*" /stext=" 22:.+((SYSTEM_STATE.+slice.+state.+changed )|(ment ac)|(multiple cpu faults)|(system.+state.+changed )|(\[timeout)|(PRM\|1\|D)|(kpr)|(kdp)|(train st.+moving)|(\|lc)|(penalty))"</v>
      </c>
      <c r="AG184" s="245" t="str">
        <f t="shared" si="58"/>
        <v>NW</v>
      </c>
      <c r="AH184" s="237" t="str">
        <f t="shared" si="59"/>
        <v>"%USERPROFILE%\Documents\GitHub\eaglep3\Utilities\RefineRTDCRunTimes.py" --tripid 825-27 --locoid 4056 --swversion DE.1.0.9.0 --startMP 204:1142 --initTime 2017-11-27T15:04:47 --startdatetime 2017-11-27T15:09:31 --delay 46 --endMP 300:58960 --enddatetime 2017-11-27T15:23:09 --enforcementcount 0 &gt;&gt;%USERPROFILE%\Documents\GitHub\eaglep3-reporting\EC\2017-11-27-refined-times.txt</v>
      </c>
      <c r="AI184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{"issue":{"subject":"","project_id":79,"tracker_id":40,"status_id":1,"priority_id":2,"assigned_to_id":338,"start_date":"2017-11-27","description":"","custom_fields":[{"id":1,"name":"Subdivision","value":"NW"},{"id":4,"name":"Milepost","value":"5.896"},{"id":17,"name":"Train ID","value":"825-27"},{"id":16,"name":"Locomotive ID","value":"4056"},{"id":130,"name":"Impact","value":""},{"id":150,"name":"Time of Event (Mountain Time)","value":"15:23:09"},{"id":151,"name":"Denver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4"/>
      <c r="AK184" s="232"/>
      <c r="AL184" s="232"/>
      <c r="AM184" s="241" t="str">
        <f t="shared" si="61"/>
        <v>start /low /b %USERPROFILE%\Documents\GitHub\eaglep3\Utilities\DownloadLogsFromS3.py --loco 4056 --day 2017-11-27</v>
      </c>
      <c r="AN184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22:23:09"},{"id":29,"name":"Sharepoint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1" t="str">
        <f t="shared" si="63"/>
        <v>https://d0f6bd738d7f1b3e5a7ca70fe4ff75f0.us-east-1.aws.found.io/app/kibana#/discover/Steve-Slow-Train-Analysis-(2080s-and-2083s)?_g=(refreshInterval:(display:Off,pause:!f,section:0,value:0),time:(from:'2017-11-27T14:04:47-0700',mode:absolute,to:'2017-11-27T16:23:09-0700'))&amp;_a=(columns:!('Message%20ID',Summary),filters:!(),index:'emp_*',interval:auto,query:(query_string:(analyze_wildcard:!t,query:'%22rtdc.l.rtdc.4056%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30" t="s">
        <v>739</v>
      </c>
      <c r="B185" s="226">
        <v>4055</v>
      </c>
      <c r="C185" s="228" t="s">
        <v>192</v>
      </c>
      <c r="D185" s="228" t="s">
        <v>958</v>
      </c>
      <c r="E185" s="227">
        <v>43066.642592592594</v>
      </c>
      <c r="F185" s="227">
        <v>43066.654166666667</v>
      </c>
      <c r="G185" s="226">
        <v>52</v>
      </c>
      <c r="H185" s="228">
        <v>8.5409722222222211</v>
      </c>
      <c r="I185" s="227">
        <v>43066.663043981483</v>
      </c>
      <c r="J185" s="226">
        <v>0</v>
      </c>
      <c r="K185" s="238" t="str">
        <f t="shared" si="47"/>
        <v>4055/4056</v>
      </c>
      <c r="L185" s="246" t="str">
        <f>VLOOKUP(A185,'Trips&amp;Operators'!$C$1:$G$99911,5,FALSE)</f>
        <v>BIRENBAUM THOMAS</v>
      </c>
      <c r="M185" s="225">
        <f t="shared" si="48"/>
        <v>8.8773148163454607E-3</v>
      </c>
      <c r="N185" s="226">
        <f t="shared" si="66"/>
        <v>12.783333335537463</v>
      </c>
      <c r="O185" s="226"/>
      <c r="P185" s="226"/>
      <c r="Q185" s="229"/>
      <c r="R185" s="243"/>
      <c r="S185" s="250">
        <f t="shared" ref="S185:S216" si="67">1/IF(AG185="EC",12,1)*SUM(U185:U185)</f>
        <v>0</v>
      </c>
      <c r="T185" s="243" t="str">
        <f t="shared" si="49"/>
        <v>Southbound</v>
      </c>
      <c r="U185" s="24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0</v>
      </c>
      <c r="V185" s="249" t="str">
        <f t="shared" si="50"/>
        <v>https://d0f6bd738d7f1b3e5a7ca70fe4ff75f0.us-east-1.aws.found.io/app/kibana#/discover/Steve-Slow-Train-Analysis-(2080s-and-2083s)?_g=(refreshInterval:(display:Off,pause:!f,section:0,value:0),time:(from:'2017-11-27T14:25:20-0700',mode:absolute,to:'2017-11-27T16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5" s="248" t="str">
        <f>IF(AA185&lt;VLOOKUP(AG185,Variables!$AC$3:$AD$8,2,FALSE),"Y","N")</f>
        <v>N</v>
      </c>
      <c r="X185" s="248">
        <f t="shared" si="51"/>
        <v>1</v>
      </c>
      <c r="Y185" s="248">
        <f t="shared" si="52"/>
        <v>5.8643000000000001</v>
      </c>
      <c r="Z185" s="248">
        <f t="shared" si="53"/>
        <v>9722222.2222000007</v>
      </c>
      <c r="AA185" s="248">
        <f t="shared" si="54"/>
        <v>9722216.3579000011</v>
      </c>
      <c r="AB185" s="234" t="e">
        <f>VLOOKUP(A185,Enforcements!$C$7:$K$9,8,0)</f>
        <v>#N/A</v>
      </c>
      <c r="AC185" s="233" t="e">
        <f>VLOOKUP(A185,Enforcements!$C$7:$E$9,3,0)</f>
        <v>#N/A</v>
      </c>
      <c r="AD185" s="244">
        <f t="shared" si="55"/>
        <v>826</v>
      </c>
      <c r="AE185" s="236" t="str">
        <f t="shared" si="56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185" s="235" t="str">
        <f t="shared" si="57"/>
        <v>"C:\Program Files (x86)\AstroGrep\AstroGrep.exe" /e /r /s /spath="%USERPROFILE%\AppData\Local\Temp\OnboardLogs" /stypes="app*4055*20171127*" /stext=" 22:.+((SYSTEM_STATE.+slice.+state.+changed )|(ment ac)|(multiple cpu faults)|(system.+state.+changed )|(\[timeout)|(PRM\|1\|D)|(kpr)|(kdp)|(train st.+moving)|(\|lc)|(penalty))"</v>
      </c>
      <c r="AG185" s="245" t="str">
        <f t="shared" si="58"/>
        <v>NW</v>
      </c>
      <c r="AH185" s="237" t="str">
        <f t="shared" si="59"/>
        <v>"%USERPROFILE%\Documents\GitHub\eaglep3\Utilities\RefineRTDCRunTimes.py" --tripid 826-27 --locoid 4055 --swversion DE.1.0.9.0 --startMP 300:58643 --initTime 2017-11-27T15:25:20 --startdatetime 2017-11-27T15:42:00 --delay 52 --endMP 8.54097222222222 --enddatetime 2017-11-27T15:54:47 --enforcementcount 0 &gt;&gt;%USERPROFILE%\Documents\GitHub\eaglep3-reporting\EC\2017-11-27-refined-times.txt</v>
      </c>
      <c r="AI185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9722222.2222"},{"id":17,"name":"Train ID","value":"826-27"},{"id":16,"name":"Locomotive ID","value":"4055"},{"id":130,"name":"Impact","value":""},{"id":150,"name":"Time of Event (Mountain Time)","value":"15:54:47"},{"id":151,"name":"Denver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4"/>
      <c r="AK185" s="232"/>
      <c r="AL185" s="232"/>
      <c r="AM185" s="241" t="str">
        <f t="shared" si="61"/>
        <v>start /low /b %USERPROFILE%\Documents\GitHub\eaglep3\Utilities\DownloadLogsFromS3.py --loco 4055 --day 2017-11-27</v>
      </c>
      <c r="AN185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22:54:47"},{"id":29,"name":"Sharepoint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1" t="str">
        <f t="shared" si="63"/>
        <v>https://d0f6bd738d7f1b3e5a7ca70fe4ff75f0.us-east-1.aws.found.io/app/kibana#/discover/Steve-Slow-Train-Analysis-(2080s-and-2083s)?_g=(refreshInterval:(display:Off,pause:!f,section:0,value:0),time:(from:'2017-11-27T14:25:20-0700',mode:absolute,to:'2017-11-27T16:54:47-0700'))&amp;_a=(columns:!('Message%20ID',Summary),filters:!(),index:'emp_*',interval:auto,query:(query_string:(analyze_wildcard:!t,query:'%22rtdc.l.rtdc.4055%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30" t="s">
        <v>740</v>
      </c>
      <c r="B186" s="226">
        <v>4020</v>
      </c>
      <c r="C186" s="228" t="s">
        <v>192</v>
      </c>
      <c r="D186" s="228" t="s">
        <v>861</v>
      </c>
      <c r="E186" s="227">
        <v>43066.648449074077</v>
      </c>
      <c r="F186" s="227">
        <v>43066.652546296296</v>
      </c>
      <c r="G186" s="226">
        <v>83</v>
      </c>
      <c r="H186" s="228" t="s">
        <v>951</v>
      </c>
      <c r="I186" s="227">
        <v>43066.662083333336</v>
      </c>
      <c r="J186" s="226">
        <v>0</v>
      </c>
      <c r="K186" s="238" t="str">
        <f t="shared" si="47"/>
        <v>4019/4020</v>
      </c>
      <c r="L186" s="246" t="str">
        <f>VLOOKUP(A186,'Trips&amp;Operators'!$C$1:$G$99911,5,FALSE)</f>
        <v>STAMBAUGH JAMES</v>
      </c>
      <c r="M186" s="225">
        <f t="shared" si="48"/>
        <v>9.5370370399905369E-3</v>
      </c>
      <c r="N186" s="226">
        <f t="shared" si="66"/>
        <v>13.733333337586373</v>
      </c>
      <c r="O186" s="226"/>
      <c r="P186" s="226"/>
      <c r="Q186" s="229"/>
      <c r="R186" s="243"/>
      <c r="S186" s="250">
        <f t="shared" si="67"/>
        <v>1</v>
      </c>
      <c r="T186" s="243" t="str">
        <f t="shared" si="49"/>
        <v>NorthBound</v>
      </c>
      <c r="U186" s="24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9" t="str">
        <f t="shared" si="50"/>
        <v>https://d0f6bd738d7f1b3e5a7ca70fe4ff75f0.us-east-1.aws.found.io/app/kibana#/discover/Steve-Slow-Train-Analysis-(2080s-and-2083s)?_g=(refreshInterval:(display:Off,pause:!f,section:0,value:0),time:(from:'2017-11-27T14:33:46-0700',mode:absolute,to:'2017-11-27T16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6" s="248" t="str">
        <f>IF(AA186&lt;VLOOKUP(AG186,Variables!$AC$3:$AD$8,2,FALSE),"Y","N")</f>
        <v>N</v>
      </c>
      <c r="X186" s="248">
        <f t="shared" si="51"/>
        <v>1</v>
      </c>
      <c r="Y186" s="248">
        <f t="shared" si="52"/>
        <v>4.5499999999999999E-2</v>
      </c>
      <c r="Z186" s="248">
        <f t="shared" si="53"/>
        <v>5.8936999999999999</v>
      </c>
      <c r="AA186" s="248">
        <f t="shared" si="54"/>
        <v>5.8482000000000003</v>
      </c>
      <c r="AB186" s="234" t="e">
        <f>VLOOKUP(A186,Enforcements!$C$7:$K$9,8,0)</f>
        <v>#N/A</v>
      </c>
      <c r="AC186" s="233" t="e">
        <f>VLOOKUP(A186,Enforcements!$C$7:$E$9,3,0)</f>
        <v>#N/A</v>
      </c>
      <c r="AD186" s="244">
        <f t="shared" si="55"/>
        <v>827</v>
      </c>
      <c r="AE186" s="236" t="str">
        <f t="shared" si="56"/>
        <v>aws s3 cp s3://rtdc.mdm.uploadarchive.raw/RTDC4020/ "%USERPROFILE%\AppData\Local\Temp\OnboardLogs"\RTDC4020\2017-11-27 --exclude "*" --recursive --include "*20171127*" &amp; "%USERPROFILE%\Documents\GitHub\mrs-test-scripts\Headless Mode &amp; Sideloading\WalkAndUnGZ.bat" "%USERPROFILE%\AppData\Local\Temp\OnboardLogs"\RTDC4020\2017-11-27 &amp; aws s3 cp s3://rtdc.mdm.uploadarchive.raw/RTDC4020/ "%USERPROFILE%\AppData\Local\Temp\OnboardLogs"\RTDC4020\2017-11-28 --exclude "*" --recursive --include "*20171128*" &amp; "%USERPROFILE%\Documents\GitHub\mrs-test-scripts\Headless Mode &amp; Sideloading\WalkAndUnGZ.bat" "%USERPROFILE%\AppData\Local\Temp\OnboardLogs"\RTDC4020\2017-11-28</v>
      </c>
      <c r="AF186" s="235" t="str">
        <f t="shared" si="57"/>
        <v>"C:\Program Files (x86)\AstroGrep\AstroGrep.exe" /e /r /s /spath="%USERPROFILE%\AppData\Local\Temp\OnboardLogs" /stypes="app*4020*20171127*" /stext=" 22:.+((SYSTEM_STATE.+slice.+state.+changed )|(ment ac)|(multiple cpu faults)|(system.+state.+changed )|(\[timeout)|(PRM\|1\|D)|(kpr)|(kdp)|(train st.+moving)|(\|lc)|(penalty))"</v>
      </c>
      <c r="AG186" s="245" t="str">
        <f t="shared" si="58"/>
        <v>NW</v>
      </c>
      <c r="AH186" s="237" t="str">
        <f t="shared" si="59"/>
        <v>"%USERPROFILE%\Documents\GitHub\eaglep3\Utilities\RefineRTDCRunTimes.py" --tripid 827-27 --locoid 4020 --swversion DE.1.0.9.0 --startMP 204:455 --initTime 2017-11-27T15:33:46 --startdatetime 2017-11-27T15:39:40 --delay 83 --endMP 300:58937 --enddatetime 2017-11-27T15:53:24 --enforcementcount 0 &gt;&gt;%USERPROFILE%\Documents\GitHub\eaglep3-reporting\EC\2017-11-27-refined-times.txt</v>
      </c>
      <c r="AI186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{"issue":{"subject":"","project_id":79,"tracker_id":40,"status_id":1,"priority_id":2,"assigned_to_id":338,"start_date":"2017-11-27","description":"","custom_fields":[{"id":1,"name":"Subdivision","value":"NW"},{"id":4,"name":"Milepost","value":"5.8937"},{"id":17,"name":"Train ID","value":"827-27"},{"id":16,"name":"Locomotive ID","value":"4020"},{"id":130,"name":"Impact","value":""},{"id":150,"name":"Time of Event (Mountain Time)","value":"15:53:24"},{"id":151,"name":"Denver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4"/>
      <c r="AK186" s="232"/>
      <c r="AL186" s="232"/>
      <c r="AM186" s="241" t="str">
        <f t="shared" si="61"/>
        <v>start /low /b %USERPROFILE%\Documents\GitHub\eaglep3\Utilities\DownloadLogsFromS3.py --loco 4020 --day 2017-11-27</v>
      </c>
      <c r="AN186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22:53:24"},{"id":29,"name":"Sharepoint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1" t="str">
        <f t="shared" si="63"/>
        <v>https://d0f6bd738d7f1b3e5a7ca70fe4ff75f0.us-east-1.aws.found.io/app/kibana#/discover/Steve-Slow-Train-Analysis-(2080s-and-2083s)?_g=(refreshInterval:(display:Off,pause:!f,section:0,value:0),time:(from:'2017-11-27T14:33:46-0700',mode:absolute,to:'2017-11-27T16:53:24-0700'))&amp;_a=(columns:!('Message%20ID',Summary),filters:!(),index:'emp_*',interval:auto,query:(query_string:(analyze_wildcard:!t,query:'%22rtdc.l.rtdc.4020%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30" t="s">
        <v>748</v>
      </c>
      <c r="B187" s="226">
        <v>4019</v>
      </c>
      <c r="C187" s="228" t="s">
        <v>192</v>
      </c>
      <c r="D187" s="228" t="s">
        <v>959</v>
      </c>
      <c r="E187" s="227">
        <v>43066.663530092592</v>
      </c>
      <c r="F187" s="227">
        <v>43066.675000000003</v>
      </c>
      <c r="G187" s="226">
        <v>75</v>
      </c>
      <c r="H187" s="228" t="s">
        <v>960</v>
      </c>
      <c r="I187" s="227">
        <v>43066.683900462966</v>
      </c>
      <c r="J187" s="226">
        <v>0</v>
      </c>
      <c r="K187" s="238" t="str">
        <f t="shared" si="47"/>
        <v>4019/4020</v>
      </c>
      <c r="L187" s="246" t="str">
        <f>VLOOKUP(A187,'Trips&amp;Operators'!$C$1:$G$99911,5,FALSE)</f>
        <v>STAMBAUGH JAMES</v>
      </c>
      <c r="M187" s="225">
        <f t="shared" si="48"/>
        <v>8.9004629626288079E-3</v>
      </c>
      <c r="N187" s="226">
        <f t="shared" si="66"/>
        <v>12.816666666185483</v>
      </c>
      <c r="O187" s="226"/>
      <c r="P187" s="226"/>
      <c r="Q187" s="229"/>
      <c r="R187" s="243"/>
      <c r="S187" s="250">
        <f t="shared" si="67"/>
        <v>1</v>
      </c>
      <c r="T187" s="243" t="str">
        <f t="shared" si="49"/>
        <v>Southbound</v>
      </c>
      <c r="U187" s="24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9" t="str">
        <f t="shared" si="50"/>
        <v>https://d0f6bd738d7f1b3e5a7ca70fe4ff75f0.us-east-1.aws.found.io/app/kibana#/discover/Steve-Slow-Train-Analysis-(2080s-and-2083s)?_g=(refreshInterval:(display:Off,pause:!f,section:0,value:0),time:(from:'2017-11-27T14:55:29-0700',mode:absolute,to:'2017-11-27T17:24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7" s="248" t="str">
        <f>IF(AA187&lt;VLOOKUP(AG187,Variables!$AC$3:$AD$8,2,FALSE),"Y","N")</f>
        <v>N</v>
      </c>
      <c r="X187" s="248">
        <f t="shared" si="51"/>
        <v>1</v>
      </c>
      <c r="Y187" s="248">
        <f t="shared" si="52"/>
        <v>5.8628</v>
      </c>
      <c r="Z187" s="248">
        <f t="shared" si="53"/>
        <v>1.2200000000000001E-2</v>
      </c>
      <c r="AA187" s="248">
        <f t="shared" si="54"/>
        <v>5.8506</v>
      </c>
      <c r="AB187" s="234" t="e">
        <f>VLOOKUP(A187,Enforcements!$C$7:$K$9,8,0)</f>
        <v>#N/A</v>
      </c>
      <c r="AC187" s="233" t="e">
        <f>VLOOKUP(A187,Enforcements!$C$7:$E$9,3,0)</f>
        <v>#N/A</v>
      </c>
      <c r="AD187" s="244">
        <f t="shared" si="55"/>
        <v>828</v>
      </c>
      <c r="AE187" s="236" t="str">
        <f t="shared" si="56"/>
        <v>aws s3 cp s3://rtdc.mdm.uploadarchive.raw/RTDC4019/ "%USERPROFILE%\AppData\Local\Temp\OnboardLogs"\RTDC4019\2017-11-27 --exclude "*" --recursive --include "*20171127*" &amp; "%USERPROFILE%\Documents\GitHub\mrs-test-scripts\Headless Mode &amp; Sideloading\WalkAndUnGZ.bat" "%USERPROFILE%\AppData\Local\Temp\OnboardLogs"\RTDC4019\2017-11-27 &amp; aws s3 cp s3://rtdc.mdm.uploadarchive.raw/RTDC4019/ "%USERPROFILE%\AppData\Local\Temp\OnboardLogs"\RTDC4019\2017-11-28 --exclude "*" --recursive --include "*20171128*" &amp; "%USERPROFILE%\Documents\GitHub\mrs-test-scripts\Headless Mode &amp; Sideloading\WalkAndUnGZ.bat" "%USERPROFILE%\AppData\Local\Temp\OnboardLogs"\RTDC4019\2017-11-28</v>
      </c>
      <c r="AF187" s="235" t="str">
        <f t="shared" si="57"/>
        <v>"C:\Program Files (x86)\AstroGrep\AstroGrep.exe" /e /r /s /spath="%USERPROFILE%\AppData\Local\Temp\OnboardLogs" /stypes="app*4019*20171127*" /stext=" 23:.+((SYSTEM_STATE.+slice.+state.+changed )|(ment ac)|(multiple cpu faults)|(system.+state.+changed )|(\[timeout)|(PRM\|1\|D)|(kpr)|(kdp)|(train st.+moving)|(\|lc)|(penalty))"</v>
      </c>
      <c r="AG187" s="245" t="str">
        <f t="shared" si="58"/>
        <v>NW</v>
      </c>
      <c r="AH187" s="237" t="str">
        <f t="shared" si="59"/>
        <v>"%USERPROFILE%\Documents\GitHub\eaglep3\Utilities\RefineRTDCRunTimes.py" --tripid 828-27 --locoid 4019 --swversion DE.1.0.9.0 --startMP 300:58628 --initTime 2017-11-27T15:55:29 --startdatetime 2017-11-27T16:12:00 --delay 75 --endMP 204:122 --enddatetime 2017-11-27T16:24:49 --enforcementcount 0 &gt;&gt;%USERPROFILE%\Documents\GitHub\eaglep3-reporting\EC\2017-11-27-refined-times.txt</v>
      </c>
      <c r="AI187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{"issue":{"subject":"","project_id":79,"tracker_id":40,"status_id":1,"priority_id":2,"assigned_to_id":338,"start_date":"2017-11-27","description":"","custom_fields":[{"id":1,"name":"Subdivision","value":"NW"},{"id":4,"name":"Milepost","value":"0.0122"},{"id":17,"name":"Train ID","value":"828-27"},{"id":16,"name":"Locomotive ID","value":"4019"},{"id":130,"name":"Impact","value":""},{"id":150,"name":"Time of Event (Mountain Time)","value":"16:24:49"},{"id":151,"name":"Denver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4"/>
      <c r="AK187" s="232"/>
      <c r="AL187" s="232"/>
      <c r="AM187" s="241" t="str">
        <f t="shared" si="61"/>
        <v>start /low /b %USERPROFILE%\Documents\GitHub\eaglep3\Utilities\DownloadLogsFromS3.py --loco 4019 --day 2017-11-27</v>
      </c>
      <c r="AN187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23:24:49"},{"id":29,"name":"Sharepoint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1" t="str">
        <f t="shared" si="63"/>
        <v>https://d0f6bd738d7f1b3e5a7ca70fe4ff75f0.us-east-1.aws.found.io/app/kibana#/discover/Steve-Slow-Train-Analysis-(2080s-and-2083s)?_g=(refreshInterval:(display:Off,pause:!f,section:0,value:0),time:(from:'2017-11-27T14:55:29-0700',mode:absolute,to:'2017-11-27T17:24:49-0700'))&amp;_a=(columns:!('Message%20ID',Summary),filters:!(),index:'emp_*',interval:auto,query:(query_string:(analyze_wildcard:!t,query:'%22rtdc.l.rtdc.4019%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30" t="s">
        <v>749</v>
      </c>
      <c r="B188" s="226">
        <v>4056</v>
      </c>
      <c r="C188" s="228" t="s">
        <v>192</v>
      </c>
      <c r="D188" s="228" t="s">
        <v>961</v>
      </c>
      <c r="E188" s="227">
        <v>43066.664687500001</v>
      </c>
      <c r="F188" s="227">
        <v>43066.673171296294</v>
      </c>
      <c r="G188" s="226">
        <v>54</v>
      </c>
      <c r="H188" s="228" t="s">
        <v>955</v>
      </c>
      <c r="I188" s="227">
        <v>43066.68304398148</v>
      </c>
      <c r="J188" s="226">
        <v>0</v>
      </c>
      <c r="K188" s="238" t="str">
        <f t="shared" si="47"/>
        <v>4055/4056</v>
      </c>
      <c r="L188" s="246" t="str">
        <f>VLOOKUP(A188,'Trips&amp;Operators'!$C$1:$G$99911,5,FALSE)</f>
        <v>BIRENBAUM THOMAS</v>
      </c>
      <c r="M188" s="225">
        <f t="shared" si="48"/>
        <v>9.8726851865649223E-3</v>
      </c>
      <c r="N188" s="226">
        <f t="shared" si="66"/>
        <v>14.216666668653488</v>
      </c>
      <c r="O188" s="226"/>
      <c r="P188" s="226"/>
      <c r="Q188" s="229"/>
      <c r="R188" s="243"/>
      <c r="S188" s="250">
        <f t="shared" si="67"/>
        <v>1</v>
      </c>
      <c r="T188" s="243" t="str">
        <f t="shared" si="49"/>
        <v>NorthBound</v>
      </c>
      <c r="U188" s="24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9" t="str">
        <f t="shared" si="50"/>
        <v>https://d0f6bd738d7f1b3e5a7ca70fe4ff75f0.us-east-1.aws.found.io/app/kibana#/discover/Steve-Slow-Train-Analysis-(2080s-and-2083s)?_g=(refreshInterval:(display:Off,pause:!f,section:0,value:0),time:(from:'2017-11-27T14:57:09-0700',mode:absolute,to:'2017-11-27T17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8" s="248" t="str">
        <f>IF(AA188&lt;VLOOKUP(AG188,Variables!$AC$3:$AD$8,2,FALSE),"Y","N")</f>
        <v>N</v>
      </c>
      <c r="X188" s="248">
        <f t="shared" si="51"/>
        <v>1</v>
      </c>
      <c r="Y188" s="248">
        <f t="shared" si="52"/>
        <v>3.56E-2</v>
      </c>
      <c r="Z188" s="248">
        <f t="shared" si="53"/>
        <v>5.8943000000000003</v>
      </c>
      <c r="AA188" s="248">
        <f t="shared" si="54"/>
        <v>5.8587000000000007</v>
      </c>
      <c r="AB188" s="234" t="e">
        <f>VLOOKUP(A188,Enforcements!$C$7:$K$9,8,0)</f>
        <v>#N/A</v>
      </c>
      <c r="AC188" s="233" t="e">
        <f>VLOOKUP(A188,Enforcements!$C$7:$E$9,3,0)</f>
        <v>#N/A</v>
      </c>
      <c r="AD188" s="244">
        <f t="shared" si="55"/>
        <v>829</v>
      </c>
      <c r="AE188" s="236" t="str">
        <f t="shared" si="56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188" s="235" t="str">
        <f t="shared" si="57"/>
        <v>"C:\Program Files (x86)\AstroGrep\AstroGrep.exe" /e /r /s /spath="%USERPROFILE%\AppData\Local\Temp\OnboardLogs" /stypes="app*4056*20171127*" /stext=" 23:.+((SYSTEM_STATE.+slice.+state.+changed )|(ment ac)|(multiple cpu faults)|(system.+state.+changed )|(\[timeout)|(PRM\|1\|D)|(kpr)|(kdp)|(train st.+moving)|(\|lc)|(penalty))"</v>
      </c>
      <c r="AG188" s="245" t="str">
        <f t="shared" si="58"/>
        <v>NW</v>
      </c>
      <c r="AH188" s="237" t="str">
        <f t="shared" si="59"/>
        <v>"%USERPROFILE%\Documents\GitHub\eaglep3\Utilities\RefineRTDCRunTimes.py" --tripid 829-27 --locoid 4056 --swversion DE.1.0.9.0 --startMP 204:356 --initTime 2017-11-27T15:57:09 --startdatetime 2017-11-27T16:09:22 --delay 54 --endMP 300:58943 --enddatetime 2017-11-27T16:23:35 --enforcementcount 0 &gt;&gt;%USERPROFILE%\Documents\GitHub\eaglep3-reporting\EC\2017-11-27-refined-times.txt</v>
      </c>
      <c r="AI188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{"issue":{"subject":"","project_id":79,"tracker_id":40,"status_id":1,"priority_id":2,"assigned_to_id":338,"start_date":"2017-11-27","description":"","custom_fields":[{"id":1,"name":"Subdivision","value":"NW"},{"id":4,"name":"Milepost","value":"5.8943"},{"id":17,"name":"Train ID","value":"829-27"},{"id":16,"name":"Locomotive ID","value":"4056"},{"id":130,"name":"Impact","value":""},{"id":150,"name":"Time of Event (Mountain Time)","value":"16:23:35"},{"id":151,"name":"Denver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4"/>
      <c r="AK188" s="232"/>
      <c r="AL188" s="232"/>
      <c r="AM188" s="241" t="str">
        <f t="shared" si="61"/>
        <v>start /low /b %USERPROFILE%\Documents\GitHub\eaglep3\Utilities\DownloadLogsFromS3.py --loco 4056 --day 2017-11-27</v>
      </c>
      <c r="AN188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23:23:35"},{"id":29,"name":"Sharepoint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1" t="str">
        <f t="shared" si="63"/>
        <v>https://d0f6bd738d7f1b3e5a7ca70fe4ff75f0.us-east-1.aws.found.io/app/kibana#/discover/Steve-Slow-Train-Analysis-(2080s-and-2083s)?_g=(refreshInterval:(display:Off,pause:!f,section:0,value:0),time:(from:'2017-11-27T14:57:09-0700',mode:absolute,to:'2017-11-27T17:23:35-0700'))&amp;_a=(columns:!('Message%20ID',Summary),filters:!(),index:'emp_*',interval:auto,query:(query_string:(analyze_wildcard:!t,query:'%22rtdc.l.rtdc.4056%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30" t="s">
        <v>582</v>
      </c>
      <c r="B189" s="226">
        <v>4055</v>
      </c>
      <c r="C189" s="228" t="s">
        <v>192</v>
      </c>
      <c r="D189" s="228" t="s">
        <v>962</v>
      </c>
      <c r="E189" s="227">
        <v>43066.684745370374</v>
      </c>
      <c r="F189" s="227">
        <v>43066.695833333331</v>
      </c>
      <c r="G189" s="226">
        <v>49</v>
      </c>
      <c r="H189" s="228" t="s">
        <v>963</v>
      </c>
      <c r="I189" s="227">
        <v>43066.704606481479</v>
      </c>
      <c r="J189" s="226">
        <v>0</v>
      </c>
      <c r="K189" s="238" t="str">
        <f t="shared" si="47"/>
        <v>4055/4056</v>
      </c>
      <c r="L189" s="246" t="str">
        <f>VLOOKUP(A189,'Trips&amp;Operators'!$C$1:$G$99911,5,FALSE)</f>
        <v>BIRENBAUM THOMAS</v>
      </c>
      <c r="M189" s="225">
        <f t="shared" si="48"/>
        <v>8.7731481471564621E-3</v>
      </c>
      <c r="N189" s="226">
        <f t="shared" si="66"/>
        <v>12.633333331905305</v>
      </c>
      <c r="O189" s="226"/>
      <c r="P189" s="226"/>
      <c r="Q189" s="229"/>
      <c r="R189" s="243"/>
      <c r="S189" s="250">
        <f t="shared" si="67"/>
        <v>1</v>
      </c>
      <c r="T189" s="243" t="str">
        <f t="shared" si="49"/>
        <v>Southbound</v>
      </c>
      <c r="U189" s="24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9" t="str">
        <f t="shared" si="50"/>
        <v>https://d0f6bd738d7f1b3e5a7ca70fe4ff75f0.us-east-1.aws.found.io/app/kibana#/discover/Steve-Slow-Train-Analysis-(2080s-and-2083s)?_g=(refreshInterval:(display:Off,pause:!f,section:0,value:0),time:(from:'2017-11-27T15:26:02-0700',mode:absolute,to:'2017-11-27T17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9" s="248" t="str">
        <f>IF(AA189&lt;VLOOKUP(AG189,Variables!$AC$3:$AD$8,2,FALSE),"Y","N")</f>
        <v>N</v>
      </c>
      <c r="X189" s="248">
        <f t="shared" si="51"/>
        <v>1</v>
      </c>
      <c r="Y189" s="248">
        <f t="shared" si="52"/>
        <v>5.8620999999999999</v>
      </c>
      <c r="Z189" s="248">
        <f t="shared" si="53"/>
        <v>1.0800000000000001E-2</v>
      </c>
      <c r="AA189" s="248">
        <f t="shared" si="54"/>
        <v>5.8513000000000002</v>
      </c>
      <c r="AB189" s="234" t="e">
        <f>VLOOKUP(A189,Enforcements!$C$7:$K$9,8,0)</f>
        <v>#N/A</v>
      </c>
      <c r="AC189" s="233" t="e">
        <f>VLOOKUP(A189,Enforcements!$C$7:$E$9,3,0)</f>
        <v>#N/A</v>
      </c>
      <c r="AD189" s="244">
        <f t="shared" si="55"/>
        <v>830</v>
      </c>
      <c r="AE189" s="236" t="str">
        <f t="shared" si="56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189" s="235" t="str">
        <f t="shared" si="57"/>
        <v>"C:\Program Files (x86)\AstroGrep\AstroGrep.exe" /e /r /s /spath="%USERPROFILE%\AppData\Local\Temp\OnboardLogs" /stypes="app*4055*20171127*" /stext=" 23:.+((SYSTEM_STATE.+slice.+state.+changed )|(ment ac)|(multiple cpu faults)|(system.+state.+changed )|(\[timeout)|(PRM\|1\|D)|(kpr)|(kdp)|(train st.+moving)|(\|lc)|(penalty))"</v>
      </c>
      <c r="AG189" s="245" t="str">
        <f t="shared" si="58"/>
        <v>NW</v>
      </c>
      <c r="AH189" s="237" t="str">
        <f t="shared" si="59"/>
        <v>"%USERPROFILE%\Documents\GitHub\eaglep3\Utilities\RefineRTDCRunTimes.py" --tripid 830-27 --locoid 4055 --swversion DE.1.0.9.0 --startMP 300:58621 --initTime 2017-11-27T16:26:02 --startdatetime 2017-11-27T16:42:00 --delay 49 --endMP 204:108 --enddatetime 2017-11-27T16:54:38 --enforcementcount 0 &gt;&gt;%USERPROFILE%\Documents\GitHub\eaglep3-reporting\EC\2017-11-27-refined-times.txt</v>
      </c>
      <c r="AI189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{"issue":{"subject":"","project_id":79,"tracker_id":40,"status_id":1,"priority_id":2,"assigned_to_id":338,"start_date":"2017-11-27","description":"","custom_fields":[{"id":1,"name":"Subdivision","value":"NW"},{"id":4,"name":"Milepost","value":"0.0108"},{"id":17,"name":"Train ID","value":"830-27"},{"id":16,"name":"Locomotive ID","value":"4055"},{"id":130,"name":"Impact","value":""},{"id":150,"name":"Time of Event (Mountain Time)","value":"16:54:38"},{"id":151,"name":"Denver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4"/>
      <c r="AK189" s="232"/>
      <c r="AL189" s="232"/>
      <c r="AM189" s="241" t="str">
        <f t="shared" si="61"/>
        <v>start /low /b %USERPROFILE%\Documents\GitHub\eaglep3\Utilities\DownloadLogsFromS3.py --loco 4055 --day 2017-11-27</v>
      </c>
      <c r="AN189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23:54:38"},{"id":29,"name":"Sharepoint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1" t="str">
        <f t="shared" si="63"/>
        <v>https://d0f6bd738d7f1b3e5a7ca70fe4ff75f0.us-east-1.aws.found.io/app/kibana#/discover/Steve-Slow-Train-Analysis-(2080s-and-2083s)?_g=(refreshInterval:(display:Off,pause:!f,section:0,value:0),time:(from:'2017-11-27T15:26:02-0700',mode:absolute,to:'2017-11-27T17:54:38-0700'))&amp;_a=(columns:!('Message%20ID',Summary),filters:!(),index:'emp_*',interval:auto,query:(query_string:(analyze_wildcard:!t,query:'%22rtdc.l.rtdc.4055%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30" t="s">
        <v>753</v>
      </c>
      <c r="B190" s="226">
        <v>4020</v>
      </c>
      <c r="C190" s="228" t="s">
        <v>192</v>
      </c>
      <c r="D190" s="228" t="s">
        <v>964</v>
      </c>
      <c r="E190" s="227">
        <v>43066.690671296295</v>
      </c>
      <c r="F190" s="227">
        <v>43066.69425925926</v>
      </c>
      <c r="G190" s="226">
        <v>65</v>
      </c>
      <c r="H190" s="228" t="s">
        <v>505</v>
      </c>
      <c r="I190" s="227">
        <v>43066.704062500001</v>
      </c>
      <c r="J190" s="226">
        <v>0</v>
      </c>
      <c r="K190" s="238" t="str">
        <f t="shared" si="47"/>
        <v>4019/4020</v>
      </c>
      <c r="L190" s="246" t="str">
        <f>VLOOKUP(A190,'Trips&amp;Operators'!$C$1:$G$99911,5,FALSE)</f>
        <v>STAMBAUGH JAMES</v>
      </c>
      <c r="M190" s="225">
        <f t="shared" si="48"/>
        <v>9.8032407404389232E-3</v>
      </c>
      <c r="N190" s="226">
        <f t="shared" si="66"/>
        <v>14.116666666232049</v>
      </c>
      <c r="O190" s="226"/>
      <c r="P190" s="226"/>
      <c r="Q190" s="229"/>
      <c r="R190" s="243"/>
      <c r="S190" s="250">
        <f t="shared" si="67"/>
        <v>1</v>
      </c>
      <c r="T190" s="243" t="str">
        <f t="shared" si="49"/>
        <v>NorthBound</v>
      </c>
      <c r="U190" s="24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9" t="str">
        <f t="shared" si="50"/>
        <v>https://d0f6bd738d7f1b3e5a7ca70fe4ff75f0.us-east-1.aws.found.io/app/kibana#/discover/Steve-Slow-Train-Analysis-(2080s-and-2083s)?_g=(refreshInterval:(display:Off,pause:!f,section:0,value:0),time:(from:'2017-11-27T15:34:34-0700',mode:absolute,to:'2017-11-27T17:53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0" s="248" t="str">
        <f>IF(AA190&lt;VLOOKUP(AG190,Variables!$AC$3:$AD$8,2,FALSE),"Y","N")</f>
        <v>N</v>
      </c>
      <c r="X190" s="248">
        <f t="shared" si="51"/>
        <v>1</v>
      </c>
      <c r="Y190" s="248">
        <f t="shared" si="52"/>
        <v>4.3299999999999998E-2</v>
      </c>
      <c r="Z190" s="248">
        <f t="shared" si="53"/>
        <v>5.8930999999999996</v>
      </c>
      <c r="AA190" s="248">
        <f t="shared" si="54"/>
        <v>5.8497999999999992</v>
      </c>
      <c r="AB190" s="234" t="e">
        <f>VLOOKUP(A190,Enforcements!$C$7:$K$9,8,0)</f>
        <v>#N/A</v>
      </c>
      <c r="AC190" s="233" t="e">
        <f>VLOOKUP(A190,Enforcements!$C$7:$E$9,3,0)</f>
        <v>#N/A</v>
      </c>
      <c r="AD190" s="244">
        <f t="shared" si="55"/>
        <v>831</v>
      </c>
      <c r="AE190" s="236" t="str">
        <f t="shared" si="56"/>
        <v>aws s3 cp s3://rtdc.mdm.uploadarchive.raw/RTDC4020/ "%USERPROFILE%\AppData\Local\Temp\OnboardLogs"\RTDC4020\2017-11-27 --exclude "*" --recursive --include "*20171127*" &amp; "%USERPROFILE%\Documents\GitHub\mrs-test-scripts\Headless Mode &amp; Sideloading\WalkAndUnGZ.bat" "%USERPROFILE%\AppData\Local\Temp\OnboardLogs"\RTDC4020\2017-11-27 &amp; aws s3 cp s3://rtdc.mdm.uploadarchive.raw/RTDC4020/ "%USERPROFILE%\AppData\Local\Temp\OnboardLogs"\RTDC4020\2017-11-28 --exclude "*" --recursive --include "*20171128*" &amp; "%USERPROFILE%\Documents\GitHub\mrs-test-scripts\Headless Mode &amp; Sideloading\WalkAndUnGZ.bat" "%USERPROFILE%\AppData\Local\Temp\OnboardLogs"\RTDC4020\2017-11-28</v>
      </c>
      <c r="AF190" s="235" t="str">
        <f t="shared" si="57"/>
        <v>"C:\Program Files (x86)\AstroGrep\AstroGrep.exe" /e /r /s /spath="%USERPROFILE%\AppData\Local\Temp\OnboardLogs" /stypes="app*4020*20171127*" /stext=" 23:.+((SYSTEM_STATE.+slice.+state.+changed )|(ment ac)|(multiple cpu faults)|(system.+state.+changed )|(\[timeout)|(PRM\|1\|D)|(kpr)|(kdp)|(train st.+moving)|(\|lc)|(penalty))"</v>
      </c>
      <c r="AG190" s="245" t="str">
        <f t="shared" si="58"/>
        <v>NW</v>
      </c>
      <c r="AH190" s="237" t="str">
        <f t="shared" si="59"/>
        <v>"%USERPROFILE%\Documents\GitHub\eaglep3\Utilities\RefineRTDCRunTimes.py" --tripid 831-27 --locoid 4020 --swversion DE.1.0.9.0 --startMP 204:433 --initTime 2017-11-27T16:34:34 --startdatetime 2017-11-27T16:39:44 --delay 65 --endMP 300:58931 --enddatetime 2017-11-27T16:53:51 --enforcementcount 0 &gt;&gt;%USERPROFILE%\Documents\GitHub\eaglep3-reporting\EC\2017-11-27-refined-times.txt</v>
      </c>
      <c r="AI190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{"issue":{"subject":"","project_id":79,"tracker_id":40,"status_id":1,"priority_id":2,"assigned_to_id":338,"start_date":"2017-11-27","description":"","custom_fields":[{"id":1,"name":"Subdivision","value":"NW"},{"id":4,"name":"Milepost","value":"5.8931"},{"id":17,"name":"Train ID","value":"831-27"},{"id":16,"name":"Locomotive ID","value":"4020"},{"id":130,"name":"Impact","value":""},{"id":150,"name":"Time of Event (Mountain Time)","value":"16:53:51"},{"id":151,"name":"Denver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4"/>
      <c r="AK190" s="232"/>
      <c r="AL190" s="232"/>
      <c r="AM190" s="241" t="str">
        <f t="shared" si="61"/>
        <v>start /low /b %USERPROFILE%\Documents\GitHub\eaglep3\Utilities\DownloadLogsFromS3.py --loco 4020 --day 2017-11-27</v>
      </c>
      <c r="AN190" s="242" t="str">
        <f t="shared" si="62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23:53:51"},{"id":29,"name":"Sharepoint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1" t="str">
        <f t="shared" si="63"/>
        <v>https://d0f6bd738d7f1b3e5a7ca70fe4ff75f0.us-east-1.aws.found.io/app/kibana#/discover/Steve-Slow-Train-Analysis-(2080s-and-2083s)?_g=(refreshInterval:(display:Off,pause:!f,section:0,value:0),time:(from:'2017-11-27T15:34:34-0700',mode:absolute,to:'2017-11-27T17:53:51-0700'))&amp;_a=(columns:!('Message%20ID',Summary),filters:!(),index:'emp_*',interval:auto,query:(query_string:(analyze_wildcard:!t,query:'%22rtdc.l.rtdc.4020%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30" t="s">
        <v>758</v>
      </c>
      <c r="B191" s="226">
        <v>4019</v>
      </c>
      <c r="C191" s="228" t="s">
        <v>192</v>
      </c>
      <c r="D191" s="228" t="s">
        <v>503</v>
      </c>
      <c r="E191" s="227">
        <v>43066.70521990741</v>
      </c>
      <c r="F191" s="227">
        <v>43066.717361111114</v>
      </c>
      <c r="G191" s="226">
        <v>55</v>
      </c>
      <c r="H191" s="228" t="s">
        <v>965</v>
      </c>
      <c r="I191" s="227">
        <v>43066.725486111114</v>
      </c>
      <c r="J191" s="226">
        <v>0</v>
      </c>
      <c r="K191" s="238" t="str">
        <f t="shared" si="47"/>
        <v>4019/4020</v>
      </c>
      <c r="L191" s="246" t="str">
        <f>VLOOKUP(A191,'Trips&amp;Operators'!$C$1:$G$99911,5,FALSE)</f>
        <v>STAMBAUGH JAMES</v>
      </c>
      <c r="M191" s="225">
        <f t="shared" si="48"/>
        <v>8.1250000002910383E-3</v>
      </c>
      <c r="N191" s="226">
        <f t="shared" si="66"/>
        <v>11.700000000419095</v>
      </c>
      <c r="O191" s="226"/>
      <c r="P191" s="226"/>
      <c r="Q191" s="229"/>
      <c r="R191" s="243"/>
      <c r="S191" s="250">
        <f t="shared" si="67"/>
        <v>1</v>
      </c>
      <c r="T191" s="243" t="str">
        <f t="shared" si="49"/>
        <v>Southbound</v>
      </c>
      <c r="U191" s="24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9" t="str">
        <f t="shared" si="50"/>
        <v>https://d0f6bd738d7f1b3e5a7ca70fe4ff75f0.us-east-1.aws.found.io/app/kibana#/discover/Steve-Slow-Train-Analysis-(2080s-and-2083s)?_g=(refreshInterval:(display:Off,pause:!f,section:0,value:0),time:(from:'2017-11-27T15:55:31-0700',mode:absolute,to:'2017-11-27T18:24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1" s="248" t="str">
        <f>IF(AA191&lt;VLOOKUP(AG191,Variables!$AC$3:$AD$8,2,FALSE),"Y","N")</f>
        <v>N</v>
      </c>
      <c r="X191" s="248">
        <f t="shared" si="51"/>
        <v>1</v>
      </c>
      <c r="Y191" s="248">
        <f t="shared" si="52"/>
        <v>5.8611000000000004</v>
      </c>
      <c r="Z191" s="248">
        <f t="shared" si="53"/>
        <v>1.44E-2</v>
      </c>
      <c r="AA191" s="248">
        <f t="shared" si="54"/>
        <v>5.8467000000000002</v>
      </c>
      <c r="AB191" s="234" t="e">
        <f>VLOOKUP(A191,Enforcements!$C$7:$K$9,8,0)</f>
        <v>#N/A</v>
      </c>
      <c r="AC191" s="233" t="e">
        <f>VLOOKUP(A191,Enforcements!$C$7:$E$9,3,0)</f>
        <v>#N/A</v>
      </c>
      <c r="AD191" s="244">
        <f t="shared" si="55"/>
        <v>832</v>
      </c>
      <c r="AE191" s="236" t="str">
        <f t="shared" si="56"/>
        <v>aws s3 cp s3://rtdc.mdm.uploadarchive.raw/RTDC4019/ "%USERPROFILE%\AppData\Local\Temp\OnboardLogs"\RTDC4019\2017-11-27 --exclude "*" --recursive --include "*20171127*" &amp; "%USERPROFILE%\Documents\GitHub\mrs-test-scripts\Headless Mode &amp; Sideloading\WalkAndUnGZ.bat" "%USERPROFILE%\AppData\Local\Temp\OnboardLogs"\RTDC4019\2017-11-27 &amp; aws s3 cp s3://rtdc.mdm.uploadarchive.raw/RTDC4019/ "%USERPROFILE%\AppData\Local\Temp\OnboardLogs"\RTDC4019\2017-11-28 --exclude "*" --recursive --include "*20171128*" &amp; "%USERPROFILE%\Documents\GitHub\mrs-test-scripts\Headless Mode &amp; Sideloading\WalkAndUnGZ.bat" "%USERPROFILE%\AppData\Local\Temp\OnboardLogs"\RTDC4019\2017-11-28</v>
      </c>
      <c r="AF191" s="235" t="str">
        <f t="shared" si="57"/>
        <v>"C:\Program Files (x86)\AstroGrep\AstroGrep.exe" /e /r /s /spath="%USERPROFILE%\AppData\Local\Temp\OnboardLogs" /stypes="app*4019*20171128*" /stext=" 00:.+((SYSTEM_STATE.+slice.+state.+changed )|(ment ac)|(multiple cpu faults)|(system.+state.+changed )|(\[timeout)|(PRM\|1\|D)|(kpr)|(kdp)|(train st.+moving)|(\|lc)|(penalty))"</v>
      </c>
      <c r="AG191" s="245" t="str">
        <f t="shared" si="58"/>
        <v>NW</v>
      </c>
      <c r="AH191" s="237" t="str">
        <f t="shared" si="59"/>
        <v>"%USERPROFILE%\Documents\GitHub\eaglep3\Utilities\RefineRTDCRunTimes.py" --tripid 832-27 --locoid 4019 --swversion DE.1.0.9.0 --startMP 300:58611 --initTime 2017-11-27T16:55:31 --startdatetime 2017-11-27T17:13:00 --delay 55 --endMP 204:144 --enddatetime 2017-11-27T17:24:42 --enforcementcount 0 &gt;&gt;%USERPROFILE%\Documents\GitHub\eaglep3-reporting\EC\2017-11-27-refined-times.txt</v>
      </c>
      <c r="AI191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{"issue":{"subject":"","project_id":79,"tracker_id":40,"status_id":1,"priority_id":2,"assigned_to_id":338,"start_date":"2017-11-27","description":"","custom_fields":[{"id":1,"name":"Subdivision","value":"NW"},{"id":4,"name":"Milepost","value":"0.0144"},{"id":17,"name":"Train ID","value":"832-27"},{"id":16,"name":"Locomotive ID","value":"4019"},{"id":130,"name":"Impact","value":""},{"id":150,"name":"Time of Event (Mountain Time)","value":"17:24:42"},{"id":151,"name":"Denver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4"/>
      <c r="AK191" s="232"/>
      <c r="AL191" s="232"/>
      <c r="AM191" s="241" t="str">
        <f t="shared" si="61"/>
        <v>start /low /b %USERPROFILE%\Documents\GitHub\eaglep3\Utilities\DownloadLogsFromS3.py --loco 4019 --day 2017-11-27</v>
      </c>
      <c r="AN191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00:24:42"},{"id":29,"name":"Sharepoint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1" t="str">
        <f t="shared" si="63"/>
        <v>https://d0f6bd738d7f1b3e5a7ca70fe4ff75f0.us-east-1.aws.found.io/app/kibana#/discover/Steve-Slow-Train-Analysis-(2080s-and-2083s)?_g=(refreshInterval:(display:Off,pause:!f,section:0,value:0),time:(from:'2017-11-27T15:55:31-0700',mode:absolute,to:'2017-11-27T18:24:42-0700'))&amp;_a=(columns:!('Message%20ID',Summary),filters:!(),index:'emp_*',interval:auto,query:(query_string:(analyze_wildcard:!t,query:'%22rtdc.l.rtdc.4019%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30" t="s">
        <v>763</v>
      </c>
      <c r="B192" s="226">
        <v>4056</v>
      </c>
      <c r="C192" s="228" t="s">
        <v>192</v>
      </c>
      <c r="D192" s="228" t="s">
        <v>966</v>
      </c>
      <c r="E192" s="227">
        <v>43066.712268518517</v>
      </c>
      <c r="F192" s="227">
        <v>43066.714791666665</v>
      </c>
      <c r="G192" s="226">
        <v>54</v>
      </c>
      <c r="H192" s="228" t="s">
        <v>967</v>
      </c>
      <c r="I192" s="227">
        <v>43066.724791666667</v>
      </c>
      <c r="J192" s="226">
        <v>0</v>
      </c>
      <c r="K192" s="238" t="str">
        <f t="shared" si="47"/>
        <v>4055/4056</v>
      </c>
      <c r="L192" s="246" t="str">
        <f>VLOOKUP(A192,'Trips&amp;Operators'!$C$1:$G$99911,5,FALSE)</f>
        <v>BIRENBAUM THOMAS</v>
      </c>
      <c r="M192" s="225">
        <f t="shared" si="48"/>
        <v>1.0000000002037268E-2</v>
      </c>
      <c r="N192" s="226">
        <f t="shared" si="66"/>
        <v>14.400000002933666</v>
      </c>
      <c r="O192" s="226"/>
      <c r="P192" s="226"/>
      <c r="Q192" s="229"/>
      <c r="R192" s="243"/>
      <c r="S192" s="250">
        <f t="shared" si="67"/>
        <v>1</v>
      </c>
      <c r="T192" s="243" t="str">
        <f t="shared" si="49"/>
        <v>NorthBound</v>
      </c>
      <c r="U192" s="24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9" t="str">
        <f t="shared" si="50"/>
        <v>https://d0f6bd738d7f1b3e5a7ca70fe4ff75f0.us-east-1.aws.found.io/app/kibana#/discover/Steve-Slow-Train-Analysis-(2080s-and-2083s)?_g=(refreshInterval:(display:Off,pause:!f,section:0,value:0),time:(from:'2017-11-27T16:05:40-0700',mode:absolute,to:'2017-11-27T18:23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2" s="248" t="str">
        <f>IF(AA192&lt;VLOOKUP(AG192,Variables!$AC$3:$AD$8,2,FALSE),"Y","N")</f>
        <v>N</v>
      </c>
      <c r="X192" s="248">
        <f t="shared" si="51"/>
        <v>1</v>
      </c>
      <c r="Y192" s="248">
        <f t="shared" si="52"/>
        <v>3.9699999999999999E-2</v>
      </c>
      <c r="Z192" s="248">
        <f t="shared" si="53"/>
        <v>5.8945999999999996</v>
      </c>
      <c r="AA192" s="248">
        <f t="shared" si="54"/>
        <v>5.8548999999999998</v>
      </c>
      <c r="AB192" s="234" t="e">
        <f>VLOOKUP(A192,Enforcements!$C$7:$K$9,8,0)</f>
        <v>#N/A</v>
      </c>
      <c r="AC192" s="233" t="e">
        <f>VLOOKUP(A192,Enforcements!$C$7:$E$9,3,0)</f>
        <v>#N/A</v>
      </c>
      <c r="AD192" s="244">
        <f t="shared" si="55"/>
        <v>833</v>
      </c>
      <c r="AE192" s="236" t="str">
        <f t="shared" si="56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192" s="235" t="str">
        <f t="shared" si="57"/>
        <v>"C:\Program Files (x86)\AstroGrep\AstroGrep.exe" /e /r /s /spath="%USERPROFILE%\AppData\Local\Temp\OnboardLogs" /stypes="app*4056*20171128*" /stext=" 00:.+((SYSTEM_STATE.+slice.+state.+changed )|(ment ac)|(multiple cpu faults)|(system.+state.+changed )|(\[timeout)|(PRM\|1\|D)|(kpr)|(kdp)|(train st.+moving)|(\|lc)|(penalty))"</v>
      </c>
      <c r="AG192" s="245" t="str">
        <f t="shared" si="58"/>
        <v>NW</v>
      </c>
      <c r="AH192" s="237" t="str">
        <f t="shared" si="59"/>
        <v>"%USERPROFILE%\Documents\GitHub\eaglep3\Utilities\RefineRTDCRunTimes.py" --tripid 833-27 --locoid 4056 --swversion DE.1.0.9.0 --startMP 204:397 --initTime 2017-11-27T17:05:40 --startdatetime 2017-11-27T17:09:18 --delay 54 --endMP 300:58946 --enddatetime 2017-11-27T17:23:42 --enforcementcount 0 &gt;&gt;%USERPROFILE%\Documents\GitHub\eaglep3-reporting\EC\2017-11-27-refined-times.txt</v>
      </c>
      <c r="AI192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{"issue":{"subject":"","project_id":79,"tracker_id":40,"status_id":1,"priority_id":2,"assigned_to_id":338,"start_date":"2017-11-27","description":"","custom_fields":[{"id":1,"name":"Subdivision","value":"NW"},{"id":4,"name":"Milepost","value":"5.8946"},{"id":17,"name":"Train ID","value":"833-27"},{"id":16,"name":"Locomotive ID","value":"4056"},{"id":130,"name":"Impact","value":""},{"id":150,"name":"Time of Event (Mountain Time)","value":"17:23:42"},{"id":151,"name":"Denver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4"/>
      <c r="AK192" s="232"/>
      <c r="AL192" s="232"/>
      <c r="AM192" s="241" t="str">
        <f t="shared" si="61"/>
        <v>start /low /b %USERPROFILE%\Documents\GitHub\eaglep3\Utilities\DownloadLogsFromS3.py --loco 4056 --day 2017-11-27</v>
      </c>
      <c r="AN192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00:23:42"},{"id":29,"name":"Sharepoint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1" t="str">
        <f t="shared" si="63"/>
        <v>https://d0f6bd738d7f1b3e5a7ca70fe4ff75f0.us-east-1.aws.found.io/app/kibana#/discover/Steve-Slow-Train-Analysis-(2080s-and-2083s)?_g=(refreshInterval:(display:Off,pause:!f,section:0,value:0),time:(from:'2017-11-27T16:05:40-0700',mode:absolute,to:'2017-11-27T18:23:42-0700'))&amp;_a=(columns:!('Message%20ID',Summary),filters:!(),index:'emp_*',interval:auto,query:(query_string:(analyze_wildcard:!t,query:'%22rtdc.l.rtdc.4056%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30" t="s">
        <v>767</v>
      </c>
      <c r="B193" s="226">
        <v>4055</v>
      </c>
      <c r="C193" s="228" t="s">
        <v>192</v>
      </c>
      <c r="D193" s="228" t="s">
        <v>968</v>
      </c>
      <c r="E193" s="227">
        <v>43066.725891203707</v>
      </c>
      <c r="F193" s="227">
        <v>43066.737500000003</v>
      </c>
      <c r="G193" s="226">
        <v>47</v>
      </c>
      <c r="H193" s="228" t="s">
        <v>969</v>
      </c>
      <c r="I193" s="227">
        <v>43066.746469907404</v>
      </c>
      <c r="J193" s="226">
        <v>0</v>
      </c>
      <c r="K193" s="238" t="str">
        <f t="shared" si="47"/>
        <v>4055/4056</v>
      </c>
      <c r="L193" s="246" t="str">
        <f>VLOOKUP(A193,'Trips&amp;Operators'!$C$1:$G$99911,5,FALSE)</f>
        <v>BIRENBAUM THOMAS</v>
      </c>
      <c r="M193" s="225">
        <f t="shared" si="48"/>
        <v>8.9699074014788494E-3</v>
      </c>
      <c r="N193" s="226">
        <f t="shared" si="66"/>
        <v>12.916666658129543</v>
      </c>
      <c r="O193" s="226"/>
      <c r="P193" s="226"/>
      <c r="Q193" s="229"/>
      <c r="R193" s="243"/>
      <c r="S193" s="250">
        <f t="shared" si="67"/>
        <v>1</v>
      </c>
      <c r="T193" s="243" t="str">
        <f t="shared" si="49"/>
        <v>Southbound</v>
      </c>
      <c r="U193" s="24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9" t="str">
        <f t="shared" si="50"/>
        <v>https://d0f6bd738d7f1b3e5a7ca70fe4ff75f0.us-east-1.aws.found.io/app/kibana#/discover/Steve-Slow-Train-Analysis-(2080s-and-2083s)?_g=(refreshInterval:(display:Off,pause:!f,section:0,value:0),time:(from:'2017-11-27T16:25:17-0700',mode:absolute,to:'2017-11-27T18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3" s="248" t="str">
        <f>IF(AA193&lt;VLOOKUP(AG193,Variables!$AC$3:$AD$8,2,FALSE),"Y","N")</f>
        <v>N</v>
      </c>
      <c r="X193" s="248">
        <f t="shared" si="51"/>
        <v>1</v>
      </c>
      <c r="Y193" s="248">
        <f t="shared" si="52"/>
        <v>5.8634000000000004</v>
      </c>
      <c r="Z193" s="248">
        <f t="shared" si="53"/>
        <v>8.2000000000000007E-3</v>
      </c>
      <c r="AA193" s="248">
        <f t="shared" si="54"/>
        <v>5.8552</v>
      </c>
      <c r="AB193" s="234" t="e">
        <f>VLOOKUP(A193,Enforcements!$C$7:$K$9,8,0)</f>
        <v>#N/A</v>
      </c>
      <c r="AC193" s="233" t="e">
        <f>VLOOKUP(A193,Enforcements!$C$7:$E$9,3,0)</f>
        <v>#N/A</v>
      </c>
      <c r="AD193" s="244">
        <f t="shared" si="55"/>
        <v>834</v>
      </c>
      <c r="AE193" s="236" t="str">
        <f t="shared" si="56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193" s="235" t="str">
        <f t="shared" si="57"/>
        <v>"C:\Program Files (x86)\AstroGrep\AstroGrep.exe" /e /r /s /spath="%USERPROFILE%\AppData\Local\Temp\OnboardLogs" /stypes="app*4055*20171128*" /stext=" 00:.+((SYSTEM_STATE.+slice.+state.+changed )|(ment ac)|(multiple cpu faults)|(system.+state.+changed )|(\[timeout)|(PRM\|1\|D)|(kpr)|(kdp)|(train st.+moving)|(\|lc)|(penalty))"</v>
      </c>
      <c r="AG193" s="245" t="str">
        <f t="shared" si="58"/>
        <v>NW</v>
      </c>
      <c r="AH193" s="237" t="str">
        <f t="shared" si="59"/>
        <v>"%USERPROFILE%\Documents\GitHub\eaglep3\Utilities\RefineRTDCRunTimes.py" --tripid 834-27 --locoid 4055 --swversion DE.1.0.9.0 --startMP 300:58634 --initTime 2017-11-27T17:25:17 --startdatetime 2017-11-27T17:42:00 --delay 47 --endMP 204:82 --enddatetime 2017-11-27T17:54:55 --enforcementcount 0 &gt;&gt;%USERPROFILE%\Documents\GitHub\eaglep3-reporting\EC\2017-11-27-refined-times.txt</v>
      </c>
      <c r="AI193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{"issue":{"subject":"","project_id":79,"tracker_id":40,"status_id":1,"priority_id":2,"assigned_to_id":338,"start_date":"2017-11-27","description":"","custom_fields":[{"id":1,"name":"Subdivision","value":"NW"},{"id":4,"name":"Milepost","value":"0.0082"},{"id":17,"name":"Train ID","value":"834-27"},{"id":16,"name":"Locomotive ID","value":"4055"},{"id":130,"name":"Impact","value":""},{"id":150,"name":"Time of Event (Mountain Time)","value":"17:54:55"},{"id":151,"name":"Denver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4"/>
      <c r="AK193" s="232"/>
      <c r="AL193" s="232"/>
      <c r="AM193" s="241" t="str">
        <f t="shared" si="61"/>
        <v>start /low /b %USERPROFILE%\Documents\GitHub\eaglep3\Utilities\DownloadLogsFromS3.py --loco 4055 --day 2017-11-27</v>
      </c>
      <c r="AN193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00:54:55"},{"id":29,"name":"Sharepoint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1" t="str">
        <f t="shared" si="63"/>
        <v>https://d0f6bd738d7f1b3e5a7ca70fe4ff75f0.us-east-1.aws.found.io/app/kibana#/discover/Steve-Slow-Train-Analysis-(2080s-and-2083s)?_g=(refreshInterval:(display:Off,pause:!f,section:0,value:0),time:(from:'2017-11-27T16:25:17-0700',mode:absolute,to:'2017-11-27T18:54:55-0700'))&amp;_a=(columns:!('Message%20ID',Summary),filters:!(),index:'emp_*',interval:auto,query:(query_string:(analyze_wildcard:!t,query:'%22rtdc.l.rtdc.4055%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30" t="s">
        <v>768</v>
      </c>
      <c r="B194" s="226">
        <v>4020</v>
      </c>
      <c r="C194" s="228" t="s">
        <v>192</v>
      </c>
      <c r="D194" s="228" t="s">
        <v>970</v>
      </c>
      <c r="E194" s="227">
        <v>43066.732175925928</v>
      </c>
      <c r="F194" s="227">
        <v>43066.735775462963</v>
      </c>
      <c r="G194" s="226">
        <v>61</v>
      </c>
      <c r="H194" s="228" t="s">
        <v>557</v>
      </c>
      <c r="I194" s="227">
        <v>43066.745532407411</v>
      </c>
      <c r="J194" s="226">
        <v>0</v>
      </c>
      <c r="K194" s="238" t="str">
        <f t="shared" si="47"/>
        <v>4019/4020</v>
      </c>
      <c r="L194" s="246" t="str">
        <f>VLOOKUP(A194,'Trips&amp;Operators'!$C$1:$G$99911,5,FALSE)</f>
        <v>STAMBAUGH JAMES</v>
      </c>
      <c r="M194" s="225">
        <f t="shared" si="48"/>
        <v>9.7569444478722289E-3</v>
      </c>
      <c r="N194" s="226">
        <f t="shared" si="66"/>
        <v>14.05000000493601</v>
      </c>
      <c r="O194" s="226"/>
      <c r="P194" s="226"/>
      <c r="Q194" s="229"/>
      <c r="R194" s="243"/>
      <c r="S194" s="250">
        <f t="shared" si="67"/>
        <v>1</v>
      </c>
      <c r="T194" s="243" t="str">
        <f t="shared" si="49"/>
        <v>NorthBound</v>
      </c>
      <c r="U194" s="24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9" t="str">
        <f t="shared" si="50"/>
        <v>https://d0f6bd738d7f1b3e5a7ca70fe4ff75f0.us-east-1.aws.found.io/app/kibana#/discover/Steve-Slow-Train-Analysis-(2080s-and-2083s)?_g=(refreshInterval:(display:Off,pause:!f,section:0,value:0),time:(from:'2017-11-27T16:34:20-0700',mode:absolute,to:'2017-11-27T18:53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4" s="248" t="str">
        <f>IF(AA194&lt;VLOOKUP(AG194,Variables!$AC$3:$AD$8,2,FALSE),"Y","N")</f>
        <v>N</v>
      </c>
      <c r="X194" s="248">
        <f t="shared" si="51"/>
        <v>1</v>
      </c>
      <c r="Y194" s="248">
        <f t="shared" si="52"/>
        <v>4.4999999999999998E-2</v>
      </c>
      <c r="Z194" s="248">
        <f t="shared" si="53"/>
        <v>5.8925999999999998</v>
      </c>
      <c r="AA194" s="248">
        <f t="shared" si="54"/>
        <v>5.8475999999999999</v>
      </c>
      <c r="AB194" s="234" t="e">
        <f>VLOOKUP(A194,Enforcements!$C$7:$K$9,8,0)</f>
        <v>#N/A</v>
      </c>
      <c r="AC194" s="233" t="e">
        <f>VLOOKUP(A194,Enforcements!$C$7:$E$9,3,0)</f>
        <v>#N/A</v>
      </c>
      <c r="AD194" s="244">
        <f t="shared" si="55"/>
        <v>835</v>
      </c>
      <c r="AE194" s="236" t="str">
        <f t="shared" si="56"/>
        <v>aws s3 cp s3://rtdc.mdm.uploadarchive.raw/RTDC4020/ "%USERPROFILE%\AppData\Local\Temp\OnboardLogs"\RTDC4020\2017-11-27 --exclude "*" --recursive --include "*20171127*" &amp; "%USERPROFILE%\Documents\GitHub\mrs-test-scripts\Headless Mode &amp; Sideloading\WalkAndUnGZ.bat" "%USERPROFILE%\AppData\Local\Temp\OnboardLogs"\RTDC4020\2017-11-27 &amp; aws s3 cp s3://rtdc.mdm.uploadarchive.raw/RTDC4020/ "%USERPROFILE%\AppData\Local\Temp\OnboardLogs"\RTDC4020\2017-11-28 --exclude "*" --recursive --include "*20171128*" &amp; "%USERPROFILE%\Documents\GitHub\mrs-test-scripts\Headless Mode &amp; Sideloading\WalkAndUnGZ.bat" "%USERPROFILE%\AppData\Local\Temp\OnboardLogs"\RTDC4020\2017-11-28</v>
      </c>
      <c r="AF194" s="235" t="str">
        <f t="shared" si="57"/>
        <v>"C:\Program Files (x86)\AstroGrep\AstroGrep.exe" /e /r /s /spath="%USERPROFILE%\AppData\Local\Temp\OnboardLogs" /stypes="app*4020*20171128*" /stext=" 00:.+((SYSTEM_STATE.+slice.+state.+changed )|(ment ac)|(multiple cpu faults)|(system.+state.+changed )|(\[timeout)|(PRM\|1\|D)|(kpr)|(kdp)|(train st.+moving)|(\|lc)|(penalty))"</v>
      </c>
      <c r="AG194" s="245" t="str">
        <f t="shared" si="58"/>
        <v>NW</v>
      </c>
      <c r="AH194" s="237" t="str">
        <f t="shared" si="59"/>
        <v>"%USERPROFILE%\Documents\GitHub\eaglep3\Utilities\RefineRTDCRunTimes.py" --tripid 835-27 --locoid 4020 --swversion DE.1.0.9.0 --startMP 204:450 --initTime 2017-11-27T17:34:20 --startdatetime 2017-11-27T17:39:31 --delay 61 --endMP 300:58926 --enddatetime 2017-11-27T17:53:34 --enforcementcount 0 &gt;&gt;%USERPROFILE%\Documents\GitHub\eaglep3-reporting\EC\2017-11-27-refined-times.txt</v>
      </c>
      <c r="AI194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{"issue":{"subject":"","project_id":79,"tracker_id":40,"status_id":1,"priority_id":2,"assigned_to_id":338,"start_date":"2017-11-27","description":"","custom_fields":[{"id":1,"name":"Subdivision","value":"NW"},{"id":4,"name":"Milepost","value":"5.8926"},{"id":17,"name":"Train ID","value":"835-27"},{"id":16,"name":"Locomotive ID","value":"4020"},{"id":130,"name":"Impact","value":""},{"id":150,"name":"Time of Event (Mountain Time)","value":"17:53:34"},{"id":151,"name":"Denver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4"/>
      <c r="AK194" s="232"/>
      <c r="AL194" s="232"/>
      <c r="AM194" s="241" t="str">
        <f t="shared" si="61"/>
        <v>start /low /b %USERPROFILE%\Documents\GitHub\eaglep3\Utilities\DownloadLogsFromS3.py --loco 4020 --day 2017-11-27</v>
      </c>
      <c r="AN194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00:53:34"},{"id":29,"name":"Sharepoint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1" t="str">
        <f t="shared" si="63"/>
        <v>https://d0f6bd738d7f1b3e5a7ca70fe4ff75f0.us-east-1.aws.found.io/app/kibana#/discover/Steve-Slow-Train-Analysis-(2080s-and-2083s)?_g=(refreshInterval:(display:Off,pause:!f,section:0,value:0),time:(from:'2017-11-27T16:34:20-0700',mode:absolute,to:'2017-11-27T18:53:34-0700'))&amp;_a=(columns:!('Message%20ID',Summary),filters:!(),index:'emp_*',interval:auto,query:(query_string:(analyze_wildcard:!t,query:'%22rtdc.l.rtdc.4020%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30" t="s">
        <v>774</v>
      </c>
      <c r="B195" s="226">
        <v>4019</v>
      </c>
      <c r="C195" s="228" t="s">
        <v>192</v>
      </c>
      <c r="D195" s="228" t="s">
        <v>503</v>
      </c>
      <c r="E195" s="227">
        <v>43066.746539351851</v>
      </c>
      <c r="F195" s="227">
        <v>43066.758333333331</v>
      </c>
      <c r="G195" s="226">
        <v>62</v>
      </c>
      <c r="H195" s="228" t="s">
        <v>971</v>
      </c>
      <c r="I195" s="227">
        <v>43066.767222222225</v>
      </c>
      <c r="J195" s="226">
        <v>0</v>
      </c>
      <c r="K195" s="238" t="str">
        <f t="shared" si="47"/>
        <v>4019/4020</v>
      </c>
      <c r="L195" s="246" t="str">
        <f>VLOOKUP(A195,'Trips&amp;Operators'!$C$1:$G$99911,5,FALSE)</f>
        <v>STAMBAUGH JAMES</v>
      </c>
      <c r="M195" s="225">
        <f t="shared" si="48"/>
        <v>8.8888888931251131E-3</v>
      </c>
      <c r="N195" s="226">
        <f t="shared" si="66"/>
        <v>12.800000006100163</v>
      </c>
      <c r="O195" s="226"/>
      <c r="P195" s="226"/>
      <c r="Q195" s="229"/>
      <c r="R195" s="243"/>
      <c r="S195" s="250">
        <f t="shared" si="67"/>
        <v>1</v>
      </c>
      <c r="T195" s="243" t="str">
        <f t="shared" si="49"/>
        <v>Southbound</v>
      </c>
      <c r="U195" s="24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9" t="str">
        <f t="shared" si="50"/>
        <v>https://d0f6bd738d7f1b3e5a7ca70fe4ff75f0.us-east-1.aws.found.io/app/kibana#/discover/Steve-Slow-Train-Analysis-(2080s-and-2083s)?_g=(refreshInterval:(display:Off,pause:!f,section:0,value:0),time:(from:'2017-11-27T16:55:01-0700',mode:absolute,to:'2017-11-27T19:24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5" s="248" t="str">
        <f>IF(AA195&lt;VLOOKUP(AG195,Variables!$AC$3:$AD$8,2,FALSE),"Y","N")</f>
        <v>N</v>
      </c>
      <c r="X195" s="248">
        <f t="shared" si="51"/>
        <v>1</v>
      </c>
      <c r="Y195" s="248">
        <f t="shared" si="52"/>
        <v>5.8611000000000004</v>
      </c>
      <c r="Z195" s="248">
        <f t="shared" si="53"/>
        <v>1.4800000000000001E-2</v>
      </c>
      <c r="AA195" s="248">
        <f t="shared" si="54"/>
        <v>5.8463000000000003</v>
      </c>
      <c r="AB195" s="234" t="e">
        <f>VLOOKUP(A195,Enforcements!$C$7:$K$9,8,0)</f>
        <v>#N/A</v>
      </c>
      <c r="AC195" s="233" t="e">
        <f>VLOOKUP(A195,Enforcements!$C$7:$E$9,3,0)</f>
        <v>#N/A</v>
      </c>
      <c r="AD195" s="244">
        <f t="shared" si="55"/>
        <v>836</v>
      </c>
      <c r="AE195" s="236" t="str">
        <f t="shared" si="56"/>
        <v>aws s3 cp s3://rtdc.mdm.uploadarchive.raw/RTDC4019/ "%USERPROFILE%\AppData\Local\Temp\OnboardLogs"\RTDC4019\2017-11-27 --exclude "*" --recursive --include "*20171127*" &amp; "%USERPROFILE%\Documents\GitHub\mrs-test-scripts\Headless Mode &amp; Sideloading\WalkAndUnGZ.bat" "%USERPROFILE%\AppData\Local\Temp\OnboardLogs"\RTDC4019\2017-11-27 &amp; aws s3 cp s3://rtdc.mdm.uploadarchive.raw/RTDC4019/ "%USERPROFILE%\AppData\Local\Temp\OnboardLogs"\RTDC4019\2017-11-28 --exclude "*" --recursive --include "*20171128*" &amp; "%USERPROFILE%\Documents\GitHub\mrs-test-scripts\Headless Mode &amp; Sideloading\WalkAndUnGZ.bat" "%USERPROFILE%\AppData\Local\Temp\OnboardLogs"\RTDC4019\2017-11-28</v>
      </c>
      <c r="AF195" s="235" t="str">
        <f t="shared" si="57"/>
        <v>"C:\Program Files (x86)\AstroGrep\AstroGrep.exe" /e /r /s /spath="%USERPROFILE%\AppData\Local\Temp\OnboardLogs" /stypes="app*4019*20171128*" /stext=" 01:.+((SYSTEM_STATE.+slice.+state.+changed )|(ment ac)|(multiple cpu faults)|(system.+state.+changed )|(\[timeout)|(PRM\|1\|D)|(kpr)|(kdp)|(train st.+moving)|(\|lc)|(penalty))"</v>
      </c>
      <c r="AG195" s="245" t="str">
        <f t="shared" si="58"/>
        <v>NW</v>
      </c>
      <c r="AH195" s="237" t="str">
        <f t="shared" si="59"/>
        <v>"%USERPROFILE%\Documents\GitHub\eaglep3\Utilities\RefineRTDCRunTimes.py" --tripid 836-27 --locoid 4019 --swversion DE.1.0.9.0 --startMP 300:58611 --initTime 2017-11-27T17:55:01 --startdatetime 2017-11-27T18:12:00 --delay 62 --endMP 204:148 --enddatetime 2017-11-27T18:24:48 --enforcementcount 0 &gt;&gt;%USERPROFILE%\Documents\GitHub\eaglep3-reporting\EC\2017-11-27-refined-times.txt</v>
      </c>
      <c r="AI195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{"issue":{"subject":"","project_id":79,"tracker_id":40,"status_id":1,"priority_id":2,"assigned_to_id":338,"start_date":"2017-11-27","description":"","custom_fields":[{"id":1,"name":"Subdivision","value":"NW"},{"id":4,"name":"Milepost","value":"0.0148"},{"id":17,"name":"Train ID","value":"836-27"},{"id":16,"name":"Locomotive ID","value":"4019"},{"id":130,"name":"Impact","value":""},{"id":150,"name":"Time of Event (Mountain Time)","value":"18:24:48"},{"id":151,"name":"Denver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4"/>
      <c r="AK195" s="232"/>
      <c r="AL195" s="232"/>
      <c r="AM195" s="241" t="str">
        <f t="shared" si="61"/>
        <v>start /low /b %USERPROFILE%\Documents\GitHub\eaglep3\Utilities\DownloadLogsFromS3.py --loco 4019 --day 2017-11-27</v>
      </c>
      <c r="AN195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01:24:48"},{"id":29,"name":"Sharepoint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1" t="str">
        <f t="shared" si="63"/>
        <v>https://d0f6bd738d7f1b3e5a7ca70fe4ff75f0.us-east-1.aws.found.io/app/kibana#/discover/Steve-Slow-Train-Analysis-(2080s-and-2083s)?_g=(refreshInterval:(display:Off,pause:!f,section:0,value:0),time:(from:'2017-11-27T16:55:01-0700',mode:absolute,to:'2017-11-27T19:24:48-0700'))&amp;_a=(columns:!('Message%20ID',Summary),filters:!(),index:'emp_*',interval:auto,query:(query_string:(analyze_wildcard:!t,query:'%22rtdc.l.rtdc.4019%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30" t="s">
        <v>775</v>
      </c>
      <c r="B196" s="226">
        <v>4056</v>
      </c>
      <c r="C196" s="228" t="s">
        <v>192</v>
      </c>
      <c r="D196" s="228" t="s">
        <v>972</v>
      </c>
      <c r="E196" s="227">
        <v>43066.748657407406</v>
      </c>
      <c r="F196" s="227">
        <v>43066.756516203706</v>
      </c>
      <c r="G196" s="226">
        <v>217</v>
      </c>
      <c r="H196" s="228" t="s">
        <v>973</v>
      </c>
      <c r="I196" s="227">
        <v>43066.767106481479</v>
      </c>
      <c r="J196" s="226">
        <v>0</v>
      </c>
      <c r="K196" s="238" t="str">
        <f t="shared" si="47"/>
        <v>4055/4056</v>
      </c>
      <c r="L196" s="246" t="str">
        <f>VLOOKUP(A196,'Trips&amp;Operators'!$C$1:$G$99911,5,FALSE)</f>
        <v>KILLION DAVID</v>
      </c>
      <c r="M196" s="225">
        <f t="shared" si="48"/>
        <v>1.0590277772280388E-2</v>
      </c>
      <c r="N196" s="226">
        <f t="shared" si="66"/>
        <v>15.249999992083758</v>
      </c>
      <c r="O196" s="226"/>
      <c r="P196" s="226"/>
      <c r="Q196" s="229"/>
      <c r="R196" s="243"/>
      <c r="S196" s="250">
        <f t="shared" si="67"/>
        <v>1</v>
      </c>
      <c r="T196" s="243" t="str">
        <f t="shared" si="49"/>
        <v>NorthBound</v>
      </c>
      <c r="U196" s="24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9" t="str">
        <f t="shared" si="50"/>
        <v>https://d0f6bd738d7f1b3e5a7ca70fe4ff75f0.us-east-1.aws.found.io/app/kibana#/discover/Steve-Slow-Train-Analysis-(2080s-and-2083s)?_g=(refreshInterval:(display:Off,pause:!f,section:0,value:0),time:(from:'2017-11-27T16:58:04-0700',mode:absolute,to:'2017-11-27T19:24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6" s="248" t="str">
        <f>IF(AA196&lt;VLOOKUP(AG196,Variables!$AC$3:$AD$8,2,FALSE),"Y","N")</f>
        <v>N</v>
      </c>
      <c r="X196" s="248">
        <f t="shared" si="51"/>
        <v>1</v>
      </c>
      <c r="Y196" s="248">
        <f t="shared" si="52"/>
        <v>3.7199999999999997E-2</v>
      </c>
      <c r="Z196" s="248">
        <f t="shared" si="53"/>
        <v>5.8983999999999996</v>
      </c>
      <c r="AA196" s="248">
        <f t="shared" si="54"/>
        <v>5.8611999999999993</v>
      </c>
      <c r="AB196" s="234" t="e">
        <f>VLOOKUP(A196,Enforcements!$C$7:$K$9,8,0)</f>
        <v>#N/A</v>
      </c>
      <c r="AC196" s="233" t="e">
        <f>VLOOKUP(A196,Enforcements!$C$7:$E$9,3,0)</f>
        <v>#N/A</v>
      </c>
      <c r="AD196" s="244">
        <f t="shared" si="55"/>
        <v>837</v>
      </c>
      <c r="AE196" s="236" t="str">
        <f t="shared" si="56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196" s="235" t="str">
        <f t="shared" si="57"/>
        <v>"C:\Program Files (x86)\AstroGrep\AstroGrep.exe" /e /r /s /spath="%USERPROFILE%\AppData\Local\Temp\OnboardLogs" /stypes="app*4056*20171128*" /stext=" 01:.+((SYSTEM_STATE.+slice.+state.+changed )|(ment ac)|(multiple cpu faults)|(system.+state.+changed )|(\[timeout)|(PRM\|1\|D)|(kpr)|(kdp)|(train st.+moving)|(\|lc)|(penalty))"</v>
      </c>
      <c r="AG196" s="245" t="str">
        <f t="shared" si="58"/>
        <v>NW</v>
      </c>
      <c r="AH196" s="237" t="str">
        <f t="shared" si="59"/>
        <v>"%USERPROFILE%\Documents\GitHub\eaglep3\Utilities\RefineRTDCRunTimes.py" --tripid 837-27 --locoid 4056 --swversion DE.1.0.9.0 --startMP 204:372 --initTime 2017-11-27T17:58:04 --startdatetime 2017-11-27T18:09:23 --delay 217 --endMP 300:58984 --enddatetime 2017-11-27T18:24:38 --enforcementcount 0 &gt;&gt;%USERPROFILE%\Documents\GitHub\eaglep3-reporting\EC\2017-11-27-refined-times.txt</v>
      </c>
      <c r="AI196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{"issue":{"subject":"","project_id":79,"tracker_id":40,"status_id":1,"priority_id":2,"assigned_to_id":338,"start_date":"2017-11-27","description":"","custom_fields":[{"id":1,"name":"Subdivision","value":"NW"},{"id":4,"name":"Milepost","value":"5.8984"},{"id":17,"name":"Train ID","value":"837-27"},{"id":16,"name":"Locomotive ID","value":"4056"},{"id":130,"name":"Impact","value":""},{"id":150,"name":"Time of Event (Mountain Time)","value":"18:24:38"},{"id":151,"name":"Denver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4"/>
      <c r="AK196" s="232"/>
      <c r="AL196" s="232"/>
      <c r="AM196" s="241" t="str">
        <f t="shared" si="61"/>
        <v>start /low /b %USERPROFILE%\Documents\GitHub\eaglep3\Utilities\DownloadLogsFromS3.py --loco 4056 --day 2017-11-27</v>
      </c>
      <c r="AN196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01:24:38"},{"id":29,"name":"Sharepoint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1" t="str">
        <f t="shared" si="63"/>
        <v>https://d0f6bd738d7f1b3e5a7ca70fe4ff75f0.us-east-1.aws.found.io/app/kibana#/discover/Steve-Slow-Train-Analysis-(2080s-and-2083s)?_g=(refreshInterval:(display:Off,pause:!f,section:0,value:0),time:(from:'2017-11-27T16:58:04-0700',mode:absolute,to:'2017-11-27T19:24:38-0700'))&amp;_a=(columns:!('Message%20ID',Summary),filters:!(),index:'emp_*',interval:auto,query:(query_string:(analyze_wildcard:!t,query:'%22rtdc.l.rtdc.4056%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30" t="s">
        <v>780</v>
      </c>
      <c r="B197" s="226">
        <v>4055</v>
      </c>
      <c r="C197" s="228" t="s">
        <v>192</v>
      </c>
      <c r="D197" s="228" t="s">
        <v>974</v>
      </c>
      <c r="E197" s="227">
        <v>43066.768993055557</v>
      </c>
      <c r="F197" s="227">
        <v>43066.779166666667</v>
      </c>
      <c r="G197" s="226">
        <v>67</v>
      </c>
      <c r="H197" s="228" t="s">
        <v>975</v>
      </c>
      <c r="I197" s="227">
        <v>43066.788680555554</v>
      </c>
      <c r="J197" s="226">
        <v>0</v>
      </c>
      <c r="K197" s="238" t="str">
        <f t="shared" si="47"/>
        <v>4055/4056</v>
      </c>
      <c r="L197" s="246" t="str">
        <f>VLOOKUP(A197,'Trips&amp;Operators'!$C$1:$G$99911,5,FALSE)</f>
        <v>KILLION DAVID</v>
      </c>
      <c r="M197" s="225">
        <f t="shared" si="48"/>
        <v>9.5138888864312321E-3</v>
      </c>
      <c r="N197" s="226">
        <f t="shared" si="66"/>
        <v>13.699999996460974</v>
      </c>
      <c r="O197" s="226"/>
      <c r="P197" s="226"/>
      <c r="Q197" s="229"/>
      <c r="R197" s="243"/>
      <c r="S197" s="250">
        <f t="shared" si="67"/>
        <v>1</v>
      </c>
      <c r="T197" s="243" t="str">
        <f t="shared" si="49"/>
        <v>Southbound</v>
      </c>
      <c r="U197" s="24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9" t="str">
        <f t="shared" si="50"/>
        <v>https://d0f6bd738d7f1b3e5a7ca70fe4ff75f0.us-east-1.aws.found.io/app/kibana#/discover/Steve-Slow-Train-Analysis-(2080s-and-2083s)?_g=(refreshInterval:(display:Off,pause:!f,section:0,value:0),time:(from:'2017-11-27T17:27:21-0700',mode:absolute,to:'2017-11-27T19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7" s="248" t="str">
        <f>IF(AA197&lt;VLOOKUP(AG197,Variables!$AC$3:$AD$8,2,FALSE),"Y","N")</f>
        <v>N</v>
      </c>
      <c r="X197" s="248">
        <f t="shared" si="51"/>
        <v>1</v>
      </c>
      <c r="Y197" s="248">
        <f t="shared" si="52"/>
        <v>5.8672000000000004</v>
      </c>
      <c r="Z197" s="248">
        <f t="shared" si="53"/>
        <v>9.9000000000000008E-3</v>
      </c>
      <c r="AA197" s="248">
        <f t="shared" si="54"/>
        <v>5.8573000000000004</v>
      </c>
      <c r="AB197" s="234" t="e">
        <f>VLOOKUP(A197,Enforcements!$C$7:$K$9,8,0)</f>
        <v>#N/A</v>
      </c>
      <c r="AC197" s="233" t="e">
        <f>VLOOKUP(A197,Enforcements!$C$7:$E$9,3,0)</f>
        <v>#N/A</v>
      </c>
      <c r="AD197" s="244">
        <f t="shared" si="55"/>
        <v>838</v>
      </c>
      <c r="AE197" s="236" t="str">
        <f t="shared" si="56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197" s="235" t="str">
        <f t="shared" si="57"/>
        <v>"C:\Program Files (x86)\AstroGrep\AstroGrep.exe" /e /r /s /spath="%USERPROFILE%\AppData\Local\Temp\OnboardLogs" /stypes="app*4055*20171128*" /stext=" 01:.+((SYSTEM_STATE.+slice.+state.+changed )|(ment ac)|(multiple cpu faults)|(system.+state.+changed )|(\[timeout)|(PRM\|1\|D)|(kpr)|(kdp)|(train st.+moving)|(\|lc)|(penalty))"</v>
      </c>
      <c r="AG197" s="245" t="str">
        <f t="shared" si="58"/>
        <v>NW</v>
      </c>
      <c r="AH197" s="237" t="str">
        <f t="shared" si="59"/>
        <v>"%USERPROFILE%\Documents\GitHub\eaglep3\Utilities\RefineRTDCRunTimes.py" --tripid 838-27 --locoid 4055 --swversion DE.1.0.9.0 --startMP 300:58672 --initTime 2017-11-27T18:27:21 --startdatetime 2017-11-27T18:42:00 --delay 67 --endMP 204:99 --enddatetime 2017-11-27T18:55:42 --enforcementcount 0 &gt;&gt;%USERPROFILE%\Documents\GitHub\eaglep3-reporting\EC\2017-11-27-refined-times.txt</v>
      </c>
      <c r="AI197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{"issue":{"subject":"","project_id":79,"tracker_id":40,"status_id":1,"priority_id":2,"assigned_to_id":338,"start_date":"2017-11-27","description":"","custom_fields":[{"id":1,"name":"Subdivision","value":"NW"},{"id":4,"name":"Milepost","value":"0.0099"},{"id":17,"name":"Train ID","value":"838-27"},{"id":16,"name":"Locomotive ID","value":"4055"},{"id":130,"name":"Impact","value":""},{"id":150,"name":"Time of Event (Mountain Time)","value":"18:55:42"},{"id":151,"name":"Denver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4"/>
      <c r="AK197" s="232"/>
      <c r="AL197" s="232"/>
      <c r="AM197" s="241" t="str">
        <f t="shared" si="61"/>
        <v>start /low /b %USERPROFILE%\Documents\GitHub\eaglep3\Utilities\DownloadLogsFromS3.py --loco 4055 --day 2017-11-27</v>
      </c>
      <c r="AN197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01:55:42"},{"id":29,"name":"Sharepoint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1" t="str">
        <f t="shared" si="63"/>
        <v>https://d0f6bd738d7f1b3e5a7ca70fe4ff75f0.us-east-1.aws.found.io/app/kibana#/discover/Steve-Slow-Train-Analysis-(2080s-and-2083s)?_g=(refreshInterval:(display:Off,pause:!f,section:0,value:0),time:(from:'2017-11-27T17:27:21-0700',mode:absolute,to:'2017-11-27T19:55:42-0700'))&amp;_a=(columns:!('Message%20ID',Summary),filters:!(),index:'emp_*',interval:auto,query:(query_string:(analyze_wildcard:!t,query:'%22rtdc.l.rtdc.4055%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30" t="s">
        <v>781</v>
      </c>
      <c r="B198" s="226">
        <v>4020</v>
      </c>
      <c r="C198" s="228" t="s">
        <v>192</v>
      </c>
      <c r="D198" s="228" t="s">
        <v>976</v>
      </c>
      <c r="E198" s="227">
        <v>43066.773923611108</v>
      </c>
      <c r="F198" s="227">
        <v>43066.777615740742</v>
      </c>
      <c r="G198" s="226">
        <v>65</v>
      </c>
      <c r="H198" s="228" t="s">
        <v>977</v>
      </c>
      <c r="I198" s="227">
        <v>43066.786805555559</v>
      </c>
      <c r="J198" s="226">
        <v>0</v>
      </c>
      <c r="K198" s="238" t="str">
        <f t="shared" si="47"/>
        <v>4019/4020</v>
      </c>
      <c r="L198" s="246" t="str">
        <f>VLOOKUP(A198,'Trips&amp;Operators'!$C$1:$G$99911,5,FALSE)</f>
        <v>STAMBAUGH JAMES</v>
      </c>
      <c r="M198" s="225">
        <f t="shared" si="48"/>
        <v>9.189814816636499E-3</v>
      </c>
      <c r="N198" s="226">
        <f t="shared" si="66"/>
        <v>13.233333335956559</v>
      </c>
      <c r="O198" s="226"/>
      <c r="P198" s="226"/>
      <c r="Q198" s="229"/>
      <c r="R198" s="243"/>
      <c r="S198" s="250">
        <f t="shared" si="67"/>
        <v>1</v>
      </c>
      <c r="T198" s="243" t="str">
        <f t="shared" si="49"/>
        <v>NorthBound</v>
      </c>
      <c r="U198" s="24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9" t="str">
        <f t="shared" si="50"/>
        <v>https://d0f6bd738d7f1b3e5a7ca70fe4ff75f0.us-east-1.aws.found.io/app/kibana#/discover/Steve-Slow-Train-Analysis-(2080s-and-2083s)?_g=(refreshInterval:(display:Off,pause:!f,section:0,value:0),time:(from:'2017-11-27T17:34:27-0700',mode:absolute,to:'2017-11-27T19:53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8" s="248" t="str">
        <f>IF(AA198&lt;VLOOKUP(AG198,Variables!$AC$3:$AD$8,2,FALSE),"Y","N")</f>
        <v>N</v>
      </c>
      <c r="X198" s="248">
        <f t="shared" si="51"/>
        <v>1</v>
      </c>
      <c r="Y198" s="248">
        <f t="shared" si="52"/>
        <v>4.4400000000000002E-2</v>
      </c>
      <c r="Z198" s="248">
        <f t="shared" si="53"/>
        <v>5.8905000000000003</v>
      </c>
      <c r="AA198" s="248">
        <f t="shared" si="54"/>
        <v>5.8460999999999999</v>
      </c>
      <c r="AB198" s="234" t="e">
        <f>VLOOKUP(A198,Enforcements!$C$7:$K$9,8,0)</f>
        <v>#N/A</v>
      </c>
      <c r="AC198" s="233" t="e">
        <f>VLOOKUP(A198,Enforcements!$C$7:$E$9,3,0)</f>
        <v>#N/A</v>
      </c>
      <c r="AD198" s="244">
        <f t="shared" si="55"/>
        <v>839</v>
      </c>
      <c r="AE198" s="236" t="str">
        <f t="shared" si="56"/>
        <v>aws s3 cp s3://rtdc.mdm.uploadarchive.raw/RTDC4020/ "%USERPROFILE%\AppData\Local\Temp\OnboardLogs"\RTDC4020\2017-11-27 --exclude "*" --recursive --include "*20171127*" &amp; "%USERPROFILE%\Documents\GitHub\mrs-test-scripts\Headless Mode &amp; Sideloading\WalkAndUnGZ.bat" "%USERPROFILE%\AppData\Local\Temp\OnboardLogs"\RTDC4020\2017-11-27 &amp; aws s3 cp s3://rtdc.mdm.uploadarchive.raw/RTDC4020/ "%USERPROFILE%\AppData\Local\Temp\OnboardLogs"\RTDC4020\2017-11-28 --exclude "*" --recursive --include "*20171128*" &amp; "%USERPROFILE%\Documents\GitHub\mrs-test-scripts\Headless Mode &amp; Sideloading\WalkAndUnGZ.bat" "%USERPROFILE%\AppData\Local\Temp\OnboardLogs"\RTDC4020\2017-11-28</v>
      </c>
      <c r="AF198" s="235" t="str">
        <f t="shared" si="57"/>
        <v>"C:\Program Files (x86)\AstroGrep\AstroGrep.exe" /e /r /s /spath="%USERPROFILE%\AppData\Local\Temp\OnboardLogs" /stypes="app*4020*20171128*" /stext=" 01:.+((SYSTEM_STATE.+slice.+state.+changed )|(ment ac)|(multiple cpu faults)|(system.+state.+changed )|(\[timeout)|(PRM\|1\|D)|(kpr)|(kdp)|(train st.+moving)|(\|lc)|(penalty))"</v>
      </c>
      <c r="AG198" s="245" t="str">
        <f t="shared" si="58"/>
        <v>NW</v>
      </c>
      <c r="AH198" s="237" t="str">
        <f t="shared" si="59"/>
        <v>"%USERPROFILE%\Documents\GitHub\eaglep3\Utilities\RefineRTDCRunTimes.py" --tripid 839-27 --locoid 4020 --swversion DE.1.0.9.0 --startMP 204:444 --initTime 2017-11-27T18:34:27 --startdatetime 2017-11-27T18:39:46 --delay 65 --endMP 300:58905 --enddatetime 2017-11-27T18:53:00 --enforcementcount 0 &gt;&gt;%USERPROFILE%\Documents\GitHub\eaglep3-reporting\EC\2017-11-27-refined-times.txt</v>
      </c>
      <c r="AI198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{"issue":{"subject":"","project_id":79,"tracker_id":40,"status_id":1,"priority_id":2,"assigned_to_id":338,"start_date":"2017-11-27","description":"","custom_fields":[{"id":1,"name":"Subdivision","value":"NW"},{"id":4,"name":"Milepost","value":"5.8905"},{"id":17,"name":"Train ID","value":"839-27"},{"id":16,"name":"Locomotive ID","value":"4020"},{"id":130,"name":"Impact","value":""},{"id":150,"name":"Time of Event (Mountain Time)","value":"18:53:00"},{"id":151,"name":"Denver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4"/>
      <c r="AK198" s="232"/>
      <c r="AL198" s="232"/>
      <c r="AM198" s="241" t="str">
        <f t="shared" si="61"/>
        <v>start /low /b %USERPROFILE%\Documents\GitHub\eaglep3\Utilities\DownloadLogsFromS3.py --loco 4020 --day 2017-11-27</v>
      </c>
      <c r="AN198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01:53:00"},{"id":29,"name":"Sharepoint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1" t="str">
        <f t="shared" si="63"/>
        <v>https://d0f6bd738d7f1b3e5a7ca70fe4ff75f0.us-east-1.aws.found.io/app/kibana#/discover/Steve-Slow-Train-Analysis-(2080s-and-2083s)?_g=(refreshInterval:(display:Off,pause:!f,section:0,value:0),time:(from:'2017-11-27T17:34:27-0700',mode:absolute,to:'2017-11-27T19:53:00-0700'))&amp;_a=(columns:!('Message%20ID',Summary),filters:!(),index:'emp_*',interval:auto,query:(query_string:(analyze_wildcard:!t,query:'%22rtdc.l.rtdc.4020%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30" t="s">
        <v>791</v>
      </c>
      <c r="B199" s="226">
        <v>4055</v>
      </c>
      <c r="C199" s="228" t="s">
        <v>192</v>
      </c>
      <c r="D199" s="228" t="s">
        <v>978</v>
      </c>
      <c r="E199" s="227">
        <v>43066.80940972222</v>
      </c>
      <c r="F199" s="227">
        <v>43066.820833333331</v>
      </c>
      <c r="G199" s="226">
        <v>48</v>
      </c>
      <c r="H199" s="228" t="s">
        <v>979</v>
      </c>
      <c r="I199" s="227">
        <v>43066.830127314817</v>
      </c>
      <c r="J199" s="226">
        <v>0</v>
      </c>
      <c r="K199" s="238" t="str">
        <f t="shared" si="47"/>
        <v>4055/4056</v>
      </c>
      <c r="L199" s="246" t="str">
        <f>VLOOKUP(A199,'Trips&amp;Operators'!$C$1:$G$99911,5,FALSE)</f>
        <v>KILLION DAVID</v>
      </c>
      <c r="M199" s="225">
        <f t="shared" si="48"/>
        <v>9.2939814858254977E-3</v>
      </c>
      <c r="N199" s="226">
        <f t="shared" si="66"/>
        <v>13.383333339588717</v>
      </c>
      <c r="O199" s="226"/>
      <c r="P199" s="226"/>
      <c r="Q199" s="229"/>
      <c r="R199" s="243"/>
      <c r="S199" s="250">
        <f t="shared" si="67"/>
        <v>1</v>
      </c>
      <c r="T199" s="243" t="str">
        <f t="shared" si="49"/>
        <v>Southbound</v>
      </c>
      <c r="U199" s="24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9" t="str">
        <f t="shared" si="50"/>
        <v>https://d0f6bd738d7f1b3e5a7ca70fe4ff75f0.us-east-1.aws.found.io/app/kibana#/discover/Steve-Slow-Train-Analysis-(2080s-and-2083s)?_g=(refreshInterval:(display:Off,pause:!f,section:0,value:0),time:(from:'2017-11-27T18:25:33-0700',mode:absolute,to:'2017-11-27T20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9" s="248" t="str">
        <f>IF(AA199&lt;VLOOKUP(AG199,Variables!$AC$3:$AD$8,2,FALSE),"Y","N")</f>
        <v>N</v>
      </c>
      <c r="X199" s="248">
        <f t="shared" si="51"/>
        <v>1</v>
      </c>
      <c r="Y199" s="248">
        <f t="shared" si="52"/>
        <v>5.8682999999999996</v>
      </c>
      <c r="Z199" s="248">
        <f t="shared" si="53"/>
        <v>6.9800000000000001E-2</v>
      </c>
      <c r="AA199" s="248">
        <f t="shared" si="54"/>
        <v>5.7984999999999998</v>
      </c>
      <c r="AB199" s="234" t="e">
        <f>VLOOKUP(A199,Enforcements!$C$7:$K$9,8,0)</f>
        <v>#N/A</v>
      </c>
      <c r="AC199" s="233" t="e">
        <f>VLOOKUP(A199,Enforcements!$C$7:$E$9,3,0)</f>
        <v>#N/A</v>
      </c>
      <c r="AD199" s="244">
        <f t="shared" si="55"/>
        <v>840</v>
      </c>
      <c r="AE199" s="236" t="str">
        <f t="shared" si="56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199" s="235" t="str">
        <f t="shared" si="57"/>
        <v>"C:\Program Files (x86)\AstroGrep\AstroGrep.exe" /e /r /s /spath="%USERPROFILE%\AppData\Local\Temp\OnboardLogs" /stypes="app*4055*20171128*" /stext=" 02:.+((SYSTEM_STATE.+slice.+state.+changed )|(ment ac)|(multiple cpu faults)|(system.+state.+changed )|(\[timeout)|(PRM\|1\|D)|(kpr)|(kdp)|(train st.+moving)|(\|lc)|(penalty))"</v>
      </c>
      <c r="AG199" s="245" t="str">
        <f t="shared" si="58"/>
        <v>NW</v>
      </c>
      <c r="AH199" s="237" t="str">
        <f t="shared" si="59"/>
        <v>"%USERPROFILE%\Documents\GitHub\eaglep3\Utilities\RefineRTDCRunTimes.py" --tripid 840-27 --locoid 4055 --swversion DE.1.0.9.0 --startMP 300:58683 --initTime 2017-11-27T19:25:33 --startdatetime 2017-11-27T19:42:00 --delay 48 --endMP 204:698 --enddatetime 2017-11-27T19:55:23 --enforcementcount 0 &gt;&gt;%USERPROFILE%\Documents\GitHub\eaglep3-reporting\EC\2017-11-27-refined-times.txt</v>
      </c>
      <c r="AI199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{"issue":{"subject":"","project_id":79,"tracker_id":40,"status_id":1,"priority_id":2,"assigned_to_id":338,"start_date":"2017-11-27","description":"","custom_fields":[{"id":1,"name":"Subdivision","value":"NW"},{"id":4,"name":"Milepost","value":"0.0698"},{"id":17,"name":"Train ID","value":"840-27"},{"id":16,"name":"Locomotive ID","value":"4055"},{"id":130,"name":"Impact","value":""},{"id":150,"name":"Time of Event (Mountain Time)","value":"19:55:23"},{"id":151,"name":"Denver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4"/>
      <c r="AK199" s="232"/>
      <c r="AL199" s="232"/>
      <c r="AM199" s="241" t="str">
        <f t="shared" si="61"/>
        <v>start /low /b %USERPROFILE%\Documents\GitHub\eaglep3\Utilities\DownloadLogsFromS3.py --loco 4055 --day 2017-11-27</v>
      </c>
      <c r="AN199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02:55:23"},{"id":29,"name":"Sharepoint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1" t="str">
        <f t="shared" si="63"/>
        <v>https://d0f6bd738d7f1b3e5a7ca70fe4ff75f0.us-east-1.aws.found.io/app/kibana#/discover/Steve-Slow-Train-Analysis-(2080s-and-2083s)?_g=(refreshInterval:(display:Off,pause:!f,section:0,value:0),time:(from:'2017-11-27T18:25:33-0700',mode:absolute,to:'2017-11-27T20:55:23-0700'))&amp;_a=(columns:!('Message%20ID',Summary),filters:!(),index:'emp_*',interval:auto,query:(query_string:(analyze_wildcard:!t,query:'%22rtdc.l.rtdc.4055%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30" t="s">
        <v>786</v>
      </c>
      <c r="B200" s="226">
        <v>4056</v>
      </c>
      <c r="C200" s="228" t="s">
        <v>192</v>
      </c>
      <c r="D200" s="228" t="s">
        <v>980</v>
      </c>
      <c r="E200" s="227">
        <v>43066.790613425925</v>
      </c>
      <c r="F200" s="227">
        <v>43066.798113425924</v>
      </c>
      <c r="G200" s="226">
        <v>73</v>
      </c>
      <c r="H200" s="228" t="s">
        <v>981</v>
      </c>
      <c r="I200" s="227">
        <v>43066.808055555557</v>
      </c>
      <c r="J200" s="226">
        <v>0</v>
      </c>
      <c r="K200" s="238" t="str">
        <f t="shared" si="47"/>
        <v>4055/4056</v>
      </c>
      <c r="L200" s="246" t="str">
        <f>VLOOKUP(A200,'Trips&amp;Operators'!$C$1:$G$99911,5,FALSE)</f>
        <v>KILLION DAVID</v>
      </c>
      <c r="M200" s="225">
        <f t="shared" si="48"/>
        <v>9.9421296326909214E-3</v>
      </c>
      <c r="N200" s="226">
        <f t="shared" si="66"/>
        <v>14.316666671074927</v>
      </c>
      <c r="O200" s="226"/>
      <c r="P200" s="226"/>
      <c r="Q200" s="229"/>
      <c r="R200" s="243"/>
      <c r="S200" s="250">
        <f t="shared" si="67"/>
        <v>1</v>
      </c>
      <c r="T200" s="243" t="str">
        <f t="shared" si="49"/>
        <v>NorthBound</v>
      </c>
      <c r="U200" s="24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9" t="str">
        <f t="shared" si="50"/>
        <v>https://d0f6bd738d7f1b3e5a7ca70fe4ff75f0.us-east-1.aws.found.io/app/kibana#/discover/Steve-Slow-Train-Analysis-(2080s-and-2083s)?_g=(refreshInterval:(display:Off,pause:!f,section:0,value:0),time:(from:'2017-11-27T17:58:29-0700',mode:absolute,to:'2017-11-27T20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0" s="248" t="str">
        <f>IF(AA200&lt;VLOOKUP(AG200,Variables!$AC$3:$AD$8,2,FALSE),"Y","N")</f>
        <v>N</v>
      </c>
      <c r="X200" s="248">
        <f t="shared" si="51"/>
        <v>1</v>
      </c>
      <c r="Y200" s="248">
        <f t="shared" si="52"/>
        <v>4.1000000000000002E-2</v>
      </c>
      <c r="Z200" s="248">
        <f t="shared" si="53"/>
        <v>5.8998999999999997</v>
      </c>
      <c r="AA200" s="248">
        <f t="shared" si="54"/>
        <v>5.8588999999999993</v>
      </c>
      <c r="AB200" s="234" t="e">
        <f>VLOOKUP(A200,Enforcements!$C$7:$K$9,8,0)</f>
        <v>#N/A</v>
      </c>
      <c r="AC200" s="233" t="e">
        <f>VLOOKUP(A200,Enforcements!$C$7:$E$9,3,0)</f>
        <v>#N/A</v>
      </c>
      <c r="AD200" s="244">
        <f t="shared" si="55"/>
        <v>841</v>
      </c>
      <c r="AE200" s="236" t="str">
        <f t="shared" si="56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200" s="235" t="str">
        <f t="shared" si="57"/>
        <v>"C:\Program Files (x86)\AstroGrep\AstroGrep.exe" /e /r /s /spath="%USERPROFILE%\AppData\Local\Temp\OnboardLogs" /stypes="app*4056*20171128*" /stext=" 02:.+((SYSTEM_STATE.+slice.+state.+changed )|(ment ac)|(multiple cpu faults)|(system.+state.+changed )|(\[timeout)|(PRM\|1\|D)|(kpr)|(kdp)|(train st.+moving)|(\|lc)|(penalty))"</v>
      </c>
      <c r="AG200" s="245" t="str">
        <f t="shared" si="58"/>
        <v>NW</v>
      </c>
      <c r="AH200" s="237" t="str">
        <f t="shared" si="59"/>
        <v>"%USERPROFILE%\Documents\GitHub\eaglep3\Utilities\RefineRTDCRunTimes.py" --tripid 841-27 --locoid 4056 --swversion DE.1.0.9.0 --startMP 204:410 --initTime 2017-11-27T18:58:29 --startdatetime 2017-11-27T19:09:17 --delay 73 --endMP 300:58999 --enddatetime 2017-11-27T19:23:36 --enforcementcount 0 &gt;&gt;%USERPROFILE%\Documents\GitHub\eaglep3-reporting\EC\2017-11-27-refined-times.txt</v>
      </c>
      <c r="AI200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{"issue":{"subject":"","project_id":79,"tracker_id":40,"status_id":1,"priority_id":2,"assigned_to_id":338,"start_date":"2017-11-27","description":"","custom_fields":[{"id":1,"name":"Subdivision","value":"NW"},{"id":4,"name":"Milepost","value":"5.8999"},{"id":17,"name":"Train ID","value":"841-27"},{"id":16,"name":"Locomotive ID","value":"4056"},{"id":130,"name":"Impact","value":""},{"id":150,"name":"Time of Event (Mountain Time)","value":"19:23:36"},{"id":151,"name":"Denver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4"/>
      <c r="AK200" s="232"/>
      <c r="AL200" s="232"/>
      <c r="AM200" s="241" t="str">
        <f t="shared" si="61"/>
        <v>start /low /b %USERPROFILE%\Documents\GitHub\eaglep3\Utilities\DownloadLogsFromS3.py --loco 4056 --day 2017-11-27</v>
      </c>
      <c r="AN200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02:23:36"},{"id":29,"name":"Sharepoint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1" t="str">
        <f t="shared" si="63"/>
        <v>https://d0f6bd738d7f1b3e5a7ca70fe4ff75f0.us-east-1.aws.found.io/app/kibana#/discover/Steve-Slow-Train-Analysis-(2080s-and-2083s)?_g=(refreshInterval:(display:Off,pause:!f,section:0,value:0),time:(from:'2017-11-27T17:58:29-0700',mode:absolute,to:'2017-11-27T20:23:36-0700'))&amp;_a=(columns:!('Message%20ID',Summary),filters:!(),index:'emp_*',interval:auto,query:(query_string:(analyze_wildcard:!t,query:'%22rtdc.l.rtdc.4056%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30" t="s">
        <v>796</v>
      </c>
      <c r="B201" s="226">
        <v>4055</v>
      </c>
      <c r="C201" s="228" t="s">
        <v>192</v>
      </c>
      <c r="D201" s="228" t="s">
        <v>982</v>
      </c>
      <c r="E201" s="227">
        <v>43066.850983796299</v>
      </c>
      <c r="F201" s="227">
        <v>43066.862500000003</v>
      </c>
      <c r="G201" s="226">
        <v>64</v>
      </c>
      <c r="H201" s="228" t="s">
        <v>983</v>
      </c>
      <c r="I201" s="227">
        <v>43066.871481481481</v>
      </c>
      <c r="J201" s="226">
        <v>0</v>
      </c>
      <c r="K201" s="238" t="str">
        <f t="shared" si="47"/>
        <v>4055/4056</v>
      </c>
      <c r="L201" s="246" t="str">
        <f>VLOOKUP(A201,'Trips&amp;Operators'!$C$1:$G$99911,5,FALSE)</f>
        <v>KILLION DAVID</v>
      </c>
      <c r="M201" s="225">
        <f t="shared" si="48"/>
        <v>8.9814814782585017E-3</v>
      </c>
      <c r="N201" s="226">
        <f t="shared" si="66"/>
        <v>12.933333328692243</v>
      </c>
      <c r="O201" s="226"/>
      <c r="P201" s="226"/>
      <c r="Q201" s="229"/>
      <c r="R201" s="243"/>
      <c r="S201" s="250">
        <f t="shared" si="67"/>
        <v>1</v>
      </c>
      <c r="T201" s="243" t="str">
        <f t="shared" si="49"/>
        <v>Southbound</v>
      </c>
      <c r="U201" s="24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9" t="str">
        <f t="shared" si="50"/>
        <v>https://d0f6bd738d7f1b3e5a7ca70fe4ff75f0.us-east-1.aws.found.io/app/kibana#/discover/Steve-Slow-Train-Analysis-(2080s-and-2083s)?_g=(refreshInterval:(display:Off,pause:!f,section:0,value:0),time:(from:'2017-11-27T19:25:25-0700',mode:absolute,to:'2017-11-27T21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1" s="248" t="str">
        <f>IF(AA201&lt;VLOOKUP(AG201,Variables!$AC$3:$AD$8,2,FALSE),"Y","N")</f>
        <v>N</v>
      </c>
      <c r="X201" s="248">
        <f t="shared" si="51"/>
        <v>1</v>
      </c>
      <c r="Y201" s="248">
        <f t="shared" si="52"/>
        <v>5.8685</v>
      </c>
      <c r="Z201" s="248">
        <f t="shared" si="53"/>
        <v>7.1300000000000002E-2</v>
      </c>
      <c r="AA201" s="248">
        <f t="shared" si="54"/>
        <v>5.7972000000000001</v>
      </c>
      <c r="AB201" s="234" t="e">
        <f>VLOOKUP(A201,Enforcements!$C$7:$K$9,8,0)</f>
        <v>#N/A</v>
      </c>
      <c r="AC201" s="233" t="e">
        <f>VLOOKUP(A201,Enforcements!$C$7:$E$9,3,0)</f>
        <v>#N/A</v>
      </c>
      <c r="AD201" s="244">
        <f t="shared" si="55"/>
        <v>842</v>
      </c>
      <c r="AE201" s="236" t="str">
        <f t="shared" si="56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201" s="235" t="str">
        <f t="shared" si="57"/>
        <v>"C:\Program Files (x86)\AstroGrep\AstroGrep.exe" /e /r /s /spath="%USERPROFILE%\AppData\Local\Temp\OnboardLogs" /stypes="app*4055*20171128*" /stext=" 03:.+((SYSTEM_STATE.+slice.+state.+changed )|(ment ac)|(multiple cpu faults)|(system.+state.+changed )|(\[timeout)|(PRM\|1\|D)|(kpr)|(kdp)|(train st.+moving)|(\|lc)|(penalty))"</v>
      </c>
      <c r="AG201" s="245" t="str">
        <f t="shared" si="58"/>
        <v>NW</v>
      </c>
      <c r="AH201" s="237" t="str">
        <f t="shared" si="59"/>
        <v>"%USERPROFILE%\Documents\GitHub\eaglep3\Utilities\RefineRTDCRunTimes.py" --tripid 842-27 --locoid 4055 --swversion DE.1.0.9.0 --startMP 300:58685 --initTime 2017-11-27T20:25:25 --startdatetime 2017-11-27T20:42:00 --delay 64 --endMP 204:713 --enddatetime 2017-11-27T20:54:56 --enforcementcount 0 &gt;&gt;%USERPROFILE%\Documents\GitHub\eaglep3-reporting\EC\2017-11-27-refined-times.txt</v>
      </c>
      <c r="AI201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{"issue":{"subject":"","project_id":79,"tracker_id":40,"status_id":1,"priority_id":2,"assigned_to_id":338,"start_date":"2017-11-27","description":"","custom_fields":[{"id":1,"name":"Subdivision","value":"NW"},{"id":4,"name":"Milepost","value":"0.0713"},{"id":17,"name":"Train ID","value":"842-27"},{"id":16,"name":"Locomotive ID","value":"4055"},{"id":130,"name":"Impact","value":""},{"id":150,"name":"Time of Event (Mountain Time)","value":"20:54:56"},{"id":151,"name":"Denver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4"/>
      <c r="AK201" s="232"/>
      <c r="AL201" s="232"/>
      <c r="AM201" s="241" t="str">
        <f t="shared" si="61"/>
        <v>start /low /b %USERPROFILE%\Documents\GitHub\eaglep3\Utilities\DownloadLogsFromS3.py --loco 4055 --day 2017-11-27</v>
      </c>
      <c r="AN201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03:54:56"},{"id":29,"name":"Sharepoint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1" t="str">
        <f t="shared" si="63"/>
        <v>https://d0f6bd738d7f1b3e5a7ca70fe4ff75f0.us-east-1.aws.found.io/app/kibana#/discover/Steve-Slow-Train-Analysis-(2080s-and-2083s)?_g=(refreshInterval:(display:Off,pause:!f,section:0,value:0),time:(from:'2017-11-27T19:25:25-0700',mode:absolute,to:'2017-11-27T21:54:56-0700'))&amp;_a=(columns:!('Message%20ID',Summary),filters:!(),index:'emp_*',interval:auto,query:(query_string:(analyze_wildcard:!t,query:'%22rtdc.l.rtdc.4055%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30" t="s">
        <v>587</v>
      </c>
      <c r="B202" s="226">
        <v>4056</v>
      </c>
      <c r="C202" s="228" t="s">
        <v>192</v>
      </c>
      <c r="D202" s="228" t="s">
        <v>984</v>
      </c>
      <c r="E202" s="227">
        <v>43066.832071759258</v>
      </c>
      <c r="F202" s="227">
        <v>43066.839768518519</v>
      </c>
      <c r="G202" s="226">
        <v>53</v>
      </c>
      <c r="H202" s="228" t="s">
        <v>985</v>
      </c>
      <c r="I202" s="227">
        <v>43066.84957175926</v>
      </c>
      <c r="J202" s="226">
        <v>0</v>
      </c>
      <c r="K202" s="238" t="str">
        <f t="shared" si="47"/>
        <v>4055/4056</v>
      </c>
      <c r="L202" s="246" t="str">
        <f>VLOOKUP(A202,'Trips&amp;Operators'!$C$1:$G$99911,5,FALSE)</f>
        <v>KILLION DAVID</v>
      </c>
      <c r="M202" s="225">
        <f t="shared" si="48"/>
        <v>9.8032407404389232E-3</v>
      </c>
      <c r="N202" s="226">
        <f t="shared" si="66"/>
        <v>14.116666666232049</v>
      </c>
      <c r="O202" s="226"/>
      <c r="P202" s="226"/>
      <c r="Q202" s="229"/>
      <c r="R202" s="243"/>
      <c r="S202" s="250">
        <f t="shared" si="67"/>
        <v>1</v>
      </c>
      <c r="T202" s="243" t="str">
        <f t="shared" si="49"/>
        <v>NorthBound</v>
      </c>
      <c r="U202" s="24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9" t="str">
        <f t="shared" si="50"/>
        <v>https://d0f6bd738d7f1b3e5a7ca70fe4ff75f0.us-east-1.aws.found.io/app/kibana#/discover/Steve-Slow-Train-Analysis-(2080s-and-2083s)?_g=(refreshInterval:(display:Off,pause:!f,section:0,value:0),time:(from:'2017-11-27T18:58:11-0700',mode:absolute,to:'2017-11-27T21:23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2" s="248" t="str">
        <f>IF(AA202&lt;VLOOKUP(AG202,Variables!$AC$3:$AD$8,2,FALSE),"Y","N")</f>
        <v>N</v>
      </c>
      <c r="X202" s="248">
        <f t="shared" si="51"/>
        <v>1</v>
      </c>
      <c r="Y202" s="248">
        <f t="shared" si="52"/>
        <v>9.6699999999999994E-2</v>
      </c>
      <c r="Z202" s="248">
        <f t="shared" si="53"/>
        <v>5.8997000000000002</v>
      </c>
      <c r="AA202" s="248">
        <f t="shared" si="54"/>
        <v>5.8029999999999999</v>
      </c>
      <c r="AB202" s="234" t="e">
        <f>VLOOKUP(A202,Enforcements!$C$7:$K$9,8,0)</f>
        <v>#N/A</v>
      </c>
      <c r="AC202" s="233" t="e">
        <f>VLOOKUP(A202,Enforcements!$C$7:$E$9,3,0)</f>
        <v>#N/A</v>
      </c>
      <c r="AD202" s="244">
        <f t="shared" si="55"/>
        <v>843</v>
      </c>
      <c r="AE202" s="236" t="str">
        <f t="shared" si="56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202" s="235" t="str">
        <f t="shared" si="57"/>
        <v>"C:\Program Files (x86)\AstroGrep\AstroGrep.exe" /e /r /s /spath="%USERPROFILE%\AppData\Local\Temp\OnboardLogs" /stypes="app*4056*20171128*" /stext=" 03:.+((SYSTEM_STATE.+slice.+state.+changed )|(ment ac)|(multiple cpu faults)|(system.+state.+changed )|(\[timeout)|(PRM\|1\|D)|(kpr)|(kdp)|(train st.+moving)|(\|lc)|(penalty))"</v>
      </c>
      <c r="AG202" s="245" t="str">
        <f t="shared" si="58"/>
        <v>NW</v>
      </c>
      <c r="AH202" s="237" t="str">
        <f t="shared" si="59"/>
        <v>"%USERPROFILE%\Documents\GitHub\eaglep3\Utilities\RefineRTDCRunTimes.py" --tripid 843-27 --locoid 4056 --swversion DE.1.0.9.0 --startMP 204:967 --initTime 2017-11-27T19:58:11 --startdatetime 2017-11-27T20:09:16 --delay 53 --endMP 300:58997 --enddatetime 2017-11-27T20:23:23 --enforcementcount 0 &gt;&gt;%USERPROFILE%\Documents\GitHub\eaglep3-reporting\EC\2017-11-27-refined-times.txt</v>
      </c>
      <c r="AI202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{"issue":{"subject":"","project_id":79,"tracker_id":40,"status_id":1,"priority_id":2,"assigned_to_id":338,"start_date":"2017-11-27","description":"","custom_fields":[{"id":1,"name":"Subdivision","value":"NW"},{"id":4,"name":"Milepost","value":"5.8997"},{"id":17,"name":"Train ID","value":"843-27"},{"id":16,"name":"Locomotive ID","value":"4056"},{"id":130,"name":"Impact","value":""},{"id":150,"name":"Time of Event (Mountain Time)","value":"20:23:23"},{"id":151,"name":"Denver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4"/>
      <c r="AK202" s="232"/>
      <c r="AL202" s="232"/>
      <c r="AM202" s="241" t="str">
        <f t="shared" si="61"/>
        <v>start /low /b %USERPROFILE%\Documents\GitHub\eaglep3\Utilities\DownloadLogsFromS3.py --loco 4056 --day 2017-11-27</v>
      </c>
      <c r="AN202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03:23:23"},{"id":29,"name":"Sharepoint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1" t="str">
        <f t="shared" si="63"/>
        <v>https://d0f6bd738d7f1b3e5a7ca70fe4ff75f0.us-east-1.aws.found.io/app/kibana#/discover/Steve-Slow-Train-Analysis-(2080s-and-2083s)?_g=(refreshInterval:(display:Off,pause:!f,section:0,value:0),time:(from:'2017-11-27T18:58:11-0700',mode:absolute,to:'2017-11-27T21:23:23-0700'))&amp;_a=(columns:!('Message%20ID',Summary),filters:!(),index:'emp_*',interval:auto,query:(query_string:(analyze_wildcard:!t,query:'%22rtdc.l.rtdc.4056%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30" t="s">
        <v>800</v>
      </c>
      <c r="B203" s="226">
        <v>4055</v>
      </c>
      <c r="C203" s="228" t="s">
        <v>192</v>
      </c>
      <c r="D203" s="228" t="s">
        <v>556</v>
      </c>
      <c r="E203" s="227">
        <v>43066.891296296293</v>
      </c>
      <c r="F203" s="227">
        <v>43066.904166666667</v>
      </c>
      <c r="G203" s="226">
        <v>67</v>
      </c>
      <c r="H203" s="228" t="s">
        <v>986</v>
      </c>
      <c r="I203" s="227">
        <v>43066.912835648145</v>
      </c>
      <c r="J203" s="226">
        <v>0</v>
      </c>
      <c r="K203" s="238" t="str">
        <f t="shared" si="47"/>
        <v>4055/4056</v>
      </c>
      <c r="L203" s="246" t="str">
        <f>VLOOKUP(A203,'Trips&amp;Operators'!$C$1:$G$99911,5,FALSE)</f>
        <v>STAMBAUGH JAMES</v>
      </c>
      <c r="M203" s="225">
        <f t="shared" si="48"/>
        <v>8.6689814779674634E-3</v>
      </c>
      <c r="N203" s="226">
        <f t="shared" si="66"/>
        <v>12.483333328273147</v>
      </c>
      <c r="O203" s="226"/>
      <c r="P203" s="226"/>
      <c r="Q203" s="229"/>
      <c r="R203" s="243"/>
      <c r="S203" s="250">
        <f t="shared" si="67"/>
        <v>1</v>
      </c>
      <c r="T203" s="243" t="str">
        <f t="shared" si="49"/>
        <v>Southbound</v>
      </c>
      <c r="U203" s="24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9" t="str">
        <f t="shared" si="50"/>
        <v>https://d0f6bd738d7f1b3e5a7ca70fe4ff75f0.us-east-1.aws.found.io/app/kibana#/discover/Steve-Slow-Train-Analysis-(2080s-and-2083s)?_g=(refreshInterval:(display:Off,pause:!f,section:0,value:0),time:(from:'2017-11-27T20:23:28-0700',mode:absolute,to:'2017-11-27T22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3" s="248" t="str">
        <f>IF(AA203&lt;VLOOKUP(AG203,Variables!$AC$3:$AD$8,2,FALSE),"Y","N")</f>
        <v>N</v>
      </c>
      <c r="X203" s="248">
        <f t="shared" si="51"/>
        <v>1</v>
      </c>
      <c r="Y203" s="248">
        <f t="shared" si="52"/>
        <v>5.8608000000000002</v>
      </c>
      <c r="Z203" s="248">
        <f t="shared" si="53"/>
        <v>6.9900000000000004E-2</v>
      </c>
      <c r="AA203" s="248">
        <f t="shared" si="54"/>
        <v>5.7909000000000006</v>
      </c>
      <c r="AB203" s="234" t="e">
        <f>VLOOKUP(A203,Enforcements!$C$7:$K$9,8,0)</f>
        <v>#N/A</v>
      </c>
      <c r="AC203" s="233" t="e">
        <f>VLOOKUP(A203,Enforcements!$C$7:$E$9,3,0)</f>
        <v>#N/A</v>
      </c>
      <c r="AD203" s="244">
        <f t="shared" si="55"/>
        <v>844</v>
      </c>
      <c r="AE203" s="236" t="str">
        <f t="shared" si="56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203" s="235" t="str">
        <f t="shared" si="57"/>
        <v>"C:\Program Files (x86)\AstroGrep\AstroGrep.exe" /e /r /s /spath="%USERPROFILE%\AppData\Local\Temp\OnboardLogs" /stypes="app*4055*20171128*" /stext=" 04:.+((SYSTEM_STATE.+slice.+state.+changed )|(ment ac)|(multiple cpu faults)|(system.+state.+changed )|(\[timeout)|(PRM\|1\|D)|(kpr)|(kdp)|(train st.+moving)|(\|lc)|(penalty))"</v>
      </c>
      <c r="AG203" s="245" t="str">
        <f t="shared" si="58"/>
        <v>NW</v>
      </c>
      <c r="AH203" s="237" t="str">
        <f t="shared" si="59"/>
        <v>"%USERPROFILE%\Documents\GitHub\eaglep3\Utilities\RefineRTDCRunTimes.py" --tripid 844-27 --locoid 4055 --swversion DE.1.0.9.0 --startMP 300:58608 --initTime 2017-11-27T21:23:28 --startdatetime 2017-11-27T21:42:00 --delay 67 --endMP 204:699 --enddatetime 2017-11-27T21:54:29 --enforcementcount 0 &gt;&gt;%USERPROFILE%\Documents\GitHub\eaglep3-reporting\EC\2017-11-27-refined-times.txt</v>
      </c>
      <c r="AI203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{"issue":{"subject":"","project_id":79,"tracker_id":40,"status_id":1,"priority_id":2,"assigned_to_id":338,"start_date":"2017-11-27","description":"","custom_fields":[{"id":1,"name":"Subdivision","value":"NW"},{"id":4,"name":"Milepost","value":"0.0699"},{"id":17,"name":"Train ID","value":"844-27"},{"id":16,"name":"Locomotive ID","value":"4055"},{"id":130,"name":"Impact","value":""},{"id":150,"name":"Time of Event (Mountain Time)","value":"21:54:29"},{"id":151,"name":"Denver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4"/>
      <c r="AK203" s="232"/>
      <c r="AL203" s="232"/>
      <c r="AM203" s="241" t="str">
        <f t="shared" si="61"/>
        <v>start /low /b %USERPROFILE%\Documents\GitHub\eaglep3\Utilities\DownloadLogsFromS3.py --loco 4055 --day 2017-11-27</v>
      </c>
      <c r="AN203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04:54:29"},{"id":29,"name":"Sharepoint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1" t="str">
        <f t="shared" si="63"/>
        <v>https://d0f6bd738d7f1b3e5a7ca70fe4ff75f0.us-east-1.aws.found.io/app/kibana#/discover/Steve-Slow-Train-Analysis-(2080s-and-2083s)?_g=(refreshInterval:(display:Off,pause:!f,section:0,value:0),time:(from:'2017-11-27T20:23:28-0700',mode:absolute,to:'2017-11-27T22:54:29-0700'))&amp;_a=(columns:!('Message%20ID',Summary),filters:!(),index:'emp_*',interval:auto,query:(query_string:(analyze_wildcard:!t,query:'%22rtdc.l.rtdc.4055%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30" t="s">
        <v>797</v>
      </c>
      <c r="B204" s="226">
        <v>4056</v>
      </c>
      <c r="C204" s="228" t="s">
        <v>192</v>
      </c>
      <c r="D204" s="228" t="s">
        <v>987</v>
      </c>
      <c r="E204" s="227">
        <v>43066.879004629627</v>
      </c>
      <c r="F204" s="227">
        <v>43066.881562499999</v>
      </c>
      <c r="G204" s="226">
        <v>61</v>
      </c>
      <c r="H204" s="228" t="s">
        <v>456</v>
      </c>
      <c r="I204" s="227">
        <v>43066.890451388892</v>
      </c>
      <c r="J204" s="226">
        <v>0</v>
      </c>
      <c r="K204" s="238" t="str">
        <f t="shared" si="47"/>
        <v>4055/4056</v>
      </c>
      <c r="L204" s="246" t="str">
        <f>VLOOKUP(A204,'Trips&amp;Operators'!$C$1:$G$99911,5,FALSE)</f>
        <v>STAMBAUGH JAMES</v>
      </c>
      <c r="M204" s="225">
        <f t="shared" si="48"/>
        <v>8.8888888931251131E-3</v>
      </c>
      <c r="N204" s="226">
        <f t="shared" si="66"/>
        <v>12.800000006100163</v>
      </c>
      <c r="O204" s="226"/>
      <c r="P204" s="226"/>
      <c r="Q204" s="229"/>
      <c r="R204" s="243"/>
      <c r="S204" s="250">
        <f t="shared" si="67"/>
        <v>1</v>
      </c>
      <c r="T204" s="243" t="str">
        <f t="shared" si="49"/>
        <v>NorthBound</v>
      </c>
      <c r="U204" s="24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9" t="str">
        <f t="shared" si="50"/>
        <v>https://d0f6bd738d7f1b3e5a7ca70fe4ff75f0.us-east-1.aws.found.io/app/kibana#/discover/Steve-Slow-Train-Analysis-(2080s-and-2083s)?_g=(refreshInterval:(display:Off,pause:!f,section:0,value:0),time:(from:'2017-11-27T20:05:46-0700',mode:absolute,to:'2017-11-27T22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4" s="248" t="str">
        <f>IF(AA204&lt;VLOOKUP(AG204,Variables!$AC$3:$AD$8,2,FALSE),"Y","N")</f>
        <v>N</v>
      </c>
      <c r="X204" s="248">
        <f t="shared" si="51"/>
        <v>1</v>
      </c>
      <c r="Y204" s="248">
        <f t="shared" si="52"/>
        <v>0.1021</v>
      </c>
      <c r="Z204" s="248">
        <f t="shared" si="53"/>
        <v>5.8924000000000003</v>
      </c>
      <c r="AA204" s="248">
        <f t="shared" si="54"/>
        <v>5.7903000000000002</v>
      </c>
      <c r="AB204" s="234" t="e">
        <f>VLOOKUP(A204,Enforcements!$C$7:$K$9,8,0)</f>
        <v>#N/A</v>
      </c>
      <c r="AC204" s="233" t="e">
        <f>VLOOKUP(A204,Enforcements!$C$7:$E$9,3,0)</f>
        <v>#N/A</v>
      </c>
      <c r="AD204" s="244">
        <f t="shared" si="55"/>
        <v>845</v>
      </c>
      <c r="AE204" s="236" t="str">
        <f t="shared" si="56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204" s="235" t="str">
        <f t="shared" si="57"/>
        <v>"C:\Program Files (x86)\AstroGrep\AstroGrep.exe" /e /r /s /spath="%USERPROFILE%\AppData\Local\Temp\OnboardLogs" /stypes="app*4056*20171128*" /stext=" 04:.+((SYSTEM_STATE.+slice.+state.+changed )|(ment ac)|(multiple cpu faults)|(system.+state.+changed )|(\[timeout)|(PRM\|1\|D)|(kpr)|(kdp)|(train st.+moving)|(\|lc)|(penalty))"</v>
      </c>
      <c r="AG204" s="245" t="str">
        <f t="shared" si="58"/>
        <v>NW</v>
      </c>
      <c r="AH204" s="237" t="str">
        <f t="shared" si="59"/>
        <v>"%USERPROFILE%\Documents\GitHub\eaglep3\Utilities\RefineRTDCRunTimes.py" --tripid 845-27 --locoid 4056 --swversion DE.1.0.9.0 --startMP 204:1021 --initTime 2017-11-27T21:05:46 --startdatetime 2017-11-27T21:09:27 --delay 61 --endMP 300:58924 --enddatetime 2017-11-27T21:22:15 --enforcementcount 0 &gt;&gt;%USERPROFILE%\Documents\GitHub\eaglep3-reporting\EC\2017-11-27-refined-times.txt</v>
      </c>
      <c r="AI204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{"issue":{"subject":"","project_id":79,"tracker_id":40,"status_id":1,"priority_id":2,"assigned_to_id":338,"start_date":"2017-11-27","description":"","custom_fields":[{"id":1,"name":"Subdivision","value":"NW"},{"id":4,"name":"Milepost","value":"5.8924"},{"id":17,"name":"Train ID","value":"845-27"},{"id":16,"name":"Locomotive ID","value":"4056"},{"id":130,"name":"Impact","value":""},{"id":150,"name":"Time of Event (Mountain Time)","value":"21:22:15"},{"id":151,"name":"Denver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4"/>
      <c r="AK204" s="232"/>
      <c r="AL204" s="232"/>
      <c r="AM204" s="241" t="str">
        <f t="shared" si="61"/>
        <v>start /low /b %USERPROFILE%\Documents\GitHub\eaglep3\Utilities\DownloadLogsFromS3.py --loco 4056 --day 2017-11-27</v>
      </c>
      <c r="AN204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04:22:15"},{"id":29,"name":"Sharepoint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1" t="str">
        <f t="shared" si="63"/>
        <v>https://d0f6bd738d7f1b3e5a7ca70fe4ff75f0.us-east-1.aws.found.io/app/kibana#/discover/Steve-Slow-Train-Analysis-(2080s-and-2083s)?_g=(refreshInterval:(display:Off,pause:!f,section:0,value:0),time:(from:'2017-11-27T20:05:46-0700',mode:absolute,to:'2017-11-27T22:22:15-0700'))&amp;_a=(columns:!('Message%20ID',Summary),filters:!(),index:'emp_*',interval:auto,query:(query_string:(analyze_wildcard:!t,query:'%22rtdc.l.rtdc.4056%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30" t="s">
        <v>805</v>
      </c>
      <c r="B205" s="226">
        <v>4055</v>
      </c>
      <c r="C205" s="228" t="s">
        <v>192</v>
      </c>
      <c r="D205" s="228" t="s">
        <v>988</v>
      </c>
      <c r="E205" s="227">
        <v>43066.933611111112</v>
      </c>
      <c r="F205" s="227">
        <v>43066.945833333331</v>
      </c>
      <c r="G205" s="226">
        <v>62</v>
      </c>
      <c r="H205" s="228" t="s">
        <v>989</v>
      </c>
      <c r="I205" s="227">
        <v>43066.954363425924</v>
      </c>
      <c r="J205" s="226">
        <v>0</v>
      </c>
      <c r="K205" s="238" t="str">
        <f t="shared" ref="K205:K231" si="68">IF(ISEVEN(B205),(B205-1)&amp;"/"&amp;B205,B205&amp;"/"&amp;(B205+1))</f>
        <v>4055/4056</v>
      </c>
      <c r="L205" s="246" t="str">
        <f>VLOOKUP(A205,'Trips&amp;Operators'!$C$1:$G$99911,5,FALSE)</f>
        <v>STAMBAUGH JAMES</v>
      </c>
      <c r="M205" s="225">
        <f t="shared" ref="M205:M231" si="69">I205-F205</f>
        <v>8.5300925929914229E-3</v>
      </c>
      <c r="N205" s="226">
        <f t="shared" si="66"/>
        <v>12.283333333907649</v>
      </c>
      <c r="O205" s="226"/>
      <c r="P205" s="226"/>
      <c r="Q205" s="229"/>
      <c r="R205" s="243"/>
      <c r="S205" s="250">
        <f t="shared" si="67"/>
        <v>1</v>
      </c>
      <c r="T205" s="243" t="str">
        <f t="shared" ref="T205:T231" si="70">IF(ISEVEN(LEFT(AD205,4)),"Southbound","NorthBound")</f>
        <v>Southbound</v>
      </c>
      <c r="U205" s="24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9" t="str">
        <f t="shared" ref="V205:V231" si="7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-27T21:24:24-0700',mode:absolute,to:'2017-11-27T23:54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5" s="248" t="str">
        <f>IF(AA205&lt;VLOOKUP(AG205,Variables!$AC$3:$AD$8,2,FALSE),"Y","N")</f>
        <v>N</v>
      </c>
      <c r="X205" s="248">
        <f t="shared" ref="X205:X231" si="72">VALUE(LEFT(AD205,4))-VALUE(LEFT(AD204,4))</f>
        <v>1</v>
      </c>
      <c r="Y205" s="248">
        <f t="shared" ref="Y205:Y231" si="73">RIGHT(D205,LEN(D205)-4)/10000</f>
        <v>5.8609</v>
      </c>
      <c r="Z205" s="248">
        <f t="shared" ref="Z205:Z231" si="74">RIGHT(H205,LEN(H205)-4)/10000</f>
        <v>7.3300000000000004E-2</v>
      </c>
      <c r="AA205" s="248">
        <f t="shared" ref="AA205:AA268" si="75">ABS(Z205-Y205)</f>
        <v>5.7876000000000003</v>
      </c>
      <c r="AB205" s="234" t="e">
        <f>VLOOKUP(A205,Enforcements!$C$7:$K$9,8,0)</f>
        <v>#N/A</v>
      </c>
      <c r="AC205" s="233" t="e">
        <f>VLOOKUP(A205,Enforcements!$C$7:$E$9,3,0)</f>
        <v>#N/A</v>
      </c>
      <c r="AD205" s="244">
        <f t="shared" ref="AD205:AD231" si="76">VALUE(LEFT(A205,LEN(A205)-3))</f>
        <v>846</v>
      </c>
      <c r="AE205" s="236" t="str">
        <f t="shared" ref="AE205:AE231" si="7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205" s="235" t="str">
        <f t="shared" ref="AF205:AF231" si="7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/stypes="app*4055*20171128*" /stext=" 05:.+((SYSTEM_STATE.+slice.+state.+changed )|(ment ac)|(multiple cpu faults)|(system.+state.+changed )|(\[timeout)|(PRM\|1\|D)|(kpr)|(kdp)|(train st.+moving)|(\|lc)|(penalty))"</v>
      </c>
      <c r="AG205" s="245" t="str">
        <f t="shared" ref="AG205:AG231" si="79">DetSubdiv(A205)</f>
        <v>NW</v>
      </c>
      <c r="AH205" s="237" t="str">
        <f t="shared" si="59"/>
        <v>"%USERPROFILE%\Documents\GitHub\eaglep3\Utilities\RefineRTDCRunTimes.py" --tripid 846-27 --locoid 4055 --swversion DE.1.0.9.0 --startMP 300:58609 --initTime 2017-11-27T22:24:24 --startdatetime 2017-11-27T22:42:00 --delay 62 --endMP 204:733 --enddatetime 2017-11-27T22:54:17 --enforcementcount 0 &gt;&gt;%USERPROFILE%\Documents\GitHub\eaglep3-reporting\EC\2017-11-27-refined-times.txt</v>
      </c>
      <c r="AI205" s="239" t="str">
        <f t="shared" si="60"/>
        <v>echo {"issue":{"subject":"","project_id":79,"tracker_id":40,"status_id":1,"priority_id":2,"assigned_to_id":338,"start_date":"2017-11-27","description":"","custom_fields":[{"id":1,"name":"Subdivision","value":"NW"},{"id":4,"name":"Milepost","value":"0.0733"},{"id":17,"name":"Train ID","value":"846-27"},{"id":16,"name":"Locomotive ID","value":"4055"},{"id":130,"name":"Impact","value":""},{"id":150,"name":"Time of Event (Mountain Time)","value":"22:54:17"},{"id":151,"name":"Denver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4"/>
      <c r="AK205" s="232"/>
      <c r="AL205" s="232"/>
      <c r="AM205" s="241" t="str">
        <f t="shared" si="61"/>
        <v>start /low /b %USERPROFILE%\Documents\GitHub\eaglep3\Utilities\DownloadLogsFromS3.py --loco 4055 --day 2017-11-27</v>
      </c>
      <c r="AN205" s="242" t="str">
        <f t="shared" si="62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05:54:17"},{"id":29,"name":"Sharepoint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1" t="str">
        <f t="shared" si="63"/>
        <v>https://d0f6bd738d7f1b3e5a7ca70fe4ff75f0.us-east-1.aws.found.io/app/kibana#/discover/Steve-Slow-Train-Analysis-(2080s-and-2083s)?_g=(refreshInterval:(display:Off,pause:!f,section:0,value:0),time:(from:'2017-11-27T21:24:24-0700',mode:absolute,to:'2017-11-27T23:54:17-0700'))&amp;_a=(columns:!('Message%20ID',Summary),filters:!(),index:'emp_*',interval:auto,query:(query_string:(analyze_wildcard:!t,query:'%22rtdc.l.rtdc.4055%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30" t="s">
        <v>591</v>
      </c>
      <c r="B206" s="226">
        <v>4056</v>
      </c>
      <c r="C206" s="228" t="s">
        <v>192</v>
      </c>
      <c r="D206" s="228" t="s">
        <v>990</v>
      </c>
      <c r="E206" s="227">
        <v>43066.920567129629</v>
      </c>
      <c r="F206" s="227">
        <v>43066.923090277778</v>
      </c>
      <c r="G206" s="226">
        <v>67</v>
      </c>
      <c r="H206" s="228" t="s">
        <v>947</v>
      </c>
      <c r="I206" s="227">
        <v>43066.932384259257</v>
      </c>
      <c r="J206" s="226">
        <v>0</v>
      </c>
      <c r="K206" s="238" t="str">
        <f t="shared" si="68"/>
        <v>4055/4056</v>
      </c>
      <c r="L206" s="246" t="str">
        <f>VLOOKUP(A206,'Trips&amp;Operators'!$C$1:$G$99911,5,FALSE)</f>
        <v>STAMBAUGH JAMES</v>
      </c>
      <c r="M206" s="225">
        <f t="shared" si="69"/>
        <v>9.29398147854954E-3</v>
      </c>
      <c r="N206" s="226">
        <f t="shared" si="66"/>
        <v>13.383333329111338</v>
      </c>
      <c r="O206" s="226"/>
      <c r="P206" s="226"/>
      <c r="Q206" s="229"/>
      <c r="R206" s="243"/>
      <c r="S206" s="250">
        <f t="shared" si="67"/>
        <v>1</v>
      </c>
      <c r="T206" s="243" t="str">
        <f t="shared" si="70"/>
        <v>NorthBound</v>
      </c>
      <c r="U206" s="24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9" t="str">
        <f t="shared" si="71"/>
        <v>https://d0f6bd738d7f1b3e5a7ca70fe4ff75f0.us-east-1.aws.found.io/app/kibana#/discover/Steve-Slow-Train-Analysis-(2080s-and-2083s)?_g=(refreshInterval:(display:Off,pause:!f,section:0,value:0),time:(from:'2017-11-27T21:05:37-0700',mode:absolute,to:'2017-11-27T23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6" s="248" t="str">
        <f>IF(AA206&lt;VLOOKUP(AG206,Variables!$AC$3:$AD$8,2,FALSE),"Y","N")</f>
        <v>N</v>
      </c>
      <c r="X206" s="248">
        <f t="shared" si="72"/>
        <v>1</v>
      </c>
      <c r="Y206" s="248">
        <f t="shared" si="73"/>
        <v>9.7100000000000006E-2</v>
      </c>
      <c r="Z206" s="248">
        <f t="shared" si="74"/>
        <v>5.8929</v>
      </c>
      <c r="AA206" s="248">
        <f t="shared" si="75"/>
        <v>5.7957999999999998</v>
      </c>
      <c r="AB206" s="234" t="e">
        <f>VLOOKUP(A206,Enforcements!$C$7:$K$9,8,0)</f>
        <v>#N/A</v>
      </c>
      <c r="AC206" s="233" t="e">
        <f>VLOOKUP(A206,Enforcements!$C$7:$E$9,3,0)</f>
        <v>#N/A</v>
      </c>
      <c r="AD206" s="244">
        <f t="shared" si="76"/>
        <v>847</v>
      </c>
      <c r="AE206" s="236" t="str">
        <f t="shared" si="77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206" s="235" t="str">
        <f t="shared" si="78"/>
        <v>"C:\Program Files (x86)\AstroGrep\AstroGrep.exe" /e /r /s /spath="%USERPROFILE%\AppData\Local\Temp\OnboardLogs" /stypes="app*4056*20171128*" /stext=" 05:.+((SYSTEM_STATE.+slice.+state.+changed )|(ment ac)|(multiple cpu faults)|(system.+state.+changed )|(\[timeout)|(PRM\|1\|D)|(kpr)|(kdp)|(train st.+moving)|(\|lc)|(penalty))"</v>
      </c>
      <c r="AG206" s="245" t="str">
        <f t="shared" si="79"/>
        <v>NW</v>
      </c>
      <c r="AH206" s="237" t="str">
        <f t="shared" ref="AH206:AH231" si="80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847-27 --locoid 4056 --swversion DE.1.0.9.0 --startMP 204:971 --initTime 2017-11-27T22:05:37 --startdatetime 2017-11-27T22:09:15 --delay 67 --endMP 300:58929 --enddatetime 2017-11-27T22:22:38 --enforcementcount 0 &gt;&gt;%USERPROFILE%\Documents\GitHub\eaglep3-reporting\EC\2017-11-27-refined-times.txt</v>
      </c>
      <c r="AI206" s="239" t="str">
        <f t="shared" ref="AI206:AI231" si="81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{"issue":{"subject":"","project_id":79,"tracker_id":40,"status_id":1,"priority_id":2,"assigned_to_id":338,"start_date":"2017-11-27","description":"","custom_fields":[{"id":1,"name":"Subdivision","value":"NW"},{"id":4,"name":"Milepost","value":"5.8929"},{"id":17,"name":"Train ID","value":"847-27"},{"id":16,"name":"Locomotive ID","value":"4056"},{"id":130,"name":"Impact","value":""},{"id":150,"name":"Time of Event (Mountain Time)","value":"22:22:38"},{"id":151,"name":"Denver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4"/>
      <c r="AK206" s="232"/>
      <c r="AL206" s="232"/>
      <c r="AM206" s="241" t="str">
        <f t="shared" ref="AM206:AM231" si="82">"start /low /b "&amp;dls3logs&amp;" --loco "&amp;B206&amp;" --day "&amp;TEXT(F206,"YYYY-MM-DD")</f>
        <v>start /low /b %USERPROFILE%\Documents\GitHub\eaglep3\Utilities\DownloadLogsFromS3.py --loco 4056 --day 2017-11-27</v>
      </c>
      <c r="AN206" s="242" t="str">
        <f t="shared" ref="AN206:AN231" si="83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05:22:38"},{"id":29,"name":"Sharepoint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1" t="str">
        <f t="shared" ref="AO206:AO231" si="84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-27T21:05:37-0700',mode:absolute,to:'2017-11-27T23:22:38-0700'))&amp;_a=(columns:!('Message%20ID',Summary),filters:!(),index:'emp_*',interval:auto,query:(query_string:(analyze_wildcard:!t,query:'%22rtdc.l.rtdc.4056%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30" t="s">
        <v>808</v>
      </c>
      <c r="B207" s="226">
        <v>4056</v>
      </c>
      <c r="C207" s="228" t="s">
        <v>192</v>
      </c>
      <c r="D207" s="228" t="s">
        <v>991</v>
      </c>
      <c r="E207" s="227">
        <v>43066.962060185186</v>
      </c>
      <c r="F207" s="227">
        <v>43066.964895833335</v>
      </c>
      <c r="G207" s="226">
        <v>49</v>
      </c>
      <c r="H207" s="228" t="s">
        <v>992</v>
      </c>
      <c r="I207" s="227">
        <v>43066.97384259259</v>
      </c>
      <c r="J207" s="226">
        <v>0</v>
      </c>
      <c r="K207" s="238" t="str">
        <f t="shared" si="68"/>
        <v>4055/4056</v>
      </c>
      <c r="L207" s="246" t="str">
        <f>VLOOKUP(A207,'Trips&amp;Operators'!$C$1:$G$99911,5,FALSE)</f>
        <v>STAMBAUGH JAMES</v>
      </c>
      <c r="M207" s="225">
        <f t="shared" si="69"/>
        <v>8.9467592551955022E-3</v>
      </c>
      <c r="N207" s="226">
        <f t="shared" ref="N207:N231" si="85">24*60*SUM($M207:$M207)</f>
        <v>12.883333327481523</v>
      </c>
      <c r="O207" s="226"/>
      <c r="P207" s="226"/>
      <c r="Q207" s="229"/>
      <c r="R207" s="243"/>
      <c r="S207" s="250">
        <f t="shared" si="67"/>
        <v>1</v>
      </c>
      <c r="T207" s="243" t="str">
        <f t="shared" si="70"/>
        <v>NorthBound</v>
      </c>
      <c r="U207" s="24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9" t="str">
        <f t="shared" si="71"/>
        <v>https://d0f6bd738d7f1b3e5a7ca70fe4ff75f0.us-east-1.aws.found.io/app/kibana#/discover/Steve-Slow-Train-Analysis-(2080s-and-2083s)?_g=(refreshInterval:(display:Off,pause:!f,section:0,value:0),time:(from:'2017-11-27T22:05:22-0700',mode:absolute,to:'2017-11-28T00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7" s="248" t="str">
        <f>IF(AA207&lt;VLOOKUP(AG207,Variables!$AC$3:$AD$8,2,FALSE),"Y","N")</f>
        <v>N</v>
      </c>
      <c r="X207" s="248">
        <f t="shared" si="72"/>
        <v>2</v>
      </c>
      <c r="Y207" s="248">
        <f t="shared" si="73"/>
        <v>9.8299999999999998E-2</v>
      </c>
      <c r="Z207" s="248">
        <f t="shared" si="74"/>
        <v>5.8921999999999999</v>
      </c>
      <c r="AA207" s="248">
        <f t="shared" si="75"/>
        <v>5.7938999999999998</v>
      </c>
      <c r="AB207" s="234" t="e">
        <f>VLOOKUP(A207,Enforcements!$C$7:$K$9,8,0)</f>
        <v>#N/A</v>
      </c>
      <c r="AC207" s="233" t="e">
        <f>VLOOKUP(A207,Enforcements!$C$7:$E$9,3,0)</f>
        <v>#N/A</v>
      </c>
      <c r="AD207" s="244">
        <f t="shared" si="76"/>
        <v>849</v>
      </c>
      <c r="AE207" s="236" t="str">
        <f t="shared" si="77"/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AF207" s="235" t="str">
        <f t="shared" si="78"/>
        <v>"C:\Program Files (x86)\AstroGrep\AstroGrep.exe" /e /r /s /spath="%USERPROFILE%\AppData\Local\Temp\OnboardLogs" /stypes="app*4056*20171128*" /stext=" 06:.+((SYSTEM_STATE.+slice.+state.+changed )|(ment ac)|(multiple cpu faults)|(system.+state.+changed )|(\[timeout)|(PRM\|1\|D)|(kpr)|(kdp)|(train st.+moving)|(\|lc)|(penalty))"</v>
      </c>
      <c r="AG207" s="245" t="str">
        <f t="shared" si="79"/>
        <v>NW</v>
      </c>
      <c r="AH207" s="237" t="str">
        <f t="shared" si="80"/>
        <v>"%USERPROFILE%\Documents\GitHub\eaglep3\Utilities\RefineRTDCRunTimes.py" --tripid 849-27 --locoid 4056 --swversion DE.1.0.9.0 --startMP 204:983 --initTime 2017-11-27T23:05:22 --startdatetime 2017-11-27T23:09:27 --delay 49 --endMP 300:58922 --enddatetime 2017-11-27T23:22:20 --enforcementcount 0 &gt;&gt;%USERPROFILE%\Documents\GitHub\eaglep3-reporting\EC\2017-11-27-refined-times.txt</v>
      </c>
      <c r="AI207" s="239" t="str">
        <f t="shared" si="81"/>
        <v>echo {"issue":{"subject":"","project_id":79,"tracker_id":40,"status_id":1,"priority_id":2,"assigned_to_id":338,"start_date":"2017-11-27","description":"","custom_fields":[{"id":1,"name":"Subdivision","value":"NW"},{"id":4,"name":"Milepost","value":"5.8922"},{"id":17,"name":"Train ID","value":"849-27"},{"id":16,"name":"Locomotive ID","value":"4056"},{"id":130,"name":"Impact","value":""},{"id":150,"name":"Time of Event (Mountain Time)","value":"23:22:20"},{"id":151,"name":"Denver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4"/>
      <c r="AK207" s="232"/>
      <c r="AL207" s="232"/>
      <c r="AM207" s="241" t="str">
        <f t="shared" si="82"/>
        <v>start /low /b %USERPROFILE%\Documents\GitHub\eaglep3\Utilities\DownloadLogsFromS3.py --loco 4056 --day 2017-11-27</v>
      </c>
      <c r="AN207" s="242" t="str">
        <f t="shared" si="83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06:22:20"},{"id":29,"name":"Sharepoint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1" t="str">
        <f t="shared" si="84"/>
        <v>https://d0f6bd738d7f1b3e5a7ca70fe4ff75f0.us-east-1.aws.found.io/app/kibana#/discover/Steve-Slow-Train-Analysis-(2080s-and-2083s)?_g=(refreshInterval:(display:Off,pause:!f,section:0,value:0),time:(from:'2017-11-27T22:05:22-0700',mode:absolute,to:'2017-11-28T00:22:20-0700'))&amp;_a=(columns:!('Message%20ID',Summary),filters:!(),index:'emp_*',interval:auto,query:(query_string:(analyze_wildcard:!t,query:'%22rtdc.l.rtdc.4056%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30" t="s">
        <v>594</v>
      </c>
      <c r="B208" s="226">
        <v>4031</v>
      </c>
      <c r="C208" s="228" t="s">
        <v>192</v>
      </c>
      <c r="D208" s="228" t="s">
        <v>911</v>
      </c>
      <c r="E208" s="227">
        <v>43066.120034722226</v>
      </c>
      <c r="F208" s="227">
        <v>43066.122986111113</v>
      </c>
      <c r="G208" s="226">
        <v>83</v>
      </c>
      <c r="H208" s="228" t="s">
        <v>840</v>
      </c>
      <c r="I208" s="227">
        <v>43066.128125000003</v>
      </c>
      <c r="J208" s="226">
        <v>0</v>
      </c>
      <c r="K208" s="238" t="str">
        <f t="shared" si="68"/>
        <v>4031/4032</v>
      </c>
      <c r="L208" s="246" t="str">
        <f>VLOOKUP(A208,'Trips&amp;Operators'!$C$1:$G$99911,5,FALSE)</f>
        <v>ROCHA YAOTL</v>
      </c>
      <c r="M208" s="225">
        <f t="shared" si="69"/>
        <v>5.1388888896326534E-3</v>
      </c>
      <c r="N208" s="226">
        <f t="shared" si="85"/>
        <v>7.400000001071021</v>
      </c>
      <c r="O208" s="226"/>
      <c r="P208" s="226"/>
      <c r="Q208" s="229"/>
      <c r="R208" s="243"/>
      <c r="S208" s="250">
        <f t="shared" si="67"/>
        <v>1</v>
      </c>
      <c r="T208" s="243" t="str">
        <f t="shared" si="70"/>
        <v>Southbound</v>
      </c>
      <c r="U208" s="24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9" t="str">
        <f t="shared" si="71"/>
        <v>https://d0f6bd738d7f1b3e5a7ca70fe4ff75f0.us-east-1.aws.found.io/app/kibana#/discover/Steve-Slow-Train-Analysis-(2080s-and-2083s)?_g=(refreshInterval:(display:Off,pause:!f,section:0,value:0),time:(from:'2017-11-27T01:52:51-0700',mode:absolute,to:'2017-11-27T04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8" s="248" t="str">
        <f>IF(AA208&lt;VLOOKUP(AG208,Variables!$AC$3:$AD$8,2,FALSE),"Y","N")</f>
        <v>Y</v>
      </c>
      <c r="X208" s="248">
        <f t="shared" si="72"/>
        <v>-549</v>
      </c>
      <c r="Y208" s="248">
        <f t="shared" si="73"/>
        <v>2.3157999999999999</v>
      </c>
      <c r="Z208" s="248">
        <f t="shared" si="74"/>
        <v>1.47E-2</v>
      </c>
      <c r="AA208" s="248">
        <f t="shared" si="75"/>
        <v>2.3010999999999999</v>
      </c>
      <c r="AB208" s="234" t="e">
        <f>VLOOKUP(A208,Enforcements!$C$7:$K$9,8,0)</f>
        <v>#N/A</v>
      </c>
      <c r="AC208" s="233" t="e">
        <f>VLOOKUP(A208,Enforcements!$C$7:$E$9,3,0)</f>
        <v>#N/A</v>
      </c>
      <c r="AD208" s="244">
        <f t="shared" si="76"/>
        <v>300</v>
      </c>
      <c r="AE208" s="236" t="str">
        <f t="shared" si="77"/>
        <v>aws s3 cp s3://rtdc.mdm.uploadarchive.raw/RTDC4031/ "%USERPROFILE%\AppData\Local\Temp\OnboardLogs"\RTDC4031\2017-11-27 --exclude "*" --recursive --include "*20171127*" &amp; "%USERPROFILE%\Documents\GitHub\mrs-test-scripts\Headless Mode &amp; Sideloading\WalkAndUnGZ.bat" "%USERPROFILE%\AppData\Local\Temp\OnboardLogs"\RTDC4031\2017-11-27 &amp; aws s3 cp s3://rtdc.mdm.uploadarchive.raw/RTDC4031/ "%USERPROFILE%\AppData\Local\Temp\OnboardLogs"\RTDC4031\2017-11-28 --exclude "*" --recursive --include "*20171128*" &amp; "%USERPROFILE%\Documents\GitHub\mrs-test-scripts\Headless Mode &amp; Sideloading\WalkAndUnGZ.bat" "%USERPROFILE%\AppData\Local\Temp\OnboardLogs"\RTDC4031\2017-11-28</v>
      </c>
      <c r="AF208" s="235" t="str">
        <f t="shared" si="78"/>
        <v>"C:\Program Files (x86)\AstroGrep\AstroGrep.exe" /e /r /s /spath="%USERPROFILE%\AppData\Local\Temp\OnboardLogs" /stypes="app*4031*20171127*" /stext=" 10:.+((SYSTEM_STATE.+slice.+state.+changed )|(ment ac)|(multiple cpu faults)|(system.+state.+changed )|(\[timeout)|(PRM\|1\|D)|(kpr)|(kdp)|(train st.+moving)|(\|lc)|(penalty))"</v>
      </c>
      <c r="AG208" s="245" t="str">
        <f t="shared" si="79"/>
        <v>Other</v>
      </c>
      <c r="AH208" s="237" t="str">
        <f t="shared" si="80"/>
        <v>"%USERPROFILE%\Documents\GitHub\eaglep3\Utilities\RefineRTDCRunTimes.py" --tripid 300-27 --locoid 4031 --swversion DE.1.0.9.0 --startMP 300:23158 --initTime 2017-11-27T02:52:51 --startdatetime 2017-11-27T02:57:06 --delay 83 --endMP 204:147 --enddatetime 2017-11-27T03:04:30 --enforcementcount 0 &gt;&gt;%USERPROFILE%\Documents\GitHub\eaglep3-reporting\EC\2017-11-27-refined-times.txt</v>
      </c>
      <c r="AI208" s="239" t="str">
        <f t="shared" si="81"/>
        <v>echo {"issue":{"subject":"","project_id":79,"tracker_id":40,"status_id":1,"priority_id":2,"assigned_to_id":338,"start_date":"2017-11-27","description":"","custom_fields":[{"id":1,"name":"Subdivision","value":"Other"},{"id":4,"name":"Milepost","value":"0.0147"},{"id":17,"name":"Train ID","value":"300-27"},{"id":16,"name":"Locomotive ID","value":"4031"},{"id":130,"name":"Impact","value":""},{"id":150,"name":"Time of Event (Mountain Time)","value":"03:04:30"},{"id":151,"name":"Denver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4"/>
      <c r="AK208" s="232"/>
      <c r="AL208" s="232"/>
      <c r="AM208" s="241" t="str">
        <f t="shared" si="82"/>
        <v>start /low /b %USERPROFILE%\Documents\GitHub\eaglep3\Utilities\DownloadLogsFromS3.py --loco 4031 --day 2017-11-27</v>
      </c>
      <c r="AN208" s="242" t="str">
        <f t="shared" si="83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10:04:30"},{"id":29,"name":"Sharepoint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1" t="str">
        <f t="shared" si="84"/>
        <v>https://d0f6bd738d7f1b3e5a7ca70fe4ff75f0.us-east-1.aws.found.io/app/kibana#/discover/Steve-Slow-Train-Analysis-(2080s-and-2083s)?_g=(refreshInterval:(display:Off,pause:!f,section:0,value:0),time:(from:'2017-11-27T01:52:51-0700',mode:absolute,to:'2017-11-27T04:04:30-0700'))&amp;_a=(columns:!('Message%20ID',Summary),filters:!(),index:'emp_*',interval:auto,query:(query_string:(analyze_wildcard:!t,query:'%22rtdc.l.rtdc.4031%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30" t="s">
        <v>584</v>
      </c>
      <c r="B209" s="226">
        <v>4014</v>
      </c>
      <c r="C209" s="228" t="s">
        <v>192</v>
      </c>
      <c r="D209" s="228" t="s">
        <v>882</v>
      </c>
      <c r="E209" s="227">
        <v>43066.778784722221</v>
      </c>
      <c r="F209" s="227">
        <v>43066.780324074076</v>
      </c>
      <c r="G209" s="226">
        <v>67</v>
      </c>
      <c r="H209" s="228" t="s">
        <v>912</v>
      </c>
      <c r="I209" s="227">
        <v>43066.786597222221</v>
      </c>
      <c r="J209" s="226">
        <v>0</v>
      </c>
      <c r="K209" s="238" t="str">
        <f t="shared" si="68"/>
        <v>4013/4014</v>
      </c>
      <c r="L209" s="246" t="str">
        <f>VLOOKUP(A209,'Trips&amp;Operators'!$C$1:$G$99911,5,FALSE)</f>
        <v>LORI SANTOS</v>
      </c>
      <c r="M209" s="225">
        <f t="shared" si="69"/>
        <v>6.2731481448281556E-3</v>
      </c>
      <c r="N209" s="226">
        <f t="shared" si="85"/>
        <v>9.0333333285525441</v>
      </c>
      <c r="O209" s="226"/>
      <c r="P209" s="226"/>
      <c r="Q209" s="229"/>
      <c r="R209" s="243"/>
      <c r="S209" s="250">
        <f t="shared" si="67"/>
        <v>1</v>
      </c>
      <c r="T209" s="243" t="str">
        <f t="shared" si="70"/>
        <v>NorthBound</v>
      </c>
      <c r="U209" s="24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9" t="str">
        <f t="shared" si="71"/>
        <v>https://d0f6bd738d7f1b3e5a7ca70fe4ff75f0.us-east-1.aws.found.io/app/kibana#/discover/Steve-Slow-Train-Analysis-(2080s-and-2083s)?_g=(refreshInterval:(display:Off,pause:!f,section:0,value:0),time:(from:'2017-11-27T17:41:27-0700',mode:absolute,to:'2017-11-27T19:52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9" s="248" t="str">
        <f>IF(AA209&lt;VLOOKUP(AG209,Variables!$AC$3:$AD$8,2,FALSE),"Y","N")</f>
        <v>Y</v>
      </c>
      <c r="X209" s="248">
        <f t="shared" si="72"/>
        <v>1</v>
      </c>
      <c r="Y209" s="248">
        <f t="shared" si="73"/>
        <v>5.5300000000000002E-2</v>
      </c>
      <c r="Z209" s="248">
        <f t="shared" si="74"/>
        <v>2.2667000000000002</v>
      </c>
      <c r="AA209" s="248">
        <f t="shared" si="75"/>
        <v>2.2114000000000003</v>
      </c>
      <c r="AB209" s="234" t="e">
        <f>VLOOKUP(A209,Enforcements!$C$7:$K$9,8,0)</f>
        <v>#N/A</v>
      </c>
      <c r="AC209" s="233" t="e">
        <f>VLOOKUP(A209,Enforcements!$C$7:$E$9,3,0)</f>
        <v>#N/A</v>
      </c>
      <c r="AD209" s="244">
        <f t="shared" si="76"/>
        <v>301</v>
      </c>
      <c r="AE209" s="236" t="str">
        <f t="shared" si="77"/>
        <v>aws s3 cp s3://rtdc.mdm.uploadarchive.raw/RTDC4014/ "%USERPROFILE%\AppData\Local\Temp\OnboardLogs"\RTDC4014\2017-11-27 --exclude "*" --recursive --include "*20171127*" &amp; "%USERPROFILE%\Documents\GitHub\mrs-test-scripts\Headless Mode &amp; Sideloading\WalkAndUnGZ.bat" "%USERPROFILE%\AppData\Local\Temp\OnboardLogs"\RTDC4014\2017-11-27 &amp; aws s3 cp s3://rtdc.mdm.uploadarchive.raw/RTDC4014/ "%USERPROFILE%\AppData\Local\Temp\OnboardLogs"\RTDC4014\2017-11-28 --exclude "*" --recursive --include "*20171128*" &amp; "%USERPROFILE%\Documents\GitHub\mrs-test-scripts\Headless Mode &amp; Sideloading\WalkAndUnGZ.bat" "%USERPROFILE%\AppData\Local\Temp\OnboardLogs"\RTDC4014\2017-11-28</v>
      </c>
      <c r="AF209" s="235" t="str">
        <f t="shared" si="78"/>
        <v>"C:\Program Files (x86)\AstroGrep\AstroGrep.exe" /e /r /s /spath="%USERPROFILE%\AppData\Local\Temp\OnboardLogs" /stypes="app*4014*20171128*" /stext=" 01:.+((SYSTEM_STATE.+slice.+state.+changed )|(ment ac)|(multiple cpu faults)|(system.+state.+changed )|(\[timeout)|(PRM\|1\|D)|(kpr)|(kdp)|(train st.+moving)|(\|lc)|(penalty))"</v>
      </c>
      <c r="AG209" s="245" t="str">
        <f t="shared" si="79"/>
        <v>Other</v>
      </c>
      <c r="AH209" s="237" t="str">
        <f t="shared" si="80"/>
        <v>"%USERPROFILE%\Documents\GitHub\eaglep3\Utilities\RefineRTDCRunTimes.py" --tripid 301-27 --locoid 4014 --swversion DE.1.0.9.0 --startMP 204:553 --initTime 2017-11-27T18:41:27 --startdatetime 2017-11-27T18:43:40 --delay 67 --endMP 300:22667 --enddatetime 2017-11-27T18:52:42 --enforcementcount 0 &gt;&gt;%USERPROFILE%\Documents\GitHub\eaglep3-reporting\EC\2017-11-27-refined-times.txt</v>
      </c>
      <c r="AI209" s="239" t="str">
        <f t="shared" si="81"/>
        <v>echo {"issue":{"subject":"","project_id":79,"tracker_id":40,"status_id":1,"priority_id":2,"assigned_to_id":338,"start_date":"2017-11-27","description":"","custom_fields":[{"id":1,"name":"Subdivision","value":"Other"},{"id":4,"name":"Milepost","value":"2.2667"},{"id":17,"name":"Train ID","value":"301-27"},{"id":16,"name":"Locomotive ID","value":"4014"},{"id":130,"name":"Impact","value":""},{"id":150,"name":"Time of Event (Mountain Time)","value":"18:52:42"},{"id":151,"name":"Denver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4"/>
      <c r="AK209" s="232"/>
      <c r="AL209" s="232"/>
      <c r="AM209" s="241" t="str">
        <f t="shared" si="82"/>
        <v>start /low /b %USERPROFILE%\Documents\GitHub\eaglep3\Utilities\DownloadLogsFromS3.py --loco 4014 --day 2017-11-27</v>
      </c>
      <c r="AN209" s="242" t="str">
        <f t="shared" si="83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01:52:42"},{"id":29,"name":"Sharepoint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1" t="str">
        <f t="shared" si="84"/>
        <v>https://d0f6bd738d7f1b3e5a7ca70fe4ff75f0.us-east-1.aws.found.io/app/kibana#/discover/Steve-Slow-Train-Analysis-(2080s-and-2083s)?_g=(refreshInterval:(display:Off,pause:!f,section:0,value:0),time:(from:'2017-11-27T17:41:27-0700',mode:absolute,to:'2017-11-27T19:52:42-0700'))&amp;_a=(columns:!('Message%20ID',Summary),filters:!(),index:'emp_*',interval:auto,query:(query_string:(analyze_wildcard:!t,query:'%22rtdc.l.rtdc.4014%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30" t="s">
        <v>599</v>
      </c>
      <c r="B210" s="226">
        <v>4021</v>
      </c>
      <c r="C210" s="228" t="s">
        <v>192</v>
      </c>
      <c r="D210" s="228" t="s">
        <v>913</v>
      </c>
      <c r="E210" s="227">
        <v>43066.139282407406</v>
      </c>
      <c r="F210" s="227">
        <v>43066.141828703701</v>
      </c>
      <c r="G210" s="226">
        <v>100</v>
      </c>
      <c r="H210" s="228" t="s">
        <v>914</v>
      </c>
      <c r="I210" s="227">
        <v>43066.147303240738</v>
      </c>
      <c r="J210" s="226">
        <v>0</v>
      </c>
      <c r="K210" s="238" t="str">
        <f t="shared" si="68"/>
        <v>4021/4022</v>
      </c>
      <c r="L210" s="246" t="str">
        <f>VLOOKUP(A210,'Trips&amp;Operators'!$C$1:$G$99911,5,FALSE)</f>
        <v>NICHOLAS PLOYSA</v>
      </c>
      <c r="M210" s="225">
        <f t="shared" si="69"/>
        <v>5.4745370362070389E-3</v>
      </c>
      <c r="N210" s="226">
        <f t="shared" si="85"/>
        <v>7.883333332138136</v>
      </c>
      <c r="O210" s="226"/>
      <c r="P210" s="226"/>
      <c r="Q210" s="229"/>
      <c r="R210" s="243"/>
      <c r="S210" s="250">
        <f t="shared" si="67"/>
        <v>1</v>
      </c>
      <c r="T210" s="243" t="str">
        <f t="shared" si="70"/>
        <v>Southbound</v>
      </c>
      <c r="U210" s="24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9" t="str">
        <f t="shared" si="71"/>
        <v>https://d0f6bd738d7f1b3e5a7ca70fe4ff75f0.us-east-1.aws.found.io/app/kibana#/discover/Steve-Slow-Train-Analysis-(2080s-and-2083s)?_g=(refreshInterval:(display:Off,pause:!f,section:0,value:0),time:(from:'2017-11-27T02:20:34-0700',mode:absolute,to:'2017-11-27T04:32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0" s="248" t="str">
        <f>IF(AA210&lt;VLOOKUP(AG210,Variables!$AC$3:$AD$8,2,FALSE),"Y","N")</f>
        <v>Y</v>
      </c>
      <c r="X210" s="248">
        <f t="shared" si="72"/>
        <v>1</v>
      </c>
      <c r="Y210" s="248">
        <f t="shared" si="73"/>
        <v>2.3349000000000002</v>
      </c>
      <c r="Z210" s="248">
        <f t="shared" si="74"/>
        <v>1.3899999999999999E-2</v>
      </c>
      <c r="AA210" s="248">
        <f t="shared" si="75"/>
        <v>2.3210000000000002</v>
      </c>
      <c r="AB210" s="234" t="e">
        <f>VLOOKUP(A210,Enforcements!$C$7:$K$9,8,0)</f>
        <v>#N/A</v>
      </c>
      <c r="AC210" s="233" t="e">
        <f>VLOOKUP(A210,Enforcements!$C$7:$E$9,3,0)</f>
        <v>#N/A</v>
      </c>
      <c r="AD210" s="244">
        <f t="shared" si="76"/>
        <v>302</v>
      </c>
      <c r="AE210" s="236" t="str">
        <f t="shared" si="77"/>
        <v>aws s3 cp s3://rtdc.mdm.uploadarchive.raw/RTDC4021/ "%USERPROFILE%\AppData\Local\Temp\OnboardLogs"\RTDC4021\2017-11-27 --exclude "*" --recursive --include "*20171127*" &amp; "%USERPROFILE%\Documents\GitHub\mrs-test-scripts\Headless Mode &amp; Sideloading\WalkAndUnGZ.bat" "%USERPROFILE%\AppData\Local\Temp\OnboardLogs"\RTDC4021\2017-11-27 &amp; aws s3 cp s3://rtdc.mdm.uploadarchive.raw/RTDC4021/ "%USERPROFILE%\AppData\Local\Temp\OnboardLogs"\RTDC4021\2017-11-28 --exclude "*" --recursive --include "*20171128*" &amp; "%USERPROFILE%\Documents\GitHub\mrs-test-scripts\Headless Mode &amp; Sideloading\WalkAndUnGZ.bat" "%USERPROFILE%\AppData\Local\Temp\OnboardLogs"\RTDC4021\2017-11-28</v>
      </c>
      <c r="AF210" s="235" t="str">
        <f t="shared" si="78"/>
        <v>"C:\Program Files (x86)\AstroGrep\AstroGrep.exe" /e /r /s /spath="%USERPROFILE%\AppData\Local\Temp\OnboardLogs" /stypes="app*4021*20171127*" /stext=" 10:.+((SYSTEM_STATE.+slice.+state.+changed )|(ment ac)|(multiple cpu faults)|(system.+state.+changed )|(\[timeout)|(PRM\|1\|D)|(kpr)|(kdp)|(train st.+moving)|(\|lc)|(penalty))"</v>
      </c>
      <c r="AG210" s="245" t="str">
        <f t="shared" si="79"/>
        <v>Other</v>
      </c>
      <c r="AH210" s="237" t="str">
        <f t="shared" si="80"/>
        <v>"%USERPROFILE%\Documents\GitHub\eaglep3\Utilities\RefineRTDCRunTimes.py" --tripid 302-27 --locoid 4021 --swversion DE.1.0.9.0 --startMP 300:23349 --initTime 2017-11-27T03:20:34 --startdatetime 2017-11-27T03:24:14 --delay 100 --endMP 204:139 --enddatetime 2017-11-27T03:32:07 --enforcementcount 0 &gt;&gt;%USERPROFILE%\Documents\GitHub\eaglep3-reporting\EC\2017-11-27-refined-times.txt</v>
      </c>
      <c r="AI210" s="239" t="str">
        <f t="shared" si="81"/>
        <v>echo {"issue":{"subject":"","project_id":79,"tracker_id":40,"status_id":1,"priority_id":2,"assigned_to_id":338,"start_date":"2017-11-27","description":"","custom_fields":[{"id":1,"name":"Subdivision","value":"Other"},{"id":4,"name":"Milepost","value":"0.0139"},{"id":17,"name":"Train ID","value":"302-27"},{"id":16,"name":"Locomotive ID","value":"4021"},{"id":130,"name":"Impact","value":""},{"id":150,"name":"Time of Event (Mountain Time)","value":"03:32:07"},{"id":151,"name":"Denver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4"/>
      <c r="AK210" s="232"/>
      <c r="AL210" s="232"/>
      <c r="AM210" s="241" t="str">
        <f t="shared" si="82"/>
        <v>start /low /b %USERPROFILE%\Documents\GitHub\eaglep3\Utilities\DownloadLogsFromS3.py --loco 4021 --day 2017-11-27</v>
      </c>
      <c r="AN210" s="242" t="str">
        <f t="shared" si="83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10:32:07"},{"id":29,"name":"Sharepoint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1" t="str">
        <f t="shared" si="84"/>
        <v>https://d0f6bd738d7f1b3e5a7ca70fe4ff75f0.us-east-1.aws.found.io/app/kibana#/discover/Steve-Slow-Train-Analysis-(2080s-and-2083s)?_g=(refreshInterval:(display:Off,pause:!f,section:0,value:0),time:(from:'2017-11-27T02:20:34-0700',mode:absolute,to:'2017-11-27T04:32:07-0700'))&amp;_a=(columns:!('Message%20ID',Summary),filters:!(),index:'emp_*',interval:auto,query:(query_string:(analyze_wildcard:!t,query:'%22rtdc.l.rtdc.4021%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4" customFormat="1" x14ac:dyDescent="0.25">
      <c r="A211" s="230" t="s">
        <v>788</v>
      </c>
      <c r="B211" s="226">
        <v>4064</v>
      </c>
      <c r="C211" s="228" t="s">
        <v>192</v>
      </c>
      <c r="D211" s="228" t="s">
        <v>418</v>
      </c>
      <c r="E211" s="227">
        <v>43066.797222222223</v>
      </c>
      <c r="F211" s="227">
        <v>43066.800462962965</v>
      </c>
      <c r="G211" s="226">
        <v>75</v>
      </c>
      <c r="H211" s="228" t="s">
        <v>915</v>
      </c>
      <c r="I211" s="227">
        <v>43066.807106481479</v>
      </c>
      <c r="J211" s="226">
        <v>0</v>
      </c>
      <c r="K211" s="238" t="str">
        <f t="shared" si="68"/>
        <v>4063/4064</v>
      </c>
      <c r="L211" s="246" t="str">
        <f>VLOOKUP(A211,'Trips&amp;Operators'!$C$1:$G$99911,5,FALSE)</f>
        <v>SAFIEF AEIMEN</v>
      </c>
      <c r="M211" s="225">
        <f t="shared" si="69"/>
        <v>6.6435185144655406E-3</v>
      </c>
      <c r="N211" s="226">
        <f t="shared" si="85"/>
        <v>9.5666666608303785</v>
      </c>
      <c r="O211" s="226"/>
      <c r="P211" s="226"/>
      <c r="Q211" s="229"/>
      <c r="R211" s="243"/>
      <c r="S211" s="250">
        <f t="shared" si="67"/>
        <v>1</v>
      </c>
      <c r="T211" s="243" t="str">
        <f t="shared" si="70"/>
        <v>NorthBound</v>
      </c>
      <c r="U211" s="24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9" t="str">
        <f t="shared" si="71"/>
        <v>https://d0f6bd738d7f1b3e5a7ca70fe4ff75f0.us-east-1.aws.found.io/app/kibana#/discover/Steve-Slow-Train-Analysis-(2080s-and-2083s)?_g=(refreshInterval:(display:Off,pause:!f,section:0,value:0),time:(from:'2017-11-27T18:08:00-0700',mode:absolute,to:'2017-11-27T20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1" s="248" t="str">
        <f>IF(AA211&lt;VLOOKUP(AG211,Variables!$AC$3:$AD$8,2,FALSE),"Y","N")</f>
        <v>Y</v>
      </c>
      <c r="X211" s="248">
        <f t="shared" si="72"/>
        <v>1</v>
      </c>
      <c r="Y211" s="248">
        <f t="shared" si="73"/>
        <v>5.28E-2</v>
      </c>
      <c r="Z211" s="248">
        <f t="shared" si="74"/>
        <v>2.3306</v>
      </c>
      <c r="AA211" s="248">
        <f t="shared" si="75"/>
        <v>2.2778</v>
      </c>
      <c r="AB211" s="234" t="e">
        <f>VLOOKUP(A211,Enforcements!$C$7:$K$9,8,0)</f>
        <v>#N/A</v>
      </c>
      <c r="AC211" s="233" t="e">
        <f>VLOOKUP(A211,Enforcements!$C$7:$E$9,3,0)</f>
        <v>#N/A</v>
      </c>
      <c r="AD211" s="244">
        <f t="shared" si="76"/>
        <v>303</v>
      </c>
      <c r="AE211" s="236" t="str">
        <f t="shared" si="77"/>
        <v>aws s3 cp s3://rtdc.mdm.uploadarchive.raw/RTDC4064/ "%USERPROFILE%\AppData\Local\Temp\OnboardLogs"\RTDC4064\2017-11-27 --exclude "*" --recursive --include "*20171127*" &amp; "%USERPROFILE%\Documents\GitHub\mrs-test-scripts\Headless Mode &amp; Sideloading\WalkAndUnGZ.bat" "%USERPROFILE%\AppData\Local\Temp\OnboardLogs"\RTDC4064\2017-11-27 &amp; aws s3 cp s3://rtdc.mdm.uploadarchive.raw/RTDC4064/ "%USERPROFILE%\AppData\Local\Temp\OnboardLogs"\RTDC4064\2017-11-28 --exclude "*" --recursive --include "*20171128*" &amp; "%USERPROFILE%\Documents\GitHub\mrs-test-scripts\Headless Mode &amp; Sideloading\WalkAndUnGZ.bat" "%USERPROFILE%\AppData\Local\Temp\OnboardLogs"\RTDC4064\2017-11-28</v>
      </c>
      <c r="AF211" s="235" t="str">
        <f t="shared" si="78"/>
        <v>"C:\Program Files (x86)\AstroGrep\AstroGrep.exe" /e /r /s /spath="%USERPROFILE%\AppData\Local\Temp\OnboardLogs" /stypes="app*4064*20171128*" /stext=" 02:.+((SYSTEM_STATE.+slice.+state.+changed )|(ment ac)|(multiple cpu faults)|(system.+state.+changed )|(\[timeout)|(PRM\|1\|D)|(kpr)|(kdp)|(train st.+moving)|(\|lc)|(penalty))"</v>
      </c>
      <c r="AG211" s="245" t="str">
        <f t="shared" si="79"/>
        <v>Other</v>
      </c>
      <c r="AH211" s="237" t="str">
        <f t="shared" si="80"/>
        <v>"%USERPROFILE%\Documents\GitHub\eaglep3\Utilities\RefineRTDCRunTimes.py" --tripid 303-27 --locoid 4064 --swversion DE.1.0.9.0 --startMP 204:528 --initTime 2017-11-27T19:08:00 --startdatetime 2017-11-27T19:12:40 --delay 75 --endMP 300:23306 --enddatetime 2017-11-27T19:22:14 --enforcementcount 0 &gt;&gt;%USERPROFILE%\Documents\GitHub\eaglep3-reporting\EC\2017-11-27-refined-times.txt</v>
      </c>
      <c r="AI211" s="239" t="str">
        <f t="shared" si="81"/>
        <v>echo {"issue":{"subject":"","project_id":79,"tracker_id":40,"status_id":1,"priority_id":2,"assigned_to_id":338,"start_date":"2017-11-27","description":"","custom_fields":[{"id":1,"name":"Subdivision","value":"Other"},{"id":4,"name":"Milepost","value":"2.3306"},{"id":17,"name":"Train ID","value":"303-27"},{"id":16,"name":"Locomotive ID","value":"4064"},{"id":130,"name":"Impact","value":""},{"id":150,"name":"Time of Event (Mountain Time)","value":"19:22:14"},{"id":151,"name":"Denver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2"/>
      <c r="AL211" s="232"/>
      <c r="AM211" s="241" t="str">
        <f t="shared" si="82"/>
        <v>start /low /b %USERPROFILE%\Documents\GitHub\eaglep3\Utilities\DownloadLogsFromS3.py --loco 4064 --day 2017-11-27</v>
      </c>
      <c r="AN211" s="242" t="str">
        <f t="shared" si="83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02:22:14"},{"id":29,"name":"Sharepoint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1" t="str">
        <f t="shared" si="84"/>
        <v>https://d0f6bd738d7f1b3e5a7ca70fe4ff75f0.us-east-1.aws.found.io/app/kibana#/discover/Steve-Slow-Train-Analysis-(2080s-and-2083s)?_g=(refreshInterval:(display:Off,pause:!f,section:0,value:0),time:(from:'2017-11-27T18:08:00-0700',mode:absolute,to:'2017-11-27T20:22:14-0700'))&amp;_a=(columns:!('Message%20ID',Summary),filters:!(),index:'emp_*',interval:auto,query:(query_string:(analyze_wildcard:!t,query:'%22rtdc.l.rtdc.4064%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30" t="s">
        <v>603</v>
      </c>
      <c r="B212" s="226">
        <v>4043</v>
      </c>
      <c r="C212" s="228" t="s">
        <v>192</v>
      </c>
      <c r="D212" s="228" t="s">
        <v>916</v>
      </c>
      <c r="E212" s="227">
        <v>43066.164756944447</v>
      </c>
      <c r="F212" s="227">
        <v>43066.167754629627</v>
      </c>
      <c r="G212" s="226">
        <v>50</v>
      </c>
      <c r="H212" s="228" t="s">
        <v>833</v>
      </c>
      <c r="I212" s="227">
        <v>43066.173703703702</v>
      </c>
      <c r="J212" s="226">
        <v>0</v>
      </c>
      <c r="K212" s="238" t="str">
        <f t="shared" si="68"/>
        <v>4043/4044</v>
      </c>
      <c r="L212" s="246" t="str">
        <f>VLOOKUP(A212,'Trips&amp;Operators'!$C$1:$G$99911,5,FALSE)</f>
        <v>STARKS ANGELINA</v>
      </c>
      <c r="M212" s="225">
        <f t="shared" si="69"/>
        <v>5.9490740750334226E-3</v>
      </c>
      <c r="N212" s="226">
        <f t="shared" si="85"/>
        <v>8.5666666680481285</v>
      </c>
      <c r="O212" s="226"/>
      <c r="P212" s="226"/>
      <c r="Q212" s="229"/>
      <c r="R212" s="243"/>
      <c r="S212" s="250">
        <f t="shared" si="67"/>
        <v>1</v>
      </c>
      <c r="T212" s="243" t="str">
        <f t="shared" si="70"/>
        <v>Southbound</v>
      </c>
      <c r="U212" s="24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9" t="str">
        <f t="shared" si="71"/>
        <v>https://d0f6bd738d7f1b3e5a7ca70fe4ff75f0.us-east-1.aws.found.io/app/kibana#/discover/Steve-Slow-Train-Analysis-(2080s-and-2083s)?_g=(refreshInterval:(display:Off,pause:!f,section:0,value:0),time:(from:'2017-11-27T02:57:15-0700',mode:absolute,to:'2017-11-27T05:10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2" s="248" t="str">
        <f>IF(AA212&lt;VLOOKUP(AG212,Variables!$AC$3:$AD$8,2,FALSE),"Y","N")</f>
        <v>Y</v>
      </c>
      <c r="X212" s="248">
        <f t="shared" si="72"/>
        <v>1</v>
      </c>
      <c r="Y212" s="248">
        <f t="shared" si="73"/>
        <v>2.2006999999999999</v>
      </c>
      <c r="Z212" s="248">
        <f t="shared" si="74"/>
        <v>1.4999999999999999E-2</v>
      </c>
      <c r="AA212" s="248">
        <f t="shared" si="75"/>
        <v>2.1856999999999998</v>
      </c>
      <c r="AB212" s="234" t="e">
        <f>VLOOKUP(A212,Enforcements!$C$7:$K$9,8,0)</f>
        <v>#N/A</v>
      </c>
      <c r="AC212" s="233" t="e">
        <f>VLOOKUP(A212,Enforcements!$C$7:$E$9,3,0)</f>
        <v>#N/A</v>
      </c>
      <c r="AD212" s="244">
        <f t="shared" si="76"/>
        <v>304</v>
      </c>
      <c r="AE212" s="236" t="str">
        <f t="shared" si="77"/>
        <v>aws s3 cp s3://rtdc.mdm.uploadarchive.raw/RTDC4043/ "%USERPROFILE%\AppData\Local\Temp\OnboardLogs"\RTDC4043\2017-11-27 --exclude "*" --recursive --include "*20171127*" &amp; "%USERPROFILE%\Documents\GitHub\mrs-test-scripts\Headless Mode &amp; Sideloading\WalkAndUnGZ.bat" "%USERPROFILE%\AppData\Local\Temp\OnboardLogs"\RTDC4043\2017-11-27 &amp; aws s3 cp s3://rtdc.mdm.uploadarchive.raw/RTDC4043/ "%USERPROFILE%\AppData\Local\Temp\OnboardLogs"\RTDC4043\2017-11-28 --exclude "*" --recursive --include "*20171128*" &amp; "%USERPROFILE%\Documents\GitHub\mrs-test-scripts\Headless Mode &amp; Sideloading\WalkAndUnGZ.bat" "%USERPROFILE%\AppData\Local\Temp\OnboardLogs"\RTDC4043\2017-11-28</v>
      </c>
      <c r="AF212" s="235" t="str">
        <f t="shared" si="78"/>
        <v>"C:\Program Files (x86)\AstroGrep\AstroGrep.exe" /e /r /s /spath="%USERPROFILE%\AppData\Local\Temp\OnboardLogs" /stypes="app*4043*20171127*" /stext=" 11:.+((SYSTEM_STATE.+slice.+state.+changed )|(ment ac)|(multiple cpu faults)|(system.+state.+changed )|(\[timeout)|(PRM\|1\|D)|(kpr)|(kdp)|(train st.+moving)|(\|lc)|(penalty))"</v>
      </c>
      <c r="AG212" s="245" t="str">
        <f t="shared" si="79"/>
        <v>Other</v>
      </c>
      <c r="AH212" s="237" t="str">
        <f t="shared" si="80"/>
        <v>"%USERPROFILE%\Documents\GitHub\eaglep3\Utilities\RefineRTDCRunTimes.py" --tripid 304-27 --locoid 4043 --swversion DE.1.0.9.0 --startMP 300:22007 --initTime 2017-11-27T03:57:15 --startdatetime 2017-11-27T04:01:34 --delay 50 --endMP 204:150 --enddatetime 2017-11-27T04:10:08 --enforcementcount 0 &gt;&gt;%USERPROFILE%\Documents\GitHub\eaglep3-reporting\EC\2017-11-27-refined-times.txt</v>
      </c>
      <c r="AI212" s="239" t="str">
        <f t="shared" si="81"/>
        <v>echo {"issue":{"subject":"","project_id":79,"tracker_id":40,"status_id":1,"priority_id":2,"assigned_to_id":338,"start_date":"2017-11-27","description":"","custom_fields":[{"id":1,"name":"Subdivision","value":"Other"},{"id":4,"name":"Milepost","value":"0.015"},{"id":17,"name":"Train ID","value":"304-27"},{"id":16,"name":"Locomotive ID","value":"4043"},{"id":130,"name":"Impact","value":""},{"id":150,"name":"Time of Event (Mountain Time)","value":"04:10:08"},{"id":151,"name":"Denver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4"/>
      <c r="AK212" s="232"/>
      <c r="AL212" s="232"/>
      <c r="AM212" s="241" t="str">
        <f t="shared" si="82"/>
        <v>start /low /b %USERPROFILE%\Documents\GitHub\eaglep3\Utilities\DownloadLogsFromS3.py --loco 4043 --day 2017-11-27</v>
      </c>
      <c r="AN212" s="242" t="str">
        <f t="shared" si="83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11:10:08"},{"id":29,"name":"Sharepoint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1" t="str">
        <f t="shared" si="84"/>
        <v>https://d0f6bd738d7f1b3e5a7ca70fe4ff75f0.us-east-1.aws.found.io/app/kibana#/discover/Steve-Slow-Train-Analysis-(2080s-and-2083s)?_g=(refreshInterval:(display:Off,pause:!f,section:0,value:0),time:(from:'2017-11-27T02:57:15-0700',mode:absolute,to:'2017-11-27T05:10:08-0700'))&amp;_a=(columns:!('Message%20ID',Summary),filters:!(),index:'emp_*',interval:auto,query:(query_string:(analyze_wildcard:!t,query:'%22rtdc.l.rtdc.4043%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30" t="s">
        <v>792</v>
      </c>
      <c r="B213" s="226">
        <v>4054</v>
      </c>
      <c r="C213" s="228" t="s">
        <v>192</v>
      </c>
      <c r="D213" s="228" t="s">
        <v>473</v>
      </c>
      <c r="E213" s="227">
        <v>43066.818356481483</v>
      </c>
      <c r="F213" s="227">
        <v>43066.820196759261</v>
      </c>
      <c r="G213" s="226">
        <v>71</v>
      </c>
      <c r="H213" s="228" t="s">
        <v>917</v>
      </c>
      <c r="I213" s="227">
        <v>43066.828240740739</v>
      </c>
      <c r="J213" s="226">
        <v>0</v>
      </c>
      <c r="K213" s="238" t="str">
        <f t="shared" si="68"/>
        <v>4053/4054</v>
      </c>
      <c r="L213" s="246" t="str">
        <f>VLOOKUP(A213,'Trips&amp;Operators'!$C$1:$G$99911,5,FALSE)</f>
        <v>SMITH MICHAEL</v>
      </c>
      <c r="M213" s="225">
        <f t="shared" si="69"/>
        <v>8.0439814773853868E-3</v>
      </c>
      <c r="N213" s="226">
        <f t="shared" si="85"/>
        <v>11.583333327434957</v>
      </c>
      <c r="O213" s="226"/>
      <c r="P213" s="226"/>
      <c r="Q213" s="229"/>
      <c r="R213" s="243"/>
      <c r="S213" s="250">
        <f t="shared" si="67"/>
        <v>1</v>
      </c>
      <c r="T213" s="243" t="str">
        <f t="shared" si="70"/>
        <v>NorthBound</v>
      </c>
      <c r="U213" s="24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9" t="str">
        <f t="shared" si="71"/>
        <v>https://d0f6bd738d7f1b3e5a7ca70fe4ff75f0.us-east-1.aws.found.io/app/kibana#/discover/Steve-Slow-Train-Analysis-(2080s-and-2083s)?_g=(refreshInterval:(display:Off,pause:!f,section:0,value:0),time:(from:'2017-11-27T18:38:26-0700',mode:absolute,to:'2017-11-27T20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3" s="248" t="str">
        <f>IF(AA213&lt;VLOOKUP(AG213,Variables!$AC$3:$AD$8,2,FALSE),"Y","N")</f>
        <v>Y</v>
      </c>
      <c r="X213" s="248">
        <f t="shared" si="72"/>
        <v>1</v>
      </c>
      <c r="Y213" s="248">
        <f t="shared" si="73"/>
        <v>5.11E-2</v>
      </c>
      <c r="Z213" s="248">
        <f t="shared" si="74"/>
        <v>2.3290999999999999</v>
      </c>
      <c r="AA213" s="248">
        <f t="shared" si="75"/>
        <v>2.278</v>
      </c>
      <c r="AB213" s="234" t="e">
        <f>VLOOKUP(A213,Enforcements!$C$7:$K$9,8,0)</f>
        <v>#N/A</v>
      </c>
      <c r="AC213" s="233" t="e">
        <f>VLOOKUP(A213,Enforcements!$C$7:$E$9,3,0)</f>
        <v>#N/A</v>
      </c>
      <c r="AD213" s="244">
        <f t="shared" si="76"/>
        <v>305</v>
      </c>
      <c r="AE213" s="236" t="str">
        <f t="shared" si="77"/>
        <v>aws s3 cp s3://rtdc.mdm.uploadarchive.raw/RTDC4054/ "%USERPROFILE%\AppData\Local\Temp\OnboardLogs"\RTDC4054\2017-11-27 --exclude "*" --recursive --include "*20171127*" &amp; "%USERPROFILE%\Documents\GitHub\mrs-test-scripts\Headless Mode &amp; Sideloading\WalkAndUnGZ.bat" "%USERPROFILE%\AppData\Local\Temp\OnboardLogs"\RTDC4054\2017-11-27 &amp; aws s3 cp s3://rtdc.mdm.uploadarchive.raw/RTDC4054/ "%USERPROFILE%\AppData\Local\Temp\OnboardLogs"\RTDC4054\2017-11-28 --exclude "*" --recursive --include "*20171128*" &amp; "%USERPROFILE%\Documents\GitHub\mrs-test-scripts\Headless Mode &amp; Sideloading\WalkAndUnGZ.bat" "%USERPROFILE%\AppData\Local\Temp\OnboardLogs"\RTDC4054\2017-11-28</v>
      </c>
      <c r="AF213" s="235" t="str">
        <f t="shared" si="78"/>
        <v>"C:\Program Files (x86)\AstroGrep\AstroGrep.exe" /e /r /s /spath="%USERPROFILE%\AppData\Local\Temp\OnboardLogs" /stypes="app*4054*20171128*" /stext=" 02:.+((SYSTEM_STATE.+slice.+state.+changed )|(ment ac)|(multiple cpu faults)|(system.+state.+changed )|(\[timeout)|(PRM\|1\|D)|(kpr)|(kdp)|(train st.+moving)|(\|lc)|(penalty))"</v>
      </c>
      <c r="AG213" s="245" t="str">
        <f t="shared" si="79"/>
        <v>Other</v>
      </c>
      <c r="AH213" s="237" t="str">
        <f t="shared" si="80"/>
        <v>"%USERPROFILE%\Documents\GitHub\eaglep3\Utilities\RefineRTDCRunTimes.py" --tripid 305-27 --locoid 4054 --swversion DE.1.0.9.0 --startMP 204:511 --initTime 2017-11-27T19:38:26 --startdatetime 2017-11-27T19:41:05 --delay 71 --endMP 300:23291 --enddatetime 2017-11-27T19:52:40 --enforcementcount 0 &gt;&gt;%USERPROFILE%\Documents\GitHub\eaglep3-reporting\EC\2017-11-27-refined-times.txt</v>
      </c>
      <c r="AI213" s="239" t="str">
        <f t="shared" si="81"/>
        <v>echo {"issue":{"subject":"","project_id":79,"tracker_id":40,"status_id":1,"priority_id":2,"assigned_to_id":338,"start_date":"2017-11-27","description":"","custom_fields":[{"id":1,"name":"Subdivision","value":"Other"},{"id":4,"name":"Milepost","value":"2.3291"},{"id":17,"name":"Train ID","value":"305-27"},{"id":16,"name":"Locomotive ID","value":"4054"},{"id":130,"name":"Impact","value":""},{"id":150,"name":"Time of Event (Mountain Time)","value":"19:52:40"},{"id":151,"name":"Denver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4"/>
      <c r="AK213" s="232"/>
      <c r="AL213" s="232"/>
      <c r="AM213" s="241" t="str">
        <f t="shared" si="82"/>
        <v>start /low /b %USERPROFILE%\Documents\GitHub\eaglep3\Utilities\DownloadLogsFromS3.py --loco 4054 --day 2017-11-27</v>
      </c>
      <c r="AN213" s="242" t="str">
        <f t="shared" si="83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02:52:40"},{"id":29,"name":"Sharepoint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1" t="str">
        <f t="shared" si="84"/>
        <v>https://d0f6bd738d7f1b3e5a7ca70fe4ff75f0.us-east-1.aws.found.io/app/kibana#/discover/Steve-Slow-Train-Analysis-(2080s-and-2083s)?_g=(refreshInterval:(display:Off,pause:!f,section:0,value:0),time:(from:'2017-11-27T18:38:26-0700',mode:absolute,to:'2017-11-27T20:52:40-0700'))&amp;_a=(columns:!('Message%20ID',Summary),filters:!(),index:'emp_*',interval:auto,query:(query_string:(analyze_wildcard:!t,query:'%22rtdc.l.rtdc.4054%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30" t="s">
        <v>607</v>
      </c>
      <c r="B214" s="226">
        <v>4025</v>
      </c>
      <c r="C214" s="228" t="s">
        <v>192</v>
      </c>
      <c r="D214" s="228" t="s">
        <v>918</v>
      </c>
      <c r="E214" s="227">
        <v>43066.174085648148</v>
      </c>
      <c r="F214" s="227">
        <v>43066.176817129628</v>
      </c>
      <c r="G214" s="226">
        <v>65</v>
      </c>
      <c r="H214" s="228" t="s">
        <v>549</v>
      </c>
      <c r="I214" s="227">
        <v>43066.181643518517</v>
      </c>
      <c r="J214" s="226">
        <v>0</v>
      </c>
      <c r="K214" s="238" t="str">
        <f t="shared" si="68"/>
        <v>4025/4026</v>
      </c>
      <c r="L214" s="246" t="str">
        <f>VLOOKUP(A214,'Trips&amp;Operators'!$C$1:$G$99911,5,FALSE)</f>
        <v>BEAM ROSS</v>
      </c>
      <c r="M214" s="225">
        <f t="shared" si="69"/>
        <v>4.8263888893416151E-3</v>
      </c>
      <c r="N214" s="226">
        <f t="shared" si="85"/>
        <v>6.9500000006519258</v>
      </c>
      <c r="O214" s="226"/>
      <c r="P214" s="226"/>
      <c r="Q214" s="229"/>
      <c r="R214" s="243"/>
      <c r="S214" s="250">
        <f t="shared" si="67"/>
        <v>1</v>
      </c>
      <c r="T214" s="243" t="str">
        <f t="shared" si="70"/>
        <v>Southbound</v>
      </c>
      <c r="U214" s="24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9" t="str">
        <f t="shared" si="71"/>
        <v>https://d0f6bd738d7f1b3e5a7ca70fe4ff75f0.us-east-1.aws.found.io/app/kibana#/discover/Steve-Slow-Train-Analysis-(2080s-and-2083s)?_g=(refreshInterval:(display:Off,pause:!f,section:0,value:0),time:(from:'2017-11-27T03:10:41-0700',mode:absolute,to:'2017-11-27T05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4" s="248" t="str">
        <f>IF(AA214&lt;VLOOKUP(AG214,Variables!$AC$3:$AD$8,2,FALSE),"Y","N")</f>
        <v>Y</v>
      </c>
      <c r="X214" s="248">
        <f t="shared" si="72"/>
        <v>1</v>
      </c>
      <c r="Y214" s="248">
        <f t="shared" si="73"/>
        <v>2.2387000000000001</v>
      </c>
      <c r="Z214" s="248">
        <f t="shared" si="74"/>
        <v>1.8700000000000001E-2</v>
      </c>
      <c r="AA214" s="248">
        <f t="shared" si="75"/>
        <v>2.2200000000000002</v>
      </c>
      <c r="AB214" s="234" t="e">
        <f>VLOOKUP(A214,Enforcements!$C$7:$K$9,8,0)</f>
        <v>#N/A</v>
      </c>
      <c r="AC214" s="233" t="e">
        <f>VLOOKUP(A214,Enforcements!$C$7:$E$9,3,0)</f>
        <v>#N/A</v>
      </c>
      <c r="AD214" s="244">
        <f t="shared" si="76"/>
        <v>306</v>
      </c>
      <c r="AE214" s="236" t="str">
        <f t="shared" si="77"/>
        <v>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 &amp; aws s3 cp s3://rtdc.mdm.uploadarchive.raw/RTDC4025/ "%USERPROFILE%\AppData\Local\Temp\OnboardLogs"\RTDC4025\2017-11-28 --exclude "*" --recursive --include "*20171128*" &amp; "%USERPROFILE%\Documents\GitHub\mrs-test-scripts\Headless Mode &amp; Sideloading\WalkAndUnGZ.bat" "%USERPROFILE%\AppData\Local\Temp\OnboardLogs"\RTDC4025\2017-11-28</v>
      </c>
      <c r="AF214" s="235" t="str">
        <f t="shared" si="78"/>
        <v>"C:\Program Files (x86)\AstroGrep\AstroGrep.exe" /e /r /s /spath="%USERPROFILE%\AppData\Local\Temp\OnboardLogs" /stypes="app*4025*20171127*" /stext=" 11:.+((SYSTEM_STATE.+slice.+state.+changed )|(ment ac)|(multiple cpu faults)|(system.+state.+changed )|(\[timeout)|(PRM\|1\|D)|(kpr)|(kdp)|(train st.+moving)|(\|lc)|(penalty))"</v>
      </c>
      <c r="AG214" s="245" t="str">
        <f t="shared" si="79"/>
        <v>Other</v>
      </c>
      <c r="AH214" s="237" t="str">
        <f t="shared" si="80"/>
        <v>"%USERPROFILE%\Documents\GitHub\eaglep3\Utilities\RefineRTDCRunTimes.py" --tripid 306-27 --locoid 4025 --swversion DE.1.0.9.0 --startMP 300:22387 --initTime 2017-11-27T04:10:41 --startdatetime 2017-11-27T04:14:37 --delay 65 --endMP 204:187 --enddatetime 2017-11-27T04:21:34 --enforcementcount 0 &gt;&gt;%USERPROFILE%\Documents\GitHub\eaglep3-reporting\EC\2017-11-27-refined-times.txt</v>
      </c>
      <c r="AI214" s="239" t="str">
        <f t="shared" si="81"/>
        <v>echo {"issue":{"subject":"","project_id":79,"tracker_id":40,"status_id":1,"priority_id":2,"assigned_to_id":338,"start_date":"2017-11-27","description":"","custom_fields":[{"id":1,"name":"Subdivision","value":"Other"},{"id":4,"name":"Milepost","value":"0.0187"},{"id":17,"name":"Train ID","value":"306-27"},{"id":16,"name":"Locomotive ID","value":"4025"},{"id":130,"name":"Impact","value":""},{"id":150,"name":"Time of Event (Mountain Time)","value":"04:21:34"},{"id":151,"name":"Denver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4"/>
      <c r="AK214" s="232"/>
      <c r="AL214" s="232"/>
      <c r="AM214" s="241" t="str">
        <f t="shared" si="82"/>
        <v>start /low /b %USERPROFILE%\Documents\GitHub\eaglep3\Utilities\DownloadLogsFromS3.py --loco 4025 --day 2017-11-27</v>
      </c>
      <c r="AN214" s="242" t="str">
        <f t="shared" si="83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11:21:34"},{"id":29,"name":"Sharepoint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1" t="str">
        <f t="shared" si="84"/>
        <v>https://d0f6bd738d7f1b3e5a7ca70fe4ff75f0.us-east-1.aws.found.io/app/kibana#/discover/Steve-Slow-Train-Analysis-(2080s-and-2083s)?_g=(refreshInterval:(display:Off,pause:!f,section:0,value:0),time:(from:'2017-11-27T03:10:41-0700',mode:absolute,to:'2017-11-27T05:21:34-0700'))&amp;_a=(columns:!('Message%20ID',Summary),filters:!(),index:'emp_*',interval:auto,query:(query_string:(analyze_wildcard:!t,query:'%22rtdc.l.rtdc.4025%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30" t="s">
        <v>592</v>
      </c>
      <c r="B215" s="226">
        <v>4022</v>
      </c>
      <c r="C215" s="228" t="s">
        <v>192</v>
      </c>
      <c r="D215" s="228" t="s">
        <v>484</v>
      </c>
      <c r="E215" s="227">
        <v>43067.046342592592</v>
      </c>
      <c r="F215" s="227">
        <v>43067.048043981478</v>
      </c>
      <c r="G215" s="226">
        <v>71</v>
      </c>
      <c r="H215" s="228" t="s">
        <v>919</v>
      </c>
      <c r="I215" s="227">
        <v>43067.053101851852</v>
      </c>
      <c r="J215" s="226">
        <v>0</v>
      </c>
      <c r="K215" s="238" t="str">
        <f t="shared" si="68"/>
        <v>4021/4022</v>
      </c>
      <c r="L215" s="246" t="str">
        <f>VLOOKUP(A215,'Trips&amp;Operators'!$C$1:$G$99911,5,FALSE)</f>
        <v>LOZA FIDEL</v>
      </c>
      <c r="M215" s="225">
        <f t="shared" si="69"/>
        <v>5.0578703740029596E-3</v>
      </c>
      <c r="N215" s="226">
        <f t="shared" si="85"/>
        <v>7.2833333385642618</v>
      </c>
      <c r="O215" s="226"/>
      <c r="P215" s="226"/>
      <c r="Q215" s="229"/>
      <c r="R215" s="243"/>
      <c r="S215" s="250">
        <f t="shared" si="67"/>
        <v>1</v>
      </c>
      <c r="T215" s="243" t="str">
        <f t="shared" si="70"/>
        <v>NorthBound</v>
      </c>
      <c r="U215" s="24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9" t="str">
        <f t="shared" si="71"/>
        <v>https://d0f6bd738d7f1b3e5a7ca70fe4ff75f0.us-east-1.aws.found.io/app/kibana#/discover/Steve-Slow-Train-Analysis-(2080s-and-2083s)?_g=(refreshInterval:(display:Off,pause:!f,section:0,value:0),time:(from:'2017-11-28T00:06:44-0700',mode:absolute,to:'2017-11-28T02:16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5" s="248" t="str">
        <f>IF(AA215&lt;VLOOKUP(AG215,Variables!$AC$3:$AD$8,2,FALSE),"Y","N")</f>
        <v>Y</v>
      </c>
      <c r="X215" s="248">
        <f t="shared" si="72"/>
        <v>1</v>
      </c>
      <c r="Y215" s="248">
        <f t="shared" si="73"/>
        <v>5.4199999999999998E-2</v>
      </c>
      <c r="Z215" s="248">
        <f t="shared" si="74"/>
        <v>2.2597</v>
      </c>
      <c r="AA215" s="248">
        <f t="shared" si="75"/>
        <v>2.2055000000000002</v>
      </c>
      <c r="AB215" s="234" t="e">
        <f>VLOOKUP(A215,Enforcements!$C$7:$K$9,8,0)</f>
        <v>#N/A</v>
      </c>
      <c r="AC215" s="233" t="e">
        <f>VLOOKUP(A215,Enforcements!$C$7:$E$9,3,0)</f>
        <v>#N/A</v>
      </c>
      <c r="AD215" s="244">
        <f t="shared" si="76"/>
        <v>307</v>
      </c>
      <c r="AE215" s="236" t="str">
        <f t="shared" si="77"/>
        <v>aws s3 cp s3://rtdc.mdm.uploadarchive.raw/RTDC4022/ "%USERPROFILE%\AppData\Local\Temp\OnboardLogs"\RTDC4022\2017-11-28 --exclude "*" --recursive --include "*20171128*" &amp; "%USERPROFILE%\Documents\GitHub\mrs-test-scripts\Headless Mode &amp; Sideloading\WalkAndUnGZ.bat" "%USERPROFILE%\AppData\Local\Temp\OnboardLogs"\RTDC4022\2017-11-28 &amp; 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</v>
      </c>
      <c r="AF215" s="235" t="str">
        <f t="shared" si="78"/>
        <v>"C:\Program Files (x86)\AstroGrep\AstroGrep.exe" /e /r /s /spath="%USERPROFILE%\AppData\Local\Temp\OnboardLogs" /stypes="app*4022*20171128*" /stext=" 08:.+((SYSTEM_STATE.+slice.+state.+changed )|(ment ac)|(multiple cpu faults)|(system.+state.+changed )|(\[timeout)|(PRM\|1\|D)|(kpr)|(kdp)|(train st.+moving)|(\|lc)|(penalty))"</v>
      </c>
      <c r="AG215" s="245" t="str">
        <f t="shared" si="79"/>
        <v>Other</v>
      </c>
      <c r="AH215" s="237" t="str">
        <f t="shared" si="80"/>
        <v>"%USERPROFILE%\Documents\GitHub\eaglep3\Utilities\RefineRTDCRunTimes.py" --tripid 307-27 --locoid 4022 --swversion DE.1.0.9.0 --startMP 204:542 --initTime 2017-11-28T01:06:44 --startdatetime 2017-11-28T01:09:11 --delay 71 --endMP 300:22597 --enddatetime 2017-11-28T01:16:28 --enforcementcount 0 &gt;&gt;%USERPROFILE%\Documents\GitHub\eaglep3-reporting\EC\2017-11-27-refined-times.txt</v>
      </c>
      <c r="AI215" s="239" t="str">
        <f t="shared" si="81"/>
        <v>echo {"issue":{"subject":"","project_id":79,"tracker_id":40,"status_id":1,"priority_id":2,"assigned_to_id":338,"start_date":"2017-11-28","description":"","custom_fields":[{"id":1,"name":"Subdivision","value":"Other"},{"id":4,"name":"Milepost","value":"2.2597"},{"id":17,"name":"Train ID","value":"307-27"},{"id":16,"name":"Locomotive ID","value":"4022"},{"id":130,"name":"Impact","value":""},{"id":150,"name":"Time of Event (Mountain Time)","value":"01:16:28"},{"id":151,"name":"Denver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4"/>
      <c r="AK215" s="232"/>
      <c r="AL215" s="232"/>
      <c r="AM215" s="241" t="str">
        <f t="shared" si="82"/>
        <v>start /low /b %USERPROFILE%\Documents\GitHub\eaglep3\Utilities\DownloadLogsFromS3.py --loco 4022 --day 2017-11-28</v>
      </c>
      <c r="AN215" s="242" t="str">
        <f t="shared" si="83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08:16:28"},{"id":29,"name":"Sharepoint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1" t="str">
        <f t="shared" si="84"/>
        <v>https://d0f6bd738d7f1b3e5a7ca70fe4ff75f0.us-east-1.aws.found.io/app/kibana#/discover/Steve-Slow-Train-Analysis-(2080s-and-2083s)?_g=(refreshInterval:(display:Off,pause:!f,section:0,value:0),time:(from:'2017-11-28T00:06:44-0700',mode:absolute,to:'2017-11-28T02:16:28-0700'))&amp;_a=(columns:!('Message%20ID',Summary),filters:!(),index:'emp_*',interval:auto,query:(query_string:(analyze_wildcard:!t,query:'%22rtdc.l.rtdc.4022%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4" customFormat="1" x14ac:dyDescent="0.25">
      <c r="A216" s="230" t="s">
        <v>576</v>
      </c>
      <c r="B216" s="226">
        <v>4013</v>
      </c>
      <c r="C216" s="228" t="s">
        <v>192</v>
      </c>
      <c r="D216" s="228" t="s">
        <v>920</v>
      </c>
      <c r="E216" s="227">
        <v>43066.182314814818</v>
      </c>
      <c r="F216" s="227">
        <v>43066.18608796296</v>
      </c>
      <c r="G216" s="226">
        <v>76</v>
      </c>
      <c r="H216" s="228" t="s">
        <v>449</v>
      </c>
      <c r="I216" s="227">
        <v>43066.192071759258</v>
      </c>
      <c r="J216" s="226">
        <v>0</v>
      </c>
      <c r="K216" s="238" t="str">
        <f t="shared" si="68"/>
        <v>4013/4014</v>
      </c>
      <c r="L216" s="246" t="str">
        <f>VLOOKUP(A216,'Trips&amp;Operators'!$C$1:$G$99911,5,FALSE)</f>
        <v>MAELZER KURT</v>
      </c>
      <c r="M216" s="225">
        <f t="shared" si="69"/>
        <v>5.9837962980964221E-3</v>
      </c>
      <c r="N216" s="226">
        <f t="shared" si="85"/>
        <v>8.6166666692588478</v>
      </c>
      <c r="O216" s="226"/>
      <c r="P216" s="226"/>
      <c r="Q216" s="229"/>
      <c r="R216" s="243"/>
      <c r="S216" s="250">
        <f t="shared" si="67"/>
        <v>1</v>
      </c>
      <c r="T216" s="243" t="str">
        <f t="shared" si="70"/>
        <v>Southbound</v>
      </c>
      <c r="U216" s="24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9" t="str">
        <f t="shared" si="71"/>
        <v>https://d0f6bd738d7f1b3e5a7ca70fe4ff75f0.us-east-1.aws.found.io/app/kibana#/discover/Steve-Slow-Train-Analysis-(2080s-and-2083s)?_g=(refreshInterval:(display:Off,pause:!f,section:0,value:0),time:(from:'2017-11-27T03:22:32-0700',mode:absolute,to:'2017-11-27T05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6" s="248" t="str">
        <f>IF(AA216&lt;VLOOKUP(AG216,Variables!$AC$3:$AD$8,2,FALSE),"Y","N")</f>
        <v>Y</v>
      </c>
      <c r="X216" s="248">
        <f t="shared" si="72"/>
        <v>1</v>
      </c>
      <c r="Y216" s="248">
        <f t="shared" si="73"/>
        <v>1.9807999999999999</v>
      </c>
      <c r="Z216" s="248">
        <f t="shared" si="74"/>
        <v>1.54E-2</v>
      </c>
      <c r="AA216" s="248">
        <f t="shared" si="75"/>
        <v>1.9653999999999998</v>
      </c>
      <c r="AB216" s="234" t="e">
        <f>VLOOKUP(A216,Enforcements!$C$7:$K$9,8,0)</f>
        <v>#N/A</v>
      </c>
      <c r="AC216" s="233" t="e">
        <f>VLOOKUP(A216,Enforcements!$C$7:$E$9,3,0)</f>
        <v>#N/A</v>
      </c>
      <c r="AD216" s="244">
        <f t="shared" si="76"/>
        <v>308</v>
      </c>
      <c r="AE216" s="236" t="str">
        <f t="shared" si="77"/>
        <v>aws s3 cp s3://rtdc.mdm.uploadarchive.raw/RTDC4013/ "%USERPROFILE%\AppData\Local\Temp\OnboardLogs"\RTDC4013\2017-11-27 --exclude "*" --recursive --include "*20171127*" &amp; "%USERPROFILE%\Documents\GitHub\mrs-test-scripts\Headless Mode &amp; Sideloading\WalkAndUnGZ.bat" "%USERPROFILE%\AppData\Local\Temp\OnboardLogs"\RTDC4013\2017-11-27 &amp; aws s3 cp s3://rtdc.mdm.uploadarchive.raw/RTDC4013/ "%USERPROFILE%\AppData\Local\Temp\OnboardLogs"\RTDC4013\2017-11-28 --exclude "*" --recursive --include "*20171128*" &amp; "%USERPROFILE%\Documents\GitHub\mrs-test-scripts\Headless Mode &amp; Sideloading\WalkAndUnGZ.bat" "%USERPROFILE%\AppData\Local\Temp\OnboardLogs"\RTDC4013\2017-11-28</v>
      </c>
      <c r="AF216" s="235" t="str">
        <f t="shared" si="78"/>
        <v>"C:\Program Files (x86)\AstroGrep\AstroGrep.exe" /e /r /s /spath="%USERPROFILE%\AppData\Local\Temp\OnboardLogs" /stypes="app*4013*20171127*" /stext=" 11:.+((SYSTEM_STATE.+slice.+state.+changed )|(ment ac)|(multiple cpu faults)|(system.+state.+changed )|(\[timeout)|(PRM\|1\|D)|(kpr)|(kdp)|(train st.+moving)|(\|lc)|(penalty))"</v>
      </c>
      <c r="AG216" s="245" t="str">
        <f t="shared" si="79"/>
        <v>Other</v>
      </c>
      <c r="AH216" s="237" t="str">
        <f t="shared" si="80"/>
        <v>"%USERPROFILE%\Documents\GitHub\eaglep3\Utilities\RefineRTDCRunTimes.py" --tripid 308-27 --locoid 4013 --swversion DE.1.0.9.0 --startMP 300:19808 --initTime 2017-11-27T04:22:32 --startdatetime 2017-11-27T04:27:58 --delay 76 --endMP 204:154 --enddatetime 2017-11-27T04:36:35 --enforcementcount 0 &gt;&gt;%USERPROFILE%\Documents\GitHub\eaglep3-reporting\EC\2017-11-27-refined-times.txt</v>
      </c>
      <c r="AI216" s="239" t="str">
        <f t="shared" si="81"/>
        <v>echo {"issue":{"subject":"","project_id":79,"tracker_id":40,"status_id":1,"priority_id":2,"assigned_to_id":338,"start_date":"2017-11-27","description":"","custom_fields":[{"id":1,"name":"Subdivision","value":"Other"},{"id":4,"name":"Milepost","value":"0.0154"},{"id":17,"name":"Train ID","value":"308-27"},{"id":16,"name":"Locomotive ID","value":"4013"},{"id":130,"name":"Impact","value":""},{"id":150,"name":"Time of Event (Mountain Time)","value":"04:36:35"},{"id":151,"name":"Denver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232"/>
      <c r="AL216" s="232"/>
      <c r="AM216" s="241" t="str">
        <f t="shared" si="82"/>
        <v>start /low /b %USERPROFILE%\Documents\GitHub\eaglep3\Utilities\DownloadLogsFromS3.py --loco 4013 --day 2017-11-27</v>
      </c>
      <c r="AN216" s="242" t="str">
        <f t="shared" si="83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11:36:35"},{"id":29,"name":"Sharepoint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1" t="str">
        <f t="shared" si="84"/>
        <v>https://d0f6bd738d7f1b3e5a7ca70fe4ff75f0.us-east-1.aws.found.io/app/kibana#/discover/Steve-Slow-Train-Analysis-(2080s-and-2083s)?_g=(refreshInterval:(display:Off,pause:!f,section:0,value:0),time:(from:'2017-11-27T03:22:32-0700',mode:absolute,to:'2017-11-27T05:36:35-0700'))&amp;_a=(columns:!('Message%20ID',Summary),filters:!(),index:'emp_*',interval:auto,query:(query_string:(analyze_wildcard:!t,query:'%22rtdc.l.rtdc.4013%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30" t="s">
        <v>621</v>
      </c>
      <c r="B217" s="226">
        <v>4063</v>
      </c>
      <c r="C217" s="228" t="s">
        <v>192</v>
      </c>
      <c r="D217" s="228" t="s">
        <v>921</v>
      </c>
      <c r="E217" s="227">
        <v>43066.195752314816</v>
      </c>
      <c r="F217" s="227">
        <v>43066.198854166665</v>
      </c>
      <c r="G217" s="226">
        <v>101</v>
      </c>
      <c r="H217" s="228" t="s">
        <v>452</v>
      </c>
      <c r="I217" s="227">
        <v>43066.204930555556</v>
      </c>
      <c r="J217" s="226">
        <v>0</v>
      </c>
      <c r="K217" s="238" t="str">
        <f t="shared" si="68"/>
        <v>4063/4064</v>
      </c>
      <c r="L217" s="246" t="str">
        <f>VLOOKUP(A217,'Trips&amp;Operators'!$C$1:$G$99911,5,FALSE)</f>
        <v>DAVIDSON DAVID</v>
      </c>
      <c r="M217" s="225">
        <f t="shared" si="69"/>
        <v>6.0763888905057684E-3</v>
      </c>
      <c r="N217" s="226">
        <f t="shared" si="85"/>
        <v>8.7500000023283064</v>
      </c>
      <c r="O217" s="226"/>
      <c r="P217" s="226"/>
      <c r="Q217" s="229"/>
      <c r="R217" s="243"/>
      <c r="S217" s="250">
        <f t="shared" ref="S217:S231" si="86">1/IF(AG217="EC",12,1)*SUM(U217:U217)</f>
        <v>1</v>
      </c>
      <c r="T217" s="243" t="str">
        <f t="shared" si="70"/>
        <v>Southbound</v>
      </c>
      <c r="U217" s="24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9" t="str">
        <f t="shared" si="71"/>
        <v>https://d0f6bd738d7f1b3e5a7ca70fe4ff75f0.us-east-1.aws.found.io/app/kibana#/discover/Steve-Slow-Train-Analysis-(2080s-and-2083s)?_g=(refreshInterval:(display:Off,pause:!f,section:0,value:0),time:(from:'2017-11-27T03:41:53-0700',mode:absolute,to:'2017-11-27T05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7" s="248" t="str">
        <f>IF(AA217&lt;VLOOKUP(AG217,Variables!$AC$3:$AD$8,2,FALSE),"Y","N")</f>
        <v>Y</v>
      </c>
      <c r="X217" s="248">
        <f t="shared" si="72"/>
        <v>2</v>
      </c>
      <c r="Y217" s="248">
        <f t="shared" si="73"/>
        <v>2.3330000000000002</v>
      </c>
      <c r="Z217" s="248">
        <f t="shared" si="74"/>
        <v>2.4E-2</v>
      </c>
      <c r="AA217" s="248">
        <f t="shared" si="75"/>
        <v>2.3090000000000002</v>
      </c>
      <c r="AB217" s="234" t="e">
        <f>VLOOKUP(A217,Enforcements!$C$7:$K$9,8,0)</f>
        <v>#N/A</v>
      </c>
      <c r="AC217" s="233" t="e">
        <f>VLOOKUP(A217,Enforcements!$C$7:$E$9,3,0)</f>
        <v>#N/A</v>
      </c>
      <c r="AD217" s="244">
        <f t="shared" si="76"/>
        <v>310</v>
      </c>
      <c r="AE217" s="236" t="str">
        <f t="shared" si="77"/>
        <v>aws s3 cp s3://rtdc.mdm.uploadarchive.raw/RTDC4063/ "%USERPROFILE%\AppData\Local\Temp\OnboardLogs"\RTDC4063\2017-11-27 --exclude "*" --recursive --include "*20171127*" &amp; "%USERPROFILE%\Documents\GitHub\mrs-test-scripts\Headless Mode &amp; Sideloading\WalkAndUnGZ.bat" "%USERPROFILE%\AppData\Local\Temp\OnboardLogs"\RTDC4063\2017-11-27 &amp; aws s3 cp s3://rtdc.mdm.uploadarchive.raw/RTDC4063/ "%USERPROFILE%\AppData\Local\Temp\OnboardLogs"\RTDC4063\2017-11-28 --exclude "*" --recursive --include "*20171128*" &amp; "%USERPROFILE%\Documents\GitHub\mrs-test-scripts\Headless Mode &amp; Sideloading\WalkAndUnGZ.bat" "%USERPROFILE%\AppData\Local\Temp\OnboardLogs"\RTDC4063\2017-11-28</v>
      </c>
      <c r="AF217" s="235" t="str">
        <f t="shared" si="78"/>
        <v>"C:\Program Files (x86)\AstroGrep\AstroGrep.exe" /e /r /s /spath="%USERPROFILE%\AppData\Local\Temp\OnboardLogs" /stypes="app*4063*20171127*" /stext=" 11:.+((SYSTEM_STATE.+slice.+state.+changed )|(ment ac)|(multiple cpu faults)|(system.+state.+changed )|(\[timeout)|(PRM\|1\|D)|(kpr)|(kdp)|(train st.+moving)|(\|lc)|(penalty))"</v>
      </c>
      <c r="AG217" s="245" t="str">
        <f t="shared" si="79"/>
        <v>Other</v>
      </c>
      <c r="AH217" s="237" t="str">
        <f t="shared" si="80"/>
        <v>"%USERPROFILE%\Documents\GitHub\eaglep3\Utilities\RefineRTDCRunTimes.py" --tripid 310-27 --locoid 4063 --swversion DE.1.0.9.0 --startMP 300:23330 --initTime 2017-11-27T04:41:53 --startdatetime 2017-11-27T04:46:21 --delay 101 --endMP 204:240 --enddatetime 2017-11-27T04:55:06 --enforcementcount 0 &gt;&gt;%USERPROFILE%\Documents\GitHub\eaglep3-reporting\EC\2017-11-27-refined-times.txt</v>
      </c>
      <c r="AI217" s="239" t="str">
        <f t="shared" si="81"/>
        <v>echo {"issue":{"subject":"","project_id":79,"tracker_id":40,"status_id":1,"priority_id":2,"assigned_to_id":338,"start_date":"2017-11-27","description":"","custom_fields":[{"id":1,"name":"Subdivision","value":"Other"},{"id":4,"name":"Milepost","value":"0.024"},{"id":17,"name":"Train ID","value":"310-27"},{"id":16,"name":"Locomotive ID","value":"4063"},{"id":130,"name":"Impact","value":""},{"id":150,"name":"Time of Event (Mountain Time)","value":"04:55:06"},{"id":151,"name":"Denver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4"/>
      <c r="AK217" s="232"/>
      <c r="AL217" s="232"/>
      <c r="AM217" s="241" t="str">
        <f t="shared" si="82"/>
        <v>start /low /b %USERPROFILE%\Documents\GitHub\eaglep3\Utilities\DownloadLogsFromS3.py --loco 4063 --day 2017-11-27</v>
      </c>
      <c r="AN217" s="242" t="str">
        <f t="shared" si="83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11:55:06"},{"id":29,"name":"Sharepoint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1" t="str">
        <f t="shared" si="84"/>
        <v>https://d0f6bd738d7f1b3e5a7ca70fe4ff75f0.us-east-1.aws.found.io/app/kibana#/discover/Steve-Slow-Train-Analysis-(2080s-and-2083s)?_g=(refreshInterval:(display:Off,pause:!f,section:0,value:0),time:(from:'2017-11-27T03:41:53-0700',mode:absolute,to:'2017-11-27T05:55:06-0700'))&amp;_a=(columns:!('Message%20ID',Summary),filters:!(),index:'emp_*',interval:auto,query:(query_string:(analyze_wildcard:!t,query:'%22rtdc.l.rtdc.4063%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30" t="s">
        <v>820</v>
      </c>
      <c r="B218" s="226">
        <v>4026</v>
      </c>
      <c r="C218" s="228" t="s">
        <v>192</v>
      </c>
      <c r="D218" s="228" t="s">
        <v>425</v>
      </c>
      <c r="E218" s="227">
        <v>43067.08829861111</v>
      </c>
      <c r="F218" s="227">
        <v>43067.091828703706</v>
      </c>
      <c r="G218" s="226">
        <v>57</v>
      </c>
      <c r="H218" s="228" t="s">
        <v>571</v>
      </c>
      <c r="I218" s="227">
        <v>43067.100717592592</v>
      </c>
      <c r="J218" s="226">
        <v>0</v>
      </c>
      <c r="K218" s="238" t="str">
        <f t="shared" si="68"/>
        <v>4025/4026</v>
      </c>
      <c r="L218" s="246" t="str">
        <f>VLOOKUP(A218,'Trips&amp;Operators'!$C$1:$G$99911,5,FALSE)</f>
        <v>WILLIAMS DONTE</v>
      </c>
      <c r="M218" s="225">
        <f t="shared" si="69"/>
        <v>8.8888888858491555E-3</v>
      </c>
      <c r="N218" s="226">
        <f t="shared" si="85"/>
        <v>12.799999995622784</v>
      </c>
      <c r="O218" s="226"/>
      <c r="P218" s="226"/>
      <c r="Q218" s="229"/>
      <c r="R218" s="243"/>
      <c r="S218" s="250">
        <f t="shared" si="86"/>
        <v>1</v>
      </c>
      <c r="T218" s="243" t="str">
        <f t="shared" si="70"/>
        <v>NorthBound</v>
      </c>
      <c r="U218" s="24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9" t="str">
        <f t="shared" si="71"/>
        <v>https://d0f6bd738d7f1b3e5a7ca70fe4ff75f0.us-east-1.aws.found.io/app/kibana#/discover/Steve-Slow-Train-Analysis-(2080s-and-2083s)?_g=(refreshInterval:(display:Off,pause:!f,section:0,value:0),time:(from:'2017-11-28T01:07:09-0700',mode:absolute,to:'2017-11-28T03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8" s="248" t="str">
        <f>IF(AA218&lt;VLOOKUP(AG218,Variables!$AC$3:$AD$8,2,FALSE),"Y","N")</f>
        <v>Y</v>
      </c>
      <c r="X218" s="248">
        <f t="shared" si="72"/>
        <v>1</v>
      </c>
      <c r="Y218" s="248">
        <f t="shared" si="73"/>
        <v>5.2400000000000002E-2</v>
      </c>
      <c r="Z218" s="248">
        <f t="shared" si="74"/>
        <v>2.3311999999999999</v>
      </c>
      <c r="AA218" s="248">
        <f t="shared" si="75"/>
        <v>2.2787999999999999</v>
      </c>
      <c r="AB218" s="234" t="e">
        <f>VLOOKUP(A218,Enforcements!$C$7:$K$9,8,0)</f>
        <v>#N/A</v>
      </c>
      <c r="AC218" s="233" t="e">
        <f>VLOOKUP(A218,Enforcements!$C$7:$E$9,3,0)</f>
        <v>#N/A</v>
      </c>
      <c r="AD218" s="244">
        <f t="shared" si="76"/>
        <v>311</v>
      </c>
      <c r="AE218" s="236" t="str">
        <f t="shared" si="77"/>
        <v>aws s3 cp s3://rtdc.mdm.uploadarchive.raw/RTDC4026/ "%USERPROFILE%\AppData\Local\Temp\OnboardLogs"\RTDC4026\2017-11-28 --exclude "*" --recursive --include "*20171128*" &amp; "%USERPROFILE%\Documents\GitHub\mrs-test-scripts\Headless Mode &amp; Sideloading\WalkAndUnGZ.bat" "%USERPROFILE%\AppData\Local\Temp\OnboardLogs"\RTDC4026\2017-11-28 &amp; aws s3 cp s3://rtdc.mdm.uploadarchive.raw/RTDC4026/ "%USERPROFILE%\AppData\Local\Temp\OnboardLogs"\RTDC4026\2017-11-29 --exclude "*" --recursive --include "*20171129*" &amp; "%USERPROFILE%\Documents\GitHub\mrs-test-scripts\Headless Mode &amp; Sideloading\WalkAndUnGZ.bat" "%USERPROFILE%\AppData\Local\Temp\OnboardLogs"\RTDC4026\2017-11-29</v>
      </c>
      <c r="AF218" s="235" t="str">
        <f t="shared" si="78"/>
        <v>"C:\Program Files (x86)\AstroGrep\AstroGrep.exe" /e /r /s /spath="%USERPROFILE%\AppData\Local\Temp\OnboardLogs" /stypes="app*4026*20171128*" /stext=" 09:.+((SYSTEM_STATE.+slice.+state.+changed )|(ment ac)|(multiple cpu faults)|(system.+state.+changed )|(\[timeout)|(PRM\|1\|D)|(kpr)|(kdp)|(train st.+moving)|(\|lc)|(penalty))"</v>
      </c>
      <c r="AG218" s="245" t="str">
        <f t="shared" si="79"/>
        <v>Other</v>
      </c>
      <c r="AH218" s="237" t="str">
        <f t="shared" si="80"/>
        <v>"%USERPROFILE%\Documents\GitHub\eaglep3\Utilities\RefineRTDCRunTimes.py" --tripid 311-27 --locoid 4026 --swversion DE.1.0.9.0 --startMP 204:524 --initTime 2017-11-28T02:07:09 --startdatetime 2017-11-28T02:12:14 --delay 57 --endMP 300:23312 --enddatetime 2017-11-28T02:25:02 --enforcementcount 0 &gt;&gt;%USERPROFILE%\Documents\GitHub\eaglep3-reporting\EC\2017-11-27-refined-times.txt</v>
      </c>
      <c r="AI218" s="239" t="str">
        <f t="shared" si="81"/>
        <v>echo {"issue":{"subject":"","project_id":79,"tracker_id":40,"status_id":1,"priority_id":2,"assigned_to_id":338,"start_date":"2017-11-28","description":"","custom_fields":[{"id":1,"name":"Subdivision","value":"Other"},{"id":4,"name":"Milepost","value":"2.3312"},{"id":17,"name":"Train ID","value":"311-27"},{"id":16,"name":"Locomotive ID","value":"4026"},{"id":130,"name":"Impact","value":""},{"id":150,"name":"Time of Event (Mountain Time)","value":"02:25:02"},{"id":151,"name":"Denver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4"/>
      <c r="AK218" s="232"/>
      <c r="AL218" s="232"/>
      <c r="AM218" s="241" t="str">
        <f t="shared" si="82"/>
        <v>start /low /b %USERPROFILE%\Documents\GitHub\eaglep3\Utilities\DownloadLogsFromS3.py --loco 4026 --day 2017-11-28</v>
      </c>
      <c r="AN218" s="242" t="str">
        <f t="shared" si="83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09:25:02"},{"id":29,"name":"Sharepoint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1" t="str">
        <f t="shared" si="84"/>
        <v>https://d0f6bd738d7f1b3e5a7ca70fe4ff75f0.us-east-1.aws.found.io/app/kibana#/discover/Steve-Slow-Train-Analysis-(2080s-and-2083s)?_g=(refreshInterval:(display:Off,pause:!f,section:0,value:0),time:(from:'2017-11-28T01:07:09-0700',mode:absolute,to:'2017-11-28T03:25:02-0700'))&amp;_a=(columns:!('Message%20ID',Summary),filters:!(),index:'emp_*',interval:auto,query:(query_string:(analyze_wildcard:!t,query:'%22rtdc.l.rtdc.4026%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30" t="s">
        <v>630</v>
      </c>
      <c r="B219" s="226">
        <v>4053</v>
      </c>
      <c r="C219" s="228" t="s">
        <v>192</v>
      </c>
      <c r="D219" s="228" t="s">
        <v>922</v>
      </c>
      <c r="E219" s="227">
        <v>43066.227002314816</v>
      </c>
      <c r="F219" s="227">
        <v>43066.230914351851</v>
      </c>
      <c r="G219" s="226">
        <v>69</v>
      </c>
      <c r="H219" s="228" t="s">
        <v>527</v>
      </c>
      <c r="I219" s="227">
        <v>43066.235798611109</v>
      </c>
      <c r="J219" s="226">
        <v>0</v>
      </c>
      <c r="K219" s="238" t="str">
        <f t="shared" si="68"/>
        <v>4053/4054</v>
      </c>
      <c r="L219" s="246" t="str">
        <f>VLOOKUP(A219,'Trips&amp;Operators'!$C$1:$G$99911,5,FALSE)</f>
        <v>LAMAR NEKESHA</v>
      </c>
      <c r="M219" s="225">
        <f t="shared" si="69"/>
        <v>4.8842592586879618E-3</v>
      </c>
      <c r="N219" s="226">
        <f t="shared" si="85"/>
        <v>7.0333333325106651</v>
      </c>
      <c r="O219" s="226"/>
      <c r="P219" s="226"/>
      <c r="Q219" s="229"/>
      <c r="R219" s="243"/>
      <c r="S219" s="250">
        <f t="shared" si="86"/>
        <v>1</v>
      </c>
      <c r="T219" s="243" t="str">
        <f t="shared" si="70"/>
        <v>Southbound</v>
      </c>
      <c r="U219" s="24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9" t="str">
        <f t="shared" si="71"/>
        <v>https://d0f6bd738d7f1b3e5a7ca70fe4ff75f0.us-east-1.aws.found.io/app/kibana#/discover/Steve-Slow-Train-Analysis-(2080s-and-2083s)?_g=(refreshInterval:(display:Off,pause:!f,section:0,value:0),time:(from:'2017-11-27T04:26:53-0700',mode:absolute,to:'2017-11-27T06:39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9" s="248" t="str">
        <f>IF(AA219&lt;VLOOKUP(AG219,Variables!$AC$3:$AD$8,2,FALSE),"Y","N")</f>
        <v>Y</v>
      </c>
      <c r="X219" s="248">
        <f t="shared" si="72"/>
        <v>1</v>
      </c>
      <c r="Y219" s="248">
        <f t="shared" si="73"/>
        <v>2.2309999999999999</v>
      </c>
      <c r="Z219" s="248">
        <f t="shared" si="74"/>
        <v>1.9400000000000001E-2</v>
      </c>
      <c r="AA219" s="248">
        <f t="shared" si="75"/>
        <v>2.2115999999999998</v>
      </c>
      <c r="AB219" s="234" t="e">
        <f>VLOOKUP(A219,Enforcements!$C$7:$K$9,8,0)</f>
        <v>#N/A</v>
      </c>
      <c r="AC219" s="233" t="e">
        <f>VLOOKUP(A219,Enforcements!$C$7:$E$9,3,0)</f>
        <v>#N/A</v>
      </c>
      <c r="AD219" s="244">
        <f t="shared" si="76"/>
        <v>312</v>
      </c>
      <c r="AE219" s="236" t="str">
        <f t="shared" si="77"/>
        <v>aws s3 cp s3://rtdc.mdm.uploadarchive.raw/RTDC4053/ "%USERPROFILE%\AppData\Local\Temp\OnboardLogs"\RTDC4053\2017-11-27 --exclude "*" --recursive --include "*20171127*" &amp; "%USERPROFILE%\Documents\GitHub\mrs-test-scripts\Headless Mode &amp; Sideloading\WalkAndUnGZ.bat" "%USERPROFILE%\AppData\Local\Temp\OnboardLogs"\RTDC4053\2017-11-27 &amp; aws s3 cp s3://rtdc.mdm.uploadarchive.raw/RTDC4053/ "%USERPROFILE%\AppData\Local\Temp\OnboardLogs"\RTDC4053\2017-11-28 --exclude "*" --recursive --include "*20171128*" &amp; "%USERPROFILE%\Documents\GitHub\mrs-test-scripts\Headless Mode &amp; Sideloading\WalkAndUnGZ.bat" "%USERPROFILE%\AppData\Local\Temp\OnboardLogs"\RTDC4053\2017-11-28</v>
      </c>
      <c r="AF219" s="235" t="str">
        <f t="shared" si="78"/>
        <v>"C:\Program Files (x86)\AstroGrep\AstroGrep.exe" /e /r /s /spath="%USERPROFILE%\AppData\Local\Temp\OnboardLogs" /stypes="app*4053*20171127*" /stext=" 12:.+((SYSTEM_STATE.+slice.+state.+changed )|(ment ac)|(multiple cpu faults)|(system.+state.+changed )|(\[timeout)|(PRM\|1\|D)|(kpr)|(kdp)|(train st.+moving)|(\|lc)|(penalty))"</v>
      </c>
      <c r="AG219" s="245" t="str">
        <f t="shared" si="79"/>
        <v>Other</v>
      </c>
      <c r="AH219" s="237" t="str">
        <f t="shared" si="80"/>
        <v>"%USERPROFILE%\Documents\GitHub\eaglep3\Utilities\RefineRTDCRunTimes.py" --tripid 312-27 --locoid 4053 --swversion DE.1.0.9.0 --startMP 300:22310 --initTime 2017-11-27T05:26:53 --startdatetime 2017-11-27T05:32:31 --delay 69 --endMP 204:194 --enddatetime 2017-11-27T05:39:33 --enforcementcount 0 &gt;&gt;%USERPROFILE%\Documents\GitHub\eaglep3-reporting\EC\2017-11-27-refined-times.txt</v>
      </c>
      <c r="AI219" s="239" t="str">
        <f t="shared" si="81"/>
        <v>echo {"issue":{"subject":"","project_id":79,"tracker_id":40,"status_id":1,"priority_id":2,"assigned_to_id":338,"start_date":"2017-11-27","description":"","custom_fields":[{"id":1,"name":"Subdivision","value":"Other"},{"id":4,"name":"Milepost","value":"0.0194"},{"id":17,"name":"Train ID","value":"312-27"},{"id":16,"name":"Locomotive ID","value":"4053"},{"id":130,"name":"Impact","value":""},{"id":150,"name":"Time of Event (Mountain Time)","value":"05:39:33"},{"id":151,"name":"Denver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4"/>
      <c r="AK219" s="232"/>
      <c r="AL219" s="232"/>
      <c r="AM219" s="241" t="str">
        <f t="shared" si="82"/>
        <v>start /low /b %USERPROFILE%\Documents\GitHub\eaglep3\Utilities\DownloadLogsFromS3.py --loco 4053 --day 2017-11-27</v>
      </c>
      <c r="AN219" s="242" t="str">
        <f t="shared" si="83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12:39:33"},{"id":29,"name":"Sharepoint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1" t="str">
        <f t="shared" si="84"/>
        <v>https://d0f6bd738d7f1b3e5a7ca70fe4ff75f0.us-east-1.aws.found.io/app/kibana#/discover/Steve-Slow-Train-Analysis-(2080s-and-2083s)?_g=(refreshInterval:(display:Off,pause:!f,section:0,value:0),time:(from:'2017-11-27T04:26:53-0700',mode:absolute,to:'2017-11-27T06:39:33-0700'))&amp;_a=(columns:!('Message%20ID',Summary),filters:!(),index:'emp_*',interval:auto,query:(query_string:(analyze_wildcard:!t,query:'%22rtdc.l.rtdc.4053%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30" t="s">
        <v>816</v>
      </c>
      <c r="B220" s="226">
        <v>4018</v>
      </c>
      <c r="C220" s="228" t="s">
        <v>192</v>
      </c>
      <c r="D220" s="228" t="s">
        <v>907</v>
      </c>
      <c r="E220" s="227">
        <v>43067.024907407409</v>
      </c>
      <c r="F220" s="227">
        <v>43067.026307870372</v>
      </c>
      <c r="G220" s="226">
        <v>62</v>
      </c>
      <c r="H220" s="228" t="s">
        <v>572</v>
      </c>
      <c r="I220" s="227">
        <v>43067.033888888887</v>
      </c>
      <c r="J220" s="226">
        <v>0</v>
      </c>
      <c r="K220" s="238" t="str">
        <f t="shared" si="68"/>
        <v>4017/4018</v>
      </c>
      <c r="L220" s="246" t="str">
        <f>VLOOKUP(A220,'Trips&amp;Operators'!$C$1:$G$99911,5,FALSE)</f>
        <v>ELBAUM MIKE</v>
      </c>
      <c r="M220" s="225">
        <f t="shared" si="69"/>
        <v>7.5810185153386556E-3</v>
      </c>
      <c r="N220" s="226">
        <f t="shared" si="85"/>
        <v>10.916666662087664</v>
      </c>
      <c r="O220" s="226"/>
      <c r="P220" s="226"/>
      <c r="Q220" s="229"/>
      <c r="R220" s="243"/>
      <c r="S220" s="250">
        <f t="shared" si="86"/>
        <v>1</v>
      </c>
      <c r="T220" s="243" t="str">
        <f t="shared" si="70"/>
        <v>NorthBound</v>
      </c>
      <c r="U220" s="24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9" t="str">
        <f t="shared" si="71"/>
        <v>https://d0f6bd738d7f1b3e5a7ca70fe4ff75f0.us-east-1.aws.found.io/app/kibana#/discover/Steve-Slow-Train-Analysis-(2080s-and-2083s)?_g=(refreshInterval:(display:Off,pause:!f,section:0,value:0),time:(from:'2017-11-27T23:35:52-0700',mode:absolute,to:'2017-11-28T01:48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0" s="248" t="str">
        <f>IF(AA220&lt;VLOOKUP(AG220,Variables!$AC$3:$AD$8,2,FALSE),"Y","N")</f>
        <v>Y</v>
      </c>
      <c r="X220" s="248">
        <f t="shared" si="72"/>
        <v>1</v>
      </c>
      <c r="Y220" s="248">
        <f t="shared" si="73"/>
        <v>5.79E-2</v>
      </c>
      <c r="Z220" s="248">
        <f t="shared" si="74"/>
        <v>2.3300999999999998</v>
      </c>
      <c r="AA220" s="248">
        <f t="shared" si="75"/>
        <v>2.2721999999999998</v>
      </c>
      <c r="AB220" s="234" t="e">
        <f>VLOOKUP(A220,Enforcements!$C$7:$K$9,8,0)</f>
        <v>#N/A</v>
      </c>
      <c r="AC220" s="233" t="e">
        <f>VLOOKUP(A220,Enforcements!$C$7:$E$9,3,0)</f>
        <v>#N/A</v>
      </c>
      <c r="AD220" s="244">
        <f t="shared" si="76"/>
        <v>313</v>
      </c>
      <c r="AE220" s="236" t="str">
        <f t="shared" si="77"/>
        <v>aws s3 cp s3://rtdc.mdm.uploadarchive.raw/RTDC4018/ "%USERPROFILE%\AppData\Local\Temp\OnboardLogs"\RTDC4018\2017-11-28 --exclude "*" --recursive --include "*20171128*" &amp; "%USERPROFILE%\Documents\GitHub\mrs-test-scripts\Headless Mode &amp; Sideloading\WalkAndUnGZ.bat" "%USERPROFILE%\AppData\Local\Temp\OnboardLogs"\RTDC4018\2017-11-28 &amp; aws s3 cp s3://rtdc.mdm.uploadarchive.raw/RTDC4018/ "%USERPROFILE%\AppData\Local\Temp\OnboardLogs"\RTDC4018\2017-11-29 --exclude "*" --recursive --include "*20171129*" &amp; "%USERPROFILE%\Documents\GitHub\mrs-test-scripts\Headless Mode &amp; Sideloading\WalkAndUnGZ.bat" "%USERPROFILE%\AppData\Local\Temp\OnboardLogs"\RTDC4018\2017-11-29</v>
      </c>
      <c r="AF220" s="235" t="str">
        <f t="shared" si="78"/>
        <v>"C:\Program Files (x86)\AstroGrep\AstroGrep.exe" /e /r /s /spath="%USERPROFILE%\AppData\Local\Temp\OnboardLogs" /stypes="app*4018*20171128*" /stext=" 07:.+((SYSTEM_STATE.+slice.+state.+changed )|(ment ac)|(multiple cpu faults)|(system.+state.+changed )|(\[timeout)|(PRM\|1\|D)|(kpr)|(kdp)|(train st.+moving)|(\|lc)|(penalty))"</v>
      </c>
      <c r="AG220" s="245" t="str">
        <f t="shared" si="79"/>
        <v>Other</v>
      </c>
      <c r="AH220" s="237" t="str">
        <f t="shared" si="80"/>
        <v>"%USERPROFILE%\Documents\GitHub\eaglep3\Utilities\RefineRTDCRunTimes.py" --tripid 313-27 --locoid 4018 --swversion DE.1.0.9.0 --startMP 204:579 --initTime 2017-11-28T00:35:52 --startdatetime 2017-11-28T00:37:53 --delay 62 --endMP 300:23301 --enddatetime 2017-11-28T00:48:48 --enforcementcount 0 &gt;&gt;%USERPROFILE%\Documents\GitHub\eaglep3-reporting\EC\2017-11-27-refined-times.txt</v>
      </c>
      <c r="AI220" s="239" t="str">
        <f t="shared" si="81"/>
        <v>echo {"issue":{"subject":"","project_id":79,"tracker_id":40,"status_id":1,"priority_id":2,"assigned_to_id":338,"start_date":"2017-11-28","description":"","custom_fields":[{"id":1,"name":"Subdivision","value":"Other"},{"id":4,"name":"Milepost","value":"2.3301"},{"id":17,"name":"Train ID","value":"313-27"},{"id":16,"name":"Locomotive ID","value":"4018"},{"id":130,"name":"Impact","value":""},{"id":150,"name":"Time of Event (Mountain Time)","value":"00:48:48"},{"id":151,"name":"Denver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4"/>
      <c r="AK220" s="232"/>
      <c r="AL220" s="232"/>
      <c r="AM220" s="241" t="str">
        <f t="shared" si="82"/>
        <v>start /low /b %USERPROFILE%\Documents\GitHub\eaglep3\Utilities\DownloadLogsFromS3.py --loco 4018 --day 2017-11-28</v>
      </c>
      <c r="AN220" s="242" t="str">
        <f t="shared" si="83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07:48:48"},{"id":29,"name":"Sharepoint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1" t="str">
        <f t="shared" si="84"/>
        <v>https://d0f6bd738d7f1b3e5a7ca70fe4ff75f0.us-east-1.aws.found.io/app/kibana#/discover/Steve-Slow-Train-Analysis-(2080s-and-2083s)?_g=(refreshInterval:(display:Off,pause:!f,section:0,value:0),time:(from:'2017-11-27T23:35:52-0700',mode:absolute,to:'2017-11-28T01:48:48-0700'))&amp;_a=(columns:!('Message%20ID',Summary),filters:!(),index:'emp_*',interval:auto,query:(query_string:(analyze_wildcard:!t,query:'%22rtdc.l.rtdc.4018%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30" t="s">
        <v>619</v>
      </c>
      <c r="B221" s="226">
        <v>4020</v>
      </c>
      <c r="C221" s="228" t="s">
        <v>192</v>
      </c>
      <c r="D221" s="228" t="s">
        <v>997</v>
      </c>
      <c r="E221" s="227">
        <v>43066.195787037039</v>
      </c>
      <c r="F221" s="227">
        <v>43066.199606481481</v>
      </c>
      <c r="G221" s="226">
        <v>93</v>
      </c>
      <c r="H221" s="228" t="s">
        <v>998</v>
      </c>
      <c r="I221" s="227">
        <v>43066.204722222225</v>
      </c>
      <c r="J221" s="226">
        <v>0</v>
      </c>
      <c r="K221" s="238" t="str">
        <f t="shared" si="68"/>
        <v>4019/4020</v>
      </c>
      <c r="L221" s="246" t="str">
        <f>VLOOKUP(A221,'Trips&amp;Operators'!$C$1:$G$99911,5,FALSE)</f>
        <v>MACDONALD THOMAS</v>
      </c>
      <c r="M221" s="225">
        <f t="shared" si="69"/>
        <v>5.1157407433493063E-3</v>
      </c>
      <c r="N221" s="226">
        <f t="shared" si="85"/>
        <v>7.3666666704230011</v>
      </c>
      <c r="O221" s="226"/>
      <c r="P221" s="226"/>
      <c r="Q221" s="229"/>
      <c r="R221" s="243"/>
      <c r="S221" s="250">
        <f t="shared" si="86"/>
        <v>0</v>
      </c>
      <c r="T221" s="243" t="str">
        <f t="shared" si="70"/>
        <v>NorthBound</v>
      </c>
      <c r="U221" s="24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49" t="str">
        <f t="shared" si="71"/>
        <v>https://d0f6bd738d7f1b3e5a7ca70fe4ff75f0.us-east-1.aws.found.io/app/kibana#/discover/Steve-Slow-Train-Analysis-(2080s-and-2083s)?_g=(refreshInterval:(display:Off,pause:!f,section:0,value:0),time:(from:'2017-11-27T03:41:56-0700',mode:absolute,to:'2017-11-27T05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1" s="248" t="str">
        <f>IF(AA221&lt;VLOOKUP(AG221,Variables!$AC$3:$AD$8,2,FALSE),"Y","N")</f>
        <v>Y</v>
      </c>
      <c r="X221" s="248">
        <f t="shared" si="72"/>
        <v>588</v>
      </c>
      <c r="Y221" s="248">
        <f t="shared" si="73"/>
        <v>3.0417000000000001</v>
      </c>
      <c r="Z221" s="248">
        <f t="shared" si="74"/>
        <v>5.8914</v>
      </c>
      <c r="AA221" s="248">
        <f t="shared" si="75"/>
        <v>2.8496999999999999</v>
      </c>
      <c r="AB221" s="234" t="e">
        <f>VLOOKUP(A221,Enforcements!$C$7:$K$9,8,0)</f>
        <v>#N/A</v>
      </c>
      <c r="AC221" s="233" t="e">
        <f>VLOOKUP(A221,Enforcements!$C$7:$E$9,3,0)</f>
        <v>#N/A</v>
      </c>
      <c r="AD221" s="244">
        <f t="shared" si="76"/>
        <v>901</v>
      </c>
      <c r="AE221" s="236" t="str">
        <f t="shared" si="77"/>
        <v>aws s3 cp s3://rtdc.mdm.uploadarchive.raw/RTDC4020/ "%USERPROFILE%\AppData\Local\Temp\OnboardLogs"\RTDC4020\2017-11-27 --exclude "*" --recursive --include "*20171127*" &amp; "%USERPROFILE%\Documents\GitHub\mrs-test-scripts\Headless Mode &amp; Sideloading\WalkAndUnGZ.bat" "%USERPROFILE%\AppData\Local\Temp\OnboardLogs"\RTDC4020\2017-11-27 &amp; aws s3 cp s3://rtdc.mdm.uploadarchive.raw/RTDC4020/ "%USERPROFILE%\AppData\Local\Temp\OnboardLogs"\RTDC4020\2017-11-28 --exclude "*" --recursive --include "*20171128*" &amp; "%USERPROFILE%\Documents\GitHub\mrs-test-scripts\Headless Mode &amp; Sideloading\WalkAndUnGZ.bat" "%USERPROFILE%\AppData\Local\Temp\OnboardLogs"\RTDC4020\2017-11-28</v>
      </c>
      <c r="AF221" s="235" t="str">
        <f t="shared" si="78"/>
        <v>"C:\Program Files (x86)\AstroGrep\AstroGrep.exe" /e /r /s /spath="%USERPROFILE%\AppData\Local\Temp\OnboardLogs" /stypes="app*4020*20171127*" /stext=" 11:.+((SYSTEM_STATE.+slice.+state.+changed )|(ment ac)|(multiple cpu faults)|(system.+state.+changed )|(\[timeout)|(PRM\|1\|D)|(kpr)|(kdp)|(train st.+moving)|(\|lc)|(penalty))"</v>
      </c>
      <c r="AG221" s="245" t="str">
        <f t="shared" si="79"/>
        <v>Other</v>
      </c>
      <c r="AH221" s="237" t="str">
        <f t="shared" si="80"/>
        <v>"%USERPROFILE%\Documents\GitHub\eaglep3\Utilities\RefineRTDCRunTimes.py" --tripid 901-27 --locoid 4020 --swversion DE.1.0.9.0 --startMP 300:30417 --initTime 2017-11-27T04:41:56 --startdatetime 2017-11-27T04:47:26 --delay 93 --endMP 300:58914 --enddatetime 2017-11-27T04:54:48 --enforcementcount 0 &gt;&gt;%USERPROFILE%\Documents\GitHub\eaglep3-reporting\EC\2017-11-27-refined-times.txt</v>
      </c>
      <c r="AI221" s="239" t="str">
        <f t="shared" si="81"/>
        <v>echo {"issue":{"subject":"","project_id":79,"tracker_id":40,"status_id":1,"priority_id":2,"assigned_to_id":338,"start_date":"2017-11-27","description":"","custom_fields":[{"id":1,"name":"Subdivision","value":"Other"},{"id":4,"name":"Milepost","value":"5.8914"},{"id":17,"name":"Train ID","value":"901-27"},{"id":16,"name":"Locomotive ID","value":"4020"},{"id":130,"name":"Impact","value":""},{"id":150,"name":"Time of Event (Mountain Time)","value":"04:54:48"},{"id":151,"name":"Denver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4"/>
      <c r="AK221" s="232"/>
      <c r="AL221" s="232"/>
      <c r="AM221" s="241" t="str">
        <f t="shared" si="82"/>
        <v>start /low /b %USERPROFILE%\Documents\GitHub\eaglep3\Utilities\DownloadLogsFromS3.py --loco 4020 --day 2017-11-27</v>
      </c>
      <c r="AN221" s="242" t="str">
        <f t="shared" si="83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11:54:48"},{"id":29,"name":"Sharepoint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1" t="str">
        <f t="shared" si="84"/>
        <v>https://d0f6bd738d7f1b3e5a7ca70fe4ff75f0.us-east-1.aws.found.io/app/kibana#/discover/Steve-Slow-Train-Analysis-(2080s-and-2083s)?_g=(refreshInterval:(display:Off,pause:!f,section:0,value:0),time:(from:'2017-11-27T03:41:56-0700',mode:absolute,to:'2017-11-27T05:54:48-0700'))&amp;_a=(columns:!('Message%20ID',Summary),filters:!(),index:'emp_*',interval:auto,query:(query_string:(analyze_wildcard:!t,query:'%22rtdc.l.rtdc.4020%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30" t="s">
        <v>632</v>
      </c>
      <c r="B222" s="226">
        <v>4055</v>
      </c>
      <c r="C222" s="228" t="s">
        <v>192</v>
      </c>
      <c r="D222" s="228" t="s">
        <v>999</v>
      </c>
      <c r="E222" s="227">
        <v>43066.231030092589</v>
      </c>
      <c r="F222" s="227">
        <v>43066.233344907407</v>
      </c>
      <c r="G222" s="226">
        <v>96</v>
      </c>
      <c r="H222" s="228" t="s">
        <v>1000</v>
      </c>
      <c r="I222" s="227">
        <v>43066.239282407405</v>
      </c>
      <c r="J222" s="226">
        <v>0</v>
      </c>
      <c r="K222" s="238" t="str">
        <f t="shared" si="68"/>
        <v>4055/4056</v>
      </c>
      <c r="L222" s="246" t="str">
        <f>VLOOKUP(A222,'Trips&amp;Operators'!$C$1:$G$99911,5,FALSE)</f>
        <v>LONG FULLER</v>
      </c>
      <c r="M222" s="225">
        <f t="shared" si="69"/>
        <v>5.9374999982537702E-3</v>
      </c>
      <c r="N222" s="226">
        <f t="shared" si="85"/>
        <v>8.549999997485429</v>
      </c>
      <c r="O222" s="226"/>
      <c r="P222" s="226"/>
      <c r="Q222" s="229"/>
      <c r="R222" s="243"/>
      <c r="S222" s="250">
        <f t="shared" si="86"/>
        <v>1</v>
      </c>
      <c r="T222" s="243" t="str">
        <f t="shared" si="70"/>
        <v>Southbound</v>
      </c>
      <c r="U222" s="24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9" t="str">
        <f t="shared" si="71"/>
        <v>https://d0f6bd738d7f1b3e5a7ca70fe4ff75f0.us-east-1.aws.found.io/app/kibana#/discover/Steve-Slow-Train-Analysis-(2080s-and-2083s)?_g=(refreshInterval:(display:Off,pause:!f,section:0,value:0),time:(from:'2017-11-27T04:32:41-0700',mode:absolute,to:'2017-11-27T06:44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2" s="248" t="str">
        <f>IF(AA222&lt;VLOOKUP(AG222,Variables!$AC$3:$AD$8,2,FALSE),"Y","N")</f>
        <v>Y</v>
      </c>
      <c r="X222" s="248">
        <f t="shared" si="72"/>
        <v>1</v>
      </c>
      <c r="Y222" s="248">
        <f t="shared" si="73"/>
        <v>2.3578000000000001</v>
      </c>
      <c r="Z222" s="248">
        <f t="shared" si="74"/>
        <v>8.2400000000000001E-2</v>
      </c>
      <c r="AA222" s="248">
        <f t="shared" si="75"/>
        <v>2.2754000000000003</v>
      </c>
      <c r="AB222" s="234" t="e">
        <f>VLOOKUP(A222,Enforcements!$C$7:$K$9,8,0)</f>
        <v>#N/A</v>
      </c>
      <c r="AC222" s="233" t="e">
        <f>VLOOKUP(A222,Enforcements!$C$7:$E$9,3,0)</f>
        <v>#N/A</v>
      </c>
      <c r="AD222" s="244">
        <f t="shared" si="76"/>
        <v>902</v>
      </c>
      <c r="AE222" s="236" t="str">
        <f t="shared" si="77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222" s="235" t="str">
        <f t="shared" si="78"/>
        <v>"C:\Program Files (x86)\AstroGrep\AstroGrep.exe" /e /r /s /spath="%USERPROFILE%\AppData\Local\Temp\OnboardLogs" /stypes="app*4055*20171127*" /stext=" 12:.+((SYSTEM_STATE.+slice.+state.+changed )|(ment ac)|(multiple cpu faults)|(system.+state.+changed )|(\[timeout)|(PRM\|1\|D)|(kpr)|(kdp)|(train st.+moving)|(\|lc)|(penalty))"</v>
      </c>
      <c r="AG222" s="245" t="str">
        <f t="shared" si="79"/>
        <v>Other</v>
      </c>
      <c r="AH222" s="237" t="str">
        <f t="shared" si="80"/>
        <v>"%USERPROFILE%\Documents\GitHub\eaglep3\Utilities\RefineRTDCRunTimes.py" --tripid 902-27 --locoid 4055 --swversion DE.1.0.9.0 --startMP 300:23578 --initTime 2017-11-27T05:32:41 --startdatetime 2017-11-27T05:36:01 --delay 96 --endMP 204:824 --enddatetime 2017-11-27T05:44:34 --enforcementcount 0 &gt;&gt;%USERPROFILE%\Documents\GitHub\eaglep3-reporting\EC\2017-11-27-refined-times.txt</v>
      </c>
      <c r="AI222" s="239" t="str">
        <f t="shared" si="81"/>
        <v>echo {"issue":{"subject":"","project_id":79,"tracker_id":40,"status_id":1,"priority_id":2,"assigned_to_id":338,"start_date":"2017-11-27","description":"","custom_fields":[{"id":1,"name":"Subdivision","value":"Other"},{"id":4,"name":"Milepost","value":"0.0824"},{"id":17,"name":"Train ID","value":"902-27"},{"id":16,"name":"Locomotive ID","value":"4055"},{"id":130,"name":"Impact","value":""},{"id":150,"name":"Time of Event (Mountain Time)","value":"05:44:34"},{"id":151,"name":"Denver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4"/>
      <c r="AK222" s="232"/>
      <c r="AL222" s="232"/>
      <c r="AM222" s="241" t="str">
        <f t="shared" si="82"/>
        <v>start /low /b %USERPROFILE%\Documents\GitHub\eaglep3\Utilities\DownloadLogsFromS3.py --loco 4055 --day 2017-11-27</v>
      </c>
      <c r="AN222" s="242" t="str">
        <f t="shared" si="83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12:44:34"},{"id":29,"name":"Sharepoint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1" t="str">
        <f t="shared" si="84"/>
        <v>https://d0f6bd738d7f1b3e5a7ca70fe4ff75f0.us-east-1.aws.found.io/app/kibana#/discover/Steve-Slow-Train-Analysis-(2080s-and-2083s)?_g=(refreshInterval:(display:Off,pause:!f,section:0,value:0),time:(from:'2017-11-27T04:32:41-0700',mode:absolute,to:'2017-11-27T06:44:34-0700'))&amp;_a=(columns:!('Message%20ID',Summary),filters:!(),index:'emp_*',interval:auto,query:(query_string:(analyze_wildcard:!t,query:'%22rtdc.l.rtdc.4055%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230" t="s">
        <v>667</v>
      </c>
      <c r="B223" s="226">
        <v>4020</v>
      </c>
      <c r="C223" s="228" t="s">
        <v>192</v>
      </c>
      <c r="D223" s="228" t="s">
        <v>1001</v>
      </c>
      <c r="E223" s="227">
        <v>43066.353460648148</v>
      </c>
      <c r="F223" s="227">
        <v>43066.354456018518</v>
      </c>
      <c r="G223" s="226">
        <v>52</v>
      </c>
      <c r="H223" s="228" t="s">
        <v>1002</v>
      </c>
      <c r="I223" s="227">
        <v>43066.359594907408</v>
      </c>
      <c r="J223" s="226">
        <v>0</v>
      </c>
      <c r="K223" s="238" t="str">
        <f t="shared" si="68"/>
        <v>4019/4020</v>
      </c>
      <c r="L223" s="246" t="str">
        <f>VLOOKUP(A223,'Trips&amp;Operators'!$C$1:$G$99911,5,FALSE)</f>
        <v>MACDONALD THOMAS</v>
      </c>
      <c r="M223" s="225">
        <f t="shared" si="69"/>
        <v>5.1388888896326534E-3</v>
      </c>
      <c r="N223" s="226">
        <f t="shared" si="85"/>
        <v>7.400000001071021</v>
      </c>
      <c r="O223" s="226"/>
      <c r="P223" s="226"/>
      <c r="Q223" s="229"/>
      <c r="R223" s="243"/>
      <c r="S223" s="250">
        <f t="shared" si="86"/>
        <v>1</v>
      </c>
      <c r="T223" s="243" t="str">
        <f t="shared" si="70"/>
        <v>NorthBound</v>
      </c>
      <c r="U223" s="24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9" t="str">
        <f t="shared" si="71"/>
        <v>https://d0f6bd738d7f1b3e5a7ca70fe4ff75f0.us-east-1.aws.found.io/app/kibana#/discover/Steve-Slow-Train-Analysis-(2080s-and-2083s)?_g=(refreshInterval:(display:Off,pause:!f,section:0,value:0),time:(from:'2017-11-27T07:28:59-0700',mode:absolute,to:'2017-11-27T09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3" s="248" t="str">
        <f>IF(AA223&lt;VLOOKUP(AG223,Variables!$AC$3:$AD$8,2,FALSE),"Y","N")</f>
        <v>Y</v>
      </c>
      <c r="X223" s="248">
        <f t="shared" si="72"/>
        <v>1</v>
      </c>
      <c r="Y223" s="248">
        <f t="shared" si="73"/>
        <v>0.1221</v>
      </c>
      <c r="Z223" s="248">
        <f t="shared" si="74"/>
        <v>2.4230999999999998</v>
      </c>
      <c r="AA223" s="248">
        <f t="shared" si="75"/>
        <v>2.3009999999999997</v>
      </c>
      <c r="AB223" s="234" t="e">
        <f>VLOOKUP(A223,Enforcements!$C$7:$K$9,8,0)</f>
        <v>#N/A</v>
      </c>
      <c r="AC223" s="233" t="e">
        <f>VLOOKUP(A223,Enforcements!$C$7:$E$9,3,0)</f>
        <v>#N/A</v>
      </c>
      <c r="AD223" s="244">
        <f t="shared" si="76"/>
        <v>903</v>
      </c>
      <c r="AE223" s="236" t="str">
        <f t="shared" si="77"/>
        <v>aws s3 cp s3://rtdc.mdm.uploadarchive.raw/RTDC4020/ "%USERPROFILE%\AppData\Local\Temp\OnboardLogs"\RTDC4020\2017-11-27 --exclude "*" --recursive --include "*20171127*" &amp; "%USERPROFILE%\Documents\GitHub\mrs-test-scripts\Headless Mode &amp; Sideloading\WalkAndUnGZ.bat" "%USERPROFILE%\AppData\Local\Temp\OnboardLogs"\RTDC4020\2017-11-27 &amp; aws s3 cp s3://rtdc.mdm.uploadarchive.raw/RTDC4020/ "%USERPROFILE%\AppData\Local\Temp\OnboardLogs"\RTDC4020\2017-11-28 --exclude "*" --recursive --include "*20171128*" &amp; "%USERPROFILE%\Documents\GitHub\mrs-test-scripts\Headless Mode &amp; Sideloading\WalkAndUnGZ.bat" "%USERPROFILE%\AppData\Local\Temp\OnboardLogs"\RTDC4020\2017-11-28</v>
      </c>
      <c r="AF223" s="235" t="str">
        <f t="shared" si="78"/>
        <v>"C:\Program Files (x86)\AstroGrep\AstroGrep.exe" /e /r /s /spath="%USERPROFILE%\AppData\Local\Temp\OnboardLogs" /stypes="app*4020*20171127*" /stext=" 15:.+((SYSTEM_STATE.+slice.+state.+changed )|(ment ac)|(multiple cpu faults)|(system.+state.+changed )|(\[timeout)|(PRM\|1\|D)|(kpr)|(kdp)|(train st.+moving)|(\|lc)|(penalty))"</v>
      </c>
      <c r="AG223" s="245" t="str">
        <f t="shared" si="79"/>
        <v>Other</v>
      </c>
      <c r="AH223" s="237" t="str">
        <f t="shared" si="80"/>
        <v>"%USERPROFILE%\Documents\GitHub\eaglep3\Utilities\RefineRTDCRunTimes.py" --tripid 903-27 --locoid 4020 --swversion DE.1.0.9.0 --startMP 204:1221 --initTime 2017-11-27T08:28:59 --startdatetime 2017-11-27T08:30:25 --delay 52 --endMP 300:24231 --enddatetime 2017-11-27T08:37:49 --enforcementcount 0 &gt;&gt;%USERPROFILE%\Documents\GitHub\eaglep3-reporting\EC\2017-11-27-refined-times.txt</v>
      </c>
      <c r="AI223" s="239" t="str">
        <f t="shared" si="81"/>
        <v>echo {"issue":{"subject":"","project_id":79,"tracker_id":40,"status_id":1,"priority_id":2,"assigned_to_id":338,"start_date":"2017-11-27","description":"","custom_fields":[{"id":1,"name":"Subdivision","value":"Other"},{"id":4,"name":"Milepost","value":"2.4231"},{"id":17,"name":"Train ID","value":"903-27"},{"id":16,"name":"Locomotive ID","value":"4020"},{"id":130,"name":"Impact","value":""},{"id":150,"name":"Time of Event (Mountain Time)","value":"08:37:49"},{"id":151,"name":"Denver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4"/>
      <c r="AK223" s="232"/>
      <c r="AL223" s="232"/>
      <c r="AM223" s="241" t="str">
        <f t="shared" si="82"/>
        <v>start /low /b %USERPROFILE%\Documents\GitHub\eaglep3\Utilities\DownloadLogsFromS3.py --loco 4020 --day 2017-11-27</v>
      </c>
      <c r="AN223" s="242" t="str">
        <f t="shared" si="83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15:37:49"},{"id":29,"name":"Sharepoint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1" t="str">
        <f t="shared" si="84"/>
        <v>https://d0f6bd738d7f1b3e5a7ca70fe4ff75f0.us-east-1.aws.found.io/app/kibana#/discover/Steve-Slow-Train-Analysis-(2080s-and-2083s)?_g=(refreshInterval:(display:Off,pause:!f,section:0,value:0),time:(from:'2017-11-27T07:28:59-0700',mode:absolute,to:'2017-11-27T09:37:49-0700'))&amp;_a=(columns:!('Message%20ID',Summary),filters:!(),index:'emp_*',interval:auto,query:(query_string:(analyze_wildcard:!t,query:'%22rtdc.l.rtdc.4020%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30" t="s">
        <v>737</v>
      </c>
      <c r="B224" s="226">
        <v>4019</v>
      </c>
      <c r="C224" s="228" t="s">
        <v>192</v>
      </c>
      <c r="D224" s="228" t="s">
        <v>1003</v>
      </c>
      <c r="E224" s="227">
        <v>43066.638923611114</v>
      </c>
      <c r="F224" s="227">
        <v>43066.641412037039</v>
      </c>
      <c r="G224" s="226">
        <v>61</v>
      </c>
      <c r="H224" s="228" t="s">
        <v>1004</v>
      </c>
      <c r="I224" s="227">
        <v>43066.646099537036</v>
      </c>
      <c r="J224" s="226">
        <v>0</v>
      </c>
      <c r="K224" s="238" t="str">
        <f t="shared" si="68"/>
        <v>4019/4020</v>
      </c>
      <c r="L224" s="246" t="str">
        <f>VLOOKUP(A224,'Trips&amp;Operators'!$C$1:$G$99911,5,FALSE)</f>
        <v>STAMBAUGH JAMES</v>
      </c>
      <c r="M224" s="225">
        <f t="shared" si="69"/>
        <v>4.687499997089617E-3</v>
      </c>
      <c r="N224" s="226">
        <f t="shared" si="85"/>
        <v>6.7499999958090484</v>
      </c>
      <c r="O224" s="226"/>
      <c r="P224" s="226"/>
      <c r="Q224" s="229"/>
      <c r="R224" s="243"/>
      <c r="S224" s="250">
        <f t="shared" si="86"/>
        <v>1</v>
      </c>
      <c r="T224" s="243" t="str">
        <f t="shared" si="70"/>
        <v>Southbound</v>
      </c>
      <c r="U224" s="24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9" t="str">
        <f t="shared" si="71"/>
        <v>https://d0f6bd738d7f1b3e5a7ca70fe4ff75f0.us-east-1.aws.found.io/app/kibana#/discover/Steve-Slow-Train-Analysis-(2080s-and-2083s)?_g=(refreshInterval:(display:Off,pause:!f,section:0,value:0),time:(from:'2017-11-27T14:20:03-0700',mode:absolute,to:'2017-11-27T16:30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4" s="248" t="str">
        <f>IF(AA224&lt;VLOOKUP(AG224,Variables!$AC$3:$AD$8,2,FALSE),"Y","N")</f>
        <v>Y</v>
      </c>
      <c r="X224" s="248">
        <f t="shared" si="72"/>
        <v>1</v>
      </c>
      <c r="Y224" s="248">
        <f t="shared" si="73"/>
        <v>2.3281000000000001</v>
      </c>
      <c r="Z224" s="248">
        <f t="shared" si="74"/>
        <v>1.6400000000000001E-2</v>
      </c>
      <c r="AA224" s="248">
        <f t="shared" si="75"/>
        <v>2.3117000000000001</v>
      </c>
      <c r="AB224" s="234" t="e">
        <f>VLOOKUP(A224,Enforcements!$C$7:$K$9,8,0)</f>
        <v>#N/A</v>
      </c>
      <c r="AC224" s="233" t="e">
        <f>VLOOKUP(A224,Enforcements!$C$7:$E$9,3,0)</f>
        <v>#N/A</v>
      </c>
      <c r="AD224" s="244">
        <f t="shared" si="76"/>
        <v>904</v>
      </c>
      <c r="AE224" s="236" t="str">
        <f t="shared" si="77"/>
        <v>aws s3 cp s3://rtdc.mdm.uploadarchive.raw/RTDC4019/ "%USERPROFILE%\AppData\Local\Temp\OnboardLogs"\RTDC4019\2017-11-27 --exclude "*" --recursive --include "*20171127*" &amp; "%USERPROFILE%\Documents\GitHub\mrs-test-scripts\Headless Mode &amp; Sideloading\WalkAndUnGZ.bat" "%USERPROFILE%\AppData\Local\Temp\OnboardLogs"\RTDC4019\2017-11-27 &amp; aws s3 cp s3://rtdc.mdm.uploadarchive.raw/RTDC4019/ "%USERPROFILE%\AppData\Local\Temp\OnboardLogs"\RTDC4019\2017-11-28 --exclude "*" --recursive --include "*20171128*" &amp; "%USERPROFILE%\Documents\GitHub\mrs-test-scripts\Headless Mode &amp; Sideloading\WalkAndUnGZ.bat" "%USERPROFILE%\AppData\Local\Temp\OnboardLogs"\RTDC4019\2017-11-28</v>
      </c>
      <c r="AF224" s="235" t="str">
        <f t="shared" si="78"/>
        <v>"C:\Program Files (x86)\AstroGrep\AstroGrep.exe" /e /r /s /spath="%USERPROFILE%\AppData\Local\Temp\OnboardLogs" /stypes="app*4019*20171127*" /stext=" 22:.+((SYSTEM_STATE.+slice.+state.+changed )|(ment ac)|(multiple cpu faults)|(system.+state.+changed )|(\[timeout)|(PRM\|1\|D)|(kpr)|(kdp)|(train st.+moving)|(\|lc)|(penalty))"</v>
      </c>
      <c r="AG224" s="245" t="str">
        <f t="shared" si="79"/>
        <v>Other</v>
      </c>
      <c r="AH224" s="237" t="str">
        <f t="shared" si="80"/>
        <v>"%USERPROFILE%\Documents\GitHub\eaglep3\Utilities\RefineRTDCRunTimes.py" --tripid 904-27 --locoid 4019 --swversion DE.1.0.9.0 --startMP 300:23281 --initTime 2017-11-27T15:20:03 --startdatetime 2017-11-27T15:23:38 --delay 61 --endMP 204:164 --enddatetime 2017-11-27T15:30:23 --enforcementcount 0 &gt;&gt;%USERPROFILE%\Documents\GitHub\eaglep3-reporting\EC\2017-11-27-refined-times.txt</v>
      </c>
      <c r="AI224" s="239" t="str">
        <f t="shared" si="81"/>
        <v>echo {"issue":{"subject":"","project_id":79,"tracker_id":40,"status_id":1,"priority_id":2,"assigned_to_id":338,"start_date":"2017-11-27","description":"","custom_fields":[{"id":1,"name":"Subdivision","value":"Other"},{"id":4,"name":"Milepost","value":"0.0164"},{"id":17,"name":"Train ID","value":"904-27"},{"id":16,"name":"Locomotive ID","value":"4019"},{"id":130,"name":"Impact","value":""},{"id":150,"name":"Time of Event (Mountain Time)","value":"15:30:23"},{"id":151,"name":"Denver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4"/>
      <c r="AK224" s="232"/>
      <c r="AL224" s="232"/>
      <c r="AM224" s="241" t="str">
        <f t="shared" si="82"/>
        <v>start /low /b %USERPROFILE%\Documents\GitHub\eaglep3\Utilities\DownloadLogsFromS3.py --loco 4019 --day 2017-11-27</v>
      </c>
      <c r="AN224" s="242" t="str">
        <f t="shared" si="83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22:30:23"},{"id":29,"name":"Sharepoint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1" t="str">
        <f t="shared" si="84"/>
        <v>https://d0f6bd738d7f1b3e5a7ca70fe4ff75f0.us-east-1.aws.found.io/app/kibana#/discover/Steve-Slow-Train-Analysis-(2080s-and-2083s)?_g=(refreshInterval:(display:Off,pause:!f,section:0,value:0),time:(from:'2017-11-27T14:20:03-0700',mode:absolute,to:'2017-11-27T16:30:23-0700'))&amp;_a=(columns:!('Message%20ID',Summary),filters:!(),index:'emp_*',interval:auto,query:(query_string:(analyze_wildcard:!t,query:'%22rtdc.l.rtdc.4019%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30" t="s">
        <v>785</v>
      </c>
      <c r="B225" s="226">
        <v>4019</v>
      </c>
      <c r="C225" s="228" t="s">
        <v>192</v>
      </c>
      <c r="D225" s="228" t="s">
        <v>447</v>
      </c>
      <c r="E225" s="227">
        <v>43066.788043981483</v>
      </c>
      <c r="F225" s="227">
        <v>43066.7890625</v>
      </c>
      <c r="G225" s="226">
        <v>47</v>
      </c>
      <c r="H225" s="228" t="s">
        <v>1005</v>
      </c>
      <c r="I225" s="227">
        <v>43066.795162037037</v>
      </c>
      <c r="J225" s="226">
        <v>0</v>
      </c>
      <c r="K225" s="238" t="str">
        <f t="shared" si="68"/>
        <v>4019/4020</v>
      </c>
      <c r="L225" s="246" t="str">
        <f>VLOOKUP(A225,'Trips&amp;Operators'!$C$1:$G$99911,5,FALSE)</f>
        <v>STAMBAUGH JAMES</v>
      </c>
      <c r="M225" s="225">
        <f t="shared" si="69"/>
        <v>6.0995370367891155E-3</v>
      </c>
      <c r="N225" s="226">
        <f t="shared" si="85"/>
        <v>8.7833333329763263</v>
      </c>
      <c r="O225" s="226"/>
      <c r="P225" s="226"/>
      <c r="Q225" s="229"/>
      <c r="R225" s="243"/>
      <c r="S225" s="250">
        <f t="shared" si="86"/>
        <v>0</v>
      </c>
      <c r="T225" s="243" t="str">
        <f t="shared" si="70"/>
        <v>Southbound</v>
      </c>
      <c r="U225" s="24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9" t="str">
        <f t="shared" si="71"/>
        <v>https://d0f6bd738d7f1b3e5a7ca70fe4ff75f0.us-east-1.aws.found.io/app/kibana#/discover/Steve-Slow-Train-Analysis-(2080s-and-2083s)?_g=(refreshInterval:(display:Off,pause:!f,section:0,value:0),time:(from:'2017-11-27T17:54:47-0700',mode:absolute,to:'2017-11-27T20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5" s="248" t="str">
        <f>IF(AA225&lt;VLOOKUP(AG225,Variables!$AC$3:$AD$8,2,FALSE),"Y","N")</f>
        <v>Y</v>
      </c>
      <c r="X225" s="248">
        <f t="shared" si="72"/>
        <v>2</v>
      </c>
      <c r="Y225" s="248">
        <f t="shared" si="73"/>
        <v>5.8604000000000003</v>
      </c>
      <c r="Z225" s="248">
        <f t="shared" si="74"/>
        <v>2.8791000000000002</v>
      </c>
      <c r="AA225" s="248">
        <f t="shared" si="75"/>
        <v>2.9813000000000001</v>
      </c>
      <c r="AB225" s="234" t="e">
        <f>VLOOKUP(A225,Enforcements!$C$7:$K$9,8,0)</f>
        <v>#N/A</v>
      </c>
      <c r="AC225" s="233" t="e">
        <f>VLOOKUP(A225,Enforcements!$C$7:$E$9,3,0)</f>
        <v>#N/A</v>
      </c>
      <c r="AD225" s="244">
        <f t="shared" si="76"/>
        <v>906</v>
      </c>
      <c r="AE225" s="236" t="str">
        <f t="shared" si="77"/>
        <v>aws s3 cp s3://rtdc.mdm.uploadarchive.raw/RTDC4019/ "%USERPROFILE%\AppData\Local\Temp\OnboardLogs"\RTDC4019\2017-11-27 --exclude "*" --recursive --include "*20171127*" &amp; "%USERPROFILE%\Documents\GitHub\mrs-test-scripts\Headless Mode &amp; Sideloading\WalkAndUnGZ.bat" "%USERPROFILE%\AppData\Local\Temp\OnboardLogs"\RTDC4019\2017-11-27 &amp; aws s3 cp s3://rtdc.mdm.uploadarchive.raw/RTDC4019/ "%USERPROFILE%\AppData\Local\Temp\OnboardLogs"\RTDC4019\2017-11-28 --exclude "*" --recursive --include "*20171128*" &amp; "%USERPROFILE%\Documents\GitHub\mrs-test-scripts\Headless Mode &amp; Sideloading\WalkAndUnGZ.bat" "%USERPROFILE%\AppData\Local\Temp\OnboardLogs"\RTDC4019\2017-11-28</v>
      </c>
      <c r="AF225" s="235" t="str">
        <f t="shared" si="78"/>
        <v>"C:\Program Files (x86)\AstroGrep\AstroGrep.exe" /e /r /s /spath="%USERPROFILE%\AppData\Local\Temp\OnboardLogs" /stypes="app*4019*20171128*" /stext=" 02:.+((SYSTEM_STATE.+slice.+state.+changed )|(ment ac)|(multiple cpu faults)|(system.+state.+changed )|(\[timeout)|(PRM\|1\|D)|(kpr)|(kdp)|(train st.+moving)|(\|lc)|(penalty))"</v>
      </c>
      <c r="AG225" s="245" t="str">
        <f t="shared" si="79"/>
        <v>Other</v>
      </c>
      <c r="AH225" s="237" t="str">
        <f t="shared" si="80"/>
        <v>"%USERPROFILE%\Documents\GitHub\eaglep3\Utilities\RefineRTDCRunTimes.py" --tripid 906-27 --locoid 4019 --swversion DE.1.0.9.0 --startMP 300:58604 --initTime 2017-11-27T18:54:47 --startdatetime 2017-11-27T18:56:15 --delay 47 --endMP 300:28791 --enddatetime 2017-11-27T19:05:02 --enforcementcount 0 &gt;&gt;%USERPROFILE%\Documents\GitHub\eaglep3-reporting\EC\2017-11-27-refined-times.txt</v>
      </c>
      <c r="AI225" s="239" t="str">
        <f t="shared" si="81"/>
        <v>echo {"issue":{"subject":"","project_id":79,"tracker_id":40,"status_id":1,"priority_id":2,"assigned_to_id":338,"start_date":"2017-11-27","description":"","custom_fields":[{"id":1,"name":"Subdivision","value":"Other"},{"id":4,"name":"Milepost","value":"2.8791"},{"id":17,"name":"Train ID","value":"906-27"},{"id":16,"name":"Locomotive ID","value":"4019"},{"id":130,"name":"Impact","value":""},{"id":150,"name":"Time of Event (Mountain Time)","value":"19:05:02"},{"id":151,"name":"Denver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4"/>
      <c r="AK225" s="232"/>
      <c r="AL225" s="232"/>
      <c r="AM225" s="241" t="str">
        <f t="shared" si="82"/>
        <v>start /low /b %USERPROFILE%\Documents\GitHub\eaglep3\Utilities\DownloadLogsFromS3.py --loco 4019 --day 2017-11-27</v>
      </c>
      <c r="AN225" s="242" t="str">
        <f t="shared" si="83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02:05:02"},{"id":29,"name":"Sharepoint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1" t="str">
        <f t="shared" si="84"/>
        <v>https://d0f6bd738d7f1b3e5a7ca70fe4ff75f0.us-east-1.aws.found.io/app/kibana#/discover/Steve-Slow-Train-Analysis-(2080s-and-2083s)?_g=(refreshInterval:(display:Off,pause:!f,section:0,value:0),time:(from:'2017-11-27T17:54:47-0700',mode:absolute,to:'2017-11-27T20:05:02-0700'))&amp;_a=(columns:!('Message%20ID',Summary),filters:!(),index:'emp_*',interval:auto,query:(query_string:(analyze_wildcard:!t,query:'%22rtdc.l.rtdc.4019%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30" t="s">
        <v>811</v>
      </c>
      <c r="B226" s="226">
        <v>4055</v>
      </c>
      <c r="C226" s="228" t="s">
        <v>192</v>
      </c>
      <c r="D226" s="228" t="s">
        <v>988</v>
      </c>
      <c r="E226" s="227">
        <v>43066.974537037036</v>
      </c>
      <c r="F226" s="227">
        <v>43066.975763888891</v>
      </c>
      <c r="G226" s="226">
        <v>54</v>
      </c>
      <c r="H226" s="228" t="s">
        <v>1006</v>
      </c>
      <c r="I226" s="227">
        <v>43066.982372685183</v>
      </c>
      <c r="J226" s="226">
        <v>0</v>
      </c>
      <c r="K226" s="238" t="str">
        <f t="shared" si="68"/>
        <v>4055/4056</v>
      </c>
      <c r="L226" s="246" t="str">
        <f>VLOOKUP(A226,'Trips&amp;Operators'!$C$1:$G$99911,5,FALSE)</f>
        <v>STAMBAUGH JAMES</v>
      </c>
      <c r="M226" s="225">
        <f t="shared" si="69"/>
        <v>6.6087962914025411E-3</v>
      </c>
      <c r="N226" s="226">
        <f t="shared" si="85"/>
        <v>9.5166666596196592</v>
      </c>
      <c r="O226" s="226"/>
      <c r="P226" s="226"/>
      <c r="Q226" s="229"/>
      <c r="R226" s="243"/>
      <c r="S226" s="250">
        <f t="shared" si="86"/>
        <v>0</v>
      </c>
      <c r="T226" s="243" t="str">
        <f t="shared" si="70"/>
        <v>Southbound</v>
      </c>
      <c r="U226" s="24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9" t="str">
        <f t="shared" si="71"/>
        <v>https://d0f6bd738d7f1b3e5a7ca70fe4ff75f0.us-east-1.aws.found.io/app/kibana#/discover/Steve-Slow-Train-Analysis-(2080s-and-2083s)?_g=(refreshInterval:(display:Off,pause:!f,section:0,value:0),time:(from:'2017-11-27T22:23:20-0700',mode:absolute,to:'2017-11-28T00:34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6" s="248" t="str">
        <f>IF(AA226&lt;VLOOKUP(AG226,Variables!$AC$3:$AD$8,2,FALSE),"Y","N")</f>
        <v>Y</v>
      </c>
      <c r="X226" s="248">
        <f t="shared" si="72"/>
        <v>2</v>
      </c>
      <c r="Y226" s="248">
        <f t="shared" si="73"/>
        <v>5.8609</v>
      </c>
      <c r="Z226" s="248">
        <f t="shared" si="74"/>
        <v>2.8761000000000001</v>
      </c>
      <c r="AA226" s="248">
        <f t="shared" si="75"/>
        <v>2.9847999999999999</v>
      </c>
      <c r="AB226" s="234" t="e">
        <f>VLOOKUP(A226,Enforcements!$C$7:$K$9,8,0)</f>
        <v>#N/A</v>
      </c>
      <c r="AC226" s="233" t="e">
        <f>VLOOKUP(A226,Enforcements!$C$7:$E$9,3,0)</f>
        <v>#N/A</v>
      </c>
      <c r="AD226" s="244">
        <f t="shared" si="76"/>
        <v>908</v>
      </c>
      <c r="AE226" s="236" t="str">
        <f t="shared" si="77"/>
        <v>aws s3 cp s3://rtdc.mdm.uploadarchive.raw/RTDC4055/ "%USERPROFILE%\AppData\Local\Temp\OnboardLogs"\RTDC4055\2017-11-27 --exclude "*" --recursive --include "*20171127*" &amp; "%USERPROFILE%\Documents\GitHub\mrs-test-scripts\Headless Mode &amp; Sideloading\WalkAndUnGZ.bat" "%USERPROFILE%\AppData\Local\Temp\OnboardLogs"\RTDC4055\2017-11-27 &amp; aws s3 cp s3://rtdc.mdm.uploadarchive.raw/RTDC4055/ "%USERPROFILE%\AppData\Local\Temp\OnboardLogs"\RTDC4055\2017-11-28 --exclude "*" --recursive --include "*20171128*" &amp; "%USERPROFILE%\Documents\GitHub\mrs-test-scripts\Headless Mode &amp; Sideloading\WalkAndUnGZ.bat" "%USERPROFILE%\AppData\Local\Temp\OnboardLogs"\RTDC4055\2017-11-28</v>
      </c>
      <c r="AF226" s="235" t="str">
        <f t="shared" si="78"/>
        <v>"C:\Program Files (x86)\AstroGrep\AstroGrep.exe" /e /r /s /spath="%USERPROFILE%\AppData\Local\Temp\OnboardLogs" /stypes="app*4055*20171128*" /stext=" 06:.+((SYSTEM_STATE.+slice.+state.+changed )|(ment ac)|(multiple cpu faults)|(system.+state.+changed )|(\[timeout)|(PRM\|1\|D)|(kpr)|(kdp)|(train st.+moving)|(\|lc)|(penalty))"</v>
      </c>
      <c r="AG226" s="245" t="str">
        <f t="shared" si="79"/>
        <v>Other</v>
      </c>
      <c r="AH226" s="237" t="str">
        <f t="shared" si="80"/>
        <v>"%USERPROFILE%\Documents\GitHub\eaglep3\Utilities\RefineRTDCRunTimes.py" --tripid 908-27 --locoid 4055 --swversion DE.1.0.9.0 --startMP 300:58609 --initTime 2017-11-27T23:23:20 --startdatetime 2017-11-27T23:25:06 --delay 54 --endMP 300:28761 --enddatetime 2017-11-27T23:34:37 --enforcementcount 0 &gt;&gt;%USERPROFILE%\Documents\GitHub\eaglep3-reporting\EC\2017-11-27-refined-times.txt</v>
      </c>
      <c r="AI226" s="239" t="str">
        <f t="shared" si="81"/>
        <v>echo {"issue":{"subject":"","project_id":79,"tracker_id":40,"status_id":1,"priority_id":2,"assigned_to_id":338,"start_date":"2017-11-27","description":"","custom_fields":[{"id":1,"name":"Subdivision","value":"Other"},{"id":4,"name":"Milepost","value":"2.8761"},{"id":17,"name":"Train ID","value":"908-27"},{"id":16,"name":"Locomotive ID","value":"4055"},{"id":130,"name":"Impact","value":""},{"id":150,"name":"Time of Event (Mountain Time)","value":"23:34:37"},{"id":151,"name":"Denver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4"/>
      <c r="AK226" s="232"/>
      <c r="AL226" s="232"/>
      <c r="AM226" s="241" t="str">
        <f t="shared" si="82"/>
        <v>start /low /b %USERPROFILE%\Documents\GitHub\eaglep3\Utilities\DownloadLogsFromS3.py --loco 4055 --day 2017-11-27</v>
      </c>
      <c r="AN226" s="242" t="str">
        <f t="shared" si="83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06:34:37"},{"id":29,"name":"Sharepoint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1" t="str">
        <f t="shared" si="84"/>
        <v>https://d0f6bd738d7f1b3e5a7ca70fe4ff75f0.us-east-1.aws.found.io/app/kibana#/discover/Steve-Slow-Train-Analysis-(2080s-and-2083s)?_g=(refreshInterval:(display:Off,pause:!f,section:0,value:0),time:(from:'2017-11-27T22:23:20-0700',mode:absolute,to:'2017-11-28T00:34:37-0700'))&amp;_a=(columns:!('Message%20ID',Summary),filters:!(),index:'emp_*',interval:auto,query:(query_string:(analyze_wildcard:!t,query:'%22rtdc.l.rtdc.4055%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230" t="s">
        <v>770</v>
      </c>
      <c r="B227" s="226">
        <v>4041</v>
      </c>
      <c r="C227" s="228" t="s">
        <v>192</v>
      </c>
      <c r="D227" s="228" t="s">
        <v>923</v>
      </c>
      <c r="E227" s="227">
        <v>43066.73333333333</v>
      </c>
      <c r="F227" s="227">
        <v>43066.736400462964</v>
      </c>
      <c r="G227" s="226">
        <v>130</v>
      </c>
      <c r="H227" s="228" t="s">
        <v>924</v>
      </c>
      <c r="I227" s="227">
        <v>43066.7425</v>
      </c>
      <c r="J227" s="226">
        <v>0</v>
      </c>
      <c r="K227" s="238" t="str">
        <f t="shared" si="68"/>
        <v>4041/4042</v>
      </c>
      <c r="L227" s="246" t="str">
        <f>VLOOKUP(A227,'Trips&amp;Operators'!$C$1:$G$99911,5,FALSE)</f>
        <v>GUNTHIER ERIC</v>
      </c>
      <c r="M227" s="225">
        <f t="shared" si="69"/>
        <v>6.0995370367891155E-3</v>
      </c>
      <c r="N227" s="226">
        <f t="shared" si="85"/>
        <v>8.7833333329763263</v>
      </c>
      <c r="O227" s="226"/>
      <c r="P227" s="226"/>
      <c r="Q227" s="229"/>
      <c r="R227" s="243"/>
      <c r="S227" s="250">
        <f t="shared" si="86"/>
        <v>1</v>
      </c>
      <c r="T227" s="243" t="str">
        <f t="shared" si="70"/>
        <v>Southbound</v>
      </c>
      <c r="U227" s="24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49" t="str">
        <f t="shared" si="71"/>
        <v>https://d0f6bd738d7f1b3e5a7ca70fe4ff75f0.us-east-1.aws.found.io/app/kibana#/discover/Steve-Slow-Train-Analysis-(2080s-and-2083s)?_g=(refreshInterval:(display:Off,pause:!f,section:0,value:0),time:(from:'2017-11-27T16:36:00-0700',mode:absolute,to:'2017-11-27T18:49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7" s="248" t="str">
        <f>IF(AA227&lt;VLOOKUP(AG227,Variables!$AC$3:$AD$8,2,FALSE),"Y","N")</f>
        <v>Y</v>
      </c>
      <c r="X227" s="248">
        <f t="shared" si="72"/>
        <v>-840</v>
      </c>
      <c r="Y227" s="248">
        <f t="shared" si="73"/>
        <v>2.3690000000000002</v>
      </c>
      <c r="Z227" s="248">
        <f t="shared" si="74"/>
        <v>0.1103</v>
      </c>
      <c r="AA227" s="248">
        <f t="shared" si="75"/>
        <v>2.2587000000000002</v>
      </c>
      <c r="AB227" s="234" t="e">
        <f>VLOOKUP(A227,Enforcements!$C$7:$K$9,8,0)</f>
        <v>#N/A</v>
      </c>
      <c r="AC227" s="233" t="e">
        <f>VLOOKUP(A227,Enforcements!$C$7:$E$9,3,0)</f>
        <v>#N/A</v>
      </c>
      <c r="AD227" s="244">
        <f t="shared" si="76"/>
        <v>68</v>
      </c>
      <c r="AE227" s="236" t="str">
        <f t="shared" si="77"/>
        <v>aws s3 cp s3://rtdc.mdm.uploadarchive.raw/RTDC4041/ "%USERPROFILE%\AppData\Local\Temp\OnboardLogs"\RTDC4041\2017-11-27 --exclude "*" --recursive --include "*20171127*" &amp; "%USERPROFILE%\Documents\GitHub\mrs-test-scripts\Headless Mode &amp; Sideloading\WalkAndUnGZ.bat" "%USERPROFILE%\AppData\Local\Temp\OnboardLogs"\RTDC4041\2017-11-27 &amp; aws s3 cp s3://rtdc.mdm.uploadarchive.raw/RTDC4041/ "%USERPROFILE%\AppData\Local\Temp\OnboardLogs"\RTDC4041\2017-11-28 --exclude "*" --recursive --include "*20171128*" &amp; "%USERPROFILE%\Documents\GitHub\mrs-test-scripts\Headless Mode &amp; Sideloading\WalkAndUnGZ.bat" "%USERPROFILE%\AppData\Local\Temp\OnboardLogs"\RTDC4041\2017-11-28</v>
      </c>
      <c r="AF227" s="235" t="str">
        <f t="shared" si="78"/>
        <v>"C:\Program Files (x86)\AstroGrep\AstroGrep.exe" /e /r /s /spath="%USERPROFILE%\AppData\Local\Temp\OnboardLogs" /stypes="app*4041*20171128*" /stext=" 00:.+((SYSTEM_STATE.+slice.+state.+changed )|(ment ac)|(multiple cpu faults)|(system.+state.+changed )|(\[timeout)|(PRM\|1\|D)|(kpr)|(kdp)|(train st.+moving)|(\|lc)|(penalty))"</v>
      </c>
      <c r="AG227" s="245" t="str">
        <f t="shared" si="79"/>
        <v>Shuttle/Test</v>
      </c>
      <c r="AH227" s="237" t="str">
        <f t="shared" si="80"/>
        <v>"%USERPROFILE%\Documents\GitHub\eaglep3\Utilities\RefineRTDCRunTimes.py" --tripid 68-27 --locoid 4041 --swversion DE.1.0.9.0 --startMP 300:23690 --initTime 2017-11-27T17:36:00 --startdatetime 2017-11-27T17:40:25 --delay 130 --endMP 204:1103 --enddatetime 2017-11-27T17:49:12 --enforcementcount 0 &gt;&gt;%USERPROFILE%\Documents\GitHub\eaglep3-reporting\EC\2017-11-27-refined-times.txt</v>
      </c>
      <c r="AI227" s="239" t="str">
        <f t="shared" si="81"/>
        <v>echo {"issue":{"subject":"","project_id":79,"tracker_id":40,"status_id":1,"priority_id":2,"assigned_to_id":338,"start_date":"2017-11-27","description":"","custom_fields":[{"id":1,"name":"Subdivision","value":"Shuttle/Test"},{"id":4,"name":"Milepost","value":"0.1103"},{"id":17,"name":"Train ID","value":"68-27"},{"id":16,"name":"Locomotive ID","value":"4041"},{"id":130,"name":"Impact","value":""},{"id":150,"name":"Time of Event (Mountain Time)","value":"17:49:12"},{"id":151,"name":"Denver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4"/>
      <c r="AK227" s="232"/>
      <c r="AL227" s="232"/>
      <c r="AM227" s="241" t="str">
        <f t="shared" si="82"/>
        <v>start /low /b %USERPROFILE%\Documents\GitHub\eaglep3\Utilities\DownloadLogsFromS3.py --loco 4041 --day 2017-11-27</v>
      </c>
      <c r="AN227" s="242" t="str">
        <f t="shared" si="83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00:49:12"},{"id":29,"name":"Sharepoint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1" t="str">
        <f t="shared" si="84"/>
        <v>https://d0f6bd738d7f1b3e5a7ca70fe4ff75f0.us-east-1.aws.found.io/app/kibana#/discover/Steve-Slow-Train-Analysis-(2080s-and-2083s)?_g=(refreshInterval:(display:Off,pause:!f,section:0,value:0),time:(from:'2017-11-27T16:36:00-0700',mode:absolute,to:'2017-11-27T18:49:12-0700'))&amp;_a=(columns:!('Message%20ID',Summary),filters:!(),index:'emp_*',interval:auto,query:(query_string:(analyze_wildcard:!t,query:'%22rtdc.l.rtdc.4041%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230" t="s">
        <v>743</v>
      </c>
      <c r="B228" s="226">
        <v>4030</v>
      </c>
      <c r="C228" s="228" t="s">
        <v>192</v>
      </c>
      <c r="D228" s="228" t="s">
        <v>925</v>
      </c>
      <c r="E228" s="227">
        <v>43066.657418981478</v>
      </c>
      <c r="F228" s="227">
        <v>43066.661608796298</v>
      </c>
      <c r="G228" s="226">
        <v>63</v>
      </c>
      <c r="H228" s="228" t="s">
        <v>926</v>
      </c>
      <c r="I228" s="227">
        <v>43066.678043981483</v>
      </c>
      <c r="J228" s="226">
        <v>0</v>
      </c>
      <c r="K228" s="238" t="str">
        <f t="shared" si="68"/>
        <v>4029/4030</v>
      </c>
      <c r="L228" s="246" t="str">
        <f>VLOOKUP(A228,'Trips&amp;Operators'!$C$1:$G$99911,5,FALSE)</f>
        <v>BROWN JACOB</v>
      </c>
      <c r="M228" s="225">
        <f t="shared" si="69"/>
        <v>1.6435185185400769E-2</v>
      </c>
      <c r="N228" s="226">
        <f t="shared" si="85"/>
        <v>23.666666666977108</v>
      </c>
      <c r="O228" s="226"/>
      <c r="P228" s="226"/>
      <c r="Q228" s="229"/>
      <c r="R228" s="243"/>
      <c r="S228" s="250">
        <f t="shared" si="86"/>
        <v>1</v>
      </c>
      <c r="T228" s="243" t="str">
        <f t="shared" si="70"/>
        <v>NorthBound</v>
      </c>
      <c r="U228" s="24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49" t="str">
        <f t="shared" si="71"/>
        <v>https://d0f6bd738d7f1b3e5a7ca70fe4ff75f0.us-east-1.aws.found.io/app/kibana#/discover/Steve-Slow-Train-Analysis-(2080s-and-2083s)?_g=(refreshInterval:(display:Off,pause:!f,section:0,value:0),time:(from:'2017-11-27T14:46:41-0700',mode:absolute,to:'2017-11-27T17:16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8" s="248" t="str">
        <f>IF(AA228&lt;VLOOKUP(AG228,Variables!$AC$3:$AD$8,2,FALSE),"Y","N")</f>
        <v>Y</v>
      </c>
      <c r="X228" s="248">
        <f t="shared" si="72"/>
        <v>7</v>
      </c>
      <c r="Y228" s="248">
        <f t="shared" si="73"/>
        <v>0.14710000000000001</v>
      </c>
      <c r="Z228" s="248">
        <f t="shared" si="74"/>
        <v>2.3313999999999999</v>
      </c>
      <c r="AA228" s="248">
        <f t="shared" si="75"/>
        <v>2.1842999999999999</v>
      </c>
      <c r="AB228" s="234" t="e">
        <f>VLOOKUP(A228,Enforcements!$C$7:$K$9,8,0)</f>
        <v>#N/A</v>
      </c>
      <c r="AC228" s="233" t="e">
        <f>VLOOKUP(A228,Enforcements!$C$7:$E$9,3,0)</f>
        <v>#N/A</v>
      </c>
      <c r="AD228" s="244">
        <f t="shared" si="76"/>
        <v>75</v>
      </c>
      <c r="AE228" s="236" t="str">
        <f t="shared" si="77"/>
        <v>aws s3 cp s3://rtdc.mdm.uploadarchive.raw/RTDC4030/ "%USERPROFILE%\AppData\Local\Temp\OnboardLogs"\RTDC4030\2017-11-27 --exclude "*" --recursive --include "*20171127*" &amp; "%USERPROFILE%\Documents\GitHub\mrs-test-scripts\Headless Mode &amp; Sideloading\WalkAndUnGZ.bat" "%USERPROFILE%\AppData\Local\Temp\OnboardLogs"\RTDC4030\2017-11-27 &amp; aws s3 cp s3://rtdc.mdm.uploadarchive.raw/RTDC4030/ "%USERPROFILE%\AppData\Local\Temp\OnboardLogs"\RTDC4030\2017-11-28 --exclude "*" --recursive --include "*20171128*" &amp; "%USERPROFILE%\Documents\GitHub\mrs-test-scripts\Headless Mode &amp; Sideloading\WalkAndUnGZ.bat" "%USERPROFILE%\AppData\Local\Temp\OnboardLogs"\RTDC4030\2017-11-28</v>
      </c>
      <c r="AF228" s="235" t="str">
        <f t="shared" si="78"/>
        <v>"C:\Program Files (x86)\AstroGrep\AstroGrep.exe" /e /r /s /spath="%USERPROFILE%\AppData\Local\Temp\OnboardLogs" /stypes="app*4030*20171127*" /stext=" 23:.+((SYSTEM_STATE.+slice.+state.+changed )|(ment ac)|(multiple cpu faults)|(system.+state.+changed )|(\[timeout)|(PRM\|1\|D)|(kpr)|(kdp)|(train st.+moving)|(\|lc)|(penalty))"</v>
      </c>
      <c r="AG228" s="245" t="str">
        <f t="shared" si="79"/>
        <v>Shuttle/Test</v>
      </c>
      <c r="AH228" s="237" t="str">
        <f t="shared" si="80"/>
        <v>"%USERPROFILE%\Documents\GitHub\eaglep3\Utilities\RefineRTDCRunTimes.py" --tripid 75-27 --locoid 4030 --swversion DE.1.0.9.0 --startMP 204:1471 --initTime 2017-11-27T15:46:41 --startdatetime 2017-11-27T15:52:43 --delay 63 --endMP 300:23314 --enddatetime 2017-11-27T16:16:23 --enforcementcount 0 &gt;&gt;%USERPROFILE%\Documents\GitHub\eaglep3-reporting\EC\2017-11-27-refined-times.txt</v>
      </c>
      <c r="AI228" s="239" t="str">
        <f t="shared" si="81"/>
        <v>echo {"issue":{"subject":"","project_id":79,"tracker_id":40,"status_id":1,"priority_id":2,"assigned_to_id":338,"start_date":"2017-11-27","description":"","custom_fields":[{"id":1,"name":"Subdivision","value":"Shuttle/Test"},{"id":4,"name":"Milepost","value":"2.3314"},{"id":17,"name":"Train ID","value":"75-27"},{"id":16,"name":"Locomotive ID","value":"4030"},{"id":130,"name":"Impact","value":""},{"id":150,"name":"Time of Event (Mountain Time)","value":"16:16:23"},{"id":151,"name":"Denver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4"/>
      <c r="AK228" s="232"/>
      <c r="AL228" s="232"/>
      <c r="AM228" s="241" t="str">
        <f t="shared" si="82"/>
        <v>start /low /b %USERPROFILE%\Documents\GitHub\eaglep3\Utilities\DownloadLogsFromS3.py --loco 4030 --day 2017-11-27</v>
      </c>
      <c r="AN228" s="242" t="str">
        <f t="shared" si="83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23:16:23"},{"id":29,"name":"Sharepoint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1" t="str">
        <f t="shared" si="84"/>
        <v>https://d0f6bd738d7f1b3e5a7ca70fe4ff75f0.us-east-1.aws.found.io/app/kibana#/discover/Steve-Slow-Train-Analysis-(2080s-and-2083s)?_g=(refreshInterval:(display:Off,pause:!f,section:0,value:0),time:(from:'2017-11-27T14:46:41-0700',mode:absolute,to:'2017-11-27T17:16:23-0700'))&amp;_a=(columns:!('Message%20ID',Summary),filters:!(),index:'emp_*',interval:auto,query:(query_string:(analyze_wildcard:!t,query:'%22rtdc.l.rtdc.4030%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30" t="s">
        <v>760</v>
      </c>
      <c r="B229" s="226">
        <v>4032</v>
      </c>
      <c r="C229" s="228" t="s">
        <v>192</v>
      </c>
      <c r="D229" s="228" t="s">
        <v>927</v>
      </c>
      <c r="E229" s="227">
        <v>43066.706631944442</v>
      </c>
      <c r="F229" s="227">
        <v>43066.722731481481</v>
      </c>
      <c r="G229" s="226">
        <v>391</v>
      </c>
      <c r="H229" s="228" t="s">
        <v>574</v>
      </c>
      <c r="I229" s="227">
        <v>43066.730578703704</v>
      </c>
      <c r="J229" s="226">
        <v>0</v>
      </c>
      <c r="K229" s="238" t="str">
        <f t="shared" si="68"/>
        <v>4031/4032</v>
      </c>
      <c r="L229" s="246" t="str">
        <f>VLOOKUP(A229,'Trips&amp;Operators'!$C$1:$G$99911,5,FALSE)</f>
        <v>STRICKLAND EVAN</v>
      </c>
      <c r="M229" s="225">
        <f t="shared" si="69"/>
        <v>7.8472222230629995E-3</v>
      </c>
      <c r="N229" s="226">
        <f t="shared" si="85"/>
        <v>11.300000001210719</v>
      </c>
      <c r="O229" s="226"/>
      <c r="P229" s="226"/>
      <c r="Q229" s="229"/>
      <c r="R229" s="243"/>
      <c r="S229" s="250">
        <f t="shared" si="86"/>
        <v>1</v>
      </c>
      <c r="T229" s="243" t="str">
        <f t="shared" si="70"/>
        <v>NorthBound</v>
      </c>
      <c r="U229" s="24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49" t="str">
        <f t="shared" si="71"/>
        <v>https://d0f6bd738d7f1b3e5a7ca70fe4ff75f0.us-east-1.aws.found.io/app/kibana#/discover/Steve-Slow-Train-Analysis-(2080s-and-2083s)?_g=(refreshInterval:(display:Off,pause:!f,section:0,value:0),time:(from:'2017-11-27T15:57:33-0700',mode:absolute,to:'2017-11-27T18:32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9" s="248" t="str">
        <f>IF(AA229&lt;VLOOKUP(AG229,Variables!$AC$3:$AD$8,2,FALSE),"Y","N")</f>
        <v>Y</v>
      </c>
      <c r="X229" s="248">
        <f t="shared" si="72"/>
        <v>2</v>
      </c>
      <c r="Y229" s="248">
        <f t="shared" si="73"/>
        <v>0.1148</v>
      </c>
      <c r="Z229" s="248">
        <f t="shared" si="74"/>
        <v>2.3346</v>
      </c>
      <c r="AA229" s="248">
        <f t="shared" si="75"/>
        <v>2.2198000000000002</v>
      </c>
      <c r="AB229" s="234" t="e">
        <f>VLOOKUP(A229,Enforcements!$C$7:$K$9,8,0)</f>
        <v>#N/A</v>
      </c>
      <c r="AC229" s="233" t="e">
        <f>VLOOKUP(A229,Enforcements!$C$7:$E$9,3,0)</f>
        <v>#N/A</v>
      </c>
      <c r="AD229" s="244">
        <f t="shared" si="76"/>
        <v>77</v>
      </c>
      <c r="AE229" s="236" t="str">
        <f t="shared" si="77"/>
        <v>aws s3 cp s3://rtdc.mdm.uploadarchive.raw/RTDC4032/ "%USERPROFILE%\AppData\Local\Temp\OnboardLogs"\RTDC4032\2017-11-27 --exclude "*" --recursive --include "*20171127*" &amp; "%USERPROFILE%\Documents\GitHub\mrs-test-scripts\Headless Mode &amp; Sideloading\WalkAndUnGZ.bat" "%USERPROFILE%\AppData\Local\Temp\OnboardLogs"\RTDC4032\2017-11-27 &amp; aws s3 cp s3://rtdc.mdm.uploadarchive.raw/RTDC4032/ "%USERPROFILE%\AppData\Local\Temp\OnboardLogs"\RTDC4032\2017-11-28 --exclude "*" --recursive --include "*20171128*" &amp; "%USERPROFILE%\Documents\GitHub\mrs-test-scripts\Headless Mode &amp; Sideloading\WalkAndUnGZ.bat" "%USERPROFILE%\AppData\Local\Temp\OnboardLogs"\RTDC4032\2017-11-28</v>
      </c>
      <c r="AF229" s="235" t="str">
        <f t="shared" si="78"/>
        <v>"C:\Program Files (x86)\AstroGrep\AstroGrep.exe" /e /r /s /spath="%USERPROFILE%\AppData\Local\Temp\OnboardLogs" /stypes="app*4032*20171128*" /stext=" 00:.+((SYSTEM_STATE.+slice.+state.+changed )|(ment ac)|(multiple cpu faults)|(system.+state.+changed )|(\[timeout)|(PRM\|1\|D)|(kpr)|(kdp)|(train st.+moving)|(\|lc)|(penalty))"</v>
      </c>
      <c r="AG229" s="245" t="str">
        <f t="shared" si="79"/>
        <v>Shuttle/Test</v>
      </c>
      <c r="AH229" s="237" t="str">
        <f t="shared" si="80"/>
        <v>"%USERPROFILE%\Documents\GitHub\eaglep3\Utilities\RefineRTDCRunTimes.py" --tripid 77-27 --locoid 4032 --swversion DE.1.0.9.0 --startMP 204:1148 --initTime 2017-11-27T16:57:33 --startdatetime 2017-11-27T17:20:44 --delay 391 --endMP 300:23346 --enddatetime 2017-11-27T17:32:02 --enforcementcount 0 &gt;&gt;%USERPROFILE%\Documents\GitHub\eaglep3-reporting\EC\2017-11-27-refined-times.txt</v>
      </c>
      <c r="AI229" s="239" t="str">
        <f t="shared" si="81"/>
        <v>echo {"issue":{"subject":"","project_id":79,"tracker_id":40,"status_id":1,"priority_id":2,"assigned_to_id":338,"start_date":"2017-11-27","description":"","custom_fields":[{"id":1,"name":"Subdivision","value":"Shuttle/Test"},{"id":4,"name":"Milepost","value":"2.3346"},{"id":17,"name":"Train ID","value":"77-27"},{"id":16,"name":"Locomotive ID","value":"4032"},{"id":130,"name":"Impact","value":""},{"id":150,"name":"Time of Event (Mountain Time)","value":"17:32:02"},{"id":151,"name":"Denver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4"/>
      <c r="AK229" s="232"/>
      <c r="AL229" s="232"/>
      <c r="AM229" s="241" t="str">
        <f t="shared" si="82"/>
        <v>start /low /b %USERPROFILE%\Documents\GitHub\eaglep3\Utilities\DownloadLogsFromS3.py --loco 4032 --day 2017-11-27</v>
      </c>
      <c r="AN229" s="242" t="str">
        <f t="shared" si="83"/>
        <v>echo {"issue":{"subject":"","project_id":30,"tracker_id":4,"status_id":1,"priority_id":1,"assigned_to_id":10,"start_date":"2017-11-28","description":"","custom_fields":[{"id":30,"name":"Category","value":"Issue"},{"id":3,"name":"Functional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UTC","value":"2017-11-28 00:32:02"},{"id":29,"name":"Sharepoint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1" t="str">
        <f t="shared" si="84"/>
        <v>https://d0f6bd738d7f1b3e5a7ca70fe4ff75f0.us-east-1.aws.found.io/app/kibana#/discover/Steve-Slow-Train-Analysis-(2080s-and-2083s)?_g=(refreshInterval:(display:Off,pause:!f,section:0,value:0),time:(from:'2017-11-27T15:57:33-0700',mode:absolute,to:'2017-11-27T18:32:02-0700'))&amp;_a=(columns:!('Message%20ID',Summary),filters:!(),index:'emp_*',interval:auto,query:(query_string:(analyze_wildcard:!t,query:'%22rtdc.l.rtdc.4032%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230" t="s">
        <v>611</v>
      </c>
      <c r="B230" s="226">
        <v>4018</v>
      </c>
      <c r="C230" s="228" t="s">
        <v>192</v>
      </c>
      <c r="D230" s="228" t="s">
        <v>993</v>
      </c>
      <c r="E230" s="227">
        <v>43066.182939814818</v>
      </c>
      <c r="F230" s="227">
        <v>43066.184479166666</v>
      </c>
      <c r="G230" s="226">
        <v>73</v>
      </c>
      <c r="H230" s="228" t="s">
        <v>994</v>
      </c>
      <c r="I230" s="227">
        <v>43066.185300925928</v>
      </c>
      <c r="J230" s="226">
        <v>0</v>
      </c>
      <c r="K230" s="238" t="str">
        <f t="shared" si="68"/>
        <v>4017/4018</v>
      </c>
      <c r="L230" s="246" t="str">
        <f>VLOOKUP(A230,'Trips&amp;Operators'!$C$1:$G$99911,5,FALSE)</f>
        <v>SPECTOR MICHAEL</v>
      </c>
      <c r="M230" s="225">
        <f t="shared" si="69"/>
        <v>8.217592621804215E-4</v>
      </c>
      <c r="N230" s="226">
        <f t="shared" si="85"/>
        <v>1.183333337539807</v>
      </c>
      <c r="O230" s="226"/>
      <c r="P230" s="226"/>
      <c r="Q230" s="229"/>
      <c r="R230" s="243"/>
      <c r="S230" s="250">
        <f t="shared" si="86"/>
        <v>0</v>
      </c>
      <c r="T230" s="243" t="str">
        <f t="shared" si="70"/>
        <v>NorthBound</v>
      </c>
      <c r="U230" s="24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9" t="str">
        <f t="shared" si="71"/>
        <v>https://d0f6bd738d7f1b3e5a7ca70fe4ff75f0.us-east-1.aws.found.io/app/kibana#/discover/Steve-Slow-Train-Analysis-(2080s-and-2083s)?_g=(refreshInterval:(display:Off,pause:!f,section:0,value:0),time:(from:'2017-11-27T03:23:26-0700',mode:absolute,to:'2017-11-27T05:26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0" s="248" t="str">
        <f>IF(AA230&lt;VLOOKUP(AG230,Variables!$AC$3:$AD$8,2,FALSE),"Y","N")</f>
        <v>Y</v>
      </c>
      <c r="X230" s="248">
        <f t="shared" si="72"/>
        <v>8</v>
      </c>
      <c r="Y230" s="248">
        <f t="shared" si="73"/>
        <v>0.1167</v>
      </c>
      <c r="Z230" s="248">
        <f t="shared" si="74"/>
        <v>0.35170000000000001</v>
      </c>
      <c r="AA230" s="248">
        <f t="shared" si="75"/>
        <v>0.23500000000000001</v>
      </c>
      <c r="AB230" s="234" t="e">
        <f>VLOOKUP(A230,Enforcements!$C$7:$K$9,8,0)</f>
        <v>#N/A</v>
      </c>
      <c r="AC230" s="233" t="e">
        <f>VLOOKUP(A230,Enforcements!$C$7:$E$9,3,0)</f>
        <v>#N/A</v>
      </c>
      <c r="AD230" s="244">
        <f t="shared" si="76"/>
        <v>85</v>
      </c>
      <c r="AE230" s="236" t="str">
        <f t="shared" si="77"/>
        <v>aws s3 cp s3://rtdc.mdm.uploadarchive.raw/RTDC4018/ "%USERPROFILE%\AppData\Local\Temp\OnboardLogs"\RTDC4018\2017-11-27 --exclude "*" --recursive --include "*20171127*" &amp; "%USERPROFILE%\Documents\GitHub\mrs-test-scripts\Headless Mode &amp; Sideloading\WalkAndUnGZ.bat" "%USERPROFILE%\AppData\Local\Temp\OnboardLogs"\RTDC4018\2017-11-27 &amp; aws s3 cp s3://rtdc.mdm.uploadarchive.raw/RTDC4018/ "%USERPROFILE%\AppData\Local\Temp\OnboardLogs"\RTDC4018\2017-11-28 --exclude "*" --recursive --include "*20171128*" &amp; "%USERPROFILE%\Documents\GitHub\mrs-test-scripts\Headless Mode &amp; Sideloading\WalkAndUnGZ.bat" "%USERPROFILE%\AppData\Local\Temp\OnboardLogs"\RTDC4018\2017-11-28</v>
      </c>
      <c r="AF230" s="235" t="str">
        <f t="shared" si="78"/>
        <v>"C:\Program Files (x86)\AstroGrep\AstroGrep.exe" /e /r /s /spath="%USERPROFILE%\AppData\Local\Temp\OnboardLogs" /stypes="app*4018*20171127*" /stext=" 11:.+((SYSTEM_STATE.+slice.+state.+changed )|(ment ac)|(multiple cpu faults)|(system.+state.+changed )|(\[timeout)|(PRM\|1\|D)|(kpr)|(kdp)|(train st.+moving)|(\|lc)|(penalty))"</v>
      </c>
      <c r="AG230" s="245" t="str">
        <f t="shared" si="79"/>
        <v>Shuttle/Test</v>
      </c>
      <c r="AH230" s="237" t="str">
        <f t="shared" si="80"/>
        <v>"%USERPROFILE%\Documents\GitHub\eaglep3\Utilities\RefineRTDCRunTimes.py" --tripid 85-27 --locoid 4018 --swversion DE.1.0.9.0 --startMP 204:1167 --initTime 2017-11-27T04:23:26 --startdatetime 2017-11-27T04:25:39 --delay 73 --endMP 204:3517 --enddatetime 2017-11-27T04:26:50 --enforcementcount 0 &gt;&gt;%USERPROFILE%\Documents\GitHub\eaglep3-reporting\EC\2017-11-27-refined-times.txt</v>
      </c>
      <c r="AI230" s="239" t="str">
        <f t="shared" si="81"/>
        <v>echo {"issue":{"subject":"","project_id":79,"tracker_id":40,"status_id":1,"priority_id":2,"assigned_to_id":338,"start_date":"2017-11-27","description":"","custom_fields":[{"id":1,"name":"Subdivision","value":"Shuttle/Test"},{"id":4,"name":"Milepost","value":"0.3517"},{"id":17,"name":"Train ID","value":"85-27"},{"id":16,"name":"Locomotive ID","value":"4018"},{"id":130,"name":"Impact","value":""},{"id":150,"name":"Time of Event (Mountain Time)","value":"04:26:50"},{"id":151,"name":"Denver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4"/>
      <c r="AK230" s="232"/>
      <c r="AL230" s="232"/>
      <c r="AM230" s="241" t="str">
        <f t="shared" si="82"/>
        <v>start /low /b %USERPROFILE%\Documents\GitHub\eaglep3\Utilities\DownloadLogsFromS3.py --loco 4018 --day 2017-11-27</v>
      </c>
      <c r="AN230" s="242" t="str">
        <f t="shared" si="83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11:26:50"},{"id":29,"name":"Sharepoint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1" t="str">
        <f t="shared" si="84"/>
        <v>https://d0f6bd738d7f1b3e5a7ca70fe4ff75f0.us-east-1.aws.found.io/app/kibana#/discover/Steve-Slow-Train-Analysis-(2080s-and-2083s)?_g=(refreshInterval:(display:Off,pause:!f,section:0,value:0),time:(from:'2017-11-27T03:23:26-0700',mode:absolute,to:'2017-11-27T05:26:50-0700'))&amp;_a=(columns:!('Message%20ID',Summary),filters:!(),index:'emp_*',interval:auto,query:(query_string:(analyze_wildcard:!t,query:'%22rtdc.l.rtdc.4018%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230" t="s">
        <v>614</v>
      </c>
      <c r="B231" s="226">
        <v>4017</v>
      </c>
      <c r="C231" s="228" t="s">
        <v>192</v>
      </c>
      <c r="D231" s="228" t="s">
        <v>995</v>
      </c>
      <c r="E231" s="227">
        <v>43066.186168981483</v>
      </c>
      <c r="F231" s="227">
        <v>43066.187824074077</v>
      </c>
      <c r="G231" s="226">
        <v>88</v>
      </c>
      <c r="H231" s="228" t="s">
        <v>996</v>
      </c>
      <c r="I231" s="227">
        <v>43066.189259259256</v>
      </c>
      <c r="J231" s="226">
        <v>0</v>
      </c>
      <c r="K231" s="238" t="str">
        <f t="shared" si="68"/>
        <v>4017/4018</v>
      </c>
      <c r="L231" s="246" t="str">
        <f>VLOOKUP(A231,'Trips&amp;Operators'!$C$1:$G$99911,5,FALSE)</f>
        <v>SPECTOR MICHAEL</v>
      </c>
      <c r="M231" s="225">
        <f t="shared" si="69"/>
        <v>1.4351851787068881E-3</v>
      </c>
      <c r="N231" s="226">
        <f t="shared" si="85"/>
        <v>2.0666666573379189</v>
      </c>
      <c r="O231" s="226"/>
      <c r="P231" s="226"/>
      <c r="Q231" s="229"/>
      <c r="R231" s="243"/>
      <c r="S231" s="250">
        <f t="shared" si="86"/>
        <v>0</v>
      </c>
      <c r="T231" s="243" t="str">
        <f t="shared" si="70"/>
        <v>Southbound</v>
      </c>
      <c r="U231" s="24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9" t="str">
        <f t="shared" si="71"/>
        <v>https://d0f6bd738d7f1b3e5a7ca70fe4ff75f0.us-east-1.aws.found.io/app/kibana#/discover/Steve-Slow-Train-Analysis-(2080s-and-2083s)?_g=(refreshInterval:(display:Off,pause:!f,section:0,value:0),time:(from:'2017-11-27T03:28:05-0700',mode:absolute,to:'2017-11-27T05:32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1" s="248" t="str">
        <f>IF(AA231&lt;VLOOKUP(AG231,Variables!$AC$3:$AD$8,2,FALSE),"Y","N")</f>
        <v>Y</v>
      </c>
      <c r="X231" s="248">
        <f t="shared" si="72"/>
        <v>1</v>
      </c>
      <c r="Y231" s="248">
        <f t="shared" si="73"/>
        <v>0.32269999999999999</v>
      </c>
      <c r="Z231" s="248">
        <f t="shared" si="74"/>
        <v>1.52E-2</v>
      </c>
      <c r="AA231" s="248">
        <f t="shared" si="75"/>
        <v>0.3075</v>
      </c>
      <c r="AB231" s="234" t="e">
        <f>VLOOKUP(A231,Enforcements!$C$7:$K$9,8,0)</f>
        <v>#N/A</v>
      </c>
      <c r="AC231" s="233" t="e">
        <f>VLOOKUP(A231,Enforcements!$C$7:$E$9,3,0)</f>
        <v>#N/A</v>
      </c>
      <c r="AD231" s="244">
        <f t="shared" si="76"/>
        <v>86</v>
      </c>
      <c r="AE231" s="236" t="str">
        <f t="shared" si="77"/>
        <v>aws s3 cp s3://rtdc.mdm.uploadarchive.raw/RTDC4017/ "%USERPROFILE%\AppData\Local\Temp\OnboardLogs"\RTDC4017\2017-11-27 --exclude "*" --recursive --include "*20171127*" &amp; "%USERPROFILE%\Documents\GitHub\mrs-test-scripts\Headless Mode &amp; Sideloading\WalkAndUnGZ.bat" "%USERPROFILE%\AppData\Local\Temp\OnboardLogs"\RTDC4017\2017-11-27 &amp; aws s3 cp s3://rtdc.mdm.uploadarchive.raw/RTDC4017/ "%USERPROFILE%\AppData\Local\Temp\OnboardLogs"\RTDC4017\2017-11-28 --exclude "*" --recursive --include "*20171128*" &amp; "%USERPROFILE%\Documents\GitHub\mrs-test-scripts\Headless Mode &amp; Sideloading\WalkAndUnGZ.bat" "%USERPROFILE%\AppData\Local\Temp\OnboardLogs"\RTDC4017\2017-11-28</v>
      </c>
      <c r="AF231" s="235" t="str">
        <f t="shared" si="78"/>
        <v>"C:\Program Files (x86)\AstroGrep\AstroGrep.exe" /e /r /s /spath="%USERPROFILE%\AppData\Local\Temp\OnboardLogs" /stypes="app*4017*20171127*" /stext=" 11:.+((SYSTEM_STATE.+slice.+state.+changed )|(ment ac)|(multiple cpu faults)|(system.+state.+changed )|(\[timeout)|(PRM\|1\|D)|(kpr)|(kdp)|(train st.+moving)|(\|lc)|(penalty))"</v>
      </c>
      <c r="AG231" s="245" t="str">
        <f t="shared" si="79"/>
        <v>Shuttle/Test</v>
      </c>
      <c r="AH231" s="237" t="str">
        <f t="shared" si="80"/>
        <v>"%USERPROFILE%\Documents\GitHub\eaglep3\Utilities\RefineRTDCRunTimes.py" --tripid 86-27 --locoid 4017 --swversion DE.1.0.9.0 --startMP 204:3227 --initTime 2017-11-27T04:28:05 --startdatetime 2017-11-27T04:30:28 --delay 88 --endMP 204:152 --enddatetime 2017-11-27T04:32:32 --enforcementcount 0 &gt;&gt;%USERPROFILE%\Documents\GitHub\eaglep3-reporting\EC\2017-11-27-refined-times.txt</v>
      </c>
      <c r="AI231" s="239" t="str">
        <f t="shared" si="81"/>
        <v>echo {"issue":{"subject":"","project_id":79,"tracker_id":40,"status_id":1,"priority_id":2,"assigned_to_id":338,"start_date":"2017-11-27","description":"","custom_fields":[{"id":1,"name":"Subdivision","value":"Shuttle/Test"},{"id":4,"name":"Milepost","value":"0.0152"},{"id":17,"name":"Train ID","value":"86-27"},{"id":16,"name":"Locomotive ID","value":"4017"},{"id":130,"name":"Impact","value":""},{"id":150,"name":"Time of Event (Mountain Time)","value":"04:32:32"},{"id":151,"name":"Denver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4"/>
      <c r="AK231" s="232"/>
      <c r="AL231" s="232"/>
      <c r="AM231" s="241" t="str">
        <f t="shared" si="82"/>
        <v>start /low /b %USERPROFILE%\Documents\GitHub\eaglep3\Utilities\DownloadLogsFromS3.py --loco 4017 --day 2017-11-27</v>
      </c>
      <c r="AN231" s="242" t="str">
        <f t="shared" si="83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11:32:32"},{"id":29,"name":"Sharepoint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1" t="str">
        <f t="shared" si="84"/>
        <v>https://d0f6bd738d7f1b3e5a7ca70fe4ff75f0.us-east-1.aws.found.io/app/kibana#/discover/Steve-Slow-Train-Analysis-(2080s-and-2083s)?_g=(refreshInterval:(display:Off,pause:!f,section:0,value:0),time:(from:'2017-11-27T03:28:05-0700',mode:absolute,to:'2017-11-27T05:32:32-0700'))&amp;_a=(columns:!('Message%20ID',Summary),filters:!(),index:'emp_*',interval:auto,query:(query_string:(analyze_wildcard:!t,query:'%22rtdc.l.rtdc.4017%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s="20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s="2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4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4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4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4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4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4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4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4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</sheetData>
  <autoFilter ref="A12:AG491">
    <sortState ref="A13:AG491">
      <sortCondition ref="AG13:AG231"/>
      <sortCondition ref="AD13:AD231"/>
    </sortState>
  </autoFilter>
  <sortState ref="A13:AN396">
    <sortCondition ref="AG13:AG396"/>
    <sortCondition ref="AD13:AD396"/>
  </sortState>
  <mergeCells count="1">
    <mergeCell ref="A11:P11"/>
  </mergeCells>
  <conditionalFormatting sqref="W11:W12 W497:X1048576 W13:X231">
    <cfRule type="cellIs" dxfId="10" priority="465" operator="equal">
      <formula>"Y"</formula>
    </cfRule>
  </conditionalFormatting>
  <conditionalFormatting sqref="X497:X1048576 X13:X231">
    <cfRule type="cellIs" dxfId="9" priority="448" operator="greaterThan">
      <formula>1</formula>
    </cfRule>
  </conditionalFormatting>
  <conditionalFormatting sqref="X497:X1048576 X12:X231">
    <cfRule type="cellIs" dxfId="8" priority="445" operator="equal">
      <formula>0</formula>
    </cfRule>
  </conditionalFormatting>
  <conditionalFormatting sqref="A13:S231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1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COUNTIF($O$7:$O$190,"=Y")</f>
        <v>2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COUNTA($O$7:$O$190)-O2</f>
        <v>13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1" t="str">
        <f>"Eagle P3 Braking Events - "&amp;TEXT(Variables!$A$2,"YYYY-mm-dd")</f>
        <v>Eagle P3 Braking Events - 2017-11-27</v>
      </c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43066.285613425927</v>
      </c>
      <c r="B7" s="30" t="s">
        <v>359</v>
      </c>
      <c r="C7" s="30" t="s">
        <v>577</v>
      </c>
      <c r="D7" s="30" t="s">
        <v>49</v>
      </c>
      <c r="E7" s="30" t="s">
        <v>183</v>
      </c>
      <c r="F7" s="42">
        <v>0</v>
      </c>
      <c r="G7" s="42">
        <v>188</v>
      </c>
      <c r="H7" s="42">
        <v>26945</v>
      </c>
      <c r="I7" s="42">
        <v>27177</v>
      </c>
      <c r="J7" s="30" t="s">
        <v>184</v>
      </c>
      <c r="K7" s="42">
        <v>27053</v>
      </c>
      <c r="L7" s="131" t="s">
        <v>50</v>
      </c>
      <c r="M7" s="132">
        <f t="shared" ref="M7:M21" si="0">CONVERT((I7-K7)/10000,"mi","ft")*IF(L7="Increasing Mileposts (1)",-1,1)</f>
        <v>-65.471999999999994</v>
      </c>
      <c r="N7" s="133" t="str">
        <f>VLOOKUP(C7,'Trips&amp;Operators'!$C$1:$G$99911,5,FALSE)</f>
        <v>ROCHA YAOTL</v>
      </c>
      <c r="O7" s="175" t="s">
        <v>178</v>
      </c>
      <c r="P7" s="240" t="s">
        <v>344</v>
      </c>
      <c r="Q7" s="30"/>
      <c r="R7" s="81" t="str">
        <f>VLOOKUP(C7,'Train Runs'!$A$13:$AE$10150,31,0)</f>
        <v>aws s3 cp s3://rtdc.mdm.uploadarchive.raw/RTDC4018/ "%USERPROFILE%\AppData\Local\Temp\OnboardLogs"\RTDC4018\2017-11-27 --exclude "*" --recursive --include "*20171127*" &amp; "%USERPROFILE%\Documents\GitHub\mrs-test-scripts\Headless Mode &amp; Sideloading\WalkAndUnGZ.bat" "%USERPROFILE%\AppData\Local\Temp\OnboardLogs"\RTDC4018\2017-11-27 &amp; aws s3 cp s3://rtdc.mdm.uploadarchive.raw/RTDC4018/ "%USERPROFILE%\AppData\Local\Temp\OnboardLogs"\RTDC4018\2017-11-28 --exclude "*" --recursive --include "*20171128*" &amp; "%USERPROFILE%\Documents\GitHub\mrs-test-scripts\Headless Mode &amp; Sideloading\WalkAndUnGZ.bat" "%USERPROFILE%\AppData\Local\Temp\OnboardLogs"\RTDC4018\2017-11-28</v>
      </c>
      <c r="S7" s="84" t="str">
        <f>VLOOKUP(C7,'Train Runs'!$A$13:$AE$10150,22,0)</f>
        <v>https://d0f6bd738d7f1b3e5a7ca70fe4ff75f0.us-east-1.aws.found.io/app/kibana#/discover/Steve-Slow-Train-Analysis-(2080s-and-2083s)?_g=(refreshInterval:(display:Off,pause:!f,section:0,value:0),time:(from:'2017-11-27T05:41:24-0700',mode:absolute,to:'2017-11-27T08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7" s="86" t="str">
        <f t="shared" ref="T7:T2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/stypes="*4018*201711271*" /stext=" 13:.+((SYSTEM_STATE.+slice.+state.+changed )|(ment ac)|(multiple cpu faults)|(system.+state.+changed )|(\[timeout)|(PRM\|1\|D)|(kpr)|(kdp)|(train st.+moving)|(\|lc)|(penalty))"</v>
      </c>
      <c r="U7" s="9" t="str">
        <f t="shared" ref="U7:U21" si="2">MID(B7,13,4)</f>
        <v>4018</v>
      </c>
      <c r="V7" s="31">
        <f t="shared" ref="V7:V21" si="3">A7-utc_offset/24</f>
        <v>43066.577280092592</v>
      </c>
      <c r="W7" s="45" t="str">
        <f t="shared" ref="W7:W21" si="4">DetSubdiv(C7)</f>
        <v>EC</v>
      </c>
      <c r="X7" s="22">
        <f t="shared" ref="X7:X21" si="5">VALUE(LEFT(C7,LEN(C7)-3))</f>
        <v>125</v>
      </c>
      <c r="Y7" s="96" t="str">
        <f t="shared" ref="Y7:Y2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Arrival","project_id":79,"tracker_id":40,"status_id":1,"priority_id":2,"assigned_to_id":338,"start_date":"2017-11-27","description":"","custom_fields":[{"id":1,"name":"Subdivision","value":"EC"},{"id":4,"name":"Milepost","value":"2.7053"},{"id":17,"name":"Train ID","value":"125-27"},{"id":16,"name":"Locomotive ID","value":"4018"},{"id":130,"name":"Impact","value":""},{"id":150,"name":"Time of Event (Mountain Time)","value":"06:51:17"},{"id":151,"name":"Denver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1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/c/Users/stu/AppData/Local/Temp/OnboardLogs/RTDC4018 --include="*4018*201711271*"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"%USERPROFILE%\AppData\Local\Temp\OnboardLogs"\RTDC4018\*4018*201711271* &gt;&gt; 2017-11-27-SliceDisagreementCheck.txt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4018 --day 2017-11-27</v>
      </c>
    </row>
    <row r="8" spans="1:32" s="1" customFormat="1" x14ac:dyDescent="0.25">
      <c r="A8" s="31">
        <v>43066.285613425927</v>
      </c>
      <c r="B8" s="30" t="s">
        <v>359</v>
      </c>
      <c r="C8" s="30" t="s">
        <v>577</v>
      </c>
      <c r="D8" s="30" t="s">
        <v>49</v>
      </c>
      <c r="E8" s="30" t="s">
        <v>183</v>
      </c>
      <c r="F8" s="42">
        <v>0</v>
      </c>
      <c r="G8" s="42">
        <v>188</v>
      </c>
      <c r="H8" s="42">
        <v>26945</v>
      </c>
      <c r="I8" s="42">
        <v>27177</v>
      </c>
      <c r="J8" s="30" t="s">
        <v>184</v>
      </c>
      <c r="K8" s="42">
        <v>27053</v>
      </c>
      <c r="L8" s="131" t="s">
        <v>50</v>
      </c>
      <c r="M8" s="132">
        <f t="shared" si="0"/>
        <v>-65.471999999999994</v>
      </c>
      <c r="N8" s="133" t="str">
        <f>VLOOKUP(C8,'Trips&amp;Operators'!$C$1:$G$99911,5,FALSE)</f>
        <v>ROCHA YAOTL</v>
      </c>
      <c r="O8" s="175" t="s">
        <v>178</v>
      </c>
      <c r="P8" s="240" t="s">
        <v>344</v>
      </c>
      <c r="Q8" s="30"/>
      <c r="R8" s="81" t="str">
        <f>VLOOKUP(C8,'Train Runs'!$A$13:$AE$10150,31,0)</f>
        <v>aws s3 cp s3://rtdc.mdm.uploadarchive.raw/RTDC4018/ "%USERPROFILE%\AppData\Local\Temp\OnboardLogs"\RTDC4018\2017-11-27 --exclude "*" --recursive --include "*20171127*" &amp; "%USERPROFILE%\Documents\GitHub\mrs-test-scripts\Headless Mode &amp; Sideloading\WalkAndUnGZ.bat" "%USERPROFILE%\AppData\Local\Temp\OnboardLogs"\RTDC4018\2017-11-27 &amp; aws s3 cp s3://rtdc.mdm.uploadarchive.raw/RTDC4018/ "%USERPROFILE%\AppData\Local\Temp\OnboardLogs"\RTDC4018\2017-11-28 --exclude "*" --recursive --include "*20171128*" &amp; "%USERPROFILE%\Documents\GitHub\mrs-test-scripts\Headless Mode &amp; Sideloading\WalkAndUnGZ.bat" "%USERPROFILE%\AppData\Local\Temp\OnboardLogs"\RTDC4018\2017-11-28</v>
      </c>
      <c r="S8" s="84" t="str">
        <f>VLOOKUP(C8,'Train Runs'!$A$13:$AE$10150,22,0)</f>
        <v>https://d0f6bd738d7f1b3e5a7ca70fe4ff75f0.us-east-1.aws.found.io/app/kibana#/discover/Steve-Slow-Train-Analysis-(2080s-and-2083s)?_g=(refreshInterval:(display:Off,pause:!f,section:0,value:0),time:(from:'2017-11-27T05:41:24-0700',mode:absolute,to:'2017-11-27T08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8" s="86" t="str">
        <f t="shared" si="1"/>
        <v>"C:\Program Files (x86)\AstroGrep\AstroGrep.exe" /e /r /s /spath="%USERPROFILE%\AppData\Local\Temp\OnboardLogs" /stypes="*4018*201711271*" /stext=" 13:.+((SYSTEM_STATE.+slice.+state.+changed )|(ment ac)|(multiple cpu faults)|(system.+state.+changed )|(\[timeout)|(PRM\|1\|D)|(kpr)|(kdp)|(train st.+moving)|(\|lc)|(penalty))"</v>
      </c>
      <c r="U8" s="9" t="str">
        <f t="shared" si="2"/>
        <v>4018</v>
      </c>
      <c r="V8" s="31">
        <f t="shared" si="3"/>
        <v>43066.577280092592</v>
      </c>
      <c r="W8" s="45" t="str">
        <f t="shared" si="4"/>
        <v>EC</v>
      </c>
      <c r="X8" s="229">
        <f t="shared" si="5"/>
        <v>125</v>
      </c>
      <c r="Y8" s="239" t="str">
        <f t="shared" si="6"/>
        <v>echo {"issue":{"subject":"Early Arrival","project_id":79,"tracker_id":40,"status_id":1,"priority_id":2,"assigned_to_id":338,"start_date":"2017-11-27","description":"","custom_fields":[{"id":1,"name":"Subdivision","value":"EC"},{"id":4,"name":"Milepost","value":"2.7053"},{"id":17,"name":"Train ID","value":"125-27"},{"id":16,"name":"Locomotive ID","value":"4018"},{"id":130,"name":"Impact","value":""},{"id":150,"name":"Time of Event (Mountain Time)","value":"06:51:17"},{"id":151,"name":"Denver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2"/>
      <c r="AB8" s="232"/>
      <c r="AC8" s="115" t="str">
        <f t="shared" si="7"/>
        <v>grep -hrE -A400 "Enforcement Action" /c/Users/stu/AppData/Local/Temp/OnboardLogs/RTDC4018 --include="*4018*201711271*"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"%USERPROFILE%\AppData\Local\Temp\OnboardLogs"\RTDC4018\*4018*201711271* &gt;&gt; 2017-11-27-SliceDisagreementCheck.txt</v>
      </c>
      <c r="AE8" s="144" t="str">
        <f t="shared" ref="AE8:AE21" si="9">"start /low /b "&amp;dls3logs&amp;" --loco "&amp;U8&amp;" --day "&amp;TEXT(V8,"YYYY-MM-DD")</f>
        <v>start /low /b %USERPROFILE%\Documents\GitHub\eaglep3\Utilities\DownloadLogsFromS3.py --loco 4018 --day 2017-11-27</v>
      </c>
    </row>
    <row r="9" spans="1:32" s="1" customFormat="1" x14ac:dyDescent="0.25">
      <c r="A9" s="31">
        <v>43066.879328703704</v>
      </c>
      <c r="B9" s="30" t="s">
        <v>359</v>
      </c>
      <c r="C9" s="30" t="s">
        <v>588</v>
      </c>
      <c r="D9" s="30" t="s">
        <v>49</v>
      </c>
      <c r="E9" s="30" t="s">
        <v>183</v>
      </c>
      <c r="F9" s="42">
        <v>0</v>
      </c>
      <c r="G9" s="42">
        <v>206</v>
      </c>
      <c r="H9" s="42">
        <v>26998</v>
      </c>
      <c r="I9" s="42">
        <v>27288</v>
      </c>
      <c r="J9" s="30" t="s">
        <v>184</v>
      </c>
      <c r="K9" s="42">
        <v>27053</v>
      </c>
      <c r="L9" s="131" t="s">
        <v>50</v>
      </c>
      <c r="M9" s="132">
        <f t="shared" si="0"/>
        <v>-124.08</v>
      </c>
      <c r="N9" s="133" t="str">
        <f>VLOOKUP(C9,'Trips&amp;Operators'!$C$1:$G$99911,5,FALSE)</f>
        <v>ELBAUM MIKE</v>
      </c>
      <c r="O9" s="175" t="s">
        <v>178</v>
      </c>
      <c r="P9" s="240" t="s">
        <v>344</v>
      </c>
      <c r="Q9" s="30"/>
      <c r="R9" s="81" t="str">
        <f>VLOOKUP(C9,'Train Runs'!$A$13:$AE$10150,31,0)</f>
        <v>aws s3 cp s3://rtdc.mdm.uploadarchive.raw/RTDC4018/ "%USERPROFILE%\AppData\Local\Temp\OnboardLogs"\RTDC4018\2017-11-27 --exclude "*" --recursive --include "*20171127*" &amp; "%USERPROFILE%\Documents\GitHub\mrs-test-scripts\Headless Mode &amp; Sideloading\WalkAndUnGZ.bat" "%USERPROFILE%\AppData\Local\Temp\OnboardLogs"\RTDC4018\2017-11-27 &amp; aws s3 cp s3://rtdc.mdm.uploadarchive.raw/RTDC4018/ "%USERPROFILE%\AppData\Local\Temp\OnboardLogs"\RTDC4018\2017-11-28 --exclude "*" --recursive --include "*20171128*" &amp; "%USERPROFILE%\Documents\GitHub\mrs-test-scripts\Headless Mode &amp; Sideloading\WalkAndUnGZ.bat" "%USERPROFILE%\AppData\Local\Temp\OnboardLogs"\RTDC4018\2017-11-28</v>
      </c>
      <c r="S9" s="84" t="str">
        <f>VLOOKUP(C9,'Train Runs'!$A$13:$AE$10150,22,0)</f>
        <v>https://d0f6bd738d7f1b3e5a7ca70fe4ff75f0.us-east-1.aws.found.io/app/kibana#/discover/Steve-Slow-Train-Analysis-(2080s-and-2083s)?_g=(refreshInterval:(display:Off,pause:!f,section:0,value:0),time:(from:'2017-11-27T19:35:36-0700',mode:absolute,to:'2017-11-27T22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9" s="86" t="str">
        <f t="shared" si="1"/>
        <v>"C:\Program Files (x86)\AstroGrep\AstroGrep.exe" /e /r /s /spath="%USERPROFILE%\AppData\Local\Temp\OnboardLogs" /stypes="*4018*201711280*" /stext=" 04:.+((SYSTEM_STATE.+slice.+state.+changed )|(ment ac)|(multiple cpu faults)|(system.+state.+changed )|(\[timeout)|(PRM\|1\|D)|(kpr)|(kdp)|(train st.+moving)|(\|lc)|(penalty))"</v>
      </c>
      <c r="U9" s="9" t="str">
        <f t="shared" si="2"/>
        <v>4018</v>
      </c>
      <c r="V9" s="31">
        <f t="shared" si="3"/>
        <v>43067.170995370368</v>
      </c>
      <c r="W9" s="45" t="str">
        <f t="shared" si="4"/>
        <v>EC</v>
      </c>
      <c r="X9" s="229">
        <f t="shared" si="5"/>
        <v>229</v>
      </c>
      <c r="Y9" s="239" t="str">
        <f t="shared" si="6"/>
        <v>echo {"issue":{"subject":"Early Arrival","project_id":79,"tracker_id":40,"status_id":1,"priority_id":2,"assigned_to_id":338,"start_date":"2017-11-27","description":"","custom_fields":[{"id":1,"name":"Subdivision","value":"EC"},{"id":4,"name":"Milepost","value":"2.7053"},{"id":17,"name":"Train ID","value":"229-27"},{"id":16,"name":"Locomotive ID","value":"4018"},{"id":130,"name":"Impact","value":""},{"id":150,"name":"Time of Event (Mountain Time)","value":"21:06:14"},{"id":151,"name":"Denver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2"/>
      <c r="AB9" s="232"/>
      <c r="AC9" s="115" t="str">
        <f t="shared" si="7"/>
        <v>grep -hrE -A400 "Enforcement Action" /c/Users/stu/AppData/Local/Temp/OnboardLogs/RTDC4018 --include="*4018*201711280*"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"%USERPROFILE%\AppData\Local\Temp\OnboardLogs"\RTDC4018\*4018*201711280* &gt;&gt; 2017-11-27-SliceDisagreementCheck.txt</v>
      </c>
      <c r="AE9" s="144" t="str">
        <f t="shared" si="9"/>
        <v>start /low /b %USERPROFILE%\Documents\GitHub\eaglep3\Utilities\DownloadLogsFromS3.py --loco 4018 --day 2017-11-28</v>
      </c>
    </row>
    <row r="10" spans="1:32" x14ac:dyDescent="0.25">
      <c r="A10" s="31">
        <v>43066.889606481483</v>
      </c>
      <c r="B10" s="30" t="s">
        <v>589</v>
      </c>
      <c r="C10" s="30" t="s">
        <v>590</v>
      </c>
      <c r="D10" s="30" t="s">
        <v>49</v>
      </c>
      <c r="E10" s="30" t="s">
        <v>183</v>
      </c>
      <c r="F10" s="42">
        <v>290</v>
      </c>
      <c r="G10" s="42">
        <v>341</v>
      </c>
      <c r="H10" s="42">
        <v>58933</v>
      </c>
      <c r="I10" s="42">
        <v>58203</v>
      </c>
      <c r="J10" s="30" t="s">
        <v>184</v>
      </c>
      <c r="K10" s="42">
        <v>58301</v>
      </c>
      <c r="L10" s="131" t="s">
        <v>51</v>
      </c>
      <c r="M10" s="132">
        <f t="shared" si="0"/>
        <v>-51.744</v>
      </c>
      <c r="N10" s="133" t="str">
        <f>VLOOKUP(C10,'Trips&amp;Operators'!$C$1:$G$99911,5,FALSE)</f>
        <v>RESPASS AARON</v>
      </c>
      <c r="O10" s="175" t="s">
        <v>178</v>
      </c>
      <c r="P10" s="240" t="s">
        <v>344</v>
      </c>
      <c r="Q10" s="30"/>
      <c r="R10" s="81" t="str">
        <f>VLOOKUP(C10,'Train Runs'!$A$13:$AE$10150,31,0)</f>
        <v>aws s3 cp s3://rtdc.mdm.uploadarchive.raw/RTDC4043/ "%USERPROFILE%\AppData\Local\Temp\OnboardLogs"\RTDC4043\2017-11-27 --exclude "*" --recursive --include "*20171127*" &amp; "%USERPROFILE%\Documents\GitHub\mrs-test-scripts\Headless Mode &amp; Sideloading\WalkAndUnGZ.bat" "%USERPROFILE%\AppData\Local\Temp\OnboardLogs"\RTDC4043\2017-11-27 &amp; aws s3 cp s3://rtdc.mdm.uploadarchive.raw/RTDC4043/ "%USERPROFILE%\AppData\Local\Temp\OnboardLogs"\RTDC4043\2017-11-28 --exclude "*" --recursive --include "*20171128*" &amp; "%USERPROFILE%\Documents\GitHub\mrs-test-scripts\Headless Mode &amp; Sideloading\WalkAndUnGZ.bat" "%USERPROFILE%\AppData\Local\Temp\OnboardLogs"\RTDC4043\2017-11-28</v>
      </c>
      <c r="S10" s="84" t="str">
        <f>VLOOKUP(C10,'Train Runs'!$A$13:$AE$10150,22,0)</f>
        <v>https://d0f6bd738d7f1b3e5a7ca70fe4ff75f0.us-east-1.aws.found.io/app/kibana#/discover/Steve-Slow-Train-Analysis-(2080s-and-2083s)?_g=(refreshInterval:(display:Off,pause:!f,section:0,value:0),time:(from:'2017-11-27T19:51:46-0700',mode:absolute,to:'2017-11-27T22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0" s="86" t="str">
        <f t="shared" si="1"/>
        <v>"C:\Program Files (x86)\AstroGrep\AstroGrep.exe" /e /r /s /spath="%USERPROFILE%\AppData\Local\Temp\OnboardLogs" /stypes="*4043*201711280*" /stext=" 04:.+((SYSTEM_STATE.+slice.+state.+changed )|(ment ac)|(multiple cpu faults)|(system.+state.+changed )|(\[timeout)|(PRM\|1\|D)|(kpr)|(kdp)|(train st.+moving)|(\|lc)|(penalty))"</v>
      </c>
      <c r="U10" s="9" t="str">
        <f t="shared" si="2"/>
        <v>4043</v>
      </c>
      <c r="V10" s="31">
        <f t="shared" si="3"/>
        <v>43067.181273148148</v>
      </c>
      <c r="W10" s="45" t="str">
        <f t="shared" si="4"/>
        <v>EC</v>
      </c>
      <c r="X10" s="229">
        <f t="shared" si="5"/>
        <v>226</v>
      </c>
      <c r="Y10" s="239" t="str">
        <f t="shared" si="6"/>
        <v>echo {"issue":{"subject":"Early Arrival","project_id":79,"tracker_id":40,"status_id":1,"priority_id":2,"assigned_to_id":338,"start_date":"2017-11-27","description":"","custom_fields":[{"id":1,"name":"Subdivision","value":"EC"},{"id":4,"name":"Milepost","value":"5.8301"},{"id":17,"name":"Train ID","value":"226-27"},{"id":16,"name":"Locomotive ID","value":"4043"},{"id":130,"name":"Impact","value":""},{"id":150,"name":"Time of Event (Mountain Time)","value":"21:21:02"},{"id":151,"name":"Denver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2"/>
      <c r="AB10" s="232"/>
      <c r="AC10" s="115" t="str">
        <f t="shared" si="7"/>
        <v>grep -hrE -A400 "Enforcement Action" /c/Users/stu/AppData/Local/Temp/OnboardLogs/RTDC4043 --include="*4043*201711280*"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"%USERPROFILE%\AppData\Local\Temp\OnboardLogs"\RTDC4043\*4043*201711280* &gt;&gt; 2017-11-27-SliceDisagreementCheck.txt</v>
      </c>
      <c r="AE10" s="144" t="str">
        <f t="shared" si="9"/>
        <v>start /low /b %USERPROFILE%\Documents\GitHub\eaglep3\Utilities\DownloadLogsFromS3.py --loco 4043 --day 2017-11-28</v>
      </c>
      <c r="AF10" s="1"/>
    </row>
    <row r="11" spans="1:32" x14ac:dyDescent="0.25">
      <c r="A11" s="31">
        <v>43066.40525462963</v>
      </c>
      <c r="B11" s="30" t="s">
        <v>361</v>
      </c>
      <c r="C11" s="30" t="s">
        <v>581</v>
      </c>
      <c r="D11" s="30" t="s">
        <v>49</v>
      </c>
      <c r="E11" s="30" t="s">
        <v>183</v>
      </c>
      <c r="F11" s="42">
        <v>0</v>
      </c>
      <c r="G11" s="42">
        <v>426</v>
      </c>
      <c r="H11" s="42">
        <v>109469</v>
      </c>
      <c r="I11" s="42">
        <v>108517</v>
      </c>
      <c r="J11" s="30" t="s">
        <v>184</v>
      </c>
      <c r="K11" s="42">
        <v>109135</v>
      </c>
      <c r="L11" s="131" t="s">
        <v>51</v>
      </c>
      <c r="M11" s="132">
        <f t="shared" si="0"/>
        <v>-326.30399999999997</v>
      </c>
      <c r="N11" s="133" t="str">
        <f>VLOOKUP(C11,'Trips&amp;Operators'!$C$1:$G$99911,5,FALSE)</f>
        <v>ROCHA YAOTL</v>
      </c>
      <c r="O11" s="175" t="s">
        <v>178</v>
      </c>
      <c r="P11" s="240" t="s">
        <v>344</v>
      </c>
      <c r="Q11" s="30"/>
      <c r="R11" s="81" t="str">
        <f>VLOOKUP(C11,'Train Runs'!$A$13:$AE$10150,31,0)</f>
        <v>aws s3 cp s3://rtdc.mdm.uploadarchive.raw/RTDC4017/ "%USERPROFILE%\AppData\Local\Temp\OnboardLogs"\RTDC4017\2017-11-27 --exclude "*" --recursive --include "*20171127*" &amp; "%USERPROFILE%\Documents\GitHub\mrs-test-scripts\Headless Mode &amp; Sideloading\WalkAndUnGZ.bat" "%USERPROFILE%\AppData\Local\Temp\OnboardLogs"\RTDC4017\2017-11-27 &amp; aws s3 cp s3://rtdc.mdm.uploadarchive.raw/RTDC4017/ "%USERPROFILE%\AppData\Local\Temp\OnboardLogs"\RTDC4017\2017-11-28 --exclude "*" --recursive --include "*20171128*" &amp; "%USERPROFILE%\Documents\GitHub\mrs-test-scripts\Headless Mode &amp; Sideloading\WalkAndUnGZ.bat" "%USERPROFILE%\AppData\Local\Temp\OnboardLogs"\RTDC4017\2017-11-28</v>
      </c>
      <c r="S11" s="84" t="str">
        <f>VLOOKUP(C11,'Train Runs'!$A$13:$AE$10150,22,0)</f>
        <v>https://d0f6bd738d7f1b3e5a7ca70fe4ff75f0.us-east-1.aws.found.io/app/kibana#/discover/Steve-Slow-Train-Analysis-(2080s-and-2083s)?_g=(refreshInterval:(display:Off,pause:!f,section:0,value:0),time:(from:'2017-11-27T08:24:08-0700',mode:absolute,to:'2017-11-27T11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1" s="86" t="str">
        <f t="shared" si="1"/>
        <v>"C:\Program Files (x86)\AstroGrep\AstroGrep.exe" /e /r /s /spath="%USERPROFILE%\AppData\Local\Temp\OnboardLogs" /stypes="*4017*201711271*" /stext=" 16:.+((SYSTEM_STATE.+slice.+state.+changed )|(ment ac)|(multiple cpu faults)|(system.+state.+changed )|(\[timeout)|(PRM\|1\|D)|(kpr)|(kdp)|(train st.+moving)|(\|lc)|(penalty))"</v>
      </c>
      <c r="U11" s="9" t="str">
        <f t="shared" si="2"/>
        <v>4017</v>
      </c>
      <c r="V11" s="31">
        <f t="shared" si="3"/>
        <v>43066.696921296294</v>
      </c>
      <c r="W11" s="45" t="str">
        <f t="shared" si="4"/>
        <v>EC</v>
      </c>
      <c r="X11" s="229">
        <f t="shared" si="5"/>
        <v>140</v>
      </c>
      <c r="Y11" s="239" t="str">
        <f t="shared" si="6"/>
        <v>echo {"issue":{"subject":"Early Arrival","project_id":79,"tracker_id":40,"status_id":1,"priority_id":2,"assigned_to_id":338,"start_date":"2017-11-27","description":"","custom_fields":[{"id":1,"name":"Subdivision","value":"EC"},{"id":4,"name":"Milepost","value":"10.9135"},{"id":17,"name":"Train ID","value":"140-27"},{"id":16,"name":"Locomotive ID","value":"4017"},{"id":130,"name":"Impact","value":""},{"id":150,"name":"Time of Event (Mountain Time)","value":"09:43:34"},{"id":151,"name":"Denver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2"/>
      <c r="AB11" s="232"/>
      <c r="AC11" s="115" t="str">
        <f t="shared" si="7"/>
        <v>grep -hrE -A400 "Enforcement Action" /c/Users/stu/AppData/Local/Temp/OnboardLogs/RTDC4017 --include="*4017*201711271*"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"%USERPROFILE%\AppData\Local\Temp\OnboardLogs"\RTDC4017\*4017*201711271* &gt;&gt; 2017-11-27-SliceDisagreementCheck.txt</v>
      </c>
      <c r="AE11" s="144" t="str">
        <f t="shared" si="9"/>
        <v>start /low /b %USERPROFILE%\Documents\GitHub\eaglep3\Utilities\DownloadLogsFromS3.py --loco 4017 --day 2017-11-27</v>
      </c>
      <c r="AF11" s="1"/>
    </row>
    <row r="12" spans="1:32" x14ac:dyDescent="0.25">
      <c r="A12" s="31">
        <v>43066.337638888886</v>
      </c>
      <c r="B12" s="30" t="s">
        <v>578</v>
      </c>
      <c r="C12" s="30" t="s">
        <v>579</v>
      </c>
      <c r="D12" s="30" t="s">
        <v>49</v>
      </c>
      <c r="E12" s="30" t="s">
        <v>190</v>
      </c>
      <c r="F12" s="42">
        <v>400</v>
      </c>
      <c r="G12" s="42">
        <v>581</v>
      </c>
      <c r="H12" s="42">
        <v>115496</v>
      </c>
      <c r="I12" s="42">
        <v>117314</v>
      </c>
      <c r="J12" s="30" t="s">
        <v>191</v>
      </c>
      <c r="K12" s="42">
        <v>116838</v>
      </c>
      <c r="L12" s="131" t="s">
        <v>50</v>
      </c>
      <c r="M12" s="132">
        <f t="shared" si="0"/>
        <v>-251.328</v>
      </c>
      <c r="N12" s="133" t="str">
        <f>VLOOKUP(C12,'Trips&amp;Operators'!$C$1:$G$99911,5,FALSE)</f>
        <v>STARKS ANGELINA</v>
      </c>
      <c r="O12" s="175" t="s">
        <v>178</v>
      </c>
      <c r="P12" s="240"/>
      <c r="Q12" s="30"/>
      <c r="R12" s="81" t="str">
        <f>VLOOKUP(C12,'Train Runs'!$A$13:$AE$10150,31,0)</f>
        <v>aws s3 cp s3://rtdc.mdm.uploadarchive.raw/RTDC4044/ "%USERPROFILE%\AppData\Local\Temp\OnboardLogs"\RTDC4044\2017-11-27 --exclude "*" --recursive --include "*20171127*" &amp; "%USERPROFILE%\Documents\GitHub\mrs-test-scripts\Headless Mode &amp; Sideloading\WalkAndUnGZ.bat" "%USERPROFILE%\AppData\Local\Temp\OnboardLogs"\RTDC4044\2017-11-27 &amp; aws s3 cp s3://rtdc.mdm.uploadarchive.raw/RTDC4044/ "%USERPROFILE%\AppData\Local\Temp\OnboardLogs"\RTDC4044\2017-11-28 --exclude "*" --recursive --include "*20171128*" &amp; "%USERPROFILE%\Documents\GitHub\mrs-test-scripts\Headless Mode &amp; Sideloading\WalkAndUnGZ.bat" "%USERPROFILE%\AppData\Local\Temp\OnboardLogs"\RTDC4044\2017-11-28</v>
      </c>
      <c r="S12" s="84" t="str">
        <f>VLOOKUP(C12,'Train Runs'!$A$13:$AE$10150,22,0)</f>
        <v>https://d0f6bd738d7f1b3e5a7ca70fe4ff75f0.us-east-1.aws.found.io/app/kibana#/discover/Steve-Slow-Train-Analysis-(2080s-and-2083s)?_g=(refreshInterval:(display:Off,pause:!f,section:0,value:0),time:(from:'2017-11-27T06:42:57-0700',mode:absolute,to:'2017-11-27T09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2" s="86" t="str">
        <f t="shared" si="1"/>
        <v>"C:\Program Files (x86)\AstroGrep\AstroGrep.exe" /e /r /s /spath="%USERPROFILE%\AppData\Local\Temp\OnboardLogs" /stypes="*4044*201711271*"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4044</v>
      </c>
      <c r="V12" s="31">
        <f t="shared" si="3"/>
        <v>43066.629305555551</v>
      </c>
      <c r="W12" s="45" t="str">
        <f t="shared" si="4"/>
        <v>EC</v>
      </c>
      <c r="X12" s="229">
        <f t="shared" si="5"/>
        <v>133</v>
      </c>
      <c r="Y12" s="239" t="str">
        <f t="shared" si="6"/>
        <v>echo {"issue":{"subject":"","project_id":79,"tracker_id":40,"status_id":1,"priority_id":2,"assigned_to_id":338,"start_date":"2017-11-27","description":"","custom_fields":[{"id":1,"name":"Subdivision","value":"EC"},{"id":4,"name":"Milepost","value":"11.6838"},{"id":17,"name":"Train ID","value":"133-27"},{"id":16,"name":"Locomotive ID","value":"4044"},{"id":130,"name":"Impact","value":""},{"id":150,"name":"Time of Event (Mountain Time)","value":"08:06:12"},{"id":151,"name":"Denver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2"/>
      <c r="AB12" s="232"/>
      <c r="AC12" s="115" t="str">
        <f t="shared" si="7"/>
        <v>grep -hrE -A400 "Enforcement Action" /c/Users/stu/AppData/Local/Temp/OnboardLogs/RTDC4044 --include="*4044*201711271*"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"%USERPROFILE%\AppData\Local\Temp\OnboardLogs"\RTDC4044\*4044*201711271* &gt;&gt; 2017-11-27-SliceDisagreementCheck.txt</v>
      </c>
      <c r="AE12" s="144" t="str">
        <f t="shared" si="9"/>
        <v>start /low /b %USERPROFILE%\Documents\GitHub\eaglep3\Utilities\DownloadLogsFromS3.py --loco 4044 --day 2017-11-27</v>
      </c>
      <c r="AF12" s="1"/>
    </row>
    <row r="13" spans="1:32" x14ac:dyDescent="0.25">
      <c r="A13" s="31">
        <v>43066.404722222222</v>
      </c>
      <c r="B13" s="30" t="s">
        <v>475</v>
      </c>
      <c r="C13" s="30" t="s">
        <v>580</v>
      </c>
      <c r="D13" s="30" t="s">
        <v>49</v>
      </c>
      <c r="E13" s="30" t="s">
        <v>355</v>
      </c>
      <c r="F13" s="42">
        <v>0</v>
      </c>
      <c r="G13" s="42">
        <v>185</v>
      </c>
      <c r="H13" s="42">
        <v>28511</v>
      </c>
      <c r="I13" s="42">
        <v>28060</v>
      </c>
      <c r="J13" s="30" t="s">
        <v>356</v>
      </c>
      <c r="K13" s="42">
        <v>28061</v>
      </c>
      <c r="L13" s="131" t="s">
        <v>51</v>
      </c>
      <c r="M13" s="132">
        <f t="shared" si="0"/>
        <v>-0.52800000000000002</v>
      </c>
      <c r="N13" s="133" t="str">
        <f>VLOOKUP(C13,'Trips&amp;Operators'!$C$1:$G$99911,5,FALSE)</f>
        <v>MAELZER KURT</v>
      </c>
      <c r="O13" s="175" t="s">
        <v>349</v>
      </c>
      <c r="P13" s="240" t="s">
        <v>1017</v>
      </c>
      <c r="Q13" s="30"/>
      <c r="R13" s="81" t="str">
        <f>VLOOKUP(C13,'Train Runs'!$A$13:$AE$10150,31,0)</f>
        <v>aws s3 cp s3://rtdc.mdm.uploadarchive.raw/RTDC4013/ "%USERPROFILE%\AppData\Local\Temp\OnboardLogs"\RTDC4013\2017-11-27 --exclude "*" --recursive --include "*20171127*" &amp; "%USERPROFILE%\Documents\GitHub\mrs-test-scripts\Headless Mode &amp; Sideloading\WalkAndUnGZ.bat" "%USERPROFILE%\AppData\Local\Temp\OnboardLogs"\RTDC4013\2017-11-27 &amp; aws s3 cp s3://rtdc.mdm.uploadarchive.raw/RTDC4013/ "%USERPROFILE%\AppData\Local\Temp\OnboardLogs"\RTDC4013\2017-11-28 --exclude "*" --recursive --include "*20171128*" &amp; "%USERPROFILE%\Documents\GitHub\mrs-test-scripts\Headless Mode &amp; Sideloading\WalkAndUnGZ.bat" "%USERPROFILE%\AppData\Local\Temp\OnboardLogs"\RTDC4013\2017-11-28</v>
      </c>
      <c r="S13" s="84" t="str">
        <f>VLOOKUP(C13,'Train Runs'!$A$13:$AE$10150,22,0)</f>
        <v>https://d0f6bd738d7f1b3e5a7ca70fe4ff75f0.us-east-1.aws.found.io/app/kibana#/discover/Steve-Slow-Train-Analysis-(2080s-and-2083s)?_g=(refreshInterval:(display:Off,pause:!f,section:0,value:0),time:(from:'2017-11-27T07:59:04-0700',mode:absolute,to:'2017-11-27T10:53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3" s="86" t="str">
        <f t="shared" si="1"/>
        <v>"C:\Program Files (x86)\AstroGrep\AstroGrep.exe" /e /r /s /spath="%USERPROFILE%\AppData\Local\Temp\OnboardLogs" /stypes="*4013*201711271*"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4013</v>
      </c>
      <c r="V13" s="31">
        <f t="shared" si="3"/>
        <v>43066.696388888886</v>
      </c>
      <c r="W13" s="45" t="str">
        <f t="shared" si="4"/>
        <v>EC</v>
      </c>
      <c r="X13" s="229">
        <f t="shared" si="5"/>
        <v>138</v>
      </c>
      <c r="Y13" s="239" t="str">
        <f t="shared" si="6"/>
        <v>echo {"issue":{"subject":"Wi-MAX data drop","project_id":79,"tracker_id":40,"status_id":1,"priority_id":2,"assigned_to_id":338,"start_date":"2017-11-27","description":"","custom_fields":[{"id":1,"name":"Subdivision","value":"EC"},{"id":4,"name":"Milepost","value":"2.8061"},{"id":17,"name":"Train ID","value":"138-27"},{"id":16,"name":"Locomotive ID","value":"4013"},{"id":130,"name":"Impact","value":""},{"id":150,"name":"Time of Event (Mountain Time)","value":"09:42:48"},{"id":151,"name":"Denver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2"/>
      <c r="AB13" s="232"/>
      <c r="AC13" s="115" t="str">
        <f t="shared" si="7"/>
        <v>grep -hrE -A400 "Enforcement Action" /c/Users/stu/AppData/Local/Temp/OnboardLogs/RTDC4013 --include="*4013*201711271*"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"%USERPROFILE%\AppData\Local\Temp\OnboardLogs"\RTDC4013\*4013*201711271* &gt;&gt; 2017-11-27-SliceDisagreementCheck.txt</v>
      </c>
      <c r="AE13" s="144" t="str">
        <f t="shared" si="9"/>
        <v>start /low /b %USERPROFILE%\Documents\GitHub\eaglep3\Utilities\DownloadLogsFromS3.py --loco 4013 --day 2017-11-27</v>
      </c>
      <c r="AF13" s="1"/>
    </row>
    <row r="14" spans="1:32" x14ac:dyDescent="0.25">
      <c r="A14" s="31">
        <v>43066.709097222221</v>
      </c>
      <c r="B14" s="30" t="s">
        <v>361</v>
      </c>
      <c r="C14" s="30" t="s">
        <v>583</v>
      </c>
      <c r="D14" s="30" t="s">
        <v>95</v>
      </c>
      <c r="E14" s="30" t="s">
        <v>420</v>
      </c>
      <c r="F14" s="42">
        <v>0</v>
      </c>
      <c r="G14" s="42">
        <v>568</v>
      </c>
      <c r="H14" s="42">
        <v>14442</v>
      </c>
      <c r="I14" s="42">
        <v>12632</v>
      </c>
      <c r="J14" s="30" t="s">
        <v>421</v>
      </c>
      <c r="K14" s="42">
        <v>17100</v>
      </c>
      <c r="L14" s="131" t="s">
        <v>51</v>
      </c>
      <c r="M14" s="132">
        <f t="shared" si="0"/>
        <v>-2359.1039999999998</v>
      </c>
      <c r="N14" s="133" t="str">
        <f>VLOOKUP(C14,'Trips&amp;Operators'!$C$1:$G$99911,5,FALSE)</f>
        <v>GUZMAN DANNY</v>
      </c>
      <c r="O14" s="175" t="s">
        <v>349</v>
      </c>
      <c r="P14" s="240" t="s">
        <v>1017</v>
      </c>
      <c r="Q14" s="30"/>
      <c r="R14" s="81" t="str">
        <f>VLOOKUP(C14,'Train Runs'!$A$13:$AE$10150,31,0)</f>
        <v>aws s3 cp s3://rtdc.mdm.uploadarchive.raw/RTDC4017/ "%USERPROFILE%\AppData\Local\Temp\OnboardLogs"\RTDC4017\2017-11-27 --exclude "*" --recursive --include "*20171127*" &amp; "%USERPROFILE%\Documents\GitHub\mrs-test-scripts\Headless Mode &amp; Sideloading\WalkAndUnGZ.bat" "%USERPROFILE%\AppData\Local\Temp\OnboardLogs"\RTDC4017\2017-11-27 &amp; aws s3 cp s3://rtdc.mdm.uploadarchive.raw/RTDC4017/ "%USERPROFILE%\AppData\Local\Temp\OnboardLogs"\RTDC4017\2017-11-28 --exclude "*" --recursive --include "*20171128*" &amp; "%USERPROFILE%\Documents\GitHub\mrs-test-scripts\Headless Mode &amp; Sideloading\WalkAndUnGZ.bat" "%USERPROFILE%\AppData\Local\Temp\OnboardLogs"\RTDC4017\2017-11-28</v>
      </c>
      <c r="S14" s="84" t="str">
        <f>VLOOKUP(C14,'Train Runs'!$A$13:$AE$10150,22,0)</f>
        <v>https://d0f6bd738d7f1b3e5a7ca70fe4ff75f0.us-east-1.aws.found.io/app/kibana#/discover/Steve-Slow-Train-Analysis-(2080s-and-2083s)?_g=(refreshInterval:(display:Off,pause:!f,section:0,value:0),time:(from:'2017-11-27T15:08:25-0700',mode:absolute,to:'2017-11-27T18:01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4" s="86" t="str">
        <f t="shared" si="1"/>
        <v>"C:\Program Files (x86)\AstroGrep\AstroGrep.exe" /e /r /s /spath="%USERPROFILE%\AppData\Local\Temp\OnboardLogs" /stypes="*4017*201711280*" /stext=" 00:.+((SYSTEM_STATE.+slice.+state.+changed )|(ment ac)|(multiple cpu faults)|(system.+state.+changed )|(\[timeout)|(PRM\|1\|D)|(kpr)|(kdp)|(train st.+moving)|(\|lc)|(penalty))"</v>
      </c>
      <c r="U14" s="9" t="str">
        <f t="shared" si="2"/>
        <v>4017</v>
      </c>
      <c r="V14" s="31">
        <f t="shared" si="3"/>
        <v>43067.000763888886</v>
      </c>
      <c r="W14" s="45" t="str">
        <f t="shared" si="4"/>
        <v>EC</v>
      </c>
      <c r="X14" s="229">
        <f t="shared" si="5"/>
        <v>196</v>
      </c>
      <c r="Y14" s="239" t="str">
        <f t="shared" si="6"/>
        <v>echo {"issue":{"subject":"Wi-MAX data drop","project_id":79,"tracker_id":40,"status_id":1,"priority_id":2,"assigned_to_id":338,"start_date":"2017-11-27","description":"","custom_fields":[{"id":1,"name":"Subdivision","value":"EC"},{"id":4,"name":"Milepost","value":"1.71"},{"id":17,"name":"Train ID","value":"196-27"},{"id":16,"name":"Locomotive ID","value":"4017"},{"id":130,"name":"Impact","value":""},{"id":150,"name":"Time of Event (Mountain Time)","value":"17:01:06"},{"id":151,"name":"Denver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2"/>
      <c r="AB14" s="232"/>
      <c r="AC14" s="115" t="str">
        <f t="shared" si="7"/>
        <v>grep -hrE -A400 "Enforcement Action" /c/Users/stu/AppData/Local/Temp/OnboardLogs/RTDC4017 --include="*4017*201711280*"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"%USERPROFILE%\AppData\Local\Temp\OnboardLogs"\RTDC4017\*4017*201711280* &gt;&gt; 2017-11-27-SliceDisagreementCheck.txt</v>
      </c>
      <c r="AE14" s="144" t="str">
        <f t="shared" si="9"/>
        <v>start /low /b %USERPROFILE%\Documents\GitHub\eaglep3\Utilities\DownloadLogsFromS3.py --loco 4017 --day 2017-11-28</v>
      </c>
      <c r="AF14" s="1"/>
    </row>
    <row r="15" spans="1:32" x14ac:dyDescent="0.25">
      <c r="A15" s="31">
        <v>43066.84952546296</v>
      </c>
      <c r="B15" s="30" t="s">
        <v>361</v>
      </c>
      <c r="C15" s="30" t="s">
        <v>585</v>
      </c>
      <c r="D15" s="30" t="s">
        <v>49</v>
      </c>
      <c r="E15" s="30" t="s">
        <v>586</v>
      </c>
      <c r="F15" s="42">
        <v>600</v>
      </c>
      <c r="G15" s="42">
        <v>660</v>
      </c>
      <c r="H15" s="42">
        <v>39862</v>
      </c>
      <c r="I15" s="42">
        <v>37293</v>
      </c>
      <c r="J15" s="30" t="s">
        <v>184</v>
      </c>
      <c r="K15" s="42">
        <v>37500</v>
      </c>
      <c r="L15" s="131" t="s">
        <v>51</v>
      </c>
      <c r="M15" s="132">
        <f t="shared" si="0"/>
        <v>-109.29600000000001</v>
      </c>
      <c r="N15" s="133" t="str">
        <f>VLOOKUP(C15,'Trips&amp;Operators'!$C$1:$G$99911,5,FALSE)</f>
        <v>ELBAUM MIKE</v>
      </c>
      <c r="O15" s="175" t="s">
        <v>178</v>
      </c>
      <c r="P15" s="240"/>
      <c r="Q15" s="30"/>
      <c r="R15" s="81" t="str">
        <f>VLOOKUP(C15,'Train Runs'!$A$13:$AE$10150,31,0)</f>
        <v>aws s3 cp s3://rtdc.mdm.uploadarchive.raw/RTDC4017/ "%USERPROFILE%\AppData\Local\Temp\OnboardLogs"\RTDC4017\2017-11-27 --exclude "*" --recursive --include "*20171127*" &amp; "%USERPROFILE%\Documents\GitHub\mrs-test-scripts\Headless Mode &amp; Sideloading\WalkAndUnGZ.bat" "%USERPROFILE%\AppData\Local\Temp\OnboardLogs"\RTDC4017\2017-11-27 &amp; aws s3 cp s3://rtdc.mdm.uploadarchive.raw/RTDC4017/ "%USERPROFILE%\AppData\Local\Temp\OnboardLogs"\RTDC4017\2017-11-28 --exclude "*" --recursive --include "*20171128*" &amp; "%USERPROFILE%\Documents\GitHub\mrs-test-scripts\Headless Mode &amp; Sideloading\WalkAndUnGZ.bat" "%USERPROFILE%\AppData\Local\Temp\OnboardLogs"\RTDC4017\2017-11-28</v>
      </c>
      <c r="S15" s="84" t="str">
        <f>VLOOKUP(C15,'Train Runs'!$A$13:$AE$10150,22,0)</f>
        <v>https://d0f6bd738d7f1b3e5a7ca70fe4ff75f0.us-east-1.aws.found.io/app/kibana#/discover/Steve-Slow-Train-Analysis-(2080s-and-2083s)?_g=(refreshInterval:(display:Off,pause:!f,section:0,value:0),time:(from:'2017-11-27T18:36:55-0700',mode:absolute,to:'2017-11-27T21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5" s="86" t="str">
        <f t="shared" si="1"/>
        <v>"C:\Program Files (x86)\AstroGrep\AstroGrep.exe" /e /r /s /spath="%USERPROFILE%\AppData\Local\Temp\OnboardLogs" /stypes="*4017*201711280*" /stext=" 03:.+((SYSTEM_STATE.+slice.+state.+changed )|(ment ac)|(multiple cpu faults)|(system.+state.+changed )|(\[timeout)|(PRM\|1\|D)|(kpr)|(kdp)|(train st.+moving)|(\|lc)|(penalty))"</v>
      </c>
      <c r="U15" s="9" t="str">
        <f t="shared" si="2"/>
        <v>4017</v>
      </c>
      <c r="V15" s="31">
        <f t="shared" si="3"/>
        <v>43067.141192129624</v>
      </c>
      <c r="W15" s="45" t="str">
        <f t="shared" si="4"/>
        <v>EC</v>
      </c>
      <c r="X15" s="229">
        <f t="shared" si="5"/>
        <v>222</v>
      </c>
      <c r="Y15" s="239" t="str">
        <f t="shared" si="6"/>
        <v>echo {"issue":{"subject":"","project_id":79,"tracker_id":40,"status_id":1,"priority_id":2,"assigned_to_id":338,"start_date":"2017-11-27","description":"","custom_fields":[{"id":1,"name":"Subdivision","value":"EC"},{"id":4,"name":"Milepost","value":"3.75"},{"id":17,"name":"Train ID","value":"222-27"},{"id":16,"name":"Locomotive ID","value":"4017"},{"id":130,"name":"Impact","value":""},{"id":150,"name":"Time of Event (Mountain Time)","value":"20:23:19"},{"id":151,"name":"Denver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2"/>
      <c r="AB15" s="232"/>
      <c r="AC15" s="115" t="str">
        <f t="shared" si="7"/>
        <v>grep -hrE -A400 "Enforcement Action" /c/Users/stu/AppData/Local/Temp/OnboardLogs/RTDC4017 --include="*4017*201711280*"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"%USERPROFILE%\AppData\Local\Temp\OnboardLogs"\RTDC4017\*4017*201711280* &gt;&gt; 2017-11-27-SliceDisagreementCheck.txt</v>
      </c>
      <c r="AE15" s="144" t="str">
        <f t="shared" si="9"/>
        <v>start /low /b %USERPROFILE%\Documents\GitHub\eaglep3\Utilities\DownloadLogsFromS3.py --loco 4017 --day 2017-11-28</v>
      </c>
      <c r="AF15" s="1"/>
    </row>
    <row r="16" spans="1:32" x14ac:dyDescent="0.25">
      <c r="A16" s="31">
        <v>43066.926145833335</v>
      </c>
      <c r="B16" s="30" t="s">
        <v>457</v>
      </c>
      <c r="C16" s="30" t="s">
        <v>591</v>
      </c>
      <c r="D16" s="30" t="s">
        <v>49</v>
      </c>
      <c r="E16" s="30" t="s">
        <v>190</v>
      </c>
      <c r="F16" s="42">
        <v>300</v>
      </c>
      <c r="G16" s="42">
        <v>404</v>
      </c>
      <c r="H16" s="42">
        <v>18654</v>
      </c>
      <c r="I16" s="42">
        <v>19793</v>
      </c>
      <c r="J16" s="30" t="s">
        <v>191</v>
      </c>
      <c r="K16" s="42">
        <v>21312</v>
      </c>
      <c r="L16" s="131" t="s">
        <v>50</v>
      </c>
      <c r="M16" s="132">
        <f t="shared" si="0"/>
        <v>802.03200000000004</v>
      </c>
      <c r="N16" s="133" t="str">
        <f>VLOOKUP(C16,'Trips&amp;Operators'!$C$1:$G$99911,5,FALSE)</f>
        <v>STAMBAUGH JAMES</v>
      </c>
      <c r="O16" s="175" t="s">
        <v>178</v>
      </c>
      <c r="P16" s="240"/>
      <c r="Q16" s="30"/>
      <c r="R16" s="81" t="str">
        <f>VLOOKUP(C16,'Train Runs'!$A$13:$AE$10150,31,0)</f>
        <v>aws s3 cp s3://rtdc.mdm.uploadarchive.raw/RTDC4056/ "%USERPROFILE%\AppData\Local\Temp\OnboardLogs"\RTDC4056\2017-11-27 --exclude "*" --recursive --include "*20171127*" &amp; "%USERPROFILE%\Documents\GitHub\mrs-test-scripts\Headless Mode &amp; Sideloading\WalkAndUnGZ.bat" "%USERPROFILE%\AppData\Local\Temp\OnboardLogs"\RTDC4056\2017-11-27 &amp; aws s3 cp s3://rtdc.mdm.uploadarchive.raw/RTDC4056/ "%USERPROFILE%\AppData\Local\Temp\OnboardLogs"\RTDC4056\2017-11-28 --exclude "*" --recursive --include "*20171128*" &amp; "%USERPROFILE%\Documents\GitHub\mrs-test-scripts\Headless Mode &amp; Sideloading\WalkAndUnGZ.bat" "%USERPROFILE%\AppData\Local\Temp\OnboardLogs"\RTDC4056\2017-11-28</v>
      </c>
      <c r="S16" s="84" t="str">
        <f>VLOOKUP(C16,'Train Runs'!$A$13:$AE$10150,22,0)</f>
        <v>https://d0f6bd738d7f1b3e5a7ca70fe4ff75f0.us-east-1.aws.found.io/app/kibana#/discover/Steve-Slow-Train-Analysis-(2080s-and-2083s)?_g=(refreshInterval:(display:Off,pause:!f,section:0,value:0),time:(from:'2017-11-27T21:05:37-0700',mode:absolute,to:'2017-11-27T23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6" s="86" t="str">
        <f t="shared" si="1"/>
        <v>"C:\Program Files (x86)\AstroGrep\AstroGrep.exe" /e /r /s /spath="%USERPROFILE%\AppData\Local\Temp\OnboardLogs" /stypes="*4056*201711280*" /stext=" 05:.+((SYSTEM_STATE.+slice.+state.+changed )|(ment ac)|(multiple cpu faults)|(system.+state.+changed )|(\[timeout)|(PRM\|1\|D)|(kpr)|(kdp)|(train st.+moving)|(\|lc)|(penalty))"</v>
      </c>
      <c r="U16" s="9" t="str">
        <f t="shared" si="2"/>
        <v>4056</v>
      </c>
      <c r="V16" s="31">
        <f t="shared" si="3"/>
        <v>43067.217812499999</v>
      </c>
      <c r="W16" s="45" t="str">
        <f t="shared" si="4"/>
        <v>NW</v>
      </c>
      <c r="X16" s="229">
        <f t="shared" si="5"/>
        <v>847</v>
      </c>
      <c r="Y16" s="239" t="str">
        <f t="shared" si="6"/>
        <v>echo {"issue":{"subject":"","project_id":79,"tracker_id":40,"status_id":1,"priority_id":2,"assigned_to_id":338,"start_date":"2017-11-27","description":"","custom_fields":[{"id":1,"name":"Subdivision","value":"NW"},{"id":4,"name":"Milepost","value":"2.1312"},{"id":17,"name":"Train ID","value":"847-27"},{"id":16,"name":"Locomotive ID","value":"4056"},{"id":130,"name":"Impact","value":""},{"id":150,"name":"Time of Event (Mountain Time)","value":"22:13:39"},{"id":151,"name":"Denver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2"/>
      <c r="AB16" s="232"/>
      <c r="AC16" s="115" t="str">
        <f t="shared" si="7"/>
        <v>grep -hrE -A400 "Enforcement Action" /c/Users/stu/AppData/Local/Temp/OnboardLogs/RTDC4056 --include="*4056*201711280*"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"%USERPROFILE%\AppData\Local\Temp\OnboardLogs"\RTDC4056\*4056*201711280* &gt;&gt; 2017-11-27-SliceDisagreementCheck.txt</v>
      </c>
      <c r="AE16" s="144" t="str">
        <f t="shared" si="9"/>
        <v>start /low /b %USERPROFILE%\Documents\GitHub\eaglep3\Utilities\DownloadLogsFromS3.py --loco 4056 --day 2017-11-28</v>
      </c>
      <c r="AF16" s="1"/>
    </row>
    <row r="17" spans="1:32" x14ac:dyDescent="0.25">
      <c r="A17" s="31">
        <v>43066.189375000002</v>
      </c>
      <c r="B17" s="30" t="s">
        <v>475</v>
      </c>
      <c r="C17" s="30" t="s">
        <v>576</v>
      </c>
      <c r="D17" s="30" t="s">
        <v>49</v>
      </c>
      <c r="E17" s="30" t="s">
        <v>355</v>
      </c>
      <c r="F17" s="42">
        <v>0</v>
      </c>
      <c r="G17" s="42">
        <v>151</v>
      </c>
      <c r="H17" s="42">
        <v>5628</v>
      </c>
      <c r="I17" s="42">
        <v>5427</v>
      </c>
      <c r="J17" s="30" t="s">
        <v>356</v>
      </c>
      <c r="K17" s="42">
        <v>4790</v>
      </c>
      <c r="L17" s="131" t="s">
        <v>51</v>
      </c>
      <c r="M17" s="132">
        <f t="shared" si="0"/>
        <v>336.33600000000001</v>
      </c>
      <c r="N17" s="133" t="str">
        <f>VLOOKUP(C17,'Trips&amp;Operators'!$C$1:$G$99911,5,FALSE)</f>
        <v>MAELZER KURT</v>
      </c>
      <c r="O17" s="175" t="s">
        <v>178</v>
      </c>
      <c r="P17" s="240"/>
      <c r="Q17" s="30"/>
      <c r="R17" s="81" t="str">
        <f>VLOOKUP(C17,'Train Runs'!$A$13:$AE$10150,31,0)</f>
        <v>aws s3 cp s3://rtdc.mdm.uploadarchive.raw/RTDC4013/ "%USERPROFILE%\AppData\Local\Temp\OnboardLogs"\RTDC4013\2017-11-27 --exclude "*" --recursive --include "*20171127*" &amp; "%USERPROFILE%\Documents\GitHub\mrs-test-scripts\Headless Mode &amp; Sideloading\WalkAndUnGZ.bat" "%USERPROFILE%\AppData\Local\Temp\OnboardLogs"\RTDC4013\2017-11-27 &amp; aws s3 cp s3://rtdc.mdm.uploadarchive.raw/RTDC4013/ "%USERPROFILE%\AppData\Local\Temp\OnboardLogs"\RTDC4013\2017-11-28 --exclude "*" --recursive --include "*20171128*" &amp; "%USERPROFILE%\Documents\GitHub\mrs-test-scripts\Headless Mode &amp; Sideloading\WalkAndUnGZ.bat" "%USERPROFILE%\AppData\Local\Temp\OnboardLogs"\RTDC4013\2017-11-28</v>
      </c>
      <c r="S17" s="84" t="str">
        <f>VLOOKUP(C17,'Train Runs'!$A$13:$AE$10150,22,0)</f>
        <v>https://d0f6bd738d7f1b3e5a7ca70fe4ff75f0.us-east-1.aws.found.io/app/kibana#/discover/Steve-Slow-Train-Analysis-(2080s-and-2083s)?_g=(refreshInterval:(display:Off,pause:!f,section:0,value:0),time:(from:'2017-11-27T03:22:32-0700',mode:absolute,to:'2017-11-27T05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7" s="86" t="str">
        <f t="shared" si="1"/>
        <v>"C:\Program Files (x86)\AstroGrep\AstroGrep.exe" /e /r /s /spath="%USERPROFILE%\AppData\Local\Temp\OnboardLogs" /stypes="*4013*201711271*" /stext=" 11:.+((SYSTEM_STATE.+slice.+state.+changed )|(ment ac)|(multiple cpu faults)|(system.+state.+changed )|(\[timeout)|(PRM\|1\|D)|(kpr)|(kdp)|(train st.+moving)|(\|lc)|(penalty))"</v>
      </c>
      <c r="U17" s="9" t="str">
        <f t="shared" si="2"/>
        <v>4013</v>
      </c>
      <c r="V17" s="31">
        <f t="shared" si="3"/>
        <v>43066.481041666666</v>
      </c>
      <c r="W17" s="45" t="str">
        <f t="shared" si="4"/>
        <v>Other</v>
      </c>
      <c r="X17" s="229">
        <f t="shared" si="5"/>
        <v>308</v>
      </c>
      <c r="Y17" s="239" t="str">
        <f t="shared" si="6"/>
        <v>echo {"issue":{"subject":"","project_id":79,"tracker_id":40,"status_id":1,"priority_id":2,"assigned_to_id":338,"start_date":"2017-11-27","description":"","custom_fields":[{"id":1,"name":"Subdivision","value":"Other"},{"id":4,"name":"Milepost","value":"0.479"},{"id":17,"name":"Train ID","value":"308-27"},{"id":16,"name":"Locomotive ID","value":"4013"},{"id":130,"name":"Impact","value":""},{"id":150,"name":"Time of Event (Mountain Time)","value":"04:32:42"},{"id":151,"name":"Denver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2"/>
      <c r="AB17" s="232"/>
      <c r="AC17" s="115" t="str">
        <f t="shared" si="7"/>
        <v>grep -hrE -A400 "Enforcement Action" /c/Users/stu/AppData/Local/Temp/OnboardLogs/RTDC4013 --include="*4013*201711271*"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"%USERPROFILE%\AppData\Local\Temp\OnboardLogs"\RTDC4013\*4013*201711271* &gt;&gt; 2017-11-27-SliceDisagreementCheck.txt</v>
      </c>
      <c r="AE17" s="144" t="str">
        <f t="shared" si="9"/>
        <v>start /low /b %USERPROFILE%\Documents\GitHub\eaglep3\Utilities\DownloadLogsFromS3.py --loco 4013 --day 2017-11-27</v>
      </c>
      <c r="AF17" s="1"/>
    </row>
    <row r="18" spans="1:32" x14ac:dyDescent="0.25">
      <c r="A18" s="31">
        <v>43066.189375000002</v>
      </c>
      <c r="B18" s="30" t="s">
        <v>475</v>
      </c>
      <c r="C18" s="30" t="s">
        <v>576</v>
      </c>
      <c r="D18" s="30" t="s">
        <v>49</v>
      </c>
      <c r="E18" s="30" t="s">
        <v>355</v>
      </c>
      <c r="F18" s="42">
        <v>0</v>
      </c>
      <c r="G18" s="42">
        <v>151</v>
      </c>
      <c r="H18" s="42">
        <v>5628</v>
      </c>
      <c r="I18" s="42">
        <v>5427</v>
      </c>
      <c r="J18" s="30" t="s">
        <v>356</v>
      </c>
      <c r="K18" s="42">
        <v>4790</v>
      </c>
      <c r="L18" s="131" t="s">
        <v>51</v>
      </c>
      <c r="M18" s="132">
        <f t="shared" si="0"/>
        <v>336.33600000000001</v>
      </c>
      <c r="N18" s="133" t="str">
        <f>VLOOKUP(C18,'Trips&amp;Operators'!$C$1:$G$99911,5,FALSE)</f>
        <v>MAELZER KURT</v>
      </c>
      <c r="O18" s="175" t="s">
        <v>178</v>
      </c>
      <c r="P18" s="240"/>
      <c r="Q18" s="30"/>
      <c r="R18" s="81" t="str">
        <f>VLOOKUP(C18,'Train Runs'!$A$13:$AE$10150,31,0)</f>
        <v>aws s3 cp s3://rtdc.mdm.uploadarchive.raw/RTDC4013/ "%USERPROFILE%\AppData\Local\Temp\OnboardLogs"\RTDC4013\2017-11-27 --exclude "*" --recursive --include "*20171127*" &amp; "%USERPROFILE%\Documents\GitHub\mrs-test-scripts\Headless Mode &amp; Sideloading\WalkAndUnGZ.bat" "%USERPROFILE%\AppData\Local\Temp\OnboardLogs"\RTDC4013\2017-11-27 &amp; aws s3 cp s3://rtdc.mdm.uploadarchive.raw/RTDC4013/ "%USERPROFILE%\AppData\Local\Temp\OnboardLogs"\RTDC4013\2017-11-28 --exclude "*" --recursive --include "*20171128*" &amp; "%USERPROFILE%\Documents\GitHub\mrs-test-scripts\Headless Mode &amp; Sideloading\WalkAndUnGZ.bat" "%USERPROFILE%\AppData\Local\Temp\OnboardLogs"\RTDC4013\2017-11-28</v>
      </c>
      <c r="S18" s="84" t="str">
        <f>VLOOKUP(C18,'Train Runs'!$A$13:$AE$10150,22,0)</f>
        <v>https://d0f6bd738d7f1b3e5a7ca70fe4ff75f0.us-east-1.aws.found.io/app/kibana#/discover/Steve-Slow-Train-Analysis-(2080s-and-2083s)?_g=(refreshInterval:(display:Off,pause:!f,section:0,value:0),time:(from:'2017-11-27T03:22:32-0700',mode:absolute,to:'2017-11-27T05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8" s="86" t="str">
        <f t="shared" si="1"/>
        <v>"C:\Program Files (x86)\AstroGrep\AstroGrep.exe" /e /r /s /spath="%USERPROFILE%\AppData\Local\Temp\OnboardLogs" /stypes="*4013*201711271*" /stext=" 11:.+((SYSTEM_STATE.+slice.+state.+changed )|(ment ac)|(multiple cpu faults)|(system.+state.+changed )|(\[timeout)|(PRM\|1\|D)|(kpr)|(kdp)|(train st.+moving)|(\|lc)|(penalty))"</v>
      </c>
      <c r="U18" s="9" t="str">
        <f t="shared" si="2"/>
        <v>4013</v>
      </c>
      <c r="V18" s="31">
        <f t="shared" si="3"/>
        <v>43066.481041666666</v>
      </c>
      <c r="W18" s="45" t="str">
        <f t="shared" si="4"/>
        <v>Other</v>
      </c>
      <c r="X18" s="229">
        <f t="shared" si="5"/>
        <v>308</v>
      </c>
      <c r="Y18" s="239" t="str">
        <f t="shared" si="6"/>
        <v>echo {"issue":{"subject":"","project_id":79,"tracker_id":40,"status_id":1,"priority_id":2,"assigned_to_id":338,"start_date":"2017-11-27","description":"","custom_fields":[{"id":1,"name":"Subdivision","value":"Other"},{"id":4,"name":"Milepost","value":"0.479"},{"id":17,"name":"Train ID","value":"308-27"},{"id":16,"name":"Locomotive ID","value":"4013"},{"id":130,"name":"Impact","value":""},{"id":150,"name":"Time of Event (Mountain Time)","value":"04:32:42"},{"id":151,"name":"Denver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2"/>
      <c r="AB18" s="232"/>
      <c r="AC18" s="115" t="str">
        <f t="shared" si="7"/>
        <v>grep -hrE -A400 "Enforcement Action" /c/Users/stu/AppData/Local/Temp/OnboardLogs/RTDC4013 --include="*4013*201711271*"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"%USERPROFILE%\AppData\Local\Temp\OnboardLogs"\RTDC4013\*4013*201711271* &gt;&gt; 2017-11-27-SliceDisagreementCheck.txt</v>
      </c>
      <c r="AE18" s="144" t="str">
        <f t="shared" si="9"/>
        <v>start /low /b %USERPROFILE%\Documents\GitHub\eaglep3\Utilities\DownloadLogsFromS3.py --loco 4013 --day 2017-11-27</v>
      </c>
      <c r="AF18" s="1"/>
    </row>
    <row r="19" spans="1:32" x14ac:dyDescent="0.25">
      <c r="A19" s="31">
        <v>43066.786597222221</v>
      </c>
      <c r="B19" s="30" t="s">
        <v>474</v>
      </c>
      <c r="C19" s="30" t="s">
        <v>584</v>
      </c>
      <c r="D19" s="30" t="s">
        <v>49</v>
      </c>
      <c r="E19" s="30" t="s">
        <v>355</v>
      </c>
      <c r="F19" s="42">
        <v>0</v>
      </c>
      <c r="G19" s="42">
        <v>148</v>
      </c>
      <c r="H19" s="42">
        <v>22287</v>
      </c>
      <c r="I19" s="42">
        <v>22688</v>
      </c>
      <c r="J19" s="30" t="s">
        <v>356</v>
      </c>
      <c r="K19" s="42">
        <v>22314</v>
      </c>
      <c r="L19" s="131" t="s">
        <v>50</v>
      </c>
      <c r="M19" s="132">
        <f t="shared" si="0"/>
        <v>-197.47200000000001</v>
      </c>
      <c r="N19" s="133" t="str">
        <f>VLOOKUP(C19,'Trips&amp;Operators'!$C$1:$G$99911,5,FALSE)</f>
        <v>LORI SANTOS</v>
      </c>
      <c r="O19" s="175" t="s">
        <v>178</v>
      </c>
      <c r="P19" s="240" t="s">
        <v>1019</v>
      </c>
      <c r="Q19" s="30"/>
      <c r="R19" s="81" t="str">
        <f>VLOOKUP(C19,'Train Runs'!$A$13:$AE$10150,31,0)</f>
        <v>aws s3 cp s3://rtdc.mdm.uploadarchive.raw/RTDC4014/ "%USERPROFILE%\AppData\Local\Temp\OnboardLogs"\RTDC4014\2017-11-27 --exclude "*" --recursive --include "*20171127*" &amp; "%USERPROFILE%\Documents\GitHub\mrs-test-scripts\Headless Mode &amp; Sideloading\WalkAndUnGZ.bat" "%USERPROFILE%\AppData\Local\Temp\OnboardLogs"\RTDC4014\2017-11-27 &amp; aws s3 cp s3://rtdc.mdm.uploadarchive.raw/RTDC4014/ "%USERPROFILE%\AppData\Local\Temp\OnboardLogs"\RTDC4014\2017-11-28 --exclude "*" --recursive --include "*20171128*" &amp; "%USERPROFILE%\Documents\GitHub\mrs-test-scripts\Headless Mode &amp; Sideloading\WalkAndUnGZ.bat" "%USERPROFILE%\AppData\Local\Temp\OnboardLogs"\RTDC4014\2017-11-28</v>
      </c>
      <c r="S19" s="84" t="str">
        <f>VLOOKUP(C19,'Train Runs'!$A$13:$AE$10150,22,0)</f>
        <v>https://d0f6bd738d7f1b3e5a7ca70fe4ff75f0.us-east-1.aws.found.io/app/kibana#/discover/Steve-Slow-Train-Analysis-(2080s-and-2083s)?_g=(refreshInterval:(display:Off,pause:!f,section:0,value:0),time:(from:'2017-11-27T17:41:27-0700',mode:absolute,to:'2017-11-27T19:52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9" s="86" t="str">
        <f t="shared" si="1"/>
        <v>"C:\Program Files (x86)\AstroGrep\AstroGrep.exe" /e /r /s /spath="%USERPROFILE%\AppData\Local\Temp\OnboardLogs" /stypes="*4014*201711280*" /stext=" 01:.+((SYSTEM_STATE.+slice.+state.+changed )|(ment ac)|(multiple cpu faults)|(system.+state.+changed )|(\[timeout)|(PRM\|1\|D)|(kpr)|(kdp)|(train st.+moving)|(\|lc)|(penalty))"</v>
      </c>
      <c r="U19" s="9" t="str">
        <f t="shared" si="2"/>
        <v>4014</v>
      </c>
      <c r="V19" s="31">
        <f t="shared" si="3"/>
        <v>43067.078263888885</v>
      </c>
      <c r="W19" s="45" t="str">
        <f t="shared" si="4"/>
        <v>Other</v>
      </c>
      <c r="X19" s="229">
        <f t="shared" si="5"/>
        <v>301</v>
      </c>
      <c r="Y19" s="239" t="str">
        <f t="shared" si="6"/>
        <v>echo {"issue":{"subject":"Mid-block init","project_id":79,"tracker_id":40,"status_id":1,"priority_id":2,"assigned_to_id":338,"start_date":"2017-11-27","description":"","custom_fields":[{"id":1,"name":"Subdivision","value":"Other"},{"id":4,"name":"Milepost","value":"2.2314"},{"id":17,"name":"Train ID","value":"301-27"},{"id":16,"name":"Locomotive ID","value":"4014"},{"id":130,"name":"Impact","value":""},{"id":150,"name":"Time of Event (Mountain Time)","value":"18:52:42"},{"id":151,"name":"Denver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2"/>
      <c r="AB19" s="232"/>
      <c r="AC19" s="115" t="str">
        <f t="shared" si="7"/>
        <v>grep -hrE -A400 "Enforcement Action" /c/Users/stu/AppData/Local/Temp/OnboardLogs/RTDC4014 --include="*4014*201711280*"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"%USERPROFILE%\AppData\Local\Temp\OnboardLogs"\RTDC4014\*4014*201711280* &gt;&gt; 2017-11-27-SliceDisagreementCheck.txt</v>
      </c>
      <c r="AE19" s="144" t="str">
        <f t="shared" si="9"/>
        <v>start /low /b %USERPROFILE%\Documents\GitHub\eaglep3\Utilities\DownloadLogsFromS3.py --loco 4014 --day 2017-11-28</v>
      </c>
      <c r="AF19" s="1"/>
    </row>
    <row r="20" spans="1:32" x14ac:dyDescent="0.25">
      <c r="A20" s="31">
        <v>43067.053090277775</v>
      </c>
      <c r="B20" s="30" t="s">
        <v>380</v>
      </c>
      <c r="C20" s="30" t="s">
        <v>592</v>
      </c>
      <c r="D20" s="30" t="s">
        <v>95</v>
      </c>
      <c r="E20" s="30" t="s">
        <v>355</v>
      </c>
      <c r="F20" s="42">
        <v>0</v>
      </c>
      <c r="G20" s="42">
        <v>103</v>
      </c>
      <c r="H20" s="42">
        <v>22408</v>
      </c>
      <c r="I20" s="42">
        <v>22559</v>
      </c>
      <c r="J20" s="30" t="s">
        <v>356</v>
      </c>
      <c r="K20" s="42">
        <v>22314</v>
      </c>
      <c r="L20" s="131" t="s">
        <v>50</v>
      </c>
      <c r="M20" s="132">
        <f t="shared" si="0"/>
        <v>-129.36000000000001</v>
      </c>
      <c r="N20" s="133" t="str">
        <f>VLOOKUP(C20,'Trips&amp;Operators'!$C$1:$G$99911,5,FALSE)</f>
        <v>LOZA FIDEL</v>
      </c>
      <c r="O20" s="175" t="s">
        <v>178</v>
      </c>
      <c r="P20" s="240"/>
      <c r="Q20" s="30"/>
      <c r="R20" s="81" t="str">
        <f>VLOOKUP(C20,'Train Runs'!$A$13:$AE$10150,31,0)</f>
        <v>aws s3 cp s3://rtdc.mdm.uploadarchive.raw/RTDC4022/ "%USERPROFILE%\AppData\Local\Temp\OnboardLogs"\RTDC4022\2017-11-28 --exclude "*" --recursive --include "*20171128*" &amp; "%USERPROFILE%\Documents\GitHub\mrs-test-scripts\Headless Mode &amp; Sideloading\WalkAndUnGZ.bat" "%USERPROFILE%\AppData\Local\Temp\OnboardLogs"\RTDC4022\2017-11-28 &amp; 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</v>
      </c>
      <c r="S20" s="84" t="str">
        <f>VLOOKUP(C20,'Train Runs'!$A$13:$AE$10150,22,0)</f>
        <v>https://d0f6bd738d7f1b3e5a7ca70fe4ff75f0.us-east-1.aws.found.io/app/kibana#/discover/Steve-Slow-Train-Analysis-(2080s-and-2083s)?_g=(refreshInterval:(display:Off,pause:!f,section:0,value:0),time:(from:'2017-11-28T00:06:44-0700',mode:absolute,to:'2017-11-28T02:16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0" s="86" t="str">
        <f t="shared" si="1"/>
        <v>"C:\Program Files (x86)\AstroGrep\AstroGrep.exe" /e /r /s /spath="%USERPROFILE%\AppData\Local\Temp\OnboardLogs" /stypes="*4022*201711280*" /stext=" 08:.+((SYSTEM_STATE.+slice.+state.+changed )|(ment ac)|(multiple cpu faults)|(system.+state.+changed )|(\[timeout)|(PRM\|1\|D)|(kpr)|(kdp)|(train st.+moving)|(\|lc)|(penalty))"</v>
      </c>
      <c r="U20" s="9" t="str">
        <f t="shared" si="2"/>
        <v>4022</v>
      </c>
      <c r="V20" s="31">
        <f t="shared" si="3"/>
        <v>43067.34475694444</v>
      </c>
      <c r="W20" s="45" t="str">
        <f t="shared" si="4"/>
        <v>Other</v>
      </c>
      <c r="X20" s="229">
        <f t="shared" si="5"/>
        <v>307</v>
      </c>
      <c r="Y20" s="239" t="str">
        <f t="shared" si="6"/>
        <v>echo {"issue":{"subject":"","project_id":79,"tracker_id":40,"status_id":1,"priority_id":2,"assigned_to_id":338,"start_date":"2017-11-28","description":"","custom_fields":[{"id":1,"name":"Subdivision","value":"Other"},{"id":4,"name":"Milepost","value":"2.2314"},{"id":17,"name":"Train ID","value":"307-27"},{"id":16,"name":"Locomotive ID","value":"4022"},{"id":130,"name":"Impact","value":""},{"id":150,"name":"Time of Event (Mountain Time)","value":"01:16:27"},{"id":151,"name":"Denver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2"/>
      <c r="AB20" s="232"/>
      <c r="AC20" s="115" t="str">
        <f t="shared" si="7"/>
        <v>grep -hrE -A400 "Enforcement Action" /c/Users/stu/AppData/Local/Temp/OnboardLogs/RTDC4022 --include="*4022*201711280*"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"%USERPROFILE%\AppData\Local\Temp\OnboardLogs"\RTDC4022\*4022*201711280* &gt;&gt; 2017-11-27-SliceDisagreementCheck.txt</v>
      </c>
      <c r="AE20" s="144" t="str">
        <f t="shared" si="9"/>
        <v>start /low /b %USERPROFILE%\Documents\GitHub\eaglep3\Utilities\DownloadLogsFromS3.py --loco 4022 --day 2017-11-28</v>
      </c>
      <c r="AF20" s="1"/>
    </row>
    <row r="21" spans="1:32" x14ac:dyDescent="0.25">
      <c r="A21" s="31">
        <v>43067.053726851853</v>
      </c>
      <c r="B21" s="30" t="s">
        <v>380</v>
      </c>
      <c r="C21" s="30" t="s">
        <v>592</v>
      </c>
      <c r="D21" s="30" t="s">
        <v>95</v>
      </c>
      <c r="E21" s="30" t="s">
        <v>355</v>
      </c>
      <c r="F21" s="42">
        <v>0</v>
      </c>
      <c r="G21" s="42">
        <v>8</v>
      </c>
      <c r="H21" s="42">
        <v>22584</v>
      </c>
      <c r="I21" s="42">
        <v>22627</v>
      </c>
      <c r="J21" s="30" t="s">
        <v>356</v>
      </c>
      <c r="K21" s="42">
        <v>22314</v>
      </c>
      <c r="L21" s="131" t="s">
        <v>50</v>
      </c>
      <c r="M21" s="132">
        <f t="shared" si="0"/>
        <v>-165.26400000000001</v>
      </c>
      <c r="N21" s="133" t="str">
        <f>VLOOKUP(C21,'Trips&amp;Operators'!$C$1:$G$99911,5,FALSE)</f>
        <v>LOZA FIDEL</v>
      </c>
      <c r="O21" s="175" t="s">
        <v>178</v>
      </c>
      <c r="P21" s="240"/>
      <c r="Q21" s="30"/>
      <c r="R21" s="81" t="str">
        <f>VLOOKUP(C21,'Train Runs'!$A$13:$AE$10150,31,0)</f>
        <v>aws s3 cp s3://rtdc.mdm.uploadarchive.raw/RTDC4022/ "%USERPROFILE%\AppData\Local\Temp\OnboardLogs"\RTDC4022\2017-11-28 --exclude "*" --recursive --include "*20171128*" &amp; "%USERPROFILE%\Documents\GitHub\mrs-test-scripts\Headless Mode &amp; Sideloading\WalkAndUnGZ.bat" "%USERPROFILE%\AppData\Local\Temp\OnboardLogs"\RTDC4022\2017-11-28 &amp; aws s3 cp s3://rtdc.mdm.uploadarchive.raw/RTDC4022/ "%USERPROFILE%\AppData\Local\Temp\OnboardLogs"\RTDC4022\2017-11-29 --exclude "*" --recursive --include "*20171129*" &amp; "%USERPROFILE%\Documents\GitHub\mrs-test-scripts\Headless Mode &amp; Sideloading\WalkAndUnGZ.bat" "%USERPROFILE%\AppData\Local\Temp\OnboardLogs"\RTDC4022\2017-11-29</v>
      </c>
      <c r="S21" s="84" t="str">
        <f>VLOOKUP(C21,'Train Runs'!$A$13:$AE$10150,22,0)</f>
        <v>https://d0f6bd738d7f1b3e5a7ca70fe4ff75f0.us-east-1.aws.found.io/app/kibana#/discover/Steve-Slow-Train-Analysis-(2080s-and-2083s)?_g=(refreshInterval:(display:Off,pause:!f,section:0,value:0),time:(from:'2017-11-28T00:06:44-0700',mode:absolute,to:'2017-11-28T02:16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1" s="86" t="str">
        <f t="shared" si="1"/>
        <v>"C:\Program Files (x86)\AstroGrep\AstroGrep.exe" /e /r /s /spath="%USERPROFILE%\AppData\Local\Temp\OnboardLogs" /stypes="*4022*201711280*" /stext=" 08:.+((SYSTEM_STATE.+slice.+state.+changed )|(ment ac)|(multiple cpu faults)|(system.+state.+changed )|(\[timeout)|(PRM\|1\|D)|(kpr)|(kdp)|(train st.+moving)|(\|lc)|(penalty))"</v>
      </c>
      <c r="U21" s="9" t="str">
        <f t="shared" si="2"/>
        <v>4022</v>
      </c>
      <c r="V21" s="31">
        <f t="shared" si="3"/>
        <v>43067.345393518517</v>
      </c>
      <c r="W21" s="45" t="str">
        <f t="shared" si="4"/>
        <v>Other</v>
      </c>
      <c r="X21" s="229">
        <f t="shared" si="5"/>
        <v>307</v>
      </c>
      <c r="Y21" s="239" t="str">
        <f t="shared" si="6"/>
        <v>echo {"issue":{"subject":"","project_id":79,"tracker_id":40,"status_id":1,"priority_id":2,"assigned_to_id":338,"start_date":"2017-11-28","description":"","custom_fields":[{"id":1,"name":"Subdivision","value":"Other"},{"id":4,"name":"Milepost","value":"2.2314"},{"id":17,"name":"Train ID","value":"307-27"},{"id":16,"name":"Locomotive ID","value":"4022"},{"id":130,"name":"Impact","value":""},{"id":150,"name":"Time of Event (Mountain Time)","value":"01:17:22"},{"id":151,"name":"Denver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2"/>
      <c r="AB21" s="232"/>
      <c r="AC21" s="115" t="str">
        <f t="shared" si="7"/>
        <v>grep -hrE -A400 "Enforcement Action" /c/Users/stu/AppData/Local/Temp/OnboardLogs/RTDC4022 --include="*4022*201711280*"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"%USERPROFILE%\AppData\Local\Temp\OnboardLogs"\RTDC4022\*4022*201711280* &gt;&gt; 2017-11-27-SliceDisagreementCheck.txt</v>
      </c>
      <c r="AE21" s="144" t="str">
        <f t="shared" si="9"/>
        <v>start /low /b %USERPROFILE%\Documents\GitHub\eaglep3\Utilities\DownloadLogsFromS3.py --loco 4022 --day 2017-11-28</v>
      </c>
      <c r="AF21" s="1"/>
    </row>
    <row r="22" spans="1:32" x14ac:dyDescent="0.25">
      <c r="A22"/>
      <c r="D22"/>
      <c r="E22"/>
      <c r="F22"/>
      <c r="G22"/>
      <c r="H22"/>
      <c r="I22"/>
      <c r="J22"/>
      <c r="K22"/>
      <c r="L22"/>
      <c r="M22"/>
      <c r="N22"/>
      <c r="O22"/>
      <c r="P22"/>
      <c r="R22"/>
      <c r="S22"/>
      <c r="T22"/>
      <c r="V22"/>
      <c r="X22"/>
      <c r="Z22"/>
      <c r="AC22"/>
      <c r="AE22"/>
    </row>
    <row r="23" spans="1:32" x14ac:dyDescent="0.25">
      <c r="A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V23"/>
      <c r="X23"/>
      <c r="Z23"/>
      <c r="AC23"/>
      <c r="AE23"/>
    </row>
    <row r="24" spans="1:32" x14ac:dyDescent="0.25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</sheetData>
  <autoFilter ref="A6:AC16">
    <sortState ref="A7:AC21">
      <sortCondition ref="W7:W21"/>
      <sortCondition ref="E7:E21"/>
      <sortCondition ref="K7:K21"/>
      <sortCondition ref="F7:F21"/>
    </sortState>
  </autoFilter>
  <sortState ref="A7:AE16">
    <sortCondition ref="W7:W16"/>
    <sortCondition ref="E7:E16"/>
    <sortCondition ref="K7:K16"/>
    <sortCondition ref="C7:C16"/>
    <sortCondition ref="F7:F16"/>
  </sortState>
  <mergeCells count="1">
    <mergeCell ref="A5:O5"/>
  </mergeCells>
  <conditionalFormatting sqref="O6:P6 R6 O32:O1048576 O7:O21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1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AA7:AA21</xm:sqref>
        </x14:dataValidation>
        <x14:dataValidation type="list" allowBlank="1" showInputMessage="1" showErrorMessage="1">
          <x14:formula1>
            <xm:f>'Redmine List Values'!$C$2:$C$15</xm:f>
          </x14:formula1>
          <xm:sqref>AB7:AB21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/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2" t="str">
        <f>"Trips that did not appear in PTC Data "&amp;TEXT(Variables!$A$2,"YYYY-mm-dd")</f>
        <v>Trips that did not appear in PTC Data 2017-11-27</v>
      </c>
      <c r="C1" s="252"/>
      <c r="D1" s="252"/>
      <c r="E1" s="252"/>
      <c r="F1" s="252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-27</v>
      </c>
      <c r="C3" s="134"/>
      <c r="D3" s="22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" s="30" t="e">
        <f>VLOOKUP(B3,'Train Runs'!$A$13:$A$100147,1,FALSE)</f>
        <v>#N/A</v>
      </c>
    </row>
    <row r="4" spans="1:10" x14ac:dyDescent="0.25">
      <c r="A4" s="197"/>
      <c r="B4" s="42" t="str">
        <f>A4&amp;"-"&amp;IF(DAY(Variables!$A$2)&lt;10,0,"")&amp;DAY(Variables!$A$2)</f>
        <v>-27</v>
      </c>
      <c r="C4" s="134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" s="30" t="e">
        <f>VLOOKUP(B4,'Train Runs'!$A$13:$A$100147,1,FALSE)</f>
        <v>#N/A</v>
      </c>
    </row>
    <row r="5" spans="1:10" x14ac:dyDescent="0.25">
      <c r="A5" s="197"/>
      <c r="B5" s="42" t="str">
        <f>A5&amp;"-"&amp;IF(DAY(Variables!$A$2)&lt;10,0,"")&amp;DAY(Variables!$A$2)</f>
        <v>-27</v>
      </c>
      <c r="C5" s="134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" s="30" t="e">
        <f>VLOOKUP(B5,'Train Runs'!$A$13:$A$100147,1,FALSE)</f>
        <v>#N/A</v>
      </c>
    </row>
    <row r="6" spans="1:10" x14ac:dyDescent="0.25">
      <c r="A6" s="197"/>
      <c r="B6" s="42" t="str">
        <f>A6&amp;"-"&amp;IF(DAY(Variables!$A$2)&lt;10,0,"")&amp;DAY(Variables!$A$2)</f>
        <v>-27</v>
      </c>
      <c r="C6" s="134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" s="30" t="e">
        <f>VLOOKUP(B6,'Train Runs'!$A$13:$A$100147,1,FALSE)</f>
        <v>#N/A</v>
      </c>
    </row>
    <row r="7" spans="1:10" x14ac:dyDescent="0.25">
      <c r="A7" s="197"/>
      <c r="B7" s="42" t="str">
        <f>A7&amp;"-"&amp;IF(DAY(Variables!$A$2)&lt;10,0,"")&amp;DAY(Variables!$A$2)</f>
        <v>-27</v>
      </c>
      <c r="C7" s="134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" s="30" t="e">
        <f>VLOOKUP(B7,'Train Runs'!$A$13:$A$100147,1,FALSE)</f>
        <v>#N/A</v>
      </c>
    </row>
    <row r="8" spans="1:10" x14ac:dyDescent="0.25">
      <c r="A8" s="197"/>
      <c r="B8" s="42" t="str">
        <f>A8&amp;"-"&amp;IF(DAY(Variables!$A$2)&lt;10,0,"")&amp;DAY(Variables!$A$2)</f>
        <v>-27</v>
      </c>
      <c r="C8" s="134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" s="30" t="e">
        <f>VLOOKUP(B8,'Train Runs'!$A$13:$A$100147,1,FALSE)</f>
        <v>#N/A</v>
      </c>
    </row>
    <row r="9" spans="1:10" x14ac:dyDescent="0.25">
      <c r="A9" s="197"/>
      <c r="B9" s="42" t="str">
        <f>A9&amp;"-"&amp;IF(DAY(Variables!$A$2)&lt;10,0,"")&amp;DAY(Variables!$A$2)</f>
        <v>-27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" s="30" t="e">
        <f>VLOOKUP(B9,'Train Runs'!$A$13:$A$100147,1,FALSE)</f>
        <v>#N/A</v>
      </c>
    </row>
    <row r="10" spans="1:10" x14ac:dyDescent="0.25">
      <c r="A10" s="197"/>
      <c r="B10" s="42" t="str">
        <f>A10&amp;"-"&amp;IF(DAY(Variables!$A$2)&lt;10,0,"")&amp;DAY(Variables!$A$2)</f>
        <v>-27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" s="30" t="e">
        <f>VLOOKUP(B10,'Train Runs'!$A$13:$A$100147,1,FALSE)</f>
        <v>#N/A</v>
      </c>
    </row>
    <row r="11" spans="1:10" x14ac:dyDescent="0.25">
      <c r="A11" s="197"/>
      <c r="B11" s="42" t="str">
        <f>A11&amp;"-"&amp;IF(DAY(Variables!$A$2)&lt;10,0,"")&amp;DAY(Variables!$A$2)</f>
        <v>-27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" s="30" t="e">
        <f>VLOOKUP(B11,'Train Runs'!$A$13:$A$100147,1,FALSE)</f>
        <v>#N/A</v>
      </c>
    </row>
    <row r="12" spans="1:10" x14ac:dyDescent="0.25">
      <c r="A12" s="197"/>
      <c r="B12" s="42" t="str">
        <f>A12&amp;"-"&amp;IF(DAY(Variables!$A$2)&lt;10,0,"")&amp;DAY(Variables!$A$2)</f>
        <v>-27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" s="30" t="e">
        <f>VLOOKUP(B12,'Train Runs'!$A$13:$A$100147,1,FALSE)</f>
        <v>#N/A</v>
      </c>
    </row>
    <row r="13" spans="1:10" x14ac:dyDescent="0.25">
      <c r="A13" s="197"/>
      <c r="B13" s="42" t="str">
        <f>A13&amp;"-"&amp;IF(DAY(Variables!$A$2)&lt;10,0,"")&amp;DAY(Variables!$A$2)</f>
        <v>-27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3" s="30" t="e">
        <f>VLOOKUP(B13,'Train Runs'!$A$13:$A$100147,1,FALSE)</f>
        <v>#N/A</v>
      </c>
    </row>
    <row r="14" spans="1:10" x14ac:dyDescent="0.25">
      <c r="A14" s="197"/>
      <c r="B14" s="42" t="str">
        <f>A14&amp;"-"&amp;IF(DAY(Variables!$A$2)&lt;10,0,"")&amp;DAY(Variables!$A$2)</f>
        <v>-27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4" s="30" t="e">
        <f>VLOOKUP(B14,'Train Runs'!$A$13:$A$100147,1,FALSE)</f>
        <v>#N/A</v>
      </c>
    </row>
    <row r="15" spans="1:10" x14ac:dyDescent="0.25">
      <c r="A15" s="197"/>
      <c r="B15" s="42" t="str">
        <f>A15&amp;"-"&amp;IF(DAY(Variables!$A$2)&lt;10,0,"")&amp;DAY(Variables!$A$2)</f>
        <v>-27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5" s="30" t="e">
        <f>VLOOKUP(B15,'Train Runs'!$A$13:$A$100147,1,FALSE)</f>
        <v>#N/A</v>
      </c>
    </row>
    <row r="16" spans="1:10" x14ac:dyDescent="0.25">
      <c r="A16" s="197"/>
      <c r="B16" s="42" t="str">
        <f>A16&amp;"-"&amp;IF(DAY(Variables!$A$2)&lt;10,0,"")&amp;DAY(Variables!$A$2)</f>
        <v>-27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6" s="30" t="e">
        <f>VLOOKUP(B16,'Train Runs'!$A$13:$A$100147,1,FALSE)</f>
        <v>#N/A</v>
      </c>
    </row>
    <row r="17" spans="1:10" x14ac:dyDescent="0.25">
      <c r="A17" s="197"/>
      <c r="B17" s="42" t="str">
        <f>A17&amp;"-"&amp;IF(DAY(Variables!$A$2)&lt;10,0,"")&amp;DAY(Variables!$A$2)</f>
        <v>-27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7" s="30" t="e">
        <f>VLOOKUP(B17,'Train Runs'!$A$13:$A$100147,1,FALSE)</f>
        <v>#N/A</v>
      </c>
    </row>
    <row r="18" spans="1:10" x14ac:dyDescent="0.25">
      <c r="A18" s="197"/>
      <c r="B18" s="42" t="str">
        <f>A18&amp;"-"&amp;IF(DAY(Variables!$A$2)&lt;10,0,"")&amp;DAY(Variables!$A$2)</f>
        <v>-27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8" s="30" t="e">
        <f>VLOOKUP(B18,'Train Runs'!$A$13:$A$100147,1,FALSE)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8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43066.037546296298</v>
      </c>
      <c r="B2" s="20" t="s">
        <v>360</v>
      </c>
      <c r="C2" s="20" t="s">
        <v>520</v>
      </c>
      <c r="D2" s="137">
        <v>3340000</v>
      </c>
      <c r="E2" s="20" t="s">
        <v>426</v>
      </c>
      <c r="F2" s="20" t="s">
        <v>427</v>
      </c>
      <c r="G2" s="8" t="str">
        <f>E2&amp;" "&amp;F2</f>
        <v>ELBAUM MIKE</v>
      </c>
      <c r="H2" t="str">
        <f>MID(B2,13,4)</f>
        <v>4007</v>
      </c>
    </row>
    <row r="3" spans="1:8" x14ac:dyDescent="0.25">
      <c r="A3" s="8">
        <v>43066.037546296298</v>
      </c>
      <c r="B3" s="20" t="s">
        <v>360</v>
      </c>
      <c r="C3" s="20" t="s">
        <v>520</v>
      </c>
      <c r="D3" s="137">
        <v>3340000</v>
      </c>
      <c r="E3" s="20" t="s">
        <v>426</v>
      </c>
      <c r="F3" s="20" t="s">
        <v>427</v>
      </c>
      <c r="G3" s="8" t="str">
        <f t="shared" ref="G3:G66" si="0">E3&amp;" "&amp;F3</f>
        <v>ELBAUM MIKE</v>
      </c>
      <c r="H3" s="20" t="str">
        <f t="shared" ref="H3:H66" si="1">MID(B3,13,4)</f>
        <v>4007</v>
      </c>
    </row>
    <row r="4" spans="1:8" x14ac:dyDescent="0.25">
      <c r="A4" s="8">
        <v>43066.038657407407</v>
      </c>
      <c r="B4" s="20" t="s">
        <v>360</v>
      </c>
      <c r="C4" s="20" t="s">
        <v>520</v>
      </c>
      <c r="D4" s="137">
        <v>3340000</v>
      </c>
      <c r="E4" s="20" t="s">
        <v>426</v>
      </c>
      <c r="F4" s="20" t="s">
        <v>427</v>
      </c>
      <c r="G4" s="8" t="str">
        <f t="shared" si="0"/>
        <v>ELBAUM MIKE</v>
      </c>
      <c r="H4" s="20" t="str">
        <f t="shared" si="1"/>
        <v>4007</v>
      </c>
    </row>
    <row r="5" spans="1:8" x14ac:dyDescent="0.25">
      <c r="A5" s="8">
        <v>43066.038657407407</v>
      </c>
      <c r="B5" s="20" t="s">
        <v>360</v>
      </c>
      <c r="C5" s="20" t="s">
        <v>520</v>
      </c>
      <c r="D5" s="137">
        <v>3340000</v>
      </c>
      <c r="E5" s="20" t="s">
        <v>426</v>
      </c>
      <c r="F5" s="20" t="s">
        <v>427</v>
      </c>
      <c r="G5" s="8" t="str">
        <f t="shared" si="0"/>
        <v>ELBAUM MIKE</v>
      </c>
      <c r="H5" s="20" t="str">
        <f t="shared" si="1"/>
        <v>4007</v>
      </c>
    </row>
    <row r="6" spans="1:8" x14ac:dyDescent="0.25">
      <c r="A6" s="8">
        <v>43066.046909722223</v>
      </c>
      <c r="B6" s="20" t="s">
        <v>508</v>
      </c>
      <c r="C6" s="20" t="s">
        <v>521</v>
      </c>
      <c r="D6" s="137">
        <v>890000</v>
      </c>
      <c r="E6" s="20" t="s">
        <v>345</v>
      </c>
      <c r="F6" s="20" t="s">
        <v>346</v>
      </c>
      <c r="G6" s="8" t="str">
        <f t="shared" si="0"/>
        <v>LOZA FIDEL</v>
      </c>
      <c r="H6" s="20" t="str">
        <f t="shared" si="1"/>
        <v>4016</v>
      </c>
    </row>
    <row r="7" spans="1:8" x14ac:dyDescent="0.25">
      <c r="A7" s="8">
        <v>43066.046909722223</v>
      </c>
      <c r="B7" s="20" t="s">
        <v>508</v>
      </c>
      <c r="C7" s="20" t="s">
        <v>521</v>
      </c>
      <c r="D7" s="137">
        <v>890000</v>
      </c>
      <c r="E7" s="20" t="s">
        <v>345</v>
      </c>
      <c r="F7" s="20" t="s">
        <v>346</v>
      </c>
      <c r="G7" s="8" t="str">
        <f t="shared" si="0"/>
        <v>LOZA FIDEL</v>
      </c>
      <c r="H7" s="20" t="str">
        <f t="shared" si="1"/>
        <v>4016</v>
      </c>
    </row>
    <row r="8" spans="1:8" x14ac:dyDescent="0.25">
      <c r="A8" s="8">
        <v>43066.049398148149</v>
      </c>
      <c r="B8" s="20" t="s">
        <v>360</v>
      </c>
      <c r="C8" s="20" t="s">
        <v>520</v>
      </c>
      <c r="D8" s="137">
        <v>3340000</v>
      </c>
      <c r="E8" s="20" t="s">
        <v>426</v>
      </c>
      <c r="F8" s="20" t="s">
        <v>427</v>
      </c>
      <c r="G8" s="8" t="str">
        <f t="shared" si="0"/>
        <v>ELBAUM MIKE</v>
      </c>
      <c r="H8" s="20" t="str">
        <f t="shared" si="1"/>
        <v>4007</v>
      </c>
    </row>
    <row r="9" spans="1:8" ht="15.75" thickBot="1" x14ac:dyDescent="0.3">
      <c r="A9" s="24">
        <v>43066.049398148149</v>
      </c>
      <c r="B9" s="20" t="s">
        <v>360</v>
      </c>
      <c r="C9" s="20" t="s">
        <v>520</v>
      </c>
      <c r="D9" s="137">
        <v>3340000</v>
      </c>
      <c r="E9" s="20" t="s">
        <v>426</v>
      </c>
      <c r="F9" s="20" t="s">
        <v>427</v>
      </c>
      <c r="G9" s="8" t="str">
        <f t="shared" si="0"/>
        <v>ELBAUM MIKE</v>
      </c>
      <c r="H9" s="20" t="str">
        <f t="shared" si="1"/>
        <v>4007</v>
      </c>
    </row>
    <row r="10" spans="1:8" x14ac:dyDescent="0.25">
      <c r="A10" s="8">
        <v>43066.056944444441</v>
      </c>
      <c r="B10" s="20" t="s">
        <v>385</v>
      </c>
      <c r="C10" s="20" t="s">
        <v>522</v>
      </c>
      <c r="D10" s="137">
        <v>3220000</v>
      </c>
      <c r="E10" s="20" t="s">
        <v>376</v>
      </c>
      <c r="F10" s="20" t="s">
        <v>377</v>
      </c>
      <c r="G10" s="8" t="str">
        <f t="shared" si="0"/>
        <v>RESPASS AARON</v>
      </c>
      <c r="H10" s="20" t="str">
        <f t="shared" si="1"/>
        <v>4059</v>
      </c>
    </row>
    <row r="11" spans="1:8" x14ac:dyDescent="0.25">
      <c r="A11" s="8">
        <v>43066.056944444441</v>
      </c>
      <c r="B11" s="20" t="s">
        <v>385</v>
      </c>
      <c r="C11" s="20" t="s">
        <v>522</v>
      </c>
      <c r="D11" s="137">
        <v>3220000</v>
      </c>
      <c r="E11" s="20" t="s">
        <v>376</v>
      </c>
      <c r="F11" s="20" t="s">
        <v>377</v>
      </c>
      <c r="G11" s="8" t="str">
        <f t="shared" si="0"/>
        <v>RESPASS AARON</v>
      </c>
      <c r="H11" s="20" t="str">
        <f t="shared" si="1"/>
        <v>4059</v>
      </c>
    </row>
    <row r="12" spans="1:8" x14ac:dyDescent="0.25">
      <c r="A12" s="8">
        <v>43066.067164351851</v>
      </c>
      <c r="B12" s="20" t="s">
        <v>357</v>
      </c>
      <c r="C12" s="20" t="s">
        <v>523</v>
      </c>
      <c r="D12" s="137">
        <v>3340000</v>
      </c>
      <c r="E12" s="20" t="s">
        <v>426</v>
      </c>
      <c r="F12" s="20" t="s">
        <v>427</v>
      </c>
      <c r="G12" s="8" t="str">
        <f t="shared" si="0"/>
        <v>ELBAUM MIKE</v>
      </c>
      <c r="H12" s="20" t="str">
        <f t="shared" si="1"/>
        <v>4008</v>
      </c>
    </row>
    <row r="13" spans="1:8" x14ac:dyDescent="0.25">
      <c r="A13" s="8">
        <v>43066.067164351851</v>
      </c>
      <c r="B13" s="20" t="s">
        <v>357</v>
      </c>
      <c r="C13" s="20" t="s">
        <v>523</v>
      </c>
      <c r="D13" s="137">
        <v>3340000</v>
      </c>
      <c r="E13" s="20" t="s">
        <v>426</v>
      </c>
      <c r="F13" s="20" t="s">
        <v>427</v>
      </c>
      <c r="G13" s="8" t="str">
        <f t="shared" si="0"/>
        <v>ELBAUM MIKE</v>
      </c>
      <c r="H13" s="20" t="str">
        <f t="shared" si="1"/>
        <v>4008</v>
      </c>
    </row>
    <row r="14" spans="1:8" x14ac:dyDescent="0.25">
      <c r="A14" s="8">
        <v>43066.08730324074</v>
      </c>
      <c r="B14" s="20" t="s">
        <v>358</v>
      </c>
      <c r="C14" s="20" t="s">
        <v>524</v>
      </c>
      <c r="D14" s="137">
        <v>3220000</v>
      </c>
      <c r="E14" s="20" t="s">
        <v>376</v>
      </c>
      <c r="F14" s="20" t="s">
        <v>377</v>
      </c>
      <c r="G14" s="8" t="str">
        <f t="shared" si="0"/>
        <v>RESPASS AARON</v>
      </c>
      <c r="H14" s="20" t="str">
        <f t="shared" si="1"/>
        <v>4060</v>
      </c>
    </row>
    <row r="15" spans="1:8" x14ac:dyDescent="0.25">
      <c r="A15" s="8">
        <v>43066.08730324074</v>
      </c>
      <c r="B15" s="20" t="s">
        <v>358</v>
      </c>
      <c r="C15" s="20" t="s">
        <v>524</v>
      </c>
      <c r="D15" s="137">
        <v>3220000</v>
      </c>
      <c r="E15" s="20" t="s">
        <v>376</v>
      </c>
      <c r="F15" s="20" t="s">
        <v>377</v>
      </c>
      <c r="G15" s="8" t="str">
        <f t="shared" si="0"/>
        <v>RESPASS AARON</v>
      </c>
      <c r="H15" s="20" t="str">
        <f t="shared" si="1"/>
        <v>4060</v>
      </c>
    </row>
    <row r="16" spans="1:8" x14ac:dyDescent="0.25">
      <c r="A16" s="8">
        <v>43066.120763888888</v>
      </c>
      <c r="B16" s="20" t="s">
        <v>593</v>
      </c>
      <c r="C16" s="20" t="s">
        <v>594</v>
      </c>
      <c r="D16" s="137">
        <v>900000</v>
      </c>
      <c r="E16" s="20" t="s">
        <v>595</v>
      </c>
      <c r="F16" s="20" t="s">
        <v>596</v>
      </c>
      <c r="G16" s="8" t="str">
        <f t="shared" si="0"/>
        <v>ROCHA YAOTL</v>
      </c>
      <c r="H16" s="20" t="str">
        <f t="shared" si="1"/>
        <v>4031</v>
      </c>
    </row>
    <row r="17" spans="1:8" x14ac:dyDescent="0.25">
      <c r="A17" s="8">
        <v>43066.120763888888</v>
      </c>
      <c r="B17" s="20" t="s">
        <v>593</v>
      </c>
      <c r="C17" s="20" t="s">
        <v>594</v>
      </c>
      <c r="D17" s="137">
        <v>900000</v>
      </c>
      <c r="E17" s="20" t="s">
        <v>595</v>
      </c>
      <c r="F17" s="20" t="s">
        <v>596</v>
      </c>
      <c r="G17" s="8" t="str">
        <f t="shared" si="0"/>
        <v>ROCHA YAOTL</v>
      </c>
      <c r="H17" s="20" t="str">
        <f t="shared" si="1"/>
        <v>4031</v>
      </c>
    </row>
    <row r="18" spans="1:8" x14ac:dyDescent="0.25">
      <c r="A18" s="8">
        <v>43066.1328125</v>
      </c>
      <c r="B18" s="20" t="s">
        <v>386</v>
      </c>
      <c r="C18" s="20" t="s">
        <v>597</v>
      </c>
      <c r="D18" s="137">
        <v>900000</v>
      </c>
      <c r="E18" s="20" t="s">
        <v>595</v>
      </c>
      <c r="F18" s="20" t="s">
        <v>596</v>
      </c>
      <c r="G18" s="8" t="str">
        <f t="shared" si="0"/>
        <v>ROCHA YAOTL</v>
      </c>
      <c r="H18" s="20" t="str">
        <f t="shared" si="1"/>
        <v>4030</v>
      </c>
    </row>
    <row r="19" spans="1:8" x14ac:dyDescent="0.25">
      <c r="A19" s="8">
        <v>43066.1328125</v>
      </c>
      <c r="B19" s="20" t="s">
        <v>386</v>
      </c>
      <c r="C19" s="20" t="s">
        <v>597</v>
      </c>
      <c r="D19" s="137">
        <v>900000</v>
      </c>
      <c r="E19" s="20" t="s">
        <v>595</v>
      </c>
      <c r="F19" s="20" t="s">
        <v>596</v>
      </c>
      <c r="G19" s="8" t="str">
        <f t="shared" si="0"/>
        <v>ROCHA YAOTL</v>
      </c>
      <c r="H19" s="20" t="str">
        <f t="shared" si="1"/>
        <v>4030</v>
      </c>
    </row>
    <row r="20" spans="1:8" x14ac:dyDescent="0.25">
      <c r="A20" s="8">
        <v>43066.140185185184</v>
      </c>
      <c r="B20" s="20" t="s">
        <v>598</v>
      </c>
      <c r="C20" s="20" t="s">
        <v>599</v>
      </c>
      <c r="D20" s="137">
        <v>3790000</v>
      </c>
      <c r="E20" s="20" t="s">
        <v>600</v>
      </c>
      <c r="F20" s="20" t="s">
        <v>601</v>
      </c>
      <c r="G20" s="8" t="str">
        <f t="shared" si="0"/>
        <v>NICHOLAS PLOYSA</v>
      </c>
      <c r="H20" s="20" t="str">
        <f t="shared" si="1"/>
        <v>4021</v>
      </c>
    </row>
    <row r="21" spans="1:8" x14ac:dyDescent="0.25">
      <c r="A21" s="8">
        <v>43066.140185185184</v>
      </c>
      <c r="B21" s="20" t="s">
        <v>598</v>
      </c>
      <c r="C21" s="20" t="s">
        <v>599</v>
      </c>
      <c r="D21" s="137">
        <v>3790000</v>
      </c>
      <c r="E21" s="20" t="s">
        <v>600</v>
      </c>
      <c r="F21" s="20" t="s">
        <v>601</v>
      </c>
      <c r="G21" s="8" t="str">
        <f t="shared" si="0"/>
        <v>NICHOLAS PLOYSA</v>
      </c>
      <c r="H21" s="20" t="str">
        <f t="shared" si="1"/>
        <v>4021</v>
      </c>
    </row>
    <row r="22" spans="1:8" x14ac:dyDescent="0.25">
      <c r="A22" s="26">
        <v>43066.150231481479</v>
      </c>
      <c r="B22" s="20" t="s">
        <v>380</v>
      </c>
      <c r="C22" s="20" t="s">
        <v>602</v>
      </c>
      <c r="D22" s="137">
        <v>3790000</v>
      </c>
      <c r="E22" s="20" t="s">
        <v>600</v>
      </c>
      <c r="F22" s="20" t="s">
        <v>601</v>
      </c>
      <c r="G22" s="8" t="str">
        <f t="shared" si="0"/>
        <v>NICHOLAS PLOYSA</v>
      </c>
      <c r="H22" s="20" t="str">
        <f t="shared" si="1"/>
        <v>4022</v>
      </c>
    </row>
    <row r="23" spans="1:8" x14ac:dyDescent="0.25">
      <c r="A23" s="8">
        <v>43066.150231481479</v>
      </c>
      <c r="B23" s="20" t="s">
        <v>380</v>
      </c>
      <c r="C23" s="20" t="s">
        <v>602</v>
      </c>
      <c r="D23" s="137">
        <v>3790000</v>
      </c>
      <c r="E23" s="20" t="s">
        <v>600</v>
      </c>
      <c r="F23" s="20" t="s">
        <v>601</v>
      </c>
      <c r="G23" s="8" t="str">
        <f t="shared" si="0"/>
        <v>NICHOLAS PLOYSA</v>
      </c>
      <c r="H23" s="20" t="str">
        <f t="shared" si="1"/>
        <v>4022</v>
      </c>
    </row>
    <row r="24" spans="1:8" x14ac:dyDescent="0.25">
      <c r="A24" s="8">
        <v>43066.163784722223</v>
      </c>
      <c r="B24" s="20" t="s">
        <v>589</v>
      </c>
      <c r="C24" s="20" t="s">
        <v>603</v>
      </c>
      <c r="D24" s="137">
        <v>1110000</v>
      </c>
      <c r="E24" s="20" t="s">
        <v>604</v>
      </c>
      <c r="F24" s="20" t="s">
        <v>605</v>
      </c>
      <c r="G24" s="8" t="str">
        <f t="shared" si="0"/>
        <v>STARKS ANGELINA</v>
      </c>
      <c r="H24" s="20" t="str">
        <f t="shared" si="1"/>
        <v>4043</v>
      </c>
    </row>
    <row r="25" spans="1:8" x14ac:dyDescent="0.25">
      <c r="A25" s="8">
        <v>43066.163784722223</v>
      </c>
      <c r="B25" s="20" t="s">
        <v>589</v>
      </c>
      <c r="C25" s="20" t="s">
        <v>603</v>
      </c>
      <c r="D25" s="137">
        <v>1110000</v>
      </c>
      <c r="E25" s="20" t="s">
        <v>604</v>
      </c>
      <c r="F25" s="20" t="s">
        <v>605</v>
      </c>
      <c r="G25" s="8" t="str">
        <f t="shared" si="0"/>
        <v>STARKS ANGELINA</v>
      </c>
      <c r="H25" s="20" t="str">
        <f t="shared" si="1"/>
        <v>4043</v>
      </c>
    </row>
    <row r="26" spans="1:8" x14ac:dyDescent="0.25">
      <c r="A26" s="8">
        <v>43066.165127314816</v>
      </c>
      <c r="B26" s="20" t="s">
        <v>589</v>
      </c>
      <c r="C26" s="20" t="s">
        <v>603</v>
      </c>
      <c r="D26" s="137">
        <v>1110000</v>
      </c>
      <c r="E26" s="20" t="s">
        <v>604</v>
      </c>
      <c r="F26" s="20" t="s">
        <v>605</v>
      </c>
      <c r="G26" s="8" t="str">
        <f t="shared" si="0"/>
        <v>STARKS ANGELINA</v>
      </c>
      <c r="H26" s="20" t="str">
        <f t="shared" si="1"/>
        <v>4043</v>
      </c>
    </row>
    <row r="27" spans="1:8" x14ac:dyDescent="0.25">
      <c r="A27" s="8">
        <v>43066.165127314816</v>
      </c>
      <c r="B27" s="20" t="s">
        <v>589</v>
      </c>
      <c r="C27" s="20" t="s">
        <v>603</v>
      </c>
      <c r="D27" s="137">
        <v>1110000</v>
      </c>
      <c r="E27" s="20" t="s">
        <v>604</v>
      </c>
      <c r="F27" s="20" t="s">
        <v>605</v>
      </c>
      <c r="G27" s="8" t="str">
        <f t="shared" si="0"/>
        <v>STARKS ANGELINA</v>
      </c>
      <c r="H27" s="20" t="str">
        <f t="shared" si="1"/>
        <v>4043</v>
      </c>
    </row>
    <row r="28" spans="1:8" x14ac:dyDescent="0.25">
      <c r="A28" s="8">
        <v>43066.173946759256</v>
      </c>
      <c r="B28" s="20" t="s">
        <v>593</v>
      </c>
      <c r="C28" s="20" t="s">
        <v>606</v>
      </c>
      <c r="D28" s="137">
        <v>900000</v>
      </c>
      <c r="E28" s="20" t="s">
        <v>595</v>
      </c>
      <c r="F28" s="20" t="s">
        <v>596</v>
      </c>
      <c r="G28" s="8" t="str">
        <f t="shared" si="0"/>
        <v>ROCHA YAOTL</v>
      </c>
      <c r="H28" s="20" t="str">
        <f t="shared" si="1"/>
        <v>4031</v>
      </c>
    </row>
    <row r="29" spans="1:8" x14ac:dyDescent="0.25">
      <c r="A29" s="8">
        <v>43066.173946759256</v>
      </c>
      <c r="B29" s="20" t="s">
        <v>593</v>
      </c>
      <c r="C29" s="20" t="s">
        <v>606</v>
      </c>
      <c r="D29" s="137">
        <v>900000</v>
      </c>
      <c r="E29" s="20" t="s">
        <v>595</v>
      </c>
      <c r="F29" s="20" t="s">
        <v>596</v>
      </c>
      <c r="G29" s="8" t="str">
        <f t="shared" si="0"/>
        <v>ROCHA YAOTL</v>
      </c>
      <c r="H29" s="20" t="str">
        <f t="shared" si="1"/>
        <v>4031</v>
      </c>
    </row>
    <row r="30" spans="1:8" x14ac:dyDescent="0.25">
      <c r="A30" s="8">
        <v>43066.17459490741</v>
      </c>
      <c r="B30" s="20" t="s">
        <v>507</v>
      </c>
      <c r="C30" s="20" t="s">
        <v>607</v>
      </c>
      <c r="D30" s="137">
        <v>1340000</v>
      </c>
      <c r="E30" s="20" t="s">
        <v>608</v>
      </c>
      <c r="F30" s="20" t="s">
        <v>609</v>
      </c>
      <c r="G30" s="8" t="str">
        <f t="shared" si="0"/>
        <v>BEAM ROSS</v>
      </c>
      <c r="H30" s="20" t="str">
        <f t="shared" si="1"/>
        <v>4025</v>
      </c>
    </row>
    <row r="31" spans="1:8" x14ac:dyDescent="0.25">
      <c r="A31" s="8">
        <v>43066.17459490741</v>
      </c>
      <c r="B31" s="20" t="s">
        <v>507</v>
      </c>
      <c r="C31" s="20" t="s">
        <v>607</v>
      </c>
      <c r="D31" s="137">
        <v>1340000</v>
      </c>
      <c r="E31" s="20" t="s">
        <v>608</v>
      </c>
      <c r="F31" s="20" t="s">
        <v>609</v>
      </c>
      <c r="G31" s="8" t="str">
        <f t="shared" si="0"/>
        <v>BEAM ROSS</v>
      </c>
      <c r="H31" s="20" t="str">
        <f t="shared" si="1"/>
        <v>4025</v>
      </c>
    </row>
    <row r="32" spans="1:8" x14ac:dyDescent="0.25">
      <c r="A32" s="8">
        <v>43066.175717592596</v>
      </c>
      <c r="B32" s="20" t="s">
        <v>578</v>
      </c>
      <c r="C32" s="20" t="s">
        <v>610</v>
      </c>
      <c r="D32" s="137">
        <v>1110000</v>
      </c>
      <c r="E32" s="20" t="s">
        <v>604</v>
      </c>
      <c r="F32" s="20" t="s">
        <v>605</v>
      </c>
      <c r="G32" s="8" t="str">
        <f t="shared" si="0"/>
        <v>STARKS ANGELINA</v>
      </c>
      <c r="H32" s="20" t="str">
        <f t="shared" si="1"/>
        <v>4044</v>
      </c>
    </row>
    <row r="33" spans="1:8" x14ac:dyDescent="0.25">
      <c r="A33" s="8">
        <v>43066.175717592596</v>
      </c>
      <c r="B33" s="20" t="s">
        <v>578</v>
      </c>
      <c r="C33" s="20" t="s">
        <v>610</v>
      </c>
      <c r="D33" s="137">
        <v>1110000</v>
      </c>
      <c r="E33" s="20" t="s">
        <v>604</v>
      </c>
      <c r="F33" s="20" t="s">
        <v>605</v>
      </c>
      <c r="G33" s="8" t="str">
        <f t="shared" si="0"/>
        <v>STARKS ANGELINA</v>
      </c>
      <c r="H33" s="20" t="str">
        <f t="shared" si="1"/>
        <v>4044</v>
      </c>
    </row>
    <row r="34" spans="1:8" x14ac:dyDescent="0.25">
      <c r="A34" s="8">
        <v>43066.182928240742</v>
      </c>
      <c r="B34" s="20" t="s">
        <v>475</v>
      </c>
      <c r="C34" s="20" t="s">
        <v>576</v>
      </c>
      <c r="D34" s="137">
        <v>2010000</v>
      </c>
      <c r="E34" s="20" t="s">
        <v>511</v>
      </c>
      <c r="F34" s="20" t="s">
        <v>512</v>
      </c>
      <c r="G34" s="8" t="str">
        <f t="shared" si="0"/>
        <v>MAELZER KURT</v>
      </c>
      <c r="H34" s="20" t="str">
        <f t="shared" si="1"/>
        <v>4013</v>
      </c>
    </row>
    <row r="35" spans="1:8" x14ac:dyDescent="0.25">
      <c r="A35" s="8">
        <v>43066.182928240742</v>
      </c>
      <c r="B35" s="20" t="s">
        <v>475</v>
      </c>
      <c r="C35" s="20" t="s">
        <v>576</v>
      </c>
      <c r="D35" s="137">
        <v>2010000</v>
      </c>
      <c r="E35" s="20" t="s">
        <v>511</v>
      </c>
      <c r="F35" s="20" t="s">
        <v>512</v>
      </c>
      <c r="G35" s="8" t="str">
        <f t="shared" si="0"/>
        <v>MAELZER KURT</v>
      </c>
      <c r="H35" s="20" t="str">
        <f t="shared" si="1"/>
        <v>4013</v>
      </c>
    </row>
    <row r="36" spans="1:8" x14ac:dyDescent="0.25">
      <c r="A36" s="8">
        <v>43066.183437500003</v>
      </c>
      <c r="B36" s="20" t="s">
        <v>359</v>
      </c>
      <c r="C36" s="20" t="s">
        <v>611</v>
      </c>
      <c r="D36" s="137">
        <v>1090000</v>
      </c>
      <c r="E36" s="20" t="s">
        <v>612</v>
      </c>
      <c r="F36" s="20" t="s">
        <v>353</v>
      </c>
      <c r="G36" s="8" t="str">
        <f t="shared" si="0"/>
        <v>SPECTOR MICHAEL</v>
      </c>
      <c r="H36" s="20" t="str">
        <f t="shared" si="1"/>
        <v>4018</v>
      </c>
    </row>
    <row r="37" spans="1:8" x14ac:dyDescent="0.25">
      <c r="A37" s="8">
        <v>43066.183437500003</v>
      </c>
      <c r="B37" s="20" t="s">
        <v>359</v>
      </c>
      <c r="C37" s="20" t="s">
        <v>611</v>
      </c>
      <c r="D37" s="137">
        <v>1090000</v>
      </c>
      <c r="E37" s="20" t="s">
        <v>612</v>
      </c>
      <c r="F37" s="20" t="s">
        <v>353</v>
      </c>
      <c r="G37" s="8" t="str">
        <f t="shared" si="0"/>
        <v>SPECTOR MICHAEL</v>
      </c>
      <c r="H37" s="20" t="str">
        <f t="shared" si="1"/>
        <v>4018</v>
      </c>
    </row>
    <row r="38" spans="1:8" x14ac:dyDescent="0.25">
      <c r="A38" s="8">
        <v>43066.184861111113</v>
      </c>
      <c r="B38" s="20" t="s">
        <v>509</v>
      </c>
      <c r="C38" s="20" t="s">
        <v>613</v>
      </c>
      <c r="D38" s="137">
        <v>1340000</v>
      </c>
      <c r="E38" s="20" t="s">
        <v>608</v>
      </c>
      <c r="F38" s="20" t="s">
        <v>609</v>
      </c>
      <c r="G38" s="8" t="str">
        <f t="shared" si="0"/>
        <v>BEAM ROSS</v>
      </c>
      <c r="H38" s="20" t="str">
        <f t="shared" si="1"/>
        <v>4026</v>
      </c>
    </row>
    <row r="39" spans="1:8" x14ac:dyDescent="0.25">
      <c r="A39" s="8">
        <v>43066.184861111113</v>
      </c>
      <c r="B39" s="20" t="s">
        <v>509</v>
      </c>
      <c r="C39" s="20" t="s">
        <v>613</v>
      </c>
      <c r="D39" s="137">
        <v>1340000</v>
      </c>
      <c r="E39" s="20" t="s">
        <v>608</v>
      </c>
      <c r="F39" s="20" t="s">
        <v>609</v>
      </c>
      <c r="G39" s="8" t="str">
        <f t="shared" si="0"/>
        <v>BEAM ROSS</v>
      </c>
      <c r="H39" s="20" t="str">
        <f t="shared" si="1"/>
        <v>4026</v>
      </c>
    </row>
    <row r="40" spans="1:8" x14ac:dyDescent="0.25">
      <c r="A40" s="8">
        <v>43066.186909722222</v>
      </c>
      <c r="B40" s="25" t="s">
        <v>361</v>
      </c>
      <c r="C40" s="20" t="s">
        <v>614</v>
      </c>
      <c r="D40" s="137">
        <v>1090000</v>
      </c>
      <c r="E40" s="20" t="s">
        <v>612</v>
      </c>
      <c r="F40" s="20" t="s">
        <v>353</v>
      </c>
      <c r="G40" s="8" t="str">
        <f t="shared" si="0"/>
        <v>SPECTOR MICHAEL</v>
      </c>
      <c r="H40" s="20" t="str">
        <f t="shared" si="1"/>
        <v>4017</v>
      </c>
    </row>
    <row r="41" spans="1:8" x14ac:dyDescent="0.25">
      <c r="A41" s="8">
        <v>43066.186909722222</v>
      </c>
      <c r="B41" s="20" t="s">
        <v>361</v>
      </c>
      <c r="C41" s="20" t="s">
        <v>614</v>
      </c>
      <c r="D41" s="137">
        <v>1090000</v>
      </c>
      <c r="E41" s="20" t="s">
        <v>612</v>
      </c>
      <c r="F41" s="20" t="s">
        <v>353</v>
      </c>
      <c r="G41" s="8" t="str">
        <f t="shared" si="0"/>
        <v>SPECTOR MICHAEL</v>
      </c>
      <c r="H41" s="20" t="str">
        <f t="shared" si="1"/>
        <v>4017</v>
      </c>
    </row>
    <row r="42" spans="1:8" x14ac:dyDescent="0.25">
      <c r="A42" s="8">
        <v>43066.190694444442</v>
      </c>
      <c r="B42" s="20" t="s">
        <v>598</v>
      </c>
      <c r="C42" s="20" t="s">
        <v>615</v>
      </c>
      <c r="D42" s="137">
        <v>3790000</v>
      </c>
      <c r="E42" s="20" t="s">
        <v>600</v>
      </c>
      <c r="F42" s="20" t="s">
        <v>601</v>
      </c>
      <c r="G42" s="8" t="str">
        <f t="shared" si="0"/>
        <v>NICHOLAS PLOYSA</v>
      </c>
      <c r="H42" s="20" t="str">
        <f t="shared" si="1"/>
        <v>4021</v>
      </c>
    </row>
    <row r="43" spans="1:8" x14ac:dyDescent="0.25">
      <c r="A43" s="8">
        <v>43066.190694444442</v>
      </c>
      <c r="B43" s="20" t="s">
        <v>598</v>
      </c>
      <c r="C43" s="20" t="s">
        <v>615</v>
      </c>
      <c r="D43" s="137">
        <v>3790000</v>
      </c>
      <c r="E43" s="20" t="s">
        <v>600</v>
      </c>
      <c r="F43" s="20" t="s">
        <v>601</v>
      </c>
      <c r="G43" s="8" t="str">
        <f t="shared" si="0"/>
        <v>NICHOLAS PLOYSA</v>
      </c>
      <c r="H43" s="20" t="str">
        <f t="shared" si="1"/>
        <v>4021</v>
      </c>
    </row>
    <row r="44" spans="1:8" x14ac:dyDescent="0.25">
      <c r="A44" s="8">
        <v>43066.193877314814</v>
      </c>
      <c r="B44" s="20" t="s">
        <v>359</v>
      </c>
      <c r="C44" s="20" t="s">
        <v>616</v>
      </c>
      <c r="D44" s="137">
        <v>1090000</v>
      </c>
      <c r="E44" s="20" t="s">
        <v>612</v>
      </c>
      <c r="F44" s="20" t="s">
        <v>353</v>
      </c>
      <c r="G44" s="8" t="str">
        <f t="shared" si="0"/>
        <v>SPECTOR MICHAEL</v>
      </c>
      <c r="H44" s="20" t="str">
        <f t="shared" si="1"/>
        <v>4018</v>
      </c>
    </row>
    <row r="45" spans="1:8" x14ac:dyDescent="0.25">
      <c r="A45" s="8">
        <v>43066.193877314814</v>
      </c>
      <c r="B45" s="20" t="s">
        <v>359</v>
      </c>
      <c r="C45" s="20" t="s">
        <v>616</v>
      </c>
      <c r="D45" s="137">
        <v>1090000</v>
      </c>
      <c r="E45" s="20" t="s">
        <v>612</v>
      </c>
      <c r="F45" s="20" t="s">
        <v>353</v>
      </c>
      <c r="G45" s="8" t="str">
        <f t="shared" si="0"/>
        <v>SPECTOR MICHAEL</v>
      </c>
      <c r="H45" s="20" t="str">
        <f t="shared" si="1"/>
        <v>4018</v>
      </c>
    </row>
    <row r="46" spans="1:8" x14ac:dyDescent="0.25">
      <c r="A46" s="8">
        <v>43066.194108796299</v>
      </c>
      <c r="B46" s="20" t="s">
        <v>474</v>
      </c>
      <c r="C46" s="20" t="s">
        <v>617</v>
      </c>
      <c r="D46" s="137">
        <v>2010000</v>
      </c>
      <c r="E46" s="20" t="s">
        <v>511</v>
      </c>
      <c r="F46" s="20" t="s">
        <v>512</v>
      </c>
      <c r="G46" s="8" t="str">
        <f t="shared" si="0"/>
        <v>MAELZER KURT</v>
      </c>
      <c r="H46" s="20" t="str">
        <f t="shared" si="1"/>
        <v>4014</v>
      </c>
    </row>
    <row r="47" spans="1:8" x14ac:dyDescent="0.25">
      <c r="A47" s="8">
        <v>43066.194108796299</v>
      </c>
      <c r="B47" s="20" t="s">
        <v>474</v>
      </c>
      <c r="C47" s="20" t="s">
        <v>617</v>
      </c>
      <c r="D47" s="137">
        <v>2010000</v>
      </c>
      <c r="E47" s="20" t="s">
        <v>511</v>
      </c>
      <c r="F47" s="20" t="s">
        <v>512</v>
      </c>
      <c r="G47" s="8" t="str">
        <f t="shared" si="0"/>
        <v>MAELZER KURT</v>
      </c>
      <c r="H47" s="20" t="str">
        <f t="shared" si="1"/>
        <v>4014</v>
      </c>
    </row>
    <row r="48" spans="1:8" x14ac:dyDescent="0.25">
      <c r="A48" s="8">
        <v>43066.196643518517</v>
      </c>
      <c r="B48" s="20" t="s">
        <v>618</v>
      </c>
      <c r="C48" s="20" t="s">
        <v>619</v>
      </c>
      <c r="D48" s="137">
        <v>2560000</v>
      </c>
      <c r="E48" s="20" t="s">
        <v>428</v>
      </c>
      <c r="F48" s="20" t="s">
        <v>429</v>
      </c>
      <c r="G48" s="8" t="str">
        <f t="shared" si="0"/>
        <v>MACDONALD THOMAS</v>
      </c>
      <c r="H48" s="20" t="str">
        <f t="shared" si="1"/>
        <v>4020</v>
      </c>
    </row>
    <row r="49" spans="1:8" x14ac:dyDescent="0.25">
      <c r="A49" s="8">
        <v>43066.196643518517</v>
      </c>
      <c r="B49" s="20" t="s">
        <v>618</v>
      </c>
      <c r="C49" s="20" t="s">
        <v>619</v>
      </c>
      <c r="D49" s="137">
        <v>2560000</v>
      </c>
      <c r="E49" s="20" t="s">
        <v>428</v>
      </c>
      <c r="F49" s="20" t="s">
        <v>429</v>
      </c>
      <c r="G49" s="8" t="str">
        <f t="shared" si="0"/>
        <v>MACDONALD THOMAS</v>
      </c>
      <c r="H49" s="20" t="str">
        <f t="shared" si="1"/>
        <v>4020</v>
      </c>
    </row>
    <row r="50" spans="1:8" x14ac:dyDescent="0.25">
      <c r="A50" s="8">
        <v>43066.196712962963</v>
      </c>
      <c r="B50" s="20" t="s">
        <v>620</v>
      </c>
      <c r="C50" s="20" t="s">
        <v>621</v>
      </c>
      <c r="D50" s="137">
        <v>2600000</v>
      </c>
      <c r="E50" s="20" t="s">
        <v>622</v>
      </c>
      <c r="F50" s="20" t="s">
        <v>430</v>
      </c>
      <c r="G50" s="8" t="str">
        <f t="shared" si="0"/>
        <v>DAVIDSON DAVID</v>
      </c>
      <c r="H50" s="20" t="str">
        <f t="shared" si="1"/>
        <v>4063</v>
      </c>
    </row>
    <row r="51" spans="1:8" x14ac:dyDescent="0.25">
      <c r="A51" s="8">
        <v>43066.196712962963</v>
      </c>
      <c r="B51" s="20" t="s">
        <v>620</v>
      </c>
      <c r="C51" s="20" t="s">
        <v>621</v>
      </c>
      <c r="D51" s="137">
        <v>2600000</v>
      </c>
      <c r="E51" s="20" t="s">
        <v>622</v>
      </c>
      <c r="F51" s="20" t="s">
        <v>430</v>
      </c>
      <c r="G51" s="8" t="str">
        <f t="shared" si="0"/>
        <v>DAVIDSON DAVID</v>
      </c>
      <c r="H51" s="20" t="str">
        <f t="shared" si="1"/>
        <v>4063</v>
      </c>
    </row>
    <row r="52" spans="1:8" x14ac:dyDescent="0.25">
      <c r="A52" s="8">
        <v>43066.20685185185</v>
      </c>
      <c r="B52" s="20" t="s">
        <v>623</v>
      </c>
      <c r="C52" s="20" t="s">
        <v>624</v>
      </c>
      <c r="D52" s="137">
        <v>2560000</v>
      </c>
      <c r="E52" s="20" t="s">
        <v>428</v>
      </c>
      <c r="F52" s="20" t="s">
        <v>429</v>
      </c>
      <c r="G52" s="8" t="str">
        <f t="shared" si="0"/>
        <v>MACDONALD THOMAS</v>
      </c>
      <c r="H52" s="20" t="str">
        <f t="shared" si="1"/>
        <v>4019</v>
      </c>
    </row>
    <row r="53" spans="1:8" x14ac:dyDescent="0.25">
      <c r="A53" s="8">
        <v>43066.20685185185</v>
      </c>
      <c r="B53" s="20" t="s">
        <v>623</v>
      </c>
      <c r="C53" s="20" t="s">
        <v>624</v>
      </c>
      <c r="D53" s="137">
        <v>2560000</v>
      </c>
      <c r="E53" s="20" t="s">
        <v>428</v>
      </c>
      <c r="F53" s="20" t="s">
        <v>429</v>
      </c>
      <c r="G53" s="8" t="str">
        <f t="shared" si="0"/>
        <v>MACDONALD THOMAS</v>
      </c>
      <c r="H53" s="20" t="str">
        <f t="shared" si="1"/>
        <v>4019</v>
      </c>
    </row>
    <row r="54" spans="1:8" x14ac:dyDescent="0.25">
      <c r="A54" s="8">
        <v>43066.207499999997</v>
      </c>
      <c r="B54" s="20" t="s">
        <v>625</v>
      </c>
      <c r="C54" s="20" t="s">
        <v>626</v>
      </c>
      <c r="D54" s="137">
        <v>2600000</v>
      </c>
      <c r="E54" s="20" t="s">
        <v>622</v>
      </c>
      <c r="F54" s="20" t="s">
        <v>430</v>
      </c>
      <c r="G54" s="8" t="str">
        <f t="shared" si="0"/>
        <v>DAVIDSON DAVID</v>
      </c>
      <c r="H54" s="20" t="str">
        <f t="shared" si="1"/>
        <v>4064</v>
      </c>
    </row>
    <row r="55" spans="1:8" x14ac:dyDescent="0.25">
      <c r="A55" s="8">
        <v>43066.207499999997</v>
      </c>
      <c r="B55" s="20" t="s">
        <v>625</v>
      </c>
      <c r="C55" s="20" t="s">
        <v>626</v>
      </c>
      <c r="D55" s="137">
        <v>2600000</v>
      </c>
      <c r="E55" s="20" t="s">
        <v>622</v>
      </c>
      <c r="F55" s="20" t="s">
        <v>430</v>
      </c>
      <c r="G55" s="8" t="str">
        <f t="shared" si="0"/>
        <v>DAVIDSON DAVID</v>
      </c>
      <c r="H55" s="20" t="str">
        <f t="shared" si="1"/>
        <v>4064</v>
      </c>
    </row>
    <row r="56" spans="1:8" x14ac:dyDescent="0.25">
      <c r="A56" s="8">
        <v>43066.213240740741</v>
      </c>
      <c r="B56" s="20" t="s">
        <v>507</v>
      </c>
      <c r="C56" s="20" t="s">
        <v>627</v>
      </c>
      <c r="D56" s="137">
        <v>1340000</v>
      </c>
      <c r="E56" s="20" t="s">
        <v>608</v>
      </c>
      <c r="F56" s="20" t="s">
        <v>609</v>
      </c>
      <c r="G56" s="8" t="str">
        <f t="shared" si="0"/>
        <v>BEAM ROSS</v>
      </c>
      <c r="H56" s="20" t="str">
        <f t="shared" si="1"/>
        <v>4025</v>
      </c>
    </row>
    <row r="57" spans="1:8" x14ac:dyDescent="0.25">
      <c r="A57" s="8">
        <v>43066.213240740741</v>
      </c>
      <c r="B57" s="20" t="s">
        <v>507</v>
      </c>
      <c r="C57" s="20" t="s">
        <v>627</v>
      </c>
      <c r="D57" s="137">
        <v>1340000</v>
      </c>
      <c r="E57" s="20" t="s">
        <v>608</v>
      </c>
      <c r="F57" s="20" t="s">
        <v>609</v>
      </c>
      <c r="G57" s="8" t="str">
        <f t="shared" si="0"/>
        <v>BEAM ROSS</v>
      </c>
      <c r="H57" s="20" t="str">
        <f t="shared" si="1"/>
        <v>4025</v>
      </c>
    </row>
    <row r="58" spans="1:8" x14ac:dyDescent="0.25">
      <c r="A58" s="8">
        <v>43066.213993055557</v>
      </c>
      <c r="B58" s="20" t="s">
        <v>589</v>
      </c>
      <c r="C58" s="20" t="s">
        <v>628</v>
      </c>
      <c r="D58" s="137">
        <v>1110000</v>
      </c>
      <c r="E58" s="20" t="s">
        <v>604</v>
      </c>
      <c r="F58" s="20" t="s">
        <v>605</v>
      </c>
      <c r="G58" s="8" t="str">
        <f t="shared" si="0"/>
        <v>STARKS ANGELINA</v>
      </c>
      <c r="H58" s="20" t="str">
        <f t="shared" si="1"/>
        <v>4043</v>
      </c>
    </row>
    <row r="59" spans="1:8" x14ac:dyDescent="0.25">
      <c r="A59" s="8">
        <v>43066.213993055557</v>
      </c>
      <c r="B59" s="20" t="s">
        <v>589</v>
      </c>
      <c r="C59" s="20" t="s">
        <v>628</v>
      </c>
      <c r="D59" s="137">
        <v>1110000</v>
      </c>
      <c r="E59" s="20" t="s">
        <v>604</v>
      </c>
      <c r="F59" s="20" t="s">
        <v>605</v>
      </c>
      <c r="G59" s="8" t="str">
        <f t="shared" si="0"/>
        <v>STARKS ANGELINA</v>
      </c>
      <c r="H59" s="20" t="str">
        <f t="shared" si="1"/>
        <v>4043</v>
      </c>
    </row>
    <row r="60" spans="1:8" x14ac:dyDescent="0.25">
      <c r="A60" s="8">
        <v>43066.225115740737</v>
      </c>
      <c r="B60" s="20" t="s">
        <v>380</v>
      </c>
      <c r="C60" s="20" t="s">
        <v>629</v>
      </c>
      <c r="D60" s="137">
        <v>3790000</v>
      </c>
      <c r="E60" s="20" t="s">
        <v>600</v>
      </c>
      <c r="F60" s="20" t="s">
        <v>601</v>
      </c>
      <c r="G60" s="8" t="str">
        <f t="shared" si="0"/>
        <v>NICHOLAS PLOYSA</v>
      </c>
      <c r="H60" s="20" t="str">
        <f t="shared" si="1"/>
        <v>4022</v>
      </c>
    </row>
    <row r="61" spans="1:8" x14ac:dyDescent="0.25">
      <c r="A61" s="8">
        <v>43066.225115740737</v>
      </c>
      <c r="B61" s="20" t="s">
        <v>380</v>
      </c>
      <c r="C61" s="20" t="s">
        <v>629</v>
      </c>
      <c r="D61" s="137">
        <v>3790000</v>
      </c>
      <c r="E61" s="20" t="s">
        <v>600</v>
      </c>
      <c r="F61" s="20" t="s">
        <v>601</v>
      </c>
      <c r="G61" s="8" t="str">
        <f t="shared" si="0"/>
        <v>NICHOLAS PLOYSA</v>
      </c>
      <c r="H61" s="20" t="str">
        <f t="shared" si="1"/>
        <v>4022</v>
      </c>
    </row>
    <row r="62" spans="1:8" x14ac:dyDescent="0.25">
      <c r="A62" s="8">
        <v>43066.227592592593</v>
      </c>
      <c r="B62" s="20" t="s">
        <v>459</v>
      </c>
      <c r="C62" s="20" t="s">
        <v>630</v>
      </c>
      <c r="D62" s="137">
        <v>3090000</v>
      </c>
      <c r="E62" s="20" t="s">
        <v>514</v>
      </c>
      <c r="F62" s="20" t="s">
        <v>515</v>
      </c>
      <c r="G62" s="8" t="str">
        <f t="shared" si="0"/>
        <v>LAMAR NEKESHA</v>
      </c>
      <c r="H62" s="20" t="str">
        <f t="shared" si="1"/>
        <v>4053</v>
      </c>
    </row>
    <row r="63" spans="1:8" x14ac:dyDescent="0.25">
      <c r="A63" s="8">
        <v>43066.227592592593</v>
      </c>
      <c r="B63" s="20" t="s">
        <v>459</v>
      </c>
      <c r="C63" s="20" t="s">
        <v>630</v>
      </c>
      <c r="D63" s="137">
        <v>3090000</v>
      </c>
      <c r="E63" s="20" t="s">
        <v>514</v>
      </c>
      <c r="F63" s="20" t="s">
        <v>515</v>
      </c>
      <c r="G63" s="8" t="str">
        <f t="shared" si="0"/>
        <v>LAMAR NEKESHA</v>
      </c>
      <c r="H63" s="20" t="str">
        <f t="shared" si="1"/>
        <v>4053</v>
      </c>
    </row>
    <row r="64" spans="1:8" x14ac:dyDescent="0.25">
      <c r="A64" s="26">
        <v>43066.228379629632</v>
      </c>
      <c r="B64" s="20" t="s">
        <v>475</v>
      </c>
      <c r="C64" s="20" t="s">
        <v>631</v>
      </c>
      <c r="D64" s="137">
        <v>2010000</v>
      </c>
      <c r="E64" s="20" t="s">
        <v>511</v>
      </c>
      <c r="F64" s="20" t="s">
        <v>512</v>
      </c>
      <c r="G64" s="8" t="str">
        <f t="shared" si="0"/>
        <v>MAELZER KURT</v>
      </c>
      <c r="H64" s="20" t="str">
        <f t="shared" si="1"/>
        <v>4013</v>
      </c>
    </row>
    <row r="65" spans="1:8" x14ac:dyDescent="0.25">
      <c r="A65" s="8">
        <v>43066.228379629632</v>
      </c>
      <c r="B65" s="20" t="s">
        <v>475</v>
      </c>
      <c r="C65" s="20" t="s">
        <v>631</v>
      </c>
      <c r="D65" s="137">
        <v>2010000</v>
      </c>
      <c r="E65" s="20" t="s">
        <v>511</v>
      </c>
      <c r="F65" s="20" t="s">
        <v>512</v>
      </c>
      <c r="G65" s="8" t="str">
        <f t="shared" si="0"/>
        <v>MAELZER KURT</v>
      </c>
      <c r="H65" s="20" t="str">
        <f t="shared" si="1"/>
        <v>4013</v>
      </c>
    </row>
    <row r="66" spans="1:8" x14ac:dyDescent="0.25">
      <c r="A66" s="8">
        <v>43066.231944444444</v>
      </c>
      <c r="B66" s="20" t="s">
        <v>352</v>
      </c>
      <c r="C66" s="20" t="s">
        <v>632</v>
      </c>
      <c r="D66" s="137">
        <v>3840000</v>
      </c>
      <c r="E66" s="20" t="s">
        <v>633</v>
      </c>
      <c r="F66" s="20" t="s">
        <v>634</v>
      </c>
      <c r="G66" s="8" t="str">
        <f t="shared" si="0"/>
        <v>LONG FULLER</v>
      </c>
      <c r="H66" s="20" t="str">
        <f t="shared" si="1"/>
        <v>4055</v>
      </c>
    </row>
    <row r="67" spans="1:8" x14ac:dyDescent="0.25">
      <c r="A67" s="8">
        <v>43066.231944444444</v>
      </c>
      <c r="B67" s="20" t="s">
        <v>352</v>
      </c>
      <c r="C67" s="20" t="s">
        <v>632</v>
      </c>
      <c r="D67" s="137">
        <v>3840000</v>
      </c>
      <c r="E67" s="20" t="s">
        <v>633</v>
      </c>
      <c r="F67" s="20" t="s">
        <v>634</v>
      </c>
      <c r="G67" s="8" t="str">
        <f t="shared" ref="G67:G130" si="2">E67&amp;" "&amp;F67</f>
        <v>LONG FULLER</v>
      </c>
      <c r="H67" s="20" t="str">
        <f t="shared" ref="H67:H130" si="3">MID(B67,13,4)</f>
        <v>4055</v>
      </c>
    </row>
    <row r="68" spans="1:8" x14ac:dyDescent="0.25">
      <c r="A68" s="8">
        <v>43066.232858796298</v>
      </c>
      <c r="B68" s="20" t="s">
        <v>618</v>
      </c>
      <c r="C68" s="20" t="s">
        <v>635</v>
      </c>
      <c r="D68" s="137">
        <v>2560000</v>
      </c>
      <c r="E68" s="20" t="s">
        <v>428</v>
      </c>
      <c r="F68" s="20" t="s">
        <v>429</v>
      </c>
      <c r="G68" s="8" t="str">
        <f t="shared" si="2"/>
        <v>MACDONALD THOMAS</v>
      </c>
      <c r="H68" s="20" t="str">
        <f t="shared" si="3"/>
        <v>4020</v>
      </c>
    </row>
    <row r="69" spans="1:8" x14ac:dyDescent="0.25">
      <c r="A69" s="8">
        <v>43066.232858796298</v>
      </c>
      <c r="B69" s="20" t="s">
        <v>618</v>
      </c>
      <c r="C69" s="20" t="s">
        <v>635</v>
      </c>
      <c r="D69" s="137">
        <v>2560000</v>
      </c>
      <c r="E69" s="20" t="s">
        <v>428</v>
      </c>
      <c r="F69" s="20" t="s">
        <v>429</v>
      </c>
      <c r="G69" s="8" t="str">
        <f t="shared" si="2"/>
        <v>MACDONALD THOMAS</v>
      </c>
      <c r="H69" s="20" t="str">
        <f t="shared" si="3"/>
        <v>4020</v>
      </c>
    </row>
    <row r="70" spans="1:8" x14ac:dyDescent="0.25">
      <c r="A70" s="8">
        <v>43066.237662037034</v>
      </c>
      <c r="B70" s="20" t="s">
        <v>458</v>
      </c>
      <c r="C70" s="20" t="s">
        <v>636</v>
      </c>
      <c r="D70" s="137">
        <v>3090000</v>
      </c>
      <c r="E70" s="20" t="s">
        <v>514</v>
      </c>
      <c r="F70" s="20" t="s">
        <v>515</v>
      </c>
      <c r="G70" s="8" t="str">
        <f t="shared" si="2"/>
        <v>LAMAR NEKESHA</v>
      </c>
      <c r="H70" s="20" t="str">
        <f t="shared" si="3"/>
        <v>4054</v>
      </c>
    </row>
    <row r="71" spans="1:8" x14ac:dyDescent="0.25">
      <c r="A71" s="8">
        <v>43066.237662037034</v>
      </c>
      <c r="B71" s="20" t="s">
        <v>458</v>
      </c>
      <c r="C71" s="20" t="s">
        <v>636</v>
      </c>
      <c r="D71" s="137">
        <v>3090000</v>
      </c>
      <c r="E71" s="20" t="s">
        <v>514</v>
      </c>
      <c r="F71" s="20" t="s">
        <v>515</v>
      </c>
      <c r="G71" s="8" t="str">
        <f t="shared" si="2"/>
        <v>LAMAR NEKESHA</v>
      </c>
      <c r="H71" s="20" t="str">
        <f t="shared" si="3"/>
        <v>4054</v>
      </c>
    </row>
    <row r="72" spans="1:8" x14ac:dyDescent="0.25">
      <c r="A72" s="8">
        <v>43066.24119212963</v>
      </c>
      <c r="B72" s="20" t="s">
        <v>361</v>
      </c>
      <c r="C72" s="20" t="s">
        <v>637</v>
      </c>
      <c r="D72" s="137">
        <v>1090000</v>
      </c>
      <c r="E72" s="20" t="s">
        <v>612</v>
      </c>
      <c r="F72" s="20" t="s">
        <v>353</v>
      </c>
      <c r="G72" s="8" t="str">
        <f t="shared" si="2"/>
        <v>SPECTOR MICHAEL</v>
      </c>
      <c r="H72" s="20" t="str">
        <f t="shared" si="3"/>
        <v>4017</v>
      </c>
    </row>
    <row r="73" spans="1:8" x14ac:dyDescent="0.25">
      <c r="A73" s="8">
        <v>43066.24119212963</v>
      </c>
      <c r="B73" s="20" t="s">
        <v>361</v>
      </c>
      <c r="C73" s="20" t="s">
        <v>637</v>
      </c>
      <c r="D73" s="137">
        <v>1090000</v>
      </c>
      <c r="E73" s="20" t="s">
        <v>612</v>
      </c>
      <c r="F73" s="20" t="s">
        <v>353</v>
      </c>
      <c r="G73" s="8" t="str">
        <f t="shared" si="2"/>
        <v>SPECTOR MICHAEL</v>
      </c>
      <c r="H73" s="20" t="str">
        <f t="shared" si="3"/>
        <v>4017</v>
      </c>
    </row>
    <row r="74" spans="1:8" x14ac:dyDescent="0.25">
      <c r="A74" s="8">
        <v>43066.24428240741</v>
      </c>
      <c r="B74" s="20" t="s">
        <v>457</v>
      </c>
      <c r="C74" s="20" t="s">
        <v>638</v>
      </c>
      <c r="D74" s="137">
        <v>3840000</v>
      </c>
      <c r="E74" s="20" t="s">
        <v>633</v>
      </c>
      <c r="F74" s="20" t="s">
        <v>634</v>
      </c>
      <c r="G74" s="8" t="str">
        <f t="shared" si="2"/>
        <v>LONG FULLER</v>
      </c>
      <c r="H74" s="20" t="str">
        <f t="shared" si="3"/>
        <v>4056</v>
      </c>
    </row>
    <row r="75" spans="1:8" x14ac:dyDescent="0.25">
      <c r="A75" s="8">
        <v>43066.24428240741</v>
      </c>
      <c r="B75" s="20" t="s">
        <v>457</v>
      </c>
      <c r="C75" s="20" t="s">
        <v>638</v>
      </c>
      <c r="D75" s="137">
        <v>3840000</v>
      </c>
      <c r="E75" s="20" t="s">
        <v>633</v>
      </c>
      <c r="F75" s="20" t="s">
        <v>634</v>
      </c>
      <c r="G75" s="8" t="str">
        <f t="shared" si="2"/>
        <v>LONG FULLER</v>
      </c>
      <c r="H75" s="20" t="str">
        <f t="shared" si="3"/>
        <v>4056</v>
      </c>
    </row>
    <row r="76" spans="1:8" x14ac:dyDescent="0.25">
      <c r="A76" s="8">
        <v>43066.245983796296</v>
      </c>
      <c r="B76" s="20" t="s">
        <v>620</v>
      </c>
      <c r="C76" s="20" t="s">
        <v>639</v>
      </c>
      <c r="D76" s="137">
        <v>2600000</v>
      </c>
      <c r="E76" s="20" t="s">
        <v>622</v>
      </c>
      <c r="F76" s="20" t="s">
        <v>430</v>
      </c>
      <c r="G76" s="8" t="str">
        <f t="shared" si="2"/>
        <v>DAVIDSON DAVID</v>
      </c>
      <c r="H76" s="20" t="str">
        <f t="shared" si="3"/>
        <v>4063</v>
      </c>
    </row>
    <row r="77" spans="1:8" x14ac:dyDescent="0.25">
      <c r="A77" s="8">
        <v>43066.245983796296</v>
      </c>
      <c r="B77" s="20" t="s">
        <v>620</v>
      </c>
      <c r="C77" s="20" t="s">
        <v>639</v>
      </c>
      <c r="D77" s="137">
        <v>2600000</v>
      </c>
      <c r="E77" s="20" t="s">
        <v>622</v>
      </c>
      <c r="F77" s="20" t="s">
        <v>430</v>
      </c>
      <c r="G77" s="8" t="str">
        <f t="shared" si="2"/>
        <v>DAVIDSON DAVID</v>
      </c>
      <c r="H77" s="20" t="str">
        <f t="shared" si="3"/>
        <v>4063</v>
      </c>
    </row>
    <row r="78" spans="1:8" x14ac:dyDescent="0.25">
      <c r="A78" s="8">
        <v>43066.246770833335</v>
      </c>
      <c r="B78" s="20" t="s">
        <v>623</v>
      </c>
      <c r="C78" s="20" t="s">
        <v>640</v>
      </c>
      <c r="D78" s="137">
        <v>2560000</v>
      </c>
      <c r="E78" s="20" t="s">
        <v>428</v>
      </c>
      <c r="F78" s="20" t="s">
        <v>429</v>
      </c>
      <c r="G78" s="8" t="str">
        <f t="shared" si="2"/>
        <v>MACDONALD THOMAS</v>
      </c>
      <c r="H78" s="20" t="str">
        <f t="shared" si="3"/>
        <v>4019</v>
      </c>
    </row>
    <row r="79" spans="1:8" x14ac:dyDescent="0.25">
      <c r="A79" s="8">
        <v>43066.246770833335</v>
      </c>
      <c r="B79" s="20" t="s">
        <v>623</v>
      </c>
      <c r="C79" s="20" t="s">
        <v>640</v>
      </c>
      <c r="D79" s="137">
        <v>2560000</v>
      </c>
      <c r="E79" s="20" t="s">
        <v>428</v>
      </c>
      <c r="F79" s="20" t="s">
        <v>429</v>
      </c>
      <c r="G79" s="8" t="str">
        <f t="shared" si="2"/>
        <v>MACDONALD THOMAS</v>
      </c>
      <c r="H79" s="20" t="str">
        <f t="shared" si="3"/>
        <v>4019</v>
      </c>
    </row>
    <row r="80" spans="1:8" x14ac:dyDescent="0.25">
      <c r="A80" s="8">
        <v>43066.249768518515</v>
      </c>
      <c r="B80" s="20" t="s">
        <v>578</v>
      </c>
      <c r="C80" s="20" t="s">
        <v>641</v>
      </c>
      <c r="D80" s="137">
        <v>1110000</v>
      </c>
      <c r="E80" s="20" t="s">
        <v>604</v>
      </c>
      <c r="F80" s="20" t="s">
        <v>605</v>
      </c>
      <c r="G80" s="8" t="str">
        <f t="shared" si="2"/>
        <v>STARKS ANGELINA</v>
      </c>
      <c r="H80" s="20" t="str">
        <f t="shared" si="3"/>
        <v>4044</v>
      </c>
    </row>
    <row r="81" spans="1:8" x14ac:dyDescent="0.25">
      <c r="A81" s="8">
        <v>43066.249768518515</v>
      </c>
      <c r="B81" s="20" t="s">
        <v>578</v>
      </c>
      <c r="C81" s="20" t="s">
        <v>641</v>
      </c>
      <c r="D81" s="137">
        <v>1110000</v>
      </c>
      <c r="E81" s="20" t="s">
        <v>604</v>
      </c>
      <c r="F81" s="20" t="s">
        <v>605</v>
      </c>
      <c r="G81" s="8" t="str">
        <f t="shared" si="2"/>
        <v>STARKS ANGELINA</v>
      </c>
      <c r="H81" s="20" t="str">
        <f t="shared" si="3"/>
        <v>4044</v>
      </c>
    </row>
    <row r="82" spans="1:8" x14ac:dyDescent="0.25">
      <c r="A82" s="8">
        <v>43066.255127314813</v>
      </c>
      <c r="B82" s="20" t="s">
        <v>509</v>
      </c>
      <c r="C82" s="20" t="s">
        <v>642</v>
      </c>
      <c r="D82" s="137">
        <v>1340000</v>
      </c>
      <c r="E82" s="20" t="s">
        <v>608</v>
      </c>
      <c r="F82" s="20" t="s">
        <v>609</v>
      </c>
      <c r="G82" s="8" t="str">
        <f t="shared" si="2"/>
        <v>BEAM ROSS</v>
      </c>
      <c r="H82" s="20" t="str">
        <f t="shared" si="3"/>
        <v>4026</v>
      </c>
    </row>
    <row r="83" spans="1:8" x14ac:dyDescent="0.25">
      <c r="A83" s="8">
        <v>43066.255127314813</v>
      </c>
      <c r="B83" s="20" t="s">
        <v>509</v>
      </c>
      <c r="C83" s="20" t="s">
        <v>642</v>
      </c>
      <c r="D83" s="137">
        <v>1340000</v>
      </c>
      <c r="E83" s="20" t="s">
        <v>608</v>
      </c>
      <c r="F83" s="20" t="s">
        <v>609</v>
      </c>
      <c r="G83" s="8" t="str">
        <f t="shared" si="2"/>
        <v>BEAM ROSS</v>
      </c>
      <c r="H83" s="20" t="str">
        <f t="shared" si="3"/>
        <v>4026</v>
      </c>
    </row>
    <row r="84" spans="1:8" x14ac:dyDescent="0.25">
      <c r="A84" s="8">
        <v>43066.262372685182</v>
      </c>
      <c r="B84" s="20" t="s">
        <v>598</v>
      </c>
      <c r="C84" s="20" t="s">
        <v>643</v>
      </c>
      <c r="D84" s="137">
        <v>3790000</v>
      </c>
      <c r="E84" s="20" t="s">
        <v>600</v>
      </c>
      <c r="F84" s="20" t="s">
        <v>601</v>
      </c>
      <c r="G84" s="8" t="str">
        <f t="shared" si="2"/>
        <v>NICHOLAS PLOYSA</v>
      </c>
      <c r="H84" s="20" t="str">
        <f t="shared" si="3"/>
        <v>4021</v>
      </c>
    </row>
    <row r="85" spans="1:8" x14ac:dyDescent="0.25">
      <c r="A85" s="8">
        <v>43066.262372685182</v>
      </c>
      <c r="B85" s="20" t="s">
        <v>598</v>
      </c>
      <c r="C85" s="20" t="s">
        <v>643</v>
      </c>
      <c r="D85" s="137">
        <v>3790000</v>
      </c>
      <c r="E85" s="20" t="s">
        <v>600</v>
      </c>
      <c r="F85" s="20" t="s">
        <v>601</v>
      </c>
      <c r="G85" s="8" t="str">
        <f t="shared" si="2"/>
        <v>NICHOLAS PLOYSA</v>
      </c>
      <c r="H85" s="20" t="str">
        <f t="shared" si="3"/>
        <v>4021</v>
      </c>
    </row>
    <row r="86" spans="1:8" x14ac:dyDescent="0.25">
      <c r="A86" s="8">
        <v>43066.266759259262</v>
      </c>
      <c r="B86" s="20" t="s">
        <v>474</v>
      </c>
      <c r="C86" s="20" t="s">
        <v>644</v>
      </c>
      <c r="D86" s="137">
        <v>2010000</v>
      </c>
      <c r="E86" s="20" t="s">
        <v>511</v>
      </c>
      <c r="F86" s="20" t="s">
        <v>512</v>
      </c>
      <c r="G86" s="8" t="str">
        <f t="shared" si="2"/>
        <v>MAELZER KURT</v>
      </c>
      <c r="H86" s="20" t="str">
        <f t="shared" si="3"/>
        <v>4014</v>
      </c>
    </row>
    <row r="87" spans="1:8" x14ac:dyDescent="0.25">
      <c r="A87" s="8">
        <v>43066.266759259262</v>
      </c>
      <c r="B87" s="20" t="s">
        <v>474</v>
      </c>
      <c r="C87" s="20" t="s">
        <v>644</v>
      </c>
      <c r="D87" s="137">
        <v>2010000</v>
      </c>
      <c r="E87" s="20" t="s">
        <v>511</v>
      </c>
      <c r="F87" s="20" t="s">
        <v>512</v>
      </c>
      <c r="G87" s="8" t="str">
        <f t="shared" si="2"/>
        <v>MAELZER KURT</v>
      </c>
      <c r="H87" s="20" t="str">
        <f t="shared" si="3"/>
        <v>4014</v>
      </c>
    </row>
    <row r="88" spans="1:8" x14ac:dyDescent="0.25">
      <c r="A88" s="8">
        <v>43066.268796296295</v>
      </c>
      <c r="B88" s="20" t="s">
        <v>352</v>
      </c>
      <c r="C88" s="20" t="s">
        <v>645</v>
      </c>
      <c r="D88" s="137">
        <v>3840000</v>
      </c>
      <c r="E88" s="20" t="s">
        <v>633</v>
      </c>
      <c r="F88" s="20" t="s">
        <v>634</v>
      </c>
      <c r="G88" s="8" t="str">
        <f t="shared" si="2"/>
        <v>LONG FULLER</v>
      </c>
      <c r="H88" s="20" t="str">
        <f t="shared" si="3"/>
        <v>4055</v>
      </c>
    </row>
    <row r="89" spans="1:8" x14ac:dyDescent="0.25">
      <c r="A89" s="8">
        <v>43066.268796296295</v>
      </c>
      <c r="B89" s="20" t="s">
        <v>352</v>
      </c>
      <c r="C89" s="20" t="s">
        <v>645</v>
      </c>
      <c r="D89" s="137">
        <v>3840000</v>
      </c>
      <c r="E89" s="20" t="s">
        <v>633</v>
      </c>
      <c r="F89" s="20" t="s">
        <v>634</v>
      </c>
      <c r="G89" s="8" t="str">
        <f t="shared" si="2"/>
        <v>LONG FULLER</v>
      </c>
      <c r="H89" s="20" t="str">
        <f t="shared" si="3"/>
        <v>4055</v>
      </c>
    </row>
    <row r="90" spans="1:8" x14ac:dyDescent="0.25">
      <c r="A90" s="8">
        <v>43066.275370370371</v>
      </c>
      <c r="B90" s="20" t="s">
        <v>618</v>
      </c>
      <c r="C90" s="20" t="s">
        <v>646</v>
      </c>
      <c r="D90" s="137">
        <v>2560000</v>
      </c>
      <c r="E90" s="20" t="s">
        <v>428</v>
      </c>
      <c r="F90" s="20" t="s">
        <v>429</v>
      </c>
      <c r="G90" s="8" t="str">
        <f t="shared" si="2"/>
        <v>MACDONALD THOMAS</v>
      </c>
      <c r="H90" s="20" t="str">
        <f t="shared" si="3"/>
        <v>4020</v>
      </c>
    </row>
    <row r="91" spans="1:8" x14ac:dyDescent="0.25">
      <c r="A91" s="8">
        <v>43066.275370370371</v>
      </c>
      <c r="B91" s="20" t="s">
        <v>618</v>
      </c>
      <c r="C91" s="20" t="s">
        <v>646</v>
      </c>
      <c r="D91" s="137">
        <v>2560000</v>
      </c>
      <c r="E91" s="20" t="s">
        <v>428</v>
      </c>
      <c r="F91" s="20" t="s">
        <v>429</v>
      </c>
      <c r="G91" s="8" t="str">
        <f t="shared" si="2"/>
        <v>MACDONALD THOMAS</v>
      </c>
      <c r="H91" s="20" t="str">
        <f t="shared" si="3"/>
        <v>4020</v>
      </c>
    </row>
    <row r="92" spans="1:8" x14ac:dyDescent="0.25">
      <c r="A92" s="8">
        <v>43066.276886574073</v>
      </c>
      <c r="B92" s="20" t="s">
        <v>459</v>
      </c>
      <c r="C92" s="20" t="s">
        <v>647</v>
      </c>
      <c r="D92" s="137">
        <v>3090000</v>
      </c>
      <c r="E92" s="20" t="s">
        <v>514</v>
      </c>
      <c r="F92" s="20" t="s">
        <v>515</v>
      </c>
      <c r="G92" s="8" t="str">
        <f t="shared" si="2"/>
        <v>LAMAR NEKESHA</v>
      </c>
      <c r="H92" s="20" t="str">
        <f t="shared" si="3"/>
        <v>4053</v>
      </c>
    </row>
    <row r="93" spans="1:8" x14ac:dyDescent="0.25">
      <c r="A93" s="8">
        <v>43066.276886574073</v>
      </c>
      <c r="B93" s="20" t="s">
        <v>459</v>
      </c>
      <c r="C93" s="20" t="s">
        <v>647</v>
      </c>
      <c r="D93" s="137">
        <v>3090000</v>
      </c>
      <c r="E93" s="20" t="s">
        <v>514</v>
      </c>
      <c r="F93" s="20" t="s">
        <v>515</v>
      </c>
      <c r="G93" s="8" t="str">
        <f t="shared" si="2"/>
        <v>LAMAR NEKESHA</v>
      </c>
      <c r="H93" s="20" t="str">
        <f t="shared" si="3"/>
        <v>4053</v>
      </c>
    </row>
    <row r="94" spans="1:8" x14ac:dyDescent="0.25">
      <c r="A94" s="8">
        <v>43066.279432870368</v>
      </c>
      <c r="B94" s="20" t="s">
        <v>359</v>
      </c>
      <c r="C94" s="20" t="s">
        <v>577</v>
      </c>
      <c r="D94" s="137">
        <v>900000</v>
      </c>
      <c r="E94" s="20" t="s">
        <v>595</v>
      </c>
      <c r="F94" s="20" t="s">
        <v>596</v>
      </c>
      <c r="G94" s="8" t="str">
        <f t="shared" si="2"/>
        <v>ROCHA YAOTL</v>
      </c>
      <c r="H94" s="20" t="str">
        <f t="shared" si="3"/>
        <v>4018</v>
      </c>
    </row>
    <row r="95" spans="1:8" x14ac:dyDescent="0.25">
      <c r="A95" s="8">
        <v>43066.279432870368</v>
      </c>
      <c r="B95" s="20" t="s">
        <v>359</v>
      </c>
      <c r="C95" s="20" t="s">
        <v>577</v>
      </c>
      <c r="D95" s="137">
        <v>900000</v>
      </c>
      <c r="E95" s="20" t="s">
        <v>595</v>
      </c>
      <c r="F95" s="20" t="s">
        <v>596</v>
      </c>
      <c r="G95" s="8" t="str">
        <f t="shared" si="2"/>
        <v>ROCHA YAOTL</v>
      </c>
      <c r="H95" s="20" t="str">
        <f t="shared" si="3"/>
        <v>4018</v>
      </c>
    </row>
    <row r="96" spans="1:8" x14ac:dyDescent="0.25">
      <c r="A96" s="8">
        <v>43066.281990740739</v>
      </c>
      <c r="B96" s="20" t="s">
        <v>589</v>
      </c>
      <c r="C96" s="20" t="s">
        <v>648</v>
      </c>
      <c r="D96" s="137">
        <v>1110000</v>
      </c>
      <c r="E96" s="20" t="s">
        <v>604</v>
      </c>
      <c r="F96" s="20" t="s">
        <v>605</v>
      </c>
      <c r="G96" s="8" t="str">
        <f t="shared" si="2"/>
        <v>STARKS ANGELINA</v>
      </c>
      <c r="H96" s="20" t="str">
        <f t="shared" si="3"/>
        <v>4043</v>
      </c>
    </row>
    <row r="97" spans="1:8" x14ac:dyDescent="0.25">
      <c r="A97" s="8">
        <v>43066.281990740739</v>
      </c>
      <c r="B97" s="20" t="s">
        <v>589</v>
      </c>
      <c r="C97" s="20" t="s">
        <v>648</v>
      </c>
      <c r="D97" s="137">
        <v>1110000</v>
      </c>
      <c r="E97" s="20" t="s">
        <v>604</v>
      </c>
      <c r="F97" s="20" t="s">
        <v>605</v>
      </c>
      <c r="G97" s="8" t="str">
        <f t="shared" si="2"/>
        <v>STARKS ANGELINA</v>
      </c>
      <c r="H97" s="20" t="str">
        <f t="shared" si="3"/>
        <v>4043</v>
      </c>
    </row>
    <row r="98" spans="1:8" x14ac:dyDescent="0.25">
      <c r="A98" s="8">
        <v>43066.286273148151</v>
      </c>
      <c r="B98" s="20" t="s">
        <v>507</v>
      </c>
      <c r="C98" s="20" t="s">
        <v>649</v>
      </c>
      <c r="D98" s="137">
        <v>1340000</v>
      </c>
      <c r="E98" s="20" t="s">
        <v>608</v>
      </c>
      <c r="F98" s="20" t="s">
        <v>609</v>
      </c>
      <c r="G98" s="8" t="str">
        <f t="shared" si="2"/>
        <v>BEAM ROSS</v>
      </c>
      <c r="H98" s="20" t="str">
        <f t="shared" si="3"/>
        <v>4025</v>
      </c>
    </row>
    <row r="99" spans="1:8" x14ac:dyDescent="0.25">
      <c r="A99" s="8">
        <v>43066.286273148151</v>
      </c>
      <c r="B99" s="20" t="s">
        <v>507</v>
      </c>
      <c r="C99" s="20" t="s">
        <v>649</v>
      </c>
      <c r="D99" s="137">
        <v>1340000</v>
      </c>
      <c r="E99" s="20" t="s">
        <v>608</v>
      </c>
      <c r="F99" s="20" t="s">
        <v>609</v>
      </c>
      <c r="G99" s="8" t="str">
        <f t="shared" si="2"/>
        <v>BEAM ROSS</v>
      </c>
      <c r="H99" s="20" t="str">
        <f t="shared" si="3"/>
        <v>4025</v>
      </c>
    </row>
    <row r="100" spans="1:8" x14ac:dyDescent="0.25">
      <c r="A100" s="8">
        <v>43066.287442129629</v>
      </c>
      <c r="B100" s="20" t="s">
        <v>625</v>
      </c>
      <c r="C100" s="20" t="s">
        <v>650</v>
      </c>
      <c r="D100" s="137">
        <v>2600000</v>
      </c>
      <c r="E100" s="20" t="s">
        <v>622</v>
      </c>
      <c r="F100" s="20" t="s">
        <v>430</v>
      </c>
      <c r="G100" s="8" t="str">
        <f t="shared" si="2"/>
        <v>DAVIDSON DAVID</v>
      </c>
      <c r="H100" s="20" t="str">
        <f t="shared" si="3"/>
        <v>4064</v>
      </c>
    </row>
    <row r="101" spans="1:8" x14ac:dyDescent="0.25">
      <c r="A101" s="8">
        <v>43066.287442129629</v>
      </c>
      <c r="B101" s="20" t="s">
        <v>625</v>
      </c>
      <c r="C101" s="20" t="s">
        <v>650</v>
      </c>
      <c r="D101" s="137">
        <v>2600000</v>
      </c>
      <c r="E101" s="20" t="s">
        <v>622</v>
      </c>
      <c r="F101" s="20" t="s">
        <v>430</v>
      </c>
      <c r="G101" s="8" t="str">
        <f t="shared" si="2"/>
        <v>DAVIDSON DAVID</v>
      </c>
      <c r="H101" s="20" t="str">
        <f t="shared" si="3"/>
        <v>4064</v>
      </c>
    </row>
    <row r="102" spans="1:8" x14ac:dyDescent="0.25">
      <c r="A102" s="8">
        <v>43066.289988425924</v>
      </c>
      <c r="B102" s="20" t="s">
        <v>623</v>
      </c>
      <c r="C102" s="20" t="s">
        <v>651</v>
      </c>
      <c r="D102" s="137">
        <v>2560000</v>
      </c>
      <c r="E102" s="20" t="s">
        <v>428</v>
      </c>
      <c r="F102" s="20" t="s">
        <v>429</v>
      </c>
      <c r="G102" s="8" t="str">
        <f t="shared" si="2"/>
        <v>MACDONALD THOMAS</v>
      </c>
      <c r="H102" s="20" t="str">
        <f t="shared" si="3"/>
        <v>4019</v>
      </c>
    </row>
    <row r="103" spans="1:8" x14ac:dyDescent="0.25">
      <c r="A103" s="8">
        <v>43066.289988425924</v>
      </c>
      <c r="B103" s="20" t="s">
        <v>623</v>
      </c>
      <c r="C103" s="20" t="s">
        <v>651</v>
      </c>
      <c r="D103" s="137">
        <v>2560000</v>
      </c>
      <c r="E103" s="20" t="s">
        <v>428</v>
      </c>
      <c r="F103" s="20" t="s">
        <v>429</v>
      </c>
      <c r="G103" s="8" t="str">
        <f t="shared" si="2"/>
        <v>MACDONALD THOMAS</v>
      </c>
      <c r="H103" s="20" t="str">
        <f t="shared" si="3"/>
        <v>4019</v>
      </c>
    </row>
    <row r="104" spans="1:8" x14ac:dyDescent="0.25">
      <c r="A104" s="8">
        <v>43066.292361111111</v>
      </c>
      <c r="B104" s="20" t="s">
        <v>457</v>
      </c>
      <c r="C104" s="20" t="s">
        <v>652</v>
      </c>
      <c r="D104" s="137">
        <v>3840000</v>
      </c>
      <c r="E104" s="20" t="s">
        <v>633</v>
      </c>
      <c r="F104" s="20" t="s">
        <v>634</v>
      </c>
      <c r="G104" s="8" t="str">
        <f t="shared" si="2"/>
        <v>LONG FULLER</v>
      </c>
      <c r="H104" s="20" t="str">
        <f t="shared" si="3"/>
        <v>4056</v>
      </c>
    </row>
    <row r="105" spans="1:8" x14ac:dyDescent="0.25">
      <c r="A105" s="8">
        <v>43066.292361111111</v>
      </c>
      <c r="B105" s="20" t="s">
        <v>457</v>
      </c>
      <c r="C105" s="20" t="s">
        <v>652</v>
      </c>
      <c r="D105" s="137">
        <v>3840000</v>
      </c>
      <c r="E105" s="20" t="s">
        <v>633</v>
      </c>
      <c r="F105" s="20" t="s">
        <v>634</v>
      </c>
      <c r="G105" s="8" t="str">
        <f t="shared" si="2"/>
        <v>LONG FULLER</v>
      </c>
      <c r="H105" s="20" t="str">
        <f t="shared" si="3"/>
        <v>4056</v>
      </c>
    </row>
    <row r="106" spans="1:8" x14ac:dyDescent="0.25">
      <c r="A106" s="8">
        <v>43066.298935185187</v>
      </c>
      <c r="B106" s="20" t="s">
        <v>380</v>
      </c>
      <c r="C106" s="20" t="s">
        <v>653</v>
      </c>
      <c r="D106" s="137">
        <v>3790000</v>
      </c>
      <c r="E106" s="20" t="s">
        <v>600</v>
      </c>
      <c r="F106" s="20" t="s">
        <v>601</v>
      </c>
      <c r="G106" s="8" t="str">
        <f t="shared" si="2"/>
        <v>NICHOLAS PLOYSA</v>
      </c>
      <c r="H106" s="20" t="str">
        <f t="shared" si="3"/>
        <v>4022</v>
      </c>
    </row>
    <row r="107" spans="1:8" x14ac:dyDescent="0.25">
      <c r="A107" s="8">
        <v>43066.298935185187</v>
      </c>
      <c r="B107" s="20" t="s">
        <v>380</v>
      </c>
      <c r="C107" s="20" t="s">
        <v>653</v>
      </c>
      <c r="D107" s="137">
        <v>3790000</v>
      </c>
      <c r="E107" s="20" t="s">
        <v>600</v>
      </c>
      <c r="F107" s="20" t="s">
        <v>601</v>
      </c>
      <c r="G107" s="8" t="str">
        <f t="shared" si="2"/>
        <v>NICHOLAS PLOYSA</v>
      </c>
      <c r="H107" s="20" t="str">
        <f t="shared" si="3"/>
        <v>4022</v>
      </c>
    </row>
    <row r="108" spans="1:8" x14ac:dyDescent="0.25">
      <c r="A108" s="8">
        <v>43066.305393518516</v>
      </c>
      <c r="B108" s="20" t="s">
        <v>475</v>
      </c>
      <c r="C108" s="20" t="s">
        <v>654</v>
      </c>
      <c r="D108" s="137">
        <v>2010000</v>
      </c>
      <c r="E108" s="20" t="s">
        <v>511</v>
      </c>
      <c r="F108" s="20" t="s">
        <v>512</v>
      </c>
      <c r="G108" s="8" t="str">
        <f t="shared" si="2"/>
        <v>MAELZER KURT</v>
      </c>
      <c r="H108" s="20" t="str">
        <f t="shared" si="3"/>
        <v>4013</v>
      </c>
    </row>
    <row r="109" spans="1:8" x14ac:dyDescent="0.25">
      <c r="A109" s="8">
        <v>43066.305393518516</v>
      </c>
      <c r="B109" s="20" t="s">
        <v>475</v>
      </c>
      <c r="C109" s="20" t="s">
        <v>654</v>
      </c>
      <c r="D109" s="137">
        <v>2010000</v>
      </c>
      <c r="E109" s="20" t="s">
        <v>511</v>
      </c>
      <c r="F109" s="20" t="s">
        <v>512</v>
      </c>
      <c r="G109" s="8" t="str">
        <f t="shared" si="2"/>
        <v>MAELZER KURT</v>
      </c>
      <c r="H109" s="20" t="str">
        <f t="shared" si="3"/>
        <v>4013</v>
      </c>
    </row>
    <row r="110" spans="1:8" x14ac:dyDescent="0.25">
      <c r="A110" s="8">
        <v>43066.309756944444</v>
      </c>
      <c r="B110" s="20" t="s">
        <v>458</v>
      </c>
      <c r="C110" s="20" t="s">
        <v>655</v>
      </c>
      <c r="D110" s="137">
        <v>3090000</v>
      </c>
      <c r="E110" s="20" t="s">
        <v>514</v>
      </c>
      <c r="F110" s="20" t="s">
        <v>515</v>
      </c>
      <c r="G110" s="8" t="str">
        <f t="shared" si="2"/>
        <v>LAMAR NEKESHA</v>
      </c>
      <c r="H110" s="20" t="str">
        <f t="shared" si="3"/>
        <v>4054</v>
      </c>
    </row>
    <row r="111" spans="1:8" x14ac:dyDescent="0.25">
      <c r="A111" s="8">
        <v>43066.309756944444</v>
      </c>
      <c r="B111" s="20" t="s">
        <v>458</v>
      </c>
      <c r="C111" s="20" t="s">
        <v>655</v>
      </c>
      <c r="D111" s="137">
        <v>3090000</v>
      </c>
      <c r="E111" s="20" t="s">
        <v>514</v>
      </c>
      <c r="F111" s="20" t="s">
        <v>515</v>
      </c>
      <c r="G111" s="8" t="str">
        <f t="shared" si="2"/>
        <v>LAMAR NEKESHA</v>
      </c>
      <c r="H111" s="20" t="str">
        <f t="shared" si="3"/>
        <v>4054</v>
      </c>
    </row>
    <row r="112" spans="1:8" x14ac:dyDescent="0.25">
      <c r="A112" s="8">
        <v>43066.310925925929</v>
      </c>
      <c r="B112" s="20" t="s">
        <v>352</v>
      </c>
      <c r="C112" s="20" t="s">
        <v>656</v>
      </c>
      <c r="D112" s="137">
        <v>3840000</v>
      </c>
      <c r="E112" s="20" t="s">
        <v>633</v>
      </c>
      <c r="F112" s="20" t="s">
        <v>634</v>
      </c>
      <c r="G112" s="8" t="str">
        <f t="shared" si="2"/>
        <v>LONG FULLER</v>
      </c>
      <c r="H112" s="20" t="str">
        <f t="shared" si="3"/>
        <v>4055</v>
      </c>
    </row>
    <row r="113" spans="1:8" x14ac:dyDescent="0.25">
      <c r="A113" s="8">
        <v>43066.310925925929</v>
      </c>
      <c r="B113" s="20" t="s">
        <v>352</v>
      </c>
      <c r="C113" s="20" t="s">
        <v>656</v>
      </c>
      <c r="D113" s="137">
        <v>3840000</v>
      </c>
      <c r="E113" s="20" t="s">
        <v>633</v>
      </c>
      <c r="F113" s="20" t="s">
        <v>634</v>
      </c>
      <c r="G113" s="8" t="str">
        <f t="shared" si="2"/>
        <v>LONG FULLER</v>
      </c>
      <c r="H113" s="20" t="str">
        <f t="shared" si="3"/>
        <v>4055</v>
      </c>
    </row>
    <row r="114" spans="1:8" x14ac:dyDescent="0.25">
      <c r="A114" s="8">
        <v>43066.317314814813</v>
      </c>
      <c r="B114" s="20" t="s">
        <v>618</v>
      </c>
      <c r="C114" s="20" t="s">
        <v>657</v>
      </c>
      <c r="D114" s="137">
        <v>2560000</v>
      </c>
      <c r="E114" s="20" t="s">
        <v>428</v>
      </c>
      <c r="F114" s="20" t="s">
        <v>429</v>
      </c>
      <c r="G114" s="8" t="str">
        <f t="shared" si="2"/>
        <v>MACDONALD THOMAS</v>
      </c>
      <c r="H114" s="20" t="str">
        <f t="shared" si="3"/>
        <v>4020</v>
      </c>
    </row>
    <row r="115" spans="1:8" x14ac:dyDescent="0.25">
      <c r="A115" s="8">
        <v>43066.317314814813</v>
      </c>
      <c r="B115" s="20" t="s">
        <v>618</v>
      </c>
      <c r="C115" s="20" t="s">
        <v>657</v>
      </c>
      <c r="D115" s="137">
        <v>2560000</v>
      </c>
      <c r="E115" s="20" t="s">
        <v>428</v>
      </c>
      <c r="F115" s="20" t="s">
        <v>429</v>
      </c>
      <c r="G115" s="8" t="str">
        <f t="shared" si="2"/>
        <v>MACDONALD THOMAS</v>
      </c>
      <c r="H115" s="20" t="str">
        <f t="shared" si="3"/>
        <v>4020</v>
      </c>
    </row>
    <row r="116" spans="1:8" x14ac:dyDescent="0.25">
      <c r="A116" s="8">
        <v>43066.318831018521</v>
      </c>
      <c r="B116" s="20" t="s">
        <v>620</v>
      </c>
      <c r="C116" s="20" t="s">
        <v>658</v>
      </c>
      <c r="D116" s="137">
        <v>2600000</v>
      </c>
      <c r="E116" s="20" t="s">
        <v>622</v>
      </c>
      <c r="F116" s="20" t="s">
        <v>430</v>
      </c>
      <c r="G116" s="8" t="str">
        <f t="shared" si="2"/>
        <v>DAVIDSON DAVID</v>
      </c>
      <c r="H116" s="20" t="str">
        <f t="shared" si="3"/>
        <v>4063</v>
      </c>
    </row>
    <row r="117" spans="1:8" x14ac:dyDescent="0.25">
      <c r="A117" s="8">
        <v>43066.318831018521</v>
      </c>
      <c r="B117" s="20" t="s">
        <v>620</v>
      </c>
      <c r="C117" s="20" t="s">
        <v>658</v>
      </c>
      <c r="D117" s="137">
        <v>2600000</v>
      </c>
      <c r="E117" s="20" t="s">
        <v>622</v>
      </c>
      <c r="F117" s="20" t="s">
        <v>430</v>
      </c>
      <c r="G117" s="8" t="str">
        <f t="shared" si="2"/>
        <v>DAVIDSON DAVID</v>
      </c>
      <c r="H117" s="20" t="str">
        <f t="shared" si="3"/>
        <v>4063</v>
      </c>
    </row>
    <row r="118" spans="1:8" x14ac:dyDescent="0.25">
      <c r="A118" s="8">
        <v>43066.319456018522</v>
      </c>
      <c r="B118" s="20" t="s">
        <v>361</v>
      </c>
      <c r="C118" s="20" t="s">
        <v>659</v>
      </c>
      <c r="D118" s="137">
        <v>900000</v>
      </c>
      <c r="E118" s="20" t="s">
        <v>595</v>
      </c>
      <c r="F118" s="20" t="s">
        <v>596</v>
      </c>
      <c r="G118" s="8" t="str">
        <f t="shared" si="2"/>
        <v>ROCHA YAOTL</v>
      </c>
      <c r="H118" s="20" t="str">
        <f t="shared" si="3"/>
        <v>4017</v>
      </c>
    </row>
    <row r="119" spans="1:8" x14ac:dyDescent="0.25">
      <c r="A119" s="8">
        <v>43066.319456018522</v>
      </c>
      <c r="B119" s="20" t="s">
        <v>361</v>
      </c>
      <c r="C119" s="20" t="s">
        <v>659</v>
      </c>
      <c r="D119" s="137">
        <v>900000</v>
      </c>
      <c r="E119" s="20" t="s">
        <v>595</v>
      </c>
      <c r="F119" s="20" t="s">
        <v>596</v>
      </c>
      <c r="G119" s="8" t="str">
        <f t="shared" si="2"/>
        <v>ROCHA YAOTL</v>
      </c>
      <c r="H119" s="20" t="str">
        <f t="shared" si="3"/>
        <v>4017</v>
      </c>
    </row>
    <row r="120" spans="1:8" x14ac:dyDescent="0.25">
      <c r="A120" s="8">
        <v>43066.321817129632</v>
      </c>
      <c r="B120" s="20" t="s">
        <v>578</v>
      </c>
      <c r="C120" s="20" t="s">
        <v>579</v>
      </c>
      <c r="D120" s="137">
        <v>1110000</v>
      </c>
      <c r="E120" s="20" t="s">
        <v>604</v>
      </c>
      <c r="F120" s="20" t="s">
        <v>605</v>
      </c>
      <c r="G120" s="8" t="str">
        <f t="shared" si="2"/>
        <v>STARKS ANGELINA</v>
      </c>
      <c r="H120" s="20" t="str">
        <f t="shared" si="3"/>
        <v>4044</v>
      </c>
    </row>
    <row r="121" spans="1:8" x14ac:dyDescent="0.25">
      <c r="A121" s="8">
        <v>43066.330277777779</v>
      </c>
      <c r="B121" s="20" t="s">
        <v>623</v>
      </c>
      <c r="C121" s="20" t="s">
        <v>660</v>
      </c>
      <c r="D121" s="137">
        <v>2560000</v>
      </c>
      <c r="E121" s="20" t="s">
        <v>428</v>
      </c>
      <c r="F121" s="20" t="s">
        <v>429</v>
      </c>
      <c r="G121" s="8" t="str">
        <f t="shared" si="2"/>
        <v>MACDONALD THOMAS</v>
      </c>
      <c r="H121" s="20" t="str">
        <f t="shared" si="3"/>
        <v>4019</v>
      </c>
    </row>
    <row r="122" spans="1:8" x14ac:dyDescent="0.25">
      <c r="A122" s="8">
        <v>43066.330277777779</v>
      </c>
      <c r="B122" s="25" t="s">
        <v>509</v>
      </c>
      <c r="C122" s="20" t="s">
        <v>661</v>
      </c>
      <c r="D122" s="137">
        <v>1340000</v>
      </c>
      <c r="E122" s="20" t="s">
        <v>608</v>
      </c>
      <c r="F122" s="20" t="s">
        <v>609</v>
      </c>
      <c r="G122" s="8" t="str">
        <f t="shared" si="2"/>
        <v>BEAM ROSS</v>
      </c>
      <c r="H122" s="20" t="str">
        <f t="shared" si="3"/>
        <v>4026</v>
      </c>
    </row>
    <row r="123" spans="1:8" x14ac:dyDescent="0.25">
      <c r="A123" s="8">
        <v>43066.33284722222</v>
      </c>
      <c r="B123" s="20" t="s">
        <v>457</v>
      </c>
      <c r="C123" s="20" t="s">
        <v>662</v>
      </c>
      <c r="D123" s="137">
        <v>3840000</v>
      </c>
      <c r="E123" s="20" t="s">
        <v>633</v>
      </c>
      <c r="F123" s="20" t="s">
        <v>634</v>
      </c>
      <c r="G123" s="8" t="str">
        <f t="shared" si="2"/>
        <v>LONG FULLER</v>
      </c>
      <c r="H123" s="20" t="str">
        <f t="shared" si="3"/>
        <v>4056</v>
      </c>
    </row>
    <row r="124" spans="1:8" x14ac:dyDescent="0.25">
      <c r="A124" s="8">
        <v>43066.334282407406</v>
      </c>
      <c r="B124" s="20" t="s">
        <v>598</v>
      </c>
      <c r="C124" s="20" t="s">
        <v>663</v>
      </c>
      <c r="D124" s="137">
        <v>3790000</v>
      </c>
      <c r="E124" s="20" t="s">
        <v>600</v>
      </c>
      <c r="F124" s="20" t="s">
        <v>601</v>
      </c>
      <c r="G124" s="8" t="str">
        <f t="shared" si="2"/>
        <v>NICHOLAS PLOYSA</v>
      </c>
      <c r="H124" s="20" t="str">
        <f t="shared" si="3"/>
        <v>4021</v>
      </c>
    </row>
    <row r="125" spans="1:8" x14ac:dyDescent="0.25">
      <c r="A125" s="8">
        <v>43066.339143518519</v>
      </c>
      <c r="B125" s="20" t="s">
        <v>474</v>
      </c>
      <c r="C125" s="20" t="s">
        <v>664</v>
      </c>
      <c r="D125" s="137">
        <v>2010000</v>
      </c>
      <c r="E125" s="20" t="s">
        <v>511</v>
      </c>
      <c r="F125" s="20" t="s">
        <v>512</v>
      </c>
      <c r="G125" s="8" t="str">
        <f t="shared" si="2"/>
        <v>MAELZER KURT</v>
      </c>
      <c r="H125" s="20" t="str">
        <f t="shared" si="3"/>
        <v>4014</v>
      </c>
    </row>
    <row r="126" spans="1:8" x14ac:dyDescent="0.25">
      <c r="A126" s="8">
        <v>43066.350162037037</v>
      </c>
      <c r="B126" s="20" t="s">
        <v>459</v>
      </c>
      <c r="C126" s="20" t="s">
        <v>665</v>
      </c>
      <c r="D126" s="137">
        <v>3090000</v>
      </c>
      <c r="E126" s="20" t="s">
        <v>514</v>
      </c>
      <c r="F126" s="20" t="s">
        <v>515</v>
      </c>
      <c r="G126" s="8" t="str">
        <f t="shared" si="2"/>
        <v>LAMAR NEKESHA</v>
      </c>
      <c r="H126" s="20" t="str">
        <f t="shared" si="3"/>
        <v>4053</v>
      </c>
    </row>
    <row r="127" spans="1:8" x14ac:dyDescent="0.25">
      <c r="A127" s="8">
        <v>43066.35324074074</v>
      </c>
      <c r="B127" s="20" t="s">
        <v>359</v>
      </c>
      <c r="C127" s="20" t="s">
        <v>666</v>
      </c>
      <c r="D127" s="137">
        <v>900000</v>
      </c>
      <c r="E127" s="20" t="s">
        <v>595</v>
      </c>
      <c r="F127" s="20" t="s">
        <v>596</v>
      </c>
      <c r="G127" s="8" t="str">
        <f t="shared" si="2"/>
        <v>ROCHA YAOTL</v>
      </c>
      <c r="H127" s="20" t="str">
        <f t="shared" si="3"/>
        <v>4018</v>
      </c>
    </row>
    <row r="128" spans="1:8" x14ac:dyDescent="0.25">
      <c r="A128" s="8">
        <v>43066.353842592594</v>
      </c>
      <c r="B128" s="20" t="s">
        <v>618</v>
      </c>
      <c r="C128" s="20" t="s">
        <v>667</v>
      </c>
      <c r="D128" s="137">
        <v>2560000</v>
      </c>
      <c r="E128" s="20" t="s">
        <v>428</v>
      </c>
      <c r="F128" s="20" t="s">
        <v>429</v>
      </c>
      <c r="G128" s="8" t="str">
        <f t="shared" si="2"/>
        <v>MACDONALD THOMAS</v>
      </c>
      <c r="H128" s="20" t="str">
        <f t="shared" si="3"/>
        <v>4020</v>
      </c>
    </row>
    <row r="129" spans="1:8" x14ac:dyDescent="0.25">
      <c r="A129" s="8">
        <v>43066.35423611111</v>
      </c>
      <c r="B129" s="20" t="s">
        <v>352</v>
      </c>
      <c r="C129" s="20" t="s">
        <v>668</v>
      </c>
      <c r="D129" s="137">
        <v>3840000</v>
      </c>
      <c r="E129" s="20" t="s">
        <v>633</v>
      </c>
      <c r="F129" s="20" t="s">
        <v>634</v>
      </c>
      <c r="G129" s="8" t="str">
        <f t="shared" si="2"/>
        <v>LONG FULLER</v>
      </c>
      <c r="H129" s="20" t="str">
        <f t="shared" si="3"/>
        <v>4055</v>
      </c>
    </row>
    <row r="130" spans="1:8" x14ac:dyDescent="0.25">
      <c r="A130" s="8">
        <v>43066.360451388886</v>
      </c>
      <c r="B130" s="20" t="s">
        <v>625</v>
      </c>
      <c r="C130" s="20" t="s">
        <v>669</v>
      </c>
      <c r="D130" s="137">
        <v>2600000</v>
      </c>
      <c r="E130" s="20" t="s">
        <v>622</v>
      </c>
      <c r="F130" s="20" t="s">
        <v>430</v>
      </c>
      <c r="G130" s="8" t="str">
        <f t="shared" si="2"/>
        <v>DAVIDSON DAVID</v>
      </c>
      <c r="H130" s="20" t="str">
        <f t="shared" si="3"/>
        <v>4064</v>
      </c>
    </row>
    <row r="131" spans="1:8" x14ac:dyDescent="0.25">
      <c r="A131" s="8">
        <v>43066.361307870371</v>
      </c>
      <c r="B131" s="20" t="s">
        <v>589</v>
      </c>
      <c r="C131" s="20" t="s">
        <v>670</v>
      </c>
      <c r="D131" s="137">
        <v>1110000</v>
      </c>
      <c r="E131" s="20" t="s">
        <v>604</v>
      </c>
      <c r="F131" s="20" t="s">
        <v>605</v>
      </c>
      <c r="G131" s="8" t="str">
        <f t="shared" ref="G131:G194" si="4">E131&amp;" "&amp;F131</f>
        <v>STARKS ANGELINA</v>
      </c>
      <c r="H131" s="20" t="str">
        <f t="shared" ref="H131:H194" si="5">MID(B131,13,4)</f>
        <v>4043</v>
      </c>
    </row>
    <row r="132" spans="1:8" x14ac:dyDescent="0.25">
      <c r="A132" s="8">
        <v>43066.362210648149</v>
      </c>
      <c r="B132" s="20" t="s">
        <v>507</v>
      </c>
      <c r="C132" s="20" t="s">
        <v>671</v>
      </c>
      <c r="D132" s="137">
        <v>1340000</v>
      </c>
      <c r="E132" s="20" t="s">
        <v>608</v>
      </c>
      <c r="F132" s="20" t="s">
        <v>609</v>
      </c>
      <c r="G132" s="8" t="str">
        <f t="shared" si="4"/>
        <v>BEAM ROSS</v>
      </c>
      <c r="H132" s="20" t="str">
        <f t="shared" si="5"/>
        <v>4025</v>
      </c>
    </row>
    <row r="133" spans="1:8" x14ac:dyDescent="0.25">
      <c r="A133" s="8">
        <v>43066.371666666666</v>
      </c>
      <c r="B133" s="20" t="s">
        <v>380</v>
      </c>
      <c r="C133" s="20" t="s">
        <v>672</v>
      </c>
      <c r="D133" s="137">
        <v>3790000</v>
      </c>
      <c r="E133" s="20" t="s">
        <v>600</v>
      </c>
      <c r="F133" s="20" t="s">
        <v>601</v>
      </c>
      <c r="G133" s="8" t="str">
        <f t="shared" si="4"/>
        <v>NICHOLAS PLOYSA</v>
      </c>
      <c r="H133" s="20" t="str">
        <f t="shared" si="5"/>
        <v>4022</v>
      </c>
    </row>
    <row r="134" spans="1:8" x14ac:dyDescent="0.25">
      <c r="A134" s="8">
        <v>43066.374421296299</v>
      </c>
      <c r="B134" s="20" t="s">
        <v>457</v>
      </c>
      <c r="C134" s="20" t="s">
        <v>673</v>
      </c>
      <c r="D134" s="137">
        <v>3840000</v>
      </c>
      <c r="E134" s="20" t="s">
        <v>633</v>
      </c>
      <c r="F134" s="20" t="s">
        <v>634</v>
      </c>
      <c r="G134" s="8" t="str">
        <f t="shared" si="4"/>
        <v>LONG FULLER</v>
      </c>
      <c r="H134" s="20" t="str">
        <f t="shared" si="5"/>
        <v>4056</v>
      </c>
    </row>
    <row r="135" spans="1:8" x14ac:dyDescent="0.25">
      <c r="A135" s="8">
        <v>43066.3747337963</v>
      </c>
      <c r="B135" s="20" t="s">
        <v>475</v>
      </c>
      <c r="C135" s="20" t="s">
        <v>580</v>
      </c>
      <c r="D135" s="137">
        <v>2010000</v>
      </c>
      <c r="E135" s="20" t="s">
        <v>511</v>
      </c>
      <c r="F135" s="20" t="s">
        <v>512</v>
      </c>
      <c r="G135" s="8" t="str">
        <f t="shared" si="4"/>
        <v>MAELZER KURT</v>
      </c>
      <c r="H135" s="20" t="str">
        <f t="shared" si="5"/>
        <v>4013</v>
      </c>
    </row>
    <row r="136" spans="1:8" x14ac:dyDescent="0.25">
      <c r="A136" s="8">
        <v>43066.381793981483</v>
      </c>
      <c r="B136" s="20" t="s">
        <v>458</v>
      </c>
      <c r="C136" s="20" t="s">
        <v>674</v>
      </c>
      <c r="D136" s="137">
        <v>3090000</v>
      </c>
      <c r="E136" s="20" t="s">
        <v>514</v>
      </c>
      <c r="F136" s="20" t="s">
        <v>515</v>
      </c>
      <c r="G136" s="8" t="str">
        <f t="shared" si="4"/>
        <v>LAMAR NEKESHA</v>
      </c>
      <c r="H136" s="20" t="str">
        <f t="shared" si="5"/>
        <v>4054</v>
      </c>
    </row>
    <row r="137" spans="1:8" x14ac:dyDescent="0.25">
      <c r="A137" s="8">
        <v>43066.391064814816</v>
      </c>
      <c r="B137" s="20" t="s">
        <v>620</v>
      </c>
      <c r="C137" s="20" t="s">
        <v>675</v>
      </c>
      <c r="D137" s="137">
        <v>2600000</v>
      </c>
      <c r="E137" s="20" t="s">
        <v>622</v>
      </c>
      <c r="F137" s="20" t="s">
        <v>430</v>
      </c>
      <c r="G137" s="8" t="str">
        <f t="shared" si="4"/>
        <v>DAVIDSON DAVID</v>
      </c>
      <c r="H137" s="20" t="str">
        <f t="shared" si="5"/>
        <v>4063</v>
      </c>
    </row>
    <row r="138" spans="1:8" x14ac:dyDescent="0.25">
      <c r="A138" s="8">
        <v>43066.392175925925</v>
      </c>
      <c r="B138" s="20" t="s">
        <v>361</v>
      </c>
      <c r="C138" s="20" t="s">
        <v>581</v>
      </c>
      <c r="D138" s="137">
        <v>900000</v>
      </c>
      <c r="E138" s="20" t="s">
        <v>595</v>
      </c>
      <c r="F138" s="20" t="s">
        <v>596</v>
      </c>
      <c r="G138" s="8" t="str">
        <f t="shared" si="4"/>
        <v>ROCHA YAOTL</v>
      </c>
      <c r="H138" s="20" t="str">
        <f t="shared" si="5"/>
        <v>4017</v>
      </c>
    </row>
    <row r="139" spans="1:8" x14ac:dyDescent="0.25">
      <c r="A139" s="8">
        <v>43066.393819444442</v>
      </c>
      <c r="B139" s="20" t="s">
        <v>352</v>
      </c>
      <c r="C139" s="20" t="s">
        <v>676</v>
      </c>
      <c r="D139" s="137">
        <v>3840000</v>
      </c>
      <c r="E139" s="20" t="s">
        <v>633</v>
      </c>
      <c r="F139" s="20" t="s">
        <v>634</v>
      </c>
      <c r="G139" s="8" t="str">
        <f t="shared" si="4"/>
        <v>LONG FULLER</v>
      </c>
      <c r="H139" s="20" t="str">
        <f t="shared" si="5"/>
        <v>4055</v>
      </c>
    </row>
    <row r="140" spans="1:8" x14ac:dyDescent="0.25">
      <c r="A140" s="8">
        <v>43066.394652777781</v>
      </c>
      <c r="B140" s="20" t="s">
        <v>578</v>
      </c>
      <c r="C140" s="20" t="s">
        <v>677</v>
      </c>
      <c r="D140" s="137">
        <v>1110000</v>
      </c>
      <c r="E140" s="20" t="s">
        <v>604</v>
      </c>
      <c r="F140" s="20" t="s">
        <v>605</v>
      </c>
      <c r="G140" s="8" t="str">
        <f t="shared" si="4"/>
        <v>STARKS ANGELINA</v>
      </c>
      <c r="H140" s="20" t="str">
        <f t="shared" si="5"/>
        <v>4044</v>
      </c>
    </row>
    <row r="141" spans="1:8" x14ac:dyDescent="0.25">
      <c r="A141" s="8">
        <v>43066.403749999998</v>
      </c>
      <c r="B141" s="20" t="s">
        <v>509</v>
      </c>
      <c r="C141" s="20" t="s">
        <v>678</v>
      </c>
      <c r="D141" s="137">
        <v>1340000</v>
      </c>
      <c r="E141" s="20" t="s">
        <v>608</v>
      </c>
      <c r="F141" s="20" t="s">
        <v>609</v>
      </c>
      <c r="G141" s="8" t="str">
        <f t="shared" si="4"/>
        <v>BEAM ROSS</v>
      </c>
      <c r="H141" s="20" t="str">
        <f t="shared" si="5"/>
        <v>4026</v>
      </c>
    </row>
    <row r="142" spans="1:8" x14ac:dyDescent="0.25">
      <c r="A142" s="8">
        <v>43066.407777777778</v>
      </c>
      <c r="B142" s="20" t="s">
        <v>598</v>
      </c>
      <c r="C142" s="20" t="s">
        <v>679</v>
      </c>
      <c r="D142" s="137">
        <v>3790000</v>
      </c>
      <c r="E142" s="20" t="s">
        <v>600</v>
      </c>
      <c r="F142" s="20" t="s">
        <v>601</v>
      </c>
      <c r="G142" s="8" t="str">
        <f t="shared" si="4"/>
        <v>NICHOLAS PLOYSA</v>
      </c>
      <c r="H142" s="20" t="str">
        <f t="shared" si="5"/>
        <v>4021</v>
      </c>
    </row>
    <row r="143" spans="1:8" x14ac:dyDescent="0.25">
      <c r="A143" s="8">
        <v>43066.411504629628</v>
      </c>
      <c r="B143" s="20" t="s">
        <v>509</v>
      </c>
      <c r="C143" s="20" t="s">
        <v>678</v>
      </c>
      <c r="D143" s="137">
        <v>1340000</v>
      </c>
      <c r="E143" s="20" t="s">
        <v>608</v>
      </c>
      <c r="F143" s="20" t="s">
        <v>609</v>
      </c>
      <c r="G143" s="8" t="str">
        <f t="shared" si="4"/>
        <v>BEAM ROSS</v>
      </c>
      <c r="H143" s="20" t="str">
        <f t="shared" si="5"/>
        <v>4026</v>
      </c>
    </row>
    <row r="144" spans="1:8" x14ac:dyDescent="0.25">
      <c r="A144" s="8">
        <v>43066.415648148148</v>
      </c>
      <c r="B144" s="20" t="s">
        <v>474</v>
      </c>
      <c r="C144" s="20" t="s">
        <v>680</v>
      </c>
      <c r="D144" s="137">
        <v>2010000</v>
      </c>
      <c r="E144" s="20" t="s">
        <v>511</v>
      </c>
      <c r="F144" s="20" t="s">
        <v>512</v>
      </c>
      <c r="G144" s="8" t="str">
        <f t="shared" si="4"/>
        <v>MAELZER KURT</v>
      </c>
      <c r="H144" s="20" t="str">
        <f t="shared" si="5"/>
        <v>4014</v>
      </c>
    </row>
    <row r="145" spans="1:8" x14ac:dyDescent="0.25">
      <c r="A145" s="8">
        <v>43066.415717592594</v>
      </c>
      <c r="B145" s="20" t="s">
        <v>457</v>
      </c>
      <c r="C145" s="20" t="s">
        <v>681</v>
      </c>
      <c r="D145" s="137">
        <v>3840000</v>
      </c>
      <c r="E145" s="20" t="s">
        <v>633</v>
      </c>
      <c r="F145" s="20" t="s">
        <v>634</v>
      </c>
      <c r="G145" s="8" t="str">
        <f t="shared" si="4"/>
        <v>LONG FULLER</v>
      </c>
      <c r="H145" s="20" t="str">
        <f t="shared" si="5"/>
        <v>4056</v>
      </c>
    </row>
    <row r="146" spans="1:8" x14ac:dyDescent="0.25">
      <c r="A146" s="8">
        <v>43066.420925925922</v>
      </c>
      <c r="B146" s="20" t="s">
        <v>459</v>
      </c>
      <c r="C146" s="20" t="s">
        <v>682</v>
      </c>
      <c r="D146" s="137">
        <v>3090000</v>
      </c>
      <c r="E146" s="20" t="s">
        <v>514</v>
      </c>
      <c r="F146" s="20" t="s">
        <v>515</v>
      </c>
      <c r="G146" s="8" t="str">
        <f t="shared" si="4"/>
        <v>LAMAR NEKESHA</v>
      </c>
      <c r="H146" s="20" t="str">
        <f t="shared" si="5"/>
        <v>4053</v>
      </c>
    </row>
    <row r="147" spans="1:8" x14ac:dyDescent="0.25">
      <c r="A147" s="8">
        <v>43066.422731481478</v>
      </c>
      <c r="B147" s="20" t="s">
        <v>359</v>
      </c>
      <c r="C147" s="20" t="s">
        <v>683</v>
      </c>
      <c r="D147" s="137">
        <v>2560000</v>
      </c>
      <c r="E147" s="20" t="s">
        <v>428</v>
      </c>
      <c r="F147" s="20" t="s">
        <v>429</v>
      </c>
      <c r="G147" s="8" t="str">
        <f t="shared" si="4"/>
        <v>MACDONALD THOMAS</v>
      </c>
      <c r="H147" s="20" t="str">
        <f t="shared" si="5"/>
        <v>4018</v>
      </c>
    </row>
    <row r="148" spans="1:8" x14ac:dyDescent="0.25">
      <c r="A148" s="8">
        <v>43066.433067129627</v>
      </c>
      <c r="B148" s="20" t="s">
        <v>352</v>
      </c>
      <c r="C148" s="20" t="s">
        <v>684</v>
      </c>
      <c r="D148" s="137">
        <v>3840000</v>
      </c>
      <c r="E148" s="20" t="s">
        <v>633</v>
      </c>
      <c r="F148" s="20" t="s">
        <v>634</v>
      </c>
      <c r="G148" s="8" t="str">
        <f t="shared" si="4"/>
        <v>LONG FULLER</v>
      </c>
      <c r="H148" s="20" t="str">
        <f t="shared" si="5"/>
        <v>4055</v>
      </c>
    </row>
    <row r="149" spans="1:8" x14ac:dyDescent="0.25">
      <c r="A149" s="8">
        <v>43066.433472222219</v>
      </c>
      <c r="B149" s="20" t="s">
        <v>625</v>
      </c>
      <c r="C149" s="20" t="s">
        <v>685</v>
      </c>
      <c r="D149" s="137">
        <v>2600000</v>
      </c>
      <c r="E149" s="20" t="s">
        <v>622</v>
      </c>
      <c r="F149" s="20" t="s">
        <v>430</v>
      </c>
      <c r="G149" s="8" t="str">
        <f t="shared" si="4"/>
        <v>DAVIDSON DAVID</v>
      </c>
      <c r="H149" s="20" t="str">
        <f t="shared" si="5"/>
        <v>4064</v>
      </c>
    </row>
    <row r="150" spans="1:8" x14ac:dyDescent="0.25">
      <c r="A150" s="8">
        <v>43066.435393518521</v>
      </c>
      <c r="B150" s="20" t="s">
        <v>507</v>
      </c>
      <c r="C150" s="20" t="s">
        <v>686</v>
      </c>
      <c r="D150" s="137">
        <v>1340000</v>
      </c>
      <c r="E150" s="20" t="s">
        <v>608</v>
      </c>
      <c r="F150" s="20" t="s">
        <v>609</v>
      </c>
      <c r="G150" s="8" t="str">
        <f t="shared" si="4"/>
        <v>BEAM ROSS</v>
      </c>
      <c r="H150" s="20" t="str">
        <f t="shared" si="5"/>
        <v>4025</v>
      </c>
    </row>
    <row r="151" spans="1:8" x14ac:dyDescent="0.25">
      <c r="A151" s="8">
        <v>43066.43546296296</v>
      </c>
      <c r="B151" s="20" t="s">
        <v>589</v>
      </c>
      <c r="C151" s="20" t="s">
        <v>687</v>
      </c>
      <c r="D151" s="137">
        <v>1110000</v>
      </c>
      <c r="E151" s="20" t="s">
        <v>604</v>
      </c>
      <c r="F151" s="20" t="s">
        <v>605</v>
      </c>
      <c r="G151" s="8" t="str">
        <f t="shared" si="4"/>
        <v>STARKS ANGELINA</v>
      </c>
      <c r="H151" s="20" t="str">
        <f t="shared" si="5"/>
        <v>4043</v>
      </c>
    </row>
    <row r="152" spans="1:8" x14ac:dyDescent="0.25">
      <c r="A152" s="8">
        <v>43066.446273148147</v>
      </c>
      <c r="B152" s="20" t="s">
        <v>380</v>
      </c>
      <c r="C152" s="20" t="s">
        <v>688</v>
      </c>
      <c r="D152" s="137">
        <v>2550000</v>
      </c>
      <c r="E152" s="20" t="s">
        <v>516</v>
      </c>
      <c r="F152" s="20" t="s">
        <v>517</v>
      </c>
      <c r="G152" s="8" t="str">
        <f t="shared" si="4"/>
        <v>BADERTSCHER DIANE</v>
      </c>
      <c r="H152" s="20" t="str">
        <f t="shared" si="5"/>
        <v>4022</v>
      </c>
    </row>
    <row r="153" spans="1:8" x14ac:dyDescent="0.25">
      <c r="A153" s="8">
        <v>43066.448738425926</v>
      </c>
      <c r="B153" s="20" t="s">
        <v>475</v>
      </c>
      <c r="C153" s="20" t="s">
        <v>689</v>
      </c>
      <c r="D153" s="137">
        <v>2010000</v>
      </c>
      <c r="E153" s="20" t="s">
        <v>511</v>
      </c>
      <c r="F153" s="20" t="s">
        <v>512</v>
      </c>
      <c r="G153" s="8" t="str">
        <f t="shared" si="4"/>
        <v>MAELZER KURT</v>
      </c>
      <c r="H153" s="20" t="str">
        <f t="shared" si="5"/>
        <v>4013</v>
      </c>
    </row>
    <row r="154" spans="1:8" x14ac:dyDescent="0.25">
      <c r="A154" s="8">
        <v>43066.456701388888</v>
      </c>
      <c r="B154" s="20" t="s">
        <v>458</v>
      </c>
      <c r="C154" s="20" t="s">
        <v>690</v>
      </c>
      <c r="D154" s="137">
        <v>3090000</v>
      </c>
      <c r="E154" s="20" t="s">
        <v>514</v>
      </c>
      <c r="F154" s="20" t="s">
        <v>515</v>
      </c>
      <c r="G154" s="8" t="str">
        <f t="shared" si="4"/>
        <v>LAMAR NEKESHA</v>
      </c>
      <c r="H154" s="20" t="str">
        <f t="shared" si="5"/>
        <v>4054</v>
      </c>
    </row>
    <row r="155" spans="1:8" x14ac:dyDescent="0.25">
      <c r="A155" s="8">
        <v>43066.457951388889</v>
      </c>
      <c r="B155" s="20" t="s">
        <v>457</v>
      </c>
      <c r="C155" s="20" t="s">
        <v>691</v>
      </c>
      <c r="D155" s="137">
        <v>3840000</v>
      </c>
      <c r="E155" s="20" t="s">
        <v>633</v>
      </c>
      <c r="F155" s="20" t="s">
        <v>634</v>
      </c>
      <c r="G155" s="8" t="str">
        <f t="shared" si="4"/>
        <v>LONG FULLER</v>
      </c>
      <c r="H155" s="20" t="str">
        <f t="shared" si="5"/>
        <v>4056</v>
      </c>
    </row>
    <row r="156" spans="1:8" x14ac:dyDescent="0.25">
      <c r="A156" s="8">
        <v>43066.462835648148</v>
      </c>
      <c r="B156" s="20" t="s">
        <v>361</v>
      </c>
      <c r="C156" s="20" t="s">
        <v>692</v>
      </c>
      <c r="D156" s="137">
        <v>2560000</v>
      </c>
      <c r="E156" s="20" t="s">
        <v>428</v>
      </c>
      <c r="F156" s="20" t="s">
        <v>429</v>
      </c>
      <c r="G156" s="8" t="str">
        <f t="shared" si="4"/>
        <v>MACDONALD THOMAS</v>
      </c>
      <c r="H156" s="20" t="str">
        <f t="shared" si="5"/>
        <v>4017</v>
      </c>
    </row>
    <row r="157" spans="1:8" x14ac:dyDescent="0.25">
      <c r="A157" s="8">
        <v>43066.466064814813</v>
      </c>
      <c r="B157" s="20" t="s">
        <v>620</v>
      </c>
      <c r="C157" s="20" t="s">
        <v>693</v>
      </c>
      <c r="D157" s="137">
        <v>2600000</v>
      </c>
      <c r="E157" s="20" t="s">
        <v>622</v>
      </c>
      <c r="F157" s="20" t="s">
        <v>430</v>
      </c>
      <c r="G157" s="8" t="str">
        <f t="shared" si="4"/>
        <v>DAVIDSON DAVID</v>
      </c>
      <c r="H157" s="20" t="str">
        <f t="shared" si="5"/>
        <v>4063</v>
      </c>
    </row>
    <row r="158" spans="1:8" x14ac:dyDescent="0.25">
      <c r="A158" s="8">
        <v>43066.467615740738</v>
      </c>
      <c r="B158" s="20" t="s">
        <v>578</v>
      </c>
      <c r="C158" s="20" t="s">
        <v>694</v>
      </c>
      <c r="D158" s="137">
        <v>920000</v>
      </c>
      <c r="E158" s="20" t="s">
        <v>461</v>
      </c>
      <c r="F158" s="20" t="s">
        <v>353</v>
      </c>
      <c r="G158" s="8" t="str">
        <f t="shared" si="4"/>
        <v>DAVIS MICHAEL</v>
      </c>
      <c r="H158" s="20" t="str">
        <f t="shared" si="5"/>
        <v>4044</v>
      </c>
    </row>
    <row r="159" spans="1:8" x14ac:dyDescent="0.25">
      <c r="A159" s="8">
        <v>43066.475115740737</v>
      </c>
      <c r="B159" s="20" t="s">
        <v>352</v>
      </c>
      <c r="C159" s="20" t="s">
        <v>695</v>
      </c>
      <c r="D159" s="137">
        <v>3840000</v>
      </c>
      <c r="E159" s="20" t="s">
        <v>633</v>
      </c>
      <c r="F159" s="20" t="s">
        <v>634</v>
      </c>
      <c r="G159" s="8" t="str">
        <f t="shared" si="4"/>
        <v>LONG FULLER</v>
      </c>
      <c r="H159" s="20" t="str">
        <f t="shared" si="5"/>
        <v>4055</v>
      </c>
    </row>
    <row r="160" spans="1:8" x14ac:dyDescent="0.25">
      <c r="A160" s="8">
        <v>43066.476689814815</v>
      </c>
      <c r="B160" s="20" t="s">
        <v>509</v>
      </c>
      <c r="C160" s="20" t="s">
        <v>696</v>
      </c>
      <c r="D160" s="137">
        <v>880000</v>
      </c>
      <c r="E160" s="20" t="s">
        <v>460</v>
      </c>
      <c r="F160" s="20" t="s">
        <v>353</v>
      </c>
      <c r="G160" s="8" t="str">
        <f t="shared" si="4"/>
        <v>STEWART MICHAEL</v>
      </c>
      <c r="H160" s="20" t="str">
        <f t="shared" si="5"/>
        <v>4026</v>
      </c>
    </row>
    <row r="161" spans="1:8" x14ac:dyDescent="0.25">
      <c r="A161" s="8">
        <v>43066.484085648146</v>
      </c>
      <c r="B161" s="20" t="s">
        <v>598</v>
      </c>
      <c r="C161" s="20" t="s">
        <v>697</v>
      </c>
      <c r="D161" s="137">
        <v>2550000</v>
      </c>
      <c r="E161" s="20" t="s">
        <v>516</v>
      </c>
      <c r="F161" s="20" t="s">
        <v>517</v>
      </c>
      <c r="G161" s="8" t="str">
        <f t="shared" si="4"/>
        <v>BADERTSCHER DIANE</v>
      </c>
      <c r="H161" s="20" t="str">
        <f t="shared" si="5"/>
        <v>4021</v>
      </c>
    </row>
    <row r="162" spans="1:8" x14ac:dyDescent="0.25">
      <c r="A162" s="8">
        <v>43066.485902777778</v>
      </c>
      <c r="B162" s="20" t="s">
        <v>474</v>
      </c>
      <c r="C162" s="20" t="s">
        <v>698</v>
      </c>
      <c r="D162" s="137">
        <v>3810000</v>
      </c>
      <c r="E162" s="20" t="s">
        <v>699</v>
      </c>
      <c r="F162" s="20" t="s">
        <v>700</v>
      </c>
      <c r="G162" s="8" t="str">
        <f t="shared" si="4"/>
        <v>LORI SANTOS</v>
      </c>
      <c r="H162" s="20" t="str">
        <f t="shared" si="5"/>
        <v>4014</v>
      </c>
    </row>
    <row r="163" spans="1:8" x14ac:dyDescent="0.25">
      <c r="A163" s="8">
        <v>43066.497071759259</v>
      </c>
      <c r="B163" s="20" t="s">
        <v>459</v>
      </c>
      <c r="C163" s="20" t="s">
        <v>701</v>
      </c>
      <c r="D163" s="137">
        <v>3090000</v>
      </c>
      <c r="E163" s="20" t="s">
        <v>514</v>
      </c>
      <c r="F163" s="20" t="s">
        <v>515</v>
      </c>
      <c r="G163" s="8" t="str">
        <f t="shared" si="4"/>
        <v>LAMAR NEKESHA</v>
      </c>
      <c r="H163" s="20" t="str">
        <f t="shared" si="5"/>
        <v>4053</v>
      </c>
    </row>
    <row r="164" spans="1:8" x14ac:dyDescent="0.25">
      <c r="A164" s="8">
        <v>43066.497847222221</v>
      </c>
      <c r="B164" s="20" t="s">
        <v>359</v>
      </c>
      <c r="C164" s="20" t="s">
        <v>702</v>
      </c>
      <c r="D164" s="137">
        <v>2970000</v>
      </c>
      <c r="E164" s="20" t="s">
        <v>372</v>
      </c>
      <c r="F164" s="20" t="s">
        <v>373</v>
      </c>
      <c r="G164" s="8" t="str">
        <f t="shared" si="4"/>
        <v>GUZMAN DANNY</v>
      </c>
      <c r="H164" s="20" t="str">
        <f t="shared" si="5"/>
        <v>4018</v>
      </c>
    </row>
    <row r="165" spans="1:8" x14ac:dyDescent="0.25">
      <c r="A165" s="8">
        <v>43066.499988425923</v>
      </c>
      <c r="B165" s="20" t="s">
        <v>457</v>
      </c>
      <c r="C165" s="20" t="s">
        <v>703</v>
      </c>
      <c r="D165" s="137">
        <v>3840000</v>
      </c>
      <c r="E165" s="20" t="s">
        <v>633</v>
      </c>
      <c r="F165" s="20" t="s">
        <v>634</v>
      </c>
      <c r="G165" s="8" t="str">
        <f t="shared" si="4"/>
        <v>LONG FULLER</v>
      </c>
      <c r="H165" s="20" t="str">
        <f t="shared" si="5"/>
        <v>4056</v>
      </c>
    </row>
    <row r="166" spans="1:8" x14ac:dyDescent="0.25">
      <c r="A166" s="8">
        <v>43066.507696759261</v>
      </c>
      <c r="B166" s="20" t="s">
        <v>589</v>
      </c>
      <c r="C166" s="20" t="s">
        <v>704</v>
      </c>
      <c r="D166" s="137">
        <v>920000</v>
      </c>
      <c r="E166" s="20" t="s">
        <v>461</v>
      </c>
      <c r="F166" s="20" t="s">
        <v>353</v>
      </c>
      <c r="G166" s="8" t="str">
        <f t="shared" si="4"/>
        <v>DAVIS MICHAEL</v>
      </c>
      <c r="H166" s="20" t="str">
        <f t="shared" si="5"/>
        <v>4043</v>
      </c>
    </row>
    <row r="167" spans="1:8" x14ac:dyDescent="0.25">
      <c r="A167" s="8">
        <v>43066.508043981485</v>
      </c>
      <c r="B167" s="20" t="s">
        <v>625</v>
      </c>
      <c r="C167" s="20" t="s">
        <v>705</v>
      </c>
      <c r="D167" s="137">
        <v>2630000</v>
      </c>
      <c r="E167" s="20" t="s">
        <v>370</v>
      </c>
      <c r="F167" s="20" t="s">
        <v>371</v>
      </c>
      <c r="G167" s="8" t="str">
        <f t="shared" si="4"/>
        <v>SAFIEF AEIMEN</v>
      </c>
      <c r="H167" s="20" t="str">
        <f t="shared" si="5"/>
        <v>4064</v>
      </c>
    </row>
    <row r="168" spans="1:8" x14ac:dyDescent="0.25">
      <c r="A168" s="8">
        <v>43066.515150462961</v>
      </c>
      <c r="B168" s="20" t="s">
        <v>507</v>
      </c>
      <c r="C168" s="20" t="s">
        <v>706</v>
      </c>
      <c r="D168" s="137">
        <v>880000</v>
      </c>
      <c r="E168" s="20" t="s">
        <v>460</v>
      </c>
      <c r="F168" s="20" t="s">
        <v>353</v>
      </c>
      <c r="G168" s="8" t="str">
        <f t="shared" si="4"/>
        <v>STEWART MICHAEL</v>
      </c>
      <c r="H168" s="20" t="str">
        <f t="shared" si="5"/>
        <v>4025</v>
      </c>
    </row>
    <row r="169" spans="1:8" x14ac:dyDescent="0.25">
      <c r="A169" s="8">
        <v>43066.516886574071</v>
      </c>
      <c r="B169" s="20" t="s">
        <v>352</v>
      </c>
      <c r="C169" s="20" t="s">
        <v>707</v>
      </c>
      <c r="D169" s="137">
        <v>3840000</v>
      </c>
      <c r="E169" s="20" t="s">
        <v>633</v>
      </c>
      <c r="F169" s="20" t="s">
        <v>634</v>
      </c>
      <c r="G169" s="8" t="str">
        <f t="shared" si="4"/>
        <v>LONG FULLER</v>
      </c>
      <c r="H169" s="20" t="str">
        <f t="shared" si="5"/>
        <v>4055</v>
      </c>
    </row>
    <row r="170" spans="1:8" x14ac:dyDescent="0.25">
      <c r="A170" s="8">
        <v>43066.518541666665</v>
      </c>
      <c r="B170" s="20" t="s">
        <v>380</v>
      </c>
      <c r="C170" s="20" t="s">
        <v>708</v>
      </c>
      <c r="D170" s="137">
        <v>2550000</v>
      </c>
      <c r="E170" s="20" t="s">
        <v>516</v>
      </c>
      <c r="F170" s="20" t="s">
        <v>517</v>
      </c>
      <c r="G170" s="8" t="str">
        <f t="shared" si="4"/>
        <v>BADERTSCHER DIANE</v>
      </c>
      <c r="H170" s="20" t="str">
        <f t="shared" si="5"/>
        <v>4022</v>
      </c>
    </row>
    <row r="171" spans="1:8" x14ac:dyDescent="0.25">
      <c r="A171" s="8">
        <v>43066.524965277778</v>
      </c>
      <c r="B171" s="20" t="s">
        <v>475</v>
      </c>
      <c r="C171" s="20" t="s">
        <v>709</v>
      </c>
      <c r="D171" s="137">
        <v>3810000</v>
      </c>
      <c r="E171" s="20" t="s">
        <v>699</v>
      </c>
      <c r="F171" s="20" t="s">
        <v>700</v>
      </c>
      <c r="G171" s="8" t="str">
        <f t="shared" si="4"/>
        <v>LORI SANTOS</v>
      </c>
      <c r="H171" s="20" t="str">
        <f t="shared" si="5"/>
        <v>4013</v>
      </c>
    </row>
    <row r="172" spans="1:8" x14ac:dyDescent="0.25">
      <c r="A172" s="8">
        <v>43066.527025462965</v>
      </c>
      <c r="B172" s="20" t="s">
        <v>458</v>
      </c>
      <c r="C172" s="20" t="s">
        <v>710</v>
      </c>
      <c r="D172" s="137">
        <v>2230000</v>
      </c>
      <c r="E172" s="20" t="s">
        <v>387</v>
      </c>
      <c r="F172" s="20" t="s">
        <v>353</v>
      </c>
      <c r="G172" s="8" t="str">
        <f t="shared" si="4"/>
        <v>SMITH MICHAEL</v>
      </c>
      <c r="H172" s="20" t="str">
        <f t="shared" si="5"/>
        <v>4054</v>
      </c>
    </row>
    <row r="173" spans="1:8" x14ac:dyDescent="0.25">
      <c r="A173" s="8">
        <v>43066.529965277776</v>
      </c>
      <c r="B173" s="20" t="s">
        <v>361</v>
      </c>
      <c r="C173" s="20" t="s">
        <v>711</v>
      </c>
      <c r="D173" s="137">
        <v>2970000</v>
      </c>
      <c r="E173" s="20" t="s">
        <v>372</v>
      </c>
      <c r="F173" s="20" t="s">
        <v>373</v>
      </c>
      <c r="G173" s="8" t="str">
        <f t="shared" si="4"/>
        <v>GUZMAN DANNY</v>
      </c>
      <c r="H173" s="20" t="str">
        <f t="shared" si="5"/>
        <v>4017</v>
      </c>
    </row>
    <row r="174" spans="1:8" x14ac:dyDescent="0.25">
      <c r="A174" s="8">
        <v>43066.537881944445</v>
      </c>
      <c r="B174" s="20" t="s">
        <v>620</v>
      </c>
      <c r="C174" s="20" t="s">
        <v>712</v>
      </c>
      <c r="D174" s="137">
        <v>2630000</v>
      </c>
      <c r="E174" s="20" t="s">
        <v>370</v>
      </c>
      <c r="F174" s="20" t="s">
        <v>371</v>
      </c>
      <c r="G174" s="8" t="str">
        <f t="shared" si="4"/>
        <v>SAFIEF AEIMEN</v>
      </c>
      <c r="H174" s="20" t="str">
        <f t="shared" si="5"/>
        <v>4063</v>
      </c>
    </row>
    <row r="175" spans="1:8" x14ac:dyDescent="0.25">
      <c r="A175" s="8">
        <v>43066.540891203702</v>
      </c>
      <c r="B175" s="20" t="s">
        <v>578</v>
      </c>
      <c r="C175" s="20" t="s">
        <v>713</v>
      </c>
      <c r="D175" s="137">
        <v>920000</v>
      </c>
      <c r="E175" s="20" t="s">
        <v>461</v>
      </c>
      <c r="F175" s="20" t="s">
        <v>353</v>
      </c>
      <c r="G175" s="8" t="str">
        <f t="shared" si="4"/>
        <v>DAVIS MICHAEL</v>
      </c>
      <c r="H175" s="20" t="str">
        <f t="shared" si="5"/>
        <v>4044</v>
      </c>
    </row>
    <row r="176" spans="1:8" x14ac:dyDescent="0.25">
      <c r="A176" s="8">
        <v>43066.547013888892</v>
      </c>
      <c r="B176" s="20" t="s">
        <v>457</v>
      </c>
      <c r="C176" s="20" t="s">
        <v>714</v>
      </c>
      <c r="D176" s="137">
        <v>3030000</v>
      </c>
      <c r="E176" s="20" t="s">
        <v>518</v>
      </c>
      <c r="F176" s="20" t="s">
        <v>429</v>
      </c>
      <c r="G176" s="8" t="str">
        <f t="shared" si="4"/>
        <v>BIRENBAUM THOMAS</v>
      </c>
      <c r="H176" s="20" t="str">
        <f t="shared" si="5"/>
        <v>4056</v>
      </c>
    </row>
    <row r="177" spans="1:8" x14ac:dyDescent="0.25">
      <c r="A177" s="8">
        <v>43066.547708333332</v>
      </c>
      <c r="B177" s="20" t="s">
        <v>578</v>
      </c>
      <c r="C177" s="20" t="s">
        <v>713</v>
      </c>
      <c r="D177" s="137">
        <v>920000</v>
      </c>
      <c r="E177" s="20" t="s">
        <v>461</v>
      </c>
      <c r="F177" s="20" t="s">
        <v>353</v>
      </c>
      <c r="G177" s="8" t="str">
        <f t="shared" si="4"/>
        <v>DAVIS MICHAEL</v>
      </c>
      <c r="H177" s="20" t="str">
        <f t="shared" si="5"/>
        <v>4044</v>
      </c>
    </row>
    <row r="178" spans="1:8" x14ac:dyDescent="0.25">
      <c r="A178" s="8">
        <v>43066.548819444448</v>
      </c>
      <c r="B178" s="20" t="s">
        <v>509</v>
      </c>
      <c r="C178" s="20" t="s">
        <v>715</v>
      </c>
      <c r="D178" s="137">
        <v>880000</v>
      </c>
      <c r="E178" s="20" t="s">
        <v>460</v>
      </c>
      <c r="F178" s="20" t="s">
        <v>353</v>
      </c>
      <c r="G178" s="8" t="str">
        <f t="shared" si="4"/>
        <v>STEWART MICHAEL</v>
      </c>
      <c r="H178" s="20" t="str">
        <f t="shared" si="5"/>
        <v>4026</v>
      </c>
    </row>
    <row r="179" spans="1:8" x14ac:dyDescent="0.25">
      <c r="A179" s="8">
        <v>43066.556608796294</v>
      </c>
      <c r="B179" s="20" t="s">
        <v>598</v>
      </c>
      <c r="C179" s="20" t="s">
        <v>716</v>
      </c>
      <c r="D179" s="137">
        <v>2550000</v>
      </c>
      <c r="E179" s="20" t="s">
        <v>516</v>
      </c>
      <c r="F179" s="20" t="s">
        <v>517</v>
      </c>
      <c r="G179" s="8" t="str">
        <f t="shared" si="4"/>
        <v>BADERTSCHER DIANE</v>
      </c>
      <c r="H179" s="20" t="str">
        <f t="shared" si="5"/>
        <v>4021</v>
      </c>
    </row>
    <row r="180" spans="1:8" x14ac:dyDescent="0.25">
      <c r="A180" s="8">
        <v>43066.559027777781</v>
      </c>
      <c r="B180" s="20" t="s">
        <v>474</v>
      </c>
      <c r="C180" s="20" t="s">
        <v>717</v>
      </c>
      <c r="D180" s="137">
        <v>3810000</v>
      </c>
      <c r="E180" s="20" t="s">
        <v>699</v>
      </c>
      <c r="F180" s="20" t="s">
        <v>700</v>
      </c>
      <c r="G180" s="8" t="str">
        <f t="shared" si="4"/>
        <v>LORI SANTOS</v>
      </c>
      <c r="H180" s="20" t="str">
        <f t="shared" si="5"/>
        <v>4014</v>
      </c>
    </row>
    <row r="181" spans="1:8" x14ac:dyDescent="0.25">
      <c r="A181" s="8">
        <v>43066.559386574074</v>
      </c>
      <c r="B181" s="20" t="s">
        <v>352</v>
      </c>
      <c r="C181" s="20" t="s">
        <v>718</v>
      </c>
      <c r="D181" s="137">
        <v>3030000</v>
      </c>
      <c r="E181" s="20" t="s">
        <v>518</v>
      </c>
      <c r="F181" s="20" t="s">
        <v>429</v>
      </c>
      <c r="G181" s="8" t="str">
        <f t="shared" si="4"/>
        <v>BIRENBAUM THOMAS</v>
      </c>
      <c r="H181" s="20" t="str">
        <f t="shared" si="5"/>
        <v>4055</v>
      </c>
    </row>
    <row r="182" spans="1:8" x14ac:dyDescent="0.25">
      <c r="A182" s="8">
        <v>43066.5622337963</v>
      </c>
      <c r="B182" s="20" t="s">
        <v>459</v>
      </c>
      <c r="C182" s="20" t="s">
        <v>719</v>
      </c>
      <c r="D182" s="137">
        <v>2230000</v>
      </c>
      <c r="E182" s="20" t="s">
        <v>387</v>
      </c>
      <c r="F182" s="20" t="s">
        <v>353</v>
      </c>
      <c r="G182" s="8" t="str">
        <f t="shared" si="4"/>
        <v>SMITH MICHAEL</v>
      </c>
      <c r="H182" s="20" t="str">
        <f t="shared" si="5"/>
        <v>4053</v>
      </c>
    </row>
    <row r="183" spans="1:8" x14ac:dyDescent="0.25">
      <c r="A183" s="8">
        <v>43066.567384259259</v>
      </c>
      <c r="B183" s="20" t="s">
        <v>359</v>
      </c>
      <c r="C183" s="20" t="s">
        <v>720</v>
      </c>
      <c r="D183" s="137">
        <v>2970000</v>
      </c>
      <c r="E183" s="20" t="s">
        <v>372</v>
      </c>
      <c r="F183" s="20" t="s">
        <v>373</v>
      </c>
      <c r="G183" s="8" t="str">
        <f t="shared" si="4"/>
        <v>GUZMAN DANNY</v>
      </c>
      <c r="H183" s="20" t="str">
        <f t="shared" si="5"/>
        <v>4018</v>
      </c>
    </row>
    <row r="184" spans="1:8" x14ac:dyDescent="0.25">
      <c r="A184" s="8">
        <v>43066.580104166664</v>
      </c>
      <c r="B184" s="20" t="s">
        <v>589</v>
      </c>
      <c r="C184" s="20" t="s">
        <v>721</v>
      </c>
      <c r="D184" s="137">
        <v>920000</v>
      </c>
      <c r="E184" s="20" t="s">
        <v>461</v>
      </c>
      <c r="F184" s="20" t="s">
        <v>353</v>
      </c>
      <c r="G184" s="8" t="str">
        <f t="shared" si="4"/>
        <v>DAVIS MICHAEL</v>
      </c>
      <c r="H184" s="20" t="str">
        <f t="shared" si="5"/>
        <v>4043</v>
      </c>
    </row>
    <row r="185" spans="1:8" x14ac:dyDescent="0.25">
      <c r="A185" s="8">
        <v>43066.580312500002</v>
      </c>
      <c r="B185" s="20" t="s">
        <v>625</v>
      </c>
      <c r="C185" s="20" t="s">
        <v>722</v>
      </c>
      <c r="D185" s="137">
        <v>2630000</v>
      </c>
      <c r="E185" s="20" t="s">
        <v>370</v>
      </c>
      <c r="F185" s="20" t="s">
        <v>371</v>
      </c>
      <c r="G185" s="8" t="str">
        <f t="shared" si="4"/>
        <v>SAFIEF AEIMEN</v>
      </c>
      <c r="H185" s="20" t="str">
        <f t="shared" si="5"/>
        <v>4064</v>
      </c>
    </row>
    <row r="186" spans="1:8" x14ac:dyDescent="0.25">
      <c r="A186" s="8">
        <v>43066.581296296295</v>
      </c>
      <c r="B186" s="20" t="s">
        <v>457</v>
      </c>
      <c r="C186" s="20" t="s">
        <v>723</v>
      </c>
      <c r="D186" s="137">
        <v>3030000</v>
      </c>
      <c r="E186" s="20" t="s">
        <v>518</v>
      </c>
      <c r="F186" s="20" t="s">
        <v>429</v>
      </c>
      <c r="G186" s="8" t="str">
        <f t="shared" si="4"/>
        <v>BIRENBAUM THOMAS</v>
      </c>
      <c r="H186" s="20" t="str">
        <f t="shared" si="5"/>
        <v>4056</v>
      </c>
    </row>
    <row r="187" spans="1:8" x14ac:dyDescent="0.25">
      <c r="A187" s="8">
        <v>43066.587673611109</v>
      </c>
      <c r="B187" s="20" t="s">
        <v>507</v>
      </c>
      <c r="C187" s="20" t="s">
        <v>724</v>
      </c>
      <c r="D187" s="137">
        <v>880000</v>
      </c>
      <c r="E187" s="20" t="s">
        <v>460</v>
      </c>
      <c r="F187" s="20" t="s">
        <v>353</v>
      </c>
      <c r="G187" s="8" t="str">
        <f t="shared" si="4"/>
        <v>STEWART MICHAEL</v>
      </c>
      <c r="H187" s="20" t="str">
        <f t="shared" si="5"/>
        <v>4025</v>
      </c>
    </row>
    <row r="188" spans="1:8" x14ac:dyDescent="0.25">
      <c r="A188" s="8">
        <v>43066.592499999999</v>
      </c>
      <c r="B188" s="20" t="s">
        <v>380</v>
      </c>
      <c r="C188" s="20" t="s">
        <v>725</v>
      </c>
      <c r="D188" s="137">
        <v>2550000</v>
      </c>
      <c r="E188" s="20" t="s">
        <v>516</v>
      </c>
      <c r="F188" s="20" t="s">
        <v>517</v>
      </c>
      <c r="G188" s="8" t="str">
        <f t="shared" si="4"/>
        <v>BADERTSCHER DIANE</v>
      </c>
      <c r="H188" s="20" t="str">
        <f t="shared" si="5"/>
        <v>4022</v>
      </c>
    </row>
    <row r="189" spans="1:8" x14ac:dyDescent="0.25">
      <c r="A189" s="8">
        <v>43066.598101851851</v>
      </c>
      <c r="B189" s="20" t="s">
        <v>475</v>
      </c>
      <c r="C189" s="20" t="s">
        <v>726</v>
      </c>
      <c r="D189" s="137">
        <v>3810000</v>
      </c>
      <c r="E189" s="20" t="s">
        <v>699</v>
      </c>
      <c r="F189" s="20" t="s">
        <v>700</v>
      </c>
      <c r="G189" s="8" t="str">
        <f t="shared" si="4"/>
        <v>LORI SANTOS</v>
      </c>
      <c r="H189" s="20" t="str">
        <f t="shared" si="5"/>
        <v>4013</v>
      </c>
    </row>
    <row r="190" spans="1:8" x14ac:dyDescent="0.25">
      <c r="A190" s="8">
        <v>43066.600624999999</v>
      </c>
      <c r="B190" s="20" t="s">
        <v>361</v>
      </c>
      <c r="C190" s="20" t="s">
        <v>727</v>
      </c>
      <c r="D190" s="137">
        <v>2970000</v>
      </c>
      <c r="E190" s="20" t="s">
        <v>372</v>
      </c>
      <c r="F190" s="20" t="s">
        <v>373</v>
      </c>
      <c r="G190" s="8" t="str">
        <f t="shared" si="4"/>
        <v>GUZMAN DANNY</v>
      </c>
      <c r="H190" s="20" t="str">
        <f t="shared" si="5"/>
        <v>4017</v>
      </c>
    </row>
    <row r="191" spans="1:8" x14ac:dyDescent="0.25">
      <c r="A191" s="8">
        <v>43066.600925925923</v>
      </c>
      <c r="B191" s="20" t="s">
        <v>352</v>
      </c>
      <c r="C191" s="20" t="s">
        <v>728</v>
      </c>
      <c r="D191" s="137">
        <v>3030000</v>
      </c>
      <c r="E191" s="20" t="s">
        <v>518</v>
      </c>
      <c r="F191" s="20" t="s">
        <v>429</v>
      </c>
      <c r="G191" s="8" t="str">
        <f t="shared" si="4"/>
        <v>BIRENBAUM THOMAS</v>
      </c>
      <c r="H191" s="20" t="str">
        <f t="shared" si="5"/>
        <v>4055</v>
      </c>
    </row>
    <row r="192" spans="1:8" x14ac:dyDescent="0.25">
      <c r="A192" s="8">
        <v>43066.601261574076</v>
      </c>
      <c r="B192" s="20" t="s">
        <v>458</v>
      </c>
      <c r="C192" s="20" t="s">
        <v>729</v>
      </c>
      <c r="D192" s="137">
        <v>2230000</v>
      </c>
      <c r="E192" s="20" t="s">
        <v>387</v>
      </c>
      <c r="F192" s="20" t="s">
        <v>353</v>
      </c>
      <c r="G192" s="8" t="str">
        <f t="shared" si="4"/>
        <v>SMITH MICHAEL</v>
      </c>
      <c r="H192" s="20" t="str">
        <f t="shared" si="5"/>
        <v>4054</v>
      </c>
    </row>
    <row r="193" spans="1:8" x14ac:dyDescent="0.25">
      <c r="A193" s="8">
        <v>43066.610324074078</v>
      </c>
      <c r="B193" s="20" t="s">
        <v>620</v>
      </c>
      <c r="C193" s="20" t="s">
        <v>730</v>
      </c>
      <c r="D193" s="137">
        <v>2630000</v>
      </c>
      <c r="E193" s="20" t="s">
        <v>370</v>
      </c>
      <c r="F193" s="20" t="s">
        <v>371</v>
      </c>
      <c r="G193" s="8" t="str">
        <f t="shared" si="4"/>
        <v>SAFIEF AEIMEN</v>
      </c>
      <c r="H193" s="20" t="str">
        <f t="shared" si="5"/>
        <v>4063</v>
      </c>
    </row>
    <row r="194" spans="1:8" x14ac:dyDescent="0.25">
      <c r="A194" s="8">
        <v>43066.612222222226</v>
      </c>
      <c r="B194" s="20" t="s">
        <v>578</v>
      </c>
      <c r="C194" s="20" t="s">
        <v>731</v>
      </c>
      <c r="D194" s="137">
        <v>920000</v>
      </c>
      <c r="E194" s="20" t="s">
        <v>461</v>
      </c>
      <c r="F194" s="20" t="s">
        <v>353</v>
      </c>
      <c r="G194" s="8" t="str">
        <f t="shared" si="4"/>
        <v>DAVIS MICHAEL</v>
      </c>
      <c r="H194" s="20" t="str">
        <f t="shared" si="5"/>
        <v>4044</v>
      </c>
    </row>
    <row r="195" spans="1:8" x14ac:dyDescent="0.25">
      <c r="A195" s="8">
        <v>43066.621238425927</v>
      </c>
      <c r="B195" s="20" t="s">
        <v>509</v>
      </c>
      <c r="C195" s="20" t="s">
        <v>732</v>
      </c>
      <c r="D195" s="137">
        <v>880000</v>
      </c>
      <c r="E195" s="20" t="s">
        <v>460</v>
      </c>
      <c r="F195" s="20" t="s">
        <v>353</v>
      </c>
      <c r="G195" s="8" t="str">
        <f t="shared" ref="G195:G258" si="6">E195&amp;" "&amp;F195</f>
        <v>STEWART MICHAEL</v>
      </c>
      <c r="H195" s="20" t="str">
        <f t="shared" ref="H195:H258" si="7">MID(B195,13,4)</f>
        <v>4026</v>
      </c>
    </row>
    <row r="196" spans="1:8" x14ac:dyDescent="0.25">
      <c r="A196" s="8">
        <v>43066.628634259258</v>
      </c>
      <c r="B196" s="20" t="s">
        <v>598</v>
      </c>
      <c r="C196" s="20" t="s">
        <v>733</v>
      </c>
      <c r="D196" s="137">
        <v>2550000</v>
      </c>
      <c r="E196" s="20" t="s">
        <v>516</v>
      </c>
      <c r="F196" s="20" t="s">
        <v>517</v>
      </c>
      <c r="G196" s="8" t="str">
        <f t="shared" si="6"/>
        <v>BADERTSCHER DIANE</v>
      </c>
      <c r="H196" s="20" t="str">
        <f t="shared" si="7"/>
        <v>4021</v>
      </c>
    </row>
    <row r="197" spans="1:8" x14ac:dyDescent="0.25">
      <c r="A197" s="8">
        <v>43066.628657407404</v>
      </c>
      <c r="B197" s="20" t="s">
        <v>457</v>
      </c>
      <c r="C197" s="20" t="s">
        <v>734</v>
      </c>
      <c r="D197" s="137">
        <v>3030000</v>
      </c>
      <c r="E197" s="20" t="s">
        <v>518</v>
      </c>
      <c r="F197" s="20" t="s">
        <v>429</v>
      </c>
      <c r="G197" s="8" t="str">
        <f t="shared" si="6"/>
        <v>BIRENBAUM THOMAS</v>
      </c>
      <c r="H197" s="20" t="str">
        <f t="shared" si="7"/>
        <v>4056</v>
      </c>
    </row>
    <row r="198" spans="1:8" x14ac:dyDescent="0.25">
      <c r="A198" s="8">
        <v>43066.633726851855</v>
      </c>
      <c r="B198" s="20" t="s">
        <v>474</v>
      </c>
      <c r="C198" s="20" t="s">
        <v>735</v>
      </c>
      <c r="D198" s="137">
        <v>3810000</v>
      </c>
      <c r="E198" s="20" t="s">
        <v>699</v>
      </c>
      <c r="F198" s="20" t="s">
        <v>700</v>
      </c>
      <c r="G198" s="8" t="str">
        <f t="shared" si="6"/>
        <v>LORI SANTOS</v>
      </c>
      <c r="H198" s="20" t="str">
        <f t="shared" si="7"/>
        <v>4014</v>
      </c>
    </row>
    <row r="199" spans="1:8" x14ac:dyDescent="0.25">
      <c r="A199" s="8">
        <v>43066.638553240744</v>
      </c>
      <c r="B199" s="20" t="s">
        <v>459</v>
      </c>
      <c r="C199" s="20" t="s">
        <v>736</v>
      </c>
      <c r="D199" s="137">
        <v>2230000</v>
      </c>
      <c r="E199" s="20" t="s">
        <v>387</v>
      </c>
      <c r="F199" s="20" t="s">
        <v>353</v>
      </c>
      <c r="G199" s="8" t="str">
        <f t="shared" si="6"/>
        <v>SMITH MICHAEL</v>
      </c>
      <c r="H199" s="20" t="str">
        <f t="shared" si="7"/>
        <v>4053</v>
      </c>
    </row>
    <row r="200" spans="1:8" x14ac:dyDescent="0.25">
      <c r="A200" s="8">
        <v>43066.639421296299</v>
      </c>
      <c r="B200" s="20" t="s">
        <v>623</v>
      </c>
      <c r="C200" s="20" t="s">
        <v>737</v>
      </c>
      <c r="D200" s="137">
        <v>2000000</v>
      </c>
      <c r="E200" s="20" t="s">
        <v>388</v>
      </c>
      <c r="F200" s="20" t="s">
        <v>389</v>
      </c>
      <c r="G200" s="8" t="str">
        <f t="shared" si="6"/>
        <v>STAMBAUGH JAMES</v>
      </c>
      <c r="H200" s="20" t="str">
        <f t="shared" si="7"/>
        <v>4019</v>
      </c>
    </row>
    <row r="201" spans="1:8" x14ac:dyDescent="0.25">
      <c r="A201" s="8">
        <v>43066.642280092594</v>
      </c>
      <c r="B201" s="20" t="s">
        <v>359</v>
      </c>
      <c r="C201" s="20" t="s">
        <v>738</v>
      </c>
      <c r="D201" s="137">
        <v>2970000</v>
      </c>
      <c r="E201" s="20" t="s">
        <v>372</v>
      </c>
      <c r="F201" s="20" t="s">
        <v>373</v>
      </c>
      <c r="G201" s="8" t="str">
        <f t="shared" si="6"/>
        <v>GUZMAN DANNY</v>
      </c>
      <c r="H201" s="20" t="str">
        <f t="shared" si="7"/>
        <v>4018</v>
      </c>
    </row>
    <row r="202" spans="1:8" x14ac:dyDescent="0.25">
      <c r="A202" s="26">
        <v>43066.64298611111</v>
      </c>
      <c r="B202" s="20" t="s">
        <v>352</v>
      </c>
      <c r="C202" s="20" t="s">
        <v>739</v>
      </c>
      <c r="D202" s="137">
        <v>3030000</v>
      </c>
      <c r="E202" s="20" t="s">
        <v>518</v>
      </c>
      <c r="F202" s="20" t="s">
        <v>429</v>
      </c>
      <c r="G202" s="8" t="str">
        <f t="shared" si="6"/>
        <v>BIRENBAUM THOMAS</v>
      </c>
      <c r="H202" s="20" t="str">
        <f t="shared" si="7"/>
        <v>4055</v>
      </c>
    </row>
    <row r="203" spans="1:8" x14ac:dyDescent="0.25">
      <c r="A203" s="8">
        <v>43066.649108796293</v>
      </c>
      <c r="B203" s="20" t="s">
        <v>618</v>
      </c>
      <c r="C203" s="20" t="s">
        <v>740</v>
      </c>
      <c r="D203" s="137">
        <v>2000000</v>
      </c>
      <c r="E203" s="20" t="s">
        <v>388</v>
      </c>
      <c r="F203" s="20" t="s">
        <v>389</v>
      </c>
      <c r="G203" s="8" t="str">
        <f t="shared" si="6"/>
        <v>STAMBAUGH JAMES</v>
      </c>
      <c r="H203" s="20" t="str">
        <f t="shared" si="7"/>
        <v>4020</v>
      </c>
    </row>
    <row r="204" spans="1:8" x14ac:dyDescent="0.25">
      <c r="A204" s="8">
        <v>43066.653124999997</v>
      </c>
      <c r="B204" s="20" t="s">
        <v>589</v>
      </c>
      <c r="C204" s="20" t="s">
        <v>741</v>
      </c>
      <c r="D204" s="137">
        <v>920000</v>
      </c>
      <c r="E204" s="20" t="s">
        <v>461</v>
      </c>
      <c r="F204" s="20" t="s">
        <v>353</v>
      </c>
      <c r="G204" s="8" t="str">
        <f t="shared" si="6"/>
        <v>DAVIS MICHAEL</v>
      </c>
      <c r="H204" s="20" t="str">
        <f t="shared" si="7"/>
        <v>4043</v>
      </c>
    </row>
    <row r="205" spans="1:8" x14ac:dyDescent="0.25">
      <c r="A205" s="8">
        <v>43066.654409722221</v>
      </c>
      <c r="B205" s="20" t="s">
        <v>625</v>
      </c>
      <c r="C205" s="20" t="s">
        <v>742</v>
      </c>
      <c r="D205" s="137">
        <v>2630000</v>
      </c>
      <c r="E205" s="20" t="s">
        <v>370</v>
      </c>
      <c r="F205" s="20" t="s">
        <v>371</v>
      </c>
      <c r="G205" s="8" t="str">
        <f t="shared" si="6"/>
        <v>SAFIEF AEIMEN</v>
      </c>
      <c r="H205" s="20" t="str">
        <f t="shared" si="7"/>
        <v>4064</v>
      </c>
    </row>
    <row r="206" spans="1:8" x14ac:dyDescent="0.25">
      <c r="A206" s="8">
        <v>43066.65792824074</v>
      </c>
      <c r="B206" s="20" t="s">
        <v>386</v>
      </c>
      <c r="C206" s="20" t="s">
        <v>743</v>
      </c>
      <c r="D206" s="137">
        <v>2270000</v>
      </c>
      <c r="E206" s="20" t="s">
        <v>744</v>
      </c>
      <c r="F206" s="20" t="s">
        <v>745</v>
      </c>
      <c r="G206" s="8" t="str">
        <f t="shared" si="6"/>
        <v>BROWN JACOB</v>
      </c>
      <c r="H206" s="20" t="str">
        <f t="shared" si="7"/>
        <v>4030</v>
      </c>
    </row>
    <row r="207" spans="1:8" x14ac:dyDescent="0.25">
      <c r="A207" s="8">
        <v>43066.660196759258</v>
      </c>
      <c r="B207" s="20" t="s">
        <v>507</v>
      </c>
      <c r="C207" s="20" t="s">
        <v>746</v>
      </c>
      <c r="D207" s="137">
        <v>880000</v>
      </c>
      <c r="E207" s="20" t="s">
        <v>460</v>
      </c>
      <c r="F207" s="20" t="s">
        <v>353</v>
      </c>
      <c r="G207" s="8" t="str">
        <f t="shared" si="6"/>
        <v>STEWART MICHAEL</v>
      </c>
      <c r="H207" s="20" t="str">
        <f t="shared" si="7"/>
        <v>4025</v>
      </c>
    </row>
    <row r="208" spans="1:8" x14ac:dyDescent="0.25">
      <c r="A208" s="8">
        <v>43066.663275462961</v>
      </c>
      <c r="B208" s="20" t="s">
        <v>380</v>
      </c>
      <c r="C208" s="20" t="s">
        <v>747</v>
      </c>
      <c r="D208" s="137">
        <v>2550000</v>
      </c>
      <c r="E208" s="20" t="s">
        <v>516</v>
      </c>
      <c r="F208" s="20" t="s">
        <v>517</v>
      </c>
      <c r="G208" s="8" t="str">
        <f t="shared" si="6"/>
        <v>BADERTSCHER DIANE</v>
      </c>
      <c r="H208" s="20" t="str">
        <f t="shared" si="7"/>
        <v>4022</v>
      </c>
    </row>
    <row r="209" spans="1:8" x14ac:dyDescent="0.25">
      <c r="A209" s="8">
        <v>43066.664178240739</v>
      </c>
      <c r="B209" s="20" t="s">
        <v>623</v>
      </c>
      <c r="C209" s="20" t="s">
        <v>748</v>
      </c>
      <c r="D209" s="137">
        <v>2000000</v>
      </c>
      <c r="E209" s="20" t="s">
        <v>388</v>
      </c>
      <c r="F209" s="20" t="s">
        <v>389</v>
      </c>
      <c r="G209" s="8" t="str">
        <f t="shared" si="6"/>
        <v>STAMBAUGH JAMES</v>
      </c>
      <c r="H209" s="20" t="str">
        <f t="shared" si="7"/>
        <v>4019</v>
      </c>
    </row>
    <row r="210" spans="1:8" x14ac:dyDescent="0.25">
      <c r="A210" s="8">
        <v>43066.66510416667</v>
      </c>
      <c r="B210" s="20" t="s">
        <v>457</v>
      </c>
      <c r="C210" s="20" t="s">
        <v>749</v>
      </c>
      <c r="D210" s="137">
        <v>3030000</v>
      </c>
      <c r="E210" s="20" t="s">
        <v>518</v>
      </c>
      <c r="F210" s="20" t="s">
        <v>429</v>
      </c>
      <c r="G210" s="8" t="str">
        <f t="shared" si="6"/>
        <v>BIRENBAUM THOMAS</v>
      </c>
      <c r="H210" s="20" t="str">
        <f t="shared" si="7"/>
        <v>4056</v>
      </c>
    </row>
    <row r="211" spans="1:8" x14ac:dyDescent="0.25">
      <c r="A211" s="8">
        <v>43066.672280092593</v>
      </c>
      <c r="B211" s="20" t="s">
        <v>475</v>
      </c>
      <c r="C211" s="20" t="s">
        <v>750</v>
      </c>
      <c r="D211" s="137">
        <v>3810000</v>
      </c>
      <c r="E211" s="20" t="s">
        <v>699</v>
      </c>
      <c r="F211" s="20" t="s">
        <v>700</v>
      </c>
      <c r="G211" s="8" t="str">
        <f t="shared" si="6"/>
        <v>LORI SANTOS</v>
      </c>
      <c r="H211" s="20" t="str">
        <f t="shared" si="7"/>
        <v>4013</v>
      </c>
    </row>
    <row r="212" spans="1:8" x14ac:dyDescent="0.25">
      <c r="A212" s="8">
        <v>43066.672858796293</v>
      </c>
      <c r="B212" s="20" t="s">
        <v>458</v>
      </c>
      <c r="C212" s="20" t="s">
        <v>751</v>
      </c>
      <c r="D212" s="137">
        <v>2230000</v>
      </c>
      <c r="E212" s="20" t="s">
        <v>387</v>
      </c>
      <c r="F212" s="20" t="s">
        <v>353</v>
      </c>
      <c r="G212" s="8" t="str">
        <f t="shared" si="6"/>
        <v>SMITH MICHAEL</v>
      </c>
      <c r="H212" s="20" t="str">
        <f t="shared" si="7"/>
        <v>4054</v>
      </c>
    </row>
    <row r="213" spans="1:8" x14ac:dyDescent="0.25">
      <c r="A213" s="8">
        <v>43066.67291666667</v>
      </c>
      <c r="B213" s="20" t="s">
        <v>361</v>
      </c>
      <c r="C213" s="20" t="s">
        <v>583</v>
      </c>
      <c r="D213" s="137">
        <v>2970000</v>
      </c>
      <c r="E213" s="20" t="s">
        <v>372</v>
      </c>
      <c r="F213" s="20" t="s">
        <v>373</v>
      </c>
      <c r="G213" s="8" t="str">
        <f t="shared" si="6"/>
        <v>GUZMAN DANNY</v>
      </c>
      <c r="H213" s="20" t="str">
        <f t="shared" si="7"/>
        <v>4017</v>
      </c>
    </row>
    <row r="214" spans="1:8" x14ac:dyDescent="0.25">
      <c r="A214" s="8">
        <v>43066.685104166667</v>
      </c>
      <c r="B214" s="20" t="s">
        <v>352</v>
      </c>
      <c r="C214" s="20" t="s">
        <v>582</v>
      </c>
      <c r="D214" s="137">
        <v>3030000</v>
      </c>
      <c r="E214" s="20" t="s">
        <v>518</v>
      </c>
      <c r="F214" s="20" t="s">
        <v>429</v>
      </c>
      <c r="G214" s="8" t="str">
        <f t="shared" si="6"/>
        <v>BIRENBAUM THOMAS</v>
      </c>
      <c r="H214" s="20" t="str">
        <f t="shared" si="7"/>
        <v>4055</v>
      </c>
    </row>
    <row r="215" spans="1:8" x14ac:dyDescent="0.25">
      <c r="A215" s="8">
        <v>43066.686180555553</v>
      </c>
      <c r="B215" s="20" t="s">
        <v>578</v>
      </c>
      <c r="C215" s="20" t="s">
        <v>752</v>
      </c>
      <c r="D215" s="137">
        <v>920000</v>
      </c>
      <c r="E215" s="20" t="s">
        <v>461</v>
      </c>
      <c r="F215" s="20" t="s">
        <v>353</v>
      </c>
      <c r="G215" s="8" t="str">
        <f t="shared" si="6"/>
        <v>DAVIS MICHAEL</v>
      </c>
      <c r="H215" s="20" t="str">
        <f t="shared" si="7"/>
        <v>4044</v>
      </c>
    </row>
    <row r="216" spans="1:8" x14ac:dyDescent="0.25">
      <c r="A216" s="8">
        <v>43066.691157407404</v>
      </c>
      <c r="B216" s="20" t="s">
        <v>618</v>
      </c>
      <c r="C216" s="20" t="s">
        <v>753</v>
      </c>
      <c r="D216" s="137">
        <v>2000000</v>
      </c>
      <c r="E216" s="20" t="s">
        <v>388</v>
      </c>
      <c r="F216" s="20" t="s">
        <v>389</v>
      </c>
      <c r="G216" s="8" t="str">
        <f t="shared" si="6"/>
        <v>STAMBAUGH JAMES</v>
      </c>
      <c r="H216" s="20" t="str">
        <f t="shared" si="7"/>
        <v>4020</v>
      </c>
    </row>
    <row r="217" spans="1:8" x14ac:dyDescent="0.25">
      <c r="A217" s="8">
        <v>43066.693645833337</v>
      </c>
      <c r="B217" s="20" t="s">
        <v>620</v>
      </c>
      <c r="C217" s="20" t="s">
        <v>754</v>
      </c>
      <c r="D217" s="137">
        <v>2630000</v>
      </c>
      <c r="E217" s="20" t="s">
        <v>370</v>
      </c>
      <c r="F217" s="20" t="s">
        <v>371</v>
      </c>
      <c r="G217" s="8" t="str">
        <f t="shared" si="6"/>
        <v>SAFIEF AEIMEN</v>
      </c>
      <c r="H217" s="20" t="str">
        <f t="shared" si="7"/>
        <v>4063</v>
      </c>
    </row>
    <row r="218" spans="1:8" x14ac:dyDescent="0.25">
      <c r="A218" s="8">
        <v>43066.695173611108</v>
      </c>
      <c r="B218" s="20" t="s">
        <v>509</v>
      </c>
      <c r="C218" s="20" t="s">
        <v>755</v>
      </c>
      <c r="D218" s="137">
        <v>880000</v>
      </c>
      <c r="E218" s="20" t="s">
        <v>460</v>
      </c>
      <c r="F218" s="20" t="s">
        <v>353</v>
      </c>
      <c r="G218" s="8" t="str">
        <f t="shared" si="6"/>
        <v>STEWART MICHAEL</v>
      </c>
      <c r="H218" s="20" t="str">
        <f t="shared" si="7"/>
        <v>4026</v>
      </c>
    </row>
    <row r="219" spans="1:8" x14ac:dyDescent="0.25">
      <c r="A219" s="8">
        <v>43066.701354166667</v>
      </c>
      <c r="B219" s="20" t="s">
        <v>598</v>
      </c>
      <c r="C219" s="20" t="s">
        <v>756</v>
      </c>
      <c r="D219" s="137">
        <v>2550000</v>
      </c>
      <c r="E219" s="20" t="s">
        <v>516</v>
      </c>
      <c r="F219" s="20" t="s">
        <v>517</v>
      </c>
      <c r="G219" s="8" t="str">
        <f t="shared" si="6"/>
        <v>BADERTSCHER DIANE</v>
      </c>
      <c r="H219" s="20" t="str">
        <f t="shared" si="7"/>
        <v>4021</v>
      </c>
    </row>
    <row r="220" spans="1:8" x14ac:dyDescent="0.25">
      <c r="A220" s="8">
        <v>43066.705277777779</v>
      </c>
      <c r="B220" s="20" t="s">
        <v>474</v>
      </c>
      <c r="C220" s="20" t="s">
        <v>757</v>
      </c>
      <c r="D220" s="137">
        <v>3810000</v>
      </c>
      <c r="E220" s="20" t="s">
        <v>699</v>
      </c>
      <c r="F220" s="20" t="s">
        <v>700</v>
      </c>
      <c r="G220" s="8" t="str">
        <f t="shared" si="6"/>
        <v>LORI SANTOS</v>
      </c>
      <c r="H220" s="20" t="str">
        <f t="shared" si="7"/>
        <v>4014</v>
      </c>
    </row>
    <row r="221" spans="1:8" x14ac:dyDescent="0.25">
      <c r="A221" s="8">
        <v>43066.705636574072</v>
      </c>
      <c r="B221" s="20" t="s">
        <v>623</v>
      </c>
      <c r="C221" s="20" t="s">
        <v>758</v>
      </c>
      <c r="D221" s="137">
        <v>2000000</v>
      </c>
      <c r="E221" s="20" t="s">
        <v>388</v>
      </c>
      <c r="F221" s="20" t="s">
        <v>389</v>
      </c>
      <c r="G221" s="8" t="str">
        <f t="shared" si="6"/>
        <v>STAMBAUGH JAMES</v>
      </c>
      <c r="H221" s="20" t="str">
        <f t="shared" si="7"/>
        <v>4019</v>
      </c>
    </row>
    <row r="222" spans="1:8" x14ac:dyDescent="0.25">
      <c r="A222" s="8">
        <v>43066.708657407406</v>
      </c>
      <c r="B222" s="20" t="s">
        <v>459</v>
      </c>
      <c r="C222" s="20" t="s">
        <v>759</v>
      </c>
      <c r="D222" s="137">
        <v>2230000</v>
      </c>
      <c r="E222" s="20" t="s">
        <v>387</v>
      </c>
      <c r="F222" s="20" t="s">
        <v>353</v>
      </c>
      <c r="G222" s="8" t="str">
        <f t="shared" si="6"/>
        <v>SMITH MICHAEL</v>
      </c>
      <c r="H222" s="20" t="str">
        <f t="shared" si="7"/>
        <v>4053</v>
      </c>
    </row>
    <row r="223" spans="1:8" x14ac:dyDescent="0.25">
      <c r="A223" s="8">
        <v>43066.7109375</v>
      </c>
      <c r="B223" s="20" t="s">
        <v>510</v>
      </c>
      <c r="C223" s="20" t="s">
        <v>760</v>
      </c>
      <c r="D223" s="137">
        <v>1760000</v>
      </c>
      <c r="E223" s="20" t="s">
        <v>761</v>
      </c>
      <c r="F223" s="20" t="s">
        <v>762</v>
      </c>
      <c r="G223" s="8" t="str">
        <f t="shared" si="6"/>
        <v>STRICKLAND EVAN</v>
      </c>
      <c r="H223" s="20" t="str">
        <f t="shared" si="7"/>
        <v>4032</v>
      </c>
    </row>
    <row r="224" spans="1:8" x14ac:dyDescent="0.25">
      <c r="A224" s="8">
        <v>43066.712685185186</v>
      </c>
      <c r="B224" t="s">
        <v>457</v>
      </c>
      <c r="C224" t="s">
        <v>763</v>
      </c>
      <c r="D224" s="137">
        <v>3030000</v>
      </c>
      <c r="E224" t="s">
        <v>518</v>
      </c>
      <c r="F224" s="20" t="s">
        <v>429</v>
      </c>
      <c r="G224" s="8" t="str">
        <f t="shared" si="6"/>
        <v>BIRENBAUM THOMAS</v>
      </c>
      <c r="H224" s="20" t="str">
        <f t="shared" si="7"/>
        <v>4056</v>
      </c>
    </row>
    <row r="225" spans="1:8" x14ac:dyDescent="0.25">
      <c r="A225" s="8">
        <v>43066.715891203705</v>
      </c>
      <c r="B225" t="s">
        <v>359</v>
      </c>
      <c r="C225" t="s">
        <v>764</v>
      </c>
      <c r="D225" s="137">
        <v>2970000</v>
      </c>
      <c r="E225" t="s">
        <v>372</v>
      </c>
      <c r="F225" s="20" t="s">
        <v>373</v>
      </c>
      <c r="G225" s="8" t="str">
        <f t="shared" si="6"/>
        <v>GUZMAN DANNY</v>
      </c>
      <c r="H225" s="20" t="str">
        <f t="shared" si="7"/>
        <v>4018</v>
      </c>
    </row>
    <row r="226" spans="1:8" x14ac:dyDescent="0.25">
      <c r="A226" s="8">
        <v>43066.724953703706</v>
      </c>
      <c r="B226" t="s">
        <v>625</v>
      </c>
      <c r="C226" t="s">
        <v>765</v>
      </c>
      <c r="D226" s="137">
        <v>2630000</v>
      </c>
      <c r="E226" t="s">
        <v>370</v>
      </c>
      <c r="F226" s="20" t="s">
        <v>371</v>
      </c>
      <c r="G226" s="8" t="str">
        <f t="shared" si="6"/>
        <v>SAFIEF AEIMEN</v>
      </c>
      <c r="H226" s="20" t="str">
        <f t="shared" si="7"/>
        <v>4064</v>
      </c>
    </row>
    <row r="227" spans="1:8" x14ac:dyDescent="0.25">
      <c r="A227" s="8">
        <v>43066.725729166668</v>
      </c>
      <c r="B227" t="s">
        <v>589</v>
      </c>
      <c r="C227" t="s">
        <v>766</v>
      </c>
      <c r="D227" s="137">
        <v>920000</v>
      </c>
      <c r="E227" t="s">
        <v>461</v>
      </c>
      <c r="F227" s="20" t="s">
        <v>353</v>
      </c>
      <c r="G227" s="8" t="str">
        <f t="shared" si="6"/>
        <v>DAVIS MICHAEL</v>
      </c>
      <c r="H227" s="20" t="str">
        <f t="shared" si="7"/>
        <v>4043</v>
      </c>
    </row>
    <row r="228" spans="1:8" x14ac:dyDescent="0.25">
      <c r="A228" s="8">
        <v>43066.726226851853</v>
      </c>
      <c r="B228" t="s">
        <v>352</v>
      </c>
      <c r="C228" t="s">
        <v>767</v>
      </c>
      <c r="D228" s="137">
        <v>3030000</v>
      </c>
      <c r="E228" t="s">
        <v>518</v>
      </c>
      <c r="F228" s="20" t="s">
        <v>429</v>
      </c>
      <c r="G228" s="8" t="str">
        <f t="shared" si="6"/>
        <v>BIRENBAUM THOMAS</v>
      </c>
      <c r="H228" s="20" t="str">
        <f t="shared" si="7"/>
        <v>4055</v>
      </c>
    </row>
    <row r="229" spans="1:8" x14ac:dyDescent="0.25">
      <c r="A229" s="8">
        <v>43066.732627314814</v>
      </c>
      <c r="B229" t="s">
        <v>618</v>
      </c>
      <c r="C229" t="s">
        <v>768</v>
      </c>
      <c r="D229" s="137">
        <v>2000000</v>
      </c>
      <c r="E229" t="s">
        <v>388</v>
      </c>
      <c r="F229" s="20" t="s">
        <v>389</v>
      </c>
      <c r="G229" s="8" t="str">
        <f t="shared" si="6"/>
        <v>STAMBAUGH JAMES</v>
      </c>
      <c r="H229" s="20" t="str">
        <f t="shared" si="7"/>
        <v>4020</v>
      </c>
    </row>
    <row r="230" spans="1:8" x14ac:dyDescent="0.25">
      <c r="A230" s="8">
        <v>43066.733796296299</v>
      </c>
      <c r="B230" t="s">
        <v>507</v>
      </c>
      <c r="C230" t="s">
        <v>769</v>
      </c>
      <c r="D230" s="137">
        <v>880000</v>
      </c>
      <c r="E230" t="s">
        <v>460</v>
      </c>
      <c r="F230" s="20" t="s">
        <v>353</v>
      </c>
      <c r="G230" s="8" t="str">
        <f t="shared" si="6"/>
        <v>STEWART MICHAEL</v>
      </c>
      <c r="H230" s="20" t="str">
        <f t="shared" si="7"/>
        <v>4025</v>
      </c>
    </row>
    <row r="231" spans="1:8" x14ac:dyDescent="0.25">
      <c r="A231" s="8">
        <v>43066.734548611108</v>
      </c>
      <c r="B231" t="s">
        <v>448</v>
      </c>
      <c r="C231" t="s">
        <v>770</v>
      </c>
      <c r="D231" s="137">
        <v>3500000</v>
      </c>
      <c r="E231" t="s">
        <v>374</v>
      </c>
      <c r="F231" s="20" t="s">
        <v>375</v>
      </c>
      <c r="G231" s="8" t="str">
        <f t="shared" si="6"/>
        <v>GUNTHIER ERIC</v>
      </c>
      <c r="H231" s="20" t="str">
        <f t="shared" si="7"/>
        <v>4041</v>
      </c>
    </row>
    <row r="232" spans="1:8" x14ac:dyDescent="0.25">
      <c r="A232" s="8">
        <v>43066.738495370373</v>
      </c>
      <c r="B232" t="s">
        <v>380</v>
      </c>
      <c r="C232" t="s">
        <v>771</v>
      </c>
      <c r="D232" s="137">
        <v>890000</v>
      </c>
      <c r="E232" t="s">
        <v>345</v>
      </c>
      <c r="F232" s="20" t="s">
        <v>346</v>
      </c>
      <c r="G232" s="8" t="str">
        <f t="shared" si="6"/>
        <v>LOZA FIDEL</v>
      </c>
      <c r="H232" s="20" t="str">
        <f t="shared" si="7"/>
        <v>4022</v>
      </c>
    </row>
    <row r="233" spans="1:8" x14ac:dyDescent="0.25">
      <c r="A233" s="8">
        <v>43066.744097222225</v>
      </c>
      <c r="B233" t="s">
        <v>475</v>
      </c>
      <c r="C233" t="s">
        <v>772</v>
      </c>
      <c r="D233" s="137">
        <v>3810000</v>
      </c>
      <c r="E233" t="s">
        <v>699</v>
      </c>
      <c r="F233" s="20" t="s">
        <v>700</v>
      </c>
      <c r="G233" s="8" t="str">
        <f t="shared" si="6"/>
        <v>LORI SANTOS</v>
      </c>
      <c r="H233" s="20" t="str">
        <f t="shared" si="7"/>
        <v>4013</v>
      </c>
    </row>
    <row r="234" spans="1:8" x14ac:dyDescent="0.25">
      <c r="A234" s="8">
        <v>43066.746782407405</v>
      </c>
      <c r="B234" t="s">
        <v>458</v>
      </c>
      <c r="C234" t="s">
        <v>773</v>
      </c>
      <c r="D234" s="137">
        <v>2230000</v>
      </c>
      <c r="E234" t="s">
        <v>387</v>
      </c>
      <c r="F234" s="20" t="s">
        <v>353</v>
      </c>
      <c r="G234" s="8" t="str">
        <f t="shared" si="6"/>
        <v>SMITH MICHAEL</v>
      </c>
      <c r="H234" s="20" t="str">
        <f t="shared" si="7"/>
        <v>4054</v>
      </c>
    </row>
    <row r="235" spans="1:8" x14ac:dyDescent="0.25">
      <c r="A235" s="8">
        <v>43066.747025462966</v>
      </c>
      <c r="B235" t="s">
        <v>623</v>
      </c>
      <c r="C235" t="s">
        <v>774</v>
      </c>
      <c r="D235" s="137">
        <v>2000000</v>
      </c>
      <c r="E235" t="s">
        <v>388</v>
      </c>
      <c r="F235" s="20" t="s">
        <v>389</v>
      </c>
      <c r="G235" s="8" t="str">
        <f t="shared" si="6"/>
        <v>STAMBAUGH JAMES</v>
      </c>
      <c r="H235" s="20" t="str">
        <f t="shared" si="7"/>
        <v>4019</v>
      </c>
    </row>
    <row r="236" spans="1:8" x14ac:dyDescent="0.25">
      <c r="A236" s="8">
        <v>43066.750937500001</v>
      </c>
      <c r="B236" t="s">
        <v>457</v>
      </c>
      <c r="C236" t="s">
        <v>775</v>
      </c>
      <c r="D236" s="137">
        <v>2030000</v>
      </c>
      <c r="E236" t="s">
        <v>519</v>
      </c>
      <c r="F236" s="20" t="s">
        <v>430</v>
      </c>
      <c r="G236" s="8" t="str">
        <f t="shared" si="6"/>
        <v>KILLION DAVID</v>
      </c>
      <c r="H236" s="20" t="str">
        <f t="shared" si="7"/>
        <v>4056</v>
      </c>
    </row>
    <row r="237" spans="1:8" x14ac:dyDescent="0.25">
      <c r="A237" s="8">
        <v>43066.755115740743</v>
      </c>
      <c r="B237" t="s">
        <v>361</v>
      </c>
      <c r="C237" t="s">
        <v>776</v>
      </c>
      <c r="D237" s="137">
        <v>2970000</v>
      </c>
      <c r="E237" t="s">
        <v>372</v>
      </c>
      <c r="F237" s="20" t="s">
        <v>373</v>
      </c>
      <c r="G237" s="8" t="str">
        <f t="shared" si="6"/>
        <v>GUZMAN DANNY</v>
      </c>
      <c r="H237" s="20" t="str">
        <f t="shared" si="7"/>
        <v>4017</v>
      </c>
    </row>
    <row r="238" spans="1:8" x14ac:dyDescent="0.25">
      <c r="A238" s="8">
        <v>43066.756620370368</v>
      </c>
      <c r="B238" t="s">
        <v>620</v>
      </c>
      <c r="C238" t="s">
        <v>777</v>
      </c>
      <c r="D238" s="137">
        <v>2630000</v>
      </c>
      <c r="E238" t="s">
        <v>370</v>
      </c>
      <c r="F238" s="20" t="s">
        <v>371</v>
      </c>
      <c r="G238" s="8" t="str">
        <f t="shared" si="6"/>
        <v>SAFIEF AEIMEN</v>
      </c>
      <c r="H238" s="20" t="str">
        <f t="shared" si="7"/>
        <v>4063</v>
      </c>
    </row>
    <row r="239" spans="1:8" x14ac:dyDescent="0.25">
      <c r="A239" s="8">
        <v>43066.758553240739</v>
      </c>
      <c r="B239" t="s">
        <v>578</v>
      </c>
      <c r="C239" t="s">
        <v>778</v>
      </c>
      <c r="D239" s="137">
        <v>3220000</v>
      </c>
      <c r="E239" t="s">
        <v>376</v>
      </c>
      <c r="F239" s="20" t="s">
        <v>377</v>
      </c>
      <c r="G239" s="8" t="str">
        <f t="shared" si="6"/>
        <v>RESPASS AARON</v>
      </c>
      <c r="H239" s="20" t="str">
        <f t="shared" si="7"/>
        <v>4044</v>
      </c>
    </row>
    <row r="240" spans="1:8" x14ac:dyDescent="0.25">
      <c r="A240" s="8">
        <v>43066.769293981481</v>
      </c>
      <c r="B240" t="s">
        <v>509</v>
      </c>
      <c r="C240" t="s">
        <v>779</v>
      </c>
      <c r="D240" s="137">
        <v>3040000</v>
      </c>
      <c r="E240" t="s">
        <v>367</v>
      </c>
      <c r="F240" s="20" t="s">
        <v>513</v>
      </c>
      <c r="G240" s="8" t="str">
        <f t="shared" si="6"/>
        <v>WILLIAMS DONTE</v>
      </c>
      <c r="H240" s="20" t="str">
        <f t="shared" si="7"/>
        <v>4026</v>
      </c>
    </row>
    <row r="241" spans="1:8" x14ac:dyDescent="0.25">
      <c r="A241" s="8">
        <v>43066.769537037035</v>
      </c>
      <c r="B241" t="s">
        <v>352</v>
      </c>
      <c r="C241" t="s">
        <v>780</v>
      </c>
      <c r="D241" s="137">
        <v>2030000</v>
      </c>
      <c r="E241" t="s">
        <v>519</v>
      </c>
      <c r="F241" s="20" t="s">
        <v>430</v>
      </c>
      <c r="G241" s="8" t="str">
        <f t="shared" si="6"/>
        <v>KILLION DAVID</v>
      </c>
      <c r="H241" s="20" t="str">
        <f t="shared" si="7"/>
        <v>4055</v>
      </c>
    </row>
    <row r="242" spans="1:8" x14ac:dyDescent="0.25">
      <c r="A242" s="8">
        <v>43066.774444444447</v>
      </c>
      <c r="B242" t="s">
        <v>618</v>
      </c>
      <c r="C242" t="s">
        <v>781</v>
      </c>
      <c r="D242" s="137">
        <v>2000000</v>
      </c>
      <c r="E242" t="s">
        <v>388</v>
      </c>
      <c r="F242" s="20" t="s">
        <v>389</v>
      </c>
      <c r="G242" s="8" t="str">
        <f t="shared" si="6"/>
        <v>STAMBAUGH JAMES</v>
      </c>
      <c r="H242" s="20" t="str">
        <f t="shared" si="7"/>
        <v>4020</v>
      </c>
    </row>
    <row r="243" spans="1:8" x14ac:dyDescent="0.25">
      <c r="A243" s="8">
        <v>43066.775706018518</v>
      </c>
      <c r="B243" t="s">
        <v>598</v>
      </c>
      <c r="C243" t="s">
        <v>782</v>
      </c>
      <c r="D243" s="137">
        <v>890000</v>
      </c>
      <c r="E243" t="s">
        <v>345</v>
      </c>
      <c r="F243" s="20" t="s">
        <v>346</v>
      </c>
      <c r="G243" s="8" t="str">
        <f t="shared" si="6"/>
        <v>LOZA FIDEL</v>
      </c>
      <c r="H243" s="20" t="str">
        <f t="shared" si="7"/>
        <v>4021</v>
      </c>
    </row>
    <row r="244" spans="1:8" x14ac:dyDescent="0.25">
      <c r="A244" s="8">
        <v>43066.779340277775</v>
      </c>
      <c r="B244" t="s">
        <v>474</v>
      </c>
      <c r="C244" t="s">
        <v>584</v>
      </c>
      <c r="D244" s="137">
        <v>3810000</v>
      </c>
      <c r="E244" t="s">
        <v>699</v>
      </c>
      <c r="F244" s="20" t="s">
        <v>700</v>
      </c>
      <c r="G244" s="8" t="str">
        <f t="shared" si="6"/>
        <v>LORI SANTOS</v>
      </c>
      <c r="H244" s="20" t="str">
        <f t="shared" si="7"/>
        <v>4014</v>
      </c>
    </row>
    <row r="245" spans="1:8" x14ac:dyDescent="0.25">
      <c r="A245" s="8">
        <v>43066.783391203702</v>
      </c>
      <c r="B245" t="s">
        <v>459</v>
      </c>
      <c r="C245" t="s">
        <v>783</v>
      </c>
      <c r="D245" s="137">
        <v>2230000</v>
      </c>
      <c r="E245" t="s">
        <v>387</v>
      </c>
      <c r="F245" s="20" t="s">
        <v>353</v>
      </c>
      <c r="G245" s="8" t="str">
        <f t="shared" si="6"/>
        <v>SMITH MICHAEL</v>
      </c>
      <c r="H245" s="20" t="str">
        <f t="shared" si="7"/>
        <v>4053</v>
      </c>
    </row>
    <row r="246" spans="1:8" x14ac:dyDescent="0.25">
      <c r="A246" s="8">
        <v>43066.785960648151</v>
      </c>
      <c r="B246" t="s">
        <v>359</v>
      </c>
      <c r="C246" t="s">
        <v>784</v>
      </c>
      <c r="D246" s="137">
        <v>3340000</v>
      </c>
      <c r="E246" t="s">
        <v>426</v>
      </c>
      <c r="F246" s="20" t="s">
        <v>427</v>
      </c>
      <c r="G246" s="8" t="str">
        <f t="shared" si="6"/>
        <v>ELBAUM MIKE</v>
      </c>
      <c r="H246" s="20" t="str">
        <f t="shared" si="7"/>
        <v>4018</v>
      </c>
    </row>
    <row r="247" spans="1:8" x14ac:dyDescent="0.25">
      <c r="A247" s="8">
        <v>43066.788368055553</v>
      </c>
      <c r="B247" t="s">
        <v>623</v>
      </c>
      <c r="C247" t="s">
        <v>785</v>
      </c>
      <c r="D247" s="137">
        <v>2000000</v>
      </c>
      <c r="E247" t="s">
        <v>388</v>
      </c>
      <c r="F247" s="20" t="s">
        <v>389</v>
      </c>
      <c r="G247" s="8" t="str">
        <f t="shared" si="6"/>
        <v>STAMBAUGH JAMES</v>
      </c>
      <c r="H247" s="20" t="str">
        <f t="shared" si="7"/>
        <v>4019</v>
      </c>
    </row>
    <row r="248" spans="1:8" x14ac:dyDescent="0.25">
      <c r="A248" s="8">
        <v>43066.791250000002</v>
      </c>
      <c r="B248" t="s">
        <v>457</v>
      </c>
      <c r="C248" t="s">
        <v>786</v>
      </c>
      <c r="D248" s="137">
        <v>2030000</v>
      </c>
      <c r="E248" t="s">
        <v>519</v>
      </c>
      <c r="F248" s="20" t="s">
        <v>430</v>
      </c>
      <c r="G248" s="8" t="str">
        <f t="shared" si="6"/>
        <v>KILLION DAVID</v>
      </c>
      <c r="H248" s="20" t="str">
        <f t="shared" si="7"/>
        <v>4056</v>
      </c>
    </row>
    <row r="249" spans="1:8" x14ac:dyDescent="0.25">
      <c r="A249" s="8">
        <v>43066.797488425924</v>
      </c>
      <c r="B249" t="s">
        <v>589</v>
      </c>
      <c r="C249" t="s">
        <v>787</v>
      </c>
      <c r="D249" s="137">
        <v>3220000</v>
      </c>
      <c r="E249" t="s">
        <v>376</v>
      </c>
      <c r="F249" s="20" t="s">
        <v>377</v>
      </c>
      <c r="G249" s="8" t="str">
        <f t="shared" si="6"/>
        <v>RESPASS AARON</v>
      </c>
      <c r="H249" s="20" t="str">
        <f t="shared" si="7"/>
        <v>4043</v>
      </c>
    </row>
    <row r="250" spans="1:8" x14ac:dyDescent="0.25">
      <c r="A250" s="8">
        <v>43066.797800925924</v>
      </c>
      <c r="B250" t="s">
        <v>625</v>
      </c>
      <c r="C250" t="s">
        <v>788</v>
      </c>
      <c r="D250" s="137">
        <v>2630000</v>
      </c>
      <c r="E250" t="s">
        <v>370</v>
      </c>
      <c r="F250" s="20" t="s">
        <v>371</v>
      </c>
      <c r="G250" s="8" t="str">
        <f t="shared" si="6"/>
        <v>SAFIEF AEIMEN</v>
      </c>
      <c r="H250" s="20" t="str">
        <f t="shared" si="7"/>
        <v>4064</v>
      </c>
    </row>
    <row r="251" spans="1:8" x14ac:dyDescent="0.25">
      <c r="A251" s="8">
        <v>43066.806979166664</v>
      </c>
      <c r="B251" t="s">
        <v>507</v>
      </c>
      <c r="C251" t="s">
        <v>789</v>
      </c>
      <c r="D251" s="137">
        <v>3040000</v>
      </c>
      <c r="E251" t="s">
        <v>367</v>
      </c>
      <c r="F251" s="20" t="s">
        <v>513</v>
      </c>
      <c r="G251" s="8" t="str">
        <f t="shared" si="6"/>
        <v>WILLIAMS DONTE</v>
      </c>
      <c r="H251" s="20" t="str">
        <f t="shared" si="7"/>
        <v>4025</v>
      </c>
    </row>
    <row r="252" spans="1:8" x14ac:dyDescent="0.25">
      <c r="A252" s="8">
        <v>43066.80746527778</v>
      </c>
      <c r="B252" t="s">
        <v>380</v>
      </c>
      <c r="C252" t="s">
        <v>790</v>
      </c>
      <c r="D252" s="137">
        <v>890000</v>
      </c>
      <c r="E252" t="s">
        <v>345</v>
      </c>
      <c r="F252" s="20" t="s">
        <v>346</v>
      </c>
      <c r="G252" s="8" t="str">
        <f t="shared" si="6"/>
        <v>LOZA FIDEL</v>
      </c>
      <c r="H252" s="20" t="str">
        <f t="shared" si="7"/>
        <v>4022</v>
      </c>
    </row>
    <row r="253" spans="1:8" x14ac:dyDescent="0.25">
      <c r="A253" s="8">
        <v>43066.809745370374</v>
      </c>
      <c r="B253" t="s">
        <v>352</v>
      </c>
      <c r="C253" t="s">
        <v>791</v>
      </c>
      <c r="D253" s="137">
        <v>2030000</v>
      </c>
      <c r="E253" t="s">
        <v>519</v>
      </c>
      <c r="F253" s="20" t="s">
        <v>430</v>
      </c>
      <c r="G253" s="8" t="str">
        <f t="shared" si="6"/>
        <v>KILLION DAVID</v>
      </c>
      <c r="H253" s="20" t="str">
        <f t="shared" si="7"/>
        <v>4055</v>
      </c>
    </row>
    <row r="254" spans="1:8" x14ac:dyDescent="0.25">
      <c r="A254" s="8">
        <v>43066.817939814813</v>
      </c>
      <c r="B254" t="s">
        <v>361</v>
      </c>
      <c r="C254" t="s">
        <v>585</v>
      </c>
      <c r="D254" s="137">
        <v>3340000</v>
      </c>
      <c r="E254" t="s">
        <v>426</v>
      </c>
      <c r="F254" s="20" t="s">
        <v>427</v>
      </c>
      <c r="G254" s="8" t="str">
        <f t="shared" si="6"/>
        <v>ELBAUM MIKE</v>
      </c>
      <c r="H254" s="20" t="str">
        <f t="shared" si="7"/>
        <v>4017</v>
      </c>
    </row>
    <row r="255" spans="1:8" x14ac:dyDescent="0.25">
      <c r="A255" s="8">
        <v>43066.818877314814</v>
      </c>
      <c r="B255" t="s">
        <v>458</v>
      </c>
      <c r="C255" t="s">
        <v>792</v>
      </c>
      <c r="D255" s="137">
        <v>2230000</v>
      </c>
      <c r="E255" t="s">
        <v>387</v>
      </c>
      <c r="F255" s="20" t="s">
        <v>353</v>
      </c>
      <c r="G255" s="8" t="str">
        <f t="shared" si="6"/>
        <v>SMITH MICHAEL</v>
      </c>
      <c r="H255" s="20" t="str">
        <f t="shared" si="7"/>
        <v>4054</v>
      </c>
    </row>
    <row r="256" spans="1:8" x14ac:dyDescent="0.25">
      <c r="A256" s="8">
        <v>43066.827407407407</v>
      </c>
      <c r="B256" t="s">
        <v>578</v>
      </c>
      <c r="C256" t="s">
        <v>793</v>
      </c>
      <c r="D256" s="137">
        <v>3220000</v>
      </c>
      <c r="E256" t="s">
        <v>376</v>
      </c>
      <c r="F256" s="20" t="s">
        <v>377</v>
      </c>
      <c r="G256" s="8" t="str">
        <f t="shared" si="6"/>
        <v>RESPASS AARON</v>
      </c>
      <c r="H256" s="20" t="str">
        <f t="shared" si="7"/>
        <v>4044</v>
      </c>
    </row>
    <row r="257" spans="1:8" x14ac:dyDescent="0.25">
      <c r="A257" s="8">
        <v>43066.832476851851</v>
      </c>
      <c r="B257" t="s">
        <v>457</v>
      </c>
      <c r="C257" t="s">
        <v>587</v>
      </c>
      <c r="D257" s="137">
        <v>2030000</v>
      </c>
      <c r="E257" t="s">
        <v>519</v>
      </c>
      <c r="F257" s="20" t="s">
        <v>430</v>
      </c>
      <c r="G257" s="8" t="str">
        <f t="shared" si="6"/>
        <v>KILLION DAVID</v>
      </c>
      <c r="H257" s="20" t="str">
        <f t="shared" si="7"/>
        <v>4056</v>
      </c>
    </row>
    <row r="258" spans="1:8" x14ac:dyDescent="0.25">
      <c r="A258" s="8">
        <v>43066.849664351852</v>
      </c>
      <c r="B258" t="s">
        <v>509</v>
      </c>
      <c r="C258" t="s">
        <v>794</v>
      </c>
      <c r="D258" s="137">
        <v>3040000</v>
      </c>
      <c r="E258" t="s">
        <v>367</v>
      </c>
      <c r="F258" s="20" t="s">
        <v>513</v>
      </c>
      <c r="G258" s="8" t="str">
        <f t="shared" si="6"/>
        <v>WILLIAMS DONTE</v>
      </c>
      <c r="H258" s="20" t="str">
        <f t="shared" si="7"/>
        <v>4026</v>
      </c>
    </row>
    <row r="259" spans="1:8" x14ac:dyDescent="0.25">
      <c r="A259" s="8">
        <v>43066.849710648145</v>
      </c>
      <c r="B259" t="s">
        <v>598</v>
      </c>
      <c r="C259" t="s">
        <v>795</v>
      </c>
      <c r="D259" s="137">
        <v>890000</v>
      </c>
      <c r="E259" t="s">
        <v>345</v>
      </c>
      <c r="F259" s="20" t="s">
        <v>346</v>
      </c>
      <c r="G259" s="8" t="str">
        <f t="shared" ref="G259:G313" si="8">E259&amp;" "&amp;F259</f>
        <v>LOZA FIDEL</v>
      </c>
      <c r="H259" s="20" t="str">
        <f t="shared" ref="H259:H313" si="9">MID(B259,13,4)</f>
        <v>4021</v>
      </c>
    </row>
    <row r="260" spans="1:8" x14ac:dyDescent="0.25">
      <c r="A260" s="8">
        <v>43066.851493055554</v>
      </c>
      <c r="B260" t="s">
        <v>352</v>
      </c>
      <c r="C260" t="s">
        <v>796</v>
      </c>
      <c r="D260" s="137">
        <v>2030000</v>
      </c>
      <c r="E260" t="s">
        <v>519</v>
      </c>
      <c r="F260" s="20" t="s">
        <v>430</v>
      </c>
      <c r="G260" s="8" t="str">
        <f t="shared" si="8"/>
        <v>KILLION DAVID</v>
      </c>
      <c r="H260" s="20" t="str">
        <f t="shared" si="9"/>
        <v>4055</v>
      </c>
    </row>
    <row r="261" spans="1:8" x14ac:dyDescent="0.25">
      <c r="A261" s="8">
        <v>43066.858541666668</v>
      </c>
      <c r="B261" t="s">
        <v>359</v>
      </c>
      <c r="C261" t="s">
        <v>588</v>
      </c>
      <c r="D261" s="137">
        <v>3340000</v>
      </c>
      <c r="E261" t="s">
        <v>426</v>
      </c>
      <c r="F261" s="20" t="s">
        <v>427</v>
      </c>
      <c r="G261" s="8" t="str">
        <f t="shared" si="8"/>
        <v>ELBAUM MIKE</v>
      </c>
      <c r="H261" s="20" t="str">
        <f t="shared" si="9"/>
        <v>4018</v>
      </c>
    </row>
    <row r="262" spans="1:8" x14ac:dyDescent="0.25">
      <c r="A262" s="8">
        <v>43066.869814814818</v>
      </c>
      <c r="B262" t="s">
        <v>589</v>
      </c>
      <c r="C262" t="s">
        <v>590</v>
      </c>
      <c r="D262" s="137">
        <v>3220000</v>
      </c>
      <c r="E262" t="s">
        <v>376</v>
      </c>
      <c r="F262" s="20" t="s">
        <v>377</v>
      </c>
      <c r="G262" s="8" t="str">
        <f t="shared" si="8"/>
        <v>RESPASS AARON</v>
      </c>
      <c r="H262" s="20" t="str">
        <f t="shared" si="9"/>
        <v>4043</v>
      </c>
    </row>
    <row r="263" spans="1:8" x14ac:dyDescent="0.25">
      <c r="A263" s="8">
        <v>43066.879513888889</v>
      </c>
      <c r="B263" t="s">
        <v>457</v>
      </c>
      <c r="C263" t="s">
        <v>797</v>
      </c>
      <c r="D263" s="137">
        <v>2000000</v>
      </c>
      <c r="E263" t="s">
        <v>388</v>
      </c>
      <c r="F263" s="20" t="s">
        <v>389</v>
      </c>
      <c r="G263" s="8" t="str">
        <f t="shared" si="8"/>
        <v>STAMBAUGH JAMES</v>
      </c>
      <c r="H263" s="20" t="str">
        <f t="shared" si="9"/>
        <v>4056</v>
      </c>
    </row>
    <row r="264" spans="1:8" x14ac:dyDescent="0.25">
      <c r="A264" s="8">
        <v>43066.880601851852</v>
      </c>
      <c r="B264" t="s">
        <v>380</v>
      </c>
      <c r="C264" t="s">
        <v>798</v>
      </c>
      <c r="D264" s="137">
        <v>890000</v>
      </c>
      <c r="E264" t="s">
        <v>345</v>
      </c>
      <c r="F264" s="20" t="s">
        <v>346</v>
      </c>
      <c r="G264" s="8" t="str">
        <f t="shared" si="8"/>
        <v>LOZA FIDEL</v>
      </c>
      <c r="H264" s="20" t="str">
        <f t="shared" si="9"/>
        <v>4022</v>
      </c>
    </row>
    <row r="265" spans="1:8" x14ac:dyDescent="0.25">
      <c r="A265" s="8">
        <v>43066.889675925922</v>
      </c>
      <c r="B265" t="s">
        <v>507</v>
      </c>
      <c r="C265" t="s">
        <v>799</v>
      </c>
      <c r="D265" s="137">
        <v>3040000</v>
      </c>
      <c r="E265" t="s">
        <v>367</v>
      </c>
      <c r="F265" s="20" t="s">
        <v>513</v>
      </c>
      <c r="G265" s="8" t="str">
        <f t="shared" si="8"/>
        <v>WILLIAMS DONTE</v>
      </c>
      <c r="H265" s="20" t="str">
        <f t="shared" si="9"/>
        <v>4025</v>
      </c>
    </row>
    <row r="266" spans="1:8" x14ac:dyDescent="0.25">
      <c r="A266" s="8">
        <v>43066.891793981478</v>
      </c>
      <c r="B266" t="s">
        <v>352</v>
      </c>
      <c r="C266" t="s">
        <v>800</v>
      </c>
      <c r="D266" s="137">
        <v>2000000</v>
      </c>
      <c r="E266" t="s">
        <v>388</v>
      </c>
      <c r="F266" s="20" t="s">
        <v>389</v>
      </c>
      <c r="G266" s="8" t="str">
        <f t="shared" si="8"/>
        <v>STAMBAUGH JAMES</v>
      </c>
      <c r="H266" s="20" t="str">
        <f t="shared" si="9"/>
        <v>4055</v>
      </c>
    </row>
    <row r="267" spans="1:8" x14ac:dyDescent="0.25">
      <c r="A267" s="8">
        <v>43066.901122685187</v>
      </c>
      <c r="B267" t="s">
        <v>361</v>
      </c>
      <c r="C267" t="s">
        <v>801</v>
      </c>
      <c r="D267" s="137">
        <v>3340000</v>
      </c>
      <c r="E267" t="s">
        <v>426</v>
      </c>
      <c r="F267" s="20" t="s">
        <v>427</v>
      </c>
      <c r="G267" s="8" t="str">
        <f t="shared" si="8"/>
        <v>ELBAUM MIKE</v>
      </c>
      <c r="H267" s="20" t="str">
        <f t="shared" si="9"/>
        <v>4017</v>
      </c>
    </row>
    <row r="268" spans="1:8" x14ac:dyDescent="0.25">
      <c r="A268" s="8">
        <v>43066.902974537035</v>
      </c>
      <c r="B268" t="s">
        <v>578</v>
      </c>
      <c r="C268" t="s">
        <v>802</v>
      </c>
      <c r="D268" s="137">
        <v>3500000</v>
      </c>
      <c r="E268" t="s">
        <v>374</v>
      </c>
      <c r="F268" s="20" t="s">
        <v>375</v>
      </c>
      <c r="G268" s="8" t="str">
        <f t="shared" si="8"/>
        <v>GUNTHIER ERIC</v>
      </c>
      <c r="H268" s="20" t="str">
        <f t="shared" si="9"/>
        <v>4044</v>
      </c>
    </row>
    <row r="269" spans="1:8" x14ac:dyDescent="0.25">
      <c r="A269" s="8">
        <v>43066.921122685184</v>
      </c>
      <c r="B269" t="s">
        <v>457</v>
      </c>
      <c r="C269" t="s">
        <v>591</v>
      </c>
      <c r="D269" s="137">
        <v>2000000</v>
      </c>
      <c r="E269" t="s">
        <v>388</v>
      </c>
      <c r="F269" s="20" t="s">
        <v>389</v>
      </c>
      <c r="G269" s="8" t="str">
        <f t="shared" si="8"/>
        <v>STAMBAUGH JAMES</v>
      </c>
      <c r="H269" s="20" t="str">
        <f t="shared" si="9"/>
        <v>4056</v>
      </c>
    </row>
    <row r="270" spans="1:8" x14ac:dyDescent="0.25">
      <c r="A270" s="8">
        <v>43066.929606481484</v>
      </c>
      <c r="B270" t="s">
        <v>509</v>
      </c>
      <c r="C270" t="s">
        <v>803</v>
      </c>
      <c r="D270" s="137">
        <v>3040000</v>
      </c>
      <c r="E270" t="s">
        <v>367</v>
      </c>
      <c r="F270" s="20" t="s">
        <v>513</v>
      </c>
      <c r="G270" s="8" t="str">
        <f t="shared" si="8"/>
        <v>WILLIAMS DONTE</v>
      </c>
      <c r="H270" s="20" t="str">
        <f t="shared" si="9"/>
        <v>4026</v>
      </c>
    </row>
    <row r="271" spans="1:8" x14ac:dyDescent="0.25">
      <c r="A271" s="8">
        <v>43066.931747685187</v>
      </c>
      <c r="B271" t="s">
        <v>598</v>
      </c>
      <c r="C271" t="s">
        <v>804</v>
      </c>
      <c r="D271" s="137">
        <v>890000</v>
      </c>
      <c r="E271" t="s">
        <v>345</v>
      </c>
      <c r="F271" s="20" t="s">
        <v>346</v>
      </c>
      <c r="G271" s="8" t="str">
        <f t="shared" si="8"/>
        <v>LOZA FIDEL</v>
      </c>
      <c r="H271" s="20" t="str">
        <f t="shared" si="9"/>
        <v>4021</v>
      </c>
    </row>
    <row r="272" spans="1:8" x14ac:dyDescent="0.25">
      <c r="A272" s="8">
        <v>43066.934120370373</v>
      </c>
      <c r="B272" t="s">
        <v>352</v>
      </c>
      <c r="C272" t="s">
        <v>805</v>
      </c>
      <c r="D272" s="137">
        <v>2000000</v>
      </c>
      <c r="E272" t="s">
        <v>388</v>
      </c>
      <c r="F272" s="20" t="s">
        <v>389</v>
      </c>
      <c r="G272" s="8" t="str">
        <f t="shared" si="8"/>
        <v>STAMBAUGH JAMES</v>
      </c>
      <c r="H272" s="20" t="str">
        <f t="shared" si="9"/>
        <v>4055</v>
      </c>
    </row>
    <row r="273" spans="1:8" x14ac:dyDescent="0.25">
      <c r="A273" s="8">
        <v>43066.945567129631</v>
      </c>
      <c r="B273" t="s">
        <v>359</v>
      </c>
      <c r="C273" t="s">
        <v>806</v>
      </c>
      <c r="D273" s="137">
        <v>3340000</v>
      </c>
      <c r="E273" t="s">
        <v>426</v>
      </c>
      <c r="F273" s="20" t="s">
        <v>427</v>
      </c>
      <c r="G273" s="8" t="str">
        <f t="shared" si="8"/>
        <v>ELBAUM MIKE</v>
      </c>
      <c r="H273" s="20" t="str">
        <f t="shared" si="9"/>
        <v>4018</v>
      </c>
    </row>
    <row r="274" spans="1:8" x14ac:dyDescent="0.25">
      <c r="A274" s="8">
        <v>43066.946863425925</v>
      </c>
      <c r="B274" t="s">
        <v>589</v>
      </c>
      <c r="C274" t="s">
        <v>807</v>
      </c>
      <c r="D274" s="137">
        <v>3500000</v>
      </c>
      <c r="E274" t="s">
        <v>374</v>
      </c>
      <c r="F274" s="20" t="s">
        <v>375</v>
      </c>
      <c r="G274" s="8" t="str">
        <f t="shared" si="8"/>
        <v>GUNTHIER ERIC</v>
      </c>
      <c r="H274" s="20" t="str">
        <f t="shared" si="9"/>
        <v>4043</v>
      </c>
    </row>
    <row r="275" spans="1:8" x14ac:dyDescent="0.25">
      <c r="A275" s="8">
        <v>43066.962430555555</v>
      </c>
      <c r="B275" t="s">
        <v>457</v>
      </c>
      <c r="C275" t="s">
        <v>808</v>
      </c>
      <c r="D275" s="137">
        <v>2000000</v>
      </c>
      <c r="E275" t="s">
        <v>388</v>
      </c>
      <c r="F275" s="20" t="s">
        <v>389</v>
      </c>
      <c r="G275" s="8" t="str">
        <f t="shared" si="8"/>
        <v>STAMBAUGH JAMES</v>
      </c>
      <c r="H275" s="20" t="str">
        <f t="shared" si="9"/>
        <v>4056</v>
      </c>
    </row>
    <row r="276" spans="1:8" x14ac:dyDescent="0.25">
      <c r="A276" s="8">
        <v>43066.969027777777</v>
      </c>
      <c r="B276" t="s">
        <v>380</v>
      </c>
      <c r="C276" t="s">
        <v>809</v>
      </c>
      <c r="D276" s="137">
        <v>890000</v>
      </c>
      <c r="E276" t="s">
        <v>345</v>
      </c>
      <c r="F276" s="20" t="s">
        <v>346</v>
      </c>
      <c r="G276" s="8" t="str">
        <f t="shared" si="8"/>
        <v>LOZA FIDEL</v>
      </c>
      <c r="H276" s="20" t="str">
        <f t="shared" si="9"/>
        <v>4022</v>
      </c>
    </row>
    <row r="277" spans="1:8" x14ac:dyDescent="0.25">
      <c r="A277" s="8">
        <v>43066.974097222221</v>
      </c>
      <c r="B277" t="s">
        <v>507</v>
      </c>
      <c r="C277" t="s">
        <v>810</v>
      </c>
      <c r="D277" s="137">
        <v>3040000</v>
      </c>
      <c r="E277" t="s">
        <v>367</v>
      </c>
      <c r="F277" s="20" t="s">
        <v>513</v>
      </c>
      <c r="G277" s="8" t="str">
        <f t="shared" si="8"/>
        <v>WILLIAMS DONTE</v>
      </c>
      <c r="H277" s="20" t="str">
        <f t="shared" si="9"/>
        <v>4025</v>
      </c>
    </row>
    <row r="278" spans="1:8" x14ac:dyDescent="0.25">
      <c r="A278" s="8">
        <v>43066.974907407406</v>
      </c>
      <c r="B278" t="s">
        <v>352</v>
      </c>
      <c r="C278" t="s">
        <v>811</v>
      </c>
      <c r="D278" s="137">
        <v>2000000</v>
      </c>
      <c r="E278" t="s">
        <v>388</v>
      </c>
      <c r="F278" s="20" t="s">
        <v>389</v>
      </c>
      <c r="G278" s="8" t="str">
        <f t="shared" si="8"/>
        <v>STAMBAUGH JAMES</v>
      </c>
      <c r="H278" s="20" t="str">
        <f t="shared" si="9"/>
        <v>4055</v>
      </c>
    </row>
    <row r="279" spans="1:8" x14ac:dyDescent="0.25">
      <c r="A279" s="8">
        <v>43066.986979166664</v>
      </c>
      <c r="B279" t="s">
        <v>361</v>
      </c>
      <c r="C279" t="s">
        <v>812</v>
      </c>
      <c r="D279" s="137">
        <v>3340000</v>
      </c>
      <c r="E279" t="s">
        <v>426</v>
      </c>
      <c r="F279" s="20" t="s">
        <v>427</v>
      </c>
      <c r="G279" s="8" t="str">
        <f t="shared" si="8"/>
        <v>ELBAUM MIKE</v>
      </c>
      <c r="H279" s="20" t="str">
        <f t="shared" si="9"/>
        <v>4017</v>
      </c>
    </row>
    <row r="280" spans="1:8" x14ac:dyDescent="0.25">
      <c r="A280" s="8">
        <v>43066.992754629631</v>
      </c>
      <c r="B280" t="s">
        <v>578</v>
      </c>
      <c r="C280" t="s">
        <v>813</v>
      </c>
      <c r="D280" s="137">
        <v>3220000</v>
      </c>
      <c r="E280" t="s">
        <v>376</v>
      </c>
      <c r="F280" s="20" t="s">
        <v>377</v>
      </c>
      <c r="G280" s="8" t="str">
        <f t="shared" si="8"/>
        <v>RESPASS AARON</v>
      </c>
      <c r="H280" s="20" t="str">
        <f t="shared" si="9"/>
        <v>4044</v>
      </c>
    </row>
    <row r="281" spans="1:8" x14ac:dyDescent="0.25">
      <c r="A281" s="8">
        <v>43067.015798611108</v>
      </c>
      <c r="B281" t="s">
        <v>598</v>
      </c>
      <c r="C281" t="s">
        <v>814</v>
      </c>
      <c r="D281" s="137">
        <v>890000</v>
      </c>
      <c r="E281" t="s">
        <v>345</v>
      </c>
      <c r="F281" s="20" t="s">
        <v>346</v>
      </c>
      <c r="G281" s="8" t="str">
        <f t="shared" si="8"/>
        <v>LOZA FIDEL</v>
      </c>
      <c r="H281" s="20" t="str">
        <f t="shared" si="9"/>
        <v>4021</v>
      </c>
    </row>
    <row r="282" spans="1:8" x14ac:dyDescent="0.25">
      <c r="A282" s="8">
        <v>43067.017256944448</v>
      </c>
      <c r="B282" t="s">
        <v>509</v>
      </c>
      <c r="C282" t="s">
        <v>815</v>
      </c>
      <c r="D282" s="137">
        <v>3040000</v>
      </c>
      <c r="E282" t="s">
        <v>367</v>
      </c>
      <c r="F282" s="20" t="s">
        <v>513</v>
      </c>
      <c r="G282" s="8" t="str">
        <f t="shared" si="8"/>
        <v>WILLIAMS DONTE</v>
      </c>
      <c r="H282" s="20" t="str">
        <f t="shared" si="9"/>
        <v>4026</v>
      </c>
    </row>
    <row r="283" spans="1:8" x14ac:dyDescent="0.25">
      <c r="A283" s="8">
        <v>43067.025405092594</v>
      </c>
      <c r="B283" t="s">
        <v>359</v>
      </c>
      <c r="C283" t="s">
        <v>816</v>
      </c>
      <c r="D283" s="137">
        <v>3340000</v>
      </c>
      <c r="E283" t="s">
        <v>426</v>
      </c>
      <c r="F283" s="20" t="s">
        <v>427</v>
      </c>
      <c r="G283" s="8" t="str">
        <f t="shared" si="8"/>
        <v>ELBAUM MIKE</v>
      </c>
      <c r="H283" s="20" t="str">
        <f t="shared" si="9"/>
        <v>4018</v>
      </c>
    </row>
    <row r="284" spans="1:8" x14ac:dyDescent="0.25">
      <c r="A284" s="8">
        <v>43067.035092592596</v>
      </c>
      <c r="B284" t="s">
        <v>589</v>
      </c>
      <c r="C284" t="s">
        <v>817</v>
      </c>
      <c r="D284" s="137">
        <v>3220000</v>
      </c>
      <c r="E284" t="s">
        <v>376</v>
      </c>
      <c r="F284" s="20" t="s">
        <v>377</v>
      </c>
      <c r="G284" s="8" t="str">
        <f t="shared" si="8"/>
        <v>RESPASS AARON</v>
      </c>
      <c r="H284" s="20" t="str">
        <f t="shared" si="9"/>
        <v>4043</v>
      </c>
    </row>
    <row r="285" spans="1:8" x14ac:dyDescent="0.25">
      <c r="A285" s="8">
        <v>43067.0469212963</v>
      </c>
      <c r="B285" t="s">
        <v>380</v>
      </c>
      <c r="C285" t="s">
        <v>592</v>
      </c>
      <c r="D285" s="137">
        <v>890000</v>
      </c>
      <c r="E285" t="s">
        <v>345</v>
      </c>
      <c r="F285" s="20" t="s">
        <v>346</v>
      </c>
      <c r="G285" s="8" t="str">
        <f t="shared" si="8"/>
        <v>LOZA FIDEL</v>
      </c>
      <c r="H285" s="20" t="str">
        <f t="shared" si="9"/>
        <v>4022</v>
      </c>
    </row>
    <row r="286" spans="1:8" x14ac:dyDescent="0.25">
      <c r="A286" s="8">
        <v>43067.056122685186</v>
      </c>
      <c r="B286" t="s">
        <v>507</v>
      </c>
      <c r="C286" t="s">
        <v>818</v>
      </c>
      <c r="D286" s="137">
        <v>3040000</v>
      </c>
      <c r="E286" t="s">
        <v>367</v>
      </c>
      <c r="F286" s="20" t="s">
        <v>513</v>
      </c>
      <c r="G286" s="8" t="str">
        <f t="shared" si="8"/>
        <v>WILLIAMS DONTE</v>
      </c>
      <c r="H286" s="20" t="str">
        <f t="shared" si="9"/>
        <v>4025</v>
      </c>
    </row>
    <row r="287" spans="1:8" x14ac:dyDescent="0.25">
      <c r="A287" s="8">
        <v>43067.066620370373</v>
      </c>
      <c r="B287" t="s">
        <v>578</v>
      </c>
      <c r="C287" t="s">
        <v>819</v>
      </c>
      <c r="D287" s="137">
        <v>3220000</v>
      </c>
      <c r="E287" t="s">
        <v>376</v>
      </c>
      <c r="F287" s="20" t="s">
        <v>377</v>
      </c>
      <c r="G287" s="8" t="str">
        <f t="shared" si="8"/>
        <v>RESPASS AARON</v>
      </c>
      <c r="H287" s="20" t="str">
        <f t="shared" si="9"/>
        <v>4044</v>
      </c>
    </row>
    <row r="288" spans="1:8" x14ac:dyDescent="0.25">
      <c r="A288" s="8">
        <v>43067.08871527778</v>
      </c>
      <c r="B288" t="s">
        <v>509</v>
      </c>
      <c r="C288" t="s">
        <v>820</v>
      </c>
      <c r="D288" s="137">
        <v>3040000</v>
      </c>
      <c r="E288" t="s">
        <v>367</v>
      </c>
      <c r="F288" s="20" t="s">
        <v>513</v>
      </c>
      <c r="G288" s="8" t="str">
        <f t="shared" si="8"/>
        <v>WILLIAMS DONTE</v>
      </c>
      <c r="H288" s="20" t="str">
        <f t="shared" si="9"/>
        <v>4026</v>
      </c>
    </row>
    <row r="289" spans="1:8" x14ac:dyDescent="0.25">
      <c r="A289" s="8">
        <v>43039.891932870371</v>
      </c>
      <c r="B289" t="s">
        <v>366</v>
      </c>
      <c r="C289" t="s">
        <v>392</v>
      </c>
      <c r="D289" s="137">
        <v>2040000</v>
      </c>
      <c r="E289" t="s">
        <v>390</v>
      </c>
      <c r="F289" s="20" t="s">
        <v>391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381</v>
      </c>
      <c r="C290" t="s">
        <v>393</v>
      </c>
      <c r="D290" s="137">
        <v>2000000</v>
      </c>
      <c r="E290" t="s">
        <v>388</v>
      </c>
      <c r="F290" s="20" t="s">
        <v>389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368</v>
      </c>
      <c r="C291" t="s">
        <v>394</v>
      </c>
      <c r="D291" s="137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360</v>
      </c>
      <c r="C292" t="s">
        <v>395</v>
      </c>
      <c r="D292" s="137">
        <v>3500000</v>
      </c>
      <c r="E292" t="s">
        <v>374</v>
      </c>
      <c r="F292" s="20" t="s">
        <v>375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379</v>
      </c>
      <c r="C293" t="s">
        <v>396</v>
      </c>
      <c r="D293" s="137">
        <v>3220000</v>
      </c>
      <c r="E293" t="s">
        <v>376</v>
      </c>
      <c r="F293" s="20" t="s">
        <v>377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382</v>
      </c>
      <c r="C294" t="s">
        <v>383</v>
      </c>
      <c r="D294" s="137">
        <v>3670000</v>
      </c>
      <c r="E294" t="s">
        <v>378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365</v>
      </c>
      <c r="C295" t="s">
        <v>397</v>
      </c>
      <c r="D295" s="137">
        <v>2040000</v>
      </c>
      <c r="E295" t="s">
        <v>390</v>
      </c>
      <c r="F295" s="20" t="s">
        <v>391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381</v>
      </c>
      <c r="C296" t="s">
        <v>398</v>
      </c>
      <c r="D296" s="137">
        <v>3220000</v>
      </c>
      <c r="E296" t="s">
        <v>376</v>
      </c>
      <c r="F296" s="20" t="s">
        <v>377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357</v>
      </c>
      <c r="C297" t="s">
        <v>399</v>
      </c>
      <c r="D297" s="137">
        <v>3500000</v>
      </c>
      <c r="E297" t="s">
        <v>374</v>
      </c>
      <c r="F297" s="20" t="s">
        <v>375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369</v>
      </c>
      <c r="C298" t="s">
        <v>400</v>
      </c>
      <c r="D298" s="137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379</v>
      </c>
      <c r="C299" t="s">
        <v>401</v>
      </c>
      <c r="D299" s="137">
        <v>2000000</v>
      </c>
      <c r="E299" t="s">
        <v>388</v>
      </c>
      <c r="F299" s="20" t="s">
        <v>389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386</v>
      </c>
      <c r="C300" t="s">
        <v>402</v>
      </c>
      <c r="D300" s="137">
        <v>3670000</v>
      </c>
      <c r="E300" t="s">
        <v>378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366</v>
      </c>
      <c r="C301" t="s">
        <v>403</v>
      </c>
      <c r="D301" s="137">
        <v>2040000</v>
      </c>
      <c r="E301" t="s">
        <v>390</v>
      </c>
      <c r="F301" s="20" t="s">
        <v>391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381</v>
      </c>
      <c r="C302" t="s">
        <v>404</v>
      </c>
      <c r="D302" s="137">
        <v>2000000</v>
      </c>
      <c r="E302" t="s">
        <v>388</v>
      </c>
      <c r="F302" s="20" t="s">
        <v>389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360</v>
      </c>
      <c r="C303" t="s">
        <v>384</v>
      </c>
      <c r="D303" s="137">
        <v>3500000</v>
      </c>
      <c r="E303" t="s">
        <v>374</v>
      </c>
      <c r="F303" s="20" t="s">
        <v>375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368</v>
      </c>
      <c r="C304" t="s">
        <v>405</v>
      </c>
      <c r="D304" s="137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382</v>
      </c>
      <c r="C305" t="s">
        <v>406</v>
      </c>
      <c r="D305" s="137">
        <v>3670000</v>
      </c>
      <c r="E305" t="s">
        <v>378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365</v>
      </c>
      <c r="C306" t="s">
        <v>407</v>
      </c>
      <c r="D306" s="137">
        <v>2040000</v>
      </c>
      <c r="E306" t="s">
        <v>390</v>
      </c>
      <c r="F306" s="20" t="s">
        <v>391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357</v>
      </c>
      <c r="C307" t="s">
        <v>408</v>
      </c>
      <c r="D307" s="137">
        <v>3500000</v>
      </c>
      <c r="E307" t="s">
        <v>374</v>
      </c>
      <c r="F307" s="20" t="s">
        <v>375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369</v>
      </c>
      <c r="C308" t="s">
        <v>409</v>
      </c>
      <c r="D308" s="137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386</v>
      </c>
      <c r="C309" t="s">
        <v>410</v>
      </c>
      <c r="D309" s="137">
        <v>3670000</v>
      </c>
      <c r="E309" t="s">
        <v>378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366</v>
      </c>
      <c r="C310" t="s">
        <v>411</v>
      </c>
      <c r="D310" s="137">
        <v>2040000</v>
      </c>
      <c r="E310" t="s">
        <v>390</v>
      </c>
      <c r="F310" s="20" t="s">
        <v>391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368</v>
      </c>
      <c r="C311" t="s">
        <v>412</v>
      </c>
      <c r="D311" s="137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365</v>
      </c>
      <c r="C312" t="s">
        <v>413</v>
      </c>
      <c r="D312" s="137">
        <v>2040000</v>
      </c>
      <c r="E312" t="s">
        <v>390</v>
      </c>
      <c r="F312" s="20" t="s">
        <v>391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352</v>
      </c>
      <c r="C313" t="s">
        <v>364</v>
      </c>
      <c r="D313" s="137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821</v>
      </c>
      <c r="K1" s="217" t="s">
        <v>157</v>
      </c>
      <c r="L1" s="217" t="s">
        <v>155</v>
      </c>
      <c r="M1" s="217" t="s">
        <v>150</v>
      </c>
      <c r="N1" s="217" t="s">
        <v>160</v>
      </c>
      <c r="O1" s="217" t="s">
        <v>334</v>
      </c>
      <c r="P1" s="217" t="s">
        <v>154</v>
      </c>
      <c r="Q1" s="217" t="s">
        <v>161</v>
      </c>
      <c r="R1" s="217" t="s">
        <v>335</v>
      </c>
      <c r="S1" s="217" t="s">
        <v>158</v>
      </c>
      <c r="T1"/>
    </row>
    <row r="2" spans="1:20" x14ac:dyDescent="0.25">
      <c r="A2" s="195">
        <v>54.03</v>
      </c>
      <c r="B2" s="195">
        <v>0.09</v>
      </c>
      <c r="C2" s="195">
        <v>25.9</v>
      </c>
      <c r="D2" s="8">
        <v>43066</v>
      </c>
      <c r="E2" s="195">
        <v>0.33</v>
      </c>
      <c r="F2" s="195" t="s">
        <v>423</v>
      </c>
      <c r="G2" s="195">
        <v>223.05</v>
      </c>
      <c r="H2" s="195">
        <v>0</v>
      </c>
      <c r="I2" s="195">
        <v>0</v>
      </c>
      <c r="J2" s="195"/>
      <c r="K2" s="195">
        <v>1010.14</v>
      </c>
      <c r="L2" s="195" t="s">
        <v>422</v>
      </c>
      <c r="M2" s="195">
        <v>54.03</v>
      </c>
      <c r="N2" s="195">
        <v>1511766000</v>
      </c>
      <c r="O2" s="195">
        <v>0</v>
      </c>
      <c r="P2" s="195">
        <v>2.85</v>
      </c>
      <c r="Q2" s="195">
        <v>221</v>
      </c>
      <c r="R2" s="195">
        <v>3.98</v>
      </c>
      <c r="S2" s="195">
        <v>1.51</v>
      </c>
      <c r="T2"/>
    </row>
    <row r="3" spans="1:20" x14ac:dyDescent="0.25">
      <c r="A3" s="195">
        <v>53.16</v>
      </c>
      <c r="B3" s="195">
        <v>0.11</v>
      </c>
      <c r="C3" s="195">
        <v>25.54</v>
      </c>
      <c r="D3" s="8">
        <v>43066.041666666664</v>
      </c>
      <c r="E3" s="195">
        <v>0.34</v>
      </c>
      <c r="F3" s="195" t="s">
        <v>423</v>
      </c>
      <c r="G3" s="195">
        <v>223.2</v>
      </c>
      <c r="H3" s="195">
        <v>0</v>
      </c>
      <c r="I3" s="195">
        <v>0</v>
      </c>
      <c r="J3" s="195"/>
      <c r="K3" s="195">
        <v>1009.43</v>
      </c>
      <c r="L3" s="195" t="s">
        <v>422</v>
      </c>
      <c r="M3" s="195">
        <v>53.16</v>
      </c>
      <c r="N3" s="195">
        <v>1511769600</v>
      </c>
      <c r="O3" s="195">
        <v>0</v>
      </c>
      <c r="P3" s="195">
        <v>2.91</v>
      </c>
      <c r="Q3" s="195">
        <v>220</v>
      </c>
      <c r="R3" s="195">
        <v>4.1500000000000004</v>
      </c>
      <c r="S3" s="195">
        <v>1.76</v>
      </c>
      <c r="T3"/>
    </row>
    <row r="4" spans="1:20" x14ac:dyDescent="0.25">
      <c r="A4" s="195">
        <v>54.5</v>
      </c>
      <c r="B4" s="195">
        <v>7.0000000000000007E-2</v>
      </c>
      <c r="C4" s="195">
        <v>24.22</v>
      </c>
      <c r="D4" s="8">
        <v>43066.083333333336</v>
      </c>
      <c r="E4" s="195">
        <v>0.31</v>
      </c>
      <c r="F4" s="195" t="s">
        <v>423</v>
      </c>
      <c r="G4" s="195">
        <v>223.21</v>
      </c>
      <c r="H4" s="195">
        <v>0</v>
      </c>
      <c r="I4" s="195">
        <v>0</v>
      </c>
      <c r="J4" s="195"/>
      <c r="K4" s="195">
        <v>1009.32</v>
      </c>
      <c r="L4" s="195" t="s">
        <v>422</v>
      </c>
      <c r="M4" s="195">
        <v>54.5</v>
      </c>
      <c r="N4" s="195">
        <v>1511773200</v>
      </c>
      <c r="O4" s="195">
        <v>0</v>
      </c>
      <c r="P4" s="195">
        <v>4.75</v>
      </c>
      <c r="Q4" s="195">
        <v>220</v>
      </c>
      <c r="R4" s="195">
        <v>5.24</v>
      </c>
      <c r="S4" s="195">
        <v>2.56</v>
      </c>
      <c r="T4"/>
    </row>
    <row r="5" spans="1:20" x14ac:dyDescent="0.25">
      <c r="A5" s="195">
        <v>50.98</v>
      </c>
      <c r="B5" s="195">
        <v>0.09</v>
      </c>
      <c r="C5" s="195">
        <v>23.53</v>
      </c>
      <c r="D5" s="8">
        <v>43066.125</v>
      </c>
      <c r="E5" s="195">
        <v>0.34</v>
      </c>
      <c r="F5" s="195" t="s">
        <v>423</v>
      </c>
      <c r="G5" s="195">
        <v>222.76</v>
      </c>
      <c r="H5" s="195">
        <v>0</v>
      </c>
      <c r="I5" s="195">
        <v>0</v>
      </c>
      <c r="J5" s="195"/>
      <c r="K5" s="195">
        <v>1009.74</v>
      </c>
      <c r="L5" s="195" t="s">
        <v>422</v>
      </c>
      <c r="M5" s="195">
        <v>50.98</v>
      </c>
      <c r="N5" s="195">
        <v>1511776800</v>
      </c>
      <c r="O5" s="195">
        <v>0</v>
      </c>
      <c r="P5" s="195">
        <v>3.03</v>
      </c>
      <c r="Q5" s="195">
        <v>216</v>
      </c>
      <c r="R5" s="195">
        <v>4.47</v>
      </c>
      <c r="S5" s="195">
        <v>2.4300000000000002</v>
      </c>
      <c r="T5"/>
    </row>
    <row r="6" spans="1:20" x14ac:dyDescent="0.25">
      <c r="A6" s="195">
        <v>50.88</v>
      </c>
      <c r="B6" s="195">
        <v>0.08</v>
      </c>
      <c r="C6" s="195">
        <v>22.27</v>
      </c>
      <c r="D6" s="8">
        <v>43066.166666666664</v>
      </c>
      <c r="E6" s="195">
        <v>0.32</v>
      </c>
      <c r="F6" s="195" t="s">
        <v>423</v>
      </c>
      <c r="G6" s="195">
        <v>222.16</v>
      </c>
      <c r="H6" s="195">
        <v>0</v>
      </c>
      <c r="I6" s="195">
        <v>0</v>
      </c>
      <c r="J6" s="195"/>
      <c r="K6" s="195">
        <v>1008.62</v>
      </c>
      <c r="L6" s="195" t="s">
        <v>422</v>
      </c>
      <c r="M6" s="195">
        <v>50.88</v>
      </c>
      <c r="N6" s="195">
        <v>1511780400</v>
      </c>
      <c r="O6" s="195">
        <v>0</v>
      </c>
      <c r="P6" s="195">
        <v>2.94</v>
      </c>
      <c r="Q6" s="195">
        <v>198</v>
      </c>
      <c r="R6" s="195">
        <v>5.27</v>
      </c>
      <c r="S6" s="195">
        <v>2.75</v>
      </c>
      <c r="T6"/>
    </row>
    <row r="7" spans="1:20" x14ac:dyDescent="0.25">
      <c r="A7" s="195">
        <v>49.84</v>
      </c>
      <c r="B7" s="195">
        <v>0.12</v>
      </c>
      <c r="C7" s="195">
        <v>21.2</v>
      </c>
      <c r="D7" s="8">
        <v>43066.208333333336</v>
      </c>
      <c r="E7" s="195">
        <v>0.32</v>
      </c>
      <c r="F7" s="195" t="s">
        <v>423</v>
      </c>
      <c r="G7" s="195">
        <v>222.01</v>
      </c>
      <c r="H7" s="195">
        <v>0</v>
      </c>
      <c r="I7" s="195">
        <v>0</v>
      </c>
      <c r="J7" s="195"/>
      <c r="K7" s="195">
        <v>1008.29</v>
      </c>
      <c r="L7" s="195" t="s">
        <v>422</v>
      </c>
      <c r="M7" s="195">
        <v>49.84</v>
      </c>
      <c r="N7" s="195">
        <v>1511784000</v>
      </c>
      <c r="O7" s="195">
        <v>0</v>
      </c>
      <c r="P7" s="195">
        <v>2.56</v>
      </c>
      <c r="Q7" s="195">
        <v>195</v>
      </c>
      <c r="R7" s="195">
        <v>5.32</v>
      </c>
      <c r="S7" s="195">
        <v>2.54</v>
      </c>
      <c r="T7"/>
    </row>
    <row r="8" spans="1:20" x14ac:dyDescent="0.25">
      <c r="A8" s="195">
        <v>49.69</v>
      </c>
      <c r="B8" s="195">
        <v>0.17</v>
      </c>
      <c r="C8" s="195">
        <v>20.3</v>
      </c>
      <c r="D8" s="8">
        <v>43066.25</v>
      </c>
      <c r="E8" s="195">
        <v>0.31</v>
      </c>
      <c r="F8" s="195" t="s">
        <v>423</v>
      </c>
      <c r="G8" s="195">
        <v>222.16</v>
      </c>
      <c r="H8" s="195">
        <v>0</v>
      </c>
      <c r="I8" s="195">
        <v>0</v>
      </c>
      <c r="J8" s="195"/>
      <c r="K8" s="195">
        <v>1008.2</v>
      </c>
      <c r="L8" s="195" t="s">
        <v>422</v>
      </c>
      <c r="M8" s="195">
        <v>49.69</v>
      </c>
      <c r="N8" s="195">
        <v>1511787600</v>
      </c>
      <c r="O8" s="195">
        <v>0</v>
      </c>
      <c r="P8" s="195">
        <v>3.35</v>
      </c>
      <c r="Q8" s="195">
        <v>201</v>
      </c>
      <c r="R8" s="195">
        <v>4.2699999999999996</v>
      </c>
      <c r="S8" s="195">
        <v>2.4300000000000002</v>
      </c>
      <c r="T8"/>
    </row>
    <row r="9" spans="1:20" x14ac:dyDescent="0.25">
      <c r="A9" s="195">
        <v>47.79</v>
      </c>
      <c r="B9" s="195">
        <v>0.15</v>
      </c>
      <c r="C9" s="195">
        <v>19.16</v>
      </c>
      <c r="D9" s="8">
        <v>43066.291666666664</v>
      </c>
      <c r="E9" s="195">
        <v>0.32</v>
      </c>
      <c r="F9" s="195" t="s">
        <v>423</v>
      </c>
      <c r="G9" s="195">
        <v>222.47</v>
      </c>
      <c r="H9" s="195">
        <v>0</v>
      </c>
      <c r="I9" s="195">
        <v>0</v>
      </c>
      <c r="J9" s="195"/>
      <c r="K9" s="195">
        <v>1009.22</v>
      </c>
      <c r="L9" s="195" t="s">
        <v>422</v>
      </c>
      <c r="M9" s="195">
        <v>47.79</v>
      </c>
      <c r="N9" s="195">
        <v>1511791200</v>
      </c>
      <c r="O9" s="195">
        <v>0</v>
      </c>
      <c r="P9" s="195">
        <v>3.14</v>
      </c>
      <c r="Q9" s="195">
        <v>217</v>
      </c>
      <c r="R9" s="195">
        <v>6.3</v>
      </c>
      <c r="S9" s="195">
        <v>1.54</v>
      </c>
      <c r="T9"/>
    </row>
    <row r="10" spans="1:20" x14ac:dyDescent="0.25">
      <c r="A10" s="195">
        <v>51.22</v>
      </c>
      <c r="B10" s="195">
        <v>0.16</v>
      </c>
      <c r="C10" s="195">
        <v>19.91</v>
      </c>
      <c r="D10" s="8">
        <v>43066.333333333336</v>
      </c>
      <c r="E10" s="195">
        <v>0.28999999999999998</v>
      </c>
      <c r="F10" s="195" t="s">
        <v>525</v>
      </c>
      <c r="G10" s="195">
        <v>222.76</v>
      </c>
      <c r="H10" s="195">
        <v>0</v>
      </c>
      <c r="I10" s="195">
        <v>0</v>
      </c>
      <c r="J10" s="195"/>
      <c r="K10" s="195">
        <v>1007.26</v>
      </c>
      <c r="L10" s="195" t="s">
        <v>422</v>
      </c>
      <c r="M10" s="195">
        <v>51.22</v>
      </c>
      <c r="N10" s="195">
        <v>1511794800</v>
      </c>
      <c r="O10" s="195">
        <v>1</v>
      </c>
      <c r="P10" s="195">
        <v>3.55</v>
      </c>
      <c r="Q10" s="195">
        <v>205</v>
      </c>
      <c r="R10" s="195">
        <v>5.86</v>
      </c>
      <c r="S10" s="195">
        <v>2.25</v>
      </c>
      <c r="T10"/>
    </row>
    <row r="11" spans="1:20" x14ac:dyDescent="0.25">
      <c r="A11" s="195">
        <v>58.57</v>
      </c>
      <c r="B11" s="195">
        <v>7.0000000000000007E-2</v>
      </c>
      <c r="C11" s="195">
        <v>21.11</v>
      </c>
      <c r="D11" s="8">
        <v>43066.375</v>
      </c>
      <c r="E11" s="195">
        <v>0.23</v>
      </c>
      <c r="F11" s="195" t="s">
        <v>525</v>
      </c>
      <c r="G11" s="195">
        <v>222.92</v>
      </c>
      <c r="H11" s="195">
        <v>0</v>
      </c>
      <c r="I11" s="195">
        <v>0</v>
      </c>
      <c r="J11" s="195"/>
      <c r="K11" s="195">
        <v>1005.39</v>
      </c>
      <c r="L11" s="195" t="s">
        <v>422</v>
      </c>
      <c r="M11" s="195">
        <v>58.57</v>
      </c>
      <c r="N11" s="195">
        <v>1511798400</v>
      </c>
      <c r="O11" s="195">
        <v>1</v>
      </c>
      <c r="P11" s="195">
        <v>3.06</v>
      </c>
      <c r="Q11" s="195">
        <v>196</v>
      </c>
      <c r="R11" s="195">
        <v>6.46</v>
      </c>
      <c r="S11" s="195">
        <v>2.15</v>
      </c>
      <c r="T11"/>
    </row>
    <row r="12" spans="1:20" x14ac:dyDescent="0.25">
      <c r="A12" s="195">
        <v>65.849999999999994</v>
      </c>
      <c r="B12" s="195">
        <v>0.04</v>
      </c>
      <c r="C12" s="195">
        <v>20.13</v>
      </c>
      <c r="D12" s="8">
        <v>43066.416666666664</v>
      </c>
      <c r="E12" s="195">
        <v>0.17</v>
      </c>
      <c r="F12" s="195" t="s">
        <v>525</v>
      </c>
      <c r="G12" s="195">
        <v>223.07</v>
      </c>
      <c r="H12" s="195">
        <v>0</v>
      </c>
      <c r="I12" s="195">
        <v>0</v>
      </c>
      <c r="J12" s="195"/>
      <c r="K12" s="195">
        <v>1004.35</v>
      </c>
      <c r="L12" s="195" t="s">
        <v>422</v>
      </c>
      <c r="M12" s="195">
        <v>65.849999999999994</v>
      </c>
      <c r="N12" s="195">
        <v>1511802000</v>
      </c>
      <c r="O12" s="195">
        <v>2</v>
      </c>
      <c r="P12" s="195">
        <v>3.2</v>
      </c>
      <c r="Q12" s="195">
        <v>191</v>
      </c>
      <c r="R12" s="195">
        <v>9.3800000000000008</v>
      </c>
      <c r="S12" s="195">
        <v>3.1</v>
      </c>
      <c r="T12"/>
    </row>
    <row r="13" spans="1:20" x14ac:dyDescent="0.25">
      <c r="A13" s="195">
        <v>69.69</v>
      </c>
      <c r="B13" s="195">
        <v>0.05</v>
      </c>
      <c r="C13" s="195">
        <v>18.559999999999999</v>
      </c>
      <c r="D13" s="8">
        <v>43066.458333333336</v>
      </c>
      <c r="E13" s="195">
        <v>0.14000000000000001</v>
      </c>
      <c r="F13" s="195" t="s">
        <v>525</v>
      </c>
      <c r="G13" s="195">
        <v>223.07</v>
      </c>
      <c r="H13" s="195">
        <v>0</v>
      </c>
      <c r="I13" s="195">
        <v>0</v>
      </c>
      <c r="J13" s="195"/>
      <c r="K13" s="195">
        <v>1001.48</v>
      </c>
      <c r="L13" s="195" t="s">
        <v>422</v>
      </c>
      <c r="M13" s="195">
        <v>69.69</v>
      </c>
      <c r="N13" s="195">
        <v>1511805600</v>
      </c>
      <c r="O13" s="195">
        <v>3</v>
      </c>
      <c r="P13" s="195">
        <v>4.25</v>
      </c>
      <c r="Q13" s="195">
        <v>178</v>
      </c>
      <c r="R13" s="195">
        <v>11.74</v>
      </c>
      <c r="S13" s="195">
        <v>4.3499999999999996</v>
      </c>
      <c r="T13"/>
    </row>
    <row r="14" spans="1:20" x14ac:dyDescent="0.25">
      <c r="A14" s="195">
        <v>73.78</v>
      </c>
      <c r="B14" s="195">
        <v>0.12</v>
      </c>
      <c r="C14" s="195">
        <v>16.760000000000002</v>
      </c>
      <c r="D14" s="8">
        <v>43066.5</v>
      </c>
      <c r="E14" s="195">
        <v>0.11</v>
      </c>
      <c r="F14" s="195" t="s">
        <v>525</v>
      </c>
      <c r="G14" s="195">
        <v>223.67</v>
      </c>
      <c r="H14" s="195">
        <v>0</v>
      </c>
      <c r="I14" s="195">
        <v>0</v>
      </c>
      <c r="J14" s="195"/>
      <c r="K14" s="195">
        <v>999.39</v>
      </c>
      <c r="L14" s="195" t="s">
        <v>422</v>
      </c>
      <c r="M14" s="195">
        <v>73.78</v>
      </c>
      <c r="N14" s="195">
        <v>1511809200</v>
      </c>
      <c r="O14" s="195">
        <v>3</v>
      </c>
      <c r="P14" s="195">
        <v>4.28</v>
      </c>
      <c r="Q14" s="195">
        <v>172</v>
      </c>
      <c r="R14" s="195">
        <v>10.82</v>
      </c>
      <c r="S14" s="195">
        <v>3.78</v>
      </c>
      <c r="T14"/>
    </row>
    <row r="15" spans="1:20" x14ac:dyDescent="0.25">
      <c r="A15" s="195">
        <v>75.650000000000006</v>
      </c>
      <c r="B15" s="195">
        <v>0.06</v>
      </c>
      <c r="C15" s="195">
        <v>14.54</v>
      </c>
      <c r="D15" s="8">
        <v>43066.541666666664</v>
      </c>
      <c r="E15" s="195">
        <v>0.1</v>
      </c>
      <c r="F15" s="195" t="s">
        <v>525</v>
      </c>
      <c r="G15" s="195">
        <v>224.56</v>
      </c>
      <c r="H15" s="195">
        <v>0</v>
      </c>
      <c r="I15" s="195">
        <v>0</v>
      </c>
      <c r="J15" s="195"/>
      <c r="K15" s="195">
        <v>998.67</v>
      </c>
      <c r="L15" s="195" t="s">
        <v>422</v>
      </c>
      <c r="M15" s="195">
        <v>75.650000000000006</v>
      </c>
      <c r="N15" s="195">
        <v>1511812800</v>
      </c>
      <c r="O15" s="195">
        <v>2</v>
      </c>
      <c r="P15" s="195">
        <v>4.32</v>
      </c>
      <c r="Q15" s="195">
        <v>172</v>
      </c>
      <c r="R15" s="195">
        <v>11.12</v>
      </c>
      <c r="S15" s="195">
        <v>3.28</v>
      </c>
      <c r="T15"/>
    </row>
    <row r="16" spans="1:20" x14ac:dyDescent="0.25">
      <c r="A16" s="195">
        <v>76</v>
      </c>
      <c r="B16" s="195">
        <v>0.06</v>
      </c>
      <c r="C16" s="195">
        <v>14.58</v>
      </c>
      <c r="D16" s="8">
        <v>43066.583333333336</v>
      </c>
      <c r="E16" s="195">
        <v>0.1</v>
      </c>
      <c r="F16" s="195" t="s">
        <v>525</v>
      </c>
      <c r="G16" s="195">
        <v>225.16</v>
      </c>
      <c r="H16" s="195">
        <v>0</v>
      </c>
      <c r="I16" s="195">
        <v>0</v>
      </c>
      <c r="J16" s="195"/>
      <c r="K16" s="195">
        <v>997.78</v>
      </c>
      <c r="L16" s="195" t="s">
        <v>422</v>
      </c>
      <c r="M16" s="195">
        <v>76</v>
      </c>
      <c r="N16" s="195">
        <v>1511816400</v>
      </c>
      <c r="O16" s="195">
        <v>2</v>
      </c>
      <c r="P16" s="195">
        <v>4.47</v>
      </c>
      <c r="Q16" s="195">
        <v>237</v>
      </c>
      <c r="R16" s="195">
        <v>9.76</v>
      </c>
      <c r="S16" s="195">
        <v>1.39</v>
      </c>
      <c r="T16"/>
    </row>
    <row r="17" spans="1:20" x14ac:dyDescent="0.25">
      <c r="A17" s="195">
        <v>73.739999999999995</v>
      </c>
      <c r="B17" s="195">
        <v>7.0000000000000007E-2</v>
      </c>
      <c r="C17" s="195">
        <v>16.14</v>
      </c>
      <c r="D17" s="8">
        <v>43066.625</v>
      </c>
      <c r="E17" s="195">
        <v>0.11</v>
      </c>
      <c r="F17" s="195" t="s">
        <v>525</v>
      </c>
      <c r="G17" s="195">
        <v>225.6</v>
      </c>
      <c r="H17" s="195">
        <v>0</v>
      </c>
      <c r="I17" s="195">
        <v>0</v>
      </c>
      <c r="J17" s="195"/>
      <c r="K17" s="195">
        <v>997.52</v>
      </c>
      <c r="L17" s="195" t="s">
        <v>422</v>
      </c>
      <c r="M17" s="195">
        <v>73.739999999999995</v>
      </c>
      <c r="N17" s="195">
        <v>1511820000</v>
      </c>
      <c r="O17" s="195">
        <v>1</v>
      </c>
      <c r="P17" s="195">
        <v>4.47</v>
      </c>
      <c r="Q17" s="195">
        <v>320</v>
      </c>
      <c r="R17" s="195">
        <v>11.01</v>
      </c>
      <c r="S17" s="195">
        <v>2.1</v>
      </c>
      <c r="T17"/>
    </row>
    <row r="18" spans="1:20" x14ac:dyDescent="0.25">
      <c r="A18" s="195">
        <v>70.97</v>
      </c>
      <c r="B18" s="195">
        <v>0.08</v>
      </c>
      <c r="C18" s="195">
        <v>15.94</v>
      </c>
      <c r="D18" s="8">
        <v>43066.666666666664</v>
      </c>
      <c r="E18" s="195">
        <v>0.12</v>
      </c>
      <c r="F18" s="195" t="s">
        <v>525</v>
      </c>
      <c r="G18" s="195">
        <v>225.76</v>
      </c>
      <c r="H18" s="195">
        <v>0</v>
      </c>
      <c r="I18" s="195">
        <v>0</v>
      </c>
      <c r="J18" s="195"/>
      <c r="K18" s="195">
        <v>998.63</v>
      </c>
      <c r="L18" s="195" t="s">
        <v>422</v>
      </c>
      <c r="M18" s="195">
        <v>70.97</v>
      </c>
      <c r="N18" s="195">
        <v>1511823600</v>
      </c>
      <c r="O18" s="195">
        <v>1</v>
      </c>
      <c r="P18" s="195">
        <v>4.3</v>
      </c>
      <c r="Q18" s="195">
        <v>329</v>
      </c>
      <c r="R18" s="195">
        <v>8.25</v>
      </c>
      <c r="S18" s="195">
        <v>2.1800000000000002</v>
      </c>
      <c r="T18"/>
    </row>
    <row r="19" spans="1:20" x14ac:dyDescent="0.25">
      <c r="A19" s="195">
        <v>66.040000000000006</v>
      </c>
      <c r="B19" s="195">
        <v>0.11</v>
      </c>
      <c r="C19" s="195">
        <v>16.010000000000002</v>
      </c>
      <c r="D19" s="8">
        <v>43066.708333333336</v>
      </c>
      <c r="E19" s="195">
        <v>0.14000000000000001</v>
      </c>
      <c r="F19" s="195" t="s">
        <v>423</v>
      </c>
      <c r="G19" s="195">
        <v>228.26</v>
      </c>
      <c r="H19" s="195">
        <v>0</v>
      </c>
      <c r="I19" s="195">
        <v>0</v>
      </c>
      <c r="J19" s="195"/>
      <c r="K19" s="195">
        <v>999.67</v>
      </c>
      <c r="L19" s="195" t="s">
        <v>422</v>
      </c>
      <c r="M19" s="195">
        <v>66.040000000000006</v>
      </c>
      <c r="N19" s="195">
        <v>1511827200</v>
      </c>
      <c r="O19" s="195">
        <v>0</v>
      </c>
      <c r="P19" s="195">
        <v>4.47</v>
      </c>
      <c r="Q19" s="195">
        <v>312</v>
      </c>
      <c r="R19" s="195">
        <v>7.44</v>
      </c>
      <c r="S19" s="195">
        <v>1.03</v>
      </c>
      <c r="T19"/>
    </row>
    <row r="20" spans="1:20" x14ac:dyDescent="0.25">
      <c r="A20" s="195">
        <v>62.98</v>
      </c>
      <c r="B20" s="195">
        <v>0.13</v>
      </c>
      <c r="C20" s="195">
        <v>16.72</v>
      </c>
      <c r="D20" s="8">
        <v>43066.75</v>
      </c>
      <c r="E20" s="195">
        <v>0.16</v>
      </c>
      <c r="F20" s="195" t="s">
        <v>423</v>
      </c>
      <c r="G20" s="195">
        <v>229.86</v>
      </c>
      <c r="H20" s="195">
        <v>0</v>
      </c>
      <c r="I20" s="195">
        <v>0</v>
      </c>
      <c r="J20" s="195"/>
      <c r="K20" s="195">
        <v>1000.87</v>
      </c>
      <c r="L20" s="195" t="s">
        <v>422</v>
      </c>
      <c r="M20" s="195">
        <v>62.98</v>
      </c>
      <c r="N20" s="195">
        <v>1511830800</v>
      </c>
      <c r="O20" s="195">
        <v>0</v>
      </c>
      <c r="P20" s="195">
        <v>3.67</v>
      </c>
      <c r="Q20" s="195">
        <v>260</v>
      </c>
      <c r="R20" s="195">
        <v>6.63</v>
      </c>
      <c r="S20" s="195">
        <v>1.31</v>
      </c>
      <c r="T20"/>
    </row>
    <row r="21" spans="1:20" x14ac:dyDescent="0.25">
      <c r="A21" s="195">
        <v>59.44</v>
      </c>
      <c r="B21" s="195">
        <v>0.13</v>
      </c>
      <c r="C21" s="195">
        <v>17.3</v>
      </c>
      <c r="D21" s="8">
        <v>43066.791666666664</v>
      </c>
      <c r="E21" s="195">
        <v>0.19</v>
      </c>
      <c r="F21" s="195" t="s">
        <v>423</v>
      </c>
      <c r="G21" s="195">
        <v>231.46</v>
      </c>
      <c r="H21" s="195">
        <v>0</v>
      </c>
      <c r="I21" s="195">
        <v>0</v>
      </c>
      <c r="J21" s="195"/>
      <c r="K21" s="195">
        <v>1001.82</v>
      </c>
      <c r="L21" s="195" t="s">
        <v>422</v>
      </c>
      <c r="M21" s="195">
        <v>59.44</v>
      </c>
      <c r="N21" s="195">
        <v>1511834400</v>
      </c>
      <c r="O21" s="195">
        <v>0</v>
      </c>
      <c r="P21" s="195">
        <v>3.84</v>
      </c>
      <c r="Q21" s="195">
        <v>234</v>
      </c>
      <c r="R21" s="195">
        <v>6.31</v>
      </c>
      <c r="S21" s="195">
        <v>1.92</v>
      </c>
      <c r="T21"/>
    </row>
    <row r="22" spans="1:20" x14ac:dyDescent="0.25">
      <c r="A22" s="195">
        <v>55.06</v>
      </c>
      <c r="B22" s="195">
        <v>0.13</v>
      </c>
      <c r="C22" s="195">
        <v>17.53</v>
      </c>
      <c r="D22" s="8">
        <v>43066.833333333336</v>
      </c>
      <c r="E22" s="195">
        <v>0.23</v>
      </c>
      <c r="F22" s="195" t="s">
        <v>423</v>
      </c>
      <c r="G22" s="195">
        <v>233.76</v>
      </c>
      <c r="H22" s="195">
        <v>0</v>
      </c>
      <c r="I22" s="195">
        <v>0</v>
      </c>
      <c r="J22" s="195"/>
      <c r="K22" s="195">
        <v>1002.59</v>
      </c>
      <c r="L22" s="195" t="s">
        <v>422</v>
      </c>
      <c r="M22" s="195">
        <v>55.06</v>
      </c>
      <c r="N22" s="195">
        <v>1511838000</v>
      </c>
      <c r="O22" s="195">
        <v>0</v>
      </c>
      <c r="P22" s="195">
        <v>3.95</v>
      </c>
      <c r="Q22" s="195">
        <v>226</v>
      </c>
      <c r="R22" s="195">
        <v>4.75</v>
      </c>
      <c r="S22" s="195">
        <v>1.53</v>
      </c>
      <c r="T22"/>
    </row>
    <row r="23" spans="1:20" x14ac:dyDescent="0.25">
      <c r="A23" s="195">
        <v>53.38</v>
      </c>
      <c r="B23" s="195">
        <v>0.08</v>
      </c>
      <c r="C23" s="195">
        <v>17.13</v>
      </c>
      <c r="D23" s="8">
        <v>43066.875</v>
      </c>
      <c r="E23" s="195">
        <v>0.24</v>
      </c>
      <c r="F23" s="195" t="s">
        <v>423</v>
      </c>
      <c r="G23" s="195">
        <v>236.61</v>
      </c>
      <c r="H23" s="195">
        <v>0</v>
      </c>
      <c r="I23" s="195">
        <v>0</v>
      </c>
      <c r="J23" s="195"/>
      <c r="K23" s="195">
        <v>1002.68</v>
      </c>
      <c r="L23" s="195" t="s">
        <v>422</v>
      </c>
      <c r="M23" s="195">
        <v>53.38</v>
      </c>
      <c r="N23" s="195">
        <v>1511841600</v>
      </c>
      <c r="O23" s="195">
        <v>0</v>
      </c>
      <c r="P23" s="195">
        <v>3.34</v>
      </c>
      <c r="Q23" s="195">
        <v>211</v>
      </c>
      <c r="R23" s="195">
        <v>4.6399999999999997</v>
      </c>
      <c r="S23" s="195">
        <v>1.87</v>
      </c>
      <c r="T23"/>
    </row>
    <row r="24" spans="1:20" x14ac:dyDescent="0.25">
      <c r="A24" s="195">
        <v>51.15</v>
      </c>
      <c r="B24" s="195">
        <v>0.05</v>
      </c>
      <c r="C24" s="195">
        <v>16.63</v>
      </c>
      <c r="D24" s="8">
        <v>43066.916666666664</v>
      </c>
      <c r="E24" s="195">
        <v>0.25</v>
      </c>
      <c r="F24" s="195" t="s">
        <v>423</v>
      </c>
      <c r="G24" s="195">
        <v>239.99</v>
      </c>
      <c r="H24" s="195">
        <v>0</v>
      </c>
      <c r="I24" s="195">
        <v>0</v>
      </c>
      <c r="J24" s="195"/>
      <c r="K24" s="195">
        <v>1002.94</v>
      </c>
      <c r="L24" s="195" t="s">
        <v>422</v>
      </c>
      <c r="M24" s="195">
        <v>51.15</v>
      </c>
      <c r="N24" s="195">
        <v>1511845200</v>
      </c>
      <c r="O24" s="195">
        <v>0</v>
      </c>
      <c r="P24" s="195">
        <v>3.16</v>
      </c>
      <c r="Q24" s="195">
        <v>238</v>
      </c>
      <c r="R24" s="195">
        <v>3.54</v>
      </c>
      <c r="S24" s="195">
        <v>0.54</v>
      </c>
      <c r="T24"/>
    </row>
    <row r="25" spans="1:20" x14ac:dyDescent="0.25">
      <c r="A25" s="195">
        <v>47.58</v>
      </c>
      <c r="B25" s="195">
        <v>0.06</v>
      </c>
      <c r="C25" s="195">
        <v>18.489999999999998</v>
      </c>
      <c r="D25" s="8">
        <v>43066.958333333336</v>
      </c>
      <c r="E25" s="195">
        <v>0.31</v>
      </c>
      <c r="F25" s="195" t="s">
        <v>423</v>
      </c>
      <c r="G25" s="195">
        <v>243.18</v>
      </c>
      <c r="H25" s="195">
        <v>0</v>
      </c>
      <c r="I25" s="195">
        <v>0</v>
      </c>
      <c r="J25" s="195"/>
      <c r="K25" s="195">
        <v>1004.6</v>
      </c>
      <c r="L25" s="195" t="s">
        <v>422</v>
      </c>
      <c r="M25" s="195">
        <v>47.58</v>
      </c>
      <c r="N25" s="195">
        <v>1511848800</v>
      </c>
      <c r="O25" s="195">
        <v>0</v>
      </c>
      <c r="P25" s="195">
        <v>3.05</v>
      </c>
      <c r="Q25" s="195">
        <v>58</v>
      </c>
      <c r="R25" s="195">
        <v>5.49</v>
      </c>
      <c r="S25" s="195">
        <v>0.69</v>
      </c>
      <c r="T25"/>
    </row>
    <row r="26" spans="1:20" x14ac:dyDescent="0.25">
      <c r="A26" s="195">
        <v>37.450000000000003</v>
      </c>
      <c r="B26" s="195">
        <v>0.06</v>
      </c>
      <c r="C26" s="195">
        <v>28.41</v>
      </c>
      <c r="D26" s="8">
        <v>43067</v>
      </c>
      <c r="E26" s="195">
        <v>0.59</v>
      </c>
      <c r="F26" s="195" t="s">
        <v>423</v>
      </c>
      <c r="G26" s="195">
        <v>246.86</v>
      </c>
      <c r="H26" s="195">
        <v>0</v>
      </c>
      <c r="I26" s="195">
        <v>0</v>
      </c>
      <c r="J26" s="195"/>
      <c r="K26" s="195">
        <v>1006.65</v>
      </c>
      <c r="L26" s="195" t="s">
        <v>422</v>
      </c>
      <c r="M26" s="195">
        <v>41.64</v>
      </c>
      <c r="N26" s="195">
        <v>1511852400</v>
      </c>
      <c r="O26" s="195">
        <v>0</v>
      </c>
      <c r="P26" s="195">
        <v>3.42</v>
      </c>
      <c r="Q26" s="195">
        <v>21</v>
      </c>
      <c r="R26" s="195">
        <v>17.11</v>
      </c>
      <c r="S26" s="195">
        <v>6.44</v>
      </c>
      <c r="T26"/>
    </row>
    <row r="27" spans="1:20" x14ac:dyDescent="0.25">
      <c r="A27" s="195">
        <v>36.25</v>
      </c>
      <c r="B27" s="195">
        <v>0.6</v>
      </c>
      <c r="C27" s="195">
        <v>30.48</v>
      </c>
      <c r="D27" s="8">
        <v>43067.041666666664</v>
      </c>
      <c r="E27" s="195">
        <v>0.71</v>
      </c>
      <c r="F27" s="195" t="s">
        <v>822</v>
      </c>
      <c r="G27" s="195">
        <v>250.35</v>
      </c>
      <c r="H27" s="195">
        <v>0</v>
      </c>
      <c r="I27" s="195">
        <v>0</v>
      </c>
      <c r="J27" s="195"/>
      <c r="K27" s="195">
        <v>1009.91</v>
      </c>
      <c r="L27" s="195" t="s">
        <v>823</v>
      </c>
      <c r="M27" s="195">
        <v>39.18</v>
      </c>
      <c r="N27" s="195">
        <v>1511856000</v>
      </c>
      <c r="O27" s="195">
        <v>0</v>
      </c>
      <c r="P27" s="195">
        <v>3.35</v>
      </c>
      <c r="Q27" s="195">
        <v>3</v>
      </c>
      <c r="R27" s="195">
        <v>9.82</v>
      </c>
      <c r="S27" s="195">
        <v>4.12</v>
      </c>
      <c r="T27"/>
    </row>
    <row r="28" spans="1:20" x14ac:dyDescent="0.25">
      <c r="A28" s="195">
        <v>36.020000000000003</v>
      </c>
      <c r="B28" s="195">
        <v>0.96</v>
      </c>
      <c r="C28" s="195">
        <v>29.94</v>
      </c>
      <c r="D28" s="8">
        <v>43067.083333333336</v>
      </c>
      <c r="E28" s="195">
        <v>0.71</v>
      </c>
      <c r="F28" s="195" t="s">
        <v>824</v>
      </c>
      <c r="G28" s="195">
        <v>252.74</v>
      </c>
      <c r="H28" s="195">
        <v>0</v>
      </c>
      <c r="I28" s="195">
        <v>0</v>
      </c>
      <c r="J28" s="195"/>
      <c r="K28" s="195">
        <v>1012.44</v>
      </c>
      <c r="L28" s="195" t="s">
        <v>825</v>
      </c>
      <c r="M28" s="195">
        <v>38.590000000000003</v>
      </c>
      <c r="N28" s="195">
        <v>1511859600</v>
      </c>
      <c r="O28" s="195">
        <v>0</v>
      </c>
      <c r="P28" s="195">
        <v>3.52</v>
      </c>
      <c r="Q28" s="195">
        <v>18</v>
      </c>
      <c r="R28" s="195">
        <v>9.52</v>
      </c>
      <c r="S28" s="195">
        <v>3.67</v>
      </c>
      <c r="T28"/>
    </row>
    <row r="29" spans="1:20" x14ac:dyDescent="0.25">
      <c r="A29" s="195">
        <v>33.26</v>
      </c>
      <c r="B29" s="195">
        <v>1</v>
      </c>
      <c r="C29" s="195">
        <v>30.24</v>
      </c>
      <c r="D29" s="8">
        <v>43067.125</v>
      </c>
      <c r="E29" s="195">
        <v>0.75</v>
      </c>
      <c r="F29" s="195" t="s">
        <v>824</v>
      </c>
      <c r="G29" s="195">
        <v>252.48</v>
      </c>
      <c r="H29" s="195">
        <v>1E-3</v>
      </c>
      <c r="I29" s="195">
        <v>0.01</v>
      </c>
      <c r="J29" s="195" t="s">
        <v>826</v>
      </c>
      <c r="K29" s="195">
        <v>1015.2</v>
      </c>
      <c r="L29" s="195" t="s">
        <v>825</v>
      </c>
      <c r="M29" s="195">
        <v>37.51</v>
      </c>
      <c r="N29" s="195">
        <v>1511863200</v>
      </c>
      <c r="O29" s="195">
        <v>0</v>
      </c>
      <c r="P29" s="195">
        <v>3.82</v>
      </c>
      <c r="Q29" s="195">
        <v>352</v>
      </c>
      <c r="R29" s="195">
        <v>10.46</v>
      </c>
      <c r="S29" s="195">
        <v>5.37</v>
      </c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C18" sqref="C18:C29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43066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575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1007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1008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1009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1010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1011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1012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1013</v>
      </c>
      <c r="J25" s="139" t="s">
        <v>144</v>
      </c>
      <c r="M25" s="153" t="b">
        <v>1</v>
      </c>
    </row>
    <row r="26" spans="3:24" x14ac:dyDescent="0.25">
      <c r="C26" t="s">
        <v>1014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%USERPROFILE%\Documents\GitHub\eaglep3-reporting\EC\2017-11-27-refined-times.txt</v>
      </c>
    </row>
    <row r="27" spans="3:24" x14ac:dyDescent="0.25"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%USERPROFILE%\Documents\GitHub\eaglep3-reporting\EC\2017-11-27-Enforcements.txt</v>
      </c>
    </row>
    <row r="28" spans="3:24" x14ac:dyDescent="0.25"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%USERPROFILE%\Documents\GitHub\eaglep3-reporting\EC\2017-11-27-Runs-refined.txt</v>
      </c>
    </row>
    <row r="29" spans="3:24" x14ac:dyDescent="0.25"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%USERPROFILE%\Documents\GitHub\eaglep3-reporting\EC\2017-11-27-Trips.txt</v>
      </c>
    </row>
    <row r="30" spans="3:24" x14ac:dyDescent="0.25"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%USERPROFILE%\Documents\GitHub\eaglep3-reporting\EC\2017-11-27-Weather.txt</v>
      </c>
    </row>
    <row r="31" spans="3:24" x14ac:dyDescent="0.25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354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2017-11-28T16:34:40Z</dcterms:modified>
</cp:coreProperties>
</file>