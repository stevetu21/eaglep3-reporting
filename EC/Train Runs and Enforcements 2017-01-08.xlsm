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Enforcements!$A$6:$AC$43</definedName>
    <definedName name="_xlnm._FilterDatabase" localSheetId="2" hidden="1">'Missing Trips'!$A$2:$J$146</definedName>
    <definedName name="_xlnm._FilterDatabase" localSheetId="0" hidden="1">'Train Runs'!$A$12:$AG$221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5" i="1" l="1"/>
  <c r="P71" i="1" l="1"/>
  <c r="X72" i="1"/>
  <c r="X73" i="1"/>
  <c r="K71" i="1"/>
  <c r="L71" i="1"/>
  <c r="M71" i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M55" i="1"/>
  <c r="K55" i="1"/>
  <c r="L55" i="1"/>
  <c r="T55" i="1"/>
  <c r="V55" i="1"/>
  <c r="W55" i="1"/>
  <c r="Y55" i="1"/>
  <c r="Z55" i="1"/>
  <c r="AA55" i="1"/>
  <c r="AB55" i="1"/>
  <c r="AC55" i="1"/>
  <c r="AD55" i="1"/>
  <c r="AE55" i="1"/>
  <c r="AF55" i="1"/>
  <c r="AG55" i="1"/>
  <c r="U55" i="1" s="1"/>
  <c r="AH55" i="1"/>
  <c r="AI55" i="1"/>
  <c r="AM55" i="1"/>
  <c r="K36" i="1"/>
  <c r="L36" i="1"/>
  <c r="M36" i="1"/>
  <c r="V36" i="1"/>
  <c r="Y36" i="1"/>
  <c r="Z36" i="1"/>
  <c r="AA36" i="1"/>
  <c r="AB36" i="1"/>
  <c r="AC36" i="1"/>
  <c r="AD36" i="1"/>
  <c r="T36" i="1" s="1"/>
  <c r="AE36" i="1"/>
  <c r="AF36" i="1"/>
  <c r="AH36" i="1"/>
  <c r="AM36" i="1"/>
  <c r="M31" i="1"/>
  <c r="K31" i="1"/>
  <c r="L31" i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G71" i="1" l="1"/>
  <c r="X71" i="1"/>
  <c r="AG36" i="1"/>
  <c r="AG31" i="1"/>
  <c r="B7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K18" i="1"/>
  <c r="L18" i="1"/>
  <c r="M18" i="1"/>
  <c r="N18" i="1" s="1"/>
  <c r="V18" i="1"/>
  <c r="S21" i="3" s="1"/>
  <c r="Y18" i="1"/>
  <c r="Z18" i="1"/>
  <c r="AA18" i="1" s="1"/>
  <c r="AB18" i="1"/>
  <c r="AC18" i="1"/>
  <c r="AD18" i="1"/>
  <c r="AE18" i="1"/>
  <c r="AF18" i="1"/>
  <c r="AH18" i="1"/>
  <c r="AM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S11" i="3" s="1"/>
  <c r="Y20" i="1"/>
  <c r="Z20" i="1"/>
  <c r="AB20" i="1"/>
  <c r="AC20" i="1"/>
  <c r="AD20" i="1"/>
  <c r="AE20" i="1"/>
  <c r="R11" i="3" s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K23" i="1"/>
  <c r="L23" i="1"/>
  <c r="M23" i="1"/>
  <c r="P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K41" i="1"/>
  <c r="L41" i="1"/>
  <c r="M41" i="1"/>
  <c r="N41" i="1" s="1"/>
  <c r="V41" i="1"/>
  <c r="Y41" i="1"/>
  <c r="Z41" i="1"/>
  <c r="AA41" i="1" s="1"/>
  <c r="AB41" i="1"/>
  <c r="AC41" i="1"/>
  <c r="AD41" i="1"/>
  <c r="AG41" i="1" s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K46" i="1"/>
  <c r="L46" i="1"/>
  <c r="M46" i="1"/>
  <c r="P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AM47" i="1"/>
  <c r="K48" i="1"/>
  <c r="L48" i="1"/>
  <c r="M48" i="1"/>
  <c r="V48" i="1"/>
  <c r="Y48" i="1"/>
  <c r="Z48" i="1"/>
  <c r="AB48" i="1"/>
  <c r="AC48" i="1"/>
  <c r="AD48" i="1"/>
  <c r="T48" i="1" s="1"/>
  <c r="AE48" i="1"/>
  <c r="AF48" i="1"/>
  <c r="AH48" i="1"/>
  <c r="AM48" i="1"/>
  <c r="K49" i="1"/>
  <c r="L49" i="1"/>
  <c r="M49" i="1"/>
  <c r="V49" i="1"/>
  <c r="Y49" i="1"/>
  <c r="Z49" i="1"/>
  <c r="AB49" i="1"/>
  <c r="AC49" i="1"/>
  <c r="AD49" i="1"/>
  <c r="T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K52" i="1"/>
  <c r="L52" i="1"/>
  <c r="M52" i="1"/>
  <c r="V52" i="1"/>
  <c r="S15" i="3" s="1"/>
  <c r="Y52" i="1"/>
  <c r="Z52" i="1"/>
  <c r="AB52" i="1"/>
  <c r="AC52" i="1"/>
  <c r="AD52" i="1"/>
  <c r="T52" i="1" s="1"/>
  <c r="AE52" i="1"/>
  <c r="R15" i="3" s="1"/>
  <c r="AF52" i="1"/>
  <c r="AH52" i="1"/>
  <c r="AM52" i="1"/>
  <c r="K53" i="1"/>
  <c r="L53" i="1"/>
  <c r="M53" i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K54" i="1"/>
  <c r="L54" i="1"/>
  <c r="M54" i="1"/>
  <c r="V54" i="1"/>
  <c r="Y54" i="1"/>
  <c r="Z54" i="1"/>
  <c r="AB54" i="1"/>
  <c r="AC54" i="1"/>
  <c r="AD54" i="1"/>
  <c r="AE54" i="1"/>
  <c r="AF54" i="1"/>
  <c r="AH54" i="1"/>
  <c r="AM54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K64" i="1"/>
  <c r="L64" i="1"/>
  <c r="M64" i="1"/>
  <c r="N64" i="1" s="1"/>
  <c r="V64" i="1"/>
  <c r="S30" i="3" s="1"/>
  <c r="Y64" i="1"/>
  <c r="Z64" i="1"/>
  <c r="AB64" i="1"/>
  <c r="AC64" i="1"/>
  <c r="AD64" i="1"/>
  <c r="T64" i="1" s="1"/>
  <c r="AE64" i="1"/>
  <c r="R30" i="3" s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K69" i="1"/>
  <c r="L69" i="1"/>
  <c r="M69" i="1"/>
  <c r="N69" i="1" s="1"/>
  <c r="V69" i="1"/>
  <c r="S9" i="3" s="1"/>
  <c r="Y69" i="1"/>
  <c r="Z69" i="1"/>
  <c r="AB69" i="1"/>
  <c r="AC69" i="1"/>
  <c r="AD69" i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K75" i="1"/>
  <c r="L75" i="1"/>
  <c r="M75" i="1"/>
  <c r="P75" i="1" s="1"/>
  <c r="V75" i="1"/>
  <c r="Y75" i="1"/>
  <c r="Z75" i="1"/>
  <c r="AB75" i="1"/>
  <c r="AC75" i="1"/>
  <c r="AD75" i="1"/>
  <c r="AE75" i="1"/>
  <c r="AF75" i="1"/>
  <c r="AH75" i="1"/>
  <c r="AM75" i="1"/>
  <c r="K76" i="1"/>
  <c r="L76" i="1"/>
  <c r="M76" i="1"/>
  <c r="P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P77" i="1" s="1"/>
  <c r="V77" i="1"/>
  <c r="Y77" i="1"/>
  <c r="Z77" i="1"/>
  <c r="AB77" i="1"/>
  <c r="AC77" i="1"/>
  <c r="AD77" i="1"/>
  <c r="AG77" i="1" s="1"/>
  <c r="AE77" i="1"/>
  <c r="AF77" i="1"/>
  <c r="AH77" i="1"/>
  <c r="AM77" i="1"/>
  <c r="K78" i="1"/>
  <c r="L78" i="1"/>
  <c r="M78" i="1"/>
  <c r="P78" i="1" s="1"/>
  <c r="V78" i="1"/>
  <c r="Y78" i="1"/>
  <c r="Z78" i="1"/>
  <c r="AB78" i="1"/>
  <c r="AC78" i="1"/>
  <c r="AD78" i="1"/>
  <c r="T78" i="1" s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K80" i="1"/>
  <c r="L80" i="1"/>
  <c r="M80" i="1"/>
  <c r="P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N81" i="1" s="1"/>
  <c r="V81" i="1"/>
  <c r="S10" i="3" s="1"/>
  <c r="Y81" i="1"/>
  <c r="Z81" i="1"/>
  <c r="AI81" i="1" s="1"/>
  <c r="AB81" i="1"/>
  <c r="AC81" i="1"/>
  <c r="AD81" i="1"/>
  <c r="AG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18" i="3" s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K84" i="1"/>
  <c r="L84" i="1"/>
  <c r="M84" i="1"/>
  <c r="N84" i="1" s="1"/>
  <c r="V84" i="1"/>
  <c r="S20" i="3" s="1"/>
  <c r="Y84" i="1"/>
  <c r="Z84" i="1"/>
  <c r="AB84" i="1"/>
  <c r="AC84" i="1"/>
  <c r="AD84" i="1"/>
  <c r="T84" i="1" s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K86" i="1"/>
  <c r="L86" i="1"/>
  <c r="M86" i="1"/>
  <c r="N86" i="1" s="1"/>
  <c r="V86" i="1"/>
  <c r="S28" i="3" s="1"/>
  <c r="Y86" i="1"/>
  <c r="Z86" i="1"/>
  <c r="AB86" i="1"/>
  <c r="AC86" i="1"/>
  <c r="AD86" i="1"/>
  <c r="AE86" i="1"/>
  <c r="R28" i="3" s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91" i="1"/>
  <c r="AM91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92" i="1"/>
  <c r="AM92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93" i="1"/>
  <c r="AM9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94" i="1"/>
  <c r="AM94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95" i="1"/>
  <c r="AM95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6" i="1"/>
  <c r="AM96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7" i="1"/>
  <c r="AM9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8" i="1"/>
  <c r="AM98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9" i="1"/>
  <c r="AM9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00" i="1"/>
  <c r="AM10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101" i="1"/>
  <c r="AM10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2" i="1"/>
  <c r="AM102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3" i="1"/>
  <c r="AM10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4" i="1"/>
  <c r="AM10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5" i="1"/>
  <c r="AM10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6" i="1"/>
  <c r="AM106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7" i="1"/>
  <c r="AM10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8" i="1"/>
  <c r="AM10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9" i="1"/>
  <c r="AM109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10" i="1"/>
  <c r="AM110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11" i="1"/>
  <c r="AM111" i="1"/>
  <c r="K92" i="1"/>
  <c r="L92" i="1"/>
  <c r="M92" i="1"/>
  <c r="N92" i="1" s="1"/>
  <c r="T92" i="1"/>
  <c r="V92" i="1"/>
  <c r="Y92" i="1"/>
  <c r="Z92" i="1"/>
  <c r="AA92" i="1" s="1"/>
  <c r="W92" i="1" s="1"/>
  <c r="AB92" i="1"/>
  <c r="AC92" i="1"/>
  <c r="AD92" i="1"/>
  <c r="AG92" i="1" s="1"/>
  <c r="AE92" i="1"/>
  <c r="R19" i="3" s="1"/>
  <c r="AF92" i="1"/>
  <c r="AH112" i="1"/>
  <c r="AM112" i="1"/>
  <c r="K174" i="1"/>
  <c r="L174" i="1"/>
  <c r="M174" i="1"/>
  <c r="N174" i="1" s="1"/>
  <c r="V174" i="1"/>
  <c r="S34" i="3" s="1"/>
  <c r="Y174" i="1"/>
  <c r="Z174" i="1"/>
  <c r="AB174" i="1"/>
  <c r="AC174" i="1"/>
  <c r="AD174" i="1"/>
  <c r="AG174" i="1" s="1"/>
  <c r="AE174" i="1"/>
  <c r="R34" i="3" s="1"/>
  <c r="AF174" i="1"/>
  <c r="AH113" i="1"/>
  <c r="AM113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4" i="1"/>
  <c r="AM114" i="1"/>
  <c r="K176" i="1"/>
  <c r="L176" i="1"/>
  <c r="M176" i="1"/>
  <c r="P176" i="1" s="1"/>
  <c r="V176" i="1"/>
  <c r="Y176" i="1"/>
  <c r="Z176" i="1"/>
  <c r="AB176" i="1"/>
  <c r="AC176" i="1"/>
  <c r="AD176" i="1"/>
  <c r="AG176" i="1" s="1"/>
  <c r="AE176" i="1"/>
  <c r="AF176" i="1"/>
  <c r="AH115" i="1"/>
  <c r="AM11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6" i="1"/>
  <c r="AM11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7" i="1"/>
  <c r="AM117" i="1"/>
  <c r="K179" i="1"/>
  <c r="L179" i="1"/>
  <c r="M179" i="1"/>
  <c r="N179" i="1" s="1"/>
  <c r="V179" i="1"/>
  <c r="S35" i="3" s="1"/>
  <c r="Y179" i="1"/>
  <c r="Z179" i="1"/>
  <c r="AI179" i="1" s="1"/>
  <c r="AB179" i="1"/>
  <c r="AC179" i="1"/>
  <c r="AD179" i="1"/>
  <c r="AG179" i="1" s="1"/>
  <c r="AE179" i="1"/>
  <c r="R35" i="3" s="1"/>
  <c r="AF179" i="1"/>
  <c r="AH118" i="1"/>
  <c r="AM11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9" i="1"/>
  <c r="AM11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20" i="1"/>
  <c r="AM12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1" i="1"/>
  <c r="AM12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2" i="1"/>
  <c r="AM12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3" i="1"/>
  <c r="AM12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4" i="1"/>
  <c r="AM12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5" i="1"/>
  <c r="AM125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6" i="1"/>
  <c r="AM126" i="1"/>
  <c r="K93" i="1"/>
  <c r="L93" i="1"/>
  <c r="M93" i="1"/>
  <c r="N93" i="1" s="1"/>
  <c r="V93" i="1"/>
  <c r="S8" i="3" s="1"/>
  <c r="Y93" i="1"/>
  <c r="Z93" i="1"/>
  <c r="AB93" i="1"/>
  <c r="AC93" i="1"/>
  <c r="AD93" i="1"/>
  <c r="AG93" i="1" s="1"/>
  <c r="AE93" i="1"/>
  <c r="R8" i="3" s="1"/>
  <c r="AF93" i="1"/>
  <c r="AH127" i="1"/>
  <c r="AM127" i="1"/>
  <c r="K94" i="1"/>
  <c r="L94" i="1"/>
  <c r="M94" i="1"/>
  <c r="N94" i="1" s="1"/>
  <c r="V94" i="1"/>
  <c r="S13" i="3" s="1"/>
  <c r="Y94" i="1"/>
  <c r="Z94" i="1"/>
  <c r="AB94" i="1"/>
  <c r="AC94" i="1"/>
  <c r="AD94" i="1"/>
  <c r="AG94" i="1" s="1"/>
  <c r="AE94" i="1"/>
  <c r="AF94" i="1"/>
  <c r="AH128" i="1"/>
  <c r="AM128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29" i="1"/>
  <c r="AM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AM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AM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AM13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33" i="1"/>
  <c r="AM13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134" i="1"/>
  <c r="AM134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5" i="1"/>
  <c r="AM135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6" i="1"/>
  <c r="AM136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7" i="1"/>
  <c r="AM137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8" i="1"/>
  <c r="AM13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9" i="1"/>
  <c r="AM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1" i="1"/>
  <c r="AM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AM143" i="1"/>
  <c r="K108" i="1"/>
  <c r="L108" i="1"/>
  <c r="M108" i="1"/>
  <c r="N108" i="1" s="1"/>
  <c r="V108" i="1"/>
  <c r="Y108" i="1"/>
  <c r="Z108" i="1"/>
  <c r="AB108" i="1"/>
  <c r="AC108" i="1"/>
  <c r="AD108" i="1"/>
  <c r="AE108" i="1"/>
  <c r="R16" i="3" s="1"/>
  <c r="AF108" i="1"/>
  <c r="AH144" i="1"/>
  <c r="AM144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5" i="1"/>
  <c r="AM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AM147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8" i="1"/>
  <c r="AM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AM150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1" i="1"/>
  <c r="AM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AM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S22" i="3" s="1"/>
  <c r="Y118" i="1"/>
  <c r="Z118" i="1"/>
  <c r="AB118" i="1"/>
  <c r="AC118" i="1"/>
  <c r="AD118" i="1"/>
  <c r="AG118" i="1" s="1"/>
  <c r="AE118" i="1"/>
  <c r="AF118" i="1"/>
  <c r="AH153" i="1"/>
  <c r="AM153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4" i="1"/>
  <c r="AM154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5" i="1"/>
  <c r="AM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AM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AM157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8" i="1"/>
  <c r="AM158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9" i="1"/>
  <c r="AM159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0" i="1"/>
  <c r="AM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2" i="1"/>
  <c r="AM162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3" i="1"/>
  <c r="AM163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4" i="1"/>
  <c r="AM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6" i="1"/>
  <c r="AM166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7" i="1"/>
  <c r="AM167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8" i="1"/>
  <c r="AM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AM169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0" i="1"/>
  <c r="AM170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1" i="1"/>
  <c r="AM171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2" i="1"/>
  <c r="AM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AM173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4" i="1"/>
  <c r="AM174" i="1"/>
  <c r="K140" i="1"/>
  <c r="L140" i="1"/>
  <c r="M140" i="1"/>
  <c r="N140" i="1" s="1"/>
  <c r="V140" i="1"/>
  <c r="Y140" i="1"/>
  <c r="Z140" i="1"/>
  <c r="AA140" i="1" s="1"/>
  <c r="W140" i="1" s="1"/>
  <c r="AB140" i="1"/>
  <c r="AC140" i="1"/>
  <c r="AD140" i="1"/>
  <c r="AG140" i="1" s="1"/>
  <c r="AE140" i="1"/>
  <c r="AF140" i="1"/>
  <c r="AH175" i="1"/>
  <c r="AM175" i="1"/>
  <c r="K141" i="1"/>
  <c r="L141" i="1"/>
  <c r="M141" i="1"/>
  <c r="N141" i="1" s="1"/>
  <c r="V141" i="1"/>
  <c r="Y141" i="1"/>
  <c r="Z141" i="1"/>
  <c r="AB141" i="1"/>
  <c r="AC141" i="1"/>
  <c r="AD141" i="1"/>
  <c r="AE141" i="1"/>
  <c r="R12" i="3" s="1"/>
  <c r="AF141" i="1"/>
  <c r="AH176" i="1"/>
  <c r="AM176" i="1"/>
  <c r="K142" i="1"/>
  <c r="L142" i="1"/>
  <c r="M142" i="1"/>
  <c r="N142" i="1" s="1"/>
  <c r="V142" i="1"/>
  <c r="S7" i="3" s="1"/>
  <c r="Y142" i="1"/>
  <c r="Z142" i="1"/>
  <c r="AB142" i="1"/>
  <c r="AC142" i="1"/>
  <c r="AD142" i="1"/>
  <c r="AG142" i="1" s="1"/>
  <c r="AE142" i="1"/>
  <c r="AF142" i="1"/>
  <c r="AH177" i="1"/>
  <c r="AM177" i="1"/>
  <c r="K143" i="1"/>
  <c r="L143" i="1"/>
  <c r="M143" i="1"/>
  <c r="N143" i="1" s="1"/>
  <c r="V143" i="1"/>
  <c r="S33" i="3" s="1"/>
  <c r="Y143" i="1"/>
  <c r="Z143" i="1"/>
  <c r="AB143" i="1"/>
  <c r="AC143" i="1"/>
  <c r="AD143" i="1"/>
  <c r="T143" i="1" s="1"/>
  <c r="AE143" i="1"/>
  <c r="R33" i="3" s="1"/>
  <c r="AF143" i="1"/>
  <c r="AH178" i="1"/>
  <c r="AM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AM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AM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K148" i="1"/>
  <c r="L148" i="1"/>
  <c r="M148" i="1"/>
  <c r="V148" i="1"/>
  <c r="S23" i="3" s="1"/>
  <c r="Y148" i="1"/>
  <c r="Z148" i="1"/>
  <c r="AB148" i="1"/>
  <c r="AC148" i="1"/>
  <c r="AD148" i="1"/>
  <c r="AG148" i="1" s="1"/>
  <c r="AE148" i="1"/>
  <c r="R23" i="3" s="1"/>
  <c r="AF148" i="1"/>
  <c r="AH183" i="1"/>
  <c r="AM183" i="1"/>
  <c r="K149" i="1"/>
  <c r="L149" i="1"/>
  <c r="M149" i="1"/>
  <c r="V149" i="1"/>
  <c r="Y149" i="1"/>
  <c r="Z149" i="1"/>
  <c r="AB149" i="1"/>
  <c r="AC149" i="1"/>
  <c r="AD149" i="1"/>
  <c r="AE149" i="1"/>
  <c r="AF149" i="1"/>
  <c r="AH184" i="1"/>
  <c r="AM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7" i="1"/>
  <c r="AM187" i="1"/>
  <c r="AH188" i="1"/>
  <c r="AM188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9" i="1"/>
  <c r="AM18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90" i="1"/>
  <c r="AM190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91" i="1"/>
  <c r="AM19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92" i="1"/>
  <c r="AM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AM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AM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3" i="1"/>
  <c r="AM20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4" i="1"/>
  <c r="AM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5" i="1"/>
  <c r="AM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6" i="1"/>
  <c r="AM206" i="1"/>
  <c r="K207" i="1"/>
  <c r="L207" i="1"/>
  <c r="M207" i="1"/>
  <c r="N207" i="1" s="1"/>
  <c r="V207" i="1"/>
  <c r="Y207" i="1"/>
  <c r="Z207" i="1"/>
  <c r="AI207" i="1" s="1"/>
  <c r="AB207" i="1"/>
  <c r="AC207" i="1"/>
  <c r="AD207" i="1"/>
  <c r="AG207" i="1" s="1"/>
  <c r="AE207" i="1"/>
  <c r="AF207" i="1"/>
  <c r="AH207" i="1"/>
  <c r="AM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8" i="1"/>
  <c r="AM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AM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K215" i="1"/>
  <c r="L215" i="1"/>
  <c r="M215" i="1"/>
  <c r="N215" i="1" s="1"/>
  <c r="V215" i="1"/>
  <c r="Y215" i="1"/>
  <c r="Z215" i="1"/>
  <c r="AA215" i="1" s="1"/>
  <c r="W215" i="1" s="1"/>
  <c r="AB215" i="1"/>
  <c r="AC215" i="1"/>
  <c r="AD215" i="1"/>
  <c r="AG215" i="1" s="1"/>
  <c r="AE215" i="1"/>
  <c r="AF215" i="1"/>
  <c r="AH215" i="1"/>
  <c r="AM215" i="1"/>
  <c r="M21" i="3"/>
  <c r="R21" i="3"/>
  <c r="U21" i="3"/>
  <c r="T21" i="3" s="1"/>
  <c r="V21" i="3"/>
  <c r="W21" i="3"/>
  <c r="Y21" i="3" s="1"/>
  <c r="X21" i="3"/>
  <c r="AC21" i="3"/>
  <c r="M11" i="3"/>
  <c r="U11" i="3"/>
  <c r="V11" i="3"/>
  <c r="W11" i="3"/>
  <c r="Y11" i="3" s="1"/>
  <c r="X11" i="3"/>
  <c r="M15" i="3"/>
  <c r="U15" i="3"/>
  <c r="AC15" i="3" s="1"/>
  <c r="V15" i="3"/>
  <c r="W15" i="3"/>
  <c r="X15" i="3"/>
  <c r="M30" i="3"/>
  <c r="U30" i="3"/>
  <c r="AC30" i="3" s="1"/>
  <c r="V30" i="3"/>
  <c r="W30" i="3"/>
  <c r="X30" i="3"/>
  <c r="AD30" i="3"/>
  <c r="M9" i="3"/>
  <c r="R9" i="3"/>
  <c r="U9" i="3"/>
  <c r="T9" i="3" s="1"/>
  <c r="V9" i="3"/>
  <c r="W9" i="3"/>
  <c r="X9" i="3"/>
  <c r="AC9" i="3"/>
  <c r="M18" i="3"/>
  <c r="S18" i="3"/>
  <c r="U18" i="3"/>
  <c r="V18" i="3"/>
  <c r="W18" i="3"/>
  <c r="Y18" i="3" s="1"/>
  <c r="X18" i="3"/>
  <c r="M20" i="3"/>
  <c r="R20" i="3"/>
  <c r="U20" i="3"/>
  <c r="AC20" i="3" s="1"/>
  <c r="V20" i="3"/>
  <c r="W20" i="3"/>
  <c r="X20" i="3"/>
  <c r="M10" i="3"/>
  <c r="R10" i="3"/>
  <c r="U10" i="3"/>
  <c r="AC10" i="3" s="1"/>
  <c r="V10" i="3"/>
  <c r="W10" i="3"/>
  <c r="X10" i="3"/>
  <c r="AD10" i="3"/>
  <c r="M24" i="3"/>
  <c r="R24" i="3"/>
  <c r="U24" i="3"/>
  <c r="T24" i="3" s="1"/>
  <c r="V24" i="3"/>
  <c r="W24" i="3"/>
  <c r="X24" i="3"/>
  <c r="AC24" i="3"/>
  <c r="M25" i="3"/>
  <c r="R25" i="3"/>
  <c r="U25" i="3"/>
  <c r="AC25" i="3" s="1"/>
  <c r="V25" i="3"/>
  <c r="W25" i="3"/>
  <c r="X25" i="3"/>
  <c r="M26" i="3"/>
  <c r="R26" i="3"/>
  <c r="U26" i="3"/>
  <c r="AC26" i="3" s="1"/>
  <c r="V26" i="3"/>
  <c r="W26" i="3"/>
  <c r="Y26" i="3" s="1"/>
  <c r="X26" i="3"/>
  <c r="M8" i="3"/>
  <c r="U8" i="3"/>
  <c r="AC8" i="3" s="1"/>
  <c r="V8" i="3"/>
  <c r="W8" i="3"/>
  <c r="X8" i="3"/>
  <c r="AD8" i="3"/>
  <c r="M27" i="3"/>
  <c r="R27" i="3"/>
  <c r="S27" i="3"/>
  <c r="U27" i="3"/>
  <c r="T27" i="3" s="1"/>
  <c r="V27" i="3"/>
  <c r="W27" i="3"/>
  <c r="Y27" i="3" s="1"/>
  <c r="X27" i="3"/>
  <c r="AC27" i="3"/>
  <c r="M28" i="3"/>
  <c r="U28" i="3"/>
  <c r="AD28" i="3" s="1"/>
  <c r="V28" i="3"/>
  <c r="W28" i="3"/>
  <c r="Y28" i="3" s="1"/>
  <c r="X28" i="3"/>
  <c r="M29" i="3"/>
  <c r="R29" i="3"/>
  <c r="U29" i="3"/>
  <c r="AC29" i="3" s="1"/>
  <c r="V29" i="3"/>
  <c r="W29" i="3"/>
  <c r="X29" i="3"/>
  <c r="M19" i="3"/>
  <c r="S19" i="3"/>
  <c r="U19" i="3"/>
  <c r="AC19" i="3" s="1"/>
  <c r="V19" i="3"/>
  <c r="W19" i="3"/>
  <c r="X19" i="3"/>
  <c r="M31" i="3"/>
  <c r="R31" i="3"/>
  <c r="U31" i="3"/>
  <c r="T31" i="3" s="1"/>
  <c r="V31" i="3"/>
  <c r="W31" i="3"/>
  <c r="X31" i="3"/>
  <c r="AC31" i="3"/>
  <c r="AD31" i="3"/>
  <c r="M32" i="3"/>
  <c r="R32" i="3"/>
  <c r="U32" i="3"/>
  <c r="AD32" i="3" s="1"/>
  <c r="V32" i="3"/>
  <c r="W32" i="3"/>
  <c r="X32" i="3"/>
  <c r="M13" i="3"/>
  <c r="R13" i="3"/>
  <c r="U13" i="3"/>
  <c r="AC13" i="3" s="1"/>
  <c r="V13" i="3"/>
  <c r="W13" i="3"/>
  <c r="X13" i="3"/>
  <c r="M34" i="3"/>
  <c r="U34" i="3"/>
  <c r="AC34" i="3" s="1"/>
  <c r="V34" i="3"/>
  <c r="W34" i="3"/>
  <c r="X34" i="3"/>
  <c r="AD34" i="3"/>
  <c r="M16" i="3"/>
  <c r="S16" i="3"/>
  <c r="U16" i="3"/>
  <c r="T16" i="3" s="1"/>
  <c r="V16" i="3"/>
  <c r="W16" i="3"/>
  <c r="Y16" i="3" s="1"/>
  <c r="X16" i="3"/>
  <c r="AC16" i="3"/>
  <c r="M35" i="3"/>
  <c r="U35" i="3"/>
  <c r="AD35" i="3" s="1"/>
  <c r="V35" i="3"/>
  <c r="W35" i="3"/>
  <c r="X35" i="3"/>
  <c r="M22" i="3"/>
  <c r="R22" i="3"/>
  <c r="U22" i="3"/>
  <c r="AC22" i="3" s="1"/>
  <c r="V22" i="3"/>
  <c r="W22" i="3"/>
  <c r="X22" i="3"/>
  <c r="M12" i="3"/>
  <c r="S12" i="3"/>
  <c r="U12" i="3"/>
  <c r="AC12" i="3" s="1"/>
  <c r="V12" i="3"/>
  <c r="W12" i="3"/>
  <c r="X12" i="3"/>
  <c r="AD12" i="3"/>
  <c r="M14" i="3"/>
  <c r="S14" i="3"/>
  <c r="U14" i="3"/>
  <c r="T14" i="3" s="1"/>
  <c r="V14" i="3"/>
  <c r="W14" i="3"/>
  <c r="Y14" i="3" s="1"/>
  <c r="X14" i="3"/>
  <c r="AC14" i="3"/>
  <c r="M33" i="3"/>
  <c r="U33" i="3"/>
  <c r="AD33" i="3" s="1"/>
  <c r="V33" i="3"/>
  <c r="W33" i="3"/>
  <c r="Y33" i="3" s="1"/>
  <c r="X33" i="3"/>
  <c r="M7" i="3"/>
  <c r="R7" i="3"/>
  <c r="U7" i="3"/>
  <c r="AC7" i="3" s="1"/>
  <c r="V7" i="3"/>
  <c r="W7" i="3"/>
  <c r="X7" i="3"/>
  <c r="M23" i="3"/>
  <c r="U23" i="3"/>
  <c r="AC23" i="3" s="1"/>
  <c r="V23" i="3"/>
  <c r="W23" i="3"/>
  <c r="X23" i="3"/>
  <c r="AD14" i="3" l="1"/>
  <c r="AD27" i="3"/>
  <c r="AE15" i="3"/>
  <c r="Y35" i="3"/>
  <c r="Y32" i="3"/>
  <c r="Y29" i="3"/>
  <c r="Y25" i="3"/>
  <c r="T34" i="3"/>
  <c r="AE8" i="3"/>
  <c r="AE10" i="3"/>
  <c r="T19" i="3"/>
  <c r="T10" i="3"/>
  <c r="Y7" i="3"/>
  <c r="T23" i="3"/>
  <c r="Y24" i="3"/>
  <c r="Y9" i="3"/>
  <c r="AI71" i="1"/>
  <c r="U71" i="1"/>
  <c r="S71" i="1" s="1"/>
  <c r="W71" i="1"/>
  <c r="T57" i="1"/>
  <c r="X57" i="1"/>
  <c r="T56" i="1"/>
  <c r="X56" i="1"/>
  <c r="T58" i="1"/>
  <c r="X58" i="1"/>
  <c r="T40" i="1"/>
  <c r="X40" i="1"/>
  <c r="AG39" i="1"/>
  <c r="X39" i="1"/>
  <c r="T54" i="1"/>
  <c r="X55" i="1"/>
  <c r="X38" i="1"/>
  <c r="AG35" i="1"/>
  <c r="AI35" i="1" s="1"/>
  <c r="X36" i="1"/>
  <c r="AI185" i="1"/>
  <c r="AA198" i="1"/>
  <c r="AA162" i="1"/>
  <c r="AG37" i="1"/>
  <c r="X37" i="1"/>
  <c r="AA179" i="1"/>
  <c r="W179" i="1" s="1"/>
  <c r="AG57" i="1"/>
  <c r="U57" i="1" s="1"/>
  <c r="S57" i="1" s="1"/>
  <c r="X41" i="1"/>
  <c r="T34" i="1"/>
  <c r="AG33" i="1"/>
  <c r="X33" i="1"/>
  <c r="X24" i="1"/>
  <c r="AG32" i="1"/>
  <c r="AI32" i="1" s="1"/>
  <c r="X32" i="1"/>
  <c r="AG30" i="1"/>
  <c r="X31" i="1"/>
  <c r="W36" i="1"/>
  <c r="AI36" i="1"/>
  <c r="U36" i="1"/>
  <c r="S36" i="1" s="1"/>
  <c r="AI31" i="1"/>
  <c r="U31" i="1"/>
  <c r="S31" i="1" s="1"/>
  <c r="W31" i="1"/>
  <c r="X213" i="1"/>
  <c r="AI181" i="1"/>
  <c r="X209" i="1"/>
  <c r="R14" i="3"/>
  <c r="X92" i="1"/>
  <c r="AI85" i="1"/>
  <c r="P48" i="1"/>
  <c r="S26" i="3"/>
  <c r="S25" i="3"/>
  <c r="S24" i="3"/>
  <c r="AG151" i="1"/>
  <c r="AI209" i="1"/>
  <c r="AA195" i="1"/>
  <c r="P148" i="1"/>
  <c r="X118" i="1"/>
  <c r="X96" i="1"/>
  <c r="AA95" i="1"/>
  <c r="AA24" i="1"/>
  <c r="AA20" i="1"/>
  <c r="AA16" i="1"/>
  <c r="AG153" i="1"/>
  <c r="AI153" i="1" s="1"/>
  <c r="X153" i="1"/>
  <c r="AG154" i="1"/>
  <c r="X154" i="1"/>
  <c r="AI199" i="1"/>
  <c r="AA199" i="1"/>
  <c r="AI201" i="1"/>
  <c r="AI187" i="1"/>
  <c r="AI183" i="1"/>
  <c r="T172" i="1"/>
  <c r="U172" i="1" s="1"/>
  <c r="S172" i="1" s="1"/>
  <c r="AA159" i="1"/>
  <c r="AI77" i="1"/>
  <c r="W41" i="1"/>
  <c r="AA150" i="1"/>
  <c r="W150" i="1" s="1"/>
  <c r="AA172" i="1"/>
  <c r="W172" i="1" s="1"/>
  <c r="X155" i="1"/>
  <c r="X25" i="1"/>
  <c r="B8" i="6"/>
  <c r="I7" i="6"/>
  <c r="F7" i="6"/>
  <c r="J7" i="6"/>
  <c r="G7" i="6"/>
  <c r="H7" i="6"/>
  <c r="AG29" i="1"/>
  <c r="AI29" i="1" s="1"/>
  <c r="X29" i="1"/>
  <c r="AI215" i="1"/>
  <c r="AA214" i="1"/>
  <c r="AA143" i="1"/>
  <c r="AA107" i="1"/>
  <c r="W107" i="1" s="1"/>
  <c r="X104" i="1"/>
  <c r="AA94" i="1"/>
  <c r="AI175" i="1"/>
  <c r="AA170" i="1"/>
  <c r="AA166" i="1"/>
  <c r="AA91" i="1"/>
  <c r="T91" i="1"/>
  <c r="AG28" i="1"/>
  <c r="AI28" i="1" s="1"/>
  <c r="X28" i="1"/>
  <c r="P52" i="1"/>
  <c r="AG27" i="1"/>
  <c r="AI27" i="1" s="1"/>
  <c r="X27" i="1"/>
  <c r="S29" i="3"/>
  <c r="X211" i="1"/>
  <c r="AI203" i="1"/>
  <c r="AA203" i="1"/>
  <c r="W203" i="1" s="1"/>
  <c r="AA152" i="1"/>
  <c r="AA138" i="1"/>
  <c r="T125" i="1"/>
  <c r="X114" i="1"/>
  <c r="AA113" i="1"/>
  <c r="W113" i="1" s="1"/>
  <c r="X110" i="1"/>
  <c r="AI177" i="1"/>
  <c r="AG91" i="1"/>
  <c r="AI91" i="1" s="1"/>
  <c r="AG84" i="1"/>
  <c r="T32" i="1"/>
  <c r="AA29" i="1"/>
  <c r="W29" i="1" s="1"/>
  <c r="AG26" i="1"/>
  <c r="AI26" i="1" s="1"/>
  <c r="X26" i="1"/>
  <c r="X205" i="1"/>
  <c r="X203" i="1"/>
  <c r="X199" i="1"/>
  <c r="AA193" i="1"/>
  <c r="AG191" i="1"/>
  <c r="AI191" i="1" s="1"/>
  <c r="X152" i="1"/>
  <c r="X126" i="1"/>
  <c r="X122" i="1"/>
  <c r="X183" i="1"/>
  <c r="X177" i="1"/>
  <c r="T158" i="1"/>
  <c r="U158" i="1" s="1"/>
  <c r="S158" i="1" s="1"/>
  <c r="AA156" i="1"/>
  <c r="AA81" i="1"/>
  <c r="W81" i="1" s="1"/>
  <c r="AG78" i="1"/>
  <c r="AI78" i="1" s="1"/>
  <c r="X78" i="1"/>
  <c r="AA49" i="1"/>
  <c r="AG48" i="1"/>
  <c r="U48" i="1" s="1"/>
  <c r="X48" i="1"/>
  <c r="AA37" i="1"/>
  <c r="W37" i="1" s="1"/>
  <c r="T37" i="1"/>
  <c r="U37" i="1" s="1"/>
  <c r="S37" i="1" s="1"/>
  <c r="AA34" i="1"/>
  <c r="W34" i="1" s="1"/>
  <c r="S32" i="3"/>
  <c r="S31" i="3"/>
  <c r="AA213" i="1"/>
  <c r="W213" i="1" s="1"/>
  <c r="AI211" i="1"/>
  <c r="X207" i="1"/>
  <c r="AA197" i="1"/>
  <c r="AG193" i="1"/>
  <c r="AI193" i="1" s="1"/>
  <c r="AI189" i="1"/>
  <c r="AA125" i="1"/>
  <c r="W125" i="1" s="1"/>
  <c r="X116" i="1"/>
  <c r="AA109" i="1"/>
  <c r="W109" i="1" s="1"/>
  <c r="AA96" i="1"/>
  <c r="W96" i="1" s="1"/>
  <c r="AA181" i="1"/>
  <c r="W181" i="1" s="1"/>
  <c r="T175" i="1"/>
  <c r="U175" i="1" s="1"/>
  <c r="S175" i="1" s="1"/>
  <c r="T154" i="1"/>
  <c r="T79" i="1"/>
  <c r="U79" i="1" s="1"/>
  <c r="S79" i="1" s="1"/>
  <c r="W152" i="1"/>
  <c r="AI205" i="1"/>
  <c r="AA196" i="1"/>
  <c r="AA191" i="1"/>
  <c r="AA136" i="1"/>
  <c r="X130" i="1"/>
  <c r="AA126" i="1"/>
  <c r="W126" i="1" s="1"/>
  <c r="T126" i="1"/>
  <c r="U126" i="1" s="1"/>
  <c r="S126" i="1" s="1"/>
  <c r="X123" i="1"/>
  <c r="AA122" i="1"/>
  <c r="W122" i="1" s="1"/>
  <c r="T122" i="1"/>
  <c r="U122" i="1" s="1"/>
  <c r="S122" i="1" s="1"/>
  <c r="X112" i="1"/>
  <c r="AA111" i="1"/>
  <c r="X106" i="1"/>
  <c r="AA105" i="1"/>
  <c r="W105" i="1" s="1"/>
  <c r="AA101" i="1"/>
  <c r="W101" i="1" s="1"/>
  <c r="AA187" i="1"/>
  <c r="W187" i="1" s="1"/>
  <c r="AA183" i="1"/>
  <c r="W183" i="1" s="1"/>
  <c r="AA177" i="1"/>
  <c r="W177" i="1" s="1"/>
  <c r="T177" i="1"/>
  <c r="AA175" i="1"/>
  <c r="W175" i="1" s="1"/>
  <c r="AA168" i="1"/>
  <c r="AA164" i="1"/>
  <c r="AA161" i="1"/>
  <c r="AA154" i="1"/>
  <c r="AA88" i="1"/>
  <c r="AA77" i="1"/>
  <c r="W77" i="1" s="1"/>
  <c r="AA74" i="1"/>
  <c r="AA58" i="1"/>
  <c r="AA48" i="1"/>
  <c r="X43" i="1"/>
  <c r="AA42" i="1"/>
  <c r="AA39" i="1"/>
  <c r="W39" i="1" s="1"/>
  <c r="T29" i="1"/>
  <c r="AA27" i="1"/>
  <c r="T27" i="1"/>
  <c r="AA25" i="1"/>
  <c r="AA121" i="1"/>
  <c r="W121" i="1" s="1"/>
  <c r="T121" i="1"/>
  <c r="U121" i="1" s="1"/>
  <c r="S121" i="1" s="1"/>
  <c r="AG114" i="1"/>
  <c r="T114" i="1"/>
  <c r="AG106" i="1"/>
  <c r="T106" i="1"/>
  <c r="AI213" i="1"/>
  <c r="AG197" i="1"/>
  <c r="AI197" i="1" s="1"/>
  <c r="X148" i="1"/>
  <c r="AA144" i="1"/>
  <c r="W144" i="1" s="1"/>
  <c r="X134" i="1"/>
  <c r="X124" i="1"/>
  <c r="X120" i="1"/>
  <c r="AG108" i="1"/>
  <c r="T108" i="1"/>
  <c r="AG195" i="1"/>
  <c r="AI195" i="1" s="1"/>
  <c r="AA194" i="1"/>
  <c r="AA189" i="1"/>
  <c r="W189" i="1" s="1"/>
  <c r="AA151" i="1"/>
  <c r="W151" i="1" s="1"/>
  <c r="X145" i="1"/>
  <c r="X144" i="1"/>
  <c r="AG143" i="1"/>
  <c r="W143" i="1" s="1"/>
  <c r="AA142" i="1"/>
  <c r="W142" i="1" s="1"/>
  <c r="X138" i="1"/>
  <c r="AA130" i="1"/>
  <c r="AA128" i="1"/>
  <c r="W128" i="1" s="1"/>
  <c r="X125" i="1"/>
  <c r="AA123" i="1"/>
  <c r="W123" i="1" s="1"/>
  <c r="T123" i="1"/>
  <c r="X121" i="1"/>
  <c r="AA119" i="1"/>
  <c r="AA117" i="1"/>
  <c r="AA115" i="1"/>
  <c r="W115" i="1" s="1"/>
  <c r="AG110" i="1"/>
  <c r="U110" i="1" s="1"/>
  <c r="S110" i="1" s="1"/>
  <c r="T110" i="1"/>
  <c r="X108" i="1"/>
  <c r="AG102" i="1"/>
  <c r="X102" i="1"/>
  <c r="T102" i="1"/>
  <c r="AA211" i="1"/>
  <c r="W211" i="1" s="1"/>
  <c r="AA209" i="1"/>
  <c r="W209" i="1" s="1"/>
  <c r="AA207" i="1"/>
  <c r="W207" i="1" s="1"/>
  <c r="AA205" i="1"/>
  <c r="W205" i="1" s="1"/>
  <c r="W199" i="1"/>
  <c r="AA192" i="1"/>
  <c r="AA148" i="1"/>
  <c r="W148" i="1" s="1"/>
  <c r="AA134" i="1"/>
  <c r="AA132" i="1"/>
  <c r="AA124" i="1"/>
  <c r="W124" i="1" s="1"/>
  <c r="T124" i="1"/>
  <c r="AA120" i="1"/>
  <c r="W120" i="1" s="1"/>
  <c r="T120" i="1"/>
  <c r="U120" i="1" s="1"/>
  <c r="S120" i="1" s="1"/>
  <c r="AA118" i="1"/>
  <c r="W118" i="1" s="1"/>
  <c r="T118" i="1"/>
  <c r="AA116" i="1"/>
  <c r="T116" i="1"/>
  <c r="U116" i="1" s="1"/>
  <c r="S116" i="1" s="1"/>
  <c r="AG112" i="1"/>
  <c r="W112" i="1" s="1"/>
  <c r="T112" i="1"/>
  <c r="AG104" i="1"/>
  <c r="T104" i="1"/>
  <c r="AA114" i="1"/>
  <c r="W114" i="1" s="1"/>
  <c r="AA112" i="1"/>
  <c r="AA110" i="1"/>
  <c r="AA108" i="1"/>
  <c r="AA106" i="1"/>
  <c r="AA104" i="1"/>
  <c r="AA102" i="1"/>
  <c r="AI101" i="1"/>
  <c r="AI99" i="1"/>
  <c r="AI97" i="1"/>
  <c r="AI93" i="1"/>
  <c r="AA185" i="1"/>
  <c r="W185" i="1" s="1"/>
  <c r="AG180" i="1"/>
  <c r="U180" i="1" s="1"/>
  <c r="S180" i="1" s="1"/>
  <c r="X180" i="1"/>
  <c r="X179" i="1"/>
  <c r="AA178" i="1"/>
  <c r="W178" i="1" s="1"/>
  <c r="T178" i="1"/>
  <c r="U178" i="1" s="1"/>
  <c r="S178" i="1" s="1"/>
  <c r="X176" i="1"/>
  <c r="AA174" i="1"/>
  <c r="W174" i="1" s="1"/>
  <c r="T174" i="1"/>
  <c r="U174" i="1" s="1"/>
  <c r="S174" i="1" s="1"/>
  <c r="X173" i="1"/>
  <c r="AA171" i="1"/>
  <c r="W171" i="1" s="1"/>
  <c r="T171" i="1"/>
  <c r="AA169" i="1"/>
  <c r="W169" i="1" s="1"/>
  <c r="T169" i="1"/>
  <c r="U169" i="1" s="1"/>
  <c r="S169" i="1" s="1"/>
  <c r="AA167" i="1"/>
  <c r="W167" i="1" s="1"/>
  <c r="T167" i="1"/>
  <c r="U167" i="1" s="1"/>
  <c r="S167" i="1" s="1"/>
  <c r="AA165" i="1"/>
  <c r="W165" i="1" s="1"/>
  <c r="T165" i="1"/>
  <c r="U165" i="1" s="1"/>
  <c r="S165" i="1" s="1"/>
  <c r="AA160" i="1"/>
  <c r="W160" i="1" s="1"/>
  <c r="X88" i="1"/>
  <c r="T87" i="1"/>
  <c r="U87" i="1" s="1"/>
  <c r="S87" i="1" s="1"/>
  <c r="AA84" i="1"/>
  <c r="W84" i="1" s="1"/>
  <c r="T83" i="1"/>
  <c r="AG74" i="1"/>
  <c r="AI74" i="1" s="1"/>
  <c r="AA73" i="1"/>
  <c r="X69" i="1"/>
  <c r="AA68" i="1"/>
  <c r="X65" i="1"/>
  <c r="AA64" i="1"/>
  <c r="AG61" i="1"/>
  <c r="U61" i="1" s="1"/>
  <c r="S61" i="1" s="1"/>
  <c r="AA60" i="1"/>
  <c r="AA56" i="1"/>
  <c r="AG52" i="1"/>
  <c r="AI52" i="1" s="1"/>
  <c r="AA51" i="1"/>
  <c r="AA47" i="1"/>
  <c r="AG44" i="1"/>
  <c r="U44" i="1" s="1"/>
  <c r="S44" i="1" s="1"/>
  <c r="AA43" i="1"/>
  <c r="AI41" i="1"/>
  <c r="AI39" i="1"/>
  <c r="AA38" i="1"/>
  <c r="AA35" i="1"/>
  <c r="W35" i="1" s="1"/>
  <c r="T35" i="1"/>
  <c r="AA30" i="1"/>
  <c r="W30" i="1" s="1"/>
  <c r="T30" i="1"/>
  <c r="U30" i="1" s="1"/>
  <c r="S30" i="1" s="1"/>
  <c r="AA26" i="1"/>
  <c r="T26" i="1"/>
  <c r="AA23" i="1"/>
  <c r="W23" i="1" s="1"/>
  <c r="T23" i="1"/>
  <c r="U23" i="1" s="1"/>
  <c r="S23" i="1" s="1"/>
  <c r="AA21" i="1"/>
  <c r="W21" i="1" s="1"/>
  <c r="T21" i="1"/>
  <c r="U21" i="1" s="1"/>
  <c r="S21" i="1" s="1"/>
  <c r="AA19" i="1"/>
  <c r="W19" i="1" s="1"/>
  <c r="T19" i="1"/>
  <c r="U19" i="1" s="1"/>
  <c r="S19" i="1" s="1"/>
  <c r="AA17" i="1"/>
  <c r="W17" i="1" s="1"/>
  <c r="T17" i="1"/>
  <c r="AA85" i="1"/>
  <c r="W85" i="1" s="1"/>
  <c r="AA57" i="1"/>
  <c r="X34" i="1"/>
  <c r="AA186" i="1"/>
  <c r="X178" i="1"/>
  <c r="AA176" i="1"/>
  <c r="W176" i="1" s="1"/>
  <c r="T176" i="1"/>
  <c r="U176" i="1" s="1"/>
  <c r="S176" i="1" s="1"/>
  <c r="X174" i="1"/>
  <c r="AA173" i="1"/>
  <c r="W173" i="1" s="1"/>
  <c r="T173" i="1"/>
  <c r="U173" i="1" s="1"/>
  <c r="S173" i="1" s="1"/>
  <c r="X171" i="1"/>
  <c r="X169" i="1"/>
  <c r="X167" i="1"/>
  <c r="X165" i="1"/>
  <c r="X159" i="1"/>
  <c r="AA158" i="1"/>
  <c r="W158" i="1" s="1"/>
  <c r="AA155" i="1"/>
  <c r="AA89" i="1"/>
  <c r="W89" i="1" s="1"/>
  <c r="X87" i="1"/>
  <c r="AA70" i="1"/>
  <c r="AA66" i="1"/>
  <c r="AA61" i="1"/>
  <c r="X59" i="1"/>
  <c r="AA52" i="1"/>
  <c r="X50" i="1"/>
  <c r="X35" i="1"/>
  <c r="AA33" i="1"/>
  <c r="T33" i="1"/>
  <c r="X30" i="1"/>
  <c r="AA28" i="1"/>
  <c r="W28" i="1" s="1"/>
  <c r="T28" i="1"/>
  <c r="X23" i="1"/>
  <c r="X21" i="1"/>
  <c r="X19" i="1"/>
  <c r="X17" i="1"/>
  <c r="X175" i="1"/>
  <c r="X172" i="1"/>
  <c r="AG82" i="1"/>
  <c r="U82" i="1" s="1"/>
  <c r="S82" i="1" s="1"/>
  <c r="X82" i="1"/>
  <c r="T213" i="1"/>
  <c r="U213" i="1" s="1"/>
  <c r="S213" i="1" s="1"/>
  <c r="X189" i="1"/>
  <c r="X215" i="1"/>
  <c r="AA212" i="1"/>
  <c r="T211" i="1"/>
  <c r="U211" i="1" s="1"/>
  <c r="S211" i="1" s="1"/>
  <c r="T209" i="1"/>
  <c r="U209" i="1" s="1"/>
  <c r="S209" i="1" s="1"/>
  <c r="T207" i="1"/>
  <c r="U207" i="1" s="1"/>
  <c r="S207" i="1" s="1"/>
  <c r="T205" i="1"/>
  <c r="U205" i="1" s="1"/>
  <c r="S205" i="1" s="1"/>
  <c r="T203" i="1"/>
  <c r="U203" i="1" s="1"/>
  <c r="S203" i="1" s="1"/>
  <c r="T199" i="1"/>
  <c r="U199" i="1" s="1"/>
  <c r="S199" i="1" s="1"/>
  <c r="X197" i="1"/>
  <c r="X195" i="1"/>
  <c r="X193" i="1"/>
  <c r="X191" i="1"/>
  <c r="AG188" i="1"/>
  <c r="U188" i="1" s="1"/>
  <c r="S188" i="1" s="1"/>
  <c r="AA153" i="1"/>
  <c r="U151" i="1"/>
  <c r="S151" i="1" s="1"/>
  <c r="X149" i="1"/>
  <c r="AA147" i="1"/>
  <c r="T144" i="1"/>
  <c r="U144" i="1" s="1"/>
  <c r="S144" i="1" s="1"/>
  <c r="AA139" i="1"/>
  <c r="W139" i="1" s="1"/>
  <c r="X137" i="1"/>
  <c r="AA135" i="1"/>
  <c r="X133" i="1"/>
  <c r="AA131" i="1"/>
  <c r="W131" i="1" s="1"/>
  <c r="X129" i="1"/>
  <c r="AA127" i="1"/>
  <c r="T187" i="1"/>
  <c r="U91" i="1"/>
  <c r="S91" i="1" s="1"/>
  <c r="T162" i="1"/>
  <c r="X162" i="1"/>
  <c r="AG162" i="1"/>
  <c r="T157" i="1"/>
  <c r="U157" i="1" s="1"/>
  <c r="S157" i="1" s="1"/>
  <c r="X157" i="1"/>
  <c r="AG157" i="1"/>
  <c r="AA83" i="1"/>
  <c r="W83" i="1" s="1"/>
  <c r="AI83" i="1"/>
  <c r="AA79" i="1"/>
  <c r="W79" i="1" s="1"/>
  <c r="AI79" i="1"/>
  <c r="X100" i="1"/>
  <c r="AA202" i="1"/>
  <c r="W202" i="1" s="1"/>
  <c r="T202" i="1"/>
  <c r="U202" i="1" s="1"/>
  <c r="S202" i="1" s="1"/>
  <c r="AA201" i="1"/>
  <c r="W201" i="1" s="1"/>
  <c r="X98" i="1"/>
  <c r="T94" i="1"/>
  <c r="AA93" i="1"/>
  <c r="W93" i="1" s="1"/>
  <c r="X185" i="1"/>
  <c r="AG182" i="1"/>
  <c r="U182" i="1" s="1"/>
  <c r="T181" i="1"/>
  <c r="U181" i="1" s="1"/>
  <c r="S181" i="1" s="1"/>
  <c r="W156" i="1"/>
  <c r="AI89" i="1"/>
  <c r="T189" i="1"/>
  <c r="U189" i="1" s="1"/>
  <c r="S189" i="1" s="1"/>
  <c r="T215" i="1"/>
  <c r="U215" i="1" s="1"/>
  <c r="S215" i="1" s="1"/>
  <c r="X190" i="1"/>
  <c r="AA188" i="1"/>
  <c r="W188" i="1" s="1"/>
  <c r="T152" i="1"/>
  <c r="U152" i="1" s="1"/>
  <c r="S152" i="1" s="1"/>
  <c r="AG147" i="1"/>
  <c r="U147" i="1" s="1"/>
  <c r="S147" i="1" s="1"/>
  <c r="AA146" i="1"/>
  <c r="W146" i="1" s="1"/>
  <c r="U143" i="1"/>
  <c r="S143" i="1" s="1"/>
  <c r="X141" i="1"/>
  <c r="X139" i="1"/>
  <c r="AA137" i="1"/>
  <c r="X135" i="1"/>
  <c r="AA133" i="1"/>
  <c r="X131" i="1"/>
  <c r="AA129" i="1"/>
  <c r="X127" i="1"/>
  <c r="AI118" i="1"/>
  <c r="T96" i="1"/>
  <c r="X187" i="1"/>
  <c r="T183" i="1"/>
  <c r="U183" i="1" s="1"/>
  <c r="S183" i="1" s="1"/>
  <c r="X158" i="1"/>
  <c r="AA87" i="1"/>
  <c r="W87" i="1" s="1"/>
  <c r="AI87" i="1"/>
  <c r="T86" i="1"/>
  <c r="X86" i="1"/>
  <c r="AG86" i="1"/>
  <c r="T148" i="1"/>
  <c r="U148" i="1" s="1"/>
  <c r="X140" i="1"/>
  <c r="X136" i="1"/>
  <c r="X132" i="1"/>
  <c r="X128" i="1"/>
  <c r="AA103" i="1"/>
  <c r="AA100" i="1"/>
  <c r="T100" i="1"/>
  <c r="AA99" i="1"/>
  <c r="W99" i="1" s="1"/>
  <c r="X202" i="1"/>
  <c r="AA98" i="1"/>
  <c r="T98" i="1"/>
  <c r="AA97" i="1"/>
  <c r="W97" i="1" s="1"/>
  <c r="AI95" i="1"/>
  <c r="X94" i="1"/>
  <c r="T185" i="1"/>
  <c r="U185" i="1" s="1"/>
  <c r="S185" i="1" s="1"/>
  <c r="AA184" i="1"/>
  <c r="W184" i="1" s="1"/>
  <c r="AA182" i="1"/>
  <c r="X181" i="1"/>
  <c r="T90" i="1"/>
  <c r="X90" i="1"/>
  <c r="AG90" i="1"/>
  <c r="T80" i="1"/>
  <c r="AG80" i="1"/>
  <c r="AI80" i="1" s="1"/>
  <c r="X81" i="1"/>
  <c r="U84" i="1"/>
  <c r="S84" i="1" s="1"/>
  <c r="X77" i="1"/>
  <c r="AG76" i="1"/>
  <c r="U76" i="1" s="1"/>
  <c r="X76" i="1"/>
  <c r="AG72" i="1"/>
  <c r="U72" i="1" s="1"/>
  <c r="AA69" i="1"/>
  <c r="T69" i="1"/>
  <c r="AG67" i="1"/>
  <c r="U67" i="1" s="1"/>
  <c r="X67" i="1"/>
  <c r="AA65" i="1"/>
  <c r="T65" i="1"/>
  <c r="AG63" i="1"/>
  <c r="U63" i="1" s="1"/>
  <c r="S63" i="1" s="1"/>
  <c r="X63" i="1"/>
  <c r="AA59" i="1"/>
  <c r="T59" i="1"/>
  <c r="AG54" i="1"/>
  <c r="U54" i="1" s="1"/>
  <c r="X54" i="1"/>
  <c r="AA50" i="1"/>
  <c r="T50" i="1"/>
  <c r="AG46" i="1"/>
  <c r="U46" i="1" s="1"/>
  <c r="X46" i="1"/>
  <c r="X42" i="1"/>
  <c r="AA40" i="1"/>
  <c r="AG15" i="1"/>
  <c r="U15" i="1" s="1"/>
  <c r="X15" i="1"/>
  <c r="AA14" i="1"/>
  <c r="AA163" i="1"/>
  <c r="AA80" i="1"/>
  <c r="AA76" i="1"/>
  <c r="AA75" i="1"/>
  <c r="AA72" i="1"/>
  <c r="AG69" i="1"/>
  <c r="AI69" i="1" s="1"/>
  <c r="AA67" i="1"/>
  <c r="AG65" i="1"/>
  <c r="AI65" i="1" s="1"/>
  <c r="AA63" i="1"/>
  <c r="AG59" i="1"/>
  <c r="AI59" i="1" s="1"/>
  <c r="AA54" i="1"/>
  <c r="AG50" i="1"/>
  <c r="AA46" i="1"/>
  <c r="AA44" i="1"/>
  <c r="AG40" i="1"/>
  <c r="W40" i="1" s="1"/>
  <c r="AA15" i="1"/>
  <c r="X61" i="1"/>
  <c r="X52" i="1"/>
  <c r="X44" i="1"/>
  <c r="T41" i="1"/>
  <c r="U41" i="1" s="1"/>
  <c r="S41" i="1" s="1"/>
  <c r="AA210" i="1"/>
  <c r="AA208" i="1"/>
  <c r="AA206" i="1"/>
  <c r="AA204" i="1"/>
  <c r="AA200" i="1"/>
  <c r="T198" i="1"/>
  <c r="X198" i="1"/>
  <c r="AG198" i="1"/>
  <c r="W198" i="1" s="1"/>
  <c r="T196" i="1"/>
  <c r="X196" i="1"/>
  <c r="AG196" i="1"/>
  <c r="T194" i="1"/>
  <c r="X194" i="1"/>
  <c r="AG194" i="1"/>
  <c r="T214" i="1"/>
  <c r="X214" i="1"/>
  <c r="T210" i="1"/>
  <c r="X210" i="1"/>
  <c r="T208" i="1"/>
  <c r="X208" i="1"/>
  <c r="T204" i="1"/>
  <c r="X204" i="1"/>
  <c r="T200" i="1"/>
  <c r="X200" i="1"/>
  <c r="T212" i="1"/>
  <c r="X212" i="1"/>
  <c r="T206" i="1"/>
  <c r="X206" i="1"/>
  <c r="AG214" i="1"/>
  <c r="AG212" i="1"/>
  <c r="W212" i="1" s="1"/>
  <c r="AG210" i="1"/>
  <c r="AG208" i="1"/>
  <c r="AG206" i="1"/>
  <c r="AG204" i="1"/>
  <c r="AG200" i="1"/>
  <c r="T190" i="1"/>
  <c r="T149" i="1"/>
  <c r="T145" i="1"/>
  <c r="T141" i="1"/>
  <c r="AI128" i="1"/>
  <c r="U94" i="1"/>
  <c r="S94" i="1" s="1"/>
  <c r="AI125" i="1"/>
  <c r="AI120" i="1"/>
  <c r="AG192" i="1"/>
  <c r="AG190" i="1"/>
  <c r="AI190" i="1" s="1"/>
  <c r="T153" i="1"/>
  <c r="U153" i="1" s="1"/>
  <c r="S153" i="1" s="1"/>
  <c r="T150" i="1"/>
  <c r="U150" i="1" s="1"/>
  <c r="S150" i="1" s="1"/>
  <c r="AG149" i="1"/>
  <c r="T146" i="1"/>
  <c r="U146" i="1" s="1"/>
  <c r="S146" i="1" s="1"/>
  <c r="AG145" i="1"/>
  <c r="AI145" i="1" s="1"/>
  <c r="T142" i="1"/>
  <c r="U142" i="1" s="1"/>
  <c r="S142" i="1" s="1"/>
  <c r="AG141" i="1"/>
  <c r="AI141" i="1" s="1"/>
  <c r="U118" i="1"/>
  <c r="S118" i="1" s="1"/>
  <c r="AG117" i="1"/>
  <c r="AI117" i="1" s="1"/>
  <c r="T117" i="1"/>
  <c r="X117" i="1"/>
  <c r="AI150" i="1"/>
  <c r="U114" i="1"/>
  <c r="S114" i="1" s="1"/>
  <c r="AI149" i="1"/>
  <c r="AI146" i="1"/>
  <c r="AI142" i="1"/>
  <c r="AI138" i="1"/>
  <c r="U102" i="1"/>
  <c r="S102" i="1" s="1"/>
  <c r="AI137" i="1"/>
  <c r="AI134" i="1"/>
  <c r="AI133" i="1"/>
  <c r="AI130" i="1"/>
  <c r="U96" i="1"/>
  <c r="S96" i="1" s="1"/>
  <c r="W95" i="1"/>
  <c r="AI127" i="1"/>
  <c r="AI122" i="1"/>
  <c r="X192" i="1"/>
  <c r="X150" i="1"/>
  <c r="X146" i="1"/>
  <c r="X142" i="1"/>
  <c r="T140" i="1"/>
  <c r="U140" i="1" s="1"/>
  <c r="S140" i="1" s="1"/>
  <c r="T139" i="1"/>
  <c r="W138" i="1"/>
  <c r="T138" i="1"/>
  <c r="U138" i="1" s="1"/>
  <c r="S138" i="1" s="1"/>
  <c r="W137" i="1"/>
  <c r="T137" i="1"/>
  <c r="U137" i="1" s="1"/>
  <c r="S137" i="1" s="1"/>
  <c r="W136" i="1"/>
  <c r="T136" i="1"/>
  <c r="U136" i="1" s="1"/>
  <c r="S136" i="1" s="1"/>
  <c r="W135" i="1"/>
  <c r="T135" i="1"/>
  <c r="U135" i="1" s="1"/>
  <c r="S135" i="1" s="1"/>
  <c r="W134" i="1"/>
  <c r="T134" i="1"/>
  <c r="U134" i="1" s="1"/>
  <c r="S134" i="1" s="1"/>
  <c r="W133" i="1"/>
  <c r="T133" i="1"/>
  <c r="W132" i="1"/>
  <c r="T132" i="1"/>
  <c r="U132" i="1" s="1"/>
  <c r="S132" i="1" s="1"/>
  <c r="T131" i="1"/>
  <c r="W130" i="1"/>
  <c r="T130" i="1"/>
  <c r="W129" i="1"/>
  <c r="T129" i="1"/>
  <c r="T128" i="1"/>
  <c r="W127" i="1"/>
  <c r="T127" i="1"/>
  <c r="U127" i="1" s="1"/>
  <c r="S127" i="1" s="1"/>
  <c r="W116" i="1"/>
  <c r="W111" i="1"/>
  <c r="W104" i="1"/>
  <c r="W103" i="1"/>
  <c r="W100" i="1"/>
  <c r="W98" i="1"/>
  <c r="AI129" i="1"/>
  <c r="AI124" i="1"/>
  <c r="AA190" i="1"/>
  <c r="X188" i="1"/>
  <c r="AI186" i="1"/>
  <c r="X151" i="1"/>
  <c r="AA149" i="1"/>
  <c r="X147" i="1"/>
  <c r="AA145" i="1"/>
  <c r="AI178" i="1"/>
  <c r="X143" i="1"/>
  <c r="AA141" i="1"/>
  <c r="W141" i="1" s="1"/>
  <c r="U139" i="1"/>
  <c r="S139" i="1" s="1"/>
  <c r="AI174" i="1"/>
  <c r="AI173" i="1"/>
  <c r="AI172" i="1"/>
  <c r="AI171" i="1"/>
  <c r="AI169" i="1"/>
  <c r="U133" i="1"/>
  <c r="S133" i="1" s="1"/>
  <c r="AI167" i="1"/>
  <c r="U131" i="1"/>
  <c r="S131" i="1" s="1"/>
  <c r="AI165" i="1"/>
  <c r="U130" i="1"/>
  <c r="S130" i="1" s="1"/>
  <c r="U129" i="1"/>
  <c r="S129" i="1" s="1"/>
  <c r="U128" i="1"/>
  <c r="S128" i="1" s="1"/>
  <c r="U125" i="1"/>
  <c r="S125" i="1" s="1"/>
  <c r="AI160" i="1"/>
  <c r="U124" i="1"/>
  <c r="S124" i="1" s="1"/>
  <c r="U123" i="1"/>
  <c r="S123" i="1" s="1"/>
  <c r="AI158" i="1"/>
  <c r="AI157" i="1"/>
  <c r="AI156" i="1"/>
  <c r="AG119" i="1"/>
  <c r="T119" i="1"/>
  <c r="X119" i="1"/>
  <c r="AI152" i="1"/>
  <c r="AI151" i="1"/>
  <c r="AI148" i="1"/>
  <c r="AI144" i="1"/>
  <c r="U108" i="1"/>
  <c r="S108" i="1" s="1"/>
  <c r="AI140" i="1"/>
  <c r="U104" i="1"/>
  <c r="S104" i="1" s="1"/>
  <c r="AI139" i="1"/>
  <c r="AI136" i="1"/>
  <c r="U100" i="1"/>
  <c r="S100" i="1" s="1"/>
  <c r="AI135" i="1"/>
  <c r="AI132" i="1"/>
  <c r="U98" i="1"/>
  <c r="S98" i="1" s="1"/>
  <c r="AI131" i="1"/>
  <c r="W94" i="1"/>
  <c r="AI126" i="1"/>
  <c r="U187" i="1"/>
  <c r="S187" i="1" s="1"/>
  <c r="W186" i="1"/>
  <c r="AI123" i="1"/>
  <c r="X115" i="1"/>
  <c r="T115" i="1"/>
  <c r="U115" i="1" s="1"/>
  <c r="S115" i="1" s="1"/>
  <c r="X113" i="1"/>
  <c r="T113" i="1"/>
  <c r="U113" i="1" s="1"/>
  <c r="S113" i="1" s="1"/>
  <c r="X111" i="1"/>
  <c r="T111" i="1"/>
  <c r="U111" i="1" s="1"/>
  <c r="S111" i="1" s="1"/>
  <c r="X109" i="1"/>
  <c r="T109" i="1"/>
  <c r="U109" i="1" s="1"/>
  <c r="S109" i="1" s="1"/>
  <c r="X107" i="1"/>
  <c r="T107" i="1"/>
  <c r="U107" i="1" s="1"/>
  <c r="S107" i="1" s="1"/>
  <c r="X105" i="1"/>
  <c r="T105" i="1"/>
  <c r="U105" i="1" s="1"/>
  <c r="S105" i="1" s="1"/>
  <c r="X103" i="1"/>
  <c r="T103" i="1"/>
  <c r="U103" i="1" s="1"/>
  <c r="S103" i="1" s="1"/>
  <c r="X101" i="1"/>
  <c r="T101" i="1"/>
  <c r="U101" i="1" s="1"/>
  <c r="S101" i="1" s="1"/>
  <c r="X99" i="1"/>
  <c r="T99" i="1"/>
  <c r="U99" i="1" s="1"/>
  <c r="S99" i="1" s="1"/>
  <c r="X201" i="1"/>
  <c r="T201" i="1"/>
  <c r="U201" i="1" s="1"/>
  <c r="S201" i="1" s="1"/>
  <c r="X97" i="1"/>
  <c r="T97" i="1"/>
  <c r="U97" i="1" s="1"/>
  <c r="S97" i="1" s="1"/>
  <c r="X95" i="1"/>
  <c r="T95" i="1"/>
  <c r="U95" i="1" s="1"/>
  <c r="S95" i="1" s="1"/>
  <c r="X93" i="1"/>
  <c r="T93" i="1"/>
  <c r="U93" i="1" s="1"/>
  <c r="S93" i="1" s="1"/>
  <c r="X186" i="1"/>
  <c r="T186" i="1"/>
  <c r="U186" i="1" s="1"/>
  <c r="S186" i="1" s="1"/>
  <c r="X184" i="1"/>
  <c r="T184" i="1"/>
  <c r="U184" i="1" s="1"/>
  <c r="S184" i="1" s="1"/>
  <c r="X182" i="1"/>
  <c r="T179" i="1"/>
  <c r="U179" i="1" s="1"/>
  <c r="S179" i="1" s="1"/>
  <c r="T73" i="1"/>
  <c r="AG73" i="1"/>
  <c r="X74" i="1"/>
  <c r="AI121" i="1"/>
  <c r="AI119" i="1"/>
  <c r="AA180" i="1"/>
  <c r="AI116" i="1"/>
  <c r="U177" i="1"/>
  <c r="S177" i="1" s="1"/>
  <c r="AI115" i="1"/>
  <c r="AI114" i="1"/>
  <c r="AI113" i="1"/>
  <c r="U92" i="1"/>
  <c r="S92" i="1" s="1"/>
  <c r="AI111" i="1"/>
  <c r="U171" i="1"/>
  <c r="S171" i="1" s="1"/>
  <c r="AI109" i="1"/>
  <c r="T170" i="1"/>
  <c r="X170" i="1"/>
  <c r="AG170" i="1"/>
  <c r="AI170" i="1" s="1"/>
  <c r="AI105" i="1"/>
  <c r="T166" i="1"/>
  <c r="X166" i="1"/>
  <c r="AG166" i="1"/>
  <c r="AI166" i="1" s="1"/>
  <c r="T161" i="1"/>
  <c r="X161" i="1"/>
  <c r="AG161" i="1"/>
  <c r="AI161" i="1" s="1"/>
  <c r="AI94" i="1"/>
  <c r="AI90" i="1"/>
  <c r="U90" i="1"/>
  <c r="S90" i="1" s="1"/>
  <c r="AI86" i="1"/>
  <c r="U86" i="1"/>
  <c r="S86" i="1" s="1"/>
  <c r="AI82" i="1"/>
  <c r="T163" i="1"/>
  <c r="X163" i="1"/>
  <c r="AG163" i="1"/>
  <c r="AI163" i="1" s="1"/>
  <c r="AI107" i="1"/>
  <c r="T168" i="1"/>
  <c r="X168" i="1"/>
  <c r="AG168" i="1"/>
  <c r="AI168" i="1" s="1"/>
  <c r="AI103" i="1"/>
  <c r="T164" i="1"/>
  <c r="X164" i="1"/>
  <c r="AG164" i="1"/>
  <c r="AI164" i="1" s="1"/>
  <c r="T159" i="1"/>
  <c r="T155" i="1"/>
  <c r="T88" i="1"/>
  <c r="X83" i="1"/>
  <c r="X79" i="1"/>
  <c r="T160" i="1"/>
  <c r="U160" i="1" s="1"/>
  <c r="S160" i="1" s="1"/>
  <c r="AG159" i="1"/>
  <c r="AI159" i="1" s="1"/>
  <c r="AA157" i="1"/>
  <c r="W157" i="1" s="1"/>
  <c r="T156" i="1"/>
  <c r="U156" i="1" s="1"/>
  <c r="S156" i="1" s="1"/>
  <c r="AG155" i="1"/>
  <c r="AI155" i="1" s="1"/>
  <c r="AA90" i="1"/>
  <c r="W90" i="1" s="1"/>
  <c r="T89" i="1"/>
  <c r="U89" i="1" s="1"/>
  <c r="S89" i="1" s="1"/>
  <c r="AG88" i="1"/>
  <c r="W88" i="1" s="1"/>
  <c r="AA86" i="1"/>
  <c r="W86" i="1" s="1"/>
  <c r="T85" i="1"/>
  <c r="U85" i="1" s="1"/>
  <c r="S85" i="1" s="1"/>
  <c r="AI84" i="1"/>
  <c r="X84" i="1"/>
  <c r="AA82" i="1"/>
  <c r="T81" i="1"/>
  <c r="U81" i="1" s="1"/>
  <c r="S81" i="1" s="1"/>
  <c r="X80" i="1"/>
  <c r="AA78" i="1"/>
  <c r="T77" i="1"/>
  <c r="U77" i="1" s="1"/>
  <c r="S77" i="1" s="1"/>
  <c r="T75" i="1"/>
  <c r="X75" i="1"/>
  <c r="AG75" i="1"/>
  <c r="W75" i="1" s="1"/>
  <c r="U40" i="1"/>
  <c r="X160" i="1"/>
  <c r="X156" i="1"/>
  <c r="X89" i="1"/>
  <c r="X85" i="1"/>
  <c r="U83" i="1"/>
  <c r="S83" i="1" s="1"/>
  <c r="T42" i="1"/>
  <c r="T38" i="1"/>
  <c r="T24" i="1"/>
  <c r="AG24" i="1"/>
  <c r="W24" i="1" s="1"/>
  <c r="AI21" i="1"/>
  <c r="T20" i="1"/>
  <c r="X20" i="1"/>
  <c r="AG20" i="1"/>
  <c r="W20" i="1" s="1"/>
  <c r="U17" i="1"/>
  <c r="S17" i="1" s="1"/>
  <c r="AI17" i="1"/>
  <c r="T16" i="1"/>
  <c r="X16" i="1"/>
  <c r="AG16" i="1"/>
  <c r="W16" i="1" s="1"/>
  <c r="S72" i="1"/>
  <c r="AG70" i="1"/>
  <c r="AG68" i="1"/>
  <c r="AI67" i="1"/>
  <c r="S67" i="1"/>
  <c r="AG66" i="1"/>
  <c r="W66" i="1" s="1"/>
  <c r="AG64" i="1"/>
  <c r="AI63" i="1"/>
  <c r="AG62" i="1"/>
  <c r="AG60" i="1"/>
  <c r="AG58" i="1"/>
  <c r="AG56" i="1"/>
  <c r="W56" i="1" s="1"/>
  <c r="AG53" i="1"/>
  <c r="AG51" i="1"/>
  <c r="AG49" i="1"/>
  <c r="AG47" i="1"/>
  <c r="W47" i="1" s="1"/>
  <c r="AG45" i="1"/>
  <c r="AI44" i="1"/>
  <c r="AG43" i="1"/>
  <c r="T43" i="1"/>
  <c r="AG42" i="1"/>
  <c r="T39" i="1"/>
  <c r="U39" i="1" s="1"/>
  <c r="S39" i="1" s="1"/>
  <c r="AG38" i="1"/>
  <c r="W38" i="1" s="1"/>
  <c r="X70" i="1"/>
  <c r="X68" i="1"/>
  <c r="X66" i="1"/>
  <c r="X64" i="1"/>
  <c r="X62" i="1"/>
  <c r="X60" i="1"/>
  <c r="X53" i="1"/>
  <c r="X51" i="1"/>
  <c r="X49" i="1"/>
  <c r="X47" i="1"/>
  <c r="X45" i="1"/>
  <c r="AI37" i="1"/>
  <c r="AI34" i="1"/>
  <c r="U34" i="1"/>
  <c r="S34" i="1" s="1"/>
  <c r="AI33" i="1"/>
  <c r="AI30" i="1"/>
  <c r="T25" i="1"/>
  <c r="AG25" i="1"/>
  <c r="AI23" i="1"/>
  <c r="T22" i="1"/>
  <c r="X22" i="1"/>
  <c r="AG22" i="1"/>
  <c r="W22" i="1" s="1"/>
  <c r="AI19" i="1"/>
  <c r="T18" i="1"/>
  <c r="X18" i="1"/>
  <c r="AG18" i="1"/>
  <c r="W18" i="1" s="1"/>
  <c r="T14" i="1"/>
  <c r="AG14" i="1"/>
  <c r="S15" i="1"/>
  <c r="AD23" i="3"/>
  <c r="Y22" i="3"/>
  <c r="AD16" i="3"/>
  <c r="Y31" i="3"/>
  <c r="AD19" i="3"/>
  <c r="T8" i="3"/>
  <c r="Y10" i="3"/>
  <c r="AD18" i="3"/>
  <c r="T15" i="3"/>
  <c r="Y13" i="3"/>
  <c r="Y20" i="3"/>
  <c r="Y15" i="3"/>
  <c r="AD11" i="3"/>
  <c r="T12" i="3"/>
  <c r="AC28" i="3"/>
  <c r="AD21" i="3"/>
  <c r="AE19" i="3"/>
  <c r="AD24" i="3"/>
  <c r="Y34" i="3"/>
  <c r="Y19" i="3"/>
  <c r="Y8" i="3"/>
  <c r="AE20" i="3"/>
  <c r="AD9" i="3"/>
  <c r="T30" i="3"/>
  <c r="Y23" i="3"/>
  <c r="Y12" i="3"/>
  <c r="AE23" i="3"/>
  <c r="AC33" i="3"/>
  <c r="AE12" i="3"/>
  <c r="AC35" i="3"/>
  <c r="AE34" i="3"/>
  <c r="AC32" i="3"/>
  <c r="Y30" i="3"/>
  <c r="T20" i="3"/>
  <c r="AE30" i="3"/>
  <c r="AC18" i="3"/>
  <c r="AC11" i="3"/>
  <c r="AE22" i="3"/>
  <c r="T22" i="3"/>
  <c r="AE13" i="3"/>
  <c r="AE7" i="3"/>
  <c r="T7" i="3"/>
  <c r="AE29" i="3"/>
  <c r="T29" i="3"/>
  <c r="AD7" i="3"/>
  <c r="AE33" i="3"/>
  <c r="T33" i="3"/>
  <c r="AD22" i="3"/>
  <c r="AE35" i="3"/>
  <c r="T35" i="3"/>
  <c r="AD13" i="3"/>
  <c r="AE32" i="3"/>
  <c r="T32" i="3"/>
  <c r="AD29" i="3"/>
  <c r="AE28" i="3"/>
  <c r="T28" i="3"/>
  <c r="AD26" i="3"/>
  <c r="T25" i="3"/>
  <c r="AD20" i="3"/>
  <c r="AE18" i="3"/>
  <c r="T18" i="3"/>
  <c r="AD15" i="3"/>
  <c r="AE11" i="3"/>
  <c r="T11" i="3"/>
  <c r="T13" i="3"/>
  <c r="AE26" i="3"/>
  <c r="T26" i="3"/>
  <c r="AE14" i="3"/>
  <c r="AE16" i="3"/>
  <c r="AE31" i="3"/>
  <c r="AE27" i="3"/>
  <c r="AE24" i="3"/>
  <c r="AE9" i="3"/>
  <c r="AE21" i="3"/>
  <c r="B4" i="6"/>
  <c r="F4" i="6" s="1"/>
  <c r="B5" i="6"/>
  <c r="F5" i="6" s="1"/>
  <c r="B6" i="6"/>
  <c r="F6" i="6" s="1"/>
  <c r="M17" i="3"/>
  <c r="U17" i="3"/>
  <c r="AE25" i="3" s="1"/>
  <c r="V17" i="3"/>
  <c r="W17" i="3"/>
  <c r="X17" i="3"/>
  <c r="U195" i="1" l="1"/>
  <c r="S195" i="1" s="1"/>
  <c r="U33" i="1"/>
  <c r="S33" i="1" s="1"/>
  <c r="U197" i="1"/>
  <c r="S197" i="1" s="1"/>
  <c r="U78" i="1"/>
  <c r="S78" i="1" s="1"/>
  <c r="W57" i="1"/>
  <c r="U154" i="1"/>
  <c r="S154" i="1" s="1"/>
  <c r="U29" i="1"/>
  <c r="S29" i="1" s="1"/>
  <c r="AI57" i="1"/>
  <c r="U35" i="1"/>
  <c r="S35" i="1" s="1"/>
  <c r="U32" i="1"/>
  <c r="S32" i="1" s="1"/>
  <c r="W32" i="1"/>
  <c r="W33" i="1"/>
  <c r="W26" i="1"/>
  <c r="U74" i="1"/>
  <c r="S74" i="1" s="1"/>
  <c r="W44" i="1"/>
  <c r="W153" i="1"/>
  <c r="AI15" i="1"/>
  <c r="AI72" i="1"/>
  <c r="U193" i="1"/>
  <c r="S193" i="1" s="1"/>
  <c r="W48" i="1"/>
  <c r="AI147" i="1"/>
  <c r="W149" i="1"/>
  <c r="W74" i="1"/>
  <c r="W190" i="1"/>
  <c r="W15" i="1"/>
  <c r="W63" i="1"/>
  <c r="W72" i="1"/>
  <c r="W108" i="1"/>
  <c r="W78" i="1"/>
  <c r="U27" i="1"/>
  <c r="S27" i="1" s="1"/>
  <c r="W76" i="1"/>
  <c r="U162" i="1"/>
  <c r="W154" i="1"/>
  <c r="U50" i="1"/>
  <c r="S50" i="1" s="1"/>
  <c r="U65" i="1"/>
  <c r="S65" i="1" s="1"/>
  <c r="W61" i="1"/>
  <c r="AI50" i="1"/>
  <c r="AI48" i="1"/>
  <c r="W145" i="1"/>
  <c r="U191" i="1"/>
  <c r="S191" i="1" s="1"/>
  <c r="W27" i="1"/>
  <c r="W42" i="1"/>
  <c r="W191" i="1"/>
  <c r="G8" i="6"/>
  <c r="I8" i="6"/>
  <c r="J8" i="6"/>
  <c r="F8" i="6"/>
  <c r="H8" i="6"/>
  <c r="B9" i="6"/>
  <c r="W110" i="1"/>
  <c r="U26" i="1"/>
  <c r="S26" i="1" s="1"/>
  <c r="AI61" i="1"/>
  <c r="W180" i="1"/>
  <c r="AI143" i="1"/>
  <c r="U112" i="1"/>
  <c r="S112" i="1" s="1"/>
  <c r="W192" i="1"/>
  <c r="W91" i="1"/>
  <c r="U28" i="1"/>
  <c r="S28" i="1" s="1"/>
  <c r="W193" i="1"/>
  <c r="W51" i="1"/>
  <c r="W82" i="1"/>
  <c r="AI110" i="1"/>
  <c r="AI112" i="1"/>
  <c r="W73" i="1"/>
  <c r="U106" i="1"/>
  <c r="S106" i="1" s="1"/>
  <c r="AI54" i="1"/>
  <c r="W46" i="1"/>
  <c r="AI46" i="1"/>
  <c r="AI76" i="1"/>
  <c r="W159" i="1"/>
  <c r="AI162" i="1"/>
  <c r="W102" i="1"/>
  <c r="S76" i="1"/>
  <c r="W163" i="1"/>
  <c r="AI182" i="1"/>
  <c r="U52" i="1"/>
  <c r="AI40" i="1"/>
  <c r="S40" i="1"/>
  <c r="W64" i="1"/>
  <c r="S162" i="1"/>
  <c r="S182" i="1"/>
  <c r="W194" i="1"/>
  <c r="W182" i="1"/>
  <c r="W52" i="1"/>
  <c r="W106" i="1"/>
  <c r="W168" i="1"/>
  <c r="W80" i="1"/>
  <c r="W162" i="1"/>
  <c r="W195" i="1"/>
  <c r="W67" i="1"/>
  <c r="W197" i="1"/>
  <c r="U59" i="1"/>
  <c r="S59" i="1" s="1"/>
  <c r="U69" i="1"/>
  <c r="S69" i="1" s="1"/>
  <c r="W147" i="1"/>
  <c r="W164" i="1"/>
  <c r="W166" i="1"/>
  <c r="W54" i="1"/>
  <c r="W50" i="1"/>
  <c r="W59" i="1"/>
  <c r="W65" i="1"/>
  <c r="W69" i="1"/>
  <c r="U80" i="1"/>
  <c r="S80" i="1" s="1"/>
  <c r="AI53" i="1"/>
  <c r="U53" i="1"/>
  <c r="AI70" i="1"/>
  <c r="U70" i="1"/>
  <c r="S70" i="1" s="1"/>
  <c r="AI92" i="1"/>
  <c r="U155" i="1"/>
  <c r="S155" i="1" s="1"/>
  <c r="U119" i="1"/>
  <c r="S119" i="1" s="1"/>
  <c r="AI154" i="1"/>
  <c r="U117" i="1"/>
  <c r="S117" i="1" s="1"/>
  <c r="AI176" i="1"/>
  <c r="U141" i="1"/>
  <c r="S141" i="1" s="1"/>
  <c r="AI184" i="1"/>
  <c r="U149" i="1"/>
  <c r="S148" i="1" s="1"/>
  <c r="U190" i="1"/>
  <c r="S190" i="1" s="1"/>
  <c r="AI192" i="1"/>
  <c r="AI206" i="1"/>
  <c r="U206" i="1"/>
  <c r="S206" i="1" s="1"/>
  <c r="AI214" i="1"/>
  <c r="U214" i="1"/>
  <c r="S214" i="1" s="1"/>
  <c r="W200" i="1"/>
  <c r="W210" i="1"/>
  <c r="AI14" i="1"/>
  <c r="U14" i="1"/>
  <c r="S14" i="1" s="1"/>
  <c r="W14" i="1"/>
  <c r="AI38" i="1"/>
  <c r="U38" i="1"/>
  <c r="S38" i="1" s="1"/>
  <c r="AI45" i="1"/>
  <c r="U45" i="1"/>
  <c r="S45" i="1" s="1"/>
  <c r="AI62" i="1"/>
  <c r="U62" i="1"/>
  <c r="S62" i="1" s="1"/>
  <c r="U75" i="1"/>
  <c r="S75" i="1" s="1"/>
  <c r="AI75" i="1"/>
  <c r="AI22" i="1"/>
  <c r="U22" i="1"/>
  <c r="S22" i="1" s="1"/>
  <c r="U43" i="1"/>
  <c r="S43" i="1" s="1"/>
  <c r="AI43" i="1"/>
  <c r="AI51" i="1"/>
  <c r="U51" i="1"/>
  <c r="S51" i="1" s="1"/>
  <c r="AI60" i="1"/>
  <c r="U60" i="1"/>
  <c r="S60" i="1" s="1"/>
  <c r="AI68" i="1"/>
  <c r="U68" i="1"/>
  <c r="S68" i="1" s="1"/>
  <c r="AI16" i="1"/>
  <c r="U16" i="1"/>
  <c r="S16" i="1" s="1"/>
  <c r="AI24" i="1"/>
  <c r="U24" i="1"/>
  <c r="S24" i="1" s="1"/>
  <c r="W68" i="1"/>
  <c r="AI88" i="1"/>
  <c r="U88" i="1"/>
  <c r="S88" i="1" s="1"/>
  <c r="W45" i="1"/>
  <c r="W70" i="1"/>
  <c r="W155" i="1"/>
  <c r="AI106" i="1"/>
  <c r="U168" i="1"/>
  <c r="S168" i="1" s="1"/>
  <c r="AI108" i="1"/>
  <c r="U170" i="1"/>
  <c r="S170" i="1" s="1"/>
  <c r="W60" i="1"/>
  <c r="W170" i="1"/>
  <c r="AI194" i="1"/>
  <c r="U192" i="1"/>
  <c r="S192" i="1" s="1"/>
  <c r="AI208" i="1"/>
  <c r="U208" i="1"/>
  <c r="S208" i="1" s="1"/>
  <c r="AI200" i="1"/>
  <c r="U198" i="1"/>
  <c r="S198" i="1" s="1"/>
  <c r="W204" i="1"/>
  <c r="AI58" i="1"/>
  <c r="U58" i="1"/>
  <c r="S58" i="1" s="1"/>
  <c r="W119" i="1"/>
  <c r="AI180" i="1"/>
  <c r="U145" i="1"/>
  <c r="S145" i="1" s="1"/>
  <c r="AI188" i="1"/>
  <c r="AI202" i="1"/>
  <c r="U200" i="1"/>
  <c r="S200" i="1" s="1"/>
  <c r="AI210" i="1"/>
  <c r="U210" i="1"/>
  <c r="S210" i="1" s="1"/>
  <c r="AI198" i="1"/>
  <c r="U196" i="1"/>
  <c r="S196" i="1" s="1"/>
  <c r="W206" i="1"/>
  <c r="W214" i="1"/>
  <c r="AI49" i="1"/>
  <c r="U49" i="1"/>
  <c r="S48" i="1" s="1"/>
  <c r="AI66" i="1"/>
  <c r="U66" i="1"/>
  <c r="S66" i="1" s="1"/>
  <c r="W49" i="1"/>
  <c r="W53" i="1"/>
  <c r="AI18" i="1"/>
  <c r="U18" i="1"/>
  <c r="S18" i="1" s="1"/>
  <c r="AI25" i="1"/>
  <c r="U25" i="1"/>
  <c r="S25" i="1" s="1"/>
  <c r="W25" i="1"/>
  <c r="AI42" i="1"/>
  <c r="U42" i="1"/>
  <c r="S42" i="1" s="1"/>
  <c r="AI47" i="1"/>
  <c r="U47" i="1"/>
  <c r="S46" i="1" s="1"/>
  <c r="AI56" i="1"/>
  <c r="U56" i="1"/>
  <c r="S56" i="1" s="1"/>
  <c r="AI64" i="1"/>
  <c r="U64" i="1"/>
  <c r="S64" i="1" s="1"/>
  <c r="AI20" i="1"/>
  <c r="U20" i="1"/>
  <c r="S20" i="1" s="1"/>
  <c r="W58" i="1"/>
  <c r="AI96" i="1"/>
  <c r="U159" i="1"/>
  <c r="S159" i="1" s="1"/>
  <c r="W62" i="1"/>
  <c r="AI102" i="1"/>
  <c r="U164" i="1"/>
  <c r="S164" i="1" s="1"/>
  <c r="AI100" i="1"/>
  <c r="U163" i="1"/>
  <c r="S163" i="1" s="1"/>
  <c r="AI98" i="1"/>
  <c r="U161" i="1"/>
  <c r="S161" i="1" s="1"/>
  <c r="AI104" i="1"/>
  <c r="U166" i="1"/>
  <c r="S166" i="1" s="1"/>
  <c r="W43" i="1"/>
  <c r="AI73" i="1"/>
  <c r="U73" i="1"/>
  <c r="S73" i="1" s="1"/>
  <c r="W161" i="1"/>
  <c r="W117" i="1"/>
  <c r="AI204" i="1"/>
  <c r="U204" i="1"/>
  <c r="S204" i="1" s="1"/>
  <c r="AI212" i="1"/>
  <c r="U212" i="1"/>
  <c r="S212" i="1" s="1"/>
  <c r="AI196" i="1"/>
  <c r="U194" i="1"/>
  <c r="S194" i="1" s="1"/>
  <c r="W208" i="1"/>
  <c r="W196" i="1"/>
  <c r="AD25" i="3"/>
  <c r="I5" i="6"/>
  <c r="I4" i="6"/>
  <c r="I6" i="6"/>
  <c r="G6" i="6"/>
  <c r="G5" i="6"/>
  <c r="G4" i="6"/>
  <c r="J6" i="6"/>
  <c r="J5" i="6"/>
  <c r="J4" i="6"/>
  <c r="R17" i="3"/>
  <c r="S17" i="3"/>
  <c r="AD17" i="3"/>
  <c r="Y17" i="3"/>
  <c r="AC17" i="3"/>
  <c r="AE17" i="3"/>
  <c r="T17" i="3"/>
  <c r="Z13" i="1"/>
  <c r="Y13" i="1"/>
  <c r="G9" i="6" l="1"/>
  <c r="H9" i="6"/>
  <c r="I9" i="6"/>
  <c r="F9" i="6"/>
  <c r="J9" i="6"/>
  <c r="B10" i="6"/>
  <c r="S52" i="1"/>
  <c r="B11" i="6" l="1"/>
  <c r="G10" i="6"/>
  <c r="F10" i="6"/>
  <c r="I10" i="6"/>
  <c r="J10" i="6"/>
  <c r="H10" i="6"/>
  <c r="AM13" i="1"/>
  <c r="B12" i="6" l="1"/>
  <c r="I11" i="6"/>
  <c r="F11" i="6"/>
  <c r="J11" i="6"/>
  <c r="G11" i="6"/>
  <c r="H11" i="6"/>
  <c r="M28" i="5"/>
  <c r="G12" i="6" l="1"/>
  <c r="I12" i="6"/>
  <c r="J12" i="6"/>
  <c r="F12" i="6"/>
  <c r="H12" i="6"/>
  <c r="B13" i="6"/>
  <c r="B14" i="6" l="1"/>
  <c r="G13" i="6"/>
  <c r="H13" i="6"/>
  <c r="F13" i="6"/>
  <c r="I13" i="6"/>
  <c r="J13" i="6"/>
  <c r="B3" i="6"/>
  <c r="B15" i="6" l="1"/>
  <c r="G14" i="6"/>
  <c r="F14" i="6"/>
  <c r="J14" i="6"/>
  <c r="I14" i="6"/>
  <c r="H14" i="6"/>
  <c r="J3" i="6"/>
  <c r="F3" i="6"/>
  <c r="I3" i="6"/>
  <c r="G3" i="6"/>
  <c r="B16" i="6" l="1"/>
  <c r="I15" i="6"/>
  <c r="F15" i="6"/>
  <c r="J15" i="6"/>
  <c r="G15" i="6"/>
  <c r="H15" i="6"/>
  <c r="G16" i="6" l="1"/>
  <c r="I16" i="6"/>
  <c r="J16" i="6"/>
  <c r="F16" i="6"/>
  <c r="H16" i="6"/>
  <c r="B17" i="6"/>
  <c r="G17" i="6" l="1"/>
  <c r="H17" i="6"/>
  <c r="J17" i="6"/>
  <c r="I17" i="6"/>
  <c r="F17" i="6"/>
  <c r="B18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1" i="3" s="1"/>
  <c r="G26" i="4"/>
  <c r="N11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5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30" i="3" s="1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H4" i="6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N19" i="3" s="1"/>
  <c r="G147" i="4"/>
  <c r="G148" i="4"/>
  <c r="G149" i="4"/>
  <c r="G150" i="4"/>
  <c r="N13" i="3" s="1"/>
  <c r="G151" i="4"/>
  <c r="G152" i="4"/>
  <c r="G153" i="4"/>
  <c r="G154" i="4"/>
  <c r="G155" i="4"/>
  <c r="N34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16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22" i="3" s="1"/>
  <c r="G186" i="4"/>
  <c r="G187" i="4"/>
  <c r="G188" i="4"/>
  <c r="G189" i="4"/>
  <c r="N35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33" i="3" s="1"/>
  <c r="G220" i="4"/>
  <c r="G221" i="4"/>
  <c r="G222" i="4"/>
  <c r="N7" i="3" s="1"/>
  <c r="G223" i="4"/>
  <c r="G224" i="4"/>
  <c r="G225" i="4"/>
  <c r="G226" i="4"/>
  <c r="G227" i="4"/>
  <c r="G228" i="4"/>
  <c r="G229" i="4"/>
  <c r="N23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B19" i="6" l="1"/>
  <c r="G18" i="6"/>
  <c r="F18" i="6"/>
  <c r="J18" i="6"/>
  <c r="I18" i="6"/>
  <c r="H18" i="6"/>
  <c r="N8" i="3"/>
  <c r="N31" i="3"/>
  <c r="N32" i="3"/>
  <c r="N9" i="3"/>
  <c r="N14" i="3"/>
  <c r="N12" i="3"/>
  <c r="N29" i="3"/>
  <c r="N27" i="3"/>
  <c r="N28" i="3"/>
  <c r="N26" i="3"/>
  <c r="N24" i="3"/>
  <c r="N10" i="3"/>
  <c r="N25" i="3"/>
  <c r="N20" i="3"/>
  <c r="H6" i="6"/>
  <c r="N18" i="3"/>
  <c r="H5" i="6"/>
  <c r="N17" i="3"/>
  <c r="H3" i="6"/>
  <c r="L13" i="1"/>
  <c r="I19" i="6" l="1"/>
  <c r="F19" i="6"/>
  <c r="J19" i="6"/>
  <c r="G19" i="6"/>
  <c r="H19" i="6"/>
  <c r="B20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G20" i="6" l="1"/>
  <c r="I20" i="6"/>
  <c r="J20" i="6"/>
  <c r="F20" i="6"/>
  <c r="H20" i="6"/>
  <c r="B21" i="6"/>
  <c r="K13" i="1"/>
  <c r="M13" i="1"/>
  <c r="N13" i="1" s="1"/>
  <c r="V13" i="1"/>
  <c r="AB13" i="1"/>
  <c r="AC13" i="1"/>
  <c r="AD13" i="1"/>
  <c r="X14" i="1" s="1"/>
  <c r="AE13" i="1"/>
  <c r="G21" i="6" l="1"/>
  <c r="H21" i="6"/>
  <c r="I21" i="6"/>
  <c r="F21" i="6"/>
  <c r="J21" i="6"/>
  <c r="B22" i="6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3" i="6" l="1"/>
  <c r="G22" i="6"/>
  <c r="F22" i="6"/>
  <c r="I22" i="6"/>
  <c r="J22" i="6"/>
  <c r="H2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4" i="6" l="1"/>
  <c r="I23" i="6"/>
  <c r="F23" i="6"/>
  <c r="J23" i="6"/>
  <c r="G23" i="6"/>
  <c r="H23" i="6"/>
  <c r="M30" i="5"/>
  <c r="M29" i="5"/>
  <c r="M27" i="5"/>
  <c r="G24" i="6" l="1"/>
  <c r="I24" i="6"/>
  <c r="J24" i="6"/>
  <c r="F24" i="6"/>
  <c r="H24" i="6"/>
  <c r="B25" i="6"/>
  <c r="M26" i="5"/>
  <c r="G25" i="6" l="1"/>
  <c r="H25" i="6"/>
  <c r="I25" i="6"/>
  <c r="F25" i="6"/>
  <c r="J25" i="6"/>
  <c r="B26" i="6"/>
  <c r="AH13" i="1"/>
  <c r="J7" i="1"/>
  <c r="B27" i="6" l="1"/>
  <c r="G26" i="6"/>
  <c r="F26" i="6"/>
  <c r="I26" i="6"/>
  <c r="J26" i="6"/>
  <c r="H26" i="6"/>
  <c r="X6" i="1"/>
  <c r="W6" i="1"/>
  <c r="V6" i="1"/>
  <c r="S6" i="1"/>
  <c r="R2" i="1"/>
  <c r="I2" i="1"/>
  <c r="O6" i="1"/>
  <c r="N6" i="1"/>
  <c r="M6" i="1"/>
  <c r="J6" i="1"/>
  <c r="I27" i="6" l="1"/>
  <c r="F27" i="6"/>
  <c r="J27" i="6"/>
  <c r="G27" i="6"/>
  <c r="H27" i="6"/>
  <c r="B28" i="6"/>
  <c r="P3" i="5"/>
  <c r="G28" i="6" l="1"/>
  <c r="I28" i="6"/>
  <c r="J28" i="6"/>
  <c r="F28" i="6"/>
  <c r="H28" i="6"/>
  <c r="B29" i="6"/>
  <c r="M18" i="5"/>
  <c r="G29" i="6" l="1"/>
  <c r="H29" i="6"/>
  <c r="I29" i="6"/>
  <c r="F29" i="6"/>
  <c r="J29" i="6"/>
  <c r="B30" i="6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31" i="6" l="1"/>
  <c r="G30" i="6"/>
  <c r="F30" i="6"/>
  <c r="I30" i="6"/>
  <c r="J30" i="6"/>
  <c r="H30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32" i="6" l="1"/>
  <c r="I31" i="6"/>
  <c r="F31" i="6"/>
  <c r="J31" i="6"/>
  <c r="G31" i="6"/>
  <c r="H31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I32" i="6" l="1"/>
  <c r="F32" i="6"/>
  <c r="J32" i="6"/>
  <c r="G32" i="6"/>
  <c r="H32" i="6"/>
  <c r="B33" i="6"/>
  <c r="M14" i="5"/>
  <c r="M13" i="5"/>
  <c r="M12" i="5"/>
  <c r="M11" i="5"/>
  <c r="M10" i="5"/>
  <c r="M9" i="5"/>
  <c r="M8" i="5"/>
  <c r="M7" i="5"/>
  <c r="M6" i="5"/>
  <c r="M5" i="5"/>
  <c r="M4" i="5"/>
  <c r="M3" i="5"/>
  <c r="F33" i="6" l="1"/>
  <c r="H33" i="6"/>
  <c r="J33" i="6"/>
  <c r="G33" i="6"/>
  <c r="I33" i="6"/>
  <c r="B34" i="6"/>
  <c r="U13" i="1"/>
  <c r="S13" i="1" s="1"/>
  <c r="O2" i="3"/>
  <c r="O3" i="3" s="1"/>
  <c r="I34" i="6" l="1"/>
  <c r="F34" i="6"/>
  <c r="J34" i="6"/>
  <c r="G34" i="6"/>
  <c r="H34" i="6"/>
  <c r="B3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I35" i="6" l="1"/>
  <c r="J35" i="6"/>
  <c r="F35" i="6"/>
  <c r="G35" i="6"/>
  <c r="H35" i="6"/>
  <c r="B36" i="6"/>
  <c r="J8" i="1"/>
  <c r="J4" i="1"/>
  <c r="S8" i="1"/>
  <c r="S4" i="1"/>
  <c r="F36" i="6" l="1"/>
  <c r="I36" i="6"/>
  <c r="J36" i="6"/>
  <c r="H36" i="6"/>
  <c r="G36" i="6"/>
  <c r="B37" i="6"/>
  <c r="S9" i="1"/>
  <c r="J9" i="1"/>
  <c r="B38" i="6" l="1"/>
  <c r="F37" i="6"/>
  <c r="I37" i="6"/>
  <c r="G37" i="6"/>
  <c r="J37" i="6"/>
  <c r="H37" i="6"/>
  <c r="S11" i="1"/>
  <c r="A11" i="1"/>
  <c r="B39" i="6" l="1"/>
  <c r="G38" i="6"/>
  <c r="I38" i="6"/>
  <c r="H38" i="6"/>
  <c r="J38" i="6"/>
  <c r="F38" i="6"/>
  <c r="B1" i="6"/>
  <c r="A5" i="3"/>
  <c r="G39" i="6" l="1"/>
  <c r="F39" i="6"/>
  <c r="I39" i="6"/>
  <c r="J39" i="6"/>
  <c r="H39" i="6"/>
  <c r="B40" i="6"/>
  <c r="F40" i="6" l="1"/>
  <c r="I40" i="6"/>
  <c r="J40" i="6"/>
  <c r="G40" i="6"/>
  <c r="H40" i="6"/>
  <c r="B41" i="6"/>
  <c r="B42" i="6" l="1"/>
  <c r="J41" i="6"/>
  <c r="G41" i="6"/>
  <c r="I41" i="6"/>
  <c r="F41" i="6"/>
  <c r="H41" i="6"/>
  <c r="F42" i="6" l="1"/>
  <c r="G42" i="6"/>
  <c r="H42" i="6"/>
  <c r="I42" i="6"/>
  <c r="J42" i="6"/>
  <c r="B43" i="6"/>
  <c r="J43" i="6" l="1"/>
  <c r="H43" i="6"/>
  <c r="I43" i="6"/>
  <c r="F43" i="6"/>
  <c r="G43" i="6"/>
  <c r="B44" i="6"/>
  <c r="B45" i="6" l="1"/>
  <c r="J44" i="6"/>
  <c r="F44" i="6"/>
  <c r="H44" i="6"/>
  <c r="G44" i="6"/>
  <c r="I44" i="6"/>
  <c r="F45" i="6" l="1"/>
  <c r="I45" i="6"/>
  <c r="G45" i="6"/>
  <c r="H45" i="6"/>
  <c r="J45" i="6"/>
  <c r="B46" i="6"/>
  <c r="G46" i="6" l="1"/>
  <c r="I46" i="6"/>
  <c r="H46" i="6"/>
  <c r="J46" i="6"/>
  <c r="F46" i="6"/>
  <c r="B47" i="6"/>
  <c r="F47" i="6" l="1"/>
  <c r="H47" i="6"/>
  <c r="I47" i="6"/>
  <c r="J47" i="6"/>
  <c r="G47" i="6"/>
  <c r="B48" i="6"/>
  <c r="F48" i="6" l="1"/>
  <c r="I48" i="6"/>
  <c r="J48" i="6"/>
  <c r="G48" i="6"/>
  <c r="H48" i="6"/>
  <c r="B49" i="6"/>
  <c r="B50" i="6" l="1"/>
  <c r="F49" i="6"/>
  <c r="H49" i="6"/>
  <c r="J49" i="6"/>
  <c r="I49" i="6"/>
  <c r="G49" i="6"/>
  <c r="F50" i="6" l="1"/>
  <c r="H50" i="6"/>
  <c r="J50" i="6"/>
  <c r="I50" i="6"/>
  <c r="G50" i="6"/>
  <c r="B51" i="6"/>
  <c r="J51" i="6" l="1"/>
  <c r="H51" i="6"/>
  <c r="F51" i="6"/>
  <c r="I51" i="6"/>
  <c r="G51" i="6"/>
  <c r="B52" i="6"/>
  <c r="B53" i="6" l="1"/>
  <c r="F52" i="6"/>
  <c r="G52" i="6"/>
  <c r="H52" i="6"/>
  <c r="I52" i="6"/>
  <c r="J52" i="6"/>
  <c r="B54" i="6" l="1"/>
  <c r="H53" i="6"/>
  <c r="I53" i="6"/>
  <c r="F53" i="6"/>
  <c r="J53" i="6"/>
  <c r="G53" i="6"/>
  <c r="B55" i="6" l="1"/>
  <c r="I54" i="6"/>
  <c r="F54" i="6"/>
  <c r="H54" i="6"/>
  <c r="J54" i="6"/>
  <c r="G54" i="6"/>
  <c r="F55" i="6" l="1"/>
  <c r="G55" i="6"/>
  <c r="I55" i="6"/>
  <c r="J55" i="6"/>
  <c r="H55" i="6"/>
  <c r="B56" i="6"/>
  <c r="F56" i="6" l="1"/>
  <c r="I56" i="6"/>
  <c r="J56" i="6"/>
  <c r="H56" i="6"/>
  <c r="G56" i="6"/>
  <c r="B57" i="6"/>
  <c r="F57" i="6" l="1"/>
  <c r="H57" i="6"/>
  <c r="G57" i="6"/>
  <c r="J57" i="6"/>
  <c r="I57" i="6"/>
  <c r="B58" i="6"/>
  <c r="B59" i="6" l="1"/>
  <c r="I58" i="6"/>
  <c r="G58" i="6"/>
  <c r="F58" i="6"/>
  <c r="H58" i="6"/>
  <c r="J58" i="6"/>
  <c r="J59" i="6" l="1"/>
  <c r="H59" i="6"/>
  <c r="F59" i="6"/>
  <c r="I59" i="6"/>
  <c r="G59" i="6"/>
  <c r="B60" i="6"/>
  <c r="H60" i="6" l="1"/>
  <c r="J60" i="6"/>
  <c r="F60" i="6"/>
  <c r="G60" i="6"/>
  <c r="I60" i="6"/>
  <c r="B61" i="6"/>
  <c r="H61" i="6" l="1"/>
  <c r="J61" i="6"/>
  <c r="F61" i="6"/>
  <c r="I61" i="6"/>
  <c r="G61" i="6"/>
  <c r="B62" i="6"/>
  <c r="H62" i="6" l="1"/>
  <c r="J62" i="6"/>
  <c r="I62" i="6"/>
  <c r="F62" i="6"/>
  <c r="G62" i="6"/>
  <c r="B63" i="6"/>
  <c r="I63" i="6" l="1"/>
  <c r="G63" i="6"/>
  <c r="F63" i="6"/>
  <c r="H63" i="6"/>
  <c r="J63" i="6"/>
  <c r="B64" i="6"/>
  <c r="B65" i="6" l="1"/>
  <c r="J64" i="6"/>
  <c r="I64" i="6"/>
  <c r="G64" i="6"/>
  <c r="F64" i="6"/>
  <c r="H64" i="6"/>
  <c r="B66" i="6" l="1"/>
  <c r="J65" i="6"/>
  <c r="I65" i="6"/>
  <c r="G65" i="6"/>
  <c r="F65" i="6"/>
  <c r="H65" i="6"/>
  <c r="I66" i="6" l="1"/>
  <c r="F66" i="6"/>
  <c r="H66" i="6"/>
  <c r="J66" i="6"/>
  <c r="G66" i="6"/>
  <c r="B67" i="6"/>
  <c r="B68" i="6" l="1"/>
  <c r="F67" i="6"/>
  <c r="I67" i="6"/>
  <c r="G67" i="6"/>
  <c r="J67" i="6"/>
  <c r="H67" i="6"/>
  <c r="G68" i="6" l="1"/>
  <c r="F68" i="6"/>
  <c r="I68" i="6"/>
  <c r="H68" i="6"/>
  <c r="J68" i="6"/>
  <c r="B69" i="6"/>
  <c r="I69" i="6" l="1"/>
  <c r="F69" i="6"/>
  <c r="J69" i="6"/>
  <c r="G69" i="6"/>
  <c r="H69" i="6"/>
  <c r="B70" i="6"/>
  <c r="G70" i="6" l="1"/>
  <c r="H70" i="6"/>
  <c r="I70" i="6"/>
  <c r="J70" i="6"/>
  <c r="F70" i="6"/>
  <c r="B71" i="6"/>
  <c r="B72" i="6" l="1"/>
  <c r="I71" i="6"/>
  <c r="J71" i="6"/>
  <c r="H71" i="6"/>
  <c r="F71" i="6"/>
  <c r="G71" i="6"/>
  <c r="J72" i="6" l="1"/>
  <c r="I72" i="6"/>
  <c r="G72" i="6"/>
  <c r="F72" i="6"/>
  <c r="H72" i="6"/>
  <c r="B73" i="6"/>
  <c r="B74" i="6" l="1"/>
  <c r="G73" i="6"/>
  <c r="J73" i="6"/>
  <c r="I73" i="6"/>
  <c r="F73" i="6"/>
  <c r="H73" i="6"/>
  <c r="I74" i="6" l="1"/>
  <c r="F74" i="6"/>
  <c r="G74" i="6"/>
  <c r="J74" i="6"/>
  <c r="H74" i="6"/>
  <c r="B75" i="6"/>
  <c r="B76" i="6" l="1"/>
  <c r="I75" i="6"/>
  <c r="F75" i="6"/>
  <c r="G75" i="6"/>
  <c r="J75" i="6"/>
  <c r="H75" i="6"/>
  <c r="G76" i="6" l="1"/>
  <c r="H76" i="6"/>
  <c r="J76" i="6"/>
  <c r="I76" i="6"/>
  <c r="F76" i="6"/>
  <c r="B77" i="6"/>
  <c r="B78" i="6" l="1"/>
  <c r="G77" i="6"/>
  <c r="H77" i="6"/>
  <c r="J77" i="6"/>
  <c r="F77" i="6"/>
  <c r="I77" i="6"/>
  <c r="F78" i="6" l="1"/>
  <c r="G78" i="6"/>
  <c r="I78" i="6"/>
  <c r="H78" i="6"/>
  <c r="J78" i="6"/>
  <c r="B79" i="6"/>
  <c r="G79" i="6" l="1"/>
  <c r="F79" i="6"/>
  <c r="H79" i="6"/>
  <c r="I79" i="6"/>
  <c r="J79" i="6"/>
  <c r="B80" i="6"/>
  <c r="B81" i="6" l="1"/>
  <c r="J80" i="6"/>
  <c r="G80" i="6"/>
  <c r="I80" i="6"/>
  <c r="F80" i="6"/>
  <c r="H80" i="6"/>
  <c r="B82" i="6" l="1"/>
  <c r="J81" i="6"/>
  <c r="I81" i="6"/>
  <c r="G81" i="6"/>
  <c r="F81" i="6"/>
  <c r="H81" i="6"/>
  <c r="H82" i="6" l="1"/>
  <c r="F82" i="6"/>
  <c r="G82" i="6"/>
  <c r="J82" i="6"/>
  <c r="I82" i="6"/>
  <c r="B83" i="6"/>
  <c r="B84" i="6" l="1"/>
  <c r="F83" i="6"/>
  <c r="I83" i="6"/>
  <c r="G83" i="6"/>
  <c r="J83" i="6"/>
  <c r="H83" i="6"/>
  <c r="B85" i="6" l="1"/>
  <c r="J84" i="6"/>
  <c r="F84" i="6"/>
  <c r="G84" i="6"/>
  <c r="H84" i="6"/>
  <c r="I84" i="6"/>
  <c r="I85" i="6" l="1"/>
  <c r="F85" i="6"/>
  <c r="J85" i="6"/>
  <c r="G85" i="6"/>
  <c r="H85" i="6"/>
  <c r="B86" i="6"/>
  <c r="I86" i="6" l="1"/>
  <c r="H86" i="6"/>
  <c r="J86" i="6"/>
  <c r="G86" i="6"/>
  <c r="F86" i="6"/>
  <c r="B87" i="6"/>
  <c r="B88" i="6" l="1"/>
  <c r="I87" i="6"/>
  <c r="J87" i="6"/>
  <c r="H87" i="6"/>
  <c r="F87" i="6"/>
  <c r="G87" i="6"/>
  <c r="J88" i="6" l="1"/>
  <c r="G88" i="6"/>
  <c r="F88" i="6"/>
  <c r="H88" i="6"/>
  <c r="I88" i="6"/>
  <c r="B89" i="6"/>
  <c r="I89" i="6" l="1"/>
  <c r="G89" i="6"/>
  <c r="H89" i="6"/>
  <c r="J89" i="6"/>
  <c r="F89" i="6"/>
  <c r="B90" i="6"/>
  <c r="G90" i="6" l="1"/>
  <c r="F90" i="6"/>
  <c r="H90" i="6"/>
  <c r="J90" i="6"/>
  <c r="I90" i="6"/>
  <c r="B91" i="6"/>
  <c r="B92" i="6" l="1"/>
  <c r="J91" i="6"/>
  <c r="F91" i="6"/>
  <c r="H91" i="6"/>
  <c r="G91" i="6"/>
  <c r="I91" i="6"/>
  <c r="B93" i="6" l="1"/>
  <c r="J92" i="6"/>
  <c r="F92" i="6"/>
  <c r="G92" i="6"/>
  <c r="H92" i="6"/>
  <c r="I92" i="6"/>
  <c r="H93" i="6" l="1"/>
  <c r="G93" i="6"/>
  <c r="I93" i="6"/>
  <c r="F93" i="6"/>
  <c r="J93" i="6"/>
  <c r="B94" i="6"/>
  <c r="G94" i="6" l="1"/>
  <c r="I94" i="6"/>
  <c r="H94" i="6"/>
  <c r="J94" i="6"/>
  <c r="F94" i="6"/>
  <c r="B95" i="6"/>
  <c r="B96" i="6" l="1"/>
  <c r="J95" i="6"/>
  <c r="F95" i="6"/>
  <c r="H95" i="6"/>
  <c r="G95" i="6"/>
  <c r="I95" i="6"/>
  <c r="B97" i="6" l="1"/>
  <c r="J96" i="6"/>
  <c r="I96" i="6"/>
  <c r="F96" i="6"/>
  <c r="G96" i="6"/>
  <c r="H96" i="6"/>
  <c r="B98" i="6" l="1"/>
  <c r="J97" i="6"/>
  <c r="F97" i="6"/>
  <c r="I97" i="6"/>
  <c r="G97" i="6"/>
  <c r="H97" i="6"/>
  <c r="I98" i="6" l="1"/>
  <c r="J98" i="6"/>
  <c r="F98" i="6"/>
  <c r="H98" i="6"/>
  <c r="G98" i="6"/>
  <c r="B99" i="6"/>
  <c r="F99" i="6" l="1"/>
  <c r="J99" i="6"/>
  <c r="H99" i="6"/>
  <c r="G99" i="6"/>
  <c r="I99" i="6"/>
  <c r="B100" i="6"/>
  <c r="J100" i="6" l="1"/>
  <c r="I100" i="6"/>
  <c r="G100" i="6"/>
  <c r="F100" i="6"/>
  <c r="H100" i="6"/>
  <c r="B101" i="6"/>
  <c r="B102" i="6" l="1"/>
  <c r="F101" i="6"/>
  <c r="G101" i="6"/>
  <c r="H101" i="6"/>
  <c r="I101" i="6"/>
  <c r="J101" i="6"/>
  <c r="F102" i="6" l="1"/>
  <c r="G102" i="6"/>
  <c r="H102" i="6"/>
  <c r="I102" i="6"/>
  <c r="J102" i="6"/>
  <c r="B103" i="6"/>
  <c r="B104" i="6" l="1"/>
  <c r="J103" i="6"/>
  <c r="F103" i="6"/>
  <c r="I103" i="6"/>
  <c r="G103" i="6"/>
  <c r="H103" i="6"/>
  <c r="F104" i="6" l="1"/>
  <c r="H104" i="6"/>
  <c r="I104" i="6"/>
  <c r="G104" i="6"/>
  <c r="J104" i="6"/>
  <c r="B105" i="6"/>
  <c r="B106" i="6" l="1"/>
  <c r="H105" i="6"/>
  <c r="G105" i="6"/>
  <c r="I105" i="6"/>
  <c r="F105" i="6"/>
  <c r="J105" i="6"/>
  <c r="B107" i="6" l="1"/>
  <c r="J106" i="6"/>
  <c r="H106" i="6"/>
  <c r="I106" i="6"/>
  <c r="F106" i="6"/>
  <c r="G106" i="6"/>
  <c r="J107" i="6" l="1"/>
  <c r="H107" i="6"/>
  <c r="F107" i="6"/>
  <c r="G107" i="6"/>
  <c r="I107" i="6"/>
  <c r="B108" i="6"/>
  <c r="I108" i="6" l="1"/>
  <c r="J108" i="6"/>
  <c r="F108" i="6"/>
  <c r="H108" i="6"/>
  <c r="G108" i="6"/>
  <c r="B109" i="6"/>
  <c r="B110" i="6" l="1"/>
  <c r="F109" i="6"/>
  <c r="I109" i="6"/>
  <c r="J109" i="6"/>
  <c r="G109" i="6"/>
  <c r="H109" i="6"/>
  <c r="B111" i="6" l="1"/>
  <c r="F110" i="6"/>
  <c r="I110" i="6"/>
  <c r="G110" i="6"/>
  <c r="H110" i="6"/>
  <c r="J110" i="6"/>
  <c r="B112" i="6" l="1"/>
  <c r="J111" i="6"/>
  <c r="I111" i="6"/>
  <c r="H111" i="6"/>
  <c r="G111" i="6"/>
  <c r="F111" i="6"/>
  <c r="B113" i="6" l="1"/>
  <c r="H112" i="6"/>
  <c r="I112" i="6"/>
  <c r="J112" i="6"/>
  <c r="F112" i="6"/>
  <c r="G112" i="6"/>
  <c r="I113" i="6" l="1"/>
  <c r="G113" i="6"/>
  <c r="H113" i="6"/>
  <c r="J113" i="6"/>
  <c r="F113" i="6"/>
  <c r="B114" i="6"/>
  <c r="B115" i="6" l="1"/>
  <c r="G114" i="6"/>
  <c r="I114" i="6"/>
  <c r="J114" i="6"/>
  <c r="H114" i="6"/>
  <c r="F114" i="6"/>
  <c r="F115" i="6" l="1"/>
  <c r="H115" i="6"/>
  <c r="J115" i="6"/>
  <c r="G115" i="6"/>
  <c r="I115" i="6"/>
  <c r="B116" i="6"/>
  <c r="H116" i="6" l="1"/>
  <c r="F116" i="6"/>
  <c r="G116" i="6"/>
  <c r="J116" i="6"/>
  <c r="I116" i="6"/>
  <c r="B117" i="6"/>
  <c r="I117" i="6" l="1"/>
  <c r="H117" i="6"/>
  <c r="G117" i="6"/>
  <c r="F117" i="6"/>
  <c r="J117" i="6"/>
  <c r="B118" i="6"/>
  <c r="H118" i="6" l="1"/>
  <c r="I118" i="6"/>
  <c r="J118" i="6"/>
  <c r="G118" i="6"/>
  <c r="F118" i="6"/>
  <c r="B119" i="6"/>
  <c r="J119" i="6" l="1"/>
  <c r="G119" i="6"/>
  <c r="F119" i="6"/>
  <c r="I119" i="6"/>
  <c r="H119" i="6"/>
  <c r="B120" i="6"/>
  <c r="J120" i="6" l="1"/>
  <c r="F120" i="6"/>
  <c r="H120" i="6"/>
  <c r="I120" i="6"/>
  <c r="G120" i="6"/>
  <c r="B121" i="6"/>
  <c r="I121" i="6" l="1"/>
  <c r="G121" i="6"/>
  <c r="H121" i="6"/>
  <c r="F121" i="6"/>
  <c r="J121" i="6"/>
  <c r="B122" i="6"/>
  <c r="B123" i="6" l="1"/>
  <c r="J122" i="6"/>
  <c r="G122" i="6"/>
  <c r="H122" i="6"/>
  <c r="F122" i="6"/>
  <c r="I122" i="6"/>
  <c r="J123" i="6" l="1"/>
  <c r="F123" i="6"/>
  <c r="H123" i="6"/>
  <c r="G123" i="6"/>
  <c r="I123" i="6"/>
  <c r="B124" i="6"/>
  <c r="B125" i="6" l="1"/>
  <c r="J124" i="6"/>
  <c r="G124" i="6"/>
  <c r="H124" i="6"/>
  <c r="F124" i="6"/>
  <c r="I124" i="6"/>
  <c r="B126" i="6" l="1"/>
  <c r="F125" i="6"/>
  <c r="H125" i="6"/>
  <c r="I125" i="6"/>
  <c r="G125" i="6"/>
  <c r="J125" i="6"/>
  <c r="B127" i="6" l="1"/>
  <c r="J126" i="6"/>
  <c r="I126" i="6"/>
  <c r="F126" i="6"/>
  <c r="G126" i="6"/>
  <c r="H126" i="6"/>
  <c r="B128" i="6" l="1"/>
  <c r="J127" i="6"/>
  <c r="H127" i="6"/>
  <c r="G127" i="6"/>
  <c r="I127" i="6"/>
  <c r="F127" i="6"/>
  <c r="G128" i="6" l="1"/>
  <c r="I128" i="6"/>
  <c r="H128" i="6"/>
  <c r="J128" i="6"/>
  <c r="F128" i="6"/>
  <c r="B129" i="6"/>
  <c r="B130" i="6" l="1"/>
  <c r="J129" i="6"/>
  <c r="F129" i="6"/>
  <c r="I129" i="6"/>
  <c r="G129" i="6"/>
  <c r="H129" i="6"/>
  <c r="F130" i="6" l="1"/>
  <c r="G130" i="6"/>
  <c r="I130" i="6"/>
  <c r="H130" i="6"/>
  <c r="J130" i="6"/>
  <c r="B131" i="6"/>
  <c r="F131" i="6" l="1"/>
  <c r="H131" i="6"/>
  <c r="G131" i="6"/>
  <c r="I131" i="6"/>
  <c r="J131" i="6"/>
  <c r="B132" i="6"/>
  <c r="J132" i="6" l="1"/>
  <c r="H132" i="6"/>
  <c r="F132" i="6"/>
  <c r="I132" i="6"/>
  <c r="G132" i="6"/>
  <c r="B133" i="6"/>
  <c r="I133" i="6" l="1"/>
  <c r="F133" i="6"/>
  <c r="H133" i="6"/>
  <c r="G133" i="6"/>
  <c r="J133" i="6"/>
  <c r="B134" i="6"/>
  <c r="F134" i="6" l="1"/>
  <c r="H134" i="6"/>
  <c r="G134" i="6"/>
  <c r="J134" i="6"/>
  <c r="I134" i="6"/>
  <c r="B135" i="6"/>
  <c r="J135" i="6" l="1"/>
  <c r="F135" i="6"/>
  <c r="G135" i="6"/>
  <c r="H135" i="6"/>
  <c r="I135" i="6"/>
  <c r="B136" i="6"/>
  <c r="G136" i="6" l="1"/>
  <c r="H136" i="6"/>
  <c r="I136" i="6"/>
  <c r="J136" i="6"/>
  <c r="F136" i="6"/>
  <c r="B137" i="6"/>
  <c r="B138" i="6" l="1"/>
  <c r="H137" i="6"/>
  <c r="G137" i="6"/>
  <c r="I137" i="6"/>
  <c r="J137" i="6"/>
  <c r="F137" i="6"/>
  <c r="B139" i="6" l="1"/>
  <c r="J138" i="6"/>
  <c r="G138" i="6"/>
  <c r="H138" i="6"/>
  <c r="F138" i="6"/>
  <c r="I138" i="6"/>
  <c r="H139" i="6" l="1"/>
  <c r="F139" i="6"/>
  <c r="G139" i="6"/>
  <c r="I139" i="6"/>
  <c r="J139" i="6"/>
  <c r="B140" i="6"/>
  <c r="F140" i="6" l="1"/>
  <c r="I140" i="6"/>
  <c r="H140" i="6"/>
  <c r="J140" i="6"/>
  <c r="G140" i="6"/>
  <c r="B141" i="6"/>
  <c r="F141" i="6" l="1"/>
  <c r="G141" i="6"/>
  <c r="J141" i="6"/>
  <c r="H141" i="6"/>
  <c r="I141" i="6"/>
  <c r="B142" i="6"/>
  <c r="B143" i="6" l="1"/>
  <c r="H142" i="6"/>
  <c r="I142" i="6"/>
  <c r="J142" i="6"/>
  <c r="F142" i="6"/>
  <c r="G142" i="6"/>
  <c r="B144" i="6" l="1"/>
  <c r="J143" i="6"/>
  <c r="I143" i="6"/>
  <c r="H143" i="6"/>
  <c r="G143" i="6"/>
  <c r="F143" i="6"/>
  <c r="B146" i="6" l="1"/>
  <c r="B145" i="6"/>
  <c r="F144" i="6"/>
  <c r="I144" i="6"/>
  <c r="G144" i="6"/>
  <c r="H144" i="6"/>
  <c r="J144" i="6"/>
  <c r="G145" i="6" l="1"/>
  <c r="H145" i="6"/>
  <c r="J145" i="6"/>
  <c r="F145" i="6"/>
  <c r="I145" i="6"/>
  <c r="J146" i="6"/>
  <c r="F146" i="6"/>
  <c r="G146" i="6"/>
  <c r="H146" i="6"/>
  <c r="I14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<sst xmlns="http://schemas.openxmlformats.org/spreadsheetml/2006/main" count="2473" uniqueCount="876">
  <si>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</si>
  <si>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</si>
  <si>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</si>
  <si>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</si>
  <si>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</si>
  <si>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</si>
  <si>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</si>
  <si>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</si>
  <si>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</si>
  <si>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</si>
  <si>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</si>
  <si>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</si>
  <si>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</si>
  <si>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</si>
  <si>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</si>
  <si>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</si>
  <si>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</si>
  <si>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</si>
  <si>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</si>
  <si>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</si>
  <si>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</si>
  <si>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</si>
  <si>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</si>
  <si>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</si>
  <si>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</si>
  <si>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</si>
  <si>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</si>
  <si>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</si>
  <si>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</si>
  <si>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</si>
  <si>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</si>
  <si>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</si>
  <si>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</si>
  <si>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</si>
  <si>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</si>
  <si>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</si>
  <si>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</si>
  <si>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</si>
  <si>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</si>
  <si>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</si>
  <si>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</si>
  <si>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</si>
  <si>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</si>
  <si>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</si>
  <si>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</si>
  <si>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</si>
  <si>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</si>
  <si>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</si>
  <si>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</si>
  <si>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</si>
  <si>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</si>
  <si>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</si>
  <si>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</si>
  <si>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</si>
  <si>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</si>
  <si>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</si>
  <si>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</si>
  <si>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</si>
  <si>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</si>
  <si>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</si>
  <si>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</si>
  <si>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</si>
  <si>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</si>
  <si>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</si>
  <si>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</si>
  <si>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</si>
  <si>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</si>
  <si>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</si>
  <si>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</si>
  <si>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</si>
  <si>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</si>
  <si>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</si>
  <si>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</si>
  <si>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</si>
  <si>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</si>
  <si>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</si>
  <si>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</si>
  <si>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</si>
  <si>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</si>
  <si>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</si>
  <si>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</si>
  <si>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</si>
  <si>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</si>
  <si>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</si>
  <si>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</si>
  <si>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</si>
  <si>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</si>
  <si>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</si>
  <si>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</si>
  <si>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</si>
  <si>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</si>
  <si>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</si>
  <si>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</si>
  <si>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</si>
  <si>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</si>
  <si>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</si>
  <si>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</si>
  <si>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</si>
  <si>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</si>
  <si>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</si>
  <si>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</si>
  <si>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</si>
  <si>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</si>
  <si>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</si>
  <si>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</si>
  <si>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</si>
  <si>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</si>
  <si>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</si>
  <si>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</si>
  <si>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</si>
  <si>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</si>
  <si>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</si>
  <si>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</si>
  <si>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</si>
  <si>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</si>
  <si>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</si>
  <si>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</si>
  <si>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</si>
  <si>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</si>
  <si>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</si>
  <si>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</si>
  <si>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</si>
  <si>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</si>
  <si>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</si>
  <si>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</si>
  <si>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</si>
  <si>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</si>
  <si>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</si>
  <si>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</si>
  <si>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</si>
  <si>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</si>
  <si>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</si>
  <si>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</si>
  <si>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</si>
  <si>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</si>
  <si>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</si>
  <si>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</si>
  <si>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</si>
  <si>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</si>
  <si>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</si>
  <si>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</si>
  <si>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</si>
  <si>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</si>
  <si>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</si>
  <si>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</si>
  <si>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</si>
  <si>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</si>
  <si>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</si>
  <si>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</si>
  <si>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</si>
  <si>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</si>
  <si>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</si>
  <si>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</si>
  <si>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</si>
  <si>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</si>
  <si>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</si>
  <si>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</si>
  <si>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</si>
  <si>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</si>
  <si>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</si>
  <si>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</si>
  <si>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</si>
  <si>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</si>
  <si>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</si>
  <si>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</si>
  <si>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</si>
  <si>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</si>
  <si>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</si>
  <si>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</si>
  <si>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</si>
  <si>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</si>
  <si>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</si>
  <si>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</si>
  <si>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</si>
  <si>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</si>
  <si>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</si>
  <si>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</si>
  <si>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</si>
  <si>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</si>
  <si>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</si>
  <si>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</si>
  <si>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</si>
  <si>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</si>
  <si>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</si>
  <si>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</si>
  <si>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</si>
  <si>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</si>
  <si>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</si>
  <si>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</si>
  <si>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</si>
  <si>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</si>
  <si>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</si>
  <si>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</si>
  <si>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</si>
  <si>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</si>
  <si>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</si>
  <si>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</si>
  <si>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</si>
  <si>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</si>
  <si>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</si>
  <si>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</si>
  <si>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</si>
  <si>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</si>
  <si>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</si>
  <si>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</si>
  <si>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</si>
  <si>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</si>
  <si>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</si>
  <si>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</si>
  <si>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</si>
  <si>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</si>
  <si>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</si>
  <si>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</si>
  <si>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</si>
  <si>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</si>
  <si>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</si>
  <si>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</si>
  <si>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</si>
  <si>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</si>
  <si>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</si>
  <si>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</si>
  <si>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</si>
  <si>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</si>
  <si>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</si>
  <si>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</si>
  <si>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</si>
  <si>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</si>
  <si>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</si>
  <si>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</si>
  <si>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</si>
  <si>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</si>
  <si>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</si>
  <si>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</si>
  <si>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</si>
  <si>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</si>
  <si>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</si>
  <si>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</si>
  <si>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</si>
  <si>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</si>
  <si>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</si>
  <si>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</si>
  <si>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</si>
  <si>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</si>
  <si>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</si>
  <si>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</si>
  <si>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</si>
  <si>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</si>
  <si>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</si>
  <si>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</si>
  <si>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</si>
  <si>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</si>
  <si>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</si>
  <si>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</si>
  <si>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</si>
  <si>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</si>
  <si>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</si>
  <si>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</si>
  <si>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</si>
  <si>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</si>
  <si>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</si>
  <si>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</si>
  <si>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</si>
  <si>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</si>
  <si>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</si>
  <si>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</si>
  <si>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</si>
  <si>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</si>
  <si>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</si>
  <si>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</si>
  <si>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</si>
  <si>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</si>
  <si>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</si>
  <si>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</si>
  <si>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</si>
  <si>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</si>
  <si>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</si>
  <si>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204:152</t>
  </si>
  <si>
    <t>HILLS</t>
  </si>
  <si>
    <t>DUSTIN</t>
  </si>
  <si>
    <t>BROWN</t>
  </si>
  <si>
    <t>JACOB</t>
  </si>
  <si>
    <t>204:158</t>
  </si>
  <si>
    <t>204:141</t>
  </si>
  <si>
    <t>rtdc.l.rtdc.4025:itc</t>
  </si>
  <si>
    <t>315-23</t>
  </si>
  <si>
    <t>204:232971</t>
  </si>
  <si>
    <t>204:457</t>
  </si>
  <si>
    <t>204:156</t>
  </si>
  <si>
    <t>300:58931</t>
  </si>
  <si>
    <t>rtdc.l.rtdc.4018:itc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</si>
  <si>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</si>
  <si>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</si>
  <si>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</si>
  <si>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</si>
  <si>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</si>
  <si>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</si>
  <si>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</si>
  <si>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YORK</t>
  </si>
  <si>
    <t>EDGAR</t>
  </si>
  <si>
    <t>204:467</t>
  </si>
  <si>
    <t>204:233000</t>
  </si>
  <si>
    <t>204:232967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</si>
  <si>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</si>
  <si>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</si>
  <si>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</si>
  <si>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</si>
  <si>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</si>
  <si>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</si>
  <si>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</si>
  <si>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</si>
  <si>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204:232990</t>
  </si>
  <si>
    <t>204:475</t>
  </si>
  <si>
    <t>204:232983</t>
  </si>
  <si>
    <t>204:233298</t>
  </si>
  <si>
    <t>204:446</t>
  </si>
  <si>
    <t>204:232981</t>
  </si>
  <si>
    <t>rtdc.l.rtdc.4032:itc</t>
  </si>
  <si>
    <t>CRAYTON</t>
  </si>
  <si>
    <t>QUNTRELL</t>
  </si>
  <si>
    <t>204:233295</t>
  </si>
  <si>
    <t>300:58613</t>
  </si>
  <si>
    <t>rtdc.l.rtdc.4010:itc</t>
  </si>
  <si>
    <t>PERMANENT SPEED RESTRICTION</t>
  </si>
  <si>
    <t>Speed (6)</t>
  </si>
  <si>
    <t>Y</t>
  </si>
  <si>
    <t>DUNCAN</t>
  </si>
  <si>
    <t>SHEILA</t>
  </si>
  <si>
    <t>precipAccumulation</t>
  </si>
  <si>
    <t>precipType</t>
  </si>
  <si>
    <t>snow</t>
  </si>
  <si>
    <t>204:469</t>
  </si>
  <si>
    <t>204:233288</t>
  </si>
  <si>
    <t>204:233314</t>
  </si>
  <si>
    <t>204:165</t>
  </si>
  <si>
    <t>204:466</t>
  </si>
  <si>
    <t>300:23314</t>
  </si>
  <si>
    <t>300:58619</t>
  </si>
  <si>
    <t>300:58617</t>
  </si>
  <si>
    <t>rtdc.l.rtdc.4001:itc</t>
  </si>
  <si>
    <t>ISHMAEL</t>
  </si>
  <si>
    <t>JOSEPH</t>
  </si>
  <si>
    <t>HELVIE</t>
  </si>
  <si>
    <t>ADAM</t>
  </si>
  <si>
    <t>BRUDER</t>
  </si>
  <si>
    <t>RICHARD</t>
  </si>
  <si>
    <t>NELSON</t>
  </si>
  <si>
    <t>ARIANE</t>
  </si>
  <si>
    <t>315-04</t>
  </si>
  <si>
    <t>204:232987</t>
  </si>
  <si>
    <t>204:136</t>
  </si>
  <si>
    <t>204:233291</t>
  </si>
  <si>
    <t>204:233301</t>
  </si>
  <si>
    <t>204:488</t>
  </si>
  <si>
    <t>204:232988</t>
  </si>
  <si>
    <t>204:232993</t>
  </si>
  <si>
    <t>204:233299</t>
  </si>
  <si>
    <t>204:484</t>
  </si>
  <si>
    <t>204:232968</t>
  </si>
  <si>
    <t>204:232957</t>
  </si>
  <si>
    <t>204:233006</t>
  </si>
  <si>
    <t>300:23308</t>
  </si>
  <si>
    <t>204:752</t>
  </si>
  <si>
    <t>204:960</t>
  </si>
  <si>
    <t>300:58926</t>
  </si>
  <si>
    <t>300:58933</t>
  </si>
  <si>
    <t>rtdc.l.rtdc.4019:itc</t>
  </si>
  <si>
    <t>JOHN</t>
  </si>
  <si>
    <t>ROBINSON</t>
  </si>
  <si>
    <t>KADDIBA</t>
  </si>
  <si>
    <t>rtdc.l.rtdc.4020:itc</t>
  </si>
  <si>
    <t>SHOOK</t>
  </si>
  <si>
    <t>rtdc.l.rtdc.4028:itc</t>
  </si>
  <si>
    <t>KILLION</t>
  </si>
  <si>
    <t>DAVID</t>
  </si>
  <si>
    <t>DELGADO</t>
  </si>
  <si>
    <t>DIANAH</t>
  </si>
  <si>
    <t>rtdc.l.rtdc.4027:itc</t>
  </si>
  <si>
    <t>DIANE</t>
  </si>
  <si>
    <t>MACDONALD</t>
  </si>
  <si>
    <t>THOMAS</t>
  </si>
  <si>
    <t>313-05</t>
  </si>
  <si>
    <t>60-06</t>
  </si>
  <si>
    <t>315-05</t>
  </si>
  <si>
    <t>Mostly Cloudy</t>
  </si>
  <si>
    <t>204:233293</t>
  </si>
  <si>
    <t>204:233309</t>
  </si>
  <si>
    <t>204:232969</t>
  </si>
  <si>
    <t>204:233276</t>
  </si>
  <si>
    <t>204:232994</t>
  </si>
  <si>
    <t>204:232979</t>
  </si>
  <si>
    <t>204:440</t>
  </si>
  <si>
    <t>204:232970</t>
  </si>
  <si>
    <t>204:433</t>
  </si>
  <si>
    <t>204:232984</t>
  </si>
  <si>
    <t>204:233324</t>
  </si>
  <si>
    <t>204:233330</t>
  </si>
  <si>
    <t>204:232974</t>
  </si>
  <si>
    <t>204:233008</t>
  </si>
  <si>
    <t>204:1018</t>
  </si>
  <si>
    <t>204:438</t>
  </si>
  <si>
    <t>204:114</t>
  </si>
  <si>
    <t>204:233280</t>
  </si>
  <si>
    <t>300:23346</t>
  </si>
  <si>
    <t>300:58935</t>
  </si>
  <si>
    <t>300:58630</t>
  </si>
  <si>
    <t>204:675</t>
  </si>
  <si>
    <t>300:58937</t>
  </si>
  <si>
    <t>204:988</t>
  </si>
  <si>
    <t>300:58623</t>
  </si>
  <si>
    <t>Cancelled</t>
  </si>
  <si>
    <t>103-08</t>
  </si>
  <si>
    <t>106-08</t>
  </si>
  <si>
    <t>rtdc.l.rtdc.4026:itc</t>
  </si>
  <si>
    <t>108-08</t>
  </si>
  <si>
    <t>139-08</t>
  </si>
  <si>
    <t>149-08</t>
  </si>
  <si>
    <t>154-08</t>
  </si>
  <si>
    <t>169-08</t>
  </si>
  <si>
    <t>171-08</t>
  </si>
  <si>
    <t>168-08</t>
  </si>
  <si>
    <t>185-08</t>
  </si>
  <si>
    <t>174-08</t>
  </si>
  <si>
    <t>182-08</t>
  </si>
  <si>
    <t>186-08</t>
  </si>
  <si>
    <t>1820-08</t>
  </si>
  <si>
    <t>200-08</t>
  </si>
  <si>
    <t>1825-08</t>
  </si>
  <si>
    <t>210-08</t>
  </si>
  <si>
    <t>233-08</t>
  </si>
  <si>
    <t>235-08</t>
  </si>
  <si>
    <t>234-08</t>
  </si>
  <si>
    <t>240-08</t>
  </si>
  <si>
    <t>245-07</t>
  </si>
  <si>
    <t>244-07</t>
  </si>
  <si>
    <t>313-07</t>
  </si>
  <si>
    <t>302-08</t>
  </si>
  <si>
    <t>101-08</t>
  </si>
  <si>
    <t>304-08</t>
  </si>
  <si>
    <t>MAELZER</t>
  </si>
  <si>
    <t>KURT</t>
  </si>
  <si>
    <t>102-08</t>
  </si>
  <si>
    <t>105-08</t>
  </si>
  <si>
    <t>308-08</t>
  </si>
  <si>
    <t>DAVIS</t>
  </si>
  <si>
    <t>WENDY</t>
  </si>
  <si>
    <t>310-08</t>
  </si>
  <si>
    <t>107-08</t>
  </si>
  <si>
    <t>109-08</t>
  </si>
  <si>
    <t>104-08</t>
  </si>
  <si>
    <t>MOSES</t>
  </si>
  <si>
    <t>BRADLEY</t>
  </si>
  <si>
    <t>111-08</t>
  </si>
  <si>
    <t>GEBRETEKLE</t>
  </si>
  <si>
    <t>DAGNEW</t>
  </si>
  <si>
    <t>113-08</t>
  </si>
  <si>
    <t>1901-08</t>
  </si>
  <si>
    <t>115-08</t>
  </si>
  <si>
    <t>1800-08</t>
  </si>
  <si>
    <t>110-08</t>
  </si>
  <si>
    <t>117-08</t>
  </si>
  <si>
    <t>112-08</t>
  </si>
  <si>
    <t>1801-08</t>
  </si>
  <si>
    <t>119-08</t>
  </si>
  <si>
    <t>114-08</t>
  </si>
  <si>
    <t>116-08</t>
  </si>
  <si>
    <t>121-08</t>
  </si>
  <si>
    <t>123-08</t>
  </si>
  <si>
    <t>1802-08</t>
  </si>
  <si>
    <t>118-08</t>
  </si>
  <si>
    <t>127-08</t>
  </si>
  <si>
    <t>1803-08</t>
  </si>
  <si>
    <t>rtdc.l.rtdc.4017:itc</t>
  </si>
  <si>
    <t>122-08</t>
  </si>
  <si>
    <t>129-08</t>
  </si>
  <si>
    <t>131-08</t>
  </si>
  <si>
    <t>124-08</t>
  </si>
  <si>
    <t>1804-08</t>
  </si>
  <si>
    <t>126-08</t>
  </si>
  <si>
    <t>133-08</t>
  </si>
  <si>
    <t>128-08</t>
  </si>
  <si>
    <t>135-08</t>
  </si>
  <si>
    <t>1805-08</t>
  </si>
  <si>
    <t>51-08</t>
  </si>
  <si>
    <t>HAITHCOX</t>
  </si>
  <si>
    <t>130-08</t>
  </si>
  <si>
    <t>137-08</t>
  </si>
  <si>
    <t>132-08</t>
  </si>
  <si>
    <t>134-08</t>
  </si>
  <si>
    <t>1806-08</t>
  </si>
  <si>
    <t>141-08</t>
  </si>
  <si>
    <t>136-08</t>
  </si>
  <si>
    <t>138-08</t>
  </si>
  <si>
    <t>143-08</t>
  </si>
  <si>
    <t>1807-08</t>
  </si>
  <si>
    <t>145-08</t>
  </si>
  <si>
    <t>147-08</t>
  </si>
  <si>
    <t>140-08</t>
  </si>
  <si>
    <t>1808-08</t>
  </si>
  <si>
    <t>142-08</t>
  </si>
  <si>
    <t>144-08</t>
  </si>
  <si>
    <t>1809-08</t>
  </si>
  <si>
    <t>151-08</t>
  </si>
  <si>
    <t>153-08</t>
  </si>
  <si>
    <t>146-08</t>
  </si>
  <si>
    <t>148-08</t>
  </si>
  <si>
    <t>155-08</t>
  </si>
  <si>
    <t>ROMERO</t>
  </si>
  <si>
    <t>CHAD</t>
  </si>
  <si>
    <t>52-08</t>
  </si>
  <si>
    <t>KAMDEN</t>
  </si>
  <si>
    <t>150-08</t>
  </si>
  <si>
    <t>1811-08</t>
  </si>
  <si>
    <t>1810-08</t>
  </si>
  <si>
    <t>157-08</t>
  </si>
  <si>
    <t>152-08</t>
  </si>
  <si>
    <t>159-08</t>
  </si>
  <si>
    <t>STEWART</t>
  </si>
  <si>
    <t>156-08</t>
  </si>
  <si>
    <t>161-08</t>
  </si>
  <si>
    <t>53-08</t>
  </si>
  <si>
    <t>158-08</t>
  </si>
  <si>
    <t>163-08</t>
  </si>
  <si>
    <t>SCOTT</t>
  </si>
  <si>
    <t>56-08</t>
  </si>
  <si>
    <t>1812-08</t>
  </si>
  <si>
    <t>165-08</t>
  </si>
  <si>
    <t>167-08</t>
  </si>
  <si>
    <t>160-08</t>
  </si>
  <si>
    <t>1813-08</t>
  </si>
  <si>
    <t>58-08</t>
  </si>
  <si>
    <t>57-08</t>
  </si>
  <si>
    <t>60-08</t>
  </si>
  <si>
    <t>59-08</t>
  </si>
  <si>
    <t>1814-08</t>
  </si>
  <si>
    <t>166-08</t>
  </si>
  <si>
    <t>175-08</t>
  </si>
  <si>
    <t>1815-08</t>
  </si>
  <si>
    <t>170-08</t>
  </si>
  <si>
    <t>179-08</t>
  </si>
  <si>
    <t>172-08</t>
  </si>
  <si>
    <t>1816-08</t>
  </si>
  <si>
    <t>181-08</t>
  </si>
  <si>
    <t>176-08</t>
  </si>
  <si>
    <t>1817-08</t>
  </si>
  <si>
    <t>180-08</t>
  </si>
  <si>
    <t>187-08</t>
  </si>
  <si>
    <t>189-08</t>
  </si>
  <si>
    <t>1818-08</t>
  </si>
  <si>
    <t>191-08</t>
  </si>
  <si>
    <t>193-08</t>
  </si>
  <si>
    <t>195-08</t>
  </si>
  <si>
    <t>1819-08</t>
  </si>
  <si>
    <t>188-08</t>
  </si>
  <si>
    <t>190-08</t>
  </si>
  <si>
    <t>197-08</t>
  </si>
  <si>
    <t>192-08</t>
  </si>
  <si>
    <t>194-08</t>
  </si>
  <si>
    <t>199-08</t>
  </si>
  <si>
    <t>201-08</t>
  </si>
  <si>
    <t>196-08</t>
  </si>
  <si>
    <t>1821-08</t>
  </si>
  <si>
    <t>203-08</t>
  </si>
  <si>
    <t>198-08</t>
  </si>
  <si>
    <t>205-08</t>
  </si>
  <si>
    <t>1822-08</t>
  </si>
  <si>
    <t>207-08</t>
  </si>
  <si>
    <t>54-08</t>
  </si>
  <si>
    <t>202-08</t>
  </si>
  <si>
    <t>209-08</t>
  </si>
  <si>
    <t>1823-08</t>
  </si>
  <si>
    <t>204-08</t>
  </si>
  <si>
    <t>211-08</t>
  </si>
  <si>
    <t>206-08</t>
  </si>
  <si>
    <t>213-08</t>
  </si>
  <si>
    <t>1824-08</t>
  </si>
  <si>
    <t>208-08</t>
  </si>
  <si>
    <t>62-08</t>
  </si>
  <si>
    <t>PERKINS</t>
  </si>
  <si>
    <t>DARREN</t>
  </si>
  <si>
    <t>69-08</t>
  </si>
  <si>
    <t>215-08</t>
  </si>
  <si>
    <t>61-08</t>
  </si>
  <si>
    <t>217-08</t>
  </si>
  <si>
    <t>64-08</t>
  </si>
  <si>
    <t>SAFIEF</t>
  </si>
  <si>
    <t>AEIMEN</t>
  </si>
  <si>
    <t>63-08</t>
  </si>
  <si>
    <t>212-08</t>
  </si>
  <si>
    <t>219-08</t>
  </si>
  <si>
    <t>214-08</t>
  </si>
  <si>
    <t>1826-08</t>
  </si>
  <si>
    <t>303-08</t>
  </si>
  <si>
    <t>216-08</t>
  </si>
  <si>
    <t>221-08</t>
  </si>
  <si>
    <t>218-08</t>
  </si>
  <si>
    <t>305-08</t>
  </si>
  <si>
    <t>220-08</t>
  </si>
  <si>
    <t>1827-08</t>
  </si>
  <si>
    <t>223-08</t>
  </si>
  <si>
    <t>1828-08</t>
  </si>
  <si>
    <t>307-08</t>
  </si>
  <si>
    <t>225-08</t>
  </si>
  <si>
    <t>222-08</t>
  </si>
  <si>
    <t>224-08</t>
  </si>
  <si>
    <t>227-08</t>
  </si>
  <si>
    <t>1829-08</t>
  </si>
  <si>
    <t>1830-08</t>
  </si>
  <si>
    <t>226-08</t>
  </si>
  <si>
    <t>229-08</t>
  </si>
  <si>
    <t>231-08</t>
  </si>
  <si>
    <t>1831-08</t>
  </si>
  <si>
    <t>228-08</t>
  </si>
  <si>
    <t>1832-08</t>
  </si>
  <si>
    <t>230-08</t>
  </si>
  <si>
    <t>1833-08</t>
  </si>
  <si>
    <t>232-08</t>
  </si>
  <si>
    <t>1902-08</t>
  </si>
  <si>
    <t>237-08</t>
  </si>
  <si>
    <t>236-08</t>
  </si>
  <si>
    <t>239-08</t>
  </si>
  <si>
    <t>238-08</t>
  </si>
  <si>
    <t>241-08</t>
  </si>
  <si>
    <t>243-08</t>
  </si>
  <si>
    <t>309-08</t>
  </si>
  <si>
    <t>242-08</t>
  </si>
  <si>
    <t>244-08</t>
  </si>
  <si>
    <t>311-08</t>
  </si>
  <si>
    <t>313-08</t>
  </si>
  <si>
    <t>315-08</t>
  </si>
  <si>
    <t>Partly Cloudy</t>
  </si>
  <si>
    <t>partly-cloudy-day</t>
  </si>
  <si>
    <t>rain</t>
  </si>
  <si>
    <t>204:723</t>
  </si>
  <si>
    <t>204:154511</t>
  </si>
  <si>
    <t>204:153967</t>
  </si>
  <si>
    <t>204:797</t>
  </si>
  <si>
    <t>204:126080</t>
  </si>
  <si>
    <t>204:153993</t>
  </si>
  <si>
    <t>204:785</t>
  </si>
  <si>
    <t>204:232692</t>
  </si>
  <si>
    <t>204:138</t>
  </si>
  <si>
    <t>204:31044</t>
  </si>
  <si>
    <t>204:232656</t>
  </si>
  <si>
    <t>204:761</t>
  </si>
  <si>
    <t>204:19133</t>
  </si>
  <si>
    <t>204:233317</t>
  </si>
  <si>
    <t>204:233318</t>
  </si>
  <si>
    <t>204:726</t>
  </si>
  <si>
    <t>204:721</t>
  </si>
  <si>
    <t>204:728</t>
  </si>
  <si>
    <t>204:233304</t>
  </si>
  <si>
    <t>204:232985</t>
  </si>
  <si>
    <t>204:1164</t>
  </si>
  <si>
    <t>204:786</t>
  </si>
  <si>
    <t>204:232955</t>
  </si>
  <si>
    <t>204:233308</t>
  </si>
  <si>
    <t>204:233319</t>
  </si>
  <si>
    <t>204:128150</t>
  </si>
  <si>
    <t>204:128493</t>
  </si>
  <si>
    <t>204:233009</t>
  </si>
  <si>
    <t>204:36682</t>
  </si>
  <si>
    <t>204:36860</t>
  </si>
  <si>
    <t>204:233302</t>
  </si>
  <si>
    <t>204:10650</t>
  </si>
  <si>
    <t>204:11203</t>
  </si>
  <si>
    <t>204:19129</t>
  </si>
  <si>
    <t>204:233307</t>
  </si>
  <si>
    <t>204:5940</t>
  </si>
  <si>
    <t>204:233310</t>
  </si>
  <si>
    <t>204:471</t>
  </si>
  <si>
    <t>204:170</t>
  </si>
  <si>
    <t>204:233326</t>
  </si>
  <si>
    <t>204:161</t>
  </si>
  <si>
    <t>204:232964</t>
  </si>
  <si>
    <t>204:232978</t>
  </si>
  <si>
    <t>204:1154</t>
  </si>
  <si>
    <t>204:233323</t>
  </si>
  <si>
    <t>204:233274</t>
  </si>
  <si>
    <t>204:233306</t>
  </si>
  <si>
    <t>204:172</t>
  </si>
  <si>
    <t>204:233286</t>
  </si>
  <si>
    <t>204:197895</t>
  </si>
  <si>
    <t>204:154422</t>
  </si>
  <si>
    <t>204:482</t>
  </si>
  <si>
    <t>204:151821</t>
  </si>
  <si>
    <t>204:497</t>
  </si>
  <si>
    <t>204:128268</t>
  </si>
  <si>
    <t>204:232634</t>
  </si>
  <si>
    <t>204:123204</t>
  </si>
  <si>
    <t>204:982</t>
  </si>
  <si>
    <t>204:232644</t>
  </si>
  <si>
    <t>204:163</t>
  </si>
  <si>
    <t>204:491</t>
  </si>
  <si>
    <t>204:232690</t>
  </si>
  <si>
    <t>204:70</t>
  </si>
  <si>
    <t>204:232980</t>
  </si>
  <si>
    <t>204:1028</t>
  </si>
  <si>
    <t>204:1158</t>
  </si>
  <si>
    <t>204:233004</t>
  </si>
  <si>
    <t>204:232443</t>
  </si>
  <si>
    <t>204:743</t>
  </si>
  <si>
    <t>204:1025</t>
  </si>
  <si>
    <t>300:58929</t>
  </si>
  <si>
    <t>204:754</t>
  </si>
  <si>
    <t>204:1032</t>
  </si>
  <si>
    <t>204:740</t>
  </si>
  <si>
    <t>204:757</t>
  </si>
  <si>
    <t>204:1037</t>
  </si>
  <si>
    <t>204:736</t>
  </si>
  <si>
    <t>204:233334</t>
  </si>
  <si>
    <t>204:731</t>
  </si>
  <si>
    <t>204:1014</t>
  </si>
  <si>
    <t>204:1027</t>
  </si>
  <si>
    <t>300:58621</t>
  </si>
  <si>
    <t>204:745</t>
  </si>
  <si>
    <t>204:766</t>
  </si>
  <si>
    <t>204:1060</t>
  </si>
  <si>
    <t>300:58944</t>
  </si>
  <si>
    <t>204:233002</t>
  </si>
  <si>
    <t>204:127</t>
  </si>
  <si>
    <t>300:58626</t>
  </si>
  <si>
    <t>300:58941</t>
  </si>
  <si>
    <t>300:57337</t>
  </si>
  <si>
    <t>300:49508</t>
  </si>
  <si>
    <t>204:692</t>
  </si>
  <si>
    <t>300:58611</t>
  </si>
  <si>
    <t>204:729</t>
  </si>
  <si>
    <t>204:1016</t>
  </si>
  <si>
    <t>204:747</t>
  </si>
  <si>
    <t>300:58943</t>
  </si>
  <si>
    <t>204:1055</t>
  </si>
  <si>
    <t>204:778</t>
  </si>
  <si>
    <t>204:1058</t>
  </si>
  <si>
    <t>204:1169</t>
  </si>
  <si>
    <t>204:233268</t>
  </si>
  <si>
    <t>204:232387</t>
  </si>
  <si>
    <t>204:67</t>
  </si>
  <si>
    <t>204:817</t>
  </si>
  <si>
    <t>204:416</t>
  </si>
  <si>
    <t>300:30222</t>
  </si>
  <si>
    <t>300:21630</t>
  </si>
  <si>
    <t>204:154</t>
  </si>
  <si>
    <t>204:371</t>
  </si>
  <si>
    <t>204:420</t>
  </si>
  <si>
    <t>204:233332</t>
  </si>
  <si>
    <t>204:233305</t>
  </si>
  <si>
    <t>204:232996</t>
  </si>
  <si>
    <t>204:118</t>
  </si>
  <si>
    <t>204:3862</t>
  </si>
  <si>
    <t>204:233347</t>
  </si>
  <si>
    <t>204:233034</t>
  </si>
  <si>
    <t>204:132</t>
  </si>
  <si>
    <t>204:477</t>
  </si>
  <si>
    <t>204:232950</t>
  </si>
  <si>
    <t>204:178</t>
  </si>
  <si>
    <t>204:422</t>
  </si>
  <si>
    <t>204:233283</t>
  </si>
  <si>
    <t>204:233329</t>
  </si>
  <si>
    <t>204:233221</t>
  </si>
  <si>
    <t>204:233281</t>
  </si>
  <si>
    <t>204:233244</t>
  </si>
  <si>
    <t>204:473</t>
  </si>
  <si>
    <t>204:18898</t>
  </si>
  <si>
    <t>204:176</t>
  </si>
  <si>
    <t>204:18594</t>
  </si>
  <si>
    <t>204:130</t>
  </si>
  <si>
    <t>204:233351</t>
  </si>
  <si>
    <t>204:233055</t>
  </si>
  <si>
    <t>300:23129</t>
  </si>
  <si>
    <t>300:23269</t>
  </si>
  <si>
    <t>300:22113</t>
  </si>
  <si>
    <t>204:489</t>
  </si>
  <si>
    <t>300:23312</t>
  </si>
  <si>
    <t>204:1051</t>
  </si>
  <si>
    <t>300:23306</t>
  </si>
  <si>
    <t>204:737</t>
  </si>
  <si>
    <t>204:3403</t>
  </si>
  <si>
    <t>300:23045</t>
  </si>
  <si>
    <t>300:23301</t>
  </si>
  <si>
    <t>204:343</t>
  </si>
  <si>
    <t>204:426</t>
  </si>
  <si>
    <t>300:24229</t>
  </si>
  <si>
    <t>300:23285</t>
  </si>
  <si>
    <t>300:21985</t>
  </si>
  <si>
    <t>204:84</t>
  </si>
  <si>
    <t>204:383</t>
  </si>
  <si>
    <t>300:24220</t>
  </si>
  <si>
    <t>300:23375</t>
  </si>
  <si>
    <t>204:867</t>
  </si>
  <si>
    <t>204:1186</t>
  </si>
  <si>
    <t>300:24226</t>
  </si>
  <si>
    <t>300:21824</t>
  </si>
  <si>
    <t>204:106</t>
  </si>
  <si>
    <t>204:435</t>
  </si>
  <si>
    <t>300:21326</t>
  </si>
  <si>
    <t>204:897</t>
  </si>
  <si>
    <t>204:1216</t>
  </si>
  <si>
    <t>300:23122</t>
  </si>
  <si>
    <t>204:144</t>
  </si>
  <si>
    <t>204:1492</t>
  </si>
  <si>
    <t>start /low /b %USERPROFILE%\Documents\GitHub\eaglep3\Utilities\DownloadLogsFromS3.py --loco 4002 --day 2017-01-08</t>
  </si>
  <si>
    <t>start /low /b %USERPROFILE%\Documents\GitHub\eaglep3\Utilities\DownloadLogsFromS3.py --loco 4019 --day 2017-01-08</t>
  </si>
  <si>
    <t>start /low /b %USERPROFILE%\Documents\GitHub\eaglep3\Utilities\DownloadLogsFromS3.py --loco 4018 --day 2017-01-08</t>
  </si>
  <si>
    <t>start /low /b %USERPROFILE%\Documents\GitHub\eaglep3\Utilities\DownloadLogsFromS3.py --loco 4010 --day 2017-01-08</t>
  </si>
  <si>
    <t>start /low /b %USERPROFILE%\Documents\GitHub\eaglep3\Utilities\DownloadLogsFromS3.py --loco 4040 --day 2017-01-08</t>
  </si>
  <si>
    <t>start /low /b %USERPROFILE%\Documents\GitHub\eaglep3\Utilities\DownloadLogsFromS3.py --loco 4020 --day 2017-01-08</t>
  </si>
  <si>
    <t>start /low /b %USERPROFILE%\Documents\GitHub\eaglep3\Utilities\DownloadLogsFromS3.py --loco 4017 --day 2017-01-08</t>
  </si>
  <si>
    <t>start /low /b %USERPROFILE%\Documents\GitHub\eaglep3\Utilities\DownloadLogsFromS3.py --loco 4009 --day 2017-01-08</t>
  </si>
  <si>
    <t>start /low /b %USERPROFILE%\Documents\GitHub\eaglep3\Utilities\DownloadLogsFromS3.py --loco 4027 --day 2017-01-08</t>
  </si>
  <si>
    <t>start /low /b %USERPROFILE%\Documents\GitHub\eaglep3\Utilities\DownloadLogsFromS3.py --loco 4022 --day 2017-01-08</t>
  </si>
  <si>
    <t>start /low /b %USERPROFILE%\Documents\GitHub\eaglep3\Utilities\DownloadLogsFromS3.py --loco 4001 --day 2017-01-09</t>
  </si>
  <si>
    <t>start /low /b %USERPROFILE%\Documents\GitHub\eaglep3\Utilities\DownloadLogsFromS3.py --loco 4041 --day 2017-01-08</t>
  </si>
  <si>
    <t>start /low /b %USERPROFILE%\Documents\GitHub\eaglep3\Utilities\DownloadLogsFromS3.py --loco 4043 --day 2017-01-08</t>
  </si>
  <si>
    <t>start /low /b %USERPROFILE%\Documents\GitHub\eaglep3\Utilities\DownloadLogsFromS3.py --loco 4028 --day 2017-01-09</t>
  </si>
  <si>
    <t>start /low /b %USERPROFILE%\Documents\GitHub\eaglep3\Utilities\DownloadLogsFromS3.py --loco 4021 --day 2017-01-08</t>
  </si>
  <si>
    <t>start /low /b %USERPROFILE%\Documents\GitHub\eaglep3\Utilities\DownloadLogsFromS3.py --loco 4026 --day 2017-01-08</t>
  </si>
  <si>
    <t>start /low /b %USERPROFILE%\Documents\GitHub\eaglep3\Utilities\DownloadLogsFromS3.py --loco 4027 --day 2017-01-09</t>
  </si>
  <si>
    <t>start /low /b %USERPROFILE%\Documents\GitHub\eaglep3\Utilities\DownloadLogsFromS3.py --loco 4010 --day 2017-01-09</t>
  </si>
  <si>
    <t>start /low /b %USERPROFILE%\Documents\GitHub\eaglep3\Utilities\DownloadLogsFromS3.py --loco 4025 --day 2017-01-08</t>
  </si>
  <si>
    <t>start /low /b %USERPROFILE%\Documents\GitHub\eaglep3\Utilities\DownloadLogsFromS3.py --loco 4039 --day 2017-01-08</t>
  </si>
  <si>
    <t>start /low /b %USERPROFILE%\Documents\GitHub\eaglep3\Utilities\DownloadLogsFromS3.py --loco 4014 --day 2017-01-08</t>
  </si>
  <si>
    <t>start /low /b %USERPROFILE%\Documents\GitHub\eaglep3\Utilities\DownloadLogsFromS3.py --loco 4008 --day 2017-01-09</t>
  </si>
  <si>
    <t>start /low /b %USERPROFILE%\Documents\GitHub\eaglep3\Utilities\DownloadLogsFromS3.py --loco 4013 --day 2017-01-08</t>
  </si>
  <si>
    <t>start /low /b %USERPROFILE%\Documents\GitHub\eaglep3\Utilities\DownloadLogsFromS3.py --loco 4022 --day 2017-01-09</t>
  </si>
  <si>
    <t>start /low /b %USERPROFILE%\Documents\GitHub\eaglep3\Utilities\DownloadLogsFromS3.py --loco 4044 --day 2017-01-09</t>
  </si>
  <si>
    <t>Wheel slip</t>
  </si>
  <si>
    <t>Onboard in-route failure</t>
  </si>
  <si>
    <t>Overshot platform</t>
  </si>
  <si>
    <t>Bright SW stuck</t>
  </si>
  <si>
    <t>False occupancy at CP 61st</t>
  </si>
  <si>
    <t>Wi-MAX data drop</t>
  </si>
  <si>
    <t>Early arrival</t>
  </si>
  <si>
    <t>Form C</t>
  </si>
  <si>
    <t>Emergency at 38th (brake pressure issue? Slippery track?)</t>
  </si>
  <si>
    <t>NW0487RH 49-1T 1S stuck at STOP &amp; PROCEED</t>
  </si>
  <si>
    <t>Starting from 16:42:55 (and possibly earlier), NW0487RH 49-1T 1S was stuck at STOP &amp; PROCEED for a while. It seems like this was undesired - do logs tell anything?</t>
  </si>
  <si>
    <t>241-08 Pantograph issue</t>
  </si>
  <si>
    <t>Turned around due to 241-08 Pantograph issue</t>
  </si>
  <si>
    <t>40th 2N STOP</t>
  </si>
  <si>
    <t>40th 4S STOP</t>
  </si>
  <si>
    <t>RESTRICTED aspect</t>
  </si>
  <si>
    <t>120-08</t>
  </si>
  <si>
    <t>Did not init</t>
  </si>
  <si>
    <t>125-08</t>
  </si>
  <si>
    <t>BPP stayed low - could not perform departure test</t>
  </si>
  <si>
    <t>SYS :2017/01/08 12:57:49.964:ENFORCEMENT:Predictive Enforcement Action:  Target Number: 00001003  Target Speed:   0.0  Current Speed:   3.8</t>
  </si>
  <si>
    <t>SYS :2017/01/08 12:57:50.023:ENFORCEMENT:Predictive Enforcement Action:  Target Number: 00001003  Target Speed:   0.0  Current Speed:   3.9</t>
  </si>
  <si>
    <t>SYS :2017/01/08 12:57:50.291:ENFORCEMENT:Predictive Enforcement Action:  Target Number: 00001003  Target Speed:   0.0  Current Speed:   3.8</t>
  </si>
  <si>
    <t>SYS :2017/01/08 13:08:29.576:ENFORCEMENT:Predictive Enforcement Action:  Target Number: 0001001F  Target Speed:  30.0  Current Speed:  36.8</t>
  </si>
  <si>
    <t>SYS :2017/01/08 13:08:30.140:ENFORCEMENT:Predictive Enforcement Action:  Target Number: 0001001F  Target Speed:  30.0  Current Speed:  36.7</t>
  </si>
  <si>
    <t>SYS :2017/01/08 15:50:03.031:ENFORCEMENT:Reactive Enforcement Action:  Target Number: 0000605D  Target Speed:   0.0  Current Speed:   5.9</t>
  </si>
  <si>
    <t>SYS :2017/01/08 15:50:03.210:ENFORCEMENT:Reactive Enforcement Action:  Target Number: 00006060  Target Speed:   0.0  Current Speed:   6.0</t>
  </si>
  <si>
    <t>SYS :2017/01/08 15:50:03.893:ENFORCEMENT:Reactive Enforcement Action:  Target Number: 00006067  Target Speed:   0.0  Current Speed:   5.9</t>
  </si>
  <si>
    <t>SYS :2017/01/08 18:37:12.300:ENFORCEMENT:Predictive Enforcement Action:  Target Number: 00017026  Target Speed:  41.0  Current Speed:  46.3</t>
  </si>
  <si>
    <t>SYS :2017/01/08 18:37:12.985:ENFORCEMENT:Predictive Enforcement Action:  Target Number: 00017026  Target Speed:  41.0  Current Speed:  46.1</t>
  </si>
  <si>
    <t>SYS :2017/01/08 18:37:13.035:ENFORCEMENT:Predictive Enforcement Action:  Target Number: 00017026  Target Speed:  41.0  Current Speed:  46.3</t>
  </si>
  <si>
    <t>SYS :2017/01/08 20:47:03.707:ENFORCEMENT:Predictive Enforcement Action:  Target Number: 0000E004  Target Speed:   0.0  Current Speed:   3.5</t>
  </si>
  <si>
    <t>SYS :2017/01/08 20:47:03.833:ENFORCEMENT:Predictive Enforcement Action:  Target Number: 0000E004  Target Speed:   0.0  Current Speed:   3.5</t>
  </si>
  <si>
    <t>SYS :2017/01/08 21:02:53.698:ENFORCEMENT:Predictive Enforcement Action:  Target Number: 00001030  Target Speed:   0.0  Current Speed:   9.7</t>
  </si>
  <si>
    <t>SYS :2017/01/08 21:02:53.828:ENFORCEMENT:Predictive Enforcement Action:  Target Number: 00001030  Target Speed:   0.0  Current Speed:   9.7</t>
  </si>
  <si>
    <t>SYS :2017/01/08 21:03:32.705:ENFORCEMENT:Predictive Enforcement Action:  Target Number: 00001030  Target Speed:   0.0  Current Speed:   5.4</t>
  </si>
  <si>
    <t>SYS :2017/01/08 21:03:32.827:ENFORCEMENT:Predictive Enforcement Action:  Target Number: 00001030  Target Speed:   0.0  Current Speed:   5.4</t>
  </si>
  <si>
    <t>SYS :2017/01/08 21:04:27.699:ENFORCEMENT:Predictive Enforcement Action:  Target Number: 00001030  Target Speed:   0.0  Current Speed:   2.3</t>
  </si>
  <si>
    <t>SYS :2017/01/08 21:31:05.978:ENFORCEMENT:Predictive Enforcement Action:  Target Number: 0000E010  Target Speed:   0.0  Current Speed:   5.4</t>
  </si>
  <si>
    <t>SYS :2017/01/08 21:31:06.462:ENFORCEMENT:Predictive Enforcement Action:  Target Number: 0000E010  Target Speed:   0.0  Current Speed:   5.4</t>
  </si>
  <si>
    <t>SYS :2017/01/08 22:04:17.981:ENFORCEMENT:Predictive Enforcement Action:  Target Number: 00001023  Target Speed:   0.0  Current Speed:   6.1</t>
  </si>
  <si>
    <t>SYS :2017/01/08 22:04:18.448:ENFORCEMENT:Predictive Enforcement Action:  Target Number: 00001023  Target Speed:   0.0  Current Speed:   6.1</t>
  </si>
  <si>
    <t>SYS :2017/01/08 22:04:55.446:ENFORCEMENT:Predictive Enforcement Action:  Target Number: 00001023  Target Speed:   0.0  Current Speed:   3.5</t>
  </si>
  <si>
    <t>SYS :2017/01/08 22:04:55.970:ENFORCEMENT:Predictive Enforcement Action:  Target Number: 00001023  Target Speed:   0.0  Current Speed:   3.5</t>
  </si>
  <si>
    <t>SYS :2017/01/08 22:28:18.715:ENFORCEMENT:Predictive Enforcement Action:  Target Number: 0001025F  Target Speed:  40.0  Current Speed:  46.6</t>
  </si>
  <si>
    <t>SYS :2017/01/08 22:28:19.841:ENFORCEMENT:Predictive Enforcement Action:  Target Number: 0001025C  Target Speed:  40.0  Current Speed:  46.5</t>
  </si>
  <si>
    <t>SYS :2017/01/09 05:07:45.032:ENFORCEMENT:Reactive Enforcement Action:  Target Number: 00010137  Target Speed:  20.0  Current Speed:  25.3</t>
  </si>
  <si>
    <t>SYS :2017/01/09 05:07:45.368:ENFORCEMENT:Reactive Enforcement Action:  Target Number: 00010138  Target Speed:  20.0  Current Speed:  25.3</t>
  </si>
  <si>
    <t>SYS :2017/01/09 05:24:13.038:ENFORCEMENT:Reactive Enforcement Action:  Target Number: 00010145  Target Speed:  60.0  Current Speed:  65.1</t>
  </si>
  <si>
    <t>SYS :2017/01/09 05:24:13.412:ENFORCEMENT:Reactive Enforcement Action:  Target Number: 00010146  Target Speed:  60.0  Current Speed:  65.1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</si>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</sst>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28515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42743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42743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136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COUNTIFS($N$13:$N$9354,"&gt;0",$AG$13:$AG$9354,I1)</f>
        <v>120</v>
      </c>
      <c r="K5" s="41"/>
      <c r="L5" s="41"/>
      <c r="M5" s="42">
        <f>AVERAGEIFS($N$13:$N$9354,$AG$13:$AG$9354,I1)</f>
        <v>41.115694444568362</v>
      </c>
      <c r="N5" s="40">
        <f t="array" ref="N5">MIN(IF($AG$13:$AG$9354=I1,IF(ISNUMBER($N$13:$N$9354),IF($N$13:$N$9354&gt;0,$N$13:$N$9354))))</f>
        <v>7.9333333333488554</v>
      </c>
      <c r="O5" s="3">
        <f t="array" ref="O5">MAX(IF($AG$13:$AG$9354=I1,IF(ISNUMBER($N$13:$N$9354),IF($N$13:$N$9354&gt;0,$N$13:$N$9354))))</f>
        <v>63.183333330089226</v>
      </c>
      <c r="P5" s="2"/>
      <c r="R5" s="76" t="s">
        <v>17</v>
      </c>
      <c r="S5" s="52">
        <f>COUNTIFS($N$13:$N$9354,"&gt;0",$AG$13:$AG$9354,R1)</f>
        <v>33</v>
      </c>
      <c r="T5" s="41"/>
      <c r="U5" s="164"/>
      <c r="V5" s="42">
        <f>AVERAGEIFS($N$13:$N$9354,$AG$13:$AG$9354,R1)</f>
        <v>14.97575757517056</v>
      </c>
      <c r="W5" s="40">
        <f t="array" ref="W5">MIN(IF($AG$13:$AG$9354=R1,IF(ISNUMBER($N$13:$N$9354),IF($N$13:$N$9354&gt;0,$N$13:$N$9354))))</f>
        <v>13.06666667223908</v>
      </c>
      <c r="X5" s="169">
        <f t="array" ref="X5">MAX(IF($AG$13:$AG$9354=R1,IF(ISNUMBER($N$13:$N$9354),IF($N$13:$N$9354&gt;0,$N$13:$N$9354))))</f>
        <v>23.050000002840534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COUNT($O$13:$O$133)</f>
        <v>0</v>
      </c>
      <c r="K6" s="41"/>
      <c r="L6" s="41"/>
      <c r="M6" s="42">
        <f>IFERROR(AVERAGE($O$13:$O$133),0)</f>
        <v>0</v>
      </c>
      <c r="N6" s="40">
        <f>MIN($O$13:$O$133)</f>
        <v>0</v>
      </c>
      <c r="O6" s="3">
        <f>MAX($O$13:$O$133)</f>
        <v>0</v>
      </c>
      <c r="P6" s="2"/>
      <c r="R6" s="77" t="s">
        <v>43</v>
      </c>
      <c r="S6" s="52">
        <f>COUNT($O$13:$O$133)</f>
        <v>0</v>
      </c>
      <c r="T6" s="41"/>
      <c r="U6" s="164"/>
      <c r="V6" s="42">
        <f>IFERROR(AVERAGE($O$13:$O$133),0)</f>
        <v>0</v>
      </c>
      <c r="W6" s="40">
        <f>MIN($O$13:$O$133)</f>
        <v>0</v>
      </c>
      <c r="X6" s="169">
        <f>MAX($O$13:$O$133)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COUNTIFS($P$13:$P$9354,"&gt;0",$AG$13:$AG$9354,I1)</f>
        <v>16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COUNTIFS($P$13:$P$9354,"&gt;0",$AG$13:$AG$9354,R1)</f>
        <v>1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120</v>
      </c>
      <c r="K8" s="41"/>
      <c r="L8" s="41"/>
      <c r="M8" s="42">
        <f>M5</f>
        <v>41.115694444568362</v>
      </c>
      <c r="N8" s="40">
        <f>N5</f>
        <v>7.9333333333488554</v>
      </c>
      <c r="O8" s="3">
        <f>O5</f>
        <v>63.183333330089226</v>
      </c>
      <c r="P8" s="2"/>
      <c r="R8" s="76" t="s">
        <v>16</v>
      </c>
      <c r="S8" s="52">
        <f>S5</f>
        <v>33</v>
      </c>
      <c r="T8" s="41"/>
      <c r="U8" s="164"/>
      <c r="V8" s="42">
        <f>V5</f>
        <v>14.97575757517056</v>
      </c>
      <c r="W8" s="40">
        <f>W5</f>
        <v>13.06666667223908</v>
      </c>
      <c r="X8" s="169">
        <f>X5</f>
        <v>23.050000002840534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0.88235294117647056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0.97058823529411764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- 2017-01-08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AVERAGE(S13:S97)</f>
        <v>0.91563786008230463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302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436</v>
      </c>
      <c r="B13" s="7">
        <v>4002</v>
      </c>
      <c r="C13" s="22" t="s">
        <v>203</v>
      </c>
      <c r="D13" s="22" t="s">
        <v>632</v>
      </c>
      <c r="E13" s="13">
        <v>42743.136365740742</v>
      </c>
      <c r="F13" s="13">
        <v>42743.139490740738</v>
      </c>
      <c r="G13" s="7">
        <v>1</v>
      </c>
      <c r="H13" s="22" t="s">
        <v>633</v>
      </c>
      <c r="I13" s="13">
        <v>42743.161747685182</v>
      </c>
      <c r="J13" s="7">
        <v>0</v>
      </c>
      <c r="K13" s="105" t="str">
        <f t="shared" ref="K13:K79" si="0">IF(ISEVEN(B13),(B13-1)&amp;"/"&amp;B13,B13&amp;"/"&amp;(B13+1))</f>
        <v>4001/4002</v>
      </c>
      <c r="L13" s="22" t="str">
        <f>VLOOKUP(A13,'Trips&amp;Operators'!$C$1:$G$99999,5,FALSE)</f>
        <v>OUN ZACK</v>
      </c>
      <c r="M13" s="6">
        <f t="shared" ref="M13:M79" si="1">I13-F13</f>
        <v>2.2256944444961846E-2</v>
      </c>
      <c r="N13" s="7">
        <f t="shared" ref="N13:P79" si="2">24*60*SUM($M13:$M13)</f>
        <v>32.050000000745058</v>
      </c>
      <c r="O13" s="7"/>
      <c r="P13" s="7"/>
      <c r="Q13" s="23"/>
      <c r="R13" s="23" t="s">
        <v>837</v>
      </c>
      <c r="S13" s="32">
        <f t="shared" ref="S13:S79" si="3">SUM(U13:U13)/IF(AG13="EC",12,1)</f>
        <v>1</v>
      </c>
      <c r="T13" s="47" t="str">
        <f t="shared" ref="T13:T79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9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https://search-rtdc-monitor-bjffxe2xuh6vdkpspy63sjmuny.us-east-1.es.amazonaws.com/_plugin/kibana/#/discover/Steve-Slow-Train-Analysis-(2080s-and-2083s)?_g=(refreshInterval:(display:Off,section:0,value:0),time:(from:'2017-01-08 02:16:22-700',mode:absolute,to:'2017-01-08 04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49" t="str">
        <f t="shared" ref="W13:W79" si="6">IF(AA13&lt;IF(AG13="EC",23,5.65),"Y","N")</f>
        <v>Y</v>
      </c>
      <c r="X13" s="173" t="e">
        <f t="shared" ref="X13:X79" si="7">VALUE(LEFT(AD13,4))-VALUE(LEFT(AD12,4))</f>
        <v>#VALUE!</v>
      </c>
      <c r="Y13" s="64">
        <f t="shared" ref="Y13:Y79" si="8">RIGHT(D13,LEN(D13)-4)/10000</f>
        <v>7.2300000000000003E-2</v>
      </c>
      <c r="Z13" s="64">
        <f t="shared" ref="Z13:Z79" si="9">RIGHT(H13,LEN(H13)-4)/10000</f>
        <v>15.4511</v>
      </c>
      <c r="AA13" s="64">
        <f t="shared" ref="AA13:AA79" si="10">ABS(Z13-Y13)</f>
        <v>15.3788</v>
      </c>
      <c r="AB13" s="61" t="e">
        <f>VLOOKUP(A13,Enforcements!$C$7:$K$18,8,0)</f>
        <v>#N/A</v>
      </c>
      <c r="AC13" s="57" t="e">
        <f>VLOOKUP(A13,Enforcements!$C$7:$E$18,3,0)</f>
        <v>#N/A</v>
      </c>
      <c r="AD13" s="58" t="str">
        <f t="shared" ref="AD13:AD79" si="11">IF(LEN(A13)=6,"0"&amp;A13,A13)</f>
        <v>0101-08</v>
      </c>
      <c r="AE13" s="87" t="str">
        <f t="shared" ref="AE13:AE79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3" s="84" t="str">
        <f t="shared" ref="AF13:AF79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/stypes="app*4002*20170108*" /stext=" 10:.+((SYSTEM_STATE.+slice.+state.+changed )|(ment ac)|(multiple cpu faults)|(system.+state.+changed )|(\[timeout)|(PRM\|1\|D)|(kpr)|(kdp)|(\|lc)|(penalty))" /e /r /s</v>
      </c>
      <c r="AG13" s="1" t="str">
        <f t="shared" ref="AG13:AG79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4002 --swversion DE.1.0.8.0 --startMP 204:723 --initTime 2017-01-08T03:16:22 --startdatetime 2017-01-08T03:20:52 --delay 1 --endMP 204:154511 --enddatetime 2017-01-08T03:52:55 --enforcementcount 0 &gt;&gt;C:\Users\stu\Documents\GitHub\eaglep3-reporting\EC\2017-01-08-refined-times.txt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issue","project_id":79,"tracker_id":40,"status_id":1,"priority_id":2,"assigned_to_id":23,"start_date":"2017-01-08","description":"","custom_fields":[{"id":1,"name":"Subdivision","value":"EC"},{"id":4,"name":"Milepost","value":"15.4511"},{"id":17,"name":"Train ID","value":"101-08"},{"id":16,"name":"Locomotive ID","value":"4002"},{"id":130,"name":"Impact","value":""},{"id":150,"name":"Time of Event (Mountain Time)","value":"03:52:55"},{"id":151,"name":"Denver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4002 --day 2017-01-08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440</v>
      </c>
      <c r="B14" s="7">
        <v>4019</v>
      </c>
      <c r="C14" s="22" t="s">
        <v>203</v>
      </c>
      <c r="D14" s="22" t="s">
        <v>634</v>
      </c>
      <c r="E14" s="13">
        <v>42743.164201388892</v>
      </c>
      <c r="F14" s="13">
        <v>42743.181759259256</v>
      </c>
      <c r="G14" s="7">
        <v>2</v>
      </c>
      <c r="H14" s="22" t="s">
        <v>229</v>
      </c>
      <c r="I14" s="13">
        <v>42743.210601851853</v>
      </c>
      <c r="J14" s="7">
        <v>0</v>
      </c>
      <c r="K14" s="105" t="str">
        <f t="shared" si="0"/>
        <v>4019/4020</v>
      </c>
      <c r="L14" s="22" t="str">
        <f>VLOOKUP(A14,'Trips&amp;Operators'!$C$1:$G$99999,5,FALSE)</f>
        <v>OUN ZACK</v>
      </c>
      <c r="M14" s="6">
        <f t="shared" si="1"/>
        <v>2.8842592597356997E-2</v>
      </c>
      <c r="N14" s="7">
        <f t="shared" si="2"/>
        <v>41.533333340194076</v>
      </c>
      <c r="O14" s="7"/>
      <c r="P14" s="7"/>
      <c r="Q14" s="23"/>
      <c r="R14" s="23" t="s">
        <v>837</v>
      </c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02:56:27-700',mode:absolute,to:'2017-01-08 06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" s="49" t="str">
        <f t="shared" si="6"/>
        <v>Y</v>
      </c>
      <c r="X14" s="173">
        <f t="shared" si="7"/>
        <v>1</v>
      </c>
      <c r="Y14" s="64">
        <f t="shared" si="8"/>
        <v>15.396699999999999</v>
      </c>
      <c r="Z14" s="64">
        <f t="shared" si="9"/>
        <v>1.4500000000000001E-2</v>
      </c>
      <c r="AA14" s="64">
        <f t="shared" si="10"/>
        <v>15.382199999999999</v>
      </c>
      <c r="AB14" s="61" t="e">
        <f>VLOOKUP(A14,Enforcements!$C$7:$K$18,8,0)</f>
        <v>#N/A</v>
      </c>
      <c r="AC14" s="57" t="e">
        <f>VLOOKUP(A14,Enforcements!$C$7:$E$18,3,0)</f>
        <v>#N/A</v>
      </c>
      <c r="AD14" s="58" t="str">
        <f t="shared" si="11"/>
        <v>0102-08</v>
      </c>
      <c r="AE14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4" s="84" t="str">
        <f t="shared" si="13"/>
        <v>"C:\Program Files (x86)\AstroGrep\AstroGrep.exe" /spath="%USERPROFILE%\AppData\Local\Temp\OnboardLogs" /stypes="app*4019*20170108*" /stext=" 12:.+((SYSTEM_STATE.+slice.+state.+changed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4019 --swversion DE.1.0.8.0 --startMP 204:153967 --initTime 2017-01-08T03:56:27 --startdatetime 2017-01-08T04:21:44 --delay 2 --endMP 204:145 --enddatetime 2017-01-08T05:03:16 --enforcementcount 0 &gt;&gt;C:\Users\stu\Documents\GitHub\eaglep3-reporting\EC\2017-01-08-refined-times.txt</v>
      </c>
      <c r="AI14" s="115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issue","project_id":79,"tracker_id":40,"status_id":1,"priority_id":2,"assigned_to_id":23,"start_date":"2017-01-08","description":"","custom_fields":[{"id":1,"name":"Subdivision","value":"EC"},{"id":4,"name":"Milepost","value":"0.0145"},{"id":17,"name":"Train ID","value":"102-08"},{"id":16,"name":"Locomotive ID","value":"4019"},{"id":130,"name":"Impact","value":""},{"id":150,"name":"Time of Event (Mountain Time)","value":"05:03:16"},{"id":151,"name":"Denver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80" si="20">"start /low /b "&amp;dls3logs&amp;" --loco "&amp;B14&amp;" --day "&amp;TEXT(F14,"YYYY-MM-DD")</f>
        <v>start /low /b %USERPROFILE%\Documents\GitHub\eaglep3\Utilities\DownloadLogsFromS3.py --loco 4019 --day 2017-01-08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410</v>
      </c>
      <c r="B15" s="7">
        <v>4018</v>
      </c>
      <c r="C15" s="22" t="s">
        <v>203</v>
      </c>
      <c r="D15" s="22" t="s">
        <v>635</v>
      </c>
      <c r="E15" s="13">
        <v>42743.152627314812</v>
      </c>
      <c r="F15" s="13">
        <v>42743.156504629631</v>
      </c>
      <c r="G15" s="7">
        <v>1</v>
      </c>
      <c r="H15" s="22" t="s">
        <v>636</v>
      </c>
      <c r="I15" s="13">
        <v>42743.178472222222</v>
      </c>
      <c r="J15" s="7">
        <v>0</v>
      </c>
      <c r="K15" s="105" t="str">
        <f t="shared" si="0"/>
        <v>4017/4018</v>
      </c>
      <c r="L15" s="22" t="str">
        <f>VLOOKUP(A15,'Trips&amp;Operators'!$C$1:$G$99999,5,FALSE)</f>
        <v>MAELZER KURT</v>
      </c>
      <c r="M15" s="6">
        <f t="shared" si="1"/>
        <v>2.1967592590954155E-2</v>
      </c>
      <c r="N15" s="7"/>
      <c r="O15" s="7"/>
      <c r="P15" s="7">
        <f t="shared" si="2"/>
        <v>31.633333330973983</v>
      </c>
      <c r="Q15" s="23"/>
      <c r="R15" s="23" t="s">
        <v>837</v>
      </c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02:39:47-700',mode:absolute,to:'2017-01-08 05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49" t="str">
        <f t="shared" si="6"/>
        <v>Y</v>
      </c>
      <c r="X15" s="173">
        <f t="shared" si="7"/>
        <v>1</v>
      </c>
      <c r="Y15" s="64">
        <f t="shared" si="8"/>
        <v>7.9699999999999993E-2</v>
      </c>
      <c r="Z15" s="64">
        <f t="shared" si="9"/>
        <v>12.608000000000001</v>
      </c>
      <c r="AA15" s="64">
        <f t="shared" si="10"/>
        <v>12.5283</v>
      </c>
      <c r="AB15" s="61" t="str">
        <f>VLOOKUP(A15,Enforcements!$C$7:$K$18,8,0)</f>
        <v>Signal based authority (5)</v>
      </c>
      <c r="AC15" s="57" t="str">
        <f>VLOOKUP(A15,Enforcements!$C$7:$E$18,3,0)</f>
        <v>SIGNAL</v>
      </c>
      <c r="AD15" s="58" t="str">
        <f t="shared" si="11"/>
        <v>0103-08</v>
      </c>
      <c r="AE15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15" s="84" t="str">
        <f t="shared" si="13"/>
        <v>"C:\Program Files (x86)\AstroGrep\AstroGrep.exe" /spath="%USERPROFILE%\AppData\Local\Temp\OnboardLogs" /stypes="app*4018*20170108*"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103-08 --locoid 4018 --swversion DE.1.0.8.0 --startMP 204:797 --initTime 2017-01-08T03:39:47 --startdatetime 2017-01-08T03:45:22 --delay 1 --endMP 204:126080 --enddatetime 2017-01-08T04:17:00 --enforcementcount 0 &gt;&gt;C:\Users\stu\Documents\GitHub\eaglep3-reporting\EC\2017-01-08-refined-times.txt</v>
      </c>
      <c r="AI15" s="115" t="str">
        <f t="shared" si="19"/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issue","project_id":79,"tracker_id":40,"status_id":1,"priority_id":2,"assigned_to_id":23,"start_date":"2017-01-08","description":"","custom_fields":[{"id":1,"name":"Subdivision","value":"EC"},{"id":4,"name":"Milepost","value":"12.608"},{"id":17,"name":"Train ID","value":"103-08"},{"id":16,"name":"Locomotive ID","value":"4018"},{"id":130,"name":"Impact","value":""},{"id":150,"name":"Time of Event (Mountain Time)","value":"04:17:00"},{"id":151,"name":"Denver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4018 --day 2017-01-08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448</v>
      </c>
      <c r="B16" s="7">
        <v>4010</v>
      </c>
      <c r="C16" s="22" t="s">
        <v>203</v>
      </c>
      <c r="D16" s="22" t="s">
        <v>637</v>
      </c>
      <c r="E16" s="13">
        <v>42743.210682870369</v>
      </c>
      <c r="F16" s="13">
        <v>42743.212650462963</v>
      </c>
      <c r="G16" s="7">
        <v>1</v>
      </c>
      <c r="H16" s="22" t="s">
        <v>229</v>
      </c>
      <c r="I16" s="13">
        <v>42743.238368055558</v>
      </c>
      <c r="J16" s="7">
        <v>0</v>
      </c>
      <c r="K16" s="105" t="str">
        <f t="shared" si="0"/>
        <v>4009/4010</v>
      </c>
      <c r="L16" s="22" t="str">
        <f>VLOOKUP(A16,'Trips&amp;Operators'!$C$1:$G$99999,5,FALSE)</f>
        <v>MOSES BRADLEY</v>
      </c>
      <c r="M16" s="6">
        <f t="shared" si="1"/>
        <v>2.5717592594446614E-2</v>
      </c>
      <c r="N16" s="7">
        <f t="shared" si="2"/>
        <v>37.033333336003125</v>
      </c>
      <c r="O16" s="7"/>
      <c r="P16" s="7"/>
      <c r="Q16" s="23"/>
      <c r="R16" s="23" t="s">
        <v>837</v>
      </c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04:03:23-700',mode:absolute,to:'2017-01-08 06:43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49" t="str">
        <f t="shared" si="6"/>
        <v>Y</v>
      </c>
      <c r="X16" s="173">
        <f t="shared" si="7"/>
        <v>1</v>
      </c>
      <c r="Y16" s="64">
        <f t="shared" si="8"/>
        <v>15.3993</v>
      </c>
      <c r="Z16" s="64">
        <f t="shared" si="9"/>
        <v>1.4500000000000001E-2</v>
      </c>
      <c r="AA16" s="64">
        <f t="shared" si="10"/>
        <v>15.3848</v>
      </c>
      <c r="AB16" s="61" t="e">
        <f>VLOOKUP(A16,Enforcements!$C$7:$K$18,8,0)</f>
        <v>#N/A</v>
      </c>
      <c r="AC16" s="57" t="e">
        <f>VLOOKUP(A16,Enforcements!$C$7:$E$18,3,0)</f>
        <v>#N/A</v>
      </c>
      <c r="AD16" s="58" t="str">
        <f t="shared" si="11"/>
        <v>0104-08</v>
      </c>
      <c r="AE16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16" s="84" t="str">
        <f t="shared" si="13"/>
        <v>"C:\Program Files (x86)\AstroGrep\AstroGrep.exe" /spath="%USERPROFILE%\AppData\Local\Temp\OnboardLogs" /stypes="app*4010*20170108*"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104-08 --locoid 4010 --swversion DE.1.0.8.0 --startMP 204:153993 --initTime 2017-01-08T05:03:23 --startdatetime 2017-01-08T05:06:13 --delay 1 --endMP 204:145 --enddatetime 2017-01-08T05:43:15 --enforcementcount 0 &gt;&gt;C:\Users\stu\Documents\GitHub\eaglep3-reporting\EC\2017-01-08-refined-times.txt</v>
      </c>
      <c r="AI16" s="115" t="str">
        <f t="shared" si="19"/>
        <v>echo {"issue":{"subject":"Turned around due to 241-08 Pantograph issue","project_id":79,"tracker_id":40,"status_id":1,"priority_id":2,"assigned_to_id":23,"start_date":"2017-01-08","description":"","custom_fields":[{"id":1,"name":"Subdivision","value":"EC"},{"id":4,"name":"Milepost","value":"0.0145"},{"id":17,"name":"Train ID","value":"104-08"},{"id":16,"name":"Locomotive ID","value":"4010"},{"id":130,"name":"Impact","value":""},{"id":150,"name":"Time of Event (Mountain Time)","value":"05:43:15"},{"id":151,"name":"Denver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4010 --day 2017-01-08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441</v>
      </c>
      <c r="B17" s="7">
        <v>4027</v>
      </c>
      <c r="C17" s="22" t="s">
        <v>203</v>
      </c>
      <c r="D17" s="22" t="s">
        <v>638</v>
      </c>
      <c r="E17" s="13">
        <v>42743.166527777779</v>
      </c>
      <c r="F17" s="13">
        <v>42743.17728009259</v>
      </c>
      <c r="G17" s="7">
        <v>3</v>
      </c>
      <c r="H17" s="22" t="s">
        <v>253</v>
      </c>
      <c r="I17" s="13">
        <v>42743.209537037037</v>
      </c>
      <c r="J17" s="7">
        <v>0</v>
      </c>
      <c r="K17" s="105" t="str">
        <f t="shared" si="0"/>
        <v>4027/4028</v>
      </c>
      <c r="L17" s="22" t="str">
        <f>VLOOKUP(A17,'Trips&amp;Operators'!$C$1:$G$99999,5,FALSE)</f>
        <v>ISHMAEL JOSEPH</v>
      </c>
      <c r="M17" s="6">
        <f t="shared" si="1"/>
        <v>3.2256944446999114E-2</v>
      </c>
      <c r="N17" s="7">
        <f t="shared" si="2"/>
        <v>46.450000003678724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02:59:48-700',mode:absolute,to:'2017-01-08 06:01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7.85E-2</v>
      </c>
      <c r="Z17" s="64">
        <f t="shared" si="9"/>
        <v>23.328900000000001</v>
      </c>
      <c r="AA17" s="64">
        <f t="shared" si="10"/>
        <v>23.250400000000003</v>
      </c>
      <c r="AB17" s="61" t="e">
        <f>VLOOKUP(A17,Enforcements!$C$7:$K$18,8,0)</f>
        <v>#N/A</v>
      </c>
      <c r="AC17" s="57" t="e">
        <f>VLOOKUP(A17,Enforcements!$C$7:$E$18,3,0)</f>
        <v>#N/A</v>
      </c>
      <c r="AD17" s="58" t="str">
        <f t="shared" si="11"/>
        <v>0105-08</v>
      </c>
      <c r="AE17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7" s="84" t="str">
        <f t="shared" si="13"/>
        <v>"C:\Program Files (x86)\AstroGrep\AstroGrep.exe" /spath="%USERPROFILE%\AppData\Local\Temp\OnboardLogs" /stypes="app*4027*20170108*" /stext=" 12:.+((SYSTEM_STATE.+slice.+state.+changed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105-08 --locoid 4027 --swversion DE.1.0.8.0 --startMP 204:785 --initTime 2017-01-08T03:59:48 --startdatetime 2017-01-08T04:15:17 --delay 3 --endMP 204:233289 --enddatetime 2017-01-08T05:01:44 --enforcementcount 0 &gt;&gt;C:\Users\stu\Documents\GitHub\eaglep3-reporting\EC\2017-01-08-refined-times.txt</v>
      </c>
      <c r="AI1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{"issue":{"subject":"","project_id":79,"tracker_id":40,"status_id":1,"priority_id":2,"assigned_to_id":23,"start_date":"2017-01-08","description":"","custom_fields":[{"id":1,"name":"Subdivision","value":"EC"},{"id":4,"name":"Milepost","value":"23.3289"},{"id":17,"name":"Train ID","value":"105-08"},{"id":16,"name":"Locomotive ID","value":"4027"},{"id":130,"name":"Impact","value":""},{"id":150,"name":"Time of Event (Mountain Time)","value":"05:01:44"},{"id":151,"name":"Denver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4027 --day 2017-01-08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411</v>
      </c>
      <c r="B18" s="7">
        <v>4021</v>
      </c>
      <c r="C18" s="22" t="s">
        <v>203</v>
      </c>
      <c r="D18" s="22" t="s">
        <v>639</v>
      </c>
      <c r="E18" s="13">
        <v>42743.215879629628</v>
      </c>
      <c r="F18" s="13">
        <v>42743.219305555554</v>
      </c>
      <c r="G18" s="7">
        <v>3</v>
      </c>
      <c r="H18" s="22" t="s">
        <v>640</v>
      </c>
      <c r="I18" s="13">
        <v>42743.248541666668</v>
      </c>
      <c r="J18" s="7">
        <v>0</v>
      </c>
      <c r="K18" s="105" t="str">
        <f t="shared" si="0"/>
        <v>4021/4022</v>
      </c>
      <c r="L18" s="22" t="str">
        <f>VLOOKUP(A18,'Trips&amp;Operators'!$C$1:$G$99999,5,FALSE)</f>
        <v>MAELZER KURT</v>
      </c>
      <c r="M18" s="6">
        <f t="shared" si="1"/>
        <v>2.923611111327773E-2</v>
      </c>
      <c r="N18" s="7">
        <f t="shared" si="2"/>
        <v>42.100000003119931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04:10:52-700',mode:absolute,to:'2017-01-08 06:57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23.269200000000001</v>
      </c>
      <c r="Z18" s="64">
        <f t="shared" si="9"/>
        <v>1.38E-2</v>
      </c>
      <c r="AA18" s="64">
        <f t="shared" si="10"/>
        <v>23.255400000000002</v>
      </c>
      <c r="AB18" s="61" t="e">
        <f>VLOOKUP(A18,Enforcements!$C$7:$K$18,8,0)</f>
        <v>#N/A</v>
      </c>
      <c r="AC18" s="57" t="e">
        <f>VLOOKUP(A18,Enforcements!$C$7:$E$18,3,0)</f>
        <v>#N/A</v>
      </c>
      <c r="AD18" s="58" t="str">
        <f t="shared" si="11"/>
        <v>0106-08</v>
      </c>
      <c r="AE18" s="87" t="str">
        <f t="shared" si="12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8" s="84" t="str">
        <f t="shared" si="13"/>
        <v>"C:\Program Files (x86)\AstroGrep\AstroGrep.exe" /spath="%USERPROFILE%\AppData\Local\Temp\OnboardLogs" /stypes="app*4021*20170108*"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106-08 --locoid 4021 --swversion DE.1.0.8.0 --startMP 204:232692 --initTime 2017-01-08T05:10:52 --startdatetime 2017-01-08T05:15:48 --delay 3 --endMP 204:138 --enddatetime 2017-01-08T05:57:54 --enforcementcount 0 &gt;&gt;C:\Users\stu\Documents\GitHub\eaglep3-reporting\EC\2017-01-08-refined-times.txt</v>
      </c>
      <c r="AI1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{"issue":{"subject":"","project_id":79,"tracker_id":40,"status_id":1,"priority_id":2,"assigned_to_id":23,"start_date":"2017-01-08","description":"","custom_fields":[{"id":1,"name":"Subdivision","value":"EC"},{"id":4,"name":"Milepost","value":"0.0138"},{"id":17,"name":"Train ID","value":"106-08"},{"id":16,"name":"Locomotive ID","value":"4021"},{"id":130,"name":"Impact","value":""},{"id":150,"name":"Time of Event (Mountain Time)","value":"05:57:54"},{"id":151,"name":"Denver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4021 --day 2017-01-08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446</v>
      </c>
      <c r="B19" s="7">
        <v>4040</v>
      </c>
      <c r="C19" s="22" t="s">
        <v>203</v>
      </c>
      <c r="D19" s="22" t="s">
        <v>314</v>
      </c>
      <c r="E19" s="13">
        <v>42743.183298611111</v>
      </c>
      <c r="F19" s="13">
        <v>42743.187743055554</v>
      </c>
      <c r="G19" s="7">
        <v>1</v>
      </c>
      <c r="H19" s="22" t="s">
        <v>641</v>
      </c>
      <c r="I19" s="13">
        <v>42743.193287037036</v>
      </c>
      <c r="J19" s="7">
        <v>0</v>
      </c>
      <c r="K19" s="105" t="str">
        <f t="shared" si="0"/>
        <v>4039/4040</v>
      </c>
      <c r="L19" s="22" t="str">
        <f>VLOOKUP(A19,'Trips&amp;Operators'!$C$1:$G$99999,5,FALSE)</f>
        <v>DAVIS WENDY</v>
      </c>
      <c r="M19" s="6">
        <f t="shared" si="1"/>
        <v>5.543981482333038E-3</v>
      </c>
      <c r="N19" s="7"/>
      <c r="O19" s="7"/>
      <c r="P19" s="7">
        <f t="shared" si="2"/>
        <v>7.9833333345595747</v>
      </c>
      <c r="Q19" s="23"/>
      <c r="R19" s="23" t="s">
        <v>825</v>
      </c>
      <c r="S19" s="32">
        <f t="shared" si="3"/>
        <v>0.16666666666666666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03:23:57-700',mode:absolute,to:'2017-01-08 05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49" t="str">
        <f t="shared" si="6"/>
        <v>Y</v>
      </c>
      <c r="X19" s="173">
        <f t="shared" si="7"/>
        <v>1</v>
      </c>
      <c r="Y19" s="64">
        <f t="shared" si="8"/>
        <v>4.4600000000000001E-2</v>
      </c>
      <c r="Z19" s="64">
        <f t="shared" si="9"/>
        <v>3.1044</v>
      </c>
      <c r="AA19" s="64">
        <f t="shared" si="10"/>
        <v>3.0598000000000001</v>
      </c>
      <c r="AB19" s="61" t="e">
        <f>VLOOKUP(A19,Enforcements!$C$7:$K$18,8,0)</f>
        <v>#N/A</v>
      </c>
      <c r="AC19" s="57" t="e">
        <f>VLOOKUP(A19,Enforcements!$C$7:$E$18,3,0)</f>
        <v>#N/A</v>
      </c>
      <c r="AD19" s="58" t="str">
        <f t="shared" si="11"/>
        <v>0107-08</v>
      </c>
      <c r="AE19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9" s="84" t="str">
        <f t="shared" si="13"/>
        <v>"C:\Program Files (x86)\AstroGrep\AstroGrep.exe" /spath="%USERPROFILE%\AppData\Local\Temp\OnboardLogs" /stypes="app*4040*20170108*" /stext=" 11:.+((SYSTEM_STATE.+slice.+state.+changed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107-08 --locoid 4040 --swversion DE.1.0.8.0 --startMP 204:446 --initTime 2017-01-08T04:23:57 --startdatetime 2017-01-08T04:30:21 --delay 1 --endMP 204:31044 --enddatetime 2017-01-08T04:38:20 --enforcementcount 0 &gt;&gt;C:\Users\stu\Documents\GitHub\eaglep3-reporting\EC\2017-01-08-refined-times.txt</v>
      </c>
      <c r="AI19" s="115" t="str">
        <f t="shared" si="19"/>
        <v>echo {"issue":{"subject":"Wheel slip","project_id":79,"tracker_id":40,"status_id":1,"priority_id":2,"assigned_to_id":23,"start_date":"2017-01-08","description":"","custom_fields":[{"id":1,"name":"Subdivision","value":"EC"},{"id":4,"name":"Milepost","value":"3.1044"},{"id":17,"name":"Train ID","value":"107-08"},{"id":16,"name":"Locomotive ID","value":"4040"},{"id":130,"name":"Impact","value":""},{"id":150,"name":"Time of Event (Mountain Time)","value":"04:38:20"},{"id":151,"name":"Denver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4040 --day 2017-01-08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413</v>
      </c>
      <c r="B20" s="7">
        <v>4026</v>
      </c>
      <c r="C20" s="22" t="s">
        <v>203</v>
      </c>
      <c r="D20" s="22" t="s">
        <v>642</v>
      </c>
      <c r="E20" s="13">
        <v>42743.217997685184</v>
      </c>
      <c r="F20" s="13">
        <v>42743.226597222223</v>
      </c>
      <c r="G20" s="7">
        <v>2</v>
      </c>
      <c r="H20" s="22" t="s">
        <v>276</v>
      </c>
      <c r="I20" s="13">
        <v>42743.262523148151</v>
      </c>
      <c r="J20" s="7">
        <v>0</v>
      </c>
      <c r="K20" s="105" t="str">
        <f t="shared" si="0"/>
        <v>4025/4026</v>
      </c>
      <c r="L20" s="22" t="str">
        <f>VLOOKUP(A20,'Trips&amp;Operators'!$C$1:$G$99999,5,FALSE)</f>
        <v>ISHMAEL JOSEPH</v>
      </c>
      <c r="M20" s="6">
        <f t="shared" si="1"/>
        <v>3.5925925927585922E-2</v>
      </c>
      <c r="N20" s="7">
        <f t="shared" si="2"/>
        <v>51.733333335723728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04:13:55-700',mode:absolute,to:'2017-01-08 07:18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23.265599999999999</v>
      </c>
      <c r="Z20" s="64">
        <f t="shared" si="9"/>
        <v>1.52E-2</v>
      </c>
      <c r="AA20" s="64">
        <f t="shared" si="10"/>
        <v>23.250399999999999</v>
      </c>
      <c r="AB20" s="61" t="str">
        <f>VLOOKUP(A20,Enforcements!$C$7:$K$18,8,0)</f>
        <v>Speed (6)</v>
      </c>
      <c r="AC20" s="57" t="str">
        <f>VLOOKUP(A20,Enforcements!$C$7:$E$18,3,0)</f>
        <v>PERMANENT SPEED RESTRICTION</v>
      </c>
      <c r="AD20" s="58" t="str">
        <f t="shared" si="11"/>
        <v>0108-08</v>
      </c>
      <c r="AE20" s="87" t="str">
        <f t="shared" si="12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20" s="84" t="str">
        <f t="shared" si="13"/>
        <v>"C:\Program Files (x86)\AstroGrep\AstroGrep.exe" /spath="%USERPROFILE%\AppData\Local\Temp\OnboardLogs" /stypes="app*4026*20170108*"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108-08 --locoid 4026 --swversion DE.1.0.8.0 --startMP 204:232656 --initTime 2017-01-08T05:13:55 --startdatetime 2017-01-08T05:26:18 --delay 2 --endMP 204:152 --enddatetime 2017-01-08T06:18:02 --enforcementcount 0 &gt;&gt;C:\Users\stu\Documents\GitHub\eaglep3-reporting\EC\2017-01-08-refined-times.txt</v>
      </c>
      <c r="AI2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ID","value":"108-08"},{"id":16,"name":"Locomotive ID","value":"4026"},{"id":130,"name":"Impact","value":""},{"id":150,"name":"Time of Event (Mountain Time)","value":"06:18:02"},{"id":151,"name":"Denver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4026 --day 2017-01-08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447</v>
      </c>
      <c r="B21" s="7">
        <v>4014</v>
      </c>
      <c r="C21" s="22" t="s">
        <v>203</v>
      </c>
      <c r="D21" s="22" t="s">
        <v>294</v>
      </c>
      <c r="E21" s="13">
        <v>42743.19358796296</v>
      </c>
      <c r="F21" s="13">
        <v>42743.198055555556</v>
      </c>
      <c r="G21" s="7">
        <v>1</v>
      </c>
      <c r="H21" s="22" t="s">
        <v>387</v>
      </c>
      <c r="I21" s="13">
        <v>42743.235868055555</v>
      </c>
      <c r="J21" s="7">
        <v>0</v>
      </c>
      <c r="K21" s="105" t="str">
        <f t="shared" si="0"/>
        <v>4013/4014</v>
      </c>
      <c r="L21" s="22" t="str">
        <f>VLOOKUP(A21,'Trips&amp;Operators'!$C$1:$G$99999,5,FALSE)</f>
        <v>ROBINSON KADDIBA</v>
      </c>
      <c r="M21" s="6">
        <f t="shared" si="1"/>
        <v>3.7812499998835847E-2</v>
      </c>
      <c r="N21" s="7">
        <f t="shared" si="2"/>
        <v>54.449999998323619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03:38:46-700',mode:absolute,to:'2017-01-08 06:39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4.7800000000000002E-2</v>
      </c>
      <c r="Z21" s="64">
        <f t="shared" si="9"/>
        <v>23.3276</v>
      </c>
      <c r="AA21" s="64">
        <f t="shared" si="10"/>
        <v>23.279800000000002</v>
      </c>
      <c r="AB21" s="61" t="e">
        <f>VLOOKUP(A21,Enforcements!$C$7:$K$18,8,0)</f>
        <v>#N/A</v>
      </c>
      <c r="AC21" s="57" t="e">
        <f>VLOOKUP(A21,Enforcements!$C$7:$E$18,3,0)</f>
        <v>#N/A</v>
      </c>
      <c r="AD21" s="58" t="str">
        <f t="shared" si="11"/>
        <v>0109-08</v>
      </c>
      <c r="AE21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21" s="84" t="str">
        <f t="shared" si="13"/>
        <v>"C:\Program Files (x86)\AstroGrep\AstroGrep.exe" /spath="%USERPROFILE%\AppData\Local\Temp\OnboardLogs" /stypes="app*4014*20170108*"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109-08 --locoid 4014 --swversion DE.1.0.8.0 --startMP 204:478 --initTime 2017-01-08T04:38:46 --startdatetime 2017-01-08T04:45:12 --delay 1 --endMP 204:233276 --enddatetime 2017-01-08T05:39:39 --enforcementcount 0 &gt;&gt;C:\Users\stu\Documents\GitHub\eaglep3-reporting\EC\2017-01-08-refined-times.txt</v>
      </c>
      <c r="AI2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{"issue":{"subject":"","project_id":79,"tracker_id":40,"status_id":1,"priority_id":2,"assigned_to_id":23,"start_date":"2017-01-08","description":"","custom_fields":[{"id":1,"name":"Subdivision","value":"EC"},{"id":4,"name":"Milepost","value":"23.3276"},{"id":17,"name":"Train ID","value":"109-08"},{"id":16,"name":"Locomotive ID","value":"4014"},{"id":130,"name":"Impact","value":""},{"id":150,"name":"Time of Event (Mountain Time)","value":"05:39:39"},{"id":151,"name":"Denver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4014 --day 2017-01-08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458</v>
      </c>
      <c r="B22" s="7">
        <v>4039</v>
      </c>
      <c r="C22" s="22" t="s">
        <v>203</v>
      </c>
      <c r="D22" s="22" t="s">
        <v>247</v>
      </c>
      <c r="E22" s="13">
        <v>42743.235381944447</v>
      </c>
      <c r="F22" s="13">
        <v>42743.23777777778</v>
      </c>
      <c r="G22" s="7">
        <v>1</v>
      </c>
      <c r="H22" s="22" t="s">
        <v>314</v>
      </c>
      <c r="I22" s="13">
        <v>42743.268807870372</v>
      </c>
      <c r="J22" s="7">
        <v>0</v>
      </c>
      <c r="K22" s="105" t="str">
        <f t="shared" si="0"/>
        <v>4039/4040</v>
      </c>
      <c r="L22" s="22" t="str">
        <f>VLOOKUP(A22,'Trips&amp;Operators'!$C$1:$G$99999,5,FALSE)</f>
        <v>DAVIS WENDY</v>
      </c>
      <c r="M22" s="6">
        <f t="shared" si="1"/>
        <v>3.1030092592118308E-2</v>
      </c>
      <c r="N22" s="7">
        <f t="shared" si="2"/>
        <v>44.683333332650363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04:38:57-700',mode:absolute,to:'2017-01-08 07:27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23.297699999999999</v>
      </c>
      <c r="Z22" s="64">
        <f t="shared" si="9"/>
        <v>4.4600000000000001E-2</v>
      </c>
      <c r="AA22" s="64">
        <f t="shared" si="10"/>
        <v>23.2531</v>
      </c>
      <c r="AB22" s="61" t="e">
        <f>VLOOKUP(A22,Enforcements!$C$7:$K$18,8,0)</f>
        <v>#N/A</v>
      </c>
      <c r="AC22" s="57" t="e">
        <f>VLOOKUP(A22,Enforcements!$C$7:$E$18,3,0)</f>
        <v>#N/A</v>
      </c>
      <c r="AD22" s="58" t="str">
        <f t="shared" si="11"/>
        <v>0110-08</v>
      </c>
      <c r="AE22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22" s="84" t="str">
        <f t="shared" si="13"/>
        <v>"C:\Program Files (x86)\AstroGrep\AstroGrep.exe" /spath="%USERPROFILE%\AppData\Local\Temp\OnboardLogs" /stypes="app*4039*20170108*"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110-08 --locoid 4039 --swversion DE.1.0.8.0 --startMP 204:232977 --initTime 2017-01-08T05:38:57 --startdatetime 2017-01-08T05:42:24 --delay 1 --endMP 204:446 --enddatetime 2017-01-08T06:27:05 --enforcementcount 0 &gt;&gt;C:\Users\stu\Documents\GitHub\eaglep3-reporting\EC\2017-01-08-refined-times.txt</v>
      </c>
      <c r="AI2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{"issue":{"subject":"","project_id":79,"tracker_id":40,"status_id":1,"priority_id":2,"assigned_to_id":23,"start_date":"2017-01-08","description":"","custom_fields":[{"id":1,"name":"Subdivision","value":"EC"},{"id":4,"name":"Milepost","value":"0.0446"},{"id":17,"name":"Train ID","value":"110-08"},{"id":16,"name":"Locomotive ID","value":"4039"},{"id":130,"name":"Impact","value":""},{"id":150,"name":"Time of Event (Mountain Time)","value":"06:27:05"},{"id":151,"name":"Denver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4039 --day 2017-01-08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451</v>
      </c>
      <c r="B23" s="7">
        <v>4002</v>
      </c>
      <c r="C23" s="22" t="s">
        <v>203</v>
      </c>
      <c r="D23" s="22" t="s">
        <v>643</v>
      </c>
      <c r="E23" s="13">
        <v>42743.215601851851</v>
      </c>
      <c r="F23" s="13">
        <v>42743.217187499999</v>
      </c>
      <c r="G23" s="7">
        <v>1</v>
      </c>
      <c r="H23" s="22" t="s">
        <v>644</v>
      </c>
      <c r="I23" s="13">
        <v>42743.220011574071</v>
      </c>
      <c r="J23" s="7">
        <v>0</v>
      </c>
      <c r="K23" s="105" t="str">
        <f t="shared" si="0"/>
        <v>4001/4002</v>
      </c>
      <c r="L23" s="22" t="str">
        <f>VLOOKUP(A23,'Trips&amp;Operators'!$C$1:$G$99999,5,FALSE)</f>
        <v>GEBRETEKLE DAGNEW</v>
      </c>
      <c r="M23" s="6">
        <f t="shared" si="1"/>
        <v>2.8240740721230395E-3</v>
      </c>
      <c r="N23" s="7"/>
      <c r="O23" s="7"/>
      <c r="P23" s="7">
        <f t="shared" si="2"/>
        <v>4.0666666638571769</v>
      </c>
      <c r="Q23" s="23"/>
      <c r="R23" s="23" t="s">
        <v>826</v>
      </c>
      <c r="S23" s="32">
        <f t="shared" si="3"/>
        <v>0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04:10:28-700',mode:absolute,to:'2017-01-08 06:16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" s="49" t="str">
        <f t="shared" si="6"/>
        <v>Y</v>
      </c>
      <c r="X23" s="173">
        <f t="shared" si="7"/>
        <v>1</v>
      </c>
      <c r="Y23" s="64">
        <f t="shared" si="8"/>
        <v>7.6100000000000001E-2</v>
      </c>
      <c r="Z23" s="64">
        <f t="shared" si="9"/>
        <v>1.9133</v>
      </c>
      <c r="AA23" s="64">
        <f t="shared" si="10"/>
        <v>1.8371999999999999</v>
      </c>
      <c r="AB23" s="61" t="e">
        <f>VLOOKUP(A23,Enforcements!$C$7:$K$18,8,0)</f>
        <v>#N/A</v>
      </c>
      <c r="AC23" s="57" t="e">
        <f>VLOOKUP(A23,Enforcements!$C$7:$E$18,3,0)</f>
        <v>#N/A</v>
      </c>
      <c r="AD23" s="58" t="str">
        <f t="shared" si="11"/>
        <v>0111-08</v>
      </c>
      <c r="AE23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23" s="84" t="str">
        <f t="shared" si="13"/>
        <v>"C:\Program Files (x86)\AstroGrep\AstroGrep.exe" /spath="%USERPROFILE%\AppData\Local\Temp\OnboardLogs" /stypes="app*4002*20170108*"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111-08 --locoid 4002 --swversion DE.1.0.8.0 --startMP 204:761 --initTime 2017-01-08T05:10:28 --startdatetime 2017-01-08T05:12:45 --delay 1 --endMP 204:19133 --enddatetime 2017-01-08T05:16:49 --enforcementcount 0 &gt;&gt;C:\Users\stu\Documents\GitHub\eaglep3-reporting\EC\2017-01-08-refined-times.txt</v>
      </c>
      <c r="AI23" s="115" t="str">
        <f t="shared" si="19"/>
        <v>echo {"issue":{"subject":"Onboard in-route failure","project_id":79,"tracker_id":40,"status_id":1,"priority_id":2,"assigned_to_id":23,"start_date":"2017-01-08","description":"","custom_fields":[{"id":1,"name":"Subdivision","value":"EC"},{"id":4,"name":"Milepost","value":"1.9133"},{"id":17,"name":"Train ID","value":"111-08"},{"id":16,"name":"Locomotive ID","value":"4002"},{"id":130,"name":"Impact","value":""},{"id":150,"name":"Time of Event (Mountain Time)","value":"05:16:49"},{"id":151,"name":"Denver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4002 --day 2017-01-08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460</v>
      </c>
      <c r="B24" s="7">
        <v>4013</v>
      </c>
      <c r="C24" s="22" t="s">
        <v>203</v>
      </c>
      <c r="D24" s="22" t="s">
        <v>391</v>
      </c>
      <c r="E24" s="13">
        <v>42743.245775462965</v>
      </c>
      <c r="F24" s="13">
        <v>42743.247395833336</v>
      </c>
      <c r="G24" s="7">
        <v>1</v>
      </c>
      <c r="H24" s="22" t="s">
        <v>352</v>
      </c>
      <c r="I24" s="13">
        <v>42743.283136574071</v>
      </c>
      <c r="J24" s="7">
        <v>0</v>
      </c>
      <c r="K24" s="105" t="str">
        <f t="shared" si="0"/>
        <v>4013/4014</v>
      </c>
      <c r="L24" s="22" t="str">
        <f>VLOOKUP(A24,'Trips&amp;Operators'!$C$1:$G$99999,5,FALSE)</f>
        <v>ROBINSON KADDIBA</v>
      </c>
      <c r="M24" s="6">
        <f t="shared" si="1"/>
        <v>3.5740740735491272E-2</v>
      </c>
      <c r="N24" s="7">
        <f t="shared" si="2"/>
        <v>51.466666659107432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04:53:55-700',mode:absolute,to:'2017-01-08 07:47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23.297000000000001</v>
      </c>
      <c r="Z24" s="64">
        <f t="shared" si="9"/>
        <v>4.8800000000000003E-2</v>
      </c>
      <c r="AA24" s="64">
        <f t="shared" si="10"/>
        <v>23.248200000000001</v>
      </c>
      <c r="AB24" s="61" t="e">
        <f>VLOOKUP(A24,Enforcements!$C$7:$K$18,8,0)</f>
        <v>#N/A</v>
      </c>
      <c r="AC24" s="57" t="e">
        <f>VLOOKUP(A24,Enforcements!$C$7:$E$18,3,0)</f>
        <v>#N/A</v>
      </c>
      <c r="AD24" s="58" t="str">
        <f t="shared" si="11"/>
        <v>0112-08</v>
      </c>
      <c r="AE24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24" s="84" t="str">
        <f t="shared" si="13"/>
        <v>"C:\Program Files (x86)\AstroGrep\AstroGrep.exe" /spath="%USERPROFILE%\AppData\Local\Temp\OnboardLogs" /stypes="app*4013*20170108*"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112-08 --locoid 4013 --swversion DE.1.0.8.0 --startMP 204:232970 --initTime 2017-01-08T05:53:55 --startdatetime 2017-01-08T05:56:15 --delay 1 --endMP 204:488 --enddatetime 2017-01-08T06:47:43 --enforcementcount 0 &gt;&gt;C:\Users\stu\Documents\GitHub\eaglep3-reporting\EC\2017-01-08-refined-times.txt</v>
      </c>
      <c r="AI2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{"issue":{"subject":"","project_id":79,"tracker_id":40,"status_id":1,"priority_id":2,"assigned_to_id":23,"start_date":"2017-01-08","description":"","custom_fields":[{"id":1,"name":"Subdivision","value":"EC"},{"id":4,"name":"Milepost","value":"0.0488"},{"id":17,"name":"Train ID","value":"112-08"},{"id":16,"name":"Locomotive ID","value":"4013"},{"id":130,"name":"Impact","value":""},{"id":150,"name":"Time of Event (Mountain Time)","value":"06:47:43"},{"id":151,"name":"Denver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4013 --day 2017-01-08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463</v>
      </c>
      <c r="B25" s="7">
        <v>4001</v>
      </c>
      <c r="C25" s="22" t="s">
        <v>203</v>
      </c>
      <c r="D25" s="22" t="s">
        <v>285</v>
      </c>
      <c r="E25" s="13">
        <v>42743.25922453704</v>
      </c>
      <c r="F25" s="13">
        <v>42743.261122685188</v>
      </c>
      <c r="G25" s="7">
        <v>1</v>
      </c>
      <c r="H25" s="22" t="s">
        <v>209</v>
      </c>
      <c r="I25" s="13">
        <v>42743.296817129631</v>
      </c>
      <c r="J25" s="7">
        <v>0</v>
      </c>
      <c r="K25" s="105" t="str">
        <f t="shared" si="0"/>
        <v>4001/4002</v>
      </c>
      <c r="L25" s="22" t="str">
        <f>VLOOKUP(A25,'Trips&amp;Operators'!$C$1:$G$99999,5,FALSE)</f>
        <v>GEBRETEKLE DAGNEW</v>
      </c>
      <c r="M25" s="6">
        <f t="shared" si="1"/>
        <v>3.5694444442924578E-2</v>
      </c>
      <c r="N25" s="7">
        <f t="shared" si="2"/>
        <v>51.399999997811392</v>
      </c>
      <c r="O25" s="7"/>
      <c r="P25" s="7"/>
      <c r="Q25" s="23"/>
      <c r="R25" s="23"/>
      <c r="S25" s="32">
        <f t="shared" si="3"/>
        <v>1</v>
      </c>
      <c r="T25" s="47" t="str">
        <f t="shared" si="4"/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05:13:17-700',mode:absolute,to:'2017-01-08 08:07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5" s="49" t="str">
        <f t="shared" si="6"/>
        <v>N</v>
      </c>
      <c r="X25" s="173">
        <f t="shared" si="7"/>
        <v>2</v>
      </c>
      <c r="Y25" s="64">
        <f t="shared" si="8"/>
        <v>23.2971</v>
      </c>
      <c r="Z25" s="64">
        <f t="shared" si="9"/>
        <v>1.4999999999999999E-2</v>
      </c>
      <c r="AA25" s="64">
        <f t="shared" si="10"/>
        <v>23.2821</v>
      </c>
      <c r="AB25" s="61" t="e">
        <f>VLOOKUP(A25,Enforcements!$C$7:$K$18,8,0)</f>
        <v>#N/A</v>
      </c>
      <c r="AC25" s="57" t="e">
        <f>VLOOKUP(A25,Enforcements!$C$7:$E$18,3,0)</f>
        <v>#N/A</v>
      </c>
      <c r="AD25" s="58" t="str">
        <f t="shared" si="11"/>
        <v>0114-08</v>
      </c>
      <c r="AE25" s="87" t="str">
        <f t="shared" si="12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25" s="84" t="str">
        <f t="shared" si="13"/>
        <v>"C:\Program Files (x86)\AstroGrep\AstroGrep.exe" /spath="%USERPROFILE%\AppData\Local\Temp\OnboardLogs" /stypes="app*4001*20170108*" /stext=" 14:.+((SYSTEM_STATE.+slice.+state.+changed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114-08 --locoid 4001 --swversion DE.1.0.8.0 --startMP 204:232971 --initTime 2017-01-08T06:13:17 --startdatetime 2017-01-08T06:16:01 --delay 1 --endMP 204:150 --enddatetime 2017-01-08T07:07:25 --enforcementcount 0 &gt;&gt;C:\Users\stu\Documents\GitHub\eaglep3-reporting\EC\2017-01-08-refined-times.txt</v>
      </c>
      <c r="AI2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ID","value":"114-08"},{"id":16,"name":"Locomotive ID","value":"4001"},{"id":130,"name":"Impact","value":""},{"id":150,"name":"Time of Event (Mountain Time)","value":"07:07:25"},{"id":151,"name":"Denver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4001 --day 2017-01-08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456</v>
      </c>
      <c r="B26" s="7">
        <v>4020</v>
      </c>
      <c r="C26" s="22" t="s">
        <v>203</v>
      </c>
      <c r="D26" s="22" t="s">
        <v>193</v>
      </c>
      <c r="E26" s="13">
        <v>42743.226701388892</v>
      </c>
      <c r="F26" s="13">
        <v>42743.229571759257</v>
      </c>
      <c r="G26" s="7">
        <v>1</v>
      </c>
      <c r="H26" s="22" t="s">
        <v>645</v>
      </c>
      <c r="I26" s="13">
        <v>42743.265532407408</v>
      </c>
      <c r="J26" s="7">
        <v>0</v>
      </c>
      <c r="K26" s="105" t="str">
        <f t="shared" si="0"/>
        <v>4019/4020</v>
      </c>
      <c r="L26" s="22" t="str">
        <f>VLOOKUP(A26,'Trips&amp;Operators'!$C$1:$G$99999,5,FALSE)</f>
        <v>OUN ZACK</v>
      </c>
      <c r="M26" s="6">
        <f t="shared" si="1"/>
        <v>3.5960648150648922E-2</v>
      </c>
      <c r="N26" s="7">
        <f t="shared" si="2"/>
        <v>51.783333336934447</v>
      </c>
      <c r="O26" s="7"/>
      <c r="P26" s="7"/>
      <c r="Q26" s="23"/>
      <c r="R26" s="23"/>
      <c r="S26" s="32">
        <f t="shared" si="3"/>
        <v>1</v>
      </c>
      <c r="T26" s="47" t="str">
        <f t="shared" si="4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04:26:27-700',mode:absolute,to:'2017-01-08 07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4.4699999999999997E-2</v>
      </c>
      <c r="Z26" s="64">
        <f t="shared" si="9"/>
        <v>23.331700000000001</v>
      </c>
      <c r="AA26" s="64">
        <f t="shared" si="10"/>
        <v>23.287000000000003</v>
      </c>
      <c r="AB26" s="61" t="e">
        <f>VLOOKUP(A26,Enforcements!$C$7:$K$18,8,0)</f>
        <v>#N/A</v>
      </c>
      <c r="AC26" s="57" t="e">
        <f>VLOOKUP(A26,Enforcements!$C$7:$E$18,3,0)</f>
        <v>#N/A</v>
      </c>
      <c r="AD26" s="58" t="str">
        <f t="shared" si="11"/>
        <v>0115-08</v>
      </c>
      <c r="AE26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26" s="84" t="str">
        <f t="shared" si="13"/>
        <v>"C:\Program Files (x86)\AstroGrep\AstroGrep.exe" /spath="%USERPROFILE%\AppData\Local\Temp\OnboardLogs" /stypes="app*4020*20170108*"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115-08 --locoid 4020 --swversion DE.1.0.8.0 --startMP 204:447 --initTime 2017-01-08T05:26:27 --startdatetime 2017-01-08T05:30:35 --delay 1 --endMP 204:233317 --enddatetime 2017-01-08T06:22:22 --enforcementcount 0 &gt;&gt;C:\Users\stu\Documents\GitHub\eaglep3-reporting\EC\2017-01-08-refined-times.txt</v>
      </c>
      <c r="AI26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{"issue":{"subject":"","project_id":79,"tracker_id":40,"status_id":1,"priority_id":2,"assigned_to_id":23,"start_date":"2017-01-08","description":"","custom_fields":[{"id":1,"name":"Subdivision","value":"EC"},{"id":4,"name":"Milepost","value":"23.3317"},{"id":17,"name":"Train ID","value":"115-08"},{"id":16,"name":"Locomotive ID","value":"4020"},{"id":130,"name":"Impact","value":""},{"id":150,"name":"Time of Event (Mountain Time)","value":"06:22:22"},{"id":151,"name":"Denver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4020 --day 2017-01-08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464</v>
      </c>
      <c r="B27" s="7">
        <v>4019</v>
      </c>
      <c r="C27" s="22" t="s">
        <v>203</v>
      </c>
      <c r="D27" s="22" t="s">
        <v>354</v>
      </c>
      <c r="E27" s="13">
        <v>42743.268680555557</v>
      </c>
      <c r="F27" s="13">
        <v>42743.270243055558</v>
      </c>
      <c r="G27" s="7">
        <v>1</v>
      </c>
      <c r="H27" s="22" t="s">
        <v>249</v>
      </c>
      <c r="I27" s="13">
        <v>42743.305625000001</v>
      </c>
      <c r="J27" s="7">
        <v>0</v>
      </c>
      <c r="K27" s="105" t="str">
        <f t="shared" si="0"/>
        <v>4019/4020</v>
      </c>
      <c r="L27" s="22" t="str">
        <f>VLOOKUP(A27,'Trips&amp;Operators'!$C$1:$G$99999,5,FALSE)</f>
        <v>OUN ZACK</v>
      </c>
      <c r="M27" s="6">
        <f t="shared" si="1"/>
        <v>3.5381944442633539E-2</v>
      </c>
      <c r="N27" s="7">
        <f t="shared" si="2"/>
        <v>50.949999997392297</v>
      </c>
      <c r="O27" s="7"/>
      <c r="P27" s="7"/>
      <c r="Q27" s="23"/>
      <c r="R27" s="23"/>
      <c r="S27" s="32">
        <f t="shared" si="3"/>
        <v>1</v>
      </c>
      <c r="T27" s="47" t="str">
        <f t="shared" si="4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05:26:54-700',mode:absolute,to:'2017-01-08 08:20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23.299299999999999</v>
      </c>
      <c r="Z27" s="64">
        <f t="shared" si="9"/>
        <v>4.6199999999999998E-2</v>
      </c>
      <c r="AA27" s="64">
        <f t="shared" si="10"/>
        <v>23.2531</v>
      </c>
      <c r="AB27" s="61" t="e">
        <f>VLOOKUP(A27,Enforcements!$C$7:$K$18,8,0)</f>
        <v>#N/A</v>
      </c>
      <c r="AC27" s="57" t="e">
        <f>VLOOKUP(A27,Enforcements!$C$7:$E$18,3,0)</f>
        <v>#N/A</v>
      </c>
      <c r="AD27" s="58" t="str">
        <f t="shared" si="11"/>
        <v>0116-08</v>
      </c>
      <c r="AE27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27" s="84" t="str">
        <f t="shared" si="13"/>
        <v>"C:\Program Files (x86)\AstroGrep\AstroGrep.exe" /spath="%USERPROFILE%\AppData\Local\Temp\OnboardLogs" /stypes="app*4019*20170108*" /stext=" 14:.+((SYSTEM_STATE.+slice.+state.+changed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116-08 --locoid 4019 --swversion DE.1.0.8.0 --startMP 204:232993 --initTime 2017-01-08T06:26:54 --startdatetime 2017-01-08T06:29:09 --delay 1 --endMP 204:462 --enddatetime 2017-01-08T07:20:06 --enforcementcount 0 &gt;&gt;C:\Users\stu\Documents\GitHub\eaglep3-reporting\EC\2017-01-08-refined-times.txt</v>
      </c>
      <c r="AI2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{"issue":{"subject":"","project_id":79,"tracker_id":40,"status_id":1,"priority_id":2,"assigned_to_id":23,"start_date":"2017-01-08","description":"","custom_fields":[{"id":1,"name":"Subdivision","value":"EC"},{"id":4,"name":"Milepost","value":"0.0462"},{"id":17,"name":"Train ID","value":"116-08"},{"id":16,"name":"Locomotive ID","value":"4019"},{"id":130,"name":"Impact","value":""},{"id":150,"name":"Time of Event (Mountain Time)","value":"07:20:06"},{"id":151,"name":"Denver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4019 --day 2017-01-08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459</v>
      </c>
      <c r="B28" s="7">
        <v>4009</v>
      </c>
      <c r="C28" s="22" t="s">
        <v>203</v>
      </c>
      <c r="D28" s="22" t="s">
        <v>194</v>
      </c>
      <c r="E28" s="13">
        <v>42743.241747685184</v>
      </c>
      <c r="F28" s="13">
        <v>42743.24318287037</v>
      </c>
      <c r="G28" s="7">
        <v>1</v>
      </c>
      <c r="H28" s="22" t="s">
        <v>646</v>
      </c>
      <c r="I28" s="13">
        <v>42743.248692129629</v>
      </c>
      <c r="J28" s="7">
        <v>0</v>
      </c>
      <c r="K28" s="105" t="str">
        <f t="shared" si="0"/>
        <v>4009/4010</v>
      </c>
      <c r="L28" s="22" t="str">
        <f>VLOOKUP(A28,'Trips&amp;Operators'!$C$1:$G$99999,5,FALSE)</f>
        <v>MOSES BRADLEY</v>
      </c>
      <c r="M28" s="6">
        <f t="shared" si="1"/>
        <v>5.5092592592700385E-3</v>
      </c>
      <c r="N28" s="7">
        <f t="shared" si="2"/>
        <v>7.9333333333488554</v>
      </c>
      <c r="O28" s="7"/>
      <c r="P28" s="7"/>
      <c r="Q28" s="23"/>
      <c r="R28" s="23"/>
      <c r="S28" s="32">
        <f t="shared" si="3"/>
        <v>1</v>
      </c>
      <c r="T28" s="47" t="str">
        <f t="shared" si="4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04:48:07-700',mode:absolute,to:'2017-01-08 06:58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4.5100000000000001E-2</v>
      </c>
      <c r="Z28" s="64">
        <f t="shared" si="9"/>
        <v>23.331800000000001</v>
      </c>
      <c r="AA28" s="64">
        <f t="shared" si="10"/>
        <v>23.2867</v>
      </c>
      <c r="AB28" s="61" t="e">
        <f>VLOOKUP(A28,Enforcements!$C$7:$K$18,8,0)</f>
        <v>#N/A</v>
      </c>
      <c r="AC28" s="57" t="e">
        <f>VLOOKUP(A28,Enforcements!$C$7:$E$18,3,0)</f>
        <v>#N/A</v>
      </c>
      <c r="AD28" s="58" t="str">
        <f t="shared" si="11"/>
        <v>0117-08</v>
      </c>
      <c r="AE28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28" s="84" t="str">
        <f t="shared" si="13"/>
        <v>"C:\Program Files (x86)\AstroGrep\AstroGrep.exe" /spath="%USERPROFILE%\AppData\Local\Temp\OnboardLogs" /stypes="app*4009*20170108*" /stext=" 12:.+((SYSTEM_STATE.+slice.+state.+changed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117-08 --locoid 4009 --swversion DE.1.0.8.0 --startMP 204:451 --initTime 2017-01-08T05:48:07 --startdatetime 2017-01-08T05:50:11 --delay 1 --endMP 204:233318 --enddatetime 2017-01-08T05:58:07 --enforcementcount 0 &gt;&gt;C:\Users\stu\Documents\GitHub\eaglep3-reporting\EC\2017-01-08-refined-times.txt</v>
      </c>
      <c r="AI2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{"issue":{"subject":"","project_id":79,"tracker_id":40,"status_id":1,"priority_id":2,"assigned_to_id":23,"start_date":"2017-01-08","description":"","custom_fields":[{"id":1,"name":"Subdivision","value":"EC"},{"id":4,"name":"Milepost","value":"23.3318"},{"id":17,"name":"Train ID","value":"117-08"},{"id":16,"name":"Locomotive ID","value":"4009"},{"id":130,"name":"Impact","value":""},{"id":150,"name":"Time of Event (Mountain Time)","value":"05:58:07"},{"id":151,"name":"Denver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4009 --day 2017-01-08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468</v>
      </c>
      <c r="B29" s="7">
        <v>4010</v>
      </c>
      <c r="C29" s="22" t="s">
        <v>203</v>
      </c>
      <c r="D29" s="22" t="s">
        <v>258</v>
      </c>
      <c r="E29" s="13">
        <v>42743.280729166669</v>
      </c>
      <c r="F29" s="13">
        <v>42743.285555555558</v>
      </c>
      <c r="G29" s="7">
        <v>1</v>
      </c>
      <c r="H29" s="22" t="s">
        <v>248</v>
      </c>
      <c r="I29" s="13">
        <v>42743.318425925929</v>
      </c>
      <c r="J29" s="7">
        <v>0</v>
      </c>
      <c r="K29" s="105" t="str">
        <f t="shared" si="0"/>
        <v>4009/4010</v>
      </c>
      <c r="L29" s="22" t="str">
        <f>VLOOKUP(A29,'Trips&amp;Operators'!$C$1:$G$99999,5,FALSE)</f>
        <v>MOSES BRADLEY</v>
      </c>
      <c r="M29" s="6">
        <f t="shared" si="1"/>
        <v>3.2870370370801538E-2</v>
      </c>
      <c r="N29" s="7">
        <f t="shared" si="2"/>
        <v>47.333333333954215</v>
      </c>
      <c r="O29" s="7"/>
      <c r="P29" s="7"/>
      <c r="Q29" s="23"/>
      <c r="R29" s="23"/>
      <c r="S29" s="32">
        <f t="shared" si="3"/>
        <v>1</v>
      </c>
      <c r="T29" s="47" t="str">
        <f t="shared" si="4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05:44:15-700',mode:absolute,to:'2017-01-08 08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23.2973</v>
      </c>
      <c r="Z29" s="64">
        <f t="shared" si="9"/>
        <v>1.6E-2</v>
      </c>
      <c r="AA29" s="64">
        <f t="shared" si="10"/>
        <v>23.281300000000002</v>
      </c>
      <c r="AB29" s="61" t="e">
        <f>VLOOKUP(A29,Enforcements!$C$7:$K$18,8,0)</f>
        <v>#N/A</v>
      </c>
      <c r="AC29" s="57" t="e">
        <f>VLOOKUP(A29,Enforcements!$C$7:$E$18,3,0)</f>
        <v>#N/A</v>
      </c>
      <c r="AD29" s="58" t="str">
        <f t="shared" si="11"/>
        <v>0118-08</v>
      </c>
      <c r="AE29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29" s="84" t="str">
        <f t="shared" si="13"/>
        <v>"C:\Program Files (x86)\AstroGrep\AstroGrep.exe" /spath="%USERPROFILE%\AppData\Local\Temp\OnboardLogs" /stypes="app*4010*20170108*"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118-08 --locoid 4010 --swversion DE.1.0.8.0 --startMP 204:232973 --initTime 2017-01-08T06:44:15 --startdatetime 2017-01-08T06:51:12 --delay 1 --endMP 204:160 --enddatetime 2017-01-08T07:38:32 --enforcementcount 0 &gt;&gt;C:\Users\stu\Documents\GitHub\eaglep3-reporting\EC\2017-01-08-refined-times.txt</v>
      </c>
      <c r="AI2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ID","value":"118-08"},{"id":16,"name":"Locomotive ID","value":"4010"},{"id":130,"name":"Impact","value":""},{"id":150,"name":"Time of Event (Mountain Time)","value":"07:38:32"},{"id":151,"name":"Denver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4010 --day 2017-01-08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462</v>
      </c>
      <c r="B30" s="7">
        <v>4018</v>
      </c>
      <c r="C30" s="22" t="s">
        <v>203</v>
      </c>
      <c r="D30" s="22" t="s">
        <v>647</v>
      </c>
      <c r="E30" s="13">
        <v>42743.253275462965</v>
      </c>
      <c r="F30" s="13">
        <v>42743.256851851853</v>
      </c>
      <c r="G30" s="7">
        <v>4</v>
      </c>
      <c r="H30" s="22" t="s">
        <v>332</v>
      </c>
      <c r="I30" s="13">
        <v>42743.293263888889</v>
      </c>
      <c r="J30" s="7">
        <v>0</v>
      </c>
      <c r="K30" s="105" t="str">
        <f t="shared" si="0"/>
        <v>4017/4018</v>
      </c>
      <c r="L30" s="22" t="str">
        <f>VLOOKUP(A30,'Trips&amp;Operators'!$C$1:$G$99999,5,FALSE)</f>
        <v>SHOOK JOHN</v>
      </c>
      <c r="M30" s="6">
        <f t="shared" si="1"/>
        <v>3.6412037035916001E-2</v>
      </c>
      <c r="N30" s="7">
        <f t="shared" si="2"/>
        <v>52.433333331719041</v>
      </c>
      <c r="O30" s="7"/>
      <c r="P30" s="7"/>
      <c r="Q30" s="23"/>
      <c r="R30" s="23"/>
      <c r="S30" s="32">
        <f t="shared" si="3"/>
        <v>1</v>
      </c>
      <c r="T30" s="47" t="str">
        <f t="shared" si="4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05:04:43-700',mode:absolute,to:'2017-01-08 08:02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7.2599999999999998E-2</v>
      </c>
      <c r="Z30" s="64">
        <f t="shared" si="9"/>
        <v>23.331399999999999</v>
      </c>
      <c r="AA30" s="64">
        <f t="shared" si="10"/>
        <v>23.258799999999997</v>
      </c>
      <c r="AB30" s="61" t="e">
        <f>VLOOKUP(A30,Enforcements!$C$7:$K$18,8,0)</f>
        <v>#N/A</v>
      </c>
      <c r="AC30" s="57" t="e">
        <f>VLOOKUP(A30,Enforcements!$C$7:$E$18,3,0)</f>
        <v>#N/A</v>
      </c>
      <c r="AD30" s="58" t="str">
        <f t="shared" si="11"/>
        <v>0119-08</v>
      </c>
      <c r="AE30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30" s="84" t="str">
        <f t="shared" si="13"/>
        <v>"C:\Program Files (x86)\AstroGrep\AstroGrep.exe" /spath="%USERPROFILE%\AppData\Local\Temp\OnboardLogs" /stypes="app*4018*20170108*"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119-08 --locoid 4018 --swversion DE.1.0.8.0 --startMP 204:726 --initTime 2017-01-08T06:04:43 --startdatetime 2017-01-08T06:09:52 --delay 4 --endMP 204:233314 --enddatetime 2017-01-08T07:02:18 --enforcementcount 0 &gt;&gt;C:\Users\stu\Documents\GitHub\eaglep3-reporting\EC\2017-01-08-refined-times.txt</v>
      </c>
      <c r="AI3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{"issue":{"subject":"","project_id":79,"tracker_id":40,"status_id":1,"priority_id":2,"assigned_to_id":23,"start_date":"2017-01-08","description":"","custom_fields":[{"id":1,"name":"Subdivision","value":"EC"},{"id":4,"name":"Milepost","value":"23.3314"},{"id":17,"name":"Train ID","value":"119-08"},{"id":16,"name":"Locomotive ID","value":"4018"},{"id":130,"name":"Impact","value":""},{"id":150,"name":"Time of Event (Mountain Time)","value":"07:02:18"},{"id":151,"name":"Denver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4018 --day 2017-01-08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841</v>
      </c>
      <c r="B31" s="7"/>
      <c r="C31" s="22" t="s">
        <v>203</v>
      </c>
      <c r="D31" s="22" t="s">
        <v>647</v>
      </c>
      <c r="E31" s="13">
        <v>42743.253275462965</v>
      </c>
      <c r="F31" s="13"/>
      <c r="G31" s="7">
        <v>4</v>
      </c>
      <c r="H31" s="22" t="s">
        <v>332</v>
      </c>
      <c r="I31" s="13"/>
      <c r="J31" s="7">
        <v>0</v>
      </c>
      <c r="K31" s="105" t="str">
        <f t="shared" ref="K31" si="21">IF(ISEVEN(B31),(B31-1)&amp;"/"&amp;B31,B31&amp;"/"&amp;(B31+1))</f>
        <v>-1/</v>
      </c>
      <c r="L31" s="22" t="e">
        <f>VLOOKUP(A31,'Trips&amp;Operators'!$C$1:$G$99999,5,FALSE)</f>
        <v>#N/A</v>
      </c>
      <c r="M31" s="6">
        <f t="shared" ref="M31" si="22">I31-F31</f>
        <v>0</v>
      </c>
      <c r="N31" s="7"/>
      <c r="O31" s="7"/>
      <c r="P31" s="7">
        <v>1</v>
      </c>
      <c r="Q31" s="23"/>
      <c r="R31" s="23" t="s">
        <v>842</v>
      </c>
      <c r="S31" s="32">
        <f t="shared" ref="S31" si="23">SUM(U31:U31)/IF(AG31="EC",12,1)</f>
        <v>0</v>
      </c>
      <c r="T31" s="47" t="str">
        <f t="shared" ref="T31" si="24">IF(ISEVEN(LEFT(AD31,4)),"Southbound","NorthBound")</f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4" t="str">
        <f t="shared" ref="V31" si="25"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https://search-rtdc-monitor-bjffxe2xuh6vdkpspy63sjmuny.us-east-1.es.amazonaws.com/_plugin/kibana/#/discover/Steve-Slow-Train-Analysis-(2080s-and-2083s)?_g=(refreshInterval:(display:Off,section:0,value:0),time:(from:'2017-01-08 05:04:43-700',mode:absolute,to:'1900-01-00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1" s="49" t="str">
        <f t="shared" ref="W31" si="26">IF(AA31&lt;IF(AG31="EC",23,5.65),"Y","N")</f>
        <v>N</v>
      </c>
      <c r="X31" s="173">
        <f t="shared" si="7"/>
        <v>1</v>
      </c>
      <c r="Y31" s="64">
        <f t="shared" ref="Y31" si="27">RIGHT(D31,LEN(D31)-4)/10000</f>
        <v>7.2599999999999998E-2</v>
      </c>
      <c r="Z31" s="64">
        <f t="shared" ref="Z31" si="28">RIGHT(H31,LEN(H31)-4)/10000</f>
        <v>23.331399999999999</v>
      </c>
      <c r="AA31" s="64">
        <f t="shared" ref="AA31" si="29">ABS(Z31-Y31)</f>
        <v>23.258799999999997</v>
      </c>
      <c r="AB31" s="61" t="e">
        <f>VLOOKUP(A31,Enforcements!$C$7:$K$18,8,0)</f>
        <v>#N/A</v>
      </c>
      <c r="AC31" s="57" t="e">
        <f>VLOOKUP(A31,Enforcements!$C$7:$E$18,3,0)</f>
        <v>#N/A</v>
      </c>
      <c r="AD31" s="58" t="str">
        <f t="shared" ref="AD31" si="30">IF(LEN(A31)=6,"0"&amp;A31,A31)</f>
        <v>0120-08</v>
      </c>
      <c r="AE31" s="87" t="str">
        <f t="shared" ref="AE31" si="31"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1" s="84" t="str">
        <f t="shared" ref="AF31" si="32"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31" s="1" t="str">
        <f t="shared" ref="AG31" si="33">IFERROR(IF(VALUE(LEFT(AD31,2))&lt;=2,"EC",IF(OR(VALUE(LEFT(AD31,2))=8,VALUE(LEFT(AD31,2))=18),"NW","Other")),"Other")</f>
        <v>EC</v>
      </c>
      <c r="AH31" s="88" t="str">
        <f t="shared" ref="AH31" si="34"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120-08 --locoid  --swversion DE.1.0.8.0 --startMP 204:726 --initTime 2017-01-08T06:04:43 --startdatetime 1900-01-00T00:00:00 --delay 4 --endMP 204:233314 --enddatetime 1900-01-00T00:00:00 --enforcementcount 0 &gt;&gt;C:\Users\stu\Documents\GitHub\eaglep3-reporting\EC\2017-01-08-refined-times.txt</v>
      </c>
      <c r="AI31" s="115" t="str">
        <f t="shared" ref="AI31" si="35"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init","project_id":79,"tracker_id":40,"status_id":1,"priority_id":2,"assigned_to_id":23,"start_date":"1900-01-00","description":"","custom_fields":[{"id":1,"name":"Subdivision","value":"EC"},{"id":4,"name":"Milepost","value":"23.3314"},{"id":17,"name":"Train ID","value":"120-08"},{"id":16,"name":"Locomotive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ref="AM31" si="36">"start /low /b "&amp;dls3logs&amp;" --loco "&amp;B31&amp;" --day "&amp;TEXT(F31,"YYYY-MM-DD")</f>
        <v>start /low /b %USERPROFILE%\Documents\GitHub\eaglep3\Utilities\DownloadLogsFromS3.py --loco  --day 1900-01-00</v>
      </c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</row>
    <row r="32" spans="1:91" s="1" customFormat="1" x14ac:dyDescent="0.25">
      <c r="A32" s="34" t="s">
        <v>465</v>
      </c>
      <c r="B32" s="7">
        <v>4027</v>
      </c>
      <c r="C32" s="22" t="s">
        <v>203</v>
      </c>
      <c r="D32" s="22" t="s">
        <v>648</v>
      </c>
      <c r="E32" s="13">
        <v>42743.270358796297</v>
      </c>
      <c r="F32" s="13">
        <v>42743.271655092591</v>
      </c>
      <c r="G32" s="7">
        <v>0</v>
      </c>
      <c r="H32" s="22" t="s">
        <v>355</v>
      </c>
      <c r="I32" s="13">
        <v>42743.300740740742</v>
      </c>
      <c r="J32" s="7">
        <v>0</v>
      </c>
      <c r="K32" s="105" t="str">
        <f t="shared" si="0"/>
        <v>4027/4028</v>
      </c>
      <c r="L32" s="22" t="str">
        <f>VLOOKUP(A32,'Trips&amp;Operators'!$C$1:$G$99999,5,FALSE)</f>
        <v>ISHMAEL JOSEPH</v>
      </c>
      <c r="M32" s="6">
        <f t="shared" si="1"/>
        <v>2.9085648151522037E-2</v>
      </c>
      <c r="N32" s="7">
        <f t="shared" si="2"/>
        <v>41.883333338191733</v>
      </c>
      <c r="O32" s="7"/>
      <c r="P32" s="7"/>
      <c r="Q32" s="23"/>
      <c r="R32" s="23"/>
      <c r="S32" s="32">
        <f t="shared" si="3"/>
        <v>1</v>
      </c>
      <c r="T32" s="47" t="str">
        <f t="shared" si="4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05:29:19-700',mode:absolute,to:'2017-01-08 08:13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7.2099999999999997E-2</v>
      </c>
      <c r="Z32" s="64">
        <f t="shared" si="9"/>
        <v>23.329899999999999</v>
      </c>
      <c r="AA32" s="64">
        <f t="shared" si="10"/>
        <v>23.2578</v>
      </c>
      <c r="AB32" s="61" t="e">
        <f>VLOOKUP(A32,Enforcements!$C$7:$K$18,8,0)</f>
        <v>#N/A</v>
      </c>
      <c r="AC32" s="57" t="e">
        <f>VLOOKUP(A32,Enforcements!$C$7:$E$18,3,0)</f>
        <v>#N/A</v>
      </c>
      <c r="AD32" s="58" t="str">
        <f t="shared" si="11"/>
        <v>0121-08</v>
      </c>
      <c r="AE32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32" s="84" t="str">
        <f t="shared" si="13"/>
        <v>"C:\Program Files (x86)\AstroGrep\AstroGrep.exe" /spath="%USERPROFILE%\AppData\Local\Temp\OnboardLogs" /stypes="app*4027*20170108*"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121-08 --locoid 4027 --swversion DE.1.0.8.0 --startMP 204:721 --initTime 2017-01-08T06:29:19 --startdatetime 2017-01-08T06:31:11 --delay 0 --endMP 204:233299 --enddatetime 2017-01-08T07:13:04 --enforcementcount 0 &gt;&gt;C:\Users\stu\Documents\GitHub\eaglep3-reporting\EC\2017-01-08-refined-times.txt</v>
      </c>
      <c r="AI3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{"issue":{"subject":"","project_id":79,"tracker_id":40,"status_id":1,"priority_id":2,"assigned_to_id":23,"start_date":"2017-01-08","description":"","custom_fields":[{"id":1,"name":"Subdivision","value":"EC"},{"id":4,"name":"Milepost","value":"23.3299"},{"id":17,"name":"Train ID","value":"121-08"},{"id":16,"name":"Locomotive ID","value":"4027"},{"id":130,"name":"Impact","value":""},{"id":150,"name":"Time of Event (Mountain Time)","value":"07:13:04"},{"id":151,"name":"Denver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4027 --day 2017-01-08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472</v>
      </c>
      <c r="B33" s="7">
        <v>4017</v>
      </c>
      <c r="C33" s="22" t="s">
        <v>203</v>
      </c>
      <c r="D33" s="22" t="s">
        <v>388</v>
      </c>
      <c r="E33" s="13">
        <v>42743.297569444447</v>
      </c>
      <c r="F33" s="13">
        <v>42743.299733796295</v>
      </c>
      <c r="G33" s="7">
        <v>2</v>
      </c>
      <c r="H33" s="22" t="s">
        <v>245</v>
      </c>
      <c r="I33" s="13">
        <v>42743.329479166663</v>
      </c>
      <c r="J33" s="7">
        <v>0</v>
      </c>
      <c r="K33" s="105" t="str">
        <f t="shared" si="0"/>
        <v>4017/4018</v>
      </c>
      <c r="L33" s="22" t="str">
        <f>VLOOKUP(A33,'Trips&amp;Operators'!$C$1:$G$99999,5,FALSE)</f>
        <v>SHOOK JOHN</v>
      </c>
      <c r="M33" s="6">
        <f t="shared" si="1"/>
        <v>2.9745370367891155E-2</v>
      </c>
      <c r="N33" s="7">
        <f t="shared" si="2"/>
        <v>42.833333329763263</v>
      </c>
      <c r="O33" s="7"/>
      <c r="P33" s="7"/>
      <c r="Q33" s="23"/>
      <c r="R33" s="23"/>
      <c r="S33" s="32">
        <f t="shared" si="3"/>
        <v>1</v>
      </c>
      <c r="T33" s="47" t="str">
        <f t="shared" si="4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06:08:30-700',mode:absolute,to:'2017-01-08 08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23.299399999999999</v>
      </c>
      <c r="Z33" s="64">
        <f t="shared" si="9"/>
        <v>1.3899999999999999E-2</v>
      </c>
      <c r="AA33" s="64">
        <f t="shared" si="10"/>
        <v>23.285499999999999</v>
      </c>
      <c r="AB33" s="61" t="e">
        <f>VLOOKUP(A33,Enforcements!$C$7:$K$18,8,0)</f>
        <v>#N/A</v>
      </c>
      <c r="AC33" s="57" t="e">
        <f>VLOOKUP(A33,Enforcements!$C$7:$E$18,3,0)</f>
        <v>#N/A</v>
      </c>
      <c r="AD33" s="58" t="str">
        <f t="shared" si="11"/>
        <v>0122-08</v>
      </c>
      <c r="AE33" s="87" t="str">
        <f t="shared" si="12"/>
        <v>aws s3 cp s3://rtdc.mdm.uploadarchive.raw/RTDC4017/ "%USERPROFILE%\AppData\Local\Temp\OnboardLogs"\RTDC4017\2017-01-08 --exclude "*" --recursive --include "*20170108*" &amp; "%USERPROFILE%\Documents\GitHub\mrs-test-scripts\Headless Mode &amp; Sideloading\WalkAndUnGZ.bat" "%USERPROFILE%\AppData\Local\Temp\OnboardLogs"\RTDC4017\2017-01-08 &amp; aws s3 cp s3://rtdc.mdm.uploadarchive.raw/RTDC4017/ "%USERPROFILE%\AppData\Local\Temp\OnboardLogs"\RTDC4017\2017-01-09 --exclude "*" --recursive --include "*20170109*" &amp; "%USERPROFILE%\Documents\GitHub\mrs-test-scripts\Headless Mode &amp; Sideloading\WalkAndUnGZ.bat" "%USERPROFILE%\AppData\Local\Temp\OnboardLogs"\RTDC4017\2017-01-09</v>
      </c>
      <c r="AF33" s="84" t="str">
        <f t="shared" si="13"/>
        <v>"C:\Program Files (x86)\AstroGrep\AstroGrep.exe" /spath="%USERPROFILE%\AppData\Local\Temp\OnboardLogs" /stypes="app*4017*20170108*"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122-08 --locoid 4017 --swversion DE.1.0.8.0 --startMP 204:232994 --initTime 2017-01-08T07:08:30 --startdatetime 2017-01-08T07:11:37 --delay 2 --endMP 204:139 --enddatetime 2017-01-08T07:54:27 --enforcementcount 0 &gt;&gt;C:\Users\stu\Documents\GitHub\eaglep3-reporting\EC\2017-01-08-refined-times.txt</v>
      </c>
      <c r="AI3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{"issue":{"subject":"","project_id":79,"tracker_id":40,"status_id":1,"priority_id":2,"assigned_to_id":23,"start_date":"2017-01-08","description":"","custom_fields":[{"id":1,"name":"Subdivision","value":"EC"},{"id":4,"name":"Milepost","value":"0.0139"},{"id":17,"name":"Train ID","value":"122-08"},{"id":16,"name":"Locomotive ID","value":"4017"},{"id":130,"name":"Impact","value":""},{"id":150,"name":"Time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4017 --day 2017-01-08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466</v>
      </c>
      <c r="B34" s="7">
        <v>4040</v>
      </c>
      <c r="C34" s="22" t="s">
        <v>203</v>
      </c>
      <c r="D34" s="22" t="s">
        <v>649</v>
      </c>
      <c r="E34" s="13">
        <v>42743.276759259257</v>
      </c>
      <c r="F34" s="13">
        <v>42743.278148148151</v>
      </c>
      <c r="G34" s="7">
        <v>1</v>
      </c>
      <c r="H34" s="22" t="s">
        <v>650</v>
      </c>
      <c r="I34" s="13">
        <v>42743.30667824074</v>
      </c>
      <c r="J34" s="7">
        <v>0</v>
      </c>
      <c r="K34" s="105" t="str">
        <f t="shared" si="0"/>
        <v>4039/4040</v>
      </c>
      <c r="L34" s="22" t="str">
        <f>VLOOKUP(A34,'Trips&amp;Operators'!$C$1:$G$99999,5,FALSE)</f>
        <v>DAVIS WENDY</v>
      </c>
      <c r="M34" s="6">
        <f t="shared" si="1"/>
        <v>2.8530092589790002E-2</v>
      </c>
      <c r="N34" s="7">
        <f t="shared" si="2"/>
        <v>41.083333329297602</v>
      </c>
      <c r="O34" s="7"/>
      <c r="P34" s="7"/>
      <c r="Q34" s="23"/>
      <c r="R34" s="23"/>
      <c r="S34" s="32">
        <f t="shared" si="3"/>
        <v>1</v>
      </c>
      <c r="T34" s="47" t="str">
        <f t="shared" si="4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05:38:32-700',mode:absolute,to:'2017-01-08 08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7.2800000000000004E-2</v>
      </c>
      <c r="Z34" s="64">
        <f t="shared" si="9"/>
        <v>23.330400000000001</v>
      </c>
      <c r="AA34" s="64">
        <f t="shared" si="10"/>
        <v>23.2576</v>
      </c>
      <c r="AB34" s="61" t="e">
        <f>VLOOKUP(A34,Enforcements!$C$7:$K$18,8,0)</f>
        <v>#N/A</v>
      </c>
      <c r="AC34" s="57" t="e">
        <f>VLOOKUP(A34,Enforcements!$C$7:$E$18,3,0)</f>
        <v>#N/A</v>
      </c>
      <c r="AD34" s="58" t="str">
        <f t="shared" si="11"/>
        <v>0123-08</v>
      </c>
      <c r="AE34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34" s="84" t="str">
        <f t="shared" si="13"/>
        <v>"C:\Program Files (x86)\AstroGrep\AstroGrep.exe" /spath="%USERPROFILE%\AppData\Local\Temp\OnboardLogs" /stypes="app*4040*20170108*"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123-08 --locoid 4040 --swversion DE.1.0.8.0 --startMP 204:728 --initTime 2017-01-08T06:38:32 --startdatetime 2017-01-08T06:40:32 --delay 1 --endMP 204:233304 --enddatetime 2017-01-08T07:21:37 --enforcementcount 0 &gt;&gt;C:\Users\stu\Documents\GitHub\eaglep3-reporting\EC\2017-01-08-refined-times.txt</v>
      </c>
      <c r="AI3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{"issue":{"subject":"","project_id":79,"tracker_id":40,"status_id":1,"priority_id":2,"assigned_to_id":23,"start_date":"2017-01-08","description":"","custom_fields":[{"id":1,"name":"Subdivision","value":"EC"},{"id":4,"name":"Milepost","value":"23.3304"},{"id":17,"name":"Train ID","value":"123-08"},{"id":16,"name":"Locomotive ID","value":"4040"},{"id":130,"name":"Impact","value":""},{"id":150,"name":"Time of Event (Mountain Time)","value":"07:21:37"},{"id":151,"name":"Denver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4040 --day 2017-01-08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475</v>
      </c>
      <c r="B35" s="7">
        <v>4028</v>
      </c>
      <c r="C35" s="22" t="s">
        <v>203</v>
      </c>
      <c r="D35" s="22" t="s">
        <v>310</v>
      </c>
      <c r="E35" s="13">
        <v>42743.306944444441</v>
      </c>
      <c r="F35" s="13">
        <v>42743.309849537036</v>
      </c>
      <c r="G35" s="7">
        <v>1</v>
      </c>
      <c r="H35" s="22" t="s">
        <v>192</v>
      </c>
      <c r="I35" s="13">
        <v>42743.339386574073</v>
      </c>
      <c r="J35" s="7">
        <v>0</v>
      </c>
      <c r="K35" s="105" t="str">
        <f t="shared" si="0"/>
        <v>4027/4028</v>
      </c>
      <c r="L35" s="22" t="str">
        <f>VLOOKUP(A35,'Trips&amp;Operators'!$C$1:$G$99999,5,FALSE)</f>
        <v>ISHMAEL JOSEPH</v>
      </c>
      <c r="M35" s="6">
        <f t="shared" si="1"/>
        <v>2.9537037036789116E-2</v>
      </c>
      <c r="N35" s="7">
        <f t="shared" si="2"/>
        <v>42.533333332976326</v>
      </c>
      <c r="O35" s="7"/>
      <c r="P35" s="7"/>
      <c r="Q35" s="23"/>
      <c r="R35" s="23"/>
      <c r="S35" s="32">
        <f t="shared" si="3"/>
        <v>1</v>
      </c>
      <c r="T35" s="47" t="str">
        <f t="shared" si="4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06:22:00-700',mode:absolute,to:'2017-01-08 09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23.298999999999999</v>
      </c>
      <c r="Z35" s="64">
        <f t="shared" si="9"/>
        <v>1.43E-2</v>
      </c>
      <c r="AA35" s="64">
        <f t="shared" si="10"/>
        <v>23.284700000000001</v>
      </c>
      <c r="AB35" s="61" t="e">
        <f>VLOOKUP(A35,Enforcements!$C$7:$K$18,8,0)</f>
        <v>#N/A</v>
      </c>
      <c r="AC35" s="57" t="e">
        <f>VLOOKUP(A35,Enforcements!$C$7:$E$18,3,0)</f>
        <v>#N/A</v>
      </c>
      <c r="AD35" s="58" t="str">
        <f t="shared" si="11"/>
        <v>0124-08</v>
      </c>
      <c r="AE35" s="87" t="str">
        <f t="shared" si="12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35" s="84" t="str">
        <f t="shared" si="13"/>
        <v>"C:\Program Files (x86)\AstroGrep\AstroGrep.exe" /spath="%USERPROFILE%\AppData\Local\Temp\OnboardLogs" /stypes="app*4028*20170108*" /stext=" 15:.+((SYSTEM_STATE.+slice.+state.+changed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124-08 --locoid 4028 --swversion DE.1.0.8.0 --startMP 204:232990 --initTime 2017-01-08T07:22:00 --startdatetime 2017-01-08T07:26:11 --delay 1 --endMP 204:143 --enddatetime 2017-01-08T08:08:43 --enforcementcount 0 &gt;&gt;C:\Users\stu\Documents\GitHub\eaglep3-reporting\EC\2017-01-08-refined-times.txt</v>
      </c>
      <c r="AI3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ID","value":"124-08"},{"id":16,"name":"Locomotive ID","value":"4028"},{"id":130,"name":"Impact","value":""},{"id":150,"name":"Time of Event (Mountain Time)","value":"08:08:43"},{"id":151,"name":"Denver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4028 --day 2017-01-08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843</v>
      </c>
      <c r="B36" s="7"/>
      <c r="C36" s="22" t="s">
        <v>203</v>
      </c>
      <c r="D36" s="22" t="s">
        <v>310</v>
      </c>
      <c r="E36" s="13">
        <v>42743.306944444441</v>
      </c>
      <c r="F36" s="13"/>
      <c r="G36" s="7">
        <v>1</v>
      </c>
      <c r="H36" s="22" t="s">
        <v>192</v>
      </c>
      <c r="I36" s="13"/>
      <c r="J36" s="7">
        <v>0</v>
      </c>
      <c r="K36" s="105" t="str">
        <f t="shared" ref="K36" si="37">IF(ISEVEN(B36),(B36-1)&amp;"/"&amp;B36,B36&amp;"/"&amp;(B36+1))</f>
        <v>-1/</v>
      </c>
      <c r="L36" s="22" t="e">
        <f>VLOOKUP(A36,'Trips&amp;Operators'!$C$1:$G$99999,5,FALSE)</f>
        <v>#N/A</v>
      </c>
      <c r="M36" s="6">
        <f t="shared" ref="M36" si="38">I36-F36</f>
        <v>0</v>
      </c>
      <c r="N36" s="7"/>
      <c r="O36" s="7"/>
      <c r="P36" s="7">
        <v>1</v>
      </c>
      <c r="Q36" s="23"/>
      <c r="R36" s="23" t="s">
        <v>842</v>
      </c>
      <c r="S36" s="32">
        <f t="shared" ref="S36" si="39">SUM(U36:U36)/IF(AG36="EC",12,1)</f>
        <v>0</v>
      </c>
      <c r="T36" s="47" t="str">
        <f t="shared" ref="T36" si="40">IF(ISEVEN(LEFT(AD36,4)),"Southbound","NorthBound")</f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94" t="str">
        <f t="shared" ref="V36" si="41"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https://search-rtdc-monitor-bjffxe2xuh6vdkpspy63sjmuny.us-east-1.es.amazonaws.com/_plugin/kibana/#/discover/Steve-Slow-Train-Analysis-(2080s-and-2083s)?_g=(refreshInterval:(display:Off,section:0,value:0),time:(from:'2017-01-08 06:22:00-700',mode:absolute,to:'1900-01-00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6" s="49" t="str">
        <f t="shared" ref="W36" si="42">IF(AA36&lt;IF(AG36="EC",23,5.65),"Y","N")</f>
        <v>N</v>
      </c>
      <c r="X36" s="173">
        <f t="shared" si="7"/>
        <v>1</v>
      </c>
      <c r="Y36" s="64">
        <f t="shared" ref="Y36" si="43">RIGHT(D36,LEN(D36)-4)/10000</f>
        <v>23.298999999999999</v>
      </c>
      <c r="Z36" s="64">
        <f t="shared" ref="Z36" si="44">RIGHT(H36,LEN(H36)-4)/10000</f>
        <v>1.43E-2</v>
      </c>
      <c r="AA36" s="64">
        <f t="shared" ref="AA36" si="45">ABS(Z36-Y36)</f>
        <v>23.284700000000001</v>
      </c>
      <c r="AB36" s="61" t="e">
        <f>VLOOKUP(A36,Enforcements!$C$7:$K$18,8,0)</f>
        <v>#N/A</v>
      </c>
      <c r="AC36" s="57" t="e">
        <f>VLOOKUP(A36,Enforcements!$C$7:$E$18,3,0)</f>
        <v>#N/A</v>
      </c>
      <c r="AD36" s="58" t="str">
        <f t="shared" ref="AD36" si="46">IF(LEN(A36)=6,"0"&amp;A36,A36)</f>
        <v>0125-08</v>
      </c>
      <c r="AE36" s="87" t="str">
        <f t="shared" ref="AE36" si="47"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6" s="84" t="str">
        <f t="shared" ref="AF36" si="48"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36" s="1" t="str">
        <f t="shared" ref="AG36" si="49">IFERROR(IF(VALUE(LEFT(AD36,2))&lt;=2,"EC",IF(OR(VALUE(LEFT(AD36,2))=8,VALUE(LEFT(AD36,2))=18),"NW","Other")),"Other")</f>
        <v>EC</v>
      </c>
      <c r="AH36" s="88" t="str">
        <f t="shared" ref="AH36" si="50"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"&amp;J36&amp;IF(outputrefinedruntimes," &gt;&gt;"&amp;RefinedRTDCRunTimesOutputFile,"")</f>
        <v>"%USERPROFILE%\Documents\GitHub\eaglep3\Utilities\RefineRTDCRunTimes.py" --tripid 125-08 --locoid  --swversion DE.1.0.8.0 --startMP 204:232990 --initTime 2017-01-08T07:22:00 --startdatetime 1900-01-00T00:00:00 --delay 1 --endMP 204:143 --enddatetime 1900-01-00T00:00:00 --enforcementcount 0 &gt;&gt;C:\Users\stu\Documents\GitHub\eaglep3-reporting\EC\2017-01-08-refined-times.txt</v>
      </c>
      <c r="AI36" s="115" t="str">
        <f t="shared" ref="AI36" si="51">"echo {""issue"":{""subject"":"""&amp;R36&amp;""",""project_id"":79,""tracker_id"":40,""status_id"":"&amp;redmine_status&amp;",""priority_id"":"&amp;redmine_priority&amp;",""assigned_to_id"":"&amp;redmine_assignee&amp;",""start_date"":"""&amp;TEXT(I36,"YYYY-mm-dd")&amp;""",""description"":"""&amp;AJ36&amp;""",""custom_fields"":[{""id"":1,""name"":""Subdivision"",""value"":"""&amp;AG36&amp;"""},{""id"":4,""name"":""Milepost"",""value"":"""&amp;Z36&amp;"""},{""id"":17,""name"":""Train ID"",""value"":"""&amp;A36&amp;"""},{""id"":16,""name"":""Locomotive ID"",""value"":"""&amp;B36&amp;"""},{""id"":130,""name"":""Impact"",""value"":"""&amp;AK36&amp;"""},{""id"":150,""name"":""Time of Event (Mountain Time)"",""value"":"""&amp;TEXT(I36,"hh:mm:ss")&amp;"""},{""id"":151,""name"":""Denver Issue ID"",""value"":"""&amp;"""},{""id"":178,""name"":""Operational Impact"",""value"":"""&amp;redmine_op_impact&amp;"""},{""id"":179,""name"":""Denver Segment Assigned"",""value"":"""&amp;AL36&amp;"""}]}}"&amp;"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init","project_id":79,"tracker_id":40,"status_id":1,"priority_id":2,"assigned_to_id":23,"start_date":"1900-01-00","description":"","custom_fields":[{"id":1,"name":"Subdivision","value":"EC"},{"id":4,"name":"Milepost","value":"0.0143"},{"id":17,"name":"Train ID","value":"125-08"},{"id":16,"name":"Locomotive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ref="AM36" si="52">"start /low /b "&amp;dls3logs&amp;" --loco "&amp;B36&amp;" --day "&amp;TEXT(F36,"YYYY-MM-DD")</f>
        <v>start /low /b %USERPROFILE%\Documents\GitHub\eaglep3\Utilities\DownloadLogsFromS3.py --loco  --day 1900-01-00</v>
      </c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</row>
    <row r="37" spans="1:91" s="1" customFormat="1" x14ac:dyDescent="0.25">
      <c r="A37" s="34" t="s">
        <v>477</v>
      </c>
      <c r="B37" s="7">
        <v>4039</v>
      </c>
      <c r="C37" s="22" t="s">
        <v>203</v>
      </c>
      <c r="D37" s="22" t="s">
        <v>651</v>
      </c>
      <c r="E37" s="13">
        <v>42743.320347222223</v>
      </c>
      <c r="F37" s="13">
        <v>42743.321435185186</v>
      </c>
      <c r="G37" s="7">
        <v>0</v>
      </c>
      <c r="H37" s="22" t="s">
        <v>652</v>
      </c>
      <c r="I37" s="13">
        <v>42743.352581018517</v>
      </c>
      <c r="J37" s="7">
        <v>0</v>
      </c>
      <c r="K37" s="105" t="str">
        <f t="shared" si="0"/>
        <v>4039/4040</v>
      </c>
      <c r="L37" s="22" t="str">
        <f>VLOOKUP(A37,'Trips&amp;Operators'!$C$1:$G$99999,5,FALSE)</f>
        <v>DAVIS WENDY</v>
      </c>
      <c r="M37" s="6">
        <f t="shared" si="1"/>
        <v>3.1145833330811001E-2</v>
      </c>
      <c r="N37" s="7">
        <f t="shared" si="2"/>
        <v>44.849999996367842</v>
      </c>
      <c r="O37" s="7"/>
      <c r="P37" s="7"/>
      <c r="Q37" s="23"/>
      <c r="R37" s="23"/>
      <c r="S37" s="32">
        <f t="shared" si="3"/>
        <v>1</v>
      </c>
      <c r="T37" s="47" t="str">
        <f t="shared" si="4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06:41:18-700',mode:absolute,to:'2017-01-08 09:27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23.298500000000001</v>
      </c>
      <c r="Z37" s="64">
        <f t="shared" si="9"/>
        <v>0.1164</v>
      </c>
      <c r="AA37" s="64">
        <f t="shared" si="10"/>
        <v>23.182100000000002</v>
      </c>
      <c r="AB37" s="61" t="e">
        <f>VLOOKUP(A37,Enforcements!$C$7:$K$18,8,0)</f>
        <v>#N/A</v>
      </c>
      <c r="AC37" s="57" t="e">
        <f>VLOOKUP(A37,Enforcements!$C$7:$E$18,3,0)</f>
        <v>#N/A</v>
      </c>
      <c r="AD37" s="58" t="str">
        <f t="shared" si="11"/>
        <v>0126-08</v>
      </c>
      <c r="AE37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37" s="84" t="str">
        <f t="shared" si="13"/>
        <v>"C:\Program Files (x86)\AstroGrep\AstroGrep.exe" /spath="%USERPROFILE%\AppData\Local\Temp\OnboardLogs" /stypes="app*4039*20170108*"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126-08 --locoid 4039 --swversion DE.1.0.8.0 --startMP 204:232985 --initTime 2017-01-08T07:41:18 --startdatetime 2017-01-08T07:42:52 --delay 0 --endMP 204:1164 --enddatetime 2017-01-08T08:27:43 --enforcementcount 0 &gt;&gt;C:\Users\stu\Documents\GitHub\eaglep3-reporting\EC\2017-01-08-refined-times.txt</v>
      </c>
      <c r="AI3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{"issue":{"subject":"","project_id":79,"tracker_id":40,"status_id":1,"priority_id":2,"assigned_to_id":23,"start_date":"2017-01-08","description":"","custom_fields":[{"id":1,"name":"Subdivision","value":"EC"},{"id":4,"name":"Milepost","value":"0.1164"},{"id":17,"name":"Train ID","value":"126-08"},{"id":16,"name":"Locomotive ID","value":"4039"},{"id":130,"name":"Impact","value":""},{"id":150,"name":"Time of Event (Mountain Time)","value":"08:27:43"},{"id":151,"name":"Denver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4039 --day 2017-01-08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469</v>
      </c>
      <c r="B38" s="7">
        <v>4014</v>
      </c>
      <c r="C38" s="22" t="s">
        <v>203</v>
      </c>
      <c r="D38" s="22" t="s">
        <v>653</v>
      </c>
      <c r="E38" s="13">
        <v>42743.285277777781</v>
      </c>
      <c r="F38" s="13">
        <v>42743.291932870372</v>
      </c>
      <c r="G38" s="7">
        <v>4</v>
      </c>
      <c r="H38" s="22" t="s">
        <v>350</v>
      </c>
      <c r="I38" s="13">
        <v>42743.317673611113</v>
      </c>
      <c r="J38" s="7">
        <v>0</v>
      </c>
      <c r="K38" s="105" t="str">
        <f t="shared" si="0"/>
        <v>4013/4014</v>
      </c>
      <c r="L38" s="22" t="str">
        <f>VLOOKUP(A38,'Trips&amp;Operators'!$C$1:$G$99999,5,FALSE)</f>
        <v>ROBINSON KADDIBA</v>
      </c>
      <c r="M38" s="6">
        <f t="shared" si="1"/>
        <v>2.5740740740729962E-2</v>
      </c>
      <c r="N38" s="7">
        <f t="shared" si="2"/>
        <v>37.066666666651145</v>
      </c>
      <c r="O38" s="7"/>
      <c r="P38" s="7"/>
      <c r="Q38" s="23"/>
      <c r="R38" s="23"/>
      <c r="S38" s="32">
        <f t="shared" si="3"/>
        <v>1</v>
      </c>
      <c r="T38" s="47" t="str">
        <f t="shared" si="4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05:50:48-700',mode:absolute,to:'2017-01-08 08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7.8600000000000003E-2</v>
      </c>
      <c r="Z38" s="64">
        <f t="shared" si="9"/>
        <v>23.3291</v>
      </c>
      <c r="AA38" s="64">
        <f t="shared" si="10"/>
        <v>23.250499999999999</v>
      </c>
      <c r="AB38" s="61" t="e">
        <f>VLOOKUP(A38,Enforcements!$C$7:$K$18,8,0)</f>
        <v>#N/A</v>
      </c>
      <c r="AC38" s="57" t="e">
        <f>VLOOKUP(A38,Enforcements!$C$7:$E$18,3,0)</f>
        <v>#N/A</v>
      </c>
      <c r="AD38" s="58" t="str">
        <f t="shared" si="11"/>
        <v>0127-08</v>
      </c>
      <c r="AE38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38" s="84" t="str">
        <f t="shared" si="13"/>
        <v>"C:\Program Files (x86)\AstroGrep\AstroGrep.exe" /spath="%USERPROFILE%\AppData\Local\Temp\OnboardLogs" /stypes="app*4014*20170108*"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127-08 --locoid 4014 --swversion DE.1.0.8.0 --startMP 204:786 --initTime 2017-01-08T06:50:48 --startdatetime 2017-01-08T07:00:23 --delay 4 --endMP 204:233291 --enddatetime 2017-01-08T07:37:27 --enforcementcount 0 &gt;&gt;C:\Users\stu\Documents\GitHub\eaglep3-reporting\EC\2017-01-08-refined-times.txt</v>
      </c>
      <c r="AI3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{"issue":{"subject":"","project_id":79,"tracker_id":40,"status_id":1,"priority_id":2,"assigned_to_id":23,"start_date":"2017-01-08","description":"","custom_fields":[{"id":1,"name":"Subdivision","value":"EC"},{"id":4,"name":"Milepost","value":"23.3291"},{"id":17,"name":"Train ID","value":"127-08"},{"id":16,"name":"Locomotive ID","value":"4014"},{"id":130,"name":"Impact","value":""},{"id":150,"name":"Time of Event (Mountain Time)","value":"07:37:27"},{"id":151,"name":"Denver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4014 --day 2017-01-08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479</v>
      </c>
      <c r="B39" s="7">
        <v>4013</v>
      </c>
      <c r="C39" s="22" t="s">
        <v>203</v>
      </c>
      <c r="D39" s="22" t="s">
        <v>654</v>
      </c>
      <c r="E39" s="13">
        <v>42743.323321759257</v>
      </c>
      <c r="F39" s="13">
        <v>42743.330717592595</v>
      </c>
      <c r="G39" s="7">
        <v>1</v>
      </c>
      <c r="H39" s="22" t="s">
        <v>248</v>
      </c>
      <c r="I39" s="13">
        <v>42743.358912037038</v>
      </c>
      <c r="J39" s="7">
        <v>0</v>
      </c>
      <c r="K39" s="105" t="str">
        <f t="shared" si="0"/>
        <v>4013/4014</v>
      </c>
      <c r="L39" s="22" t="str">
        <f>VLOOKUP(A39,'Trips&amp;Operators'!$C$1:$G$99999,5,FALSE)</f>
        <v>ROBINSON KADDIBA</v>
      </c>
      <c r="M39" s="6">
        <f t="shared" si="1"/>
        <v>2.8194444443215616E-2</v>
      </c>
      <c r="N39" s="7">
        <f t="shared" si="2"/>
        <v>40.599999998230487</v>
      </c>
      <c r="O39" s="7"/>
      <c r="P39" s="7"/>
      <c r="Q39" s="23"/>
      <c r="R39" s="23"/>
      <c r="S39" s="32">
        <f t="shared" si="3"/>
        <v>1</v>
      </c>
      <c r="T39" s="47" t="str">
        <f t="shared" si="4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06:45:35-700',mode:absolute,to:'2017-01-08 09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23.295500000000001</v>
      </c>
      <c r="Z39" s="64">
        <f t="shared" si="9"/>
        <v>1.6E-2</v>
      </c>
      <c r="AA39" s="64">
        <f t="shared" si="10"/>
        <v>23.279500000000002</v>
      </c>
      <c r="AB39" s="61" t="e">
        <f>VLOOKUP(A39,Enforcements!$C$7:$K$18,8,0)</f>
        <v>#N/A</v>
      </c>
      <c r="AC39" s="57" t="e">
        <f>VLOOKUP(A39,Enforcements!$C$7:$E$18,3,0)</f>
        <v>#N/A</v>
      </c>
      <c r="AD39" s="58" t="str">
        <f t="shared" si="11"/>
        <v>0128-08</v>
      </c>
      <c r="AE39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39" s="84" t="str">
        <f t="shared" si="13"/>
        <v>"C:\Program Files (x86)\AstroGrep\AstroGrep.exe" /spath="%USERPROFILE%\AppData\Local\Temp\OnboardLogs" /stypes="app*4013*20170108*"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128-08 --locoid 4013 --swversion DE.1.0.8.0 --startMP 204:232955 --initTime 2017-01-08T07:45:35 --startdatetime 2017-01-08T07:56:14 --delay 1 --endMP 204:160 --enddatetime 2017-01-08T08:36:50 --enforcementcount 0 &gt;&gt;C:\Users\stu\Documents\GitHub\eaglep3-reporting\EC\2017-01-08-refined-times.txt</v>
      </c>
      <c r="AI3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ID","value":"128-08"},{"id":16,"name":"Locomotive ID","value":"4013"},{"id":130,"name":"Impact","value":""},{"id":150,"name":"Time of Event (Mountain Time)","value":"08:36:50"},{"id":151,"name":"Denver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4013 --day 2017-01-08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473</v>
      </c>
      <c r="B40" s="7">
        <v>4025</v>
      </c>
      <c r="C40" s="22" t="s">
        <v>203</v>
      </c>
      <c r="D40" s="22" t="s">
        <v>286</v>
      </c>
      <c r="E40" s="13">
        <v>42743.300173611111</v>
      </c>
      <c r="F40" s="13">
        <v>42743.30228009259</v>
      </c>
      <c r="G40" s="7">
        <v>1</v>
      </c>
      <c r="H40" s="22" t="s">
        <v>655</v>
      </c>
      <c r="I40" s="13">
        <v>42743.3283912037</v>
      </c>
      <c r="J40" s="7">
        <v>0</v>
      </c>
      <c r="K40" s="105" t="str">
        <f t="shared" si="0"/>
        <v>4025/4026</v>
      </c>
      <c r="L40" s="22" t="str">
        <f>VLOOKUP(A40,'Trips&amp;Operators'!$C$1:$G$99999,5,FALSE)</f>
        <v>GEBRETEKLE DAGNEW</v>
      </c>
      <c r="M40" s="6">
        <f t="shared" si="1"/>
        <v>2.6111111110367347E-2</v>
      </c>
      <c r="N40" s="7">
        <f t="shared" si="2"/>
        <v>37.599999998928979</v>
      </c>
      <c r="O40" s="7"/>
      <c r="P40" s="7"/>
      <c r="Q40" s="23"/>
      <c r="R40" s="23"/>
      <c r="S40" s="32">
        <f t="shared" si="3"/>
        <v>1</v>
      </c>
      <c r="T40" s="47" t="str">
        <f t="shared" si="4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06:12:15-700',mode:absolute,to:'2017-01-08 08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4.5699999999999998E-2</v>
      </c>
      <c r="Z40" s="64">
        <f t="shared" si="9"/>
        <v>23.3308</v>
      </c>
      <c r="AA40" s="64">
        <f t="shared" si="10"/>
        <v>23.2851</v>
      </c>
      <c r="AB40" s="61" t="e">
        <f>VLOOKUP(A40,Enforcements!$C$7:$K$18,8,0)</f>
        <v>#N/A</v>
      </c>
      <c r="AC40" s="57" t="e">
        <f>VLOOKUP(A40,Enforcements!$C$7:$E$18,3,0)</f>
        <v>#N/A</v>
      </c>
      <c r="AD40" s="58" t="str">
        <f t="shared" si="11"/>
        <v>0129-08</v>
      </c>
      <c r="AE40" s="87" t="str">
        <f t="shared" si="12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40" s="84" t="str">
        <f t="shared" si="13"/>
        <v>"C:\Program Files (x86)\AstroGrep\AstroGrep.exe" /spath="%USERPROFILE%\AppData\Local\Temp\OnboardLogs" /stypes="app*4025*20170108*"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129-08 --locoid 4025 --swversion DE.1.0.8.0 --startMP 204:457 --initTime 2017-01-08T07:12:15 --startdatetime 2017-01-08T07:15:17 --delay 1 --endMP 204:233308 --enddatetime 2017-01-08T07:52:53 --enforcementcount 0 &gt;&gt;C:\Users\stu\Documents\GitHub\eaglep3-reporting\EC\2017-01-08-refined-times.txt</v>
      </c>
      <c r="AI4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{"issue":{"subject":"","project_id":79,"tracker_id":40,"status_id":1,"priority_id":2,"assigned_to_id":23,"start_date":"2017-01-08","description":"","custom_fields":[{"id":1,"name":"Subdivision","value":"EC"},{"id":4,"name":"Milepost","value":"23.3308"},{"id":17,"name":"Train ID","value":"129-08"},{"id":16,"name":"Locomotive ID","value":"4025"},{"id":130,"name":"Impact","value":""},{"id":150,"name":"Time of Event (Mountain Time)","value":"07:52:53"},{"id":151,"name":"Denver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4025 --day 2017-01-08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484</v>
      </c>
      <c r="B41" s="7">
        <v>4026</v>
      </c>
      <c r="C41" s="22" t="s">
        <v>203</v>
      </c>
      <c r="D41" s="22" t="s">
        <v>312</v>
      </c>
      <c r="E41" s="13">
        <v>42743.339328703703</v>
      </c>
      <c r="F41" s="13">
        <v>42743.341145833336</v>
      </c>
      <c r="G41" s="7">
        <v>1</v>
      </c>
      <c r="H41" s="22" t="s">
        <v>333</v>
      </c>
      <c r="I41" s="13">
        <v>42743.373680555553</v>
      </c>
      <c r="J41" s="7">
        <v>0</v>
      </c>
      <c r="K41" s="105" t="str">
        <f t="shared" si="0"/>
        <v>4025/4026</v>
      </c>
      <c r="L41" s="22" t="str">
        <f>VLOOKUP(A41,'Trips&amp;Operators'!$C$1:$G$99999,5,FALSE)</f>
        <v>GEBRETEKLE DAGNEW</v>
      </c>
      <c r="M41" s="6">
        <f t="shared" si="1"/>
        <v>3.2534722216951195E-2</v>
      </c>
      <c r="N41" s="7">
        <f t="shared" si="2"/>
        <v>46.849999992409721</v>
      </c>
      <c r="O41" s="7"/>
      <c r="P41" s="7"/>
      <c r="Q41" s="23"/>
      <c r="R41" s="23"/>
      <c r="S41" s="32">
        <f t="shared" si="3"/>
        <v>1</v>
      </c>
      <c r="T41" s="47" t="str">
        <f t="shared" si="4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07:08:38-700',mode:absolute,to:'2017-01-08 09:58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23.298300000000001</v>
      </c>
      <c r="Z41" s="64">
        <f t="shared" si="9"/>
        <v>1.6500000000000001E-2</v>
      </c>
      <c r="AA41" s="64">
        <f t="shared" si="10"/>
        <v>23.2818</v>
      </c>
      <c r="AB41" s="61" t="e">
        <f>VLOOKUP(A41,Enforcements!$C$7:$K$18,8,0)</f>
        <v>#N/A</v>
      </c>
      <c r="AC41" s="57" t="e">
        <f>VLOOKUP(A41,Enforcements!$C$7:$E$18,3,0)</f>
        <v>#N/A</v>
      </c>
      <c r="AD41" s="58" t="str">
        <f t="shared" si="11"/>
        <v>0130-08</v>
      </c>
      <c r="AE41" s="87" t="str">
        <f t="shared" si="12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41" s="84" t="str">
        <f t="shared" si="13"/>
        <v>"C:\Program Files (x86)\AstroGrep\AstroGrep.exe" /spath="%USERPROFILE%\AppData\Local\Temp\OnboardLogs" /stypes="app*4026*20170108*"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130-08 --locoid 4026 --swversion DE.1.0.8.0 --startMP 204:232983 --initTime 2017-01-08T08:08:38 --startdatetime 2017-01-08T08:11:15 --delay 1 --endMP 204:165 --enddatetime 2017-01-08T08:58:06 --enforcementcount 0 &gt;&gt;C:\Users\stu\Documents\GitHub\eaglep3-reporting\EC\2017-01-08-refined-times.txt</v>
      </c>
      <c r="AI4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{"issue":{"subject":"","project_id":79,"tracker_id":40,"status_id":1,"priority_id":2,"assigned_to_id":23,"start_date":"2017-01-08","description":"","custom_fields":[{"id":1,"name":"Subdivision","value":"EC"},{"id":4,"name":"Milepost","value":"0.0165"},{"id":17,"name":"Train ID","value":"130-08"},{"id":16,"name":"Locomotive ID","value":"4026"},{"id":130,"name":"Impact","value":""},{"id":150,"name":"Time of Event (Mountain Time)","value":"08:58:06"},{"id":151,"name":"Denver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4026 --day 2017-01-08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474</v>
      </c>
      <c r="B42" s="7">
        <v>4020</v>
      </c>
      <c r="C42" s="22" t="s">
        <v>203</v>
      </c>
      <c r="D42" s="22" t="s">
        <v>361</v>
      </c>
      <c r="E42" s="13">
        <v>42743.307372685187</v>
      </c>
      <c r="F42" s="13">
        <v>42743.313611111109</v>
      </c>
      <c r="G42" s="7">
        <v>1</v>
      </c>
      <c r="H42" s="22" t="s">
        <v>395</v>
      </c>
      <c r="I42" s="13">
        <v>42743.339259259257</v>
      </c>
      <c r="J42" s="7">
        <v>0</v>
      </c>
      <c r="K42" s="105" t="str">
        <f t="shared" si="0"/>
        <v>4019/4020</v>
      </c>
      <c r="L42" s="22" t="str">
        <f>VLOOKUP(A42,'Trips&amp;Operators'!$C$1:$G$99999,5,FALSE)</f>
        <v>OUN ZACK</v>
      </c>
      <c r="M42" s="6">
        <f t="shared" si="1"/>
        <v>2.5648148148320615E-2</v>
      </c>
      <c r="N42" s="7">
        <f t="shared" si="2"/>
        <v>36.933333333581686</v>
      </c>
      <c r="O42" s="7"/>
      <c r="P42" s="7"/>
      <c r="Q42" s="23"/>
      <c r="R42" s="23"/>
      <c r="S42" s="32">
        <f t="shared" si="3"/>
        <v>1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06:22:37-700',mode:absolute,to:'2017-01-08 09:08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7.5200000000000003E-2</v>
      </c>
      <c r="Z42" s="64">
        <f t="shared" si="9"/>
        <v>23.332999999999998</v>
      </c>
      <c r="AA42" s="64">
        <f t="shared" si="10"/>
        <v>23.2578</v>
      </c>
      <c r="AB42" s="61" t="e">
        <f>VLOOKUP(A42,Enforcements!$C$7:$K$18,8,0)</f>
        <v>#N/A</v>
      </c>
      <c r="AC42" s="57" t="e">
        <f>VLOOKUP(A42,Enforcements!$C$7:$E$18,3,0)</f>
        <v>#N/A</v>
      </c>
      <c r="AD42" s="58" t="str">
        <f t="shared" si="11"/>
        <v>0131-08</v>
      </c>
      <c r="AE42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42" s="84" t="str">
        <f t="shared" si="13"/>
        <v>"C:\Program Files (x86)\AstroGrep\AstroGrep.exe" /spath="%USERPROFILE%\AppData\Local\Temp\OnboardLogs" /stypes="app*4020*20170108*"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131-08 --locoid 4020 --swversion DE.1.0.8.0 --startMP 204:752 --initTime 2017-01-08T07:22:37 --startdatetime 2017-01-08T07:31:36 --delay 1 --endMP 204:233330 --enddatetime 2017-01-08T08:08:32 --enforcementcount 0 &gt;&gt;C:\Users\stu\Documents\GitHub\eaglep3-reporting\EC\2017-01-08-refined-times.txt</v>
      </c>
      <c r="AI4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{"issue":{"subject":"","project_id":79,"tracker_id":40,"status_id":1,"priority_id":2,"assigned_to_id":23,"start_date":"2017-01-08","description":"","custom_fields":[{"id":1,"name":"Subdivision","value":"EC"},{"id":4,"name":"Milepost","value":"23.333"},{"id":17,"name":"Train ID","value":"131-08"},{"id":16,"name":"Locomotive ID","value":"4020"},{"id":130,"name":"Impact","value":""},{"id":150,"name":"Time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4020 --day 2017-01-08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486</v>
      </c>
      <c r="B43" s="7">
        <v>4019</v>
      </c>
      <c r="C43" s="22" t="s">
        <v>203</v>
      </c>
      <c r="D43" s="22" t="s">
        <v>300</v>
      </c>
      <c r="E43" s="13">
        <v>42743.347349537034</v>
      </c>
      <c r="F43" s="13">
        <v>42743.351585648146</v>
      </c>
      <c r="G43" s="7">
        <v>1</v>
      </c>
      <c r="H43" s="22" t="s">
        <v>282</v>
      </c>
      <c r="I43" s="13">
        <v>42743.38</v>
      </c>
      <c r="J43" s="7">
        <v>0</v>
      </c>
      <c r="K43" s="105" t="str">
        <f t="shared" si="0"/>
        <v>4019/4020</v>
      </c>
      <c r="L43" s="22" t="str">
        <f>VLOOKUP(A43,'Trips&amp;Operators'!$C$1:$G$99999,5,FALSE)</f>
        <v>OUN ZACK</v>
      </c>
      <c r="M43" s="6">
        <f t="shared" si="1"/>
        <v>2.8414351851097308E-2</v>
      </c>
      <c r="N43" s="7">
        <f t="shared" si="2"/>
        <v>40.916666665580124</v>
      </c>
      <c r="O43" s="7"/>
      <c r="P43" s="7"/>
      <c r="Q43" s="23"/>
      <c r="R43" s="23"/>
      <c r="S43" s="32">
        <f t="shared" si="3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07:20:11-700',mode:absolute,to:'2017-01-08 10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23.3</v>
      </c>
      <c r="Z43" s="64">
        <f t="shared" si="9"/>
        <v>1.41E-2</v>
      </c>
      <c r="AA43" s="64">
        <f t="shared" si="10"/>
        <v>23.285900000000002</v>
      </c>
      <c r="AB43" s="61" t="e">
        <f>VLOOKUP(A43,Enforcements!$C$7:$K$18,8,0)</f>
        <v>#N/A</v>
      </c>
      <c r="AC43" s="57" t="e">
        <f>VLOOKUP(A43,Enforcements!$C$7:$E$18,3,0)</f>
        <v>#N/A</v>
      </c>
      <c r="AD43" s="58" t="str">
        <f t="shared" si="11"/>
        <v>0132-08</v>
      </c>
      <c r="AE43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43" s="84" t="str">
        <f t="shared" si="13"/>
        <v>"C:\Program Files (x86)\AstroGrep\AstroGrep.exe" /spath="%USERPROFILE%\AppData\Local\Temp\OnboardLogs" /stypes="app*4019*20170108*" /stext=" 16:.+((SYSTEM_STATE.+slice.+state.+changed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132-08 --locoid 4019 --swversion DE.1.0.8.0 --startMP 204:233000 --initTime 2017-01-08T08:20:11 --startdatetime 2017-01-08T08:26:17 --delay 1 --endMP 204:141 --enddatetime 2017-01-08T09:07:12 --enforcementcount 0 &gt;&gt;C:\Users\stu\Documents\GitHub\eaglep3-reporting\EC\2017-01-08-refined-times.txt</v>
      </c>
      <c r="AI4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{"issue":{"subject":"","project_id":79,"tracker_id":40,"status_id":1,"priority_id":2,"assigned_to_id":23,"start_date":"2017-01-08","description":"","custom_fields":[{"id":1,"name":"Subdivision","value":"EC"},{"id":4,"name":"Milepost","value":"0.0141"},{"id":17,"name":"Train ID","value":"132-08"},{"id":16,"name":"Locomotive ID","value":"4019"},{"id":130,"name":"Impact","value":""},{"id":150,"name":"Time of Event (Mountain Time)","value":"09:07:12"},{"id":151,"name":"Denver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4019 --day 2017-01-08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478</v>
      </c>
      <c r="B44" s="7">
        <v>4009</v>
      </c>
      <c r="C44" s="22" t="s">
        <v>203</v>
      </c>
      <c r="D44" s="22" t="s">
        <v>249</v>
      </c>
      <c r="E44" s="13">
        <v>42743.319849537038</v>
      </c>
      <c r="F44" s="13">
        <v>42743.323252314818</v>
      </c>
      <c r="G44" s="7">
        <v>2</v>
      </c>
      <c r="H44" s="22" t="s">
        <v>656</v>
      </c>
      <c r="I44" s="13">
        <v>42743.350682870368</v>
      </c>
      <c r="J44" s="7">
        <v>0</v>
      </c>
      <c r="K44" s="105" t="str">
        <f t="shared" si="0"/>
        <v>4009/4010</v>
      </c>
      <c r="L44" s="22" t="str">
        <f>VLOOKUP(A44,'Trips&amp;Operators'!$C$1:$G$99999,5,FALSE)</f>
        <v>MOSES BRADLEY</v>
      </c>
      <c r="M44" s="6">
        <f t="shared" si="1"/>
        <v>2.7430555550381541E-2</v>
      </c>
      <c r="N44" s="7">
        <f t="shared" si="2"/>
        <v>39.499999992549419</v>
      </c>
      <c r="O44" s="7"/>
      <c r="P44" s="7"/>
      <c r="Q44" s="23"/>
      <c r="R44" s="23"/>
      <c r="S44" s="32">
        <f t="shared" si="3"/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06:40:35-700',mode:absolute,to:'2017-01-08 09:24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4.6199999999999998E-2</v>
      </c>
      <c r="Z44" s="64">
        <f t="shared" si="9"/>
        <v>23.331900000000001</v>
      </c>
      <c r="AA44" s="64">
        <f t="shared" si="10"/>
        <v>23.285700000000002</v>
      </c>
      <c r="AB44" s="61" t="e">
        <f>VLOOKUP(A44,Enforcements!$C$7:$K$18,8,0)</f>
        <v>#N/A</v>
      </c>
      <c r="AC44" s="57" t="e">
        <f>VLOOKUP(A44,Enforcements!$C$7:$E$18,3,0)</f>
        <v>#N/A</v>
      </c>
      <c r="AD44" s="58" t="str">
        <f t="shared" si="11"/>
        <v>0133-08</v>
      </c>
      <c r="AE44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44" s="84" t="str">
        <f t="shared" si="13"/>
        <v>"C:\Program Files (x86)\AstroGrep\AstroGrep.exe" /spath="%USERPROFILE%\AppData\Local\Temp\OnboardLogs" /stypes="app*4009*20170108*"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133-08 --locoid 4009 --swversion DE.1.0.8.0 --startMP 204:462 --initTime 2017-01-08T07:40:35 --startdatetime 2017-01-08T07:45:29 --delay 2 --endMP 204:233319 --enddatetime 2017-01-08T08:24:59 --enforcementcount 0 &gt;&gt;C:\Users\stu\Documents\GitHub\eaglep3-reporting\EC\2017-01-08-refined-times.txt</v>
      </c>
      <c r="AI4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{"issue":{"subject":"","project_id":79,"tracker_id":40,"status_id":1,"priority_id":2,"assigned_to_id":23,"start_date":"2017-01-08","description":"","custom_fields":[{"id":1,"name":"Subdivision","value":"EC"},{"id":4,"name":"Milepost","value":"23.3319"},{"id":17,"name":"Train ID","value":"133-08"},{"id":16,"name":"Locomotive ID","value":"4009"},{"id":130,"name":"Impact","value":""},{"id":150,"name":"Time of Event (Mountain Time)","value":"08:24:59"},{"id":151,"name":"Denver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4009 --day 2017-01-08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487</v>
      </c>
      <c r="B45" s="7">
        <v>4010</v>
      </c>
      <c r="C45" s="22" t="s">
        <v>203</v>
      </c>
      <c r="D45" s="22" t="s">
        <v>388</v>
      </c>
      <c r="E45" s="13">
        <v>42743.357002314813</v>
      </c>
      <c r="F45" s="13">
        <v>42743.362187500003</v>
      </c>
      <c r="G45" s="7">
        <v>1</v>
      </c>
      <c r="H45" s="22" t="s">
        <v>276</v>
      </c>
      <c r="I45" s="13">
        <v>42743.389814814815</v>
      </c>
      <c r="J45" s="7">
        <v>0</v>
      </c>
      <c r="K45" s="105" t="str">
        <f t="shared" si="0"/>
        <v>4009/4010</v>
      </c>
      <c r="L45" s="22" t="str">
        <f>VLOOKUP(A45,'Trips&amp;Operators'!$C$1:$G$99999,5,FALSE)</f>
        <v>MOSES BRADLEY</v>
      </c>
      <c r="M45" s="6">
        <f t="shared" si="1"/>
        <v>2.7627314811979886E-2</v>
      </c>
      <c r="N45" s="7">
        <f t="shared" si="2"/>
        <v>39.783333329251036</v>
      </c>
      <c r="O45" s="7"/>
      <c r="P45" s="7"/>
      <c r="Q45" s="23"/>
      <c r="R45" s="23"/>
      <c r="S45" s="32">
        <f t="shared" si="3"/>
        <v>1</v>
      </c>
      <c r="T45" s="47" t="str">
        <f t="shared" si="4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07:34:05-700',mode:absolute,to:'2017-01-08 10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5" s="49" t="str">
        <f t="shared" si="6"/>
        <v>N</v>
      </c>
      <c r="X45" s="173">
        <f t="shared" si="7"/>
        <v>1</v>
      </c>
      <c r="Y45" s="64">
        <f t="shared" si="8"/>
        <v>23.299399999999999</v>
      </c>
      <c r="Z45" s="64">
        <f t="shared" si="9"/>
        <v>1.52E-2</v>
      </c>
      <c r="AA45" s="64">
        <f t="shared" si="10"/>
        <v>23.284199999999998</v>
      </c>
      <c r="AB45" s="61" t="e">
        <f>VLOOKUP(A45,Enforcements!$C$7:$K$18,8,0)</f>
        <v>#N/A</v>
      </c>
      <c r="AC45" s="57" t="e">
        <f>VLOOKUP(A45,Enforcements!$C$7:$E$18,3,0)</f>
        <v>#N/A</v>
      </c>
      <c r="AD45" s="58" t="str">
        <f t="shared" si="11"/>
        <v>0134-08</v>
      </c>
      <c r="AE45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45" s="84" t="str">
        <f t="shared" si="13"/>
        <v>"C:\Program Files (x86)\AstroGrep\AstroGrep.exe" /spath="%USERPROFILE%\AppData\Local\Temp\OnboardLogs" /stypes="app*4010*20170108*"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134-08 --locoid 4010 --swversion DE.1.0.8.0 --startMP 204:232994 --initTime 2017-01-08T08:34:05 --startdatetime 2017-01-08T08:41:33 --delay 1 --endMP 204:152 --enddatetime 2017-01-08T09:21:20 --enforcementcount 0 &gt;&gt;C:\Users\stu\Documents\GitHub\eaglep3-reporting\EC\2017-01-08-refined-times.txt</v>
      </c>
      <c r="AI4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ID","value":"134-08"},{"id":16,"name":"Locomotive ID","value":"4010"},{"id":130,"name":"Impact","value":""},{"id":150,"name":"Time of Event (Mountain Time)","value":"09:21:20"},{"id":151,"name":"Denver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4010 --day 2017-01-08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480</v>
      </c>
      <c r="B46" s="7">
        <v>4018</v>
      </c>
      <c r="C46" s="22" t="s">
        <v>203</v>
      </c>
      <c r="D46" s="22" t="s">
        <v>657</v>
      </c>
      <c r="E46" s="13">
        <v>42743.353182870371</v>
      </c>
      <c r="F46" s="13">
        <v>42743.353935185187</v>
      </c>
      <c r="G46" s="7">
        <v>1</v>
      </c>
      <c r="H46" s="22" t="s">
        <v>646</v>
      </c>
      <c r="I46" s="13">
        <v>42743.366168981483</v>
      </c>
      <c r="J46" s="7">
        <v>0</v>
      </c>
      <c r="K46" s="105" t="str">
        <f t="shared" si="0"/>
        <v>4017/4018</v>
      </c>
      <c r="L46" s="22" t="str">
        <f>VLOOKUP(A46,'Trips&amp;Operators'!$C$1:$G$99999,5,FALSE)</f>
        <v>MAELZER KURT</v>
      </c>
      <c r="M46" s="6">
        <f t="shared" si="1"/>
        <v>1.2233796296641231E-2</v>
      </c>
      <c r="N46" s="7"/>
      <c r="O46" s="7"/>
      <c r="P46" s="7">
        <f>24*60*SUM($M46:$M47)</f>
        <v>44.616666671354324</v>
      </c>
      <c r="Q46" s="23"/>
      <c r="R46" s="23" t="s">
        <v>827</v>
      </c>
      <c r="S46" s="32">
        <f>SUM(U46:U47)/IF(AG46="EC",12,1)</f>
        <v>1</v>
      </c>
      <c r="T46" s="47" t="str">
        <f t="shared" si="4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07:28:35-700',mode:absolute,to:'2017-01-08 09:47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6" s="49" t="str">
        <f t="shared" si="6"/>
        <v>Y</v>
      </c>
      <c r="X46" s="173">
        <f t="shared" si="7"/>
        <v>1</v>
      </c>
      <c r="Y46" s="64">
        <f t="shared" si="8"/>
        <v>12.815</v>
      </c>
      <c r="Z46" s="64">
        <f t="shared" si="9"/>
        <v>23.331800000000001</v>
      </c>
      <c r="AA46" s="64">
        <f t="shared" si="10"/>
        <v>10.516800000000002</v>
      </c>
      <c r="AB46" s="61" t="e">
        <f>VLOOKUP(A46,Enforcements!$C$7:$K$18,8,0)</f>
        <v>#N/A</v>
      </c>
      <c r="AC46" s="57" t="e">
        <f>VLOOKUP(A46,Enforcements!$C$7:$E$18,3,0)</f>
        <v>#N/A</v>
      </c>
      <c r="AD46" s="58" t="str">
        <f t="shared" si="11"/>
        <v>0135-08</v>
      </c>
      <c r="AE46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46" s="84" t="str">
        <f t="shared" si="13"/>
        <v>"C:\Program Files (x86)\AstroGrep\AstroGrep.exe" /spath="%USERPROFILE%\AppData\Local\Temp\OnboardLogs" /stypes="app*4018*20170108*"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135-08 --locoid 4018 --swversion DE.1.0.8.0 --startMP 204:128150 --initTime 2017-01-08T08:28:35 --startdatetime 2017-01-08T08:29:40 --delay 1 --endMP 204:233318 --enddatetime 2017-01-08T08:47:17 --enforcementcount 0 &gt;&gt;C:\Users\stu\Documents\GitHub\eaglep3-reporting\EC\2017-01-08-refined-times.txt</v>
      </c>
      <c r="AI46" s="115" t="str">
        <f t="shared" si="19"/>
        <v>echo {"issue":{"subject":"Overshot platform","project_id":79,"tracker_id":40,"status_id":1,"priority_id":2,"assigned_to_id":23,"start_date":"2017-01-08","description":"","custom_fields":[{"id":1,"name":"Subdivision","value":"EC"},{"id":4,"name":"Milepost","value":"23.3318"},{"id":17,"name":"Train ID","value":"135-08"},{"id":16,"name":"Locomotive ID","value":"4018"},{"id":130,"name":"Impact","value":""},{"id":150,"name":"Time of Event (Mountain Time)","value":"08:47:17"},{"id":151,"name":"Denver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4018 --day 2017-01-08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480</v>
      </c>
      <c r="B47" s="7">
        <v>4018</v>
      </c>
      <c r="C47" s="22" t="s">
        <v>203</v>
      </c>
      <c r="D47" s="22" t="s">
        <v>314</v>
      </c>
      <c r="E47" s="13">
        <v>42743.330567129633</v>
      </c>
      <c r="F47" s="13">
        <v>42743.331550925926</v>
      </c>
      <c r="G47" s="7">
        <v>1</v>
      </c>
      <c r="H47" s="22" t="s">
        <v>658</v>
      </c>
      <c r="I47" s="13">
        <v>42743.350300925929</v>
      </c>
      <c r="J47" s="7">
        <v>0</v>
      </c>
      <c r="K47" s="105" t="str">
        <f t="shared" si="0"/>
        <v>4017/4018</v>
      </c>
      <c r="L47" s="22" t="str">
        <f>VLOOKUP(A47,'Trips&amp;Operators'!$C$1:$G$99999,5,FALSE)</f>
        <v>MAELZER KURT</v>
      </c>
      <c r="M47" s="6">
        <f t="shared" si="1"/>
        <v>1.8750000002910383E-2</v>
      </c>
      <c r="N47" s="7"/>
      <c r="O47" s="7"/>
      <c r="P47" s="7"/>
      <c r="Q47" s="23"/>
      <c r="R47" s="23"/>
      <c r="S47" s="32"/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06:56:01-700',mode:absolute,to:'2017-01-08 09:24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7" s="49" t="str">
        <f t="shared" si="6"/>
        <v>Y</v>
      </c>
      <c r="X47" s="173">
        <f t="shared" si="7"/>
        <v>0</v>
      </c>
      <c r="Y47" s="64">
        <f t="shared" si="8"/>
        <v>4.4600000000000001E-2</v>
      </c>
      <c r="Z47" s="64">
        <f t="shared" si="9"/>
        <v>12.849299999999999</v>
      </c>
      <c r="AA47" s="64">
        <f t="shared" si="10"/>
        <v>12.804699999999999</v>
      </c>
      <c r="AB47" s="61" t="e">
        <f>VLOOKUP(A47,Enforcements!$C$7:$K$18,8,0)</f>
        <v>#N/A</v>
      </c>
      <c r="AC47" s="57" t="e">
        <f>VLOOKUP(A47,Enforcements!$C$7:$E$18,3,0)</f>
        <v>#N/A</v>
      </c>
      <c r="AD47" s="58" t="str">
        <f t="shared" si="11"/>
        <v>0135-08</v>
      </c>
      <c r="AE47" s="87" t="str">
        <f t="shared" si="12"/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AF47" s="84" t="str">
        <f t="shared" si="13"/>
        <v>"C:\Program Files (x86)\AstroGrep\AstroGrep.exe" /spath="%USERPROFILE%\AppData\Local\Temp\OnboardLogs" /stypes="app*4018*20170108*"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135-08 --locoid 4018 --swversion DE.1.0.8.0 --startMP 204:446 --initTime 2017-01-08T07:56:01 --startdatetime 2017-01-08T07:57:26 --delay 1 --endMP 204:128493 --enddatetime 2017-01-08T08:24:26 --enforcementcount 0 &gt;&gt;C:\Users\stu\Documents\GitHub\eaglep3-reporting\EC\2017-01-08-refined-times.txt</v>
      </c>
      <c r="AI4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{"issue":{"subject":"","project_id":79,"tracker_id":40,"status_id":1,"priority_id":2,"assigned_to_id":23,"start_date":"2017-01-08","description":"","custom_fields":[{"id":1,"name":"Subdivision","value":"EC"},{"id":4,"name":"Milepost","value":"12.8493"},{"id":17,"name":"Train ID","value":"135-08"},{"id":16,"name":"Locomotive ID","value":"4018"},{"id":130,"name":"Impact","value":""},{"id":150,"name":"Time of Event (Mountain Time)","value":"08:24:26"},{"id":151,"name":"Denver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4018 --day 2017-01-08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490</v>
      </c>
      <c r="B48" s="7">
        <v>4017</v>
      </c>
      <c r="C48" s="22" t="s">
        <v>203</v>
      </c>
      <c r="D48" s="22" t="s">
        <v>659</v>
      </c>
      <c r="E48" s="13">
        <v>42743.370358796295</v>
      </c>
      <c r="F48" s="13">
        <v>42743.371342592596</v>
      </c>
      <c r="G48" s="7">
        <v>1</v>
      </c>
      <c r="H48" s="22" t="s">
        <v>660</v>
      </c>
      <c r="I48" s="13">
        <v>42743.394849537035</v>
      </c>
      <c r="J48" s="7">
        <v>0</v>
      </c>
      <c r="K48" s="105" t="str">
        <f t="shared" si="0"/>
        <v>4017/4018</v>
      </c>
      <c r="L48" s="22" t="str">
        <f>VLOOKUP(A48,'Trips&amp;Operators'!$C$1:$G$99999,5,FALSE)</f>
        <v>MAELZER KURT</v>
      </c>
      <c r="M48" s="6">
        <f t="shared" si="1"/>
        <v>2.3506944438850041E-2</v>
      </c>
      <c r="N48" s="7"/>
      <c r="O48" s="7"/>
      <c r="P48" s="7">
        <f>24*60*SUM($M48:$M49)</f>
        <v>48.216666664229706</v>
      </c>
      <c r="Q48" s="23"/>
      <c r="R48" s="23" t="s">
        <v>827</v>
      </c>
      <c r="S48" s="32">
        <f>SUM(U48:U49)/IF(AG48="EC",12,1)</f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9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07:53:19-700',mode:absolute,to:'2017-01-08 10:28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8" s="49" t="str">
        <f t="shared" si="6"/>
        <v>Y</v>
      </c>
      <c r="X48" s="173">
        <f t="shared" si="7"/>
        <v>1</v>
      </c>
      <c r="Y48" s="64">
        <f t="shared" si="8"/>
        <v>23.300899999999999</v>
      </c>
      <c r="Z48" s="64">
        <f t="shared" si="9"/>
        <v>3.6682000000000001</v>
      </c>
      <c r="AA48" s="64">
        <f t="shared" si="10"/>
        <v>19.6327</v>
      </c>
      <c r="AB48" s="61" t="e">
        <f>VLOOKUP(A48,Enforcements!$C$7:$K$18,8,0)</f>
        <v>#N/A</v>
      </c>
      <c r="AC48" s="57" t="e">
        <f>VLOOKUP(A48,Enforcements!$C$7:$E$18,3,0)</f>
        <v>#N/A</v>
      </c>
      <c r="AD48" s="58" t="str">
        <f t="shared" si="11"/>
        <v>0136-08</v>
      </c>
      <c r="AE48" s="87" t="str">
        <f t="shared" si="12"/>
        <v>aws s3 cp s3://rtdc.mdm.uploadarchive.raw/RTDC4017/ "%USERPROFILE%\AppData\Local\Temp\OnboardLogs"\RTDC4017\2017-01-08 --exclude "*" --recursive --include "*20170108*" &amp; "%USERPROFILE%\Documents\GitHub\mrs-test-scripts\Headless Mode &amp; Sideloading\WalkAndUnGZ.bat" "%USERPROFILE%\AppData\Local\Temp\OnboardLogs"\RTDC4017\2017-01-08 &amp; aws s3 cp s3://rtdc.mdm.uploadarchive.raw/RTDC4017/ "%USERPROFILE%\AppData\Local\Temp\OnboardLogs"\RTDC4017\2017-01-09 --exclude "*" --recursive --include "*20170109*" &amp; "%USERPROFILE%\Documents\GitHub\mrs-test-scripts\Headless Mode &amp; Sideloading\WalkAndUnGZ.bat" "%USERPROFILE%\AppData\Local\Temp\OnboardLogs"\RTDC4017\2017-01-09</v>
      </c>
      <c r="AF48" s="84" t="str">
        <f t="shared" si="13"/>
        <v>"C:\Program Files (x86)\AstroGrep\AstroGrep.exe" /spath="%USERPROFILE%\AppData\Local\Temp\OnboardLogs" /stypes="app*4017*20170108*"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136-08 --locoid 4017 --swversion DE.1.0.8.0 --startMP 204:233009 --initTime 2017-01-08T08:53:19 --startdatetime 2017-01-08T08:54:44 --delay 1 --endMP 204:36682 --enddatetime 2017-01-08T09:28:35 --enforcementcount 0 &gt;&gt;C:\Users\stu\Documents\GitHub\eaglep3-reporting\EC\2017-01-08-refined-times.txt</v>
      </c>
      <c r="AI48" s="115" t="str">
        <f t="shared" si="19"/>
        <v>echo {"issue":{"subject":"Overshot platform","project_id":79,"tracker_id":40,"status_id":1,"priority_id":2,"assigned_to_id":23,"start_date":"2017-01-08","description":"","custom_fields":[{"id":1,"name":"Subdivision","value":"EC"},{"id":4,"name":"Milepost","value":"3.6682"},{"id":17,"name":"Train ID","value":"136-08"},{"id":16,"name":"Locomotive ID","value":"4017"},{"id":130,"name":"Impact","value":""},{"id":150,"name":"Time of Event (Mountain Time)","value":"09:28:35"},{"id":151,"name":"Denver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4017 --day 2017-01-08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490</v>
      </c>
      <c r="B49" s="7">
        <v>4017</v>
      </c>
      <c r="C49" s="22" t="s">
        <v>203</v>
      </c>
      <c r="D49" s="22" t="s">
        <v>661</v>
      </c>
      <c r="E49" s="13">
        <v>42743.398726851854</v>
      </c>
      <c r="F49" s="13">
        <v>42743.399583333332</v>
      </c>
      <c r="G49" s="7">
        <v>1</v>
      </c>
      <c r="H49" s="22" t="s">
        <v>229</v>
      </c>
      <c r="I49" s="13">
        <v>42743.409560185188</v>
      </c>
      <c r="J49" s="7">
        <v>0</v>
      </c>
      <c r="K49" s="105" t="str">
        <f t="shared" si="0"/>
        <v>4017/4018</v>
      </c>
      <c r="L49" s="22" t="str">
        <f>VLOOKUP(A49,'Trips&amp;Operators'!$C$1:$G$99999,5,FALSE)</f>
        <v>MAELZER KURT</v>
      </c>
      <c r="M49" s="6">
        <f t="shared" si="1"/>
        <v>9.976851855753921E-3</v>
      </c>
      <c r="N49" s="7"/>
      <c r="O49" s="7"/>
      <c r="P49" s="7"/>
      <c r="Q49" s="23"/>
      <c r="R49" s="23"/>
      <c r="S49" s="32"/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3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08:34:10-700',mode:absolute,to:'2017-01-08 10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9" s="49" t="str">
        <f t="shared" si="6"/>
        <v>Y</v>
      </c>
      <c r="X49" s="173">
        <f t="shared" si="7"/>
        <v>0</v>
      </c>
      <c r="Y49" s="64">
        <f t="shared" si="8"/>
        <v>3.6859999999999999</v>
      </c>
      <c r="Z49" s="64">
        <f t="shared" si="9"/>
        <v>1.4500000000000001E-2</v>
      </c>
      <c r="AA49" s="64">
        <f t="shared" si="10"/>
        <v>3.6715</v>
      </c>
      <c r="AB49" s="61" t="e">
        <f>VLOOKUP(A49,Enforcements!$C$7:$K$18,8,0)</f>
        <v>#N/A</v>
      </c>
      <c r="AC49" s="57" t="e">
        <f>VLOOKUP(A49,Enforcements!$C$7:$E$18,3,0)</f>
        <v>#N/A</v>
      </c>
      <c r="AD49" s="58" t="str">
        <f t="shared" si="11"/>
        <v>0136-08</v>
      </c>
      <c r="AE49" s="87" t="str">
        <f t="shared" si="12"/>
        <v>aws s3 cp s3://rtdc.mdm.uploadarchive.raw/RTDC4017/ "%USERPROFILE%\AppData\Local\Temp\OnboardLogs"\RTDC4017\2017-01-08 --exclude "*" --recursive --include "*20170108*" &amp; "%USERPROFILE%\Documents\GitHub\mrs-test-scripts\Headless Mode &amp; Sideloading\WalkAndUnGZ.bat" "%USERPROFILE%\AppData\Local\Temp\OnboardLogs"\RTDC4017\2017-01-08 &amp; aws s3 cp s3://rtdc.mdm.uploadarchive.raw/RTDC4017/ "%USERPROFILE%\AppData\Local\Temp\OnboardLogs"\RTDC4017\2017-01-09 --exclude "*" --recursive --include "*20170109*" &amp; "%USERPROFILE%\Documents\GitHub\mrs-test-scripts\Headless Mode &amp; Sideloading\WalkAndUnGZ.bat" "%USERPROFILE%\AppData\Local\Temp\OnboardLogs"\RTDC4017\2017-01-09</v>
      </c>
      <c r="AF49" s="84" t="str">
        <f t="shared" si="13"/>
        <v>"C:\Program Files (x86)\AstroGrep\AstroGrep.exe" /spath="%USERPROFILE%\AppData\Local\Temp\OnboardLogs" /stypes="app*4017*20170108*"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136-08 --locoid 4017 --swversion DE.1.0.8.0 --startMP 204:36860 --initTime 2017-01-08T09:34:10 --startdatetime 2017-01-08T09:35:24 --delay 1 --endMP 204:145 --enddatetime 2017-01-08T09:49:46 --enforcementcount 0 &gt;&gt;C:\Users\stu\Documents\GitHub\eaglep3-reporting\EC\2017-01-08-refined-times.txt</v>
      </c>
      <c r="AI4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{"issue":{"subject":"","project_id":79,"tracker_id":40,"status_id":1,"priority_id":2,"assigned_to_id":23,"start_date":"2017-01-08","description":"","custom_fields":[{"id":1,"name":"Subdivision","value":"EC"},{"id":4,"name":"Milepost","value":"0.0145"},{"id":17,"name":"Train ID","value":"136-08"},{"id":16,"name":"Locomotive ID","value":"4017"},{"id":130,"name":"Impact","value":""},{"id":150,"name":"Time of Event (Mountain Time)","value":"09:49:46"},{"id":151,"name":"Denver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4017 --day 2017-01-08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485</v>
      </c>
      <c r="B50" s="7">
        <v>4027</v>
      </c>
      <c r="C50" s="22" t="s">
        <v>203</v>
      </c>
      <c r="D50" s="22" t="s">
        <v>352</v>
      </c>
      <c r="E50" s="13">
        <v>42743.341678240744</v>
      </c>
      <c r="F50" s="13">
        <v>42743.343969907408</v>
      </c>
      <c r="G50" s="7">
        <v>0</v>
      </c>
      <c r="H50" s="22" t="s">
        <v>662</v>
      </c>
      <c r="I50" s="13">
        <v>42743.370370370372</v>
      </c>
      <c r="J50" s="7">
        <v>0</v>
      </c>
      <c r="K50" s="105" t="str">
        <f t="shared" si="0"/>
        <v>4027/4028</v>
      </c>
      <c r="L50" s="22" t="str">
        <f>VLOOKUP(A50,'Trips&amp;Operators'!$C$1:$G$99999,5,FALSE)</f>
        <v>ISHMAEL JOSEPH</v>
      </c>
      <c r="M50" s="6">
        <f t="shared" si="1"/>
        <v>2.6400462964375038E-2</v>
      </c>
      <c r="N50" s="7">
        <f t="shared" si="2"/>
        <v>38.016666668700054</v>
      </c>
      <c r="O50" s="7"/>
      <c r="P50" s="7"/>
      <c r="Q50" s="23"/>
      <c r="R50" s="23"/>
      <c r="S50" s="32">
        <f t="shared" si="3"/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07:12:01-700',mode:absolute,to:'2017-01-08 09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0" s="49" t="str">
        <f t="shared" si="6"/>
        <v>N</v>
      </c>
      <c r="X50" s="173">
        <f t="shared" si="7"/>
        <v>1</v>
      </c>
      <c r="Y50" s="64">
        <f t="shared" si="8"/>
        <v>4.8800000000000003E-2</v>
      </c>
      <c r="Z50" s="64">
        <f t="shared" si="9"/>
        <v>23.330200000000001</v>
      </c>
      <c r="AA50" s="64">
        <f t="shared" si="10"/>
        <v>23.281400000000001</v>
      </c>
      <c r="AB50" s="61" t="e">
        <f>VLOOKUP(A50,Enforcements!$C$7:$K$18,8,0)</f>
        <v>#N/A</v>
      </c>
      <c r="AC50" s="57" t="e">
        <f>VLOOKUP(A50,Enforcements!$C$7:$E$18,3,0)</f>
        <v>#N/A</v>
      </c>
      <c r="AD50" s="58" t="str">
        <f t="shared" si="11"/>
        <v>0137-08</v>
      </c>
      <c r="AE50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50" s="84" t="str">
        <f t="shared" si="13"/>
        <v>"C:\Program Files (x86)\AstroGrep\AstroGrep.exe" /spath="%USERPROFILE%\AppData\Local\Temp\OnboardLogs" /stypes="app*4027*20170108*"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137-08 --locoid 4027 --swversion DE.1.0.8.0 --startMP 204:488 --initTime 2017-01-08T08:12:01 --startdatetime 2017-01-08T08:15:19 --delay 0 --endMP 204:233302 --enddatetime 2017-01-08T08:53:20 --enforcementcount 0 &gt;&gt;C:\Users\stu\Documents\GitHub\eaglep3-reporting\EC\2017-01-08-refined-times.txt</v>
      </c>
      <c r="AI5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{"issue":{"subject":"","project_id":79,"tracker_id":40,"status_id":1,"priority_id":2,"assigned_to_id":23,"start_date":"2017-01-08","description":"","custom_fields":[{"id":1,"name":"Subdivision","value":"EC"},{"id":4,"name":"Milepost","value":"23.3302"},{"id":17,"name":"Train ID","value":"137-08"},{"id":16,"name":"Locomotive ID","value":"4027"},{"id":130,"name":"Impact","value":""},{"id":150,"name":"Time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4027 --day 2017-01-08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491</v>
      </c>
      <c r="B51" s="7">
        <v>4028</v>
      </c>
      <c r="C51" s="22" t="s">
        <v>203</v>
      </c>
      <c r="D51" s="22" t="s">
        <v>354</v>
      </c>
      <c r="E51" s="13">
        <v>42743.373333333337</v>
      </c>
      <c r="F51" s="13">
        <v>42743.3830787037</v>
      </c>
      <c r="G51" s="7">
        <v>2</v>
      </c>
      <c r="H51" s="22" t="s">
        <v>248</v>
      </c>
      <c r="I51" s="13">
        <v>42743.413263888891</v>
      </c>
      <c r="J51" s="7">
        <v>0</v>
      </c>
      <c r="K51" s="105" t="str">
        <f t="shared" si="0"/>
        <v>4027/4028</v>
      </c>
      <c r="L51" s="22" t="str">
        <f>VLOOKUP(A51,'Trips&amp;Operators'!$C$1:$G$99999,5,FALSE)</f>
        <v>ISHMAEL JOSEPH</v>
      </c>
      <c r="M51" s="6">
        <f t="shared" si="1"/>
        <v>3.0185185190930497E-2</v>
      </c>
      <c r="N51" s="7">
        <f t="shared" si="2"/>
        <v>43.466666674939916</v>
      </c>
      <c r="O51" s="7"/>
      <c r="P51" s="7"/>
      <c r="Q51" s="23"/>
      <c r="R51" s="23"/>
      <c r="S51" s="32">
        <f t="shared" si="3"/>
        <v>1</v>
      </c>
      <c r="T51" s="47" t="str">
        <f t="shared" si="4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07:57:36-700',mode:absolute,to:'2017-01-08 10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1" s="49" t="str">
        <f t="shared" si="6"/>
        <v>N</v>
      </c>
      <c r="X51" s="173">
        <f t="shared" si="7"/>
        <v>1</v>
      </c>
      <c r="Y51" s="64">
        <f t="shared" si="8"/>
        <v>23.299299999999999</v>
      </c>
      <c r="Z51" s="64">
        <f t="shared" si="9"/>
        <v>1.6E-2</v>
      </c>
      <c r="AA51" s="64">
        <f t="shared" si="10"/>
        <v>23.283300000000001</v>
      </c>
      <c r="AB51" s="61" t="e">
        <f>VLOOKUP(A51,Enforcements!$C$7:$K$18,8,0)</f>
        <v>#N/A</v>
      </c>
      <c r="AC51" s="57" t="e">
        <f>VLOOKUP(A51,Enforcements!$C$7:$E$18,3,0)</f>
        <v>#N/A</v>
      </c>
      <c r="AD51" s="58" t="str">
        <f t="shared" si="11"/>
        <v>0138-08</v>
      </c>
      <c r="AE51" s="87" t="str">
        <f t="shared" si="12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51" s="84" t="str">
        <f t="shared" si="13"/>
        <v>"C:\Program Files (x86)\AstroGrep\AstroGrep.exe" /spath="%USERPROFILE%\AppData\Local\Temp\OnboardLogs" /stypes="app*4028*20170108*"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138-08 --locoid 4028 --swversion DE.1.0.8.0 --startMP 204:232993 --initTime 2017-01-08T08:57:36 --startdatetime 2017-01-08T09:11:38 --delay 2 --endMP 204:160 --enddatetime 2017-01-08T09:55:06 --enforcementcount 0 &gt;&gt;C:\Users\stu\Documents\GitHub\eaglep3-reporting\EC\2017-01-08-refined-times.txt</v>
      </c>
      <c r="AI5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ID","value":"138-08"},{"id":16,"name":"Locomotive ID","value":"4028"},{"id":130,"name":"Impact","value":""},{"id":150,"name":"Time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4028 --day 2017-01-08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414</v>
      </c>
      <c r="B52" s="7">
        <v>4002</v>
      </c>
      <c r="C52" s="22" t="s">
        <v>203</v>
      </c>
      <c r="D52" s="22" t="s">
        <v>663</v>
      </c>
      <c r="E52" s="13">
        <v>42743.366736111115</v>
      </c>
      <c r="F52" s="13">
        <v>42743.367638888885</v>
      </c>
      <c r="G52" s="7">
        <v>1</v>
      </c>
      <c r="H52" s="22" t="s">
        <v>664</v>
      </c>
      <c r="I52" s="13">
        <v>42743.368275462963</v>
      </c>
      <c r="J52" s="7">
        <v>1</v>
      </c>
      <c r="K52" s="105" t="str">
        <f t="shared" si="0"/>
        <v>4001/4002</v>
      </c>
      <c r="L52" s="22" t="str">
        <f>VLOOKUP(A52,'Trips&amp;Operators'!$C$1:$G$99999,5,FALSE)</f>
        <v>SHOOK JOHN</v>
      </c>
      <c r="M52" s="6">
        <f t="shared" si="1"/>
        <v>6.36574077361729E-4</v>
      </c>
      <c r="N52" s="7"/>
      <c r="O52" s="7"/>
      <c r="P52" s="7">
        <f>24*60*SUM($M52:$M54)</f>
        <v>54.550000011222437</v>
      </c>
      <c r="Q52" s="23"/>
      <c r="R52" s="23" t="s">
        <v>828</v>
      </c>
      <c r="S52" s="32">
        <f>SUM(U52:U53)/IF(AG52="EC",12,1)</f>
        <v>1</v>
      </c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07:48:06-700',mode:absolute,to:'2017-01-08 09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2" s="49" t="str">
        <f t="shared" si="6"/>
        <v>Y</v>
      </c>
      <c r="X52" s="173">
        <f t="shared" si="7"/>
        <v>1</v>
      </c>
      <c r="Y52" s="64">
        <f t="shared" si="8"/>
        <v>1.0649999999999999</v>
      </c>
      <c r="Z52" s="64">
        <f t="shared" si="9"/>
        <v>1.1203000000000001</v>
      </c>
      <c r="AA52" s="64">
        <f t="shared" si="10"/>
        <v>5.5300000000000127E-2</v>
      </c>
      <c r="AB52" s="61" t="str">
        <f>VLOOKUP(A52,Enforcements!$C$7:$K$18,8,0)</f>
        <v>Signal based authority (5)</v>
      </c>
      <c r="AC52" s="57" t="str">
        <f>VLOOKUP(A52,Enforcements!$C$7:$E$18,3,0)</f>
        <v>SIGNAL</v>
      </c>
      <c r="AD52" s="58" t="str">
        <f t="shared" si="11"/>
        <v>0139-08</v>
      </c>
      <c r="AE52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52" s="84" t="str">
        <f t="shared" si="13"/>
        <v>"C:\Program Files (x86)\AstroGrep\AstroGrep.exe" /spath="%USERPROFILE%\AppData\Local\Temp\OnboardLogs" /stypes="app*4002*20170108*" /stext=" 15:.+((SYSTEM_STATE.+slice.+state.+changed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139-08 --locoid 4002 --swversion DE.1.0.8.0 --startMP 204:10650 --initTime 2017-01-08T08:48:06 --startdatetime 2017-01-08T08:49:24 --delay 1 --endMP 204:11203 --enddatetime 2017-01-08T08:50:19 --enforcementcount 1 &gt;&gt;C:\Users\stu\Documents\GitHub\eaglep3-reporting\EC\2017-01-08-refined-times.txt</v>
      </c>
      <c r="AI52" s="115" t="str">
        <f t="shared" si="19"/>
        <v>echo {"issue":{"subject":"Bright SW stuck","project_id":79,"tracker_id":40,"status_id":1,"priority_id":2,"assigned_to_id":23,"start_date":"2017-01-08","description":"","custom_fields":[{"id":1,"name":"Subdivision","value":"EC"},{"id":4,"name":"Milepost","value":"1.1203"},{"id":17,"name":"Train ID","value":"139-08"},{"id":16,"name":"Locomotive ID","value":"4002"},{"id":130,"name":"Impact","value":""},{"id":150,"name":"Time of Event (Mountain Time)","value":"08:50:19"},{"id":151,"name":"Denver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4002 --day 2017-01-08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414</v>
      </c>
      <c r="B53" s="7">
        <v>4002</v>
      </c>
      <c r="C53" s="22" t="s">
        <v>203</v>
      </c>
      <c r="D53" s="22" t="s">
        <v>665</v>
      </c>
      <c r="E53" s="13">
        <v>42743.370555555557</v>
      </c>
      <c r="F53" s="13">
        <v>42743.37128472222</v>
      </c>
      <c r="G53" s="7">
        <v>1</v>
      </c>
      <c r="H53" s="22" t="s">
        <v>666</v>
      </c>
      <c r="I53" s="13">
        <v>42743.397164351853</v>
      </c>
      <c r="J53" s="7">
        <v>0</v>
      </c>
      <c r="K53" s="105" t="str">
        <f t="shared" si="0"/>
        <v>4001/4002</v>
      </c>
      <c r="L53" s="22" t="str">
        <f>VLOOKUP(A53,'Trips&amp;Operators'!$C$1:$G$99999,5,FALSE)</f>
        <v>SHOOK JOHN</v>
      </c>
      <c r="M53" s="6">
        <f t="shared" si="1"/>
        <v>2.587962963298196E-2</v>
      </c>
      <c r="N53" s="7"/>
      <c r="O53" s="7"/>
      <c r="P53" s="7"/>
      <c r="Q53" s="23"/>
      <c r="R53" s="23"/>
      <c r="S53" s="32"/>
      <c r="T53" s="47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07:53:36-700',mode:absolute,to:'2017-01-08 10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3" s="49" t="str">
        <f t="shared" si="6"/>
        <v>Y</v>
      </c>
      <c r="X53" s="173">
        <f t="shared" si="7"/>
        <v>0</v>
      </c>
      <c r="Y53" s="64">
        <f t="shared" si="8"/>
        <v>1.9129</v>
      </c>
      <c r="Z53" s="64">
        <f t="shared" si="9"/>
        <v>23.3307</v>
      </c>
      <c r="AA53" s="64">
        <f t="shared" si="10"/>
        <v>21.4178</v>
      </c>
      <c r="AB53" s="61" t="str">
        <f>VLOOKUP(A53,Enforcements!$C$7:$K$18,8,0)</f>
        <v>Signal based authority (5)</v>
      </c>
      <c r="AC53" s="57" t="str">
        <f>VLOOKUP(A53,Enforcements!$C$7:$E$18,3,0)</f>
        <v>SIGNAL</v>
      </c>
      <c r="AD53" s="58" t="str">
        <f t="shared" si="11"/>
        <v>0139-08</v>
      </c>
      <c r="AE53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53" s="84" t="str">
        <f t="shared" si="13"/>
        <v>"C:\Program Files (x86)\AstroGrep\AstroGrep.exe" /spath="%USERPROFILE%\AppData\Local\Temp\OnboardLogs" /stypes="app*4002*20170108*"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139-08 --locoid 4002 --swversion DE.1.0.8.0 --startMP 204:19129 --initTime 2017-01-08T08:53:36 --startdatetime 2017-01-08T08:54:39 --delay 1 --endMP 204:233307 --enddatetime 2017-01-08T09:31:55 --enforcementcount 0 &gt;&gt;C:\Users\stu\Documents\GitHub\eaglep3-reporting\EC\2017-01-08-refined-times.txt</v>
      </c>
      <c r="AI5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{"issue":{"subject":"","project_id":79,"tracker_id":40,"status_id":1,"priority_id":2,"assigned_to_id":23,"start_date":"2017-01-08","description":"","custom_fields":[{"id":1,"name":"Subdivision","value":"EC"},{"id":4,"name":"Milepost","value":"23.3307"},{"id":17,"name":"Train ID","value":"139-08"},{"id":16,"name":"Locomotive ID","value":"4002"},{"id":130,"name":"Impact","value":""},{"id":150,"name":"Time of Event (Mountain Time)","value":"09:31:55"},{"id":151,"name":"Denver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4002 --day 2017-01-08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414</v>
      </c>
      <c r="B54" s="7">
        <v>4002</v>
      </c>
      <c r="C54" s="22" t="s">
        <v>203</v>
      </c>
      <c r="D54" s="22" t="s">
        <v>226</v>
      </c>
      <c r="E54" s="13">
        <v>42743.349583333336</v>
      </c>
      <c r="F54" s="13">
        <v>42743.350902777776</v>
      </c>
      <c r="G54" s="7">
        <v>1</v>
      </c>
      <c r="H54" s="22" t="s">
        <v>667</v>
      </c>
      <c r="I54" s="13">
        <v>42743.362268518518</v>
      </c>
      <c r="J54" s="7">
        <v>0</v>
      </c>
      <c r="K54" s="105" t="str">
        <f t="shared" si="0"/>
        <v>4001/4002</v>
      </c>
      <c r="L54" s="22" t="str">
        <f>VLOOKUP(A54,'Trips&amp;Operators'!$C$1:$G$99999,5,FALSE)</f>
        <v>SHOOK JOHN</v>
      </c>
      <c r="M54" s="6">
        <f t="shared" si="1"/>
        <v>1.1365740741894115E-2</v>
      </c>
      <c r="N54" s="7"/>
      <c r="O54" s="7"/>
      <c r="P54" s="7"/>
      <c r="Q54" s="23"/>
      <c r="R54" s="23"/>
      <c r="S54" s="32"/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07:23:24-700',mode:absolute,to:'2017-01-08 09:41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4" s="49" t="str">
        <f t="shared" si="6"/>
        <v>Y</v>
      </c>
      <c r="X54" s="173">
        <f t="shared" si="7"/>
        <v>0</v>
      </c>
      <c r="Y54" s="64">
        <f t="shared" si="8"/>
        <v>4.5999999999999999E-2</v>
      </c>
      <c r="Z54" s="64">
        <f t="shared" si="9"/>
        <v>0.59399999999999997</v>
      </c>
      <c r="AA54" s="64">
        <f t="shared" si="10"/>
        <v>0.54799999999999993</v>
      </c>
      <c r="AB54" s="61" t="str">
        <f>VLOOKUP(A54,Enforcements!$C$7:$K$18,8,0)</f>
        <v>Signal based authority (5)</v>
      </c>
      <c r="AC54" s="57" t="str">
        <f>VLOOKUP(A54,Enforcements!$C$7:$E$18,3,0)</f>
        <v>SIGNAL</v>
      </c>
      <c r="AD54" s="58" t="str">
        <f t="shared" si="11"/>
        <v>0139-08</v>
      </c>
      <c r="AE54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54" s="84" t="str">
        <f t="shared" si="13"/>
        <v>"C:\Program Files (x86)\AstroGrep\AstroGrep.exe" /spath="%USERPROFILE%\AppData\Local\Temp\OnboardLogs" /stypes="app*4002*20170108*" /stext=" 15:.+((SYSTEM_STATE.+slice.+state.+changed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139-08 --locoid 4002 --swversion DE.1.0.8.0 --startMP 204:460 --initTime 2017-01-08T08:23:24 --startdatetime 2017-01-08T08:25:18 --delay 1 --endMP 204:5940 --enddatetime 2017-01-08T08:41:40 --enforcementcount 0 &gt;&gt;C:\Users\stu\Documents\GitHub\eaglep3-reporting\EC\2017-01-08-refined-times.txt</v>
      </c>
      <c r="AI5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{"issue":{"subject":"","project_id":79,"tracker_id":40,"status_id":1,"priority_id":2,"assigned_to_id":23,"start_date":"2017-01-08","description":"","custom_fields":[{"id":1,"name":"Subdivision","value":"EC"},{"id":4,"name":"Milepost","value":"0.594"},{"id":17,"name":"Train ID","value":"139-08"},{"id":16,"name":"Locomotive ID","value":"4002"},{"id":130,"name":"Impact","value":""},{"id":150,"name":"Time of Event (Mountain Time)","value":"08:41:40"},{"id":151,"name":"Denver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4002 --day 2017-01-08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496</v>
      </c>
      <c r="B55" s="7">
        <v>4001</v>
      </c>
      <c r="C55" s="22" t="s">
        <v>203</v>
      </c>
      <c r="D55" s="22" t="s">
        <v>226</v>
      </c>
      <c r="E55" s="13">
        <v>42743.349583333336</v>
      </c>
      <c r="F55" s="13">
        <v>42743.400543981479</v>
      </c>
      <c r="G55" s="7">
        <v>1</v>
      </c>
      <c r="H55" s="22" t="s">
        <v>667</v>
      </c>
      <c r="I55" s="13">
        <v>42743.4143287037</v>
      </c>
      <c r="J55" s="7">
        <v>0</v>
      </c>
      <c r="K55" s="105" t="str">
        <f t="shared" ref="K55" si="53">IF(ISEVEN(B55),(B55-1)&amp;"/"&amp;B55,B55&amp;"/"&amp;(B55+1))</f>
        <v>4001/4002</v>
      </c>
      <c r="L55" s="22" t="str">
        <f>VLOOKUP(A55,'Trips&amp;Operators'!$C$1:$G$99999,5,FALSE)</f>
        <v>SHOOK JOHN</v>
      </c>
      <c r="M55" s="6">
        <f t="shared" si="1"/>
        <v>1.378472222131677E-2</v>
      </c>
      <c r="N55" s="7"/>
      <c r="O55" s="7"/>
      <c r="P55" s="7">
        <v>1</v>
      </c>
      <c r="Q55" s="23"/>
      <c r="R55" s="23" t="s">
        <v>844</v>
      </c>
      <c r="S55" s="32">
        <f t="shared" si="3"/>
        <v>0</v>
      </c>
      <c r="T55" s="47" t="str">
        <f t="shared" ref="T55" si="54">IF(ISEVEN(LEFT(AD55,4)),"Southbound","NorthBound")</f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94" t="str">
        <f t="shared" ref="V55" si="55"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https://search-rtdc-monitor-bjffxe2xuh6vdkpspy63sjmuny.us-east-1.es.amazonaws.com/_plugin/kibana/#/discover/Steve-Slow-Train-Analysis-(2080s-and-2083s)?_g=(refreshInterval:(display:Off,section:0,value:0),time:(from:'2017-01-08 07:23:24-700',mode:absolute,to:'2017-01-08 10:56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5" s="49" t="str">
        <f t="shared" ref="W55" si="56">IF(AA55&lt;IF(AG55="EC",23,5.65),"Y","N")</f>
        <v>Y</v>
      </c>
      <c r="X55" s="173">
        <f t="shared" ref="X55:X58" si="57">VALUE(LEFT(AD55,4))-VALUE(LEFT(AD54,4))</f>
        <v>1</v>
      </c>
      <c r="Y55" s="64">
        <f t="shared" ref="Y55" si="58">RIGHT(D55,LEN(D55)-4)/10000</f>
        <v>4.5999999999999999E-2</v>
      </c>
      <c r="Z55" s="64">
        <f t="shared" ref="Z55" si="59">RIGHT(H55,LEN(H55)-4)/10000</f>
        <v>0.59399999999999997</v>
      </c>
      <c r="AA55" s="64">
        <f t="shared" ref="AA55" si="60">ABS(Z55-Y55)</f>
        <v>0.54799999999999993</v>
      </c>
      <c r="AB55" s="61" t="e">
        <f>VLOOKUP(A55,Enforcements!$C$7:$K$18,8,0)</f>
        <v>#N/A</v>
      </c>
      <c r="AC55" s="57" t="e">
        <f>VLOOKUP(A55,Enforcements!$C$7:$E$18,3,0)</f>
        <v>#N/A</v>
      </c>
      <c r="AD55" s="58" t="str">
        <f t="shared" ref="AD55" si="61">IF(LEN(A55)=6,"0"&amp;A55,A55)</f>
        <v>0140-08</v>
      </c>
      <c r="AE55" s="87" t="str">
        <f t="shared" ref="AE55" si="62"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55" s="84" t="str">
        <f t="shared" ref="AF55" si="63"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/stypes="app*4001*20170108*" /stext=" 16:.+((SYSTEM_STATE.+slice.+state.+changed )|(ment ac)|(multiple cpu faults)|(system.+state.+changed )|(\[timeout)|(PRM\|1\|D)|(kpr)|(kdp)|(\|lc)|(penalty))" /e /r /s</v>
      </c>
      <c r="AG55" s="1" t="str">
        <f t="shared" ref="AG55" si="64">IFERROR(IF(VALUE(LEFT(AD55,2))&lt;=2,"EC",IF(OR(VALUE(LEFT(AD55,2))=8,VALUE(LEFT(AD55,2))=18),"NW","Other")),"Other")</f>
        <v>EC</v>
      </c>
      <c r="AH55" s="88" t="str">
        <f t="shared" ref="AH55" si="65"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"&amp;J55&amp;IF(outputrefinedruntimes," &gt;&gt;"&amp;RefinedRTDCRunTimesOutputFile,"")</f>
        <v>"%USERPROFILE%\Documents\GitHub\eaglep3\Utilities\RefineRTDCRunTimes.py" --tripid 140-08 --locoid 4001 --swversion DE.1.0.8.0 --startMP 204:460 --initTime 2017-01-08T08:23:24 --startdatetime 2017-01-08T09:36:47 --delay 1 --endMP 204:5940 --enddatetime 2017-01-08T09:56:38 --enforcementcount 0 &gt;&gt;C:\Users\stu\Documents\GitHub\eaglep3-reporting\EC\2017-01-08-refined-times.txt</v>
      </c>
      <c r="AI55" s="115" t="str">
        <f t="shared" ref="AI55" si="66">"echo {""issue"":{""subject"":"""&amp;R55&amp;""",""project_id"":79,""tracker_id"":40,""status_id"":"&amp;redmine_status&amp;",""priority_id"":"&amp;redmine_priority&amp;",""assigned_to_id"":"&amp;redmine_assignee&amp;",""start_date"":"""&amp;TEXT(I55,"YYYY-mm-dd")&amp;""",""description"":"""&amp;AJ55&amp;""",""custom_fields"":[{""id"":1,""name"":""Subdivision"",""value"":"""&amp;AG55&amp;"""},{""id"":4,""name"":""Milepost"",""value"":"""&amp;Z55&amp;"""},{""id"":17,""name"":""Train ID"",""value"":"""&amp;A55&amp;"""},{""id"":16,""name"":""Locomotive ID"",""value"":"""&amp;B55&amp;"""},{""id"":130,""name"":""Impact"",""value"":"""&amp;AK55&amp;"""},{""id"":150,""name"":""Time of Event (Mountain Time)"",""value"":"""&amp;TEXT(I55,"hh:mm:ss")&amp;"""},{""id"":151,""name"":""Denver Issue ID"",""value"":"""&amp;"""},{""id"":178,""name"":""Operational Impact"",""value"":"""&amp;redmine_op_impact&amp;"""},{""id"":179,""name"":""Denver Segment Assigned"",""value"":"""&amp;AL55&amp;"""}]}}"&amp;" | curl -X POST -H ""Content-Type: application/json"" -H ""X-Redmine-API-Key: "&amp;redm_api_key&amp;""" "&amp;redm_url&amp;" --data @-"</f>
        <v>echo {"issue":{"subject":"BPP stayed low - could not perform departure test","project_id":79,"tracker_id":40,"status_id":1,"priority_id":2,"assigned_to_id":23,"start_date":"2017-01-08","description":"","custom_fields":[{"id":1,"name":"Subdivision","value":"EC"},{"id":4,"name":"Milepost","value":"0.594"},{"id":17,"name":"Train ID","value":"140-08"},{"id":16,"name":"Locomotive ID","value":"4001"},{"id":130,"name":"Impact","value":""},{"id":150,"name":"Time of Event (Mountain Time)","value":"09:56:38"},{"id":151,"name":"Denver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ref="AM55" si="67">"start /low /b "&amp;dls3logs&amp;" --loco "&amp;B55&amp;" --day "&amp;TEXT(F55,"YYYY-MM-DD")</f>
        <v>start /low /b %USERPROFILE%\Documents\GitHub\eaglep3\Utilities\DownloadLogsFromS3.py --loco 4001 --day 2017-01-08</v>
      </c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</row>
    <row r="56" spans="1:91" s="1" customFormat="1" x14ac:dyDescent="0.25">
      <c r="A56" s="34" t="s">
        <v>489</v>
      </c>
      <c r="B56" s="7">
        <v>4014</v>
      </c>
      <c r="C56" s="22" t="s">
        <v>203</v>
      </c>
      <c r="D56" s="22" t="s">
        <v>242</v>
      </c>
      <c r="E56" s="13">
        <v>42743.361064814817</v>
      </c>
      <c r="F56" s="13">
        <v>42743.366064814814</v>
      </c>
      <c r="G56" s="7">
        <v>1</v>
      </c>
      <c r="H56" s="22" t="s">
        <v>668</v>
      </c>
      <c r="I56" s="13">
        <v>42743.401678240742</v>
      </c>
      <c r="J56" s="7">
        <v>0</v>
      </c>
      <c r="K56" s="105" t="str">
        <f t="shared" si="0"/>
        <v>4013/4014</v>
      </c>
      <c r="L56" s="22" t="str">
        <f>VLOOKUP(A56,'Trips&amp;Operators'!$C$1:$G$99999,5,FALSE)</f>
        <v>ROBINSON KADDIBA</v>
      </c>
      <c r="M56" s="6">
        <f t="shared" si="1"/>
        <v>3.5613425927294884E-2</v>
      </c>
      <c r="N56" s="7">
        <f t="shared" si="2"/>
        <v>51.283333335304633</v>
      </c>
      <c r="O56" s="7"/>
      <c r="P56" s="7"/>
      <c r="Q56" s="23"/>
      <c r="R56" s="23"/>
      <c r="S56" s="32">
        <f t="shared" si="3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07:39:56-700',mode:absolute,to:'2017-01-08 10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6" s="49" t="str">
        <f t="shared" si="6"/>
        <v>N</v>
      </c>
      <c r="X56" s="173">
        <f t="shared" si="57"/>
        <v>1</v>
      </c>
      <c r="Y56" s="64">
        <f t="shared" si="8"/>
        <v>4.53E-2</v>
      </c>
      <c r="Z56" s="64">
        <f t="shared" si="9"/>
        <v>23.331</v>
      </c>
      <c r="AA56" s="64">
        <f t="shared" si="10"/>
        <v>23.285699999999999</v>
      </c>
      <c r="AB56" s="61" t="e">
        <f>VLOOKUP(A56,Enforcements!$C$7:$K$18,8,0)</f>
        <v>#N/A</v>
      </c>
      <c r="AC56" s="57" t="e">
        <f>VLOOKUP(A56,Enforcements!$C$7:$E$18,3,0)</f>
        <v>#N/A</v>
      </c>
      <c r="AD56" s="58" t="str">
        <f t="shared" si="11"/>
        <v>0141-08</v>
      </c>
      <c r="AE56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56" s="84" t="str">
        <f t="shared" si="13"/>
        <v>"C:\Program Files (x86)\AstroGrep\AstroGrep.exe" /spath="%USERPROFILE%\AppData\Local\Temp\OnboardLogs" /stypes="app*4014*20170108*"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141-08 --locoid 4014 --swversion DE.1.0.8.0 --startMP 204:453 --initTime 2017-01-08T08:39:56 --startdatetime 2017-01-08T08:47:08 --delay 1 --endMP 204:233310 --enddatetime 2017-01-08T09:38:25 --enforcementcount 0 &gt;&gt;C:\Users\stu\Documents\GitHub\eaglep3-reporting\EC\2017-01-08-refined-times.txt</v>
      </c>
      <c r="AI56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ID","value":"141-08"},{"id":16,"name":"Locomotive ID","value":"4014"},{"id":130,"name":"Impact","value":""},{"id":150,"name":"Time of Event (Mountain Time)","value":"09:38:25"},{"id":151,"name":"Denver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4014 --day 2017-01-08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498</v>
      </c>
      <c r="B57" s="7">
        <v>4013</v>
      </c>
      <c r="C57" s="22" t="s">
        <v>203</v>
      </c>
      <c r="D57" s="22" t="s">
        <v>291</v>
      </c>
      <c r="E57" s="13">
        <v>42743.407766203702</v>
      </c>
      <c r="F57" s="13">
        <v>42743.40934027778</v>
      </c>
      <c r="G57" s="7">
        <v>1</v>
      </c>
      <c r="H57" s="22" t="s">
        <v>209</v>
      </c>
      <c r="I57" s="13">
        <v>42743.441631944443</v>
      </c>
      <c r="J57" s="7">
        <v>0</v>
      </c>
      <c r="K57" s="105" t="str">
        <f t="shared" si="0"/>
        <v>4013/4014</v>
      </c>
      <c r="L57" s="22" t="str">
        <f>VLOOKUP(A57,'Trips&amp;Operators'!$C$1:$G$99999,5,FALSE)</f>
        <v>ROBINSON KADDIBA</v>
      </c>
      <c r="M57" s="6">
        <f t="shared" si="1"/>
        <v>3.2291666662786156E-2</v>
      </c>
      <c r="N57" s="7">
        <f t="shared" si="2"/>
        <v>46.499999994412065</v>
      </c>
      <c r="O57" s="7"/>
      <c r="P57" s="7"/>
      <c r="Q57" s="23"/>
      <c r="R57" s="23"/>
      <c r="S57" s="32">
        <f t="shared" si="3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08:47:11-700',mode:absolute,to:'2017-01-08 11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7" s="49" t="str">
        <f t="shared" si="6"/>
        <v>N</v>
      </c>
      <c r="X57" s="173">
        <f t="shared" si="57"/>
        <v>1</v>
      </c>
      <c r="Y57" s="64">
        <f t="shared" si="8"/>
        <v>23.2989</v>
      </c>
      <c r="Z57" s="64">
        <f t="shared" si="9"/>
        <v>1.4999999999999999E-2</v>
      </c>
      <c r="AA57" s="64">
        <f t="shared" si="10"/>
        <v>23.283899999999999</v>
      </c>
      <c r="AB57" s="61" t="e">
        <f>VLOOKUP(A57,Enforcements!$C$7:$K$18,8,0)</f>
        <v>#N/A</v>
      </c>
      <c r="AC57" s="57" t="e">
        <f>VLOOKUP(A57,Enforcements!$C$7:$E$18,3,0)</f>
        <v>#N/A</v>
      </c>
      <c r="AD57" s="58" t="str">
        <f t="shared" si="11"/>
        <v>0142-08</v>
      </c>
      <c r="AE57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57" s="84" t="str">
        <f t="shared" si="13"/>
        <v>"C:\Program Files (x86)\AstroGrep\AstroGrep.exe" /spath="%USERPROFILE%\AppData\Local\Temp\OnboardLogs" /stypes="app*4013*20170108*"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142-08 --locoid 4013 --swversion DE.1.0.8.0 --startMP 204:232989 --initTime 2017-01-08T09:47:11 --startdatetime 2017-01-08T09:49:27 --delay 1 --endMP 204:150 --enddatetime 2017-01-08T10:35:57 --enforcementcount 0 &gt;&gt;C:\Users\stu\Documents\GitHub\eaglep3-reporting\EC\2017-01-08-refined-times.txt</v>
      </c>
      <c r="AI5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ID","value":"142-08"},{"id":16,"name":"Locomotive ID","value":"4013"},{"id":130,"name":"Impact","value":""},{"id":150,"name":"Time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4013 --day 2017-01-08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492</v>
      </c>
      <c r="B58" s="7">
        <v>4025</v>
      </c>
      <c r="C58" s="22" t="s">
        <v>203</v>
      </c>
      <c r="D58" s="22" t="s">
        <v>669</v>
      </c>
      <c r="E58" s="13">
        <v>42743.374826388892</v>
      </c>
      <c r="F58" s="13">
        <v>42743.380439814813</v>
      </c>
      <c r="G58" s="7">
        <v>1</v>
      </c>
      <c r="H58" s="22" t="s">
        <v>253</v>
      </c>
      <c r="I58" s="13">
        <v>42743.412719907406</v>
      </c>
      <c r="J58" s="7">
        <v>0</v>
      </c>
      <c r="K58" s="105" t="str">
        <f t="shared" si="0"/>
        <v>4025/4026</v>
      </c>
      <c r="L58" s="22" t="str">
        <f>VLOOKUP(A58,'Trips&amp;Operators'!$C$1:$G$99999,5,FALSE)</f>
        <v>GEBRETEKLE DAGNEW</v>
      </c>
      <c r="M58" s="6">
        <f t="shared" si="1"/>
        <v>3.2280092593282461E-2</v>
      </c>
      <c r="N58" s="7">
        <f t="shared" si="2"/>
        <v>46.483333334326744</v>
      </c>
      <c r="O58" s="7"/>
      <c r="P58" s="7"/>
      <c r="Q58" s="23"/>
      <c r="R58" s="23"/>
      <c r="S58" s="32">
        <f t="shared" si="3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07:59:45-700',mode:absolute,to:'2017-01-08 10:54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8" s="49" t="str">
        <f t="shared" si="6"/>
        <v>N</v>
      </c>
      <c r="X58" s="173">
        <f t="shared" si="57"/>
        <v>1</v>
      </c>
      <c r="Y58" s="64">
        <f t="shared" si="8"/>
        <v>4.7100000000000003E-2</v>
      </c>
      <c r="Z58" s="64">
        <f t="shared" si="9"/>
        <v>23.328900000000001</v>
      </c>
      <c r="AA58" s="64">
        <f t="shared" si="10"/>
        <v>23.2818</v>
      </c>
      <c r="AB58" s="61" t="e">
        <f>VLOOKUP(A58,Enforcements!$C$7:$K$18,8,0)</f>
        <v>#N/A</v>
      </c>
      <c r="AC58" s="57" t="e">
        <f>VLOOKUP(A58,Enforcements!$C$7:$E$18,3,0)</f>
        <v>#N/A</v>
      </c>
      <c r="AD58" s="58" t="str">
        <f t="shared" si="11"/>
        <v>0143-08</v>
      </c>
      <c r="AE58" s="87" t="str">
        <f t="shared" si="12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58" s="84" t="str">
        <f t="shared" si="13"/>
        <v>"C:\Program Files (x86)\AstroGrep\AstroGrep.exe" /spath="%USERPROFILE%\AppData\Local\Temp\OnboardLogs" /stypes="app*4025*20170108*"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143-08 --locoid 4025 --swversion DE.1.0.8.0 --startMP 204:471 --initTime 2017-01-08T08:59:45 --startdatetime 2017-01-08T09:07:50 --delay 1 --endMP 204:233289 --enddatetime 2017-01-08T09:54:19 --enforcementcount 0 &gt;&gt;C:\Users\stu\Documents\GitHub\eaglep3-reporting\EC\2017-01-08-refined-times.txt</v>
      </c>
      <c r="AI5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{"issue":{"subject":"","project_id":79,"tracker_id":40,"status_id":1,"priority_id":2,"assigned_to_id":23,"start_date":"2017-01-08","description":"","custom_fields":[{"id":1,"name":"Subdivision","value":"EC"},{"id":4,"name":"Milepost","value":"23.3289"},{"id":17,"name":"Train ID","value":"143-08"},{"id":16,"name":"Locomotive ID","value":"4025"},{"id":130,"name":"Impact","value":""},{"id":150,"name":"Time of Event (Mountain Time)","value":"09:54:19"},{"id":151,"name":"Denver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4025 --day 2017-01-08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499</v>
      </c>
      <c r="B59" s="7">
        <v>4026</v>
      </c>
      <c r="C59" s="22" t="s">
        <v>203</v>
      </c>
      <c r="D59" s="22" t="s">
        <v>285</v>
      </c>
      <c r="E59" s="13">
        <v>42743.413831018515</v>
      </c>
      <c r="F59" s="13">
        <v>42743.41510416667</v>
      </c>
      <c r="G59" s="7">
        <v>1</v>
      </c>
      <c r="H59" s="22" t="s">
        <v>670</v>
      </c>
      <c r="I59" s="13">
        <v>42743.444675925923</v>
      </c>
      <c r="J59" s="7">
        <v>0</v>
      </c>
      <c r="K59" s="105" t="str">
        <f t="shared" si="0"/>
        <v>4025/4026</v>
      </c>
      <c r="L59" s="22" t="str">
        <f>VLOOKUP(A59,'Trips&amp;Operators'!$C$1:$G$99999,5,FALSE)</f>
        <v>GEBRETEKLE DAGNEW</v>
      </c>
      <c r="M59" s="6">
        <f t="shared" si="1"/>
        <v>2.9571759252576157E-2</v>
      </c>
      <c r="N59" s="7">
        <f t="shared" si="2"/>
        <v>42.583333323709667</v>
      </c>
      <c r="O59" s="7"/>
      <c r="P59" s="7"/>
      <c r="Q59" s="23"/>
      <c r="R59" s="23"/>
      <c r="S59" s="32">
        <f t="shared" si="3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08:55:55-700',mode:absolute,to:'2017-01-08 11:40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9" s="49" t="str">
        <f t="shared" si="6"/>
        <v>N</v>
      </c>
      <c r="X59" s="173">
        <f t="shared" si="7"/>
        <v>1</v>
      </c>
      <c r="Y59" s="64">
        <f t="shared" si="8"/>
        <v>23.2971</v>
      </c>
      <c r="Z59" s="64">
        <f t="shared" si="9"/>
        <v>1.7000000000000001E-2</v>
      </c>
      <c r="AA59" s="64">
        <f t="shared" si="10"/>
        <v>23.280100000000001</v>
      </c>
      <c r="AB59" s="61" t="e">
        <f>VLOOKUP(A59,Enforcements!$C$7:$K$18,8,0)</f>
        <v>#N/A</v>
      </c>
      <c r="AC59" s="57" t="e">
        <f>VLOOKUP(A59,Enforcements!$C$7:$E$18,3,0)</f>
        <v>#N/A</v>
      </c>
      <c r="AD59" s="58" t="str">
        <f t="shared" si="11"/>
        <v>0144-08</v>
      </c>
      <c r="AE59" s="87" t="str">
        <f t="shared" si="12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59" s="84" t="str">
        <f t="shared" si="13"/>
        <v>"C:\Program Files (x86)\AstroGrep\AstroGrep.exe" /spath="%USERPROFILE%\AppData\Local\Temp\OnboardLogs" /stypes="app*4026*20170108*"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144-08 --locoid 4026 --swversion DE.1.0.8.0 --startMP 204:232971 --initTime 2017-01-08T09:55:55 --startdatetime 2017-01-08T09:57:45 --delay 1 --endMP 204:170 --enddatetime 2017-01-08T10:40:20 --enforcementcount 0 &gt;&gt;C:\Users\stu\Documents\GitHub\eaglep3-reporting\EC\2017-01-08-refined-times.txt</v>
      </c>
      <c r="AI5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{"issue":{"subject":"","project_id":79,"tracker_id":40,"status_id":1,"priority_id":2,"assigned_to_id":23,"start_date":"2017-01-08","description":"","custom_fields":[{"id":1,"name":"Subdivision","value":"EC"},{"id":4,"name":"Milepost","value":"0.017"},{"id":17,"name":"Train ID","value":"144-08"},{"id":16,"name":"Locomotive ID","value":"4026"},{"id":130,"name":"Impact","value":""},{"id":150,"name":"Time of Event (Mountain Time)","value":"10:40:20"},{"id":151,"name":"Denver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4026 --day 2017-01-08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494</v>
      </c>
      <c r="B60" s="7">
        <v>4020</v>
      </c>
      <c r="C60" s="22" t="s">
        <v>203</v>
      </c>
      <c r="D60" s="22" t="s">
        <v>242</v>
      </c>
      <c r="E60" s="13">
        <v>42743.382337962961</v>
      </c>
      <c r="F60" s="13">
        <v>42743.386435185188</v>
      </c>
      <c r="G60" s="7">
        <v>1</v>
      </c>
      <c r="H60" s="22" t="s">
        <v>668</v>
      </c>
      <c r="I60" s="13">
        <v>42743.416759259257</v>
      </c>
      <c r="J60" s="7">
        <v>0</v>
      </c>
      <c r="K60" s="105" t="str">
        <f t="shared" si="0"/>
        <v>4019/4020</v>
      </c>
      <c r="L60" s="22" t="str">
        <f>VLOOKUP(A60,'Trips&amp;Operators'!$C$1:$G$99999,5,FALSE)</f>
        <v>OUN ZACK</v>
      </c>
      <c r="M60" s="6">
        <f t="shared" si="1"/>
        <v>3.032407406863058E-2</v>
      </c>
      <c r="N60" s="7">
        <f t="shared" si="2"/>
        <v>43.666666658828035</v>
      </c>
      <c r="O60" s="7"/>
      <c r="P60" s="7"/>
      <c r="Q60" s="23"/>
      <c r="R60" s="23"/>
      <c r="S60" s="32">
        <f t="shared" si="3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08:10:34-700',mode:absolute,to:'2017-01-08 11:00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0" s="49" t="str">
        <f t="shared" si="6"/>
        <v>N</v>
      </c>
      <c r="X60" s="173">
        <f t="shared" si="7"/>
        <v>1</v>
      </c>
      <c r="Y60" s="64">
        <f t="shared" si="8"/>
        <v>4.53E-2</v>
      </c>
      <c r="Z60" s="64">
        <f t="shared" si="9"/>
        <v>23.331</v>
      </c>
      <c r="AA60" s="64">
        <f t="shared" si="10"/>
        <v>23.285699999999999</v>
      </c>
      <c r="AB60" s="61" t="e">
        <f>VLOOKUP(A60,Enforcements!$C$7:$K$18,8,0)</f>
        <v>#N/A</v>
      </c>
      <c r="AC60" s="57" t="e">
        <f>VLOOKUP(A60,Enforcements!$C$7:$E$18,3,0)</f>
        <v>#N/A</v>
      </c>
      <c r="AD60" s="58" t="str">
        <f t="shared" si="11"/>
        <v>0145-08</v>
      </c>
      <c r="AE60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60" s="84" t="str">
        <f t="shared" si="13"/>
        <v>"C:\Program Files (x86)\AstroGrep\AstroGrep.exe" /spath="%USERPROFILE%\AppData\Local\Temp\OnboardLogs" /stypes="app*4020*20170108*"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145-08 --locoid 4020 --swversion DE.1.0.8.0 --startMP 204:453 --initTime 2017-01-08T09:10:34 --startdatetime 2017-01-08T09:16:28 --delay 1 --endMP 204:233310 --enddatetime 2017-01-08T10:00:08 --enforcementcount 0 &gt;&gt;C:\Users\stu\Documents\GitHub\eaglep3-reporting\EC\2017-01-08-refined-times.txt</v>
      </c>
      <c r="AI6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ID","value":"145-08"},{"id":16,"name":"Locomotive ID","value":"4020"},{"id":130,"name":"Impact","value":""},{"id":150,"name":"Time of Event (Mountain Time)","value":"10:00:08"},{"id":151,"name":"Denver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4020 --day 2017-01-08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503</v>
      </c>
      <c r="B61" s="7">
        <v>4019</v>
      </c>
      <c r="C61" s="22" t="s">
        <v>203</v>
      </c>
      <c r="D61" s="22" t="s">
        <v>312</v>
      </c>
      <c r="E61" s="13">
        <v>42743.42114583333</v>
      </c>
      <c r="F61" s="13">
        <v>42743.42528935185</v>
      </c>
      <c r="G61" s="7">
        <v>1</v>
      </c>
      <c r="H61" s="22" t="s">
        <v>191</v>
      </c>
      <c r="I61" s="13">
        <v>42743.452673611115</v>
      </c>
      <c r="J61" s="7">
        <v>0</v>
      </c>
      <c r="K61" s="105" t="str">
        <f t="shared" si="0"/>
        <v>4019/4020</v>
      </c>
      <c r="L61" s="22" t="str">
        <f>VLOOKUP(A61,'Trips&amp;Operators'!$C$1:$G$99999,5,FALSE)</f>
        <v>OUN ZACK</v>
      </c>
      <c r="M61" s="6">
        <f t="shared" si="1"/>
        <v>2.7384259265090805E-2</v>
      </c>
      <c r="N61" s="7">
        <f t="shared" si="2"/>
        <v>39.433333341730759</v>
      </c>
      <c r="O61" s="7"/>
      <c r="P61" s="7"/>
      <c r="Q61" s="23"/>
      <c r="R61" s="23"/>
      <c r="S61" s="32">
        <f t="shared" si="3"/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09:06:27-700',mode:absolute,to:'2017-01-08 11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1" s="49" t="str">
        <f t="shared" si="6"/>
        <v>N</v>
      </c>
      <c r="X61" s="173">
        <f t="shared" si="7"/>
        <v>1</v>
      </c>
      <c r="Y61" s="64">
        <f t="shared" si="8"/>
        <v>23.298300000000001</v>
      </c>
      <c r="Z61" s="64">
        <f t="shared" si="9"/>
        <v>1.49E-2</v>
      </c>
      <c r="AA61" s="64">
        <f t="shared" si="10"/>
        <v>23.2834</v>
      </c>
      <c r="AB61" s="61" t="e">
        <f>VLOOKUP(A61,Enforcements!$C$7:$K$18,8,0)</f>
        <v>#N/A</v>
      </c>
      <c r="AC61" s="57" t="e">
        <f>VLOOKUP(A61,Enforcements!$C$7:$E$18,3,0)</f>
        <v>#N/A</v>
      </c>
      <c r="AD61" s="58" t="str">
        <f t="shared" si="11"/>
        <v>0146-08</v>
      </c>
      <c r="AE61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61" s="84" t="str">
        <f t="shared" si="13"/>
        <v>"C:\Program Files (x86)\AstroGrep\AstroGrep.exe" /spath="%USERPROFILE%\AppData\Local\Temp\OnboardLogs" /stypes="app*4019*20170108*"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146-08 --locoid 4019 --swversion DE.1.0.8.0 --startMP 204:232983 --initTime 2017-01-08T10:06:27 --startdatetime 2017-01-08T10:12:25 --delay 1 --endMP 204:149 --enddatetime 2017-01-08T10:51:51 --enforcementcount 0 &gt;&gt;C:\Users\stu\Documents\GitHub\eaglep3-reporting\EC\2017-01-08-refined-times.txt</v>
      </c>
      <c r="AI61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{"issue":{"subject":"","project_id":79,"tracker_id":40,"status_id":1,"priority_id":2,"assigned_to_id":23,"start_date":"2017-01-08","description":"","custom_fields":[{"id":1,"name":"Subdivision","value":"EC"},{"id":4,"name":"Milepost","value":"0.0149"},{"id":17,"name":"Train ID","value":"146-08"},{"id":16,"name":"Locomotive ID","value":"4019"},{"id":130,"name":"Impact","value":""},{"id":150,"name":"Time of Event (Mountain Time)","value":"10:51:51"},{"id":151,"name":"Denver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4019 --day 2017-01-08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495</v>
      </c>
      <c r="B62" s="7">
        <v>4009</v>
      </c>
      <c r="C62" s="22" t="s">
        <v>203</v>
      </c>
      <c r="D62" s="22" t="s">
        <v>257</v>
      </c>
      <c r="E62" s="13">
        <v>42743.391782407409</v>
      </c>
      <c r="F62" s="13">
        <v>42743.396018518521</v>
      </c>
      <c r="G62" s="7">
        <v>1</v>
      </c>
      <c r="H62" s="22" t="s">
        <v>671</v>
      </c>
      <c r="I62" s="13">
        <v>42743.425393518519</v>
      </c>
      <c r="J62" s="7">
        <v>0</v>
      </c>
      <c r="K62" s="105" t="str">
        <f t="shared" si="0"/>
        <v>4009/4010</v>
      </c>
      <c r="L62" s="22" t="str">
        <f>VLOOKUP(A62,'Trips&amp;Operators'!$C$1:$G$99999,5,FALSE)</f>
        <v>MOSES BRADLEY</v>
      </c>
      <c r="M62" s="6">
        <f t="shared" si="1"/>
        <v>2.937499999825377E-2</v>
      </c>
      <c r="N62" s="7">
        <f t="shared" si="2"/>
        <v>42.299999997485429</v>
      </c>
      <c r="O62" s="7"/>
      <c r="P62" s="7"/>
      <c r="Q62" s="23"/>
      <c r="R62" s="23"/>
      <c r="S62" s="32">
        <f t="shared" si="3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08:24:10-700',mode:absolute,to:'2017-01-08 11:12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2" s="49" t="str">
        <f t="shared" si="6"/>
        <v>N</v>
      </c>
      <c r="X62" s="173">
        <f t="shared" si="7"/>
        <v>1</v>
      </c>
      <c r="Y62" s="64">
        <f t="shared" si="8"/>
        <v>4.4900000000000002E-2</v>
      </c>
      <c r="Z62" s="64">
        <f t="shared" si="9"/>
        <v>23.332599999999999</v>
      </c>
      <c r="AA62" s="64">
        <f t="shared" si="10"/>
        <v>23.287700000000001</v>
      </c>
      <c r="AB62" s="61" t="e">
        <f>VLOOKUP(A62,Enforcements!$C$7:$K$18,8,0)</f>
        <v>#N/A</v>
      </c>
      <c r="AC62" s="57" t="e">
        <f>VLOOKUP(A62,Enforcements!$C$7:$E$18,3,0)</f>
        <v>#N/A</v>
      </c>
      <c r="AD62" s="58" t="str">
        <f t="shared" si="11"/>
        <v>0147-08</v>
      </c>
      <c r="AE62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62" s="84" t="str">
        <f t="shared" si="13"/>
        <v>"C:\Program Files (x86)\AstroGrep\AstroGrep.exe" /spath="%USERPROFILE%\AppData\Local\Temp\OnboardLogs" /stypes="app*4009*20170108*"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147-08 --locoid 4009 --swversion DE.1.0.8.0 --startMP 204:449 --initTime 2017-01-08T09:24:10 --startdatetime 2017-01-08T09:30:16 --delay 1 --endMP 204:233326 --enddatetime 2017-01-08T10:12:34 --enforcementcount 0 &gt;&gt;C:\Users\stu\Documents\GitHub\eaglep3-reporting\EC\2017-01-08-refined-times.txt</v>
      </c>
      <c r="AI6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{"issue":{"subject":"","project_id":79,"tracker_id":40,"status_id":1,"priority_id":2,"assigned_to_id":23,"start_date":"2017-01-08","description":"","custom_fields":[{"id":1,"name":"Subdivision","value":"EC"},{"id":4,"name":"Milepost","value":"23.3326"},{"id":17,"name":"Train ID","value":"147-08"},{"id":16,"name":"Locomotive ID","value":"4009"},{"id":130,"name":"Impact","value":""},{"id":150,"name":"Time of Event (Mountain Time)","value":"10:12:34"},{"id":151,"name":"Denver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4009 --day 2017-01-08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504</v>
      </c>
      <c r="B63" s="7">
        <v>4010</v>
      </c>
      <c r="C63" s="22" t="s">
        <v>203</v>
      </c>
      <c r="D63" s="22" t="s">
        <v>353</v>
      </c>
      <c r="E63" s="13">
        <v>42743.431527777779</v>
      </c>
      <c r="F63" s="13">
        <v>42743.434930555559</v>
      </c>
      <c r="G63" s="7">
        <v>1</v>
      </c>
      <c r="H63" s="22" t="s">
        <v>672</v>
      </c>
      <c r="I63" s="13">
        <v>42743.462465277778</v>
      </c>
      <c r="J63" s="7">
        <v>0</v>
      </c>
      <c r="K63" s="105" t="str">
        <f t="shared" si="0"/>
        <v>4009/4010</v>
      </c>
      <c r="L63" s="22" t="str">
        <f>VLOOKUP(A63,'Trips&amp;Operators'!$C$1:$G$99999,5,FALSE)</f>
        <v>MOSES BRADLEY</v>
      </c>
      <c r="M63" s="6">
        <f t="shared" si="1"/>
        <v>2.753472221957054E-2</v>
      </c>
      <c r="N63" s="7">
        <f t="shared" si="2"/>
        <v>39.649999996181577</v>
      </c>
      <c r="O63" s="7"/>
      <c r="P63" s="7"/>
      <c r="Q63" s="23"/>
      <c r="R63" s="23"/>
      <c r="S63" s="32">
        <f t="shared" si="3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09:21:24-700',mode:absolute,to:'2017-01-08 12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3" s="49" t="str">
        <f t="shared" si="6"/>
        <v>N</v>
      </c>
      <c r="X63" s="173">
        <f t="shared" si="7"/>
        <v>1</v>
      </c>
      <c r="Y63" s="64">
        <f t="shared" si="8"/>
        <v>23.2988</v>
      </c>
      <c r="Z63" s="64">
        <f t="shared" si="9"/>
        <v>1.61E-2</v>
      </c>
      <c r="AA63" s="64">
        <f t="shared" si="10"/>
        <v>23.282699999999998</v>
      </c>
      <c r="AB63" s="61" t="e">
        <f>VLOOKUP(A63,Enforcements!$C$7:$K$18,8,0)</f>
        <v>#N/A</v>
      </c>
      <c r="AC63" s="57" t="e">
        <f>VLOOKUP(A63,Enforcements!$C$7:$E$18,3,0)</f>
        <v>#N/A</v>
      </c>
      <c r="AD63" s="58" t="str">
        <f t="shared" si="11"/>
        <v>0148-08</v>
      </c>
      <c r="AE63" s="87" t="str">
        <f t="shared" si="12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63" s="84" t="str">
        <f t="shared" si="13"/>
        <v>"C:\Program Files (x86)\AstroGrep\AstroGrep.exe" /spath="%USERPROFILE%\AppData\Local\Temp\OnboardLogs" /stypes="app*4010*20170108*"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148-08 --locoid 4010 --swversion DE.1.0.8.0 --startMP 204:232988 --initTime 2017-01-08T10:21:24 --startdatetime 2017-01-08T10:26:18 --delay 1 --endMP 204:161 --enddatetime 2017-01-08T11:05:57 --enforcementcount 0 &gt;&gt;C:\Users\stu\Documents\GitHub\eaglep3-reporting\EC\2017-01-08-refined-times.txt</v>
      </c>
      <c r="AI6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{"issue":{"subject":"","project_id":79,"tracker_id":40,"status_id":1,"priority_id":2,"assigned_to_id":23,"start_date":"2017-01-08","description":"","custom_fields":[{"id":1,"name":"Subdivision","value":"EC"},{"id":4,"name":"Milepost","value":"0.0161"},{"id":17,"name":"Train ID","value":"148-08"},{"id":16,"name":"Locomotive ID","value":"4010"},{"id":130,"name":"Impact","value":""},{"id":150,"name":"Time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4010 --day 2017-01-08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415</v>
      </c>
      <c r="B64" s="7">
        <v>4040</v>
      </c>
      <c r="C64" s="22" t="s">
        <v>203</v>
      </c>
      <c r="D64" s="22" t="s">
        <v>390</v>
      </c>
      <c r="E64" s="13">
        <v>42743.405138888891</v>
      </c>
      <c r="F64" s="13">
        <v>42743.406446759262</v>
      </c>
      <c r="G64" s="7">
        <v>1</v>
      </c>
      <c r="H64" s="22" t="s">
        <v>401</v>
      </c>
      <c r="I64" s="13">
        <v>42743.433668981481</v>
      </c>
      <c r="J64" s="7">
        <v>0</v>
      </c>
      <c r="K64" s="105" t="str">
        <f t="shared" si="0"/>
        <v>4039/4040</v>
      </c>
      <c r="L64" s="22" t="str">
        <f>VLOOKUP(A64,'Trips&amp;Operators'!$C$1:$G$99999,5,FALSE)</f>
        <v>DAVIS WENDY</v>
      </c>
      <c r="M64" s="6">
        <f t="shared" si="1"/>
        <v>2.7222222219279502E-2</v>
      </c>
      <c r="N64" s="7">
        <f t="shared" si="2"/>
        <v>39.199999995762482</v>
      </c>
      <c r="O64" s="7"/>
      <c r="P64" s="7"/>
      <c r="Q64" s="23"/>
      <c r="R64" s="23"/>
      <c r="S64" s="32">
        <f t="shared" si="3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08:43:24-700',mode:absolute,to:'2017-01-08 11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4" s="49" t="str">
        <f t="shared" si="6"/>
        <v>N</v>
      </c>
      <c r="X64" s="173">
        <f t="shared" si="7"/>
        <v>1</v>
      </c>
      <c r="Y64" s="64">
        <f t="shared" si="8"/>
        <v>4.3999999999999997E-2</v>
      </c>
      <c r="Z64" s="64">
        <f t="shared" si="9"/>
        <v>23.327999999999999</v>
      </c>
      <c r="AA64" s="64">
        <f t="shared" si="10"/>
        <v>23.283999999999999</v>
      </c>
      <c r="AB64" s="61" t="e">
        <f>VLOOKUP(A64,Enforcements!$C$7:$K$18,8,0)</f>
        <v>#N/A</v>
      </c>
      <c r="AC64" s="57" t="e">
        <f>VLOOKUP(A64,Enforcements!$C$7:$E$18,3,0)</f>
        <v>#N/A</v>
      </c>
      <c r="AD64" s="58" t="str">
        <f t="shared" si="11"/>
        <v>0149-08</v>
      </c>
      <c r="AE64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64" s="84" t="str">
        <f t="shared" si="13"/>
        <v>"C:\Program Files (x86)\AstroGrep\AstroGrep.exe" /spath="%USERPROFILE%\AppData\Local\Temp\OnboardLogs" /stypes="app*4040*20170108*"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149-08 --locoid 4040 --swversion DE.1.0.8.0 --startMP 204:440 --initTime 2017-01-08T09:43:24 --startdatetime 2017-01-08T09:45:17 --delay 1 --endMP 204:233280 --enddatetime 2017-01-08T10:24:29 --enforcementcount 0 &gt;&gt;C:\Users\stu\Documents\GitHub\eaglep3-reporting\EC\2017-01-08-refined-times.txt</v>
      </c>
      <c r="AI6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{"issue":{"subject":"","project_id":79,"tracker_id":40,"status_id":1,"priority_id":2,"assigned_to_id":23,"start_date":"2017-01-08","description":"","custom_fields":[{"id":1,"name":"Subdivision","value":"EC"},{"id":4,"name":"Milepost","value":"23.328"},{"id":17,"name":"Train ID","value":"149-08"},{"id":16,"name":"Locomotive ID","value":"4040"},{"id":130,"name":"Impact","value":""},{"id":150,"name":"Time of Event (Mountain Time)","value":"10:24:29"},{"id":151,"name":"Denver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4040 --day 2017-01-08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510</v>
      </c>
      <c r="B65" s="7">
        <v>4039</v>
      </c>
      <c r="C65" s="22" t="s">
        <v>203</v>
      </c>
      <c r="D65" s="22" t="s">
        <v>673</v>
      </c>
      <c r="E65" s="13">
        <v>42743.440358796295</v>
      </c>
      <c r="F65" s="13">
        <v>42743.445370370369</v>
      </c>
      <c r="G65" s="7">
        <v>1</v>
      </c>
      <c r="H65" s="22" t="s">
        <v>287</v>
      </c>
      <c r="I65" s="13">
        <v>42743.473356481481</v>
      </c>
      <c r="J65" s="7">
        <v>0</v>
      </c>
      <c r="K65" s="105" t="str">
        <f t="shared" si="0"/>
        <v>4039/4040</v>
      </c>
      <c r="L65" s="22" t="str">
        <f>VLOOKUP(A65,'Trips&amp;Operators'!$C$1:$G$99999,5,FALSE)</f>
        <v>DAVIS WENDY</v>
      </c>
      <c r="M65" s="6">
        <f t="shared" si="1"/>
        <v>2.7986111112113576E-2</v>
      </c>
      <c r="N65" s="7">
        <f t="shared" si="2"/>
        <v>40.30000000144355</v>
      </c>
      <c r="O65" s="7"/>
      <c r="P65" s="7"/>
      <c r="Q65" s="23"/>
      <c r="R65" s="23"/>
      <c r="S65" s="32">
        <f t="shared" si="3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09:34:07-700',mode:absolute,to:'2017-01-08 12:21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5" s="49" t="str">
        <f t="shared" si="6"/>
        <v>N</v>
      </c>
      <c r="X65" s="173">
        <f t="shared" si="7"/>
        <v>1</v>
      </c>
      <c r="Y65" s="64">
        <f t="shared" si="8"/>
        <v>23.296399999999998</v>
      </c>
      <c r="Z65" s="64">
        <f t="shared" si="9"/>
        <v>1.5599999999999999E-2</v>
      </c>
      <c r="AA65" s="64">
        <f t="shared" si="10"/>
        <v>23.280799999999999</v>
      </c>
      <c r="AB65" s="61" t="e">
        <f>VLOOKUP(A65,Enforcements!$C$7:$K$18,8,0)</f>
        <v>#N/A</v>
      </c>
      <c r="AC65" s="57" t="e">
        <f>VLOOKUP(A65,Enforcements!$C$7:$E$18,3,0)</f>
        <v>#N/A</v>
      </c>
      <c r="AD65" s="58" t="str">
        <f t="shared" si="11"/>
        <v>0150-08</v>
      </c>
      <c r="AE65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65" s="84" t="str">
        <f t="shared" si="13"/>
        <v>"C:\Program Files (x86)\AstroGrep\AstroGrep.exe" /spath="%USERPROFILE%\AppData\Local\Temp\OnboardLogs" /stypes="app*4039*20170108*"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150-08 --locoid 4039 --swversion DE.1.0.8.0 --startMP 204:232964 --initTime 2017-01-08T10:34:07 --startdatetime 2017-01-08T10:41:20 --delay 1 --endMP 204:156 --enddatetime 2017-01-08T11:21:38 --enforcementcount 0 &gt;&gt;C:\Users\stu\Documents\GitHub\eaglep3-reporting\EC\2017-01-08-refined-times.txt</v>
      </c>
      <c r="AI65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{"issue":{"subject":"","project_id":79,"tracker_id":40,"status_id":1,"priority_id":2,"assigned_to_id":23,"start_date":"2017-01-08","description":"","custom_fields":[{"id":1,"name":"Subdivision","value":"EC"},{"id":4,"name":"Milepost","value":"0.0156"},{"id":17,"name":"Train ID","value":"150-08"},{"id":16,"name":"Locomotive ID","value":"4039"},{"id":130,"name":"Impact","value":""},{"id":150,"name":"Time of Event (Mountain Time)","value":"11:21:38"},{"id":151,"name":"Denver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4039 --day 2017-01-08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501</v>
      </c>
      <c r="B66" s="7">
        <v>4027</v>
      </c>
      <c r="C66" s="22" t="s">
        <v>203</v>
      </c>
      <c r="D66" s="22" t="s">
        <v>242</v>
      </c>
      <c r="E66" s="13">
        <v>42743.4143287037</v>
      </c>
      <c r="F66" s="13">
        <v>42743.416828703703</v>
      </c>
      <c r="G66" s="7">
        <v>1</v>
      </c>
      <c r="H66" s="22" t="s">
        <v>351</v>
      </c>
      <c r="I66" s="13">
        <v>42743.44153935185</v>
      </c>
      <c r="J66" s="7">
        <v>0</v>
      </c>
      <c r="K66" s="105" t="str">
        <f t="shared" si="0"/>
        <v>4027/4028</v>
      </c>
      <c r="L66" s="22" t="str">
        <f>VLOOKUP(A66,'Trips&amp;Operators'!$C$1:$G$99999,5,FALSE)</f>
        <v>ISHMAEL JOSEPH</v>
      </c>
      <c r="M66" s="6">
        <f t="shared" si="1"/>
        <v>2.47106481474475E-2</v>
      </c>
      <c r="N66" s="7">
        <f t="shared" si="2"/>
        <v>35.583333332324401</v>
      </c>
      <c r="O66" s="7"/>
      <c r="P66" s="7"/>
      <c r="Q66" s="23"/>
      <c r="R66" s="23"/>
      <c r="S66" s="32">
        <f t="shared" si="3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08:56:38-700',mode:absolute,to:'2017-01-08 11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6" s="49" t="str">
        <f t="shared" si="6"/>
        <v>N</v>
      </c>
      <c r="X66" s="173">
        <f t="shared" si="7"/>
        <v>1</v>
      </c>
      <c r="Y66" s="64">
        <f t="shared" si="8"/>
        <v>4.53E-2</v>
      </c>
      <c r="Z66" s="64">
        <f t="shared" si="9"/>
        <v>23.330100000000002</v>
      </c>
      <c r="AA66" s="64">
        <f t="shared" si="10"/>
        <v>23.284800000000001</v>
      </c>
      <c r="AB66" s="61" t="e">
        <f>VLOOKUP(A66,Enforcements!$C$7:$K$18,8,0)</f>
        <v>#N/A</v>
      </c>
      <c r="AC66" s="57" t="e">
        <f>VLOOKUP(A66,Enforcements!$C$7:$E$18,3,0)</f>
        <v>#N/A</v>
      </c>
      <c r="AD66" s="58" t="str">
        <f t="shared" si="11"/>
        <v>0151-08</v>
      </c>
      <c r="AE66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66" s="84" t="str">
        <f t="shared" si="13"/>
        <v>"C:\Program Files (x86)\AstroGrep\AstroGrep.exe" /spath="%USERPROFILE%\AppData\Local\Temp\OnboardLogs" /stypes="app*4027*20170108*"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151-08 --locoid 4027 --swversion DE.1.0.8.0 --startMP 204:453 --initTime 2017-01-08T09:56:38 --startdatetime 2017-01-08T10:00:14 --delay 1 --endMP 204:233301 --enddatetime 2017-01-08T10:35:49 --enforcementcount 0 &gt;&gt;C:\Users\stu\Documents\GitHub\eaglep3-reporting\EC\2017-01-08-refined-times.txt</v>
      </c>
      <c r="AI66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{"issue":{"subject":"","project_id":79,"tracker_id":40,"status_id":1,"priority_id":2,"assigned_to_id":23,"start_date":"2017-01-08","description":"","custom_fields":[{"id":1,"name":"Subdivision","value":"EC"},{"id":4,"name":"Milepost","value":"23.3301"},{"id":17,"name":"Train ID","value":"151-08"},{"id":16,"name":"Locomotive ID","value":"4027"},{"id":130,"name":"Impact","value":""},{"id":150,"name":"Time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4027 --day 2017-01-08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514</v>
      </c>
      <c r="B67" s="7">
        <v>4028</v>
      </c>
      <c r="C67" s="22" t="s">
        <v>203</v>
      </c>
      <c r="D67" s="22" t="s">
        <v>674</v>
      </c>
      <c r="E67" s="13">
        <v>42743.446226851855</v>
      </c>
      <c r="F67" s="13">
        <v>42743.455729166664</v>
      </c>
      <c r="G67" s="7">
        <v>1</v>
      </c>
      <c r="H67" s="22" t="s">
        <v>670</v>
      </c>
      <c r="I67" s="13">
        <v>42743.482581018521</v>
      </c>
      <c r="J67" s="7">
        <v>0</v>
      </c>
      <c r="K67" s="105" t="str">
        <f t="shared" si="0"/>
        <v>4027/4028</v>
      </c>
      <c r="L67" s="22" t="str">
        <f>VLOOKUP(A67,'Trips&amp;Operators'!$C$1:$G$99999,5,FALSE)</f>
        <v>ISHMAEL JOSEPH</v>
      </c>
      <c r="M67" s="6">
        <f t="shared" si="1"/>
        <v>2.6851851856918074E-2</v>
      </c>
      <c r="N67" s="7">
        <f t="shared" si="2"/>
        <v>38.666666673962027</v>
      </c>
      <c r="O67" s="7"/>
      <c r="P67" s="7"/>
      <c r="Q67" s="23"/>
      <c r="R67" s="23"/>
      <c r="S67" s="32">
        <f t="shared" si="3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09:42:34-700',mode:absolute,to:'2017-01-08 12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7" s="49" t="str">
        <f t="shared" si="6"/>
        <v>N</v>
      </c>
      <c r="X67" s="173">
        <f t="shared" si="7"/>
        <v>1</v>
      </c>
      <c r="Y67" s="64">
        <f t="shared" si="8"/>
        <v>23.297799999999999</v>
      </c>
      <c r="Z67" s="64">
        <f t="shared" si="9"/>
        <v>1.7000000000000001E-2</v>
      </c>
      <c r="AA67" s="64">
        <f t="shared" si="10"/>
        <v>23.280799999999999</v>
      </c>
      <c r="AB67" s="61" t="e">
        <f>VLOOKUP(A67,Enforcements!$C$7:$K$18,8,0)</f>
        <v>#N/A</v>
      </c>
      <c r="AC67" s="57" t="e">
        <f>VLOOKUP(A67,Enforcements!$C$7:$E$18,3,0)</f>
        <v>#N/A</v>
      </c>
      <c r="AD67" s="58" t="str">
        <f t="shared" si="11"/>
        <v>0152-08</v>
      </c>
      <c r="AE67" s="87" t="str">
        <f t="shared" si="12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67" s="84" t="str">
        <f t="shared" si="13"/>
        <v>"C:\Program Files (x86)\AstroGrep\AstroGrep.exe" /spath="%USERPROFILE%\AppData\Local\Temp\OnboardLogs" /stypes="app*4028*20170108*"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152-08 --locoid 4028 --swversion DE.1.0.8.0 --startMP 204:232978 --initTime 2017-01-08T10:42:34 --startdatetime 2017-01-08T10:56:15 --delay 1 --endMP 204:170 --enddatetime 2017-01-08T11:34:55 --enforcementcount 0 &gt;&gt;C:\Users\stu\Documents\GitHub\eaglep3-reporting\EC\2017-01-08-refined-times.txt</v>
      </c>
      <c r="AI67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{"issue":{"subject":"","project_id":79,"tracker_id":40,"status_id":1,"priority_id":2,"assigned_to_id":23,"start_date":"2017-01-08","description":"","custom_fields":[{"id":1,"name":"Subdivision","value":"EC"},{"id":4,"name":"Milepost","value":"0.017"},{"id":17,"name":"Train ID","value":"152-08"},{"id":16,"name":"Locomotive ID","value":"4028"},{"id":130,"name":"Impact","value":""},{"id":150,"name":"Time of Event (Mountain Time)","value":"11:34:55"},{"id":151,"name":"Denver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4028 --day 2017-01-08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502</v>
      </c>
      <c r="B68" s="7">
        <v>4022</v>
      </c>
      <c r="C68" s="22" t="s">
        <v>203</v>
      </c>
      <c r="D68" s="22" t="s">
        <v>675</v>
      </c>
      <c r="E68" s="13">
        <v>42743.419363425928</v>
      </c>
      <c r="F68" s="13">
        <v>42743.427361111113</v>
      </c>
      <c r="G68" s="7">
        <v>1</v>
      </c>
      <c r="H68" s="22" t="s">
        <v>676</v>
      </c>
      <c r="I68" s="13">
        <v>42743.452766203707</v>
      </c>
      <c r="J68" s="7">
        <v>0</v>
      </c>
      <c r="K68" s="105" t="str">
        <f t="shared" si="0"/>
        <v>4021/4022</v>
      </c>
      <c r="L68" s="22" t="str">
        <f>VLOOKUP(A68,'Trips&amp;Operators'!$C$1:$G$99999,5,FALSE)</f>
        <v>MAELZER KURT</v>
      </c>
      <c r="M68" s="6">
        <f t="shared" si="1"/>
        <v>2.5405092594155576E-2</v>
      </c>
      <c r="N68" s="7">
        <f t="shared" si="2"/>
        <v>36.58333333558403</v>
      </c>
      <c r="O68" s="7"/>
      <c r="P68" s="7"/>
      <c r="Q68" s="23"/>
      <c r="R68" s="23"/>
      <c r="S68" s="32">
        <f t="shared" si="3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09:03:53-700',mode:absolute,to:'2017-01-08 11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8" s="49" t="str">
        <f t="shared" si="6"/>
        <v>N</v>
      </c>
      <c r="X68" s="173">
        <f t="shared" si="7"/>
        <v>1</v>
      </c>
      <c r="Y68" s="64">
        <f t="shared" si="8"/>
        <v>0.1154</v>
      </c>
      <c r="Z68" s="64">
        <f t="shared" si="9"/>
        <v>23.3323</v>
      </c>
      <c r="AA68" s="64">
        <f t="shared" si="10"/>
        <v>23.216899999999999</v>
      </c>
      <c r="AB68" s="61" t="e">
        <f>VLOOKUP(A68,Enforcements!$C$7:$K$18,8,0)</f>
        <v>#N/A</v>
      </c>
      <c r="AC68" s="57" t="e">
        <f>VLOOKUP(A68,Enforcements!$C$7:$E$18,3,0)</f>
        <v>#N/A</v>
      </c>
      <c r="AD68" s="58" t="str">
        <f t="shared" si="11"/>
        <v>0153-08</v>
      </c>
      <c r="AE68" s="87" t="str">
        <f t="shared" si="12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68" s="84" t="str">
        <f t="shared" si="13"/>
        <v>"C:\Program Files (x86)\AstroGrep\AstroGrep.exe" /spath="%USERPROFILE%\AppData\Local\Temp\OnboardLogs" /stypes="app*4022*20170108*" /stext=" 17:.+((SYSTEM_STATE.+slice.+state.+changed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153-08 --locoid 4022 --swversion DE.1.0.8.0 --startMP 204:1154 --initTime 2017-01-08T10:03:53 --startdatetime 2017-01-08T10:15:24 --delay 1 --endMP 204:233323 --enddatetime 2017-01-08T10:51:59 --enforcementcount 0 &gt;&gt;C:\Users\stu\Documents\GitHub\eaglep3-reporting\EC\2017-01-08-refined-times.txt</v>
      </c>
      <c r="AI68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{"issue":{"subject":"","project_id":79,"tracker_id":40,"status_id":1,"priority_id":2,"assigned_to_id":23,"start_date":"2017-01-08","description":"","custom_fields":[{"id":1,"name":"Subdivision","value":"EC"},{"id":4,"name":"Milepost","value":"23.3323"},{"id":17,"name":"Train ID","value":"153-08"},{"id":16,"name":"Locomotive ID","value":"4022"},{"id":130,"name":"Impact","value":""},{"id":150,"name":"Time of Event (Mountain Time)","value":"10:51:59"},{"id":151,"name":"Denver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4022 --day 2017-01-08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416</v>
      </c>
      <c r="B69" s="7">
        <v>4021</v>
      </c>
      <c r="C69" s="22" t="s">
        <v>203</v>
      </c>
      <c r="D69" s="22" t="s">
        <v>397</v>
      </c>
      <c r="E69" s="13">
        <v>42743.45590277778</v>
      </c>
      <c r="F69" s="13">
        <v>42743.466192129628</v>
      </c>
      <c r="G69" s="7">
        <v>1</v>
      </c>
      <c r="H69" s="22" t="s">
        <v>192</v>
      </c>
      <c r="I69" s="13">
        <v>42743.49417824074</v>
      </c>
      <c r="J69" s="7">
        <v>0</v>
      </c>
      <c r="K69" s="105" t="str">
        <f t="shared" si="0"/>
        <v>4021/4022</v>
      </c>
      <c r="L69" s="22" t="str">
        <f>VLOOKUP(A69,'Trips&amp;Operators'!$C$1:$G$99999,5,FALSE)</f>
        <v>MAELZER KURT</v>
      </c>
      <c r="M69" s="6">
        <f t="shared" si="1"/>
        <v>2.7986111112113576E-2</v>
      </c>
      <c r="N69" s="7">
        <f t="shared" si="2"/>
        <v>40.30000000144355</v>
      </c>
      <c r="O69" s="7"/>
      <c r="P69" s="7"/>
      <c r="Q69" s="23"/>
      <c r="R69" s="23"/>
      <c r="S69" s="32">
        <f t="shared" si="3"/>
        <v>1</v>
      </c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09:56:30-700',mode:absolute,to:'2017-01-08 12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9" s="49" t="str">
        <f t="shared" si="6"/>
        <v>N</v>
      </c>
      <c r="X69" s="173">
        <f t="shared" si="7"/>
        <v>1</v>
      </c>
      <c r="Y69" s="64">
        <f t="shared" si="8"/>
        <v>23.300799999999999</v>
      </c>
      <c r="Z69" s="64">
        <f t="shared" si="9"/>
        <v>1.43E-2</v>
      </c>
      <c r="AA69" s="64">
        <f t="shared" si="10"/>
        <v>23.2865</v>
      </c>
      <c r="AB69" s="61" t="str">
        <f>VLOOKUP(A69,Enforcements!$C$7:$K$18,8,0)</f>
        <v>Bulletin (2)</v>
      </c>
      <c r="AC69" s="57" t="str">
        <f>VLOOKUP(A69,Enforcements!$C$7:$E$18,3,0)</f>
        <v>GRADE CROSSING</v>
      </c>
      <c r="AD69" s="58" t="str">
        <f t="shared" si="11"/>
        <v>0154-08</v>
      </c>
      <c r="AE69" s="87" t="str">
        <f t="shared" si="12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69" s="84" t="str">
        <f t="shared" si="13"/>
        <v>"C:\Program Files (x86)\AstroGrep\AstroGrep.exe" /spath="%USERPROFILE%\AppData\Local\Temp\OnboardLogs" /stypes="app*4021*20170108*"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154-08 --locoid 4021 --swversion DE.1.0.8.0 --startMP 204:233008 --initTime 2017-01-08T10:56:30 --startdatetime 2017-01-08T11:11:19 --delay 1 --endMP 204:143 --enddatetime 2017-01-08T11:51:37 --enforcementcount 0 &gt;&gt;C:\Users\stu\Documents\GitHub\eaglep3-reporting\EC\2017-01-08-refined-times.txt</v>
      </c>
      <c r="AI6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ID","value":"154-08"},{"id":16,"name":"Locomotive ID","value":"4021"},{"id":130,"name":"Impact","value":""},{"id":150,"name":"Time of Event (Mountain Time)","value":"11:51:37"},{"id":151,"name":"Denver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4021 --day 2017-01-08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505</v>
      </c>
      <c r="B70" s="7">
        <v>4002</v>
      </c>
      <c r="C70" s="22" t="s">
        <v>203</v>
      </c>
      <c r="D70" s="22" t="s">
        <v>290</v>
      </c>
      <c r="E70" s="13">
        <v>42743.435069444444</v>
      </c>
      <c r="F70" s="13">
        <v>42743.437731481485</v>
      </c>
      <c r="G70" s="7">
        <v>1</v>
      </c>
      <c r="H70" s="22" t="s">
        <v>677</v>
      </c>
      <c r="I70" s="13">
        <v>42743.462268518517</v>
      </c>
      <c r="J70" s="7">
        <v>0</v>
      </c>
      <c r="K70" s="105" t="str">
        <f t="shared" si="0"/>
        <v>4001/4002</v>
      </c>
      <c r="L70" s="22" t="str">
        <f>VLOOKUP(A70,'Trips&amp;Operators'!$C$1:$G$99999,5,FALSE)</f>
        <v>ROMERO CHAD</v>
      </c>
      <c r="M70" s="6">
        <f t="shared" si="1"/>
        <v>2.4537037032132503E-2</v>
      </c>
      <c r="N70" s="7">
        <f t="shared" si="2"/>
        <v>35.333333326270804</v>
      </c>
      <c r="O70" s="7"/>
      <c r="P70" s="7"/>
      <c r="Q70" s="23"/>
      <c r="R70" s="23"/>
      <c r="S70" s="32">
        <f t="shared" si="3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09:26:30-700',mode:absolute,to:'2017-01-08 12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0" s="49" t="str">
        <f t="shared" si="6"/>
        <v>N</v>
      </c>
      <c r="X70" s="173">
        <f t="shared" si="7"/>
        <v>1</v>
      </c>
      <c r="Y70" s="64">
        <f t="shared" si="8"/>
        <v>4.4400000000000002E-2</v>
      </c>
      <c r="Z70" s="64">
        <f t="shared" si="9"/>
        <v>23.327400000000001</v>
      </c>
      <c r="AA70" s="64">
        <f t="shared" si="10"/>
        <v>23.283000000000001</v>
      </c>
      <c r="AB70" s="61" t="e">
        <f>VLOOKUP(A70,Enforcements!$C$7:$K$18,8,0)</f>
        <v>#N/A</v>
      </c>
      <c r="AC70" s="57" t="e">
        <f>VLOOKUP(A70,Enforcements!$C$7:$E$18,3,0)</f>
        <v>#N/A</v>
      </c>
      <c r="AD70" s="58" t="str">
        <f t="shared" si="11"/>
        <v>0155-08</v>
      </c>
      <c r="AE70" s="87" t="str">
        <f t="shared" si="12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70" s="84" t="str">
        <f t="shared" si="13"/>
        <v>"C:\Program Files (x86)\AstroGrep\AstroGrep.exe" /spath="%USERPROFILE%\AppData\Local\Temp\OnboardLogs" /stypes="app*4002*20170108*"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155-08 --locoid 4002 --swversion DE.1.0.8.0 --startMP 204:444 --initTime 2017-01-08T10:26:30 --startdatetime 2017-01-08T10:30:20 --delay 1 --endMP 204:233274 --enddatetime 2017-01-08T11:05:40 --enforcementcount 0 &gt;&gt;C:\Users\stu\Documents\GitHub\eaglep3-reporting\EC\2017-01-08-refined-times.txt</v>
      </c>
      <c r="AI70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{"issue":{"subject":"","project_id":79,"tracker_id":40,"status_id":1,"priority_id":2,"assigned_to_id":23,"start_date":"2017-01-08","description":"","custom_fields":[{"id":1,"name":"Subdivision","value":"EC"},{"id":4,"name":"Milepost","value":"23.3274"},{"id":17,"name":"Train ID","value":"155-08"},{"id":16,"name":"Locomotive ID","value":"4002"},{"id":130,"name":"Impact","value":""},{"id":150,"name":"Time of Event (Mountain Time)","value":"11:05:40"},{"id":151,"name":"Denver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4002 --day 2017-01-08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517</v>
      </c>
      <c r="B71" s="7">
        <v>4001</v>
      </c>
      <c r="C71" s="22" t="s">
        <v>203</v>
      </c>
      <c r="D71" s="22" t="s">
        <v>290</v>
      </c>
      <c r="E71" s="13">
        <v>42743.435069444444</v>
      </c>
      <c r="F71" s="13">
        <v>42743.464699074073</v>
      </c>
      <c r="G71" s="7">
        <v>1</v>
      </c>
      <c r="H71" s="22" t="s">
        <v>677</v>
      </c>
      <c r="I71" s="13">
        <v>42743.46539351852</v>
      </c>
      <c r="J71" s="7">
        <v>0</v>
      </c>
      <c r="K71" s="105" t="str">
        <f t="shared" ref="K71" si="68">IF(ISEVEN(B71),(B71-1)&amp;"/"&amp;B71,B71&amp;"/"&amp;(B71+1))</f>
        <v>4001/4002</v>
      </c>
      <c r="L71" s="22" t="str">
        <f>VLOOKUP(A71,'Trips&amp;Operators'!$C$1:$G$99999,5,FALSE)</f>
        <v>ROMERO CHAD</v>
      </c>
      <c r="M71" s="6">
        <f t="shared" ref="M71" si="69">I71-F71</f>
        <v>6.944444467080757E-4</v>
      </c>
      <c r="N71" s="7"/>
      <c r="O71" s="7"/>
      <c r="P71" s="7">
        <f t="shared" si="2"/>
        <v>1.000000003259629</v>
      </c>
      <c r="Q71" s="23"/>
      <c r="R71" s="23" t="s">
        <v>844</v>
      </c>
      <c r="S71" s="32">
        <f t="shared" ref="S71" si="70">SUM(U71:U71)/IF(AG71="EC",12,1)</f>
        <v>0</v>
      </c>
      <c r="T71" s="47" t="str">
        <f t="shared" ref="T71" si="71">IF(ISEVEN(LEFT(AD71,4)),"Southbound","NorthBound")</f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94" t="str">
        <f t="shared" ref="V71" si="72"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https://search-rtdc-monitor-bjffxe2xuh6vdkpspy63sjmuny.us-east-1.es.amazonaws.com/_plugin/kibana/#/discover/Steve-Slow-Train-Analysis-(2080s-and-2083s)?_g=(refreshInterval:(display:Off,section:0,value:0),time:(from:'2017-01-08 09:26:30-700',mode:absolute,to:'2017-01-08 12:10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1" s="49" t="str">
        <f t="shared" ref="W71" si="73">IF(AA71&lt;IF(AG71="EC",23,5.65),"Y","N")</f>
        <v>N</v>
      </c>
      <c r="X71" s="173">
        <f t="shared" ref="X71:X73" si="74">VALUE(LEFT(AD71,4))-VALUE(LEFT(AD70,4))</f>
        <v>1</v>
      </c>
      <c r="Y71" s="64">
        <f t="shared" ref="Y71" si="75">RIGHT(D71,LEN(D71)-4)/10000</f>
        <v>4.4400000000000002E-2</v>
      </c>
      <c r="Z71" s="64">
        <f t="shared" ref="Z71" si="76">RIGHT(H71,LEN(H71)-4)/10000</f>
        <v>23.327400000000001</v>
      </c>
      <c r="AA71" s="64">
        <f t="shared" ref="AA71" si="77">ABS(Z71-Y71)</f>
        <v>23.283000000000001</v>
      </c>
      <c r="AB71" s="61" t="e">
        <f>VLOOKUP(A71,Enforcements!$C$7:$K$18,8,0)</f>
        <v>#N/A</v>
      </c>
      <c r="AC71" s="57" t="e">
        <f>VLOOKUP(A71,Enforcements!$C$7:$E$18,3,0)</f>
        <v>#N/A</v>
      </c>
      <c r="AD71" s="58" t="str">
        <f t="shared" ref="AD71" si="78">IF(LEN(A71)=6,"0"&amp;A71,A71)</f>
        <v>0156-08</v>
      </c>
      <c r="AE71" s="87" t="str">
        <f t="shared" ref="AE71" si="79"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71" s="84" t="str">
        <f t="shared" ref="AF71" si="80"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/stypes="app*4001*20170108*" /stext=" 18:.+((SYSTEM_STATE.+slice.+state.+changed )|(ment ac)|(multiple cpu faults)|(system.+state.+changed )|(\[timeout)|(PRM\|1\|D)|(kpr)|(kdp)|(\|lc)|(penalty))" /e /r /s</v>
      </c>
      <c r="AG71" s="1" t="str">
        <f t="shared" ref="AG71" si="81">IFERROR(IF(VALUE(LEFT(AD71,2))&lt;=2,"EC",IF(OR(VALUE(LEFT(AD71,2))=8,VALUE(LEFT(AD71,2))=18),"NW","Other")),"Other")</f>
        <v>EC</v>
      </c>
      <c r="AH71" s="88" t="str">
        <f t="shared" ref="AH71" si="82"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"&amp;J71&amp;IF(outputrefinedruntimes," &gt;&gt;"&amp;RefinedRTDCRunTimesOutputFile,"")</f>
        <v>"%USERPROFILE%\Documents\GitHub\eaglep3\Utilities\RefineRTDCRunTimes.py" --tripid 156-08 --locoid 4001 --swversion DE.1.0.8.0 --startMP 204:444 --initTime 2017-01-08T10:26:30 --startdatetime 2017-01-08T11:09:10 --delay 1 --endMP 204:233274 --enddatetime 2017-01-08T11:10:10 --enforcementcount 0 &gt;&gt;C:\Users\stu\Documents\GitHub\eaglep3-reporting\EC\2017-01-08-refined-times.txt</v>
      </c>
      <c r="AI71" s="115" t="str">
        <f t="shared" ref="AI71" si="83">"echo {""issue"":{""subject"":"""&amp;R71&amp;""",""project_id"":79,""tracker_id"":40,""status_id"":"&amp;redmine_status&amp;",""priority_id"":"&amp;redmine_priority&amp;",""assigned_to_id"":"&amp;redmine_assignee&amp;",""start_date"":"""&amp;TEXT(I71,"YYYY-mm-dd")&amp;""",""description"":"""&amp;AJ71&amp;""",""custom_fields"":[{""id"":1,""name"":""Subdivision"",""value"":"""&amp;AG71&amp;"""},{""id"":4,""name"":""Milepost"",""value"":"""&amp;Z71&amp;"""},{""id"":17,""name"":""Train ID"",""value"":"""&amp;A71&amp;"""},{""id"":16,""name"":""Locomotive ID"",""value"":"""&amp;B71&amp;"""},{""id"":130,""name"":""Impact"",""value"":"""&amp;AK71&amp;"""},{""id"":150,""name"":""Time of Event (Mountain Time)"",""value"":"""&amp;TEXT(I71,"hh:mm:ss")&amp;"""},{""id"":151,""name"":""Denver Issue ID"",""value"":"""&amp;"""},{""id"":178,""name"":""Operational Impact"",""value"":"""&amp;redmine_op_impact&amp;"""},{""id"":179,""name"":""Denver Segment Assigned"",""value"":"""&amp;AL71&amp;"""}]}}"&amp;" | curl -X POST -H ""Content-Type: application/json"" -H ""X-Redmine-API-Key: "&amp;redm_api_key&amp;""" "&amp;redm_url&amp;" --data @-"</f>
        <v>echo {"issue":{"subject":"BPP stayed low - could not perform departure test","project_id":79,"tracker_id":40,"status_id":1,"priority_id":2,"assigned_to_id":23,"start_date":"2017-01-08","description":"","custom_fields":[{"id":1,"name":"Subdivision","value":"EC"},{"id":4,"name":"Milepost","value":"23.3274"},{"id":17,"name":"Train ID","value":"156-08"},{"id":16,"name":"Locomotive ID","value":"4001"},{"id":130,"name":"Impact","value":""},{"id":150,"name":"Time of Event (Mountain Time)","value":"11:10:10"},{"id":151,"name":"Denver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ref="AM71" si="84">"start /low /b "&amp;dls3logs&amp;" --loco "&amp;B71&amp;" --day "&amp;TEXT(F71,"YYYY-MM-DD")</f>
        <v>start /low /b %USERPROFILE%\Documents\GitHub\eaglep3\Utilities\DownloadLogsFromS3.py --loco 4001 --day 2017-01-08</v>
      </c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</row>
    <row r="72" spans="1:91" s="1" customFormat="1" x14ac:dyDescent="0.25">
      <c r="A72" s="34" t="s">
        <v>513</v>
      </c>
      <c r="B72" s="7">
        <v>4014</v>
      </c>
      <c r="C72" s="22" t="s">
        <v>203</v>
      </c>
      <c r="D72" s="22" t="s">
        <v>226</v>
      </c>
      <c r="E72" s="13">
        <v>42743.442974537036</v>
      </c>
      <c r="F72" s="13">
        <v>42743.448171296295</v>
      </c>
      <c r="G72" s="7">
        <v>2</v>
      </c>
      <c r="H72" s="22" t="s">
        <v>678</v>
      </c>
      <c r="I72" s="13">
        <v>42743.473900462966</v>
      </c>
      <c r="J72" s="7">
        <v>0</v>
      </c>
      <c r="K72" s="105" t="str">
        <f t="shared" si="0"/>
        <v>4013/4014</v>
      </c>
      <c r="L72" s="22" t="str">
        <f>VLOOKUP(A72,'Trips&amp;Operators'!$C$1:$G$99999,5,FALSE)</f>
        <v>ROBINSON KADDIBA</v>
      </c>
      <c r="M72" s="6">
        <f t="shared" si="1"/>
        <v>2.5729166671226267E-2</v>
      </c>
      <c r="N72" s="7">
        <f t="shared" si="2"/>
        <v>37.050000006565824</v>
      </c>
      <c r="O72" s="7"/>
      <c r="P72" s="7"/>
      <c r="Q72" s="23"/>
      <c r="R72" s="23"/>
      <c r="S72" s="32">
        <f t="shared" si="3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09:37:53-700',mode:absolute,to:'2017-01-08 12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2" s="49" t="str">
        <f t="shared" si="6"/>
        <v>N</v>
      </c>
      <c r="X72" s="173">
        <f t="shared" si="74"/>
        <v>1</v>
      </c>
      <c r="Y72" s="64">
        <f t="shared" si="8"/>
        <v>4.5999999999999999E-2</v>
      </c>
      <c r="Z72" s="64">
        <f t="shared" si="9"/>
        <v>23.3306</v>
      </c>
      <c r="AA72" s="64">
        <f t="shared" si="10"/>
        <v>23.284600000000001</v>
      </c>
      <c r="AB72" s="61" t="e">
        <f>VLOOKUP(A72,Enforcements!$C$7:$K$18,8,0)</f>
        <v>#N/A</v>
      </c>
      <c r="AC72" s="57" t="e">
        <f>VLOOKUP(A72,Enforcements!$C$7:$E$18,3,0)</f>
        <v>#N/A</v>
      </c>
      <c r="AD72" s="58" t="str">
        <f t="shared" si="11"/>
        <v>0157-08</v>
      </c>
      <c r="AE72" s="87" t="str">
        <f t="shared" si="12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72" s="84" t="str">
        <f t="shared" si="13"/>
        <v>"C:\Program Files (x86)\AstroGrep\AstroGrep.exe" /spath="%USERPROFILE%\AppData\Local\Temp\OnboardLogs" /stypes="app*4014*20170108*"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157-08 --locoid 4014 --swversion DE.1.0.8.0 --startMP 204:460 --initTime 2017-01-08T10:37:53 --startdatetime 2017-01-08T10:45:22 --delay 2 --endMP 204:233306 --enddatetime 2017-01-08T11:22:25 --enforcementcount 0 &gt;&gt;C:\Users\stu\Documents\GitHub\eaglep3-reporting\EC\2017-01-08-refined-times.txt</v>
      </c>
      <c r="AI72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{"issue":{"subject":"","project_id":79,"tracker_id":40,"status_id":1,"priority_id":2,"assigned_to_id":23,"start_date":"2017-01-08","description":"","custom_fields":[{"id":1,"name":"Subdivision","value":"EC"},{"id":4,"name":"Milepost","value":"23.3306"},{"id":17,"name":"Train ID","value":"157-08"},{"id":16,"name":"Locomotive ID","value":"4014"},{"id":130,"name":"Impact","value":""},{"id":150,"name":"Time of Event (Mountain Time)","value":"11:22:25"},{"id":151,"name":"Denver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4014 --day 2017-01-08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520</v>
      </c>
      <c r="B73" s="7">
        <v>4013</v>
      </c>
      <c r="C73" s="22" t="s">
        <v>203</v>
      </c>
      <c r="D73" s="22" t="s">
        <v>348</v>
      </c>
      <c r="E73" s="13">
        <v>42743.475069444445</v>
      </c>
      <c r="F73" s="13">
        <v>42743.487037037034</v>
      </c>
      <c r="G73" s="7">
        <v>1</v>
      </c>
      <c r="H73" s="22" t="s">
        <v>679</v>
      </c>
      <c r="I73" s="13">
        <v>42743.515798611108</v>
      </c>
      <c r="J73" s="7">
        <v>0</v>
      </c>
      <c r="K73" s="105" t="str">
        <f t="shared" si="0"/>
        <v>4013/4014</v>
      </c>
      <c r="L73" s="22" t="str">
        <f>VLOOKUP(A73,'Trips&amp;Operators'!$C$1:$G$99999,5,FALSE)</f>
        <v>ROBINSON KADDIBA</v>
      </c>
      <c r="M73" s="6">
        <f t="shared" si="1"/>
        <v>2.8761574074451346E-2</v>
      </c>
      <c r="N73" s="7">
        <f t="shared" si="2"/>
        <v>41.416666667209938</v>
      </c>
      <c r="O73" s="7"/>
      <c r="P73" s="7"/>
      <c r="Q73" s="23"/>
      <c r="R73" s="23"/>
      <c r="S73" s="32">
        <f t="shared" si="3"/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10:24:06-700',mode:absolute,to:'2017-01-08 13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49" t="str">
        <f t="shared" si="6"/>
        <v>N</v>
      </c>
      <c r="X73" s="173">
        <f t="shared" si="74"/>
        <v>1</v>
      </c>
      <c r="Y73" s="64">
        <f t="shared" si="8"/>
        <v>23.2987</v>
      </c>
      <c r="Z73" s="64">
        <f t="shared" si="9"/>
        <v>1.72E-2</v>
      </c>
      <c r="AA73" s="64">
        <f t="shared" si="10"/>
        <v>23.281500000000001</v>
      </c>
      <c r="AB73" s="61" t="e">
        <f>VLOOKUP(A73,Enforcements!$C$7:$K$18,8,0)</f>
        <v>#N/A</v>
      </c>
      <c r="AC73" s="57" t="e">
        <f>VLOOKUP(A73,Enforcements!$C$7:$E$18,3,0)</f>
        <v>#N/A</v>
      </c>
      <c r="AD73" s="58" t="str">
        <f t="shared" si="11"/>
        <v>0158-08</v>
      </c>
      <c r="AE73" s="87" t="str">
        <f t="shared" si="12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73" s="84" t="str">
        <f t="shared" si="13"/>
        <v>"C:\Program Files (x86)\AstroGrep\AstroGrep.exe" /spath="%USERPROFILE%\AppData\Local\Temp\OnboardLogs" /stypes="app*4013*20170108*"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158-08 --locoid 4013 --swversion DE.1.0.8.0 --startMP 204:232987 --initTime 2017-01-08T11:24:06 --startdatetime 2017-01-08T11:41:20 --delay 1 --endMP 204:172 --enddatetime 2017-01-08T12:22:45 --enforcementcount 0 &gt;&gt;C:\Users\stu\Documents\GitHub\eaglep3-reporting\EC\2017-01-08-refined-times.txt</v>
      </c>
      <c r="AI73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{"issue":{"subject":"","project_id":79,"tracker_id":40,"status_id":1,"priority_id":2,"assigned_to_id":23,"start_date":"2017-01-08","description":"","custom_fields":[{"id":1,"name":"Subdivision","value":"EC"},{"id":4,"name":"Milepost","value":"0.0172"},{"id":17,"name":"Train ID","value":"158-08"},{"id":16,"name":"Locomotive ID","value":"4013"},{"id":130,"name":"Impact","value":""},{"id":150,"name":"Time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4013 --day 2017-01-08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515</v>
      </c>
      <c r="B74" s="7">
        <v>4020</v>
      </c>
      <c r="C74" s="22" t="s">
        <v>203</v>
      </c>
      <c r="D74" s="22" t="s">
        <v>286</v>
      </c>
      <c r="E74" s="13">
        <v>42743.454710648148</v>
      </c>
      <c r="F74" s="13">
        <v>42743.458680555559</v>
      </c>
      <c r="G74" s="7">
        <v>1</v>
      </c>
      <c r="H74" s="22" t="s">
        <v>680</v>
      </c>
      <c r="I74" s="13">
        <v>42743.483449074076</v>
      </c>
      <c r="J74" s="7">
        <v>0</v>
      </c>
      <c r="K74" s="105" t="str">
        <f t="shared" si="0"/>
        <v>4019/4020</v>
      </c>
      <c r="L74" s="22" t="str">
        <f>VLOOKUP(A74,'Trips&amp;Operators'!$C$1:$G$99999,5,FALSE)</f>
        <v>STEWART MICHAEL</v>
      </c>
      <c r="M74" s="6">
        <f t="shared" si="1"/>
        <v>2.4768518516793847E-2</v>
      </c>
      <c r="N74" s="7">
        <f t="shared" si="2"/>
        <v>35.66666666418314</v>
      </c>
      <c r="O74" s="7"/>
      <c r="P74" s="7"/>
      <c r="Q74" s="23"/>
      <c r="R74" s="23"/>
      <c r="S74" s="32">
        <f t="shared" si="3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09:54:47-700',mode:absolute,to:'2017-01-08 12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4" s="49" t="str">
        <f t="shared" si="6"/>
        <v>N</v>
      </c>
      <c r="X74" s="173">
        <f t="shared" si="7"/>
        <v>1</v>
      </c>
      <c r="Y74" s="64">
        <f t="shared" si="8"/>
        <v>4.5699999999999998E-2</v>
      </c>
      <c r="Z74" s="64">
        <f t="shared" si="9"/>
        <v>23.328600000000002</v>
      </c>
      <c r="AA74" s="64">
        <f t="shared" si="10"/>
        <v>23.282900000000001</v>
      </c>
      <c r="AB74" s="61" t="e">
        <f>VLOOKUP(A74,Enforcements!$C$7:$K$18,8,0)</f>
        <v>#N/A</v>
      </c>
      <c r="AC74" s="57" t="e">
        <f>VLOOKUP(A74,Enforcements!$C$7:$E$18,3,0)</f>
        <v>#N/A</v>
      </c>
      <c r="AD74" s="58" t="str">
        <f t="shared" si="11"/>
        <v>0159-08</v>
      </c>
      <c r="AE74" s="87" t="str">
        <f t="shared" si="12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74" s="84" t="str">
        <f t="shared" si="13"/>
        <v>"C:\Program Files (x86)\AstroGrep\AstroGrep.exe" /spath="%USERPROFILE%\AppData\Local\Temp\OnboardLogs" /stypes="app*4020*20170108*"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159-08 --locoid 4020 --swversion DE.1.0.8.0 --startMP 204:457 --initTime 2017-01-08T10:54:47 --startdatetime 2017-01-08T11:00:30 --delay 1 --endMP 204:233286 --enddatetime 2017-01-08T11:36:10 --enforcementcount 0 &gt;&gt;C:\Users\stu\Documents\GitHub\eaglep3-reporting\EC\2017-01-08-refined-times.txt</v>
      </c>
      <c r="AI74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{"issue":{"subject":"","project_id":79,"tracker_id":40,"status_id":1,"priority_id":2,"assigned_to_id":23,"start_date":"2017-01-08","description":"","custom_fields":[{"id":1,"name":"Subdivision","value":"EC"},{"id":4,"name":"Milepost","value":"23.3286"},{"id":17,"name":"Train ID","value":"159-08"},{"id":16,"name":"Locomotive ID","value":"4020"},{"id":130,"name":"Impact","value":""},{"id":150,"name":"Time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4020 --day 2017-01-08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527</v>
      </c>
      <c r="B75" s="7">
        <v>4019</v>
      </c>
      <c r="C75" s="22" t="s">
        <v>203</v>
      </c>
      <c r="D75" s="22" t="s">
        <v>301</v>
      </c>
      <c r="E75" s="13">
        <v>42743.495810185188</v>
      </c>
      <c r="F75" s="13">
        <v>42743.498113425929</v>
      </c>
      <c r="G75" s="7">
        <v>1</v>
      </c>
      <c r="H75" s="22" t="s">
        <v>681</v>
      </c>
      <c r="I75" s="13">
        <v>42743.502002314817</v>
      </c>
      <c r="J75" s="7">
        <v>0</v>
      </c>
      <c r="K75" s="105" t="str">
        <f t="shared" si="0"/>
        <v>4019/4020</v>
      </c>
      <c r="L75" s="22" t="str">
        <f>VLOOKUP(A75,'Trips&amp;Operators'!$C$1:$G$99999,5,FALSE)</f>
        <v>STEWART MICHAEL</v>
      </c>
      <c r="M75" s="6">
        <f t="shared" si="1"/>
        <v>3.8888888884685002E-3</v>
      </c>
      <c r="N75" s="7"/>
      <c r="O75" s="7"/>
      <c r="P75" s="7">
        <f t="shared" si="2"/>
        <v>5.5999999993946403</v>
      </c>
      <c r="Q75" s="23"/>
      <c r="R75" s="23" t="s">
        <v>829</v>
      </c>
      <c r="S75" s="32">
        <f t="shared" si="3"/>
        <v>0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10:53:58-700',mode:absolute,to:'2017-01-08 13:02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5" s="49" t="str">
        <f t="shared" si="6"/>
        <v>Y</v>
      </c>
      <c r="X75" s="173">
        <f t="shared" si="7"/>
        <v>1</v>
      </c>
      <c r="Y75" s="64">
        <f t="shared" si="8"/>
        <v>23.296700000000001</v>
      </c>
      <c r="Z75" s="64">
        <f t="shared" si="9"/>
        <v>19.7895</v>
      </c>
      <c r="AA75" s="64">
        <f t="shared" si="10"/>
        <v>3.507200000000001</v>
      </c>
      <c r="AB75" s="61" t="e">
        <f>VLOOKUP(A75,Enforcements!$C$7:$K$18,8,0)</f>
        <v>#N/A</v>
      </c>
      <c r="AC75" s="57" t="e">
        <f>VLOOKUP(A75,Enforcements!$C$7:$E$18,3,0)</f>
        <v>#N/A</v>
      </c>
      <c r="AD75" s="58" t="str">
        <f t="shared" si="11"/>
        <v>0160-08</v>
      </c>
      <c r="AE75" s="87" t="str">
        <f t="shared" si="12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75" s="84" t="str">
        <f t="shared" si="13"/>
        <v>"C:\Program Files (x86)\AstroGrep\AstroGrep.exe" /spath="%USERPROFILE%\AppData\Local\Temp\OnboardLogs" /stypes="app*4019*20170108*"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160-08 --locoid 4019 --swversion DE.1.0.8.0 --startMP 204:232967 --initTime 2017-01-08T11:53:58 --startdatetime 2017-01-08T11:57:17 --delay 1 --endMP 204:197895 --enddatetime 2017-01-08T12:02:53 --enforcementcount 0 &gt;&gt;C:\Users\stu\Documents\GitHub\eaglep3-reporting\EC\2017-01-08-refined-times.txt</v>
      </c>
      <c r="AI75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61st","project_id":79,"tracker_id":40,"status_id":1,"priority_id":2,"assigned_to_id":23,"start_date":"2017-01-08","description":"","custom_fields":[{"id":1,"name":"Subdivision","value":"EC"},{"id":4,"name":"Milepost","value":"19.7895"},{"id":17,"name":"Train ID","value":"160-08"},{"id":16,"name":"Locomotive ID","value":"4019"},{"id":130,"name":"Impact","value":""},{"id":150,"name":"Time of Event (Mountain Time)","value":"12:02:53"},{"id":151,"name":"Denver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4019 --day 2017-01-08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518</v>
      </c>
      <c r="B76" s="7">
        <v>4009</v>
      </c>
      <c r="C76" s="22" t="s">
        <v>203</v>
      </c>
      <c r="D76" s="22" t="s">
        <v>194</v>
      </c>
      <c r="E76" s="13">
        <v>42743.468865740739</v>
      </c>
      <c r="F76" s="13">
        <v>42743.472488425927</v>
      </c>
      <c r="G76" s="7">
        <v>2</v>
      </c>
      <c r="H76" s="22" t="s">
        <v>682</v>
      </c>
      <c r="I76" s="13">
        <v>42743.493101851855</v>
      </c>
      <c r="J76" s="7">
        <v>0</v>
      </c>
      <c r="K76" s="105" t="str">
        <f t="shared" si="0"/>
        <v>4009/4010</v>
      </c>
      <c r="L76" s="22" t="str">
        <f>VLOOKUP(A76,'Trips&amp;Operators'!$C$1:$G$99999,5,FALSE)</f>
        <v>DAVIS MICHAEL</v>
      </c>
      <c r="M76" s="6">
        <f t="shared" si="1"/>
        <v>2.061342592787696E-2</v>
      </c>
      <c r="N76" s="7"/>
      <c r="O76" s="7"/>
      <c r="P76" s="7">
        <f t="shared" si="2"/>
        <v>29.683333336142823</v>
      </c>
      <c r="Q76" s="23"/>
      <c r="R76" s="23" t="s">
        <v>829</v>
      </c>
      <c r="S76" s="32">
        <f t="shared" si="3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10:15:10-700',mode:absolute,to:'2017-01-08 12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6" s="49" t="str">
        <f t="shared" si="6"/>
        <v>Y</v>
      </c>
      <c r="X76" s="173">
        <f t="shared" si="7"/>
        <v>1</v>
      </c>
      <c r="Y76" s="64">
        <f t="shared" si="8"/>
        <v>4.5100000000000001E-2</v>
      </c>
      <c r="Z76" s="64">
        <f t="shared" si="9"/>
        <v>15.4422</v>
      </c>
      <c r="AA76" s="64">
        <f t="shared" si="10"/>
        <v>15.3971</v>
      </c>
      <c r="AB76" s="61" t="e">
        <f>VLOOKUP(A76,Enforcements!$C$7:$K$18,8,0)</f>
        <v>#N/A</v>
      </c>
      <c r="AC76" s="57" t="e">
        <f>VLOOKUP(A76,Enforcements!$C$7:$E$18,3,0)</f>
        <v>#N/A</v>
      </c>
      <c r="AD76" s="58" t="str">
        <f t="shared" si="11"/>
        <v>0161-08</v>
      </c>
      <c r="AE76" s="87" t="str">
        <f t="shared" si="12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76" s="84" t="str">
        <f t="shared" si="13"/>
        <v>"C:\Program Files (x86)\AstroGrep\AstroGrep.exe" /spath="%USERPROFILE%\AppData\Local\Temp\OnboardLogs" /stypes="app*4009*20170108*" /stext=" 18:.+((SYSTEM_STATE.+slice.+state.+changed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161-08 --locoid 4009 --swversion DE.1.0.8.0 --startMP 204:451 --initTime 2017-01-08T11:15:10 --startdatetime 2017-01-08T11:20:23 --delay 2 --endMP 204:154422 --enddatetime 2017-01-08T11:50:04 --enforcementcount 0 &gt;&gt;C:\Users\stu\Documents\GitHub\eaglep3-reporting\EC\2017-01-08-refined-times.txt</v>
      </c>
      <c r="AI76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61st","project_id":79,"tracker_id":40,"status_id":1,"priority_id":2,"assigned_to_id":23,"start_date":"2017-01-08","description":"","custom_fields":[{"id":1,"name":"Subdivision","value":"EC"},{"id":4,"name":"Milepost","value":"15.4422"},{"id":17,"name":"Train ID","value":"161-08"},{"id":16,"name":"Locomotive ID","value":"4009"},{"id":130,"name":"Impact","value":""},{"id":150,"name":"Time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4009 --day 2017-01-08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521</v>
      </c>
      <c r="B77" s="7">
        <v>4040</v>
      </c>
      <c r="C77" s="22" t="s">
        <v>203</v>
      </c>
      <c r="D77" s="22" t="s">
        <v>683</v>
      </c>
      <c r="E77" s="13">
        <v>42743.475636574076</v>
      </c>
      <c r="F77" s="13">
        <v>42743.479375000003</v>
      </c>
      <c r="G77" s="7">
        <v>1</v>
      </c>
      <c r="H77" s="22" t="s">
        <v>684</v>
      </c>
      <c r="I77" s="13">
        <v>42743.498449074075</v>
      </c>
      <c r="J77" s="7">
        <v>0</v>
      </c>
      <c r="K77" s="105" t="str">
        <f t="shared" si="0"/>
        <v>4039/4040</v>
      </c>
      <c r="L77" s="22" t="str">
        <f>VLOOKUP(A77,'Trips&amp;Operators'!$C$1:$G$99999,5,FALSE)</f>
        <v>LEVIN SCOTT</v>
      </c>
      <c r="M77" s="6">
        <f t="shared" si="1"/>
        <v>1.9074074072705116E-2</v>
      </c>
      <c r="N77" s="7"/>
      <c r="O77" s="7"/>
      <c r="P77" s="7">
        <f t="shared" si="2"/>
        <v>27.466666664695367</v>
      </c>
      <c r="Q77" s="23"/>
      <c r="R77" s="23" t="s">
        <v>829</v>
      </c>
      <c r="S77" s="32">
        <f t="shared" si="3"/>
        <v>1</v>
      </c>
      <c r="T77" s="47" t="str">
        <f t="shared" si="4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10:24:55-700',mode:absolute,to:'2017-01-08 12:57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49" t="str">
        <f t="shared" si="6"/>
        <v>Y</v>
      </c>
      <c r="X77" s="173">
        <f t="shared" si="7"/>
        <v>2</v>
      </c>
      <c r="Y77" s="64">
        <f t="shared" si="8"/>
        <v>4.82E-2</v>
      </c>
      <c r="Z77" s="64">
        <f t="shared" si="9"/>
        <v>15.1821</v>
      </c>
      <c r="AA77" s="64">
        <f t="shared" si="10"/>
        <v>15.133900000000001</v>
      </c>
      <c r="AB77" s="61" t="e">
        <f>VLOOKUP(A77,Enforcements!$C$7:$K$18,8,0)</f>
        <v>#N/A</v>
      </c>
      <c r="AC77" s="57" t="e">
        <f>VLOOKUP(A77,Enforcements!$C$7:$E$18,3,0)</f>
        <v>#N/A</v>
      </c>
      <c r="AD77" s="58" t="str">
        <f t="shared" si="11"/>
        <v>0163-08</v>
      </c>
      <c r="AE77" s="87" t="str">
        <f t="shared" si="12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77" s="84" t="str">
        <f t="shared" si="13"/>
        <v>"C:\Program Files (x86)\AstroGrep\AstroGrep.exe" /spath="%USERPROFILE%\AppData\Local\Temp\OnboardLogs" /stypes="app*4040*20170108*" /stext=" 18:.+((SYSTEM_STATE.+slice.+state.+changed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88" t="str">
        <f t="shared" si="18"/>
        <v>"%USERPROFILE%\Documents\GitHub\eaglep3\Utilities\RefineRTDCRunTimes.py" --tripid 163-08 --locoid 4040 --swversion DE.1.0.8.0 --startMP 204:482 --initTime 2017-01-08T11:24:55 --startdatetime 2017-01-08T11:30:18 --delay 1 --endMP 204:151821 --enddatetime 2017-01-08T11:57:46 --enforcementcount 0 &gt;&gt;C:\Users\stu\Documents\GitHub\eaglep3-reporting\EC\2017-01-08-refined-times.txt</v>
      </c>
      <c r="AI77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61st","project_id":79,"tracker_id":40,"status_id":1,"priority_id":2,"assigned_to_id":23,"start_date":"2017-01-08","description":"","custom_fields":[{"id":1,"name":"Subdivision","value":"EC"},{"id":4,"name":"Milepost","value":"15.1821"},{"id":17,"name":"Train ID","value":"163-08"},{"id":16,"name":"Locomotive ID","value":"4040"},{"id":130,"name":"Impact","value":""},{"id":150,"name":"Time of Event (Mountain Time)","value":"11:57:46"},{"id":151,"name":"Denver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0"/>
        <v>start /low /b %USERPROFILE%\Documents\GitHub\eaglep3\Utilities\DownloadLogsFromS3.py --loco 4040 --day 2017-01-08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525</v>
      </c>
      <c r="B78" s="7">
        <v>4027</v>
      </c>
      <c r="C78" s="22" t="s">
        <v>203</v>
      </c>
      <c r="D78" s="22" t="s">
        <v>685</v>
      </c>
      <c r="E78" s="13">
        <v>42743.485729166663</v>
      </c>
      <c r="F78" s="13">
        <v>42743.489768518521</v>
      </c>
      <c r="G78" s="7">
        <v>2</v>
      </c>
      <c r="H78" s="22" t="s">
        <v>686</v>
      </c>
      <c r="I78" s="13">
        <v>42743.505428240744</v>
      </c>
      <c r="J78" s="7">
        <v>0</v>
      </c>
      <c r="K78" s="105" t="str">
        <f t="shared" si="0"/>
        <v>4027/4028</v>
      </c>
      <c r="L78" s="22" t="str">
        <f>VLOOKUP(A78,'Trips&amp;Operators'!$C$1:$G$99999,5,FALSE)</f>
        <v>BRUDER RICHARD</v>
      </c>
      <c r="M78" s="6">
        <f t="shared" si="1"/>
        <v>1.5659722223063E-2</v>
      </c>
      <c r="N78" s="7"/>
      <c r="O78" s="7"/>
      <c r="P78" s="7">
        <f t="shared" si="2"/>
        <v>22.550000001210719</v>
      </c>
      <c r="Q78" s="23"/>
      <c r="R78" s="23" t="s">
        <v>829</v>
      </c>
      <c r="S78" s="32">
        <f t="shared" si="3"/>
        <v>1</v>
      </c>
      <c r="T78" s="47" t="str">
        <f t="shared" si="4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10:39:27-700',mode:absolute,to:'2017-01-08 13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8" s="49" t="str">
        <f t="shared" si="6"/>
        <v>Y</v>
      </c>
      <c r="X78" s="173">
        <f t="shared" si="7"/>
        <v>2</v>
      </c>
      <c r="Y78" s="64">
        <f t="shared" si="8"/>
        <v>4.9700000000000001E-2</v>
      </c>
      <c r="Z78" s="64">
        <f t="shared" si="9"/>
        <v>12.8268</v>
      </c>
      <c r="AA78" s="64">
        <f t="shared" si="10"/>
        <v>12.777100000000001</v>
      </c>
      <c r="AB78" s="61" t="e">
        <f>VLOOKUP(A78,Enforcements!$C$7:$K$18,8,0)</f>
        <v>#N/A</v>
      </c>
      <c r="AC78" s="57" t="e">
        <f>VLOOKUP(A78,Enforcements!$C$7:$E$18,3,0)</f>
        <v>#N/A</v>
      </c>
      <c r="AD78" s="58" t="str">
        <f t="shared" si="11"/>
        <v>0165-08</v>
      </c>
      <c r="AE78" s="87" t="str">
        <f t="shared" si="12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78" s="84" t="str">
        <f t="shared" si="13"/>
        <v>"C:\Program Files (x86)\AstroGrep\AstroGrep.exe" /spath="%USERPROFILE%\AppData\Local\Temp\OnboardLogs" /stypes="app*4027*20170108*" /stext=" 19:.+((SYSTEM_STATE.+slice.+state.+changed )|(ment ac)|(multiple cpu faults)|(system.+state.+changed )|(\[timeout)|(PRM\|1\|D)|(kpr)|(kdp)|(\|lc)|(penalty))" /e /r /s</v>
      </c>
      <c r="AG78" s="1" t="str">
        <f t="shared" si="14"/>
        <v>EC</v>
      </c>
      <c r="AH78" s="88" t="str">
        <f t="shared" si="18"/>
        <v>"%USERPROFILE%\Documents\GitHub\eaglep3\Utilities\RefineRTDCRunTimes.py" --tripid 165-08 --locoid 4027 --swversion DE.1.0.8.0 --startMP 204:497 --initTime 2017-01-08T11:39:27 --startdatetime 2017-01-08T11:45:16 --delay 2 --endMP 204:128268 --enddatetime 2017-01-08T12:07:49 --enforcementcount 0 &gt;&gt;C:\Users\stu\Documents\GitHub\eaglep3-reporting\EC\2017-01-08-refined-times.txt</v>
      </c>
      <c r="AI78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61st","project_id":79,"tracker_id":40,"status_id":1,"priority_id":2,"assigned_to_id":23,"start_date":"2017-01-08","description":"","custom_fields":[{"id":1,"name":"Subdivision","value":"EC"},{"id":4,"name":"Milepost","value":"12.8268"},{"id":17,"name":"Train ID","value":"165-08"},{"id":16,"name":"Locomotive ID","value":"4027"},{"id":130,"name":"Impact","value":""},{"id":150,"name":"Time of Event (Mountain Time)","value":"12:07:49"},{"id":151,"name":"Denver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20"/>
        <v>start /low /b %USERPROFILE%\Documents\GitHub\eaglep3\Utilities\DownloadLogsFromS3.py --loco 4027 --day 2017-01-08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534</v>
      </c>
      <c r="B79" s="7">
        <v>4039</v>
      </c>
      <c r="C79" s="22" t="s">
        <v>203</v>
      </c>
      <c r="D79" s="22" t="s">
        <v>687</v>
      </c>
      <c r="E79" s="13">
        <v>42743.534918981481</v>
      </c>
      <c r="F79" s="13">
        <v>42743.537083333336</v>
      </c>
      <c r="G79" s="7">
        <v>1</v>
      </c>
      <c r="H79" s="22" t="s">
        <v>192</v>
      </c>
      <c r="I79" s="13">
        <v>42743.566388888888</v>
      </c>
      <c r="J79" s="7">
        <v>0</v>
      </c>
      <c r="K79" s="105" t="str">
        <f t="shared" si="0"/>
        <v>4039/4040</v>
      </c>
      <c r="L79" s="22" t="str">
        <f>VLOOKUP(A79,'Trips&amp;Operators'!$C$1:$G$99999,5,FALSE)</f>
        <v>LEVIN SCOTT</v>
      </c>
      <c r="M79" s="6">
        <f t="shared" si="1"/>
        <v>2.9305555552127771E-2</v>
      </c>
      <c r="N79" s="7">
        <f t="shared" si="2"/>
        <v>42.19999999506399</v>
      </c>
      <c r="O79" s="7"/>
      <c r="P79" s="7"/>
      <c r="Q79" s="23"/>
      <c r="R79" s="23"/>
      <c r="S79" s="32">
        <f t="shared" si="3"/>
        <v>1</v>
      </c>
      <c r="T79" s="47" t="str">
        <f t="shared" si="4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https://search-rtdc-monitor-bjffxe2xuh6vdkpspy63sjmuny.us-east-1.es.amazonaws.com/_plugin/kibana/#/discover/Steve-Slow-Train-Analysis-(2080s-and-2083s)?_g=(refreshInterval:(display:Off,section:0,value:0),time:(from:'2017-01-08 11:50:17-700',mode:absolute,to:'2017-01-08 14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9" s="49" t="str">
        <f t="shared" si="6"/>
        <v>N</v>
      </c>
      <c r="X79" s="173">
        <f t="shared" si="7"/>
        <v>1</v>
      </c>
      <c r="Y79" s="64">
        <f t="shared" si="8"/>
        <v>23.263400000000001</v>
      </c>
      <c r="Z79" s="64">
        <f t="shared" si="9"/>
        <v>1.43E-2</v>
      </c>
      <c r="AA79" s="64">
        <f t="shared" si="10"/>
        <v>23.249100000000002</v>
      </c>
      <c r="AB79" s="61" t="e">
        <f>VLOOKUP(A79,Enforcements!$C$7:$K$18,8,0)</f>
        <v>#N/A</v>
      </c>
      <c r="AC79" s="57" t="e">
        <f>VLOOKUP(A79,Enforcements!$C$7:$E$18,3,0)</f>
        <v>#N/A</v>
      </c>
      <c r="AD79" s="58" t="str">
        <f t="shared" si="11"/>
        <v>0166-08</v>
      </c>
      <c r="AE79" s="87" t="str">
        <f t="shared" si="12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79" s="84" t="str">
        <f t="shared" si="13"/>
        <v>"C:\Program Files (x86)\AstroGrep\AstroGrep.exe" /spath="%USERPROFILE%\AppData\Local\Temp\OnboardLogs" /stypes="app*4039*20170108*" /stext=" 20:.+((SYSTEM_STATE.+slice.+state.+changed )|(ment ac)|(multiple cpu faults)|(system.+state.+changed )|(\[timeout)|(PRM\|1\|D)|(kpr)|(kdp)|(\|lc)|(penalty))" /e /r /s</v>
      </c>
      <c r="AG79" s="1" t="str">
        <f t="shared" si="14"/>
        <v>EC</v>
      </c>
      <c r="AH79" s="88" t="str">
        <f t="shared" si="18"/>
        <v>"%USERPROFILE%\Documents\GitHub\eaglep3\Utilities\RefineRTDCRunTimes.py" --tripid 166-08 --locoid 4039 --swversion DE.1.0.8.0 --startMP 204:232634 --initTime 2017-01-08T12:50:17 --startdatetime 2017-01-08T12:53:24 --delay 1 --endMP 204:143 --enddatetime 2017-01-08T13:35:36 --enforcementcount 0 &gt;&gt;C:\Users\stu\Documents\GitHub\eaglep3-reporting\EC\2017-01-08-refined-times.txt</v>
      </c>
      <c r="AI79" s="115" t="str">
        <f t="shared" si="19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ID","value":"166-08"},{"id":16,"name":"Locomotive ID","value":"4039"},{"id":130,"name":"Impact","value":""},{"id":150,"name":"Time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20"/>
        <v>start /low /b %USERPROFILE%\Documents\GitHub\eaglep3\Utilities\DownloadLogsFromS3.py --loco 4039 --day 2017-01-08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526</v>
      </c>
      <c r="B80" s="7">
        <v>4022</v>
      </c>
      <c r="C80" s="22" t="s">
        <v>203</v>
      </c>
      <c r="D80" s="22" t="s">
        <v>392</v>
      </c>
      <c r="E80" s="13">
        <v>42743.495636574073</v>
      </c>
      <c r="F80" s="13">
        <v>42743.5003125</v>
      </c>
      <c r="G80" s="7">
        <v>2</v>
      </c>
      <c r="H80" s="22" t="s">
        <v>688</v>
      </c>
      <c r="I80" s="13">
        <v>42743.515613425923</v>
      </c>
      <c r="J80" s="7">
        <v>0</v>
      </c>
      <c r="K80" s="105" t="str">
        <f t="shared" ref="K80:K143" si="85">IF(ISEVEN(B80),(B80-1)&amp;"/"&amp;B80,B80&amp;"/"&amp;(B80+1))</f>
        <v>4021/4022</v>
      </c>
      <c r="L80" s="22" t="str">
        <f>VLOOKUP(A80,'Trips&amp;Operators'!$C$1:$G$99999,5,FALSE)</f>
        <v>CRAYTON QUNTRELL</v>
      </c>
      <c r="M80" s="6">
        <f t="shared" ref="M80:M143" si="86">I80-F80</f>
        <v>1.5300925922929309E-2</v>
      </c>
      <c r="N80" s="7"/>
      <c r="O80" s="7"/>
      <c r="P80" s="7">
        <f t="shared" ref="N80:P143" si="87">24*60*SUM($M80:$M80)</f>
        <v>22.033333329018205</v>
      </c>
      <c r="Q80" s="23"/>
      <c r="R80" s="23" t="s">
        <v>829</v>
      </c>
      <c r="S80" s="32">
        <f t="shared" ref="S80:S143" si="88">SUM(U80:U80)/IF(AG80="EC",12,1)</f>
        <v>1</v>
      </c>
      <c r="T80" s="47" t="str">
        <f t="shared" ref="T80:T143" si="89">IF(ISEVEN(LEFT(AD80,4)),"Southbound","NorthBound")</f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ref="V80:V143" si="90"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https://search-rtdc-monitor-bjffxe2xuh6vdkpspy63sjmuny.us-east-1.es.amazonaws.com/_plugin/kibana/#/discover/Steve-Slow-Train-Analysis-(2080s-and-2083s)?_g=(refreshInterval:(display:Off,section:0,value:0),time:(from:'2017-01-08 10:53:43-700',mode:absolute,to:'2017-01-08 13:22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0" s="49" t="str">
        <f t="shared" ref="W80:W143" si="91">IF(AA80&lt;IF(AG80="EC",23,5.65),"Y","N")</f>
        <v>Y</v>
      </c>
      <c r="X80" s="173">
        <f t="shared" ref="X80:X143" si="92">VALUE(LEFT(AD80,4))-VALUE(LEFT(AD79,4))</f>
        <v>1</v>
      </c>
      <c r="Y80" s="64">
        <f t="shared" ref="Y80:Y143" si="93">RIGHT(D80,LEN(D80)-4)/10000</f>
        <v>4.3299999999999998E-2</v>
      </c>
      <c r="Z80" s="64">
        <f t="shared" ref="Z80:Z143" si="94">RIGHT(H80,LEN(H80)-4)/10000</f>
        <v>12.320399999999999</v>
      </c>
      <c r="AA80" s="64">
        <f t="shared" ref="AA80:AA143" si="95">ABS(Z80-Y80)</f>
        <v>12.277099999999999</v>
      </c>
      <c r="AB80" s="61" t="e">
        <f>VLOOKUP(A80,Enforcements!$C$7:$K$18,8,0)</f>
        <v>#N/A</v>
      </c>
      <c r="AC80" s="57" t="e">
        <f>VLOOKUP(A80,Enforcements!$C$7:$E$18,3,0)</f>
        <v>#N/A</v>
      </c>
      <c r="AD80" s="58" t="str">
        <f t="shared" ref="AD80:AD143" si="96">IF(LEN(A80)=6,"0"&amp;A80,A80)</f>
        <v>0167-08</v>
      </c>
      <c r="AE80" s="87" t="str">
        <f t="shared" ref="AE80:AE143" si="97"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80" s="84" t="str">
        <f t="shared" ref="AF80:AF143" si="98"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/stypes="app*4022*20170108*" /stext=" 19:.+((SYSTEM_STATE.+slice.+state.+changed )|(ment ac)|(multiple cpu faults)|(system.+state.+changed )|(\[timeout)|(PRM\|1\|D)|(kpr)|(kdp)|(\|lc)|(penalty))" /e /r /s</v>
      </c>
      <c r="AG80" s="1" t="str">
        <f t="shared" ref="AG80:AG143" si="99">IFERROR(IF(VALUE(LEFT(AD80,2))&lt;=2,"EC",IF(OR(VALUE(LEFT(AD80,2))=8,VALUE(LEFT(AD80,2))=18),"NW","Other")),"Other")</f>
        <v>EC</v>
      </c>
      <c r="AH80" s="88" t="str">
        <f t="shared" si="18"/>
        <v>"%USERPROFILE%\Documents\GitHub\eaglep3\Utilities\RefineRTDCRunTimes.py" --tripid 167-08 --locoid 4022 --swversion DE.1.0.8.0 --startMP 204:433 --initTime 2017-01-08T11:53:43 --startdatetime 2017-01-08T12:00:27 --delay 2 --endMP 204:123204 --enddatetime 2017-01-08T12:22:29 --enforcementcount 0 &gt;&gt;C:\Users\stu\Documents\GitHub\eaglep3-reporting\EC\2017-01-08-refined-times.txt</v>
      </c>
      <c r="AI80" s="115" t="str">
        <f t="shared" si="19"/>
        <v>echo {"issue":{"subject":"False occupancy at CP 61st","project_id":79,"tracker_id":40,"status_id":1,"priority_id":2,"assigned_to_id":23,"start_date":"2017-01-08","description":"","custom_fields":[{"id":1,"name":"Subdivision","value":"EC"},{"id":4,"name":"Milepost","value":"12.3204"},{"id":17,"name":"Train ID","value":"167-08"},{"id":16,"name":"Locomotive ID","value":"4022"},{"id":130,"name":"Impact","value":""},{"id":150,"name":"Time of Event (Mountain Time)","value":"12:22:29"},{"id":151,"name":"Denver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20"/>
        <v>start /low /b %USERPROFILE%\Documents\GitHub\eaglep3\Utilities\DownloadLogsFromS3.py --loco 4022 --day 2017-01-08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419</v>
      </c>
      <c r="B81" s="7">
        <v>4010</v>
      </c>
      <c r="C81" s="22" t="s">
        <v>203</v>
      </c>
      <c r="D81" s="22" t="s">
        <v>389</v>
      </c>
      <c r="E81" s="13">
        <v>42743.543171296296</v>
      </c>
      <c r="F81" s="13">
        <v>42743.633333333331</v>
      </c>
      <c r="G81" s="7">
        <v>1</v>
      </c>
      <c r="H81" s="22" t="s">
        <v>689</v>
      </c>
      <c r="I81" s="13">
        <v>42743.664976851855</v>
      </c>
      <c r="J81" s="7">
        <v>0</v>
      </c>
      <c r="K81" s="105" t="str">
        <f t="shared" si="85"/>
        <v>4009/4010</v>
      </c>
      <c r="L81" s="22" t="str">
        <f>VLOOKUP(A81,'Trips&amp;Operators'!$C$1:$G$99999,5,FALSE)</f>
        <v>DAVIS MICHAEL</v>
      </c>
      <c r="M81" s="6">
        <f t="shared" si="86"/>
        <v>3.164351852319669E-2</v>
      </c>
      <c r="N81" s="7">
        <f t="shared" si="87"/>
        <v>45.566666673403233</v>
      </c>
      <c r="O81" s="7"/>
      <c r="P81" s="7"/>
      <c r="Q81" s="23"/>
      <c r="R81" s="23"/>
      <c r="S81" s="32">
        <f t="shared" si="88"/>
        <v>1</v>
      </c>
      <c r="T81" s="47" t="str">
        <f t="shared" si="89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1" s="49" t="str">
        <f t="shared" si="91"/>
        <v>N</v>
      </c>
      <c r="X81" s="173">
        <f t="shared" si="92"/>
        <v>1</v>
      </c>
      <c r="Y81" s="64">
        <f t="shared" si="93"/>
        <v>23.297899999999998</v>
      </c>
      <c r="Z81" s="64">
        <f t="shared" si="94"/>
        <v>9.8199999999999996E-2</v>
      </c>
      <c r="AA81" s="64">
        <f t="shared" si="95"/>
        <v>23.1997</v>
      </c>
      <c r="AB81" s="61" t="str">
        <f>VLOOKUP(A81,Enforcements!$C$7:$K$18,8,0)</f>
        <v>Bulletin (2)</v>
      </c>
      <c r="AC81" s="57" t="str">
        <f>VLOOKUP(A81,Enforcements!$C$7:$E$18,3,0)</f>
        <v>GRADE CROSSING</v>
      </c>
      <c r="AD81" s="58" t="str">
        <f t="shared" si="96"/>
        <v>0168-08</v>
      </c>
      <c r="AE81" s="87" t="str">
        <f t="shared" si="97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81" s="84" t="str">
        <f t="shared" si="98"/>
        <v>"C:\Program Files (x86)\AstroGrep\AstroGrep.exe" /spath="%USERPROFILE%\AppData\Local\Temp\OnboardLogs" /stypes="app*4010*20170108*" /stext=" 22:.+((SYSTEM_STATE.+slice.+state.+changed )|(ment ac)|(multiple cpu faults)|(system.+state.+changed )|(\[timeout)|(PRM\|1\|D)|(kpr)|(kdp)|(\|lc)|(penalty))" /e /r /s</v>
      </c>
      <c r="AG81" s="1" t="str">
        <f t="shared" si="99"/>
        <v>EC</v>
      </c>
      <c r="AH81" s="88" t="str">
        <f t="shared" ref="AH81:AH144" si="100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168-08 --locoid 4010 --swversion DE.1.0.8.0 --startMP 204:232979 --initTime 2017-01-08T13:02:10 --startdatetime 2017-01-08T15:12:00 --delay 1 --endMP 204:982 --enddatetime 2017-01-08T15:57:34 --enforcementcount 0 &gt;&gt;C:\Users\stu\Documents\GitHub\eaglep3-reporting\EC\2017-01-08-refined-times.txt</v>
      </c>
      <c r="AI81" s="115" t="str">
        <f t="shared" ref="AI81:AI144" si="101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{"issue":{"subject":"","project_id":79,"tracker_id":40,"status_id":1,"priority_id":2,"assigned_to_id":23,"start_date":"2017-01-08","description":"","custom_fields":[{"id":1,"name":"Subdivision","value":"EC"},{"id":4,"name":"Milepost","value":"0.0982"},{"id":17,"name":"Train ID","value":"168-08"},{"id":16,"name":"Locomotive ID","value":"4010"},{"id":130,"name":"Impact","value":""},{"id":150,"name":"Time of Event (Mountain Time)","value":"15:57:34"},{"id":151,"name":"Denver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ref="AM81:AM144" si="102">"start /low /b "&amp;dls3logs&amp;" --loco "&amp;B81&amp;" --day "&amp;TEXT(F81,"YYYY-MM-DD")</f>
        <v>start /low /b %USERPROFILE%\Documents\GitHub\eaglep3\Utilities\DownloadLogsFromS3.py --loco 4010 --day 2017-01-08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417</v>
      </c>
      <c r="B82" s="7">
        <v>4025</v>
      </c>
      <c r="C82" s="22" t="s">
        <v>203</v>
      </c>
      <c r="D82" s="22" t="s">
        <v>224</v>
      </c>
      <c r="E82" s="13">
        <v>42743.507708333331</v>
      </c>
      <c r="F82" s="13">
        <v>42743.510636574072</v>
      </c>
      <c r="G82" s="7">
        <v>1</v>
      </c>
      <c r="H82" s="22" t="s">
        <v>359</v>
      </c>
      <c r="I82" s="13">
        <v>42743.552152777775</v>
      </c>
      <c r="J82" s="7">
        <v>0</v>
      </c>
      <c r="K82" s="105" t="str">
        <f t="shared" si="85"/>
        <v>4025/4026</v>
      </c>
      <c r="L82" s="22" t="str">
        <f>VLOOKUP(A82,'Trips&amp;Operators'!$C$1:$G$99999,5,FALSE)</f>
        <v>ROMERO CHAD</v>
      </c>
      <c r="M82" s="6">
        <f t="shared" si="86"/>
        <v>4.1516203702485655E-2</v>
      </c>
      <c r="N82" s="7">
        <f t="shared" si="87"/>
        <v>59.783333331579342</v>
      </c>
      <c r="O82" s="7"/>
      <c r="P82" s="7"/>
      <c r="Q82" s="23"/>
      <c r="R82" s="23"/>
      <c r="S82" s="32">
        <f t="shared" si="88"/>
        <v>1</v>
      </c>
      <c r="T82" s="47" t="str">
        <f t="shared" si="89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11:11:06-700',mode:absolute,to:'2017-01-08 14:15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2" s="49" t="str">
        <f t="shared" si="91"/>
        <v>N</v>
      </c>
      <c r="X82" s="173">
        <f t="shared" si="92"/>
        <v>1</v>
      </c>
      <c r="Y82" s="64">
        <f t="shared" si="93"/>
        <v>4.5499999999999999E-2</v>
      </c>
      <c r="Z82" s="64">
        <f t="shared" si="94"/>
        <v>23.300599999999999</v>
      </c>
      <c r="AA82" s="64">
        <f t="shared" si="95"/>
        <v>23.255099999999999</v>
      </c>
      <c r="AB82" s="61" t="str">
        <f>VLOOKUP(A82,Enforcements!$C$7:$K$18,8,0)</f>
        <v>Signal based authority (5)</v>
      </c>
      <c r="AC82" s="57" t="str">
        <f>VLOOKUP(A82,Enforcements!$C$7:$E$18,3,0)</f>
        <v>SIGNAL</v>
      </c>
      <c r="AD82" s="58" t="str">
        <f t="shared" si="96"/>
        <v>0169-08</v>
      </c>
      <c r="AE82" s="87" t="str">
        <f t="shared" si="97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82" s="84" t="str">
        <f t="shared" si="98"/>
        <v>"C:\Program Files (x86)\AstroGrep\AstroGrep.exe" /spath="%USERPROFILE%\AppData\Local\Temp\OnboardLogs" /stypes="app*4025*20170108*" /stext=" 20:.+((SYSTEM_STATE.+slice.+state.+changed )|(ment ac)|(multiple cpu faults)|(system.+state.+changed )|(\[timeout)|(PRM\|1\|D)|(kpr)|(kdp)|(\|lc)|(penalty))" /e /r /s</v>
      </c>
      <c r="AG82" s="1" t="str">
        <f t="shared" si="99"/>
        <v>EC</v>
      </c>
      <c r="AH82" s="88" t="str">
        <f t="shared" si="100"/>
        <v>"%USERPROFILE%\Documents\GitHub\eaglep3\Utilities\RefineRTDCRunTimes.py" --tripid 169-08 --locoid 4025 --swversion DE.1.0.8.0 --startMP 204:455 --initTime 2017-01-08T12:11:06 --startdatetime 2017-01-08T12:15:19 --delay 1 --endMP 204:233006 --enddatetime 2017-01-08T13:15:06 --enforcementcount 0 &gt;&gt;C:\Users\stu\Documents\GitHub\eaglep3-reporting\EC\2017-01-08-refined-times.txt</v>
      </c>
      <c r="AI82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{"issue":{"subject":"","project_id":79,"tracker_id":40,"status_id":1,"priority_id":2,"assigned_to_id":23,"start_date":"2017-01-08","description":"","custom_fields":[{"id":1,"name":"Subdivision","value":"EC"},{"id":4,"name":"Milepost","value":"23.3006"},{"id":17,"name":"Train ID","value":"169-08"},{"id":16,"name":"Locomotive ID","value":"4025"},{"id":130,"name":"Impact","value":""},{"id":150,"name":"Time of Event (Mountain Time)","value":"13:15:06"},{"id":151,"name":"Denver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102"/>
        <v>start /low /b %USERPROFILE%\Documents\GitHub\eaglep3\Utilities\DownloadLogsFromS3.py --loco 4025 --day 2017-01-08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537</v>
      </c>
      <c r="B83" s="7">
        <v>4028</v>
      </c>
      <c r="C83" s="22" t="s">
        <v>203</v>
      </c>
      <c r="D83" s="22" t="s">
        <v>690</v>
      </c>
      <c r="E83" s="13">
        <v>42743.546481481484</v>
      </c>
      <c r="F83" s="13">
        <v>42743.552546296298</v>
      </c>
      <c r="G83" s="7">
        <v>2</v>
      </c>
      <c r="H83" s="22" t="s">
        <v>691</v>
      </c>
      <c r="I83" s="13">
        <v>42743.595891203702</v>
      </c>
      <c r="J83" s="7">
        <v>0</v>
      </c>
      <c r="K83" s="105" t="str">
        <f t="shared" si="85"/>
        <v>4027/4028</v>
      </c>
      <c r="L83" s="22" t="str">
        <f>VLOOKUP(A83,'Trips&amp;Operators'!$C$1:$G$99999,5,FALSE)</f>
        <v>BRUDER RICHARD</v>
      </c>
      <c r="M83" s="6">
        <f t="shared" si="86"/>
        <v>4.3344907404389232E-2</v>
      </c>
      <c r="N83" s="7">
        <f t="shared" si="87"/>
        <v>62.416666662320495</v>
      </c>
      <c r="O83" s="7"/>
      <c r="P83" s="7"/>
      <c r="Q83" s="23"/>
      <c r="R83" s="23"/>
      <c r="S83" s="32">
        <f t="shared" si="88"/>
        <v>1</v>
      </c>
      <c r="T83" s="47" t="str">
        <f t="shared" si="89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12:06:56-700',mode:absolute,to:'2017-01-08 15:18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3" s="49" t="str">
        <f t="shared" si="91"/>
        <v>N</v>
      </c>
      <c r="X83" s="173">
        <f t="shared" si="92"/>
        <v>1</v>
      </c>
      <c r="Y83" s="64">
        <f t="shared" si="93"/>
        <v>23.264399999999998</v>
      </c>
      <c r="Z83" s="64">
        <f t="shared" si="94"/>
        <v>1.6299999999999999E-2</v>
      </c>
      <c r="AA83" s="64">
        <f t="shared" si="95"/>
        <v>23.248099999999997</v>
      </c>
      <c r="AB83" s="61" t="e">
        <f>VLOOKUP(A83,Enforcements!$C$7:$K$18,8,0)</f>
        <v>#N/A</v>
      </c>
      <c r="AC83" s="57" t="e">
        <f>VLOOKUP(A83,Enforcements!$C$7:$E$18,3,0)</f>
        <v>#N/A</v>
      </c>
      <c r="AD83" s="58" t="str">
        <f t="shared" si="96"/>
        <v>0170-08</v>
      </c>
      <c r="AE83" s="87" t="str">
        <f t="shared" si="97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83" s="84" t="str">
        <f t="shared" si="98"/>
        <v>"C:\Program Files (x86)\AstroGrep\AstroGrep.exe" /spath="%USERPROFILE%\AppData\Local\Temp\OnboardLogs" /stypes="app*4028*20170108*" /stext=" 21:.+((SYSTEM_STATE.+slice.+state.+changed )|(ment ac)|(multiple cpu faults)|(system.+state.+changed )|(\[timeout)|(PRM\|1\|D)|(kpr)|(kdp)|(\|lc)|(penalty))" /e /r /s</v>
      </c>
      <c r="AG83" s="1" t="str">
        <f t="shared" si="99"/>
        <v>EC</v>
      </c>
      <c r="AH83" s="88" t="str">
        <f t="shared" si="100"/>
        <v>"%USERPROFILE%\Documents\GitHub\eaglep3\Utilities\RefineRTDCRunTimes.py" --tripid 170-08 --locoid 4028 --swversion DE.1.0.8.0 --startMP 204:232644 --initTime 2017-01-08T13:06:56 --startdatetime 2017-01-08T13:15:40 --delay 2 --endMP 204:163 --enddatetime 2017-01-08T14:18:05 --enforcementcount 0 &gt;&gt;C:\Users\stu\Documents\GitHub\eaglep3-reporting\EC\2017-01-08-refined-times.txt</v>
      </c>
      <c r="AI83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{"issue":{"subject":"","project_id":79,"tracker_id":40,"status_id":1,"priority_id":2,"assigned_to_id":23,"start_date":"2017-01-08","description":"","custom_fields":[{"id":1,"name":"Subdivision","value":"EC"},{"id":4,"name":"Milepost","value":"0.0163"},{"id":17,"name":"Train ID","value":"170-08"},{"id":16,"name":"Locomotive ID","value":"4028"},{"id":130,"name":"Impact","value":""},{"id":150,"name":"Time of Event (Mountain Time)","value":"14:18:05"},{"id":151,"name":"Denver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102"/>
        <v>start /low /b %USERPROFILE%\Documents\GitHub\eaglep3\Utilities\DownloadLogsFromS3.py --loco 4028 --day 2017-01-08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418</v>
      </c>
      <c r="B84" s="7">
        <v>4014</v>
      </c>
      <c r="C84" s="22" t="s">
        <v>203</v>
      </c>
      <c r="D84" s="22" t="s">
        <v>692</v>
      </c>
      <c r="E84" s="13">
        <v>42743.517222222225</v>
      </c>
      <c r="F84" s="13">
        <v>42743.521122685182</v>
      </c>
      <c r="G84" s="7">
        <v>1</v>
      </c>
      <c r="H84" s="22" t="s">
        <v>355</v>
      </c>
      <c r="I84" s="13">
        <v>42743.556192129632</v>
      </c>
      <c r="J84" s="7">
        <v>0</v>
      </c>
      <c r="K84" s="105" t="str">
        <f t="shared" si="85"/>
        <v>4013/4014</v>
      </c>
      <c r="L84" s="22" t="str">
        <f>VLOOKUP(A84,'Trips&amp;Operators'!$C$1:$G$99999,5,FALSE)</f>
        <v>KILLION DAVID</v>
      </c>
      <c r="M84" s="6">
        <f t="shared" si="86"/>
        <v>3.5069444449618459E-2</v>
      </c>
      <c r="N84" s="7">
        <f t="shared" si="87"/>
        <v>50.500000007450581</v>
      </c>
      <c r="O84" s="7"/>
      <c r="P84" s="7"/>
      <c r="Q84" s="23"/>
      <c r="R84" s="23"/>
      <c r="S84" s="32">
        <f t="shared" si="88"/>
        <v>1</v>
      </c>
      <c r="T84" s="47" t="str">
        <f t="shared" si="89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11:24:48-700',mode:absolute,to:'2017-01-08 14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4" s="49" t="str">
        <f t="shared" si="91"/>
        <v>N</v>
      </c>
      <c r="X84" s="173">
        <f t="shared" si="92"/>
        <v>1</v>
      </c>
      <c r="Y84" s="64">
        <f t="shared" si="93"/>
        <v>4.9099999999999998E-2</v>
      </c>
      <c r="Z84" s="64">
        <f t="shared" si="94"/>
        <v>23.329899999999999</v>
      </c>
      <c r="AA84" s="64">
        <f t="shared" si="95"/>
        <v>23.280799999999999</v>
      </c>
      <c r="AB84" s="61" t="e">
        <f>VLOOKUP(A84,Enforcements!$C$7:$K$18,8,0)</f>
        <v>#N/A</v>
      </c>
      <c r="AC84" s="57" t="e">
        <f>VLOOKUP(A84,Enforcements!$C$7:$E$18,3,0)</f>
        <v>#N/A</v>
      </c>
      <c r="AD84" s="58" t="str">
        <f t="shared" si="96"/>
        <v>0171-08</v>
      </c>
      <c r="AE84" s="87" t="str">
        <f t="shared" si="97"/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AF84" s="84" t="str">
        <f t="shared" si="98"/>
        <v>"C:\Program Files (x86)\AstroGrep\AstroGrep.exe" /spath="%USERPROFILE%\AppData\Local\Temp\OnboardLogs" /stypes="app*4014*20170108*" /stext=" 20:.+((SYSTEM_STATE.+slice.+state.+changed )|(ment ac)|(multiple cpu faults)|(system.+state.+changed )|(\[timeout)|(PRM\|1\|D)|(kpr)|(kdp)|(\|lc)|(penalty))" /e /r /s</v>
      </c>
      <c r="AG84" s="1" t="str">
        <f t="shared" si="99"/>
        <v>EC</v>
      </c>
      <c r="AH84" s="88" t="str">
        <f t="shared" si="100"/>
        <v>"%USERPROFILE%\Documents\GitHub\eaglep3\Utilities\RefineRTDCRunTimes.py" --tripid 171-08 --locoid 4014 --swversion DE.1.0.8.0 --startMP 204:491 --initTime 2017-01-08T12:24:48 --startdatetime 2017-01-08T12:30:25 --delay 1 --endMP 204:233299 --enddatetime 2017-01-08T13:20:55 --enforcementcount 0 &gt;&gt;C:\Users\stu\Documents\GitHub\eaglep3-reporting\EC\2017-01-08-refined-times.txt</v>
      </c>
      <c r="AI84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{"issue":{"subject":"","project_id":79,"tracker_id":40,"status_id":1,"priority_id":2,"assigned_to_id":23,"start_date":"2017-01-08","description":"","custom_fields":[{"id":1,"name":"Subdivision","value":"EC"},{"id":4,"name":"Milepost","value":"23.3299"},{"id":17,"name":"Train ID","value":"171-08"},{"id":16,"name":"Locomotive ID","value":"4014"},{"id":130,"name":"Impact","value":""},{"id":150,"name":"Time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102"/>
        <v>start /low /b %USERPROFILE%\Documents\GitHub\eaglep3\Utilities\DownloadLogsFromS3.py --loco 4014 --day 2017-01-08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539</v>
      </c>
      <c r="B85" s="7">
        <v>4026</v>
      </c>
      <c r="C85" s="22" t="s">
        <v>203</v>
      </c>
      <c r="D85" s="22" t="s">
        <v>693</v>
      </c>
      <c r="E85" s="13">
        <v>42743.558541666665</v>
      </c>
      <c r="F85" s="13">
        <v>42743.560173611113</v>
      </c>
      <c r="G85" s="7">
        <v>1</v>
      </c>
      <c r="H85" s="22" t="s">
        <v>694</v>
      </c>
      <c r="I85" s="13">
        <v>42743.604050925926</v>
      </c>
      <c r="J85" s="7">
        <v>0</v>
      </c>
      <c r="K85" s="105" t="str">
        <f t="shared" si="85"/>
        <v>4025/4026</v>
      </c>
      <c r="L85" s="22" t="str">
        <f>VLOOKUP(A85,'Trips&amp;Operators'!$C$1:$G$99999,5,FALSE)</f>
        <v>ROMERO CHAD</v>
      </c>
      <c r="M85" s="6">
        <f t="shared" si="86"/>
        <v>4.3877314812561963E-2</v>
      </c>
      <c r="N85" s="7">
        <f t="shared" si="87"/>
        <v>63.183333330089226</v>
      </c>
      <c r="O85" s="7"/>
      <c r="P85" s="7"/>
      <c r="Q85" s="23"/>
      <c r="R85" s="23"/>
      <c r="S85" s="32">
        <f t="shared" si="88"/>
        <v>1</v>
      </c>
      <c r="T85" s="47" t="str">
        <f t="shared" si="89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12:24:18-700',mode:absolute,to:'2017-01-08 15:29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5" s="49" t="str">
        <f t="shared" si="91"/>
        <v>N</v>
      </c>
      <c r="X85" s="173">
        <f t="shared" si="92"/>
        <v>1</v>
      </c>
      <c r="Y85" s="64">
        <f t="shared" si="93"/>
        <v>23.268999999999998</v>
      </c>
      <c r="Z85" s="64">
        <f t="shared" si="94"/>
        <v>7.0000000000000001E-3</v>
      </c>
      <c r="AA85" s="64">
        <f t="shared" si="95"/>
        <v>23.261999999999997</v>
      </c>
      <c r="AB85" s="61" t="e">
        <f>VLOOKUP(A85,Enforcements!$C$7:$K$18,8,0)</f>
        <v>#N/A</v>
      </c>
      <c r="AC85" s="57" t="e">
        <f>VLOOKUP(A85,Enforcements!$C$7:$E$18,3,0)</f>
        <v>#N/A</v>
      </c>
      <c r="AD85" s="58" t="str">
        <f t="shared" si="96"/>
        <v>0172-08</v>
      </c>
      <c r="AE85" s="87" t="str">
        <f t="shared" si="97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85" s="84" t="str">
        <f t="shared" si="98"/>
        <v>"C:\Program Files (x86)\AstroGrep\AstroGrep.exe" /spath="%USERPROFILE%\AppData\Local\Temp\OnboardLogs" /stypes="app*4026*20170108*" /stext=" 21:.+((SYSTEM_STATE.+slice.+state.+changed )|(ment ac)|(multiple cpu faults)|(system.+state.+changed )|(\[timeout)|(PRM\|1\|D)|(kpr)|(kdp)|(\|lc)|(penalty))" /e /r /s</v>
      </c>
      <c r="AG85" s="1" t="str">
        <f t="shared" si="99"/>
        <v>EC</v>
      </c>
      <c r="AH85" s="88" t="str">
        <f t="shared" si="100"/>
        <v>"%USERPROFILE%\Documents\GitHub\eaglep3\Utilities\RefineRTDCRunTimes.py" --tripid 172-08 --locoid 4026 --swversion DE.1.0.8.0 --startMP 204:232690 --initTime 2017-01-08T13:24:18 --startdatetime 2017-01-08T13:26:39 --delay 1 --endMP 204:70 --enddatetime 2017-01-08T14:29:50 --enforcementcount 0 &gt;&gt;C:\Users\stu\Documents\GitHub\eaglep3-reporting\EC\2017-01-08-refined-times.txt</v>
      </c>
      <c r="AI85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{"issue":{"subject":"","project_id":79,"tracker_id":40,"status_id":1,"priority_id":2,"assigned_to_id":23,"start_date":"2017-01-08","description":"","custom_fields":[{"id":1,"name":"Subdivision","value":"EC"},{"id":4,"name":"Milepost","value":"0.007"},{"id":17,"name":"Train ID","value":"172-08"},{"id":16,"name":"Locomotive ID","value":"4026"},{"id":130,"name":"Impact","value":""},{"id":150,"name":"Time of Event (Mountain Time)","value":"14:29:50"},{"id":151,"name":"Denver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102"/>
        <v>start /low /b %USERPROFILE%\Documents\GitHub\eaglep3\Utilities\DownloadLogsFromS3.py --loco 4026 --day 2017-01-08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421</v>
      </c>
      <c r="B86" s="7">
        <v>4013</v>
      </c>
      <c r="C86" s="22" t="s">
        <v>203</v>
      </c>
      <c r="D86" s="22" t="s">
        <v>695</v>
      </c>
      <c r="E86" s="13">
        <v>42743.565798611111</v>
      </c>
      <c r="F86" s="13">
        <v>42743.570497685185</v>
      </c>
      <c r="G86" s="7">
        <v>1</v>
      </c>
      <c r="H86" s="22" t="s">
        <v>696</v>
      </c>
      <c r="I86" s="13">
        <v>42743.60738425926</v>
      </c>
      <c r="J86" s="7">
        <v>0</v>
      </c>
      <c r="K86" s="105" t="str">
        <f t="shared" si="85"/>
        <v>4013/4014</v>
      </c>
      <c r="L86" s="22" t="str">
        <f>VLOOKUP(A86,'Trips&amp;Operators'!$C$1:$G$99999,5,FALSE)</f>
        <v>KILLION DAVID</v>
      </c>
      <c r="M86" s="6">
        <f t="shared" si="86"/>
        <v>3.6886574074742384E-2</v>
      </c>
      <c r="N86" s="7">
        <f t="shared" si="87"/>
        <v>53.116666667629033</v>
      </c>
      <c r="O86" s="7"/>
      <c r="P86" s="7"/>
      <c r="Q86" s="23"/>
      <c r="R86" s="23"/>
      <c r="S86" s="32">
        <f t="shared" si="88"/>
        <v>1</v>
      </c>
      <c r="T86" s="47" t="str">
        <f t="shared" si="89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6" s="49" t="str">
        <f t="shared" si="91"/>
        <v>N</v>
      </c>
      <c r="X86" s="173">
        <f t="shared" si="92"/>
        <v>2</v>
      </c>
      <c r="Y86" s="64">
        <f t="shared" si="93"/>
        <v>23.297999999999998</v>
      </c>
      <c r="Z86" s="64">
        <f t="shared" si="94"/>
        <v>0.1028</v>
      </c>
      <c r="AA86" s="64">
        <f t="shared" si="95"/>
        <v>23.1952</v>
      </c>
      <c r="AB86" s="61" t="e">
        <f>VLOOKUP(A86,Enforcements!$C$7:$K$18,8,0)</f>
        <v>#N/A</v>
      </c>
      <c r="AC86" s="57" t="e">
        <f>VLOOKUP(A86,Enforcements!$C$7:$E$18,3,0)</f>
        <v>#N/A</v>
      </c>
      <c r="AD86" s="58" t="str">
        <f t="shared" si="96"/>
        <v>0174-08</v>
      </c>
      <c r="AE86" s="87" t="str">
        <f t="shared" si="97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86" s="84" t="str">
        <f t="shared" si="98"/>
        <v>"C:\Program Files (x86)\AstroGrep\AstroGrep.exe" /spath="%USERPROFILE%\AppData\Local\Temp\OnboardLogs" /stypes="app*4013*20170108*" /stext=" 21:.+((SYSTEM_STATE.+slice.+state.+changed )|(ment ac)|(multiple cpu faults)|(system.+state.+changed )|(\[timeout)|(PRM\|1\|D)|(kpr)|(kdp)|(\|lc)|(penalty))" /e /r /s</v>
      </c>
      <c r="AG86" s="1" t="str">
        <f t="shared" si="99"/>
        <v>EC</v>
      </c>
      <c r="AH86" s="88" t="str">
        <f t="shared" si="100"/>
        <v>"%USERPROFILE%\Documents\GitHub\eaglep3\Utilities\RefineRTDCRunTimes.py" --tripid 174-08 --locoid 4013 --swversion DE.1.0.8.0 --startMP 204:232980 --initTime 2017-01-08T13:34:45 --startdatetime 2017-01-08T13:41:31 --delay 1 --endMP 204:1028 --enddatetime 2017-01-08T14:34:38 --enforcementcount 0 &gt;&gt;C:\Users\stu\Documents\GitHub\eaglep3-reporting\EC\2017-01-08-refined-times.txt</v>
      </c>
      <c r="AI86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{"issue":{"subject":"","project_id":79,"tracker_id":40,"status_id":1,"priority_id":2,"assigned_to_id":23,"start_date":"2017-01-08","description":"","custom_fields":[{"id":1,"name":"Subdivision","value":"EC"},{"id":4,"name":"Milepost","value":"0.1028"},{"id":17,"name":"Train ID","value":"174-08"},{"id":16,"name":"Locomotive ID","value":"4013"},{"id":130,"name":"Impact","value":""},{"id":150,"name":"Time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102"/>
        <v>start /low /b %USERPROFILE%\Documents\GitHub\eaglep3\Utilities\DownloadLogsFromS3.py --loco 4013 --day 2017-01-08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4" t="s">
        <v>535</v>
      </c>
      <c r="B87" s="7">
        <v>4002</v>
      </c>
      <c r="C87" s="22" t="s">
        <v>203</v>
      </c>
      <c r="D87" s="22" t="s">
        <v>697</v>
      </c>
      <c r="E87" s="13">
        <v>42743.537476851852</v>
      </c>
      <c r="F87" s="13">
        <v>42743.542627314811</v>
      </c>
      <c r="G87" s="7">
        <v>1</v>
      </c>
      <c r="H87" s="22" t="s">
        <v>401</v>
      </c>
      <c r="I87" s="13">
        <v>42743.570393518516</v>
      </c>
      <c r="J87" s="7">
        <v>0</v>
      </c>
      <c r="K87" s="105" t="str">
        <f t="shared" si="85"/>
        <v>4001/4002</v>
      </c>
      <c r="L87" s="22" t="str">
        <f>VLOOKUP(A87,'Trips&amp;Operators'!$C$1:$G$99999,5,FALSE)</f>
        <v>HOLCOMB KAMDEN</v>
      </c>
      <c r="M87" s="6">
        <f t="shared" si="86"/>
        <v>2.7766203704231884E-2</v>
      </c>
      <c r="N87" s="7">
        <f t="shared" si="87"/>
        <v>39.983333334093913</v>
      </c>
      <c r="O87" s="7"/>
      <c r="P87" s="7"/>
      <c r="Q87" s="23"/>
      <c r="R87" s="23"/>
      <c r="S87" s="32">
        <f t="shared" si="88"/>
        <v>1</v>
      </c>
      <c r="T87" s="47" t="str">
        <f t="shared" si="89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11:53:58-700',mode:absolute,to:'2017-01-08 14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7" s="49" t="str">
        <f t="shared" si="91"/>
        <v>N</v>
      </c>
      <c r="X87" s="173">
        <f t="shared" si="92"/>
        <v>1</v>
      </c>
      <c r="Y87" s="64">
        <f t="shared" si="93"/>
        <v>0.1158</v>
      </c>
      <c r="Z87" s="64">
        <f t="shared" si="94"/>
        <v>23.327999999999999</v>
      </c>
      <c r="AA87" s="64">
        <f t="shared" si="95"/>
        <v>23.212199999999999</v>
      </c>
      <c r="AB87" s="61" t="e">
        <f>VLOOKUP(A87,Enforcements!$C$7:$K$18,8,0)</f>
        <v>#N/A</v>
      </c>
      <c r="AC87" s="57" t="e">
        <f>VLOOKUP(A87,Enforcements!$C$7:$E$18,3,0)</f>
        <v>#N/A</v>
      </c>
      <c r="AD87" s="58" t="str">
        <f t="shared" si="96"/>
        <v>0175-08</v>
      </c>
      <c r="AE87" s="87" t="str">
        <f t="shared" si="97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87" s="84" t="str">
        <f t="shared" si="98"/>
        <v>"C:\Program Files (x86)\AstroGrep\AstroGrep.exe" /spath="%USERPROFILE%\AppData\Local\Temp\OnboardLogs" /stypes="app*4002*20170108*" /stext=" 20:.+((SYSTEM_STATE.+slice.+state.+changed )|(ment ac)|(multiple cpu faults)|(system.+state.+changed )|(\[timeout)|(PRM\|1\|D)|(kpr)|(kdp)|(\|lc)|(penalty))" /e /r /s</v>
      </c>
      <c r="AG87" s="1" t="str">
        <f t="shared" si="99"/>
        <v>EC</v>
      </c>
      <c r="AH87" s="88" t="str">
        <f t="shared" si="100"/>
        <v>"%USERPROFILE%\Documents\GitHub\eaglep3\Utilities\RefineRTDCRunTimes.py" --tripid 175-08 --locoid 4002 --swversion DE.1.0.8.0 --startMP 204:1158 --initTime 2017-01-08T12:53:58 --startdatetime 2017-01-08T13:01:23 --delay 1 --endMP 204:233280 --enddatetime 2017-01-08T13:41:22 --enforcementcount 0 &gt;&gt;C:\Users\stu\Documents\GitHub\eaglep3-reporting\EC\2017-01-08-refined-times.txt</v>
      </c>
      <c r="AI87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{"issue":{"subject":"","project_id":79,"tracker_id":40,"status_id":1,"priority_id":2,"assigned_to_id":23,"start_date":"2017-01-08","description":"","custom_fields":[{"id":1,"name":"Subdivision","value":"EC"},{"id":4,"name":"Milepost","value":"23.328"},{"id":17,"name":"Train ID","value":"175-08"},{"id":16,"name":"Locomotive ID","value":"4002"},{"id":130,"name":"Impact","value":""},{"id":150,"name":"Time of Event (Mountain Time)","value":"13:41:22"},{"id":151,"name":"Denver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102"/>
        <v>start /low /b %USERPROFILE%\Documents\GitHub\eaglep3\Utilities\DownloadLogsFromS3.py --loco 4002 --day 2017-01-08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4" t="s">
        <v>542</v>
      </c>
      <c r="B88" s="7">
        <v>4001</v>
      </c>
      <c r="C88" s="22" t="s">
        <v>203</v>
      </c>
      <c r="D88" s="22" t="s">
        <v>698</v>
      </c>
      <c r="E88" s="13">
        <v>42743.578032407408</v>
      </c>
      <c r="F88" s="13">
        <v>42743.582488425927</v>
      </c>
      <c r="G88" s="7">
        <v>1</v>
      </c>
      <c r="H88" s="22" t="s">
        <v>652</v>
      </c>
      <c r="I88" s="13">
        <v>42743.617060185185</v>
      </c>
      <c r="J88" s="7">
        <v>0</v>
      </c>
      <c r="K88" s="105" t="str">
        <f t="shared" si="85"/>
        <v>4001/4002</v>
      </c>
      <c r="L88" s="22" t="str">
        <f>VLOOKUP(A88,'Trips&amp;Operators'!$C$1:$G$99999,5,FALSE)</f>
        <v>HOLCOMB KAMDEN</v>
      </c>
      <c r="M88" s="6">
        <f t="shared" si="86"/>
        <v>3.457175925723277E-2</v>
      </c>
      <c r="N88" s="7">
        <f t="shared" si="87"/>
        <v>49.783333330415189</v>
      </c>
      <c r="O88" s="7"/>
      <c r="P88" s="7"/>
      <c r="Q88" s="23"/>
      <c r="R88" s="23"/>
      <c r="S88" s="32">
        <f t="shared" si="88"/>
        <v>1</v>
      </c>
      <c r="T88" s="47" t="str">
        <f t="shared" si="89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12:52:22-700',mode:absolute,to:'2017-01-08 15:48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8" s="49" t="str">
        <f t="shared" si="91"/>
        <v>N</v>
      </c>
      <c r="X88" s="173">
        <f t="shared" si="92"/>
        <v>1</v>
      </c>
      <c r="Y88" s="64">
        <f t="shared" si="93"/>
        <v>23.3004</v>
      </c>
      <c r="Z88" s="64">
        <f t="shared" si="94"/>
        <v>0.1164</v>
      </c>
      <c r="AA88" s="64">
        <f t="shared" si="95"/>
        <v>23.184000000000001</v>
      </c>
      <c r="AB88" s="61" t="e">
        <f>VLOOKUP(A88,Enforcements!$C$7:$K$18,8,0)</f>
        <v>#N/A</v>
      </c>
      <c r="AC88" s="57" t="e">
        <f>VLOOKUP(A88,Enforcements!$C$7:$E$18,3,0)</f>
        <v>#N/A</v>
      </c>
      <c r="AD88" s="58" t="str">
        <f t="shared" si="96"/>
        <v>0176-08</v>
      </c>
      <c r="AE88" s="87" t="str">
        <f t="shared" si="97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88" s="84" t="str">
        <f t="shared" si="98"/>
        <v>"C:\Program Files (x86)\AstroGrep\AstroGrep.exe" /spath="%USERPROFILE%\AppData\Local\Temp\OnboardLogs" /stypes="app*4001*20170108*" /stext=" 21:.+((SYSTEM_STATE.+slice.+state.+changed )|(ment ac)|(multiple cpu faults)|(system.+state.+changed )|(\[timeout)|(PRM\|1\|D)|(kpr)|(kdp)|(\|lc)|(penalty))" /e /r /s</v>
      </c>
      <c r="AG88" s="1" t="str">
        <f t="shared" si="99"/>
        <v>EC</v>
      </c>
      <c r="AH88" s="88" t="str">
        <f t="shared" si="100"/>
        <v>"%USERPROFILE%\Documents\GitHub\eaglep3\Utilities\RefineRTDCRunTimes.py" --tripid 176-08 --locoid 4001 --swversion DE.1.0.8.0 --startMP 204:233004 --initTime 2017-01-08T13:52:22 --startdatetime 2017-01-08T13:58:47 --delay 1 --endMP 204:1164 --enddatetime 2017-01-08T14:48:34 --enforcementcount 0 &gt;&gt;C:\Users\stu\Documents\GitHub\eaglep3-reporting\EC\2017-01-08-refined-times.txt</v>
      </c>
      <c r="AI88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{"issue":{"subject":"","project_id":79,"tracker_id":40,"status_id":1,"priority_id":2,"assigned_to_id":23,"start_date":"2017-01-08","description":"","custom_fields":[{"id":1,"name":"Subdivision","value":"EC"},{"id":4,"name":"Milepost","value":"0.1164"},{"id":17,"name":"Train ID","value":"176-08"},{"id":16,"name":"Locomotive ID","value":"4001"},{"id":130,"name":"Impact","value":""},{"id":150,"name":"Time of Event (Mountain Time)","value":"14:48:34"},{"id":151,"name":"Denver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102"/>
        <v>start /low /b %USERPROFILE%\Documents\GitHub\eaglep3\Utilities\DownloadLogsFromS3.py --loco 4001 --day 2017-01-08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538</v>
      </c>
      <c r="B89" s="7">
        <v>4007</v>
      </c>
      <c r="C89" s="22" t="s">
        <v>203</v>
      </c>
      <c r="D89" s="22" t="s">
        <v>226</v>
      </c>
      <c r="E89" s="13">
        <v>42743.55060185185</v>
      </c>
      <c r="F89" s="13">
        <v>42743.562835648147</v>
      </c>
      <c r="G89" s="7">
        <v>1</v>
      </c>
      <c r="H89" s="22" t="s">
        <v>331</v>
      </c>
      <c r="I89" s="13">
        <v>42743.596608796295</v>
      </c>
      <c r="J89" s="7">
        <v>0</v>
      </c>
      <c r="K89" s="105" t="str">
        <f t="shared" si="85"/>
        <v>4007/4008</v>
      </c>
      <c r="L89" s="22" t="str">
        <f>VLOOKUP(A89,'Trips&amp;Operators'!$C$1:$G$99999,5,FALSE)</f>
        <v>DELGADO DIANAH</v>
      </c>
      <c r="M89" s="6">
        <f t="shared" si="86"/>
        <v>3.3773148148611654E-2</v>
      </c>
      <c r="N89" s="7">
        <f t="shared" si="87"/>
        <v>48.633333334000781</v>
      </c>
      <c r="O89" s="7"/>
      <c r="P89" s="7"/>
      <c r="Q89" s="23"/>
      <c r="R89" s="23"/>
      <c r="S89" s="32">
        <f t="shared" si="88"/>
        <v>1</v>
      </c>
      <c r="T89" s="47" t="str">
        <f t="shared" si="89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12:12:52-700',mode:absolute,to:'2017-01-08 15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9" s="49" t="str">
        <f t="shared" si="91"/>
        <v>N</v>
      </c>
      <c r="X89" s="173">
        <f t="shared" si="92"/>
        <v>3</v>
      </c>
      <c r="Y89" s="64">
        <f t="shared" si="93"/>
        <v>4.5999999999999999E-2</v>
      </c>
      <c r="Z89" s="64">
        <f t="shared" si="94"/>
        <v>23.328800000000001</v>
      </c>
      <c r="AA89" s="64">
        <f t="shared" si="95"/>
        <v>23.282800000000002</v>
      </c>
      <c r="AB89" s="61" t="e">
        <f>VLOOKUP(A89,Enforcements!$C$7:$K$18,8,0)</f>
        <v>#N/A</v>
      </c>
      <c r="AC89" s="57" t="e">
        <f>VLOOKUP(A89,Enforcements!$C$7:$E$18,3,0)</f>
        <v>#N/A</v>
      </c>
      <c r="AD89" s="58" t="str">
        <f t="shared" si="96"/>
        <v>0179-08</v>
      </c>
      <c r="AE89" s="87" t="str">
        <f t="shared" si="97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89" s="84" t="str">
        <f t="shared" si="98"/>
        <v>"C:\Program Files (x86)\AstroGrep\AstroGrep.exe" /spath="%USERPROFILE%\AppData\Local\Temp\OnboardLogs" /stypes="app*4007*20170108*" /stext=" 21:.+((SYSTEM_STATE.+slice.+state.+changed )|(ment ac)|(multiple cpu faults)|(system.+state.+changed )|(\[timeout)|(PRM\|1\|D)|(kpr)|(kdp)|(\|lc)|(penalty))" /e /r /s</v>
      </c>
      <c r="AG89" s="1" t="str">
        <f t="shared" si="99"/>
        <v>EC</v>
      </c>
      <c r="AH89" s="88" t="str">
        <f t="shared" si="100"/>
        <v>"%USERPROFILE%\Documents\GitHub\eaglep3\Utilities\RefineRTDCRunTimes.py" --tripid 179-08 --locoid 4007 --swversion DE.1.0.8.0 --startMP 204:460 --initTime 2017-01-08T13:12:52 --startdatetime 2017-01-08T13:30:29 --delay 1 --endMP 204:233288 --enddatetime 2017-01-08T14:19:07 --enforcementcount 0 &gt;&gt;C:\Users\stu\Documents\GitHub\eaglep3-reporting\EC\2017-01-08-refined-times.txt</v>
      </c>
      <c r="AI89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{"issue":{"subject":"","project_id":79,"tracker_id":40,"status_id":1,"priority_id":2,"assigned_to_id":23,"start_date":"2017-01-08","description":"","custom_fields":[{"id":1,"name":"Subdivision","value":"EC"},{"id":4,"name":"Milepost","value":"23.3288"},{"id":17,"name":"Train ID","value":"179-08"},{"id":16,"name":"Locomotive ID","value":"4007"},{"id":130,"name":"Impact","value":""},{"id":150,"name":"Time of Event (Mountain Time)","value":"14:19:07"},{"id":151,"name":"Denver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102"/>
        <v>start /low /b %USERPROFILE%\Documents\GitHub\eaglep3\Utilities\DownloadLogsFromS3.py --loco 4007 --day 2017-01-08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544</v>
      </c>
      <c r="B90" s="7">
        <v>4008</v>
      </c>
      <c r="C90" s="22" t="s">
        <v>203</v>
      </c>
      <c r="D90" s="22" t="s">
        <v>699</v>
      </c>
      <c r="E90" s="13">
        <v>42743.600462962961</v>
      </c>
      <c r="F90" s="13">
        <v>42743.602071759262</v>
      </c>
      <c r="G90" s="7">
        <v>2</v>
      </c>
      <c r="H90" s="22" t="s">
        <v>209</v>
      </c>
      <c r="I90" s="13">
        <v>42743.630856481483</v>
      </c>
      <c r="J90" s="7">
        <v>0</v>
      </c>
      <c r="K90" s="105" t="str">
        <f t="shared" si="85"/>
        <v>4007/4008</v>
      </c>
      <c r="L90" s="22" t="str">
        <f>VLOOKUP(A90,'Trips&amp;Operators'!$C$1:$G$99999,5,FALSE)</f>
        <v>DELGADO DIANAH</v>
      </c>
      <c r="M90" s="6">
        <f t="shared" si="86"/>
        <v>2.8784722220734693E-2</v>
      </c>
      <c r="N90" s="7">
        <f t="shared" si="87"/>
        <v>41.449999997857958</v>
      </c>
      <c r="O90" s="7"/>
      <c r="P90" s="7"/>
      <c r="Q90" s="23"/>
      <c r="R90" s="23"/>
      <c r="S90" s="32">
        <f t="shared" si="88"/>
        <v>1</v>
      </c>
      <c r="T90" s="47" t="str">
        <f t="shared" si="89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13:24:40-700',mode:absolute,to:'2017-01-08 16:08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0" s="49" t="str">
        <f t="shared" si="91"/>
        <v>N</v>
      </c>
      <c r="X90" s="173">
        <f t="shared" si="92"/>
        <v>1</v>
      </c>
      <c r="Y90" s="64">
        <f t="shared" si="93"/>
        <v>23.244299999999999</v>
      </c>
      <c r="Z90" s="64">
        <f t="shared" si="94"/>
        <v>1.4999999999999999E-2</v>
      </c>
      <c r="AA90" s="64">
        <f t="shared" si="95"/>
        <v>23.229299999999999</v>
      </c>
      <c r="AB90" s="61" t="e">
        <f>VLOOKUP(A90,Enforcements!$C$7:$K$18,8,0)</f>
        <v>#N/A</v>
      </c>
      <c r="AC90" s="57" t="e">
        <f>VLOOKUP(A90,Enforcements!$C$7:$E$18,3,0)</f>
        <v>#N/A</v>
      </c>
      <c r="AD90" s="58" t="str">
        <f t="shared" si="96"/>
        <v>0180-08</v>
      </c>
      <c r="AE90" s="87" t="str">
        <f t="shared" si="97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90" s="84" t="str">
        <f t="shared" si="98"/>
        <v>"C:\Program Files (x86)\AstroGrep\AstroGrep.exe" /spath="%USERPROFILE%\AppData\Local\Temp\OnboardLogs" /stypes="app*4008*20170108*" /stext=" 22:.+((SYSTEM_STATE.+slice.+state.+changed )|(ment ac)|(multiple cpu faults)|(system.+state.+changed )|(\[timeout)|(PRM\|1\|D)|(kpr)|(kdp)|(\|lc)|(penalty))" /e /r /s</v>
      </c>
      <c r="AG90" s="1" t="str">
        <f t="shared" si="99"/>
        <v>EC</v>
      </c>
      <c r="AH90" s="88" t="str">
        <f t="shared" si="100"/>
        <v>"%USERPROFILE%\Documents\GitHub\eaglep3\Utilities\RefineRTDCRunTimes.py" --tripid 180-08 --locoid 4008 --swversion DE.1.0.8.0 --startMP 204:232443 --initTime 2017-01-08T14:24:40 --startdatetime 2017-01-08T14:26:59 --delay 2 --endMP 204:150 --enddatetime 2017-01-08T15:08:26 --enforcementcount 0 &gt;&gt;C:\Users\stu\Documents\GitHub\eaglep3-reporting\EC\2017-01-08-refined-times.txt</v>
      </c>
      <c r="AI90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ID","value":"180-08"},{"id":16,"name":"Locomotive ID","value":"4008"},{"id":130,"name":"Impact","value":""},{"id":150,"name":"Time of Event (Mountain Time)","value":"15:08:26"},{"id":151,"name":"Denver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102"/>
        <v>start /low /b %USERPROFILE%\Documents\GitHub\eaglep3\Utilities\DownloadLogsFromS3.py --loco 4008 --day 2017-01-08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541</v>
      </c>
      <c r="B91" s="7">
        <v>4040</v>
      </c>
      <c r="C91" s="22" t="s">
        <v>203</v>
      </c>
      <c r="D91" s="22" t="s">
        <v>242</v>
      </c>
      <c r="E91" s="13">
        <v>42743.568472222221</v>
      </c>
      <c r="F91" s="13">
        <v>42743.573530092595</v>
      </c>
      <c r="G91" s="7">
        <v>1</v>
      </c>
      <c r="H91" s="22" t="s">
        <v>709</v>
      </c>
      <c r="I91" s="13">
        <v>42743.60119212963</v>
      </c>
      <c r="J91" s="7">
        <v>0</v>
      </c>
      <c r="K91" s="105" t="str">
        <f t="shared" si="85"/>
        <v>4039/4040</v>
      </c>
      <c r="L91" s="22" t="str">
        <f>VLOOKUP(A91,'Trips&amp;Operators'!$C$1:$G$99999,5,FALSE)</f>
        <v>LEVIN SCOTT</v>
      </c>
      <c r="M91" s="6">
        <f t="shared" si="86"/>
        <v>2.7662037035042886E-2</v>
      </c>
      <c r="N91" s="7">
        <f t="shared" si="87"/>
        <v>39.833333330461755</v>
      </c>
      <c r="O91" s="7"/>
      <c r="P91" s="7"/>
      <c r="Q91" s="23"/>
      <c r="R91" s="23"/>
      <c r="S91" s="32">
        <f t="shared" si="88"/>
        <v>1</v>
      </c>
      <c r="T91" s="47" t="str">
        <f t="shared" si="89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12:38:36-700',mode:absolute,to:'2017-01-08 15:25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49" t="str">
        <f t="shared" si="91"/>
        <v>N</v>
      </c>
      <c r="X91" s="173">
        <f t="shared" si="92"/>
        <v>1</v>
      </c>
      <c r="Y91" s="64">
        <f t="shared" si="93"/>
        <v>4.53E-2</v>
      </c>
      <c r="Z91" s="64">
        <f t="shared" si="94"/>
        <v>23.333400000000001</v>
      </c>
      <c r="AA91" s="64">
        <f t="shared" si="95"/>
        <v>23.2881</v>
      </c>
      <c r="AB91" s="61" t="e">
        <f>VLOOKUP(A91,Enforcements!$C$7:$K$18,8,0)</f>
        <v>#N/A</v>
      </c>
      <c r="AC91" s="57" t="e">
        <f>VLOOKUP(A91,Enforcements!$C$7:$E$18,3,0)</f>
        <v>#N/A</v>
      </c>
      <c r="AD91" s="58" t="str">
        <f t="shared" si="96"/>
        <v>0181-08</v>
      </c>
      <c r="AE91" s="87" t="str">
        <f t="shared" si="97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91" s="84" t="str">
        <f t="shared" si="98"/>
        <v>"C:\Program Files (x86)\AstroGrep\AstroGrep.exe" /spath="%USERPROFILE%\AppData\Local\Temp\OnboardLogs" /stypes="app*4040*20170108*" /stext=" 21:.+((SYSTEM_STATE.+slice.+state.+changed )|(ment ac)|(multiple cpu faults)|(system.+state.+changed )|(\[timeout)|(PRM\|1\|D)|(kpr)|(kdp)|(\|lc)|(penalty))" /e /r /s</v>
      </c>
      <c r="AG91" s="1" t="str">
        <f t="shared" si="99"/>
        <v>EC</v>
      </c>
      <c r="AH91" s="88" t="str">
        <f t="shared" si="100"/>
        <v>"%USERPROFILE%\Documents\GitHub\eaglep3\Utilities\RefineRTDCRunTimes.py" --tripid 181-08 --locoid 4040 --swversion DE.1.0.8.0 --startMP 204:453 --initTime 2017-01-08T13:38:36 --startdatetime 2017-01-08T13:45:53 --delay 1 --endMP 204:233334 --enddatetime 2017-01-08T14:25:43 --enforcementcount 0 &gt;&gt;C:\Users\stu\Documents\GitHub\eaglep3-reporting\EC\2017-01-08-refined-times.txt</v>
      </c>
      <c r="AI91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{"issue":{"subject":"","project_id":79,"tracker_id":40,"status_id":1,"priority_id":2,"assigned_to_id":23,"start_date":"2017-01-08","description":"","custom_fields":[{"id":1,"name":"Subdivision","value":"EC"},{"id":4,"name":"Milepost","value":"23.3334"},{"id":17,"name":"Train ID","value":"181-08"},{"id":16,"name":"Locomotive ID","value":"4040"},{"id":130,"name":"Impact","value":""},{"id":150,"name":"Time of Event (Mountain Time)","value":"14:25:43"},{"id":151,"name":"Denver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102"/>
        <v>start /low /b %USERPROFILE%\Documents\GitHub\eaglep3\Utilities\DownloadLogsFromS3.py --loco 4040 --day 2017-01-08</v>
      </c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422</v>
      </c>
      <c r="B92" s="7">
        <v>4039</v>
      </c>
      <c r="C92" s="22" t="s">
        <v>203</v>
      </c>
      <c r="D92" s="22" t="s">
        <v>718</v>
      </c>
      <c r="E92" s="13">
        <v>42743.609282407408</v>
      </c>
      <c r="F92" s="13">
        <v>42743.612349537034</v>
      </c>
      <c r="G92" s="7">
        <v>1</v>
      </c>
      <c r="H92" s="22" t="s">
        <v>719</v>
      </c>
      <c r="I92" s="13">
        <v>42743.640694444446</v>
      </c>
      <c r="J92" s="7">
        <v>0</v>
      </c>
      <c r="K92" s="105" t="str">
        <f t="shared" si="85"/>
        <v>4039/4040</v>
      </c>
      <c r="L92" s="22" t="str">
        <f>VLOOKUP(A92,'Trips&amp;Operators'!$C$1:$G$99999,5,FALSE)</f>
        <v>LEVIN SCOTT</v>
      </c>
      <c r="M92" s="6">
        <f t="shared" si="86"/>
        <v>2.8344907412247267E-2</v>
      </c>
      <c r="N92" s="7">
        <f t="shared" si="87"/>
        <v>40.816666673636064</v>
      </c>
      <c r="O92" s="7"/>
      <c r="P92" s="7"/>
      <c r="Q92" s="23"/>
      <c r="R92" s="23"/>
      <c r="S92" s="32">
        <f t="shared" si="88"/>
        <v>1</v>
      </c>
      <c r="T92" s="47" t="str">
        <f t="shared" si="89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13:37:22-700',mode:absolute,to:'2017-01-08 16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49" t="str">
        <f t="shared" si="91"/>
        <v>N</v>
      </c>
      <c r="X92" s="173">
        <f t="shared" si="92"/>
        <v>1</v>
      </c>
      <c r="Y92" s="64">
        <f t="shared" si="93"/>
        <v>23.3002</v>
      </c>
      <c r="Z92" s="64">
        <f t="shared" si="94"/>
        <v>1.2699999999999999E-2</v>
      </c>
      <c r="AA92" s="64">
        <f t="shared" si="95"/>
        <v>23.287500000000001</v>
      </c>
      <c r="AB92" s="61" t="e">
        <f>VLOOKUP(A92,Enforcements!$C$7:$K$18,8,0)</f>
        <v>#N/A</v>
      </c>
      <c r="AC92" s="57" t="e">
        <f>VLOOKUP(A92,Enforcements!$C$7:$E$18,3,0)</f>
        <v>#N/A</v>
      </c>
      <c r="AD92" s="58" t="str">
        <f t="shared" si="96"/>
        <v>0182-08</v>
      </c>
      <c r="AE92" s="87" t="str">
        <f t="shared" si="97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92" s="84" t="str">
        <f t="shared" si="98"/>
        <v>"C:\Program Files (x86)\AstroGrep\AstroGrep.exe" /spath="%USERPROFILE%\AppData\Local\Temp\OnboardLogs" /stypes="app*4039*20170108*" /stext=" 22:.+((SYSTEM_STATE.+slice.+state.+changed )|(ment ac)|(multiple cpu faults)|(system.+state.+changed )|(\[timeout)|(PRM\|1\|D)|(kpr)|(kdp)|(\|lc)|(penalty))" /e /r /s</v>
      </c>
      <c r="AG92" s="1" t="str">
        <f t="shared" si="99"/>
        <v>EC</v>
      </c>
      <c r="AH92" s="88" t="str">
        <f t="shared" si="100"/>
        <v>"%USERPROFILE%\Documents\GitHub\eaglep3\Utilities\RefineRTDCRunTimes.py" --tripid 182-08 --locoid 4039 --swversion DE.1.0.8.0 --startMP 204:233002 --initTime 2017-01-08T14:37:22 --startdatetime 2017-01-08T14:41:47 --delay 1 --endMP 204:127 --enddatetime 2017-01-08T15:22:36 --enforcementcount 0 &gt;&gt;C:\Users\stu\Documents\GitHub\eaglep3-reporting\EC\2017-01-08-refined-times.txt</v>
      </c>
      <c r="AI92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{"issue":{"subject":"","project_id":79,"tracker_id":40,"status_id":1,"priority_id":2,"assigned_to_id":23,"start_date":"2017-01-08","description":"","custom_fields":[{"id":1,"name":"Subdivision","value":"EC"},{"id":4,"name":"Milepost","value":"0.0127"},{"id":17,"name":"Train ID","value":"182-08"},{"id":16,"name":"Locomotive ID","value":"4039"},{"id":130,"name":"Impact","value":""},{"id":150,"name":"Time of Event (Mountain Time)","value":"15:22:36"},{"id":151,"name":"Denver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102"/>
        <v>start /low /b %USERPROFILE%\Documents\GitHub\eaglep3\Utilities\DownloadLogsFromS3.py --loco 4039 --day 2017-01-08</v>
      </c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4" t="s">
        <v>420</v>
      </c>
      <c r="B93" s="7">
        <v>4009</v>
      </c>
      <c r="C93" s="22" t="s">
        <v>203</v>
      </c>
      <c r="D93" s="22" t="s">
        <v>733</v>
      </c>
      <c r="E93" s="13">
        <v>42743.592233796298</v>
      </c>
      <c r="F93" s="13">
        <v>42743.595763888887</v>
      </c>
      <c r="G93" s="7">
        <v>1</v>
      </c>
      <c r="H93" s="22" t="s">
        <v>734</v>
      </c>
      <c r="I93" s="13">
        <v>42743.628067129626</v>
      </c>
      <c r="J93" s="7">
        <v>0</v>
      </c>
      <c r="K93" s="105" t="str">
        <f t="shared" si="85"/>
        <v>4009/4010</v>
      </c>
      <c r="L93" s="22" t="str">
        <f>VLOOKUP(A93,'Trips&amp;Operators'!$C$1:$G$99999,5,FALSE)</f>
        <v>DAVIS MICHAEL</v>
      </c>
      <c r="M93" s="6">
        <f t="shared" si="86"/>
        <v>3.2303240739565808E-2</v>
      </c>
      <c r="N93" s="7">
        <f t="shared" si="87"/>
        <v>46.516666664974764</v>
      </c>
      <c r="O93" s="7"/>
      <c r="P93" s="7"/>
      <c r="Q93" s="23"/>
      <c r="R93" s="23"/>
      <c r="S93" s="32">
        <f t="shared" si="88"/>
        <v>1</v>
      </c>
      <c r="T93" s="47" t="str">
        <f t="shared" si="89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3" s="49" t="str">
        <f t="shared" si="91"/>
        <v>N</v>
      </c>
      <c r="X93" s="173">
        <f t="shared" si="92"/>
        <v>3</v>
      </c>
      <c r="Y93" s="64">
        <f t="shared" si="93"/>
        <v>0.1169</v>
      </c>
      <c r="Z93" s="64">
        <f t="shared" si="94"/>
        <v>23.326799999999999</v>
      </c>
      <c r="AA93" s="64">
        <f t="shared" si="95"/>
        <v>23.209899999999998</v>
      </c>
      <c r="AB93" s="61" t="str">
        <f>VLOOKUP(A93,Enforcements!$C$7:$K$18,8,0)</f>
        <v>Bulletin (2)</v>
      </c>
      <c r="AC93" s="57" t="str">
        <f>VLOOKUP(A93,Enforcements!$C$7:$E$18,3,0)</f>
        <v>GRADE CROSSING</v>
      </c>
      <c r="AD93" s="58" t="str">
        <f t="shared" si="96"/>
        <v>0185-08</v>
      </c>
      <c r="AE93" s="87" t="str">
        <f t="shared" si="97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93" s="84" t="str">
        <f t="shared" si="98"/>
        <v>"C:\Program Files (x86)\AstroGrep\AstroGrep.exe" /spath="%USERPROFILE%\AppData\Local\Temp\OnboardLogs" /stypes="app*4009*20170108*" /stext=" 22:.+((SYSTEM_STATE.+slice.+state.+changed )|(ment ac)|(multiple cpu faults)|(system.+state.+changed )|(\[timeout)|(PRM\|1\|D)|(kpr)|(kdp)|(\|lc)|(penalty))" /e /r /s</v>
      </c>
      <c r="AG93" s="1" t="str">
        <f t="shared" si="99"/>
        <v>EC</v>
      </c>
      <c r="AH93" s="88" t="str">
        <f t="shared" si="100"/>
        <v>"%USERPROFILE%\Documents\GitHub\eaglep3\Utilities\RefineRTDCRunTimes.py" --tripid 185-08 --locoid 4009 --swversion DE.1.0.8.0 --startMP 204:1169 --initTime 2017-01-08T14:12:49 --startdatetime 2017-01-08T14:17:54 --delay 1 --endMP 204:233268 --enddatetime 2017-01-08T15:04:25 --enforcementcount 0 &gt;&gt;C:\Users\stu\Documents\GitHub\eaglep3-reporting\EC\2017-01-08-refined-times.txt</v>
      </c>
      <c r="AI93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{"issue":{"subject":"","project_id":79,"tracker_id":40,"status_id":1,"priority_id":2,"assigned_to_id":23,"start_date":"2017-01-08","description":"","custom_fields":[{"id":1,"name":"Subdivision","value":"EC"},{"id":4,"name":"Milepost","value":"23.3268"},{"id":17,"name":"Train ID","value":"185-08"},{"id":16,"name":"Locomotive ID","value":"4009"},{"id":130,"name":"Impact","value":""},{"id":150,"name":"Time of Event (Mountain Time)","value":"15:04:25"},{"id":151,"name":"Denver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102"/>
        <v>start /low /b %USERPROFILE%\Documents\GitHub\eaglep3\Utilities\DownloadLogsFromS3.py --loco 4009 --day 2017-01-08</v>
      </c>
    </row>
    <row r="94" spans="1:91" x14ac:dyDescent="0.25">
      <c r="A94" s="34" t="s">
        <v>423</v>
      </c>
      <c r="B94" s="7">
        <v>4010</v>
      </c>
      <c r="C94" s="22" t="s">
        <v>203</v>
      </c>
      <c r="D94" s="22" t="s">
        <v>735</v>
      </c>
      <c r="E94" s="13">
        <v>42743.631550925929</v>
      </c>
      <c r="F94" s="13">
        <v>42743.633333333331</v>
      </c>
      <c r="G94" s="7">
        <v>2</v>
      </c>
      <c r="H94" s="22" t="s">
        <v>736</v>
      </c>
      <c r="I94" s="13">
        <v>42743.664976851855</v>
      </c>
      <c r="J94" s="7">
        <v>0</v>
      </c>
      <c r="K94" s="105" t="str">
        <f t="shared" si="85"/>
        <v>4009/4010</v>
      </c>
      <c r="L94" s="22" t="str">
        <f>VLOOKUP(A94,'Trips&amp;Operators'!$C$1:$G$99999,5,FALSE)</f>
        <v>DAVIS MICHAEL</v>
      </c>
      <c r="M94" s="6">
        <f t="shared" si="86"/>
        <v>3.164351852319669E-2</v>
      </c>
      <c r="N94" s="7">
        <f t="shared" si="87"/>
        <v>45.566666673403233</v>
      </c>
      <c r="O94" s="7"/>
      <c r="P94" s="7"/>
      <c r="Q94" s="23"/>
      <c r="R94" s="23"/>
      <c r="S94" s="32">
        <f t="shared" si="88"/>
        <v>1</v>
      </c>
      <c r="T94" s="47" t="str">
        <f t="shared" si="89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14:09:26-700',mode:absolute,to:'2017-01-08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4" s="49" t="str">
        <f t="shared" si="91"/>
        <v>N</v>
      </c>
      <c r="X94" s="173">
        <f t="shared" si="92"/>
        <v>1</v>
      </c>
      <c r="Y94" s="64">
        <f t="shared" si="93"/>
        <v>23.238700000000001</v>
      </c>
      <c r="Z94" s="64">
        <f t="shared" si="94"/>
        <v>6.7000000000000002E-3</v>
      </c>
      <c r="AA94" s="64">
        <f t="shared" si="95"/>
        <v>23.232000000000003</v>
      </c>
      <c r="AB94" s="61" t="str">
        <f>VLOOKUP(A94,Enforcements!$C$7:$K$18,8,0)</f>
        <v>Speed (6)</v>
      </c>
      <c r="AC94" s="57" t="str">
        <f>VLOOKUP(A94,Enforcements!$C$7:$E$18,3,0)</f>
        <v>PERMANENT SPEED RESTRICTION</v>
      </c>
      <c r="AD94" s="58" t="str">
        <f t="shared" si="96"/>
        <v>0186-08</v>
      </c>
      <c r="AE94" s="87" t="str">
        <f t="shared" si="97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94" s="84" t="str">
        <f t="shared" si="98"/>
        <v>"C:\Program Files (x86)\AstroGrep\AstroGrep.exe" /spath="%USERPROFILE%\AppData\Local\Temp\OnboardLogs" /stypes="app*4010*20170108*" /stext=" 22:.+((SYSTEM_STATE.+slice.+state.+changed )|(ment ac)|(multiple cpu faults)|(system.+state.+changed )|(\[timeout)|(PRM\|1\|D)|(kpr)|(kdp)|(\|lc)|(penalty))" /e /r /s</v>
      </c>
      <c r="AG94" s="1" t="str">
        <f t="shared" si="99"/>
        <v>EC</v>
      </c>
      <c r="AH94" s="88" t="str">
        <f t="shared" si="100"/>
        <v>"%USERPROFILE%\Documents\GitHub\eaglep3\Utilities\RefineRTDCRunTimes.py" --tripid 186-08 --locoid 4010 --swversion DE.1.0.8.0 --startMP 204:232387 --initTime 2017-01-08T15:09:26 --startdatetime 2017-01-08T15:12:00 --delay 2 --endMP 204:67 --enddatetime 2017-01-08T15:57:34 --enforcementcount 0 &gt;&gt;C:\Users\stu\Documents\GitHub\eaglep3-reporting\EC\2017-01-08-refined-times.txt</v>
      </c>
      <c r="AI94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{"issue":{"subject":"","project_id":79,"tracker_id":40,"status_id":1,"priority_id":2,"assigned_to_id":23,"start_date":"2017-01-08","description":"","custom_fields":[{"id":1,"name":"Subdivision","value":"EC"},{"id":4,"name":"Milepost","value":"0.0067"},{"id":17,"name":"Train ID","value":"186-08"},{"id":16,"name":"Locomotive ID","value":"4010"},{"id":130,"name":"Impact","value":""},{"id":150,"name":"Time of Event (Mountain Time)","value":"15:57:34"},{"id":151,"name":"Denver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102"/>
        <v>start /low /b %USERPROFILE%\Documents\GitHub\eaglep3\Utilities\DownloadLogsFromS3.py --loco 4010 --day 2017-01-08</v>
      </c>
    </row>
    <row r="95" spans="1:91" x14ac:dyDescent="0.25">
      <c r="A95" s="34" t="s">
        <v>545</v>
      </c>
      <c r="B95" s="7">
        <v>4020</v>
      </c>
      <c r="C95" s="22" t="s">
        <v>203</v>
      </c>
      <c r="D95" s="22" t="s">
        <v>737</v>
      </c>
      <c r="E95" s="13">
        <v>42743.60292824074</v>
      </c>
      <c r="F95" s="13">
        <v>42743.604537037034</v>
      </c>
      <c r="G95" s="7">
        <v>1</v>
      </c>
      <c r="H95" s="22" t="s">
        <v>313</v>
      </c>
      <c r="I95" s="13">
        <v>42743.63175925926</v>
      </c>
      <c r="J95" s="7">
        <v>0</v>
      </c>
      <c r="K95" s="105" t="str">
        <f t="shared" si="85"/>
        <v>4019/4020</v>
      </c>
      <c r="L95" s="22" t="str">
        <f>VLOOKUP(A95,'Trips&amp;Operators'!$C$1:$G$99999,5,FALSE)</f>
        <v>STEWART MICHAEL</v>
      </c>
      <c r="M95" s="6">
        <f t="shared" si="86"/>
        <v>2.7222222226555459E-2</v>
      </c>
      <c r="N95" s="7">
        <f t="shared" si="87"/>
        <v>39.200000006239861</v>
      </c>
      <c r="O95" s="7"/>
      <c r="P95" s="7"/>
      <c r="Q95" s="23"/>
      <c r="R95" s="23"/>
      <c r="S95" s="32">
        <f t="shared" si="88"/>
        <v>1</v>
      </c>
      <c r="T95" s="47" t="str">
        <f t="shared" si="89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13:28:13-700',mode:absolute,to:'2017-01-08 16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5" s="49" t="str">
        <f t="shared" si="91"/>
        <v>N</v>
      </c>
      <c r="X95" s="173">
        <f t="shared" si="92"/>
        <v>1</v>
      </c>
      <c r="Y95" s="64">
        <f t="shared" si="93"/>
        <v>8.1699999999999995E-2</v>
      </c>
      <c r="Z95" s="64">
        <f t="shared" si="94"/>
        <v>23.329799999999999</v>
      </c>
      <c r="AA95" s="64">
        <f t="shared" si="95"/>
        <v>23.248099999999997</v>
      </c>
      <c r="AB95" s="61" t="e">
        <f>VLOOKUP(A95,Enforcements!$C$7:$K$18,8,0)</f>
        <v>#N/A</v>
      </c>
      <c r="AC95" s="57" t="e">
        <f>VLOOKUP(A95,Enforcements!$C$7:$E$18,3,0)</f>
        <v>#N/A</v>
      </c>
      <c r="AD95" s="58" t="str">
        <f t="shared" si="96"/>
        <v>0187-08</v>
      </c>
      <c r="AE95" s="87" t="str">
        <f t="shared" si="97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95" s="84" t="str">
        <f t="shared" si="98"/>
        <v>"C:\Program Files (x86)\AstroGrep\AstroGrep.exe" /spath="%USERPROFILE%\AppData\Local\Temp\OnboardLogs" /stypes="app*4020*20170108*" /stext=" 22:.+((SYSTEM_STATE.+slice.+state.+changed )|(ment ac)|(multiple cpu faults)|(system.+state.+changed )|(\[timeout)|(PRM\|1\|D)|(kpr)|(kdp)|(\|lc)|(penalty))" /e /r /s</v>
      </c>
      <c r="AG95" s="1" t="str">
        <f t="shared" si="99"/>
        <v>EC</v>
      </c>
      <c r="AH95" s="88" t="str">
        <f t="shared" si="100"/>
        <v>"%USERPROFILE%\Documents\GitHub\eaglep3\Utilities\RefineRTDCRunTimes.py" --tripid 187-08 --locoid 4020 --swversion DE.1.0.8.0 --startMP 204:817 --initTime 2017-01-08T14:28:13 --startdatetime 2017-01-08T14:30:32 --delay 1 --endMP 204:233298 --enddatetime 2017-01-08T15:09:44 --enforcementcount 0 &gt;&gt;C:\Users\stu\Documents\GitHub\eaglep3-reporting\EC\2017-01-08-refined-times.txt</v>
      </c>
      <c r="AI95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{"issue":{"subject":"","project_id":79,"tracker_id":40,"status_id":1,"priority_id":2,"assigned_to_id":23,"start_date":"2017-01-08","description":"","custom_fields":[{"id":1,"name":"Subdivision","value":"EC"},{"id":4,"name":"Milepost","value":"23.3298"},{"id":17,"name":"Train ID","value":"187-08"},{"id":16,"name":"Locomotive ID","value":"4020"},{"id":130,"name":"Impact","value":""},{"id":150,"name":"Time of Event (Mountain Time)","value":"15:09:44"},{"id":151,"name":"Denver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102"/>
        <v>start /low /b %USERPROFILE%\Documents\GitHub\eaglep3\Utilities\DownloadLogsFromS3.py --loco 4020 --day 2017-01-08</v>
      </c>
    </row>
    <row r="96" spans="1:91" s="21" customFormat="1" x14ac:dyDescent="0.25">
      <c r="A96" s="34" t="s">
        <v>552</v>
      </c>
      <c r="B96" s="7">
        <v>4019</v>
      </c>
      <c r="C96" s="22" t="s">
        <v>203</v>
      </c>
      <c r="D96" s="22" t="s">
        <v>354</v>
      </c>
      <c r="E96" s="13">
        <v>42743.640497685185</v>
      </c>
      <c r="F96" s="13">
        <v>42743.643414351849</v>
      </c>
      <c r="G96" s="7">
        <v>1</v>
      </c>
      <c r="H96" s="22" t="s">
        <v>281</v>
      </c>
      <c r="I96" s="13">
        <v>42743.670844907407</v>
      </c>
      <c r="J96" s="7">
        <v>0</v>
      </c>
      <c r="K96" s="105" t="str">
        <f t="shared" si="85"/>
        <v>4019/4020</v>
      </c>
      <c r="L96" s="22" t="str">
        <f>VLOOKUP(A96,'Trips&amp;Operators'!$C$1:$G$99999,5,FALSE)</f>
        <v>STEWART MICHAEL</v>
      </c>
      <c r="M96" s="6">
        <f t="shared" si="86"/>
        <v>2.7430555557657499E-2</v>
      </c>
      <c r="N96" s="7">
        <f t="shared" si="87"/>
        <v>39.500000003026798</v>
      </c>
      <c r="O96" s="7"/>
      <c r="P96" s="7"/>
      <c r="Q96" s="23"/>
      <c r="R96" s="23"/>
      <c r="S96" s="32">
        <f t="shared" si="88"/>
        <v>1</v>
      </c>
      <c r="T96" s="47" t="str">
        <f t="shared" si="89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14:22:19-700',mode:absolute,to:'2017-01-08 17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6" s="49" t="str">
        <f t="shared" si="91"/>
        <v>N</v>
      </c>
      <c r="X96" s="173">
        <f t="shared" si="92"/>
        <v>1</v>
      </c>
      <c r="Y96" s="64">
        <f t="shared" si="93"/>
        <v>23.299299999999999</v>
      </c>
      <c r="Z96" s="64">
        <f t="shared" si="94"/>
        <v>1.5800000000000002E-2</v>
      </c>
      <c r="AA96" s="64">
        <f t="shared" si="95"/>
        <v>23.2835</v>
      </c>
      <c r="AB96" s="61" t="e">
        <f>VLOOKUP(A96,Enforcements!$C$7:$K$18,8,0)</f>
        <v>#N/A</v>
      </c>
      <c r="AC96" s="57" t="e">
        <f>VLOOKUP(A96,Enforcements!$C$7:$E$18,3,0)</f>
        <v>#N/A</v>
      </c>
      <c r="AD96" s="58" t="str">
        <f t="shared" si="96"/>
        <v>0188-08</v>
      </c>
      <c r="AE96" s="87" t="str">
        <f t="shared" si="97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96" s="84" t="str">
        <f t="shared" si="98"/>
        <v>"C:\Program Files (x86)\AstroGrep\AstroGrep.exe" /spath="%USERPROFILE%\AppData\Local\Temp\OnboardLogs" /stypes="app*4019*20170108*" /stext=" 23:.+((SYSTEM_STATE.+slice.+state.+changed )|(ment ac)|(multiple cpu faults)|(system.+state.+changed )|(\[timeout)|(PRM\|1\|D)|(kpr)|(kdp)|(\|lc)|(penalty))" /e /r /s</v>
      </c>
      <c r="AG96" s="1" t="str">
        <f t="shared" si="99"/>
        <v>EC</v>
      </c>
      <c r="AH96" s="88" t="str">
        <f t="shared" si="100"/>
        <v>"%USERPROFILE%\Documents\GitHub\eaglep3\Utilities\RefineRTDCRunTimes.py" --tripid 188-08 --locoid 4019 --swversion DE.1.0.8.0 --startMP 204:232993 --initTime 2017-01-08T15:22:19 --startdatetime 2017-01-08T15:26:31 --delay 1 --endMP 204:158 --enddatetime 2017-01-08T16:06:01 --enforcementcount 0 &gt;&gt;C:\Users\stu\Documents\GitHub\eaglep3-reporting\EC\2017-01-08-refined-times.txt</v>
      </c>
      <c r="AI96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{"issue":{"subject":"","project_id":79,"tracker_id":40,"status_id":1,"priority_id":2,"assigned_to_id":23,"start_date":"2017-01-08","description":"","custom_fields":[{"id":1,"name":"Subdivision","value":"EC"},{"id":4,"name":"Milepost","value":"0.0158"},{"id":17,"name":"Train ID","value":"188-08"},{"id":16,"name":"Locomotive ID","value":"4019"},{"id":130,"name":"Impact","value":""},{"id":150,"name":"Time of Event (Mountain Time)","value":"16:06:01"},{"id":151,"name":"Denver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102"/>
        <v>start /low /b %USERPROFILE%\Documents\GitHub\eaglep3\Utilities\DownloadLogsFromS3.py --loco 4019 --day 2017-01-08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546</v>
      </c>
      <c r="B97" s="7">
        <v>4027</v>
      </c>
      <c r="C97" s="22" t="s">
        <v>203</v>
      </c>
      <c r="D97" s="22" t="s">
        <v>738</v>
      </c>
      <c r="E97" s="13">
        <v>42743.606666666667</v>
      </c>
      <c r="F97" s="13">
        <v>42743.61478009259</v>
      </c>
      <c r="G97" s="7">
        <v>2</v>
      </c>
      <c r="H97" s="22" t="s">
        <v>394</v>
      </c>
      <c r="I97" s="13">
        <v>42743.641932870371</v>
      </c>
      <c r="J97" s="7">
        <v>0</v>
      </c>
      <c r="K97" s="105" t="str">
        <f t="shared" si="85"/>
        <v>4027/4028</v>
      </c>
      <c r="L97" s="22" t="str">
        <f>VLOOKUP(A97,'Trips&amp;Operators'!$C$1:$G$99999,5,FALSE)</f>
        <v>BRUDER RICHARD</v>
      </c>
      <c r="M97" s="6">
        <f t="shared" si="86"/>
        <v>2.715277778042946E-2</v>
      </c>
      <c r="N97" s="7">
        <f t="shared" si="87"/>
        <v>39.100000003818423</v>
      </c>
      <c r="O97" s="7"/>
      <c r="P97" s="7"/>
      <c r="Q97" s="23"/>
      <c r="R97" s="23"/>
      <c r="S97" s="32">
        <f t="shared" si="88"/>
        <v>1</v>
      </c>
      <c r="T97" s="47" t="str">
        <f t="shared" si="89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13:33:36-700',mode:absolute,to:'2017-01-08 16:24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7" s="49" t="str">
        <f t="shared" si="91"/>
        <v>N</v>
      </c>
      <c r="X97" s="173">
        <f t="shared" si="92"/>
        <v>1</v>
      </c>
      <c r="Y97" s="64">
        <f t="shared" si="93"/>
        <v>4.1599999999999998E-2</v>
      </c>
      <c r="Z97" s="64">
        <f t="shared" si="94"/>
        <v>23.3324</v>
      </c>
      <c r="AA97" s="64">
        <f t="shared" si="95"/>
        <v>23.290800000000001</v>
      </c>
      <c r="AB97" s="61" t="e">
        <f>VLOOKUP(A97,Enforcements!$C$7:$K$18,8,0)</f>
        <v>#N/A</v>
      </c>
      <c r="AC97" s="57" t="e">
        <f>VLOOKUP(A97,Enforcements!$C$7:$E$18,3,0)</f>
        <v>#N/A</v>
      </c>
      <c r="AD97" s="58" t="str">
        <f t="shared" si="96"/>
        <v>0189-08</v>
      </c>
      <c r="AE97" s="87" t="str">
        <f t="shared" si="97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97" s="84" t="str">
        <f t="shared" si="98"/>
        <v>"C:\Program Files (x86)\AstroGrep\AstroGrep.exe" /spath="%USERPROFILE%\AppData\Local\Temp\OnboardLogs" /stypes="app*4027*20170108*" /stext=" 22:.+((SYSTEM_STATE.+slice.+state.+changed )|(ment ac)|(multiple cpu faults)|(system.+state.+changed )|(\[timeout)|(PRM\|1\|D)|(kpr)|(kdp)|(\|lc)|(penalty))" /e /r /s</v>
      </c>
      <c r="AG97" s="1" t="str">
        <f t="shared" si="99"/>
        <v>EC</v>
      </c>
      <c r="AH97" s="88" t="str">
        <f t="shared" si="100"/>
        <v>"%USERPROFILE%\Documents\GitHub\eaglep3\Utilities\RefineRTDCRunTimes.py" --tripid 189-08 --locoid 4027 --swversion DE.1.0.8.0 --startMP 204:416 --initTime 2017-01-08T14:33:36 --startdatetime 2017-01-08T14:45:17 --delay 2 --endMP 204:233324 --enddatetime 2017-01-08T15:24:23 --enforcementcount 0 &gt;&gt;C:\Users\stu\Documents\GitHub\eaglep3-reporting\EC\2017-01-08-refined-times.txt</v>
      </c>
      <c r="AI97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{"issue":{"subject":"","project_id":79,"tracker_id":40,"status_id":1,"priority_id":2,"assigned_to_id":23,"start_date":"2017-01-08","description":"","custom_fields":[{"id":1,"name":"Subdivision","value":"EC"},{"id":4,"name":"Milepost","value":"23.3324"},{"id":17,"name":"Train ID","value":"189-08"},{"id":16,"name":"Locomotive ID","value":"4027"},{"id":130,"name":"Impact","value":""},{"id":150,"name":"Time of Event (Mountain Time)","value":"15:24:23"},{"id":151,"name":"Denver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102"/>
        <v>start /low /b %USERPROFILE%\Documents\GitHub\eaglep3\Utilities\DownloadLogsFromS3.py --loco 4027 --day 2017-01-08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553</v>
      </c>
      <c r="B98" s="7">
        <v>4028</v>
      </c>
      <c r="C98" s="22" t="s">
        <v>203</v>
      </c>
      <c r="D98" s="22" t="s">
        <v>254</v>
      </c>
      <c r="E98" s="13">
        <v>42743.648819444446</v>
      </c>
      <c r="F98" s="13">
        <v>42743.653715277775</v>
      </c>
      <c r="G98" s="7">
        <v>2</v>
      </c>
      <c r="H98" s="22" t="s">
        <v>245</v>
      </c>
      <c r="I98" s="13">
        <v>42743.681354166663</v>
      </c>
      <c r="J98" s="7">
        <v>0</v>
      </c>
      <c r="K98" s="105" t="str">
        <f t="shared" si="85"/>
        <v>4027/4028</v>
      </c>
      <c r="L98" s="22" t="str">
        <f>VLOOKUP(A98,'Trips&amp;Operators'!$C$1:$G$99999,5,FALSE)</f>
        <v>BRUDER RICHARD</v>
      </c>
      <c r="M98" s="6">
        <f t="shared" si="86"/>
        <v>2.7638888888759539E-2</v>
      </c>
      <c r="N98" s="7">
        <f t="shared" si="87"/>
        <v>39.799999999813735</v>
      </c>
      <c r="O98" s="7"/>
      <c r="P98" s="7"/>
      <c r="Q98" s="23"/>
      <c r="R98" s="23"/>
      <c r="S98" s="32">
        <f t="shared" si="88"/>
        <v>1</v>
      </c>
      <c r="T98" s="47" t="str">
        <f t="shared" si="89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14:34:18-700',mode:absolute,to:'2017-01-08 17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8" s="49" t="str">
        <f t="shared" si="91"/>
        <v>N</v>
      </c>
      <c r="X98" s="173">
        <f t="shared" si="92"/>
        <v>1</v>
      </c>
      <c r="Y98" s="64">
        <f t="shared" si="93"/>
        <v>23.2986</v>
      </c>
      <c r="Z98" s="64">
        <f t="shared" si="94"/>
        <v>1.3899999999999999E-2</v>
      </c>
      <c r="AA98" s="64">
        <f t="shared" si="95"/>
        <v>23.284700000000001</v>
      </c>
      <c r="AB98" s="61" t="e">
        <f>VLOOKUP(A98,Enforcements!$C$7:$K$18,8,0)</f>
        <v>#N/A</v>
      </c>
      <c r="AC98" s="57" t="e">
        <f>VLOOKUP(A98,Enforcements!$C$7:$E$18,3,0)</f>
        <v>#N/A</v>
      </c>
      <c r="AD98" s="58" t="str">
        <f t="shared" si="96"/>
        <v>0190-08</v>
      </c>
      <c r="AE98" s="87" t="str">
        <f t="shared" si="97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98" s="84" t="str">
        <f t="shared" si="98"/>
        <v>"C:\Program Files (x86)\AstroGrep\AstroGrep.exe" /spath="%USERPROFILE%\AppData\Local\Temp\OnboardLogs" /stypes="app*4028*20170108*" /stext=" 23:.+((SYSTEM_STATE.+slice.+state.+changed )|(ment ac)|(multiple cpu faults)|(system.+state.+changed )|(\[timeout)|(PRM\|1\|D)|(kpr)|(kdp)|(\|lc)|(penalty))" /e /r /s</v>
      </c>
      <c r="AG98" s="1" t="str">
        <f t="shared" si="99"/>
        <v>EC</v>
      </c>
      <c r="AH98" s="88" t="str">
        <f t="shared" si="100"/>
        <v>"%USERPROFILE%\Documents\GitHub\eaglep3\Utilities\RefineRTDCRunTimes.py" --tripid 190-08 --locoid 4028 --swversion DE.1.0.8.0 --startMP 204:232986 --initTime 2017-01-08T15:34:18 --startdatetime 2017-01-08T15:41:21 --delay 2 --endMP 204:139 --enddatetime 2017-01-08T16:21:09 --enforcementcount 0 &gt;&gt;C:\Users\stu\Documents\GitHub\eaglep3-reporting\EC\2017-01-08-refined-times.txt</v>
      </c>
      <c r="AI98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{"issue":{"subject":"","project_id":79,"tracker_id":40,"status_id":1,"priority_id":2,"assigned_to_id":23,"start_date":"2017-01-08","description":"","custom_fields":[{"id":1,"name":"Subdivision","value":"EC"},{"id":4,"name":"Milepost","value":"0.0139"},{"id":17,"name":"Train ID","value":"190-08"},{"id":16,"name":"Locomotive ID","value":"4028"},{"id":130,"name":"Impact","value":""},{"id":150,"name":"Time of Event (Mountain Time)","value":"16:21:09"},{"id":151,"name":"Denver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102"/>
        <v>start /low /b %USERPROFILE%\Documents\GitHub\eaglep3\Utilities\DownloadLogsFromS3.py --loco 4028 --day 2017-01-08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548</v>
      </c>
      <c r="B99" s="7">
        <v>4022</v>
      </c>
      <c r="C99" s="22" t="s">
        <v>203</v>
      </c>
      <c r="D99" s="22" t="s">
        <v>405</v>
      </c>
      <c r="E99" s="13">
        <v>42743.615810185183</v>
      </c>
      <c r="F99" s="13">
        <v>42743.625405092593</v>
      </c>
      <c r="G99" s="7">
        <v>2</v>
      </c>
      <c r="H99" s="22" t="s">
        <v>655</v>
      </c>
      <c r="I99" s="13">
        <v>42743.650416666664</v>
      </c>
      <c r="J99" s="7">
        <v>0</v>
      </c>
      <c r="K99" s="105" t="str">
        <f t="shared" si="85"/>
        <v>4021/4022</v>
      </c>
      <c r="L99" s="22" t="str">
        <f>VLOOKUP(A99,'Trips&amp;Operators'!$C$1:$G$99999,5,FALSE)</f>
        <v>CRAYTON QUNTRELL</v>
      </c>
      <c r="M99" s="6">
        <f t="shared" si="86"/>
        <v>2.5011574070958886E-2</v>
      </c>
      <c r="N99" s="7">
        <f t="shared" si="87"/>
        <v>36.016666662180796</v>
      </c>
      <c r="O99" s="7"/>
      <c r="P99" s="7"/>
      <c r="Q99" s="23"/>
      <c r="R99" s="23"/>
      <c r="S99" s="32">
        <f t="shared" si="88"/>
        <v>1</v>
      </c>
      <c r="T99" s="47" t="str">
        <f t="shared" si="89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13:46:46-700',mode:absolute,to:'2017-01-08 16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9" s="49" t="str">
        <f t="shared" si="91"/>
        <v>N</v>
      </c>
      <c r="X99" s="173">
        <f t="shared" si="92"/>
        <v>1</v>
      </c>
      <c r="Y99" s="64">
        <f t="shared" si="93"/>
        <v>6.7500000000000004E-2</v>
      </c>
      <c r="Z99" s="64">
        <f t="shared" si="94"/>
        <v>23.3308</v>
      </c>
      <c r="AA99" s="64">
        <f t="shared" si="95"/>
        <v>23.263300000000001</v>
      </c>
      <c r="AB99" s="61" t="e">
        <f>VLOOKUP(A99,Enforcements!$C$7:$K$18,8,0)</f>
        <v>#N/A</v>
      </c>
      <c r="AC99" s="57" t="e">
        <f>VLOOKUP(A99,Enforcements!$C$7:$E$18,3,0)</f>
        <v>#N/A</v>
      </c>
      <c r="AD99" s="58" t="str">
        <f t="shared" si="96"/>
        <v>0191-08</v>
      </c>
      <c r="AE99" s="87" t="str">
        <f t="shared" si="97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99" s="84" t="str">
        <f t="shared" si="98"/>
        <v>"C:\Program Files (x86)\AstroGrep\AstroGrep.exe" /spath="%USERPROFILE%\AppData\Local\Temp\OnboardLogs" /stypes="app*4022*20170108*" /stext=" 22:.+((SYSTEM_STATE.+slice.+state.+changed )|(ment ac)|(multiple cpu faults)|(system.+state.+changed )|(\[timeout)|(PRM\|1\|D)|(kpr)|(kdp)|(\|lc)|(penalty))" /e /r /s</v>
      </c>
      <c r="AG99" s="1" t="str">
        <f t="shared" si="99"/>
        <v>EC</v>
      </c>
      <c r="AH99" s="88" t="str">
        <f t="shared" si="100"/>
        <v>"%USERPROFILE%\Documents\GitHub\eaglep3\Utilities\RefineRTDCRunTimes.py" --tripid 191-08 --locoid 4022 --swversion DE.1.0.8.0 --startMP 204:675 --initTime 2017-01-08T14:46:46 --startdatetime 2017-01-08T15:00:35 --delay 2 --endMP 204:233308 --enddatetime 2017-01-08T15:36:36 --enforcementcount 0 &gt;&gt;C:\Users\stu\Documents\GitHub\eaglep3-reporting\EC\2017-01-08-refined-times.txt</v>
      </c>
      <c r="AI99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{"issue":{"subject":"","project_id":79,"tracker_id":40,"status_id":1,"priority_id":2,"assigned_to_id":23,"start_date":"2017-01-08","description":"","custom_fields":[{"id":1,"name":"Subdivision","value":"EC"},{"id":4,"name":"Milepost","value":"23.3308"},{"id":17,"name":"Train ID","value":"191-08"},{"id":16,"name":"Locomotive ID","value":"4022"},{"id":130,"name":"Impact","value":""},{"id":150,"name":"Time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102"/>
        <v>start /low /b %USERPROFILE%\Documents\GitHub\eaglep3\Utilities\DownloadLogsFromS3.py --loco 4022 --day 2017-01-08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555</v>
      </c>
      <c r="B100" s="7">
        <v>4021</v>
      </c>
      <c r="C100" s="22" t="s">
        <v>203</v>
      </c>
      <c r="D100" s="22" t="s">
        <v>312</v>
      </c>
      <c r="E100" s="13">
        <v>42743.659398148149</v>
      </c>
      <c r="F100" s="13">
        <v>42743.664097222223</v>
      </c>
      <c r="G100" s="7">
        <v>1</v>
      </c>
      <c r="H100" s="22" t="s">
        <v>741</v>
      </c>
      <c r="I100" s="13">
        <v>42743.690706018519</v>
      </c>
      <c r="J100" s="7">
        <v>0</v>
      </c>
      <c r="K100" s="105" t="str">
        <f t="shared" si="85"/>
        <v>4021/4022</v>
      </c>
      <c r="L100" s="22" t="str">
        <f>VLOOKUP(A100,'Trips&amp;Operators'!$C$1:$G$99999,5,FALSE)</f>
        <v>CRAYTON QUNTRELL</v>
      </c>
      <c r="M100" s="6">
        <f t="shared" si="86"/>
        <v>2.6608796295477077E-2</v>
      </c>
      <c r="N100" s="7">
        <f t="shared" si="87"/>
        <v>38.316666665486991</v>
      </c>
      <c r="O100" s="7"/>
      <c r="P100" s="7"/>
      <c r="Q100" s="23"/>
      <c r="R100" s="23"/>
      <c r="S100" s="32">
        <f t="shared" si="88"/>
        <v>1</v>
      </c>
      <c r="T100" s="47" t="str">
        <f t="shared" si="89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14:49:32-700',mode:absolute,to:'2017-01-08 17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0" s="49" t="str">
        <f t="shared" si="91"/>
        <v>N</v>
      </c>
      <c r="X100" s="173">
        <f t="shared" si="92"/>
        <v>1</v>
      </c>
      <c r="Y100" s="64">
        <f t="shared" si="93"/>
        <v>23.298300000000001</v>
      </c>
      <c r="Z100" s="64">
        <f t="shared" si="94"/>
        <v>1.54E-2</v>
      </c>
      <c r="AA100" s="64">
        <f t="shared" si="95"/>
        <v>23.282900000000001</v>
      </c>
      <c r="AB100" s="61" t="e">
        <f>VLOOKUP(A100,Enforcements!$C$7:$K$18,8,0)</f>
        <v>#N/A</v>
      </c>
      <c r="AC100" s="57" t="e">
        <f>VLOOKUP(A100,Enforcements!$C$7:$E$18,3,0)</f>
        <v>#N/A</v>
      </c>
      <c r="AD100" s="58" t="str">
        <f t="shared" si="96"/>
        <v>0192-08</v>
      </c>
      <c r="AE100" s="87" t="str">
        <f t="shared" si="97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00" s="84" t="str">
        <f t="shared" si="98"/>
        <v>"C:\Program Files (x86)\AstroGrep\AstroGrep.exe" /spath="%USERPROFILE%\AppData\Local\Temp\OnboardLogs" /stypes="app*4021*20170108*" /stext=" 23:.+((SYSTEM_STATE.+slice.+state.+changed )|(ment ac)|(multiple cpu faults)|(system.+state.+changed )|(\[timeout)|(PRM\|1\|D)|(kpr)|(kdp)|(\|lc)|(penalty))" /e /r /s</v>
      </c>
      <c r="AG100" s="1" t="str">
        <f t="shared" si="99"/>
        <v>EC</v>
      </c>
      <c r="AH100" s="88" t="str">
        <f t="shared" si="100"/>
        <v>"%USERPROFILE%\Documents\GitHub\eaglep3\Utilities\RefineRTDCRunTimes.py" --tripid 192-08 --locoid 4021 --swversion DE.1.0.8.0 --startMP 204:232983 --initTime 2017-01-08T15:49:32 --startdatetime 2017-01-08T15:56:18 --delay 1 --endMP 204:154 --enddatetime 2017-01-08T16:34:37 --enforcementcount 0 &gt;&gt;C:\Users\stu\Documents\GitHub\eaglep3-reporting\EC\2017-01-08-refined-times.txt</v>
      </c>
      <c r="AI100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{"issue":{"subject":"","project_id":79,"tracker_id":40,"status_id":1,"priority_id":2,"assigned_to_id":23,"start_date":"2017-01-08","description":"","custom_fields":[{"id":1,"name":"Subdivision","value":"EC"},{"id":4,"name":"Milepost","value":"0.0154"},{"id":17,"name":"Train ID","value":"192-08"},{"id":16,"name":"Locomotive ID","value":"4021"},{"id":130,"name":"Impact","value":""},{"id":150,"name":"Time of Event (Mountain Time)","value":"16:34:37"},{"id":151,"name":"Denver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102"/>
        <v>start /low /b %USERPROFILE%\Documents\GitHub\eaglep3\Utilities\DownloadLogsFromS3.py --loco 4021 --day 2017-01-08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4" t="s">
        <v>549</v>
      </c>
      <c r="B101" s="7">
        <v>4025</v>
      </c>
      <c r="C101" s="22" t="s">
        <v>203</v>
      </c>
      <c r="D101" s="22" t="s">
        <v>742</v>
      </c>
      <c r="E101" s="13">
        <v>42743.621388888889</v>
      </c>
      <c r="F101" s="13">
        <v>42743.635613425926</v>
      </c>
      <c r="G101" s="7">
        <v>1</v>
      </c>
      <c r="H101" s="22" t="s">
        <v>319</v>
      </c>
      <c r="I101" s="13">
        <v>42743.662361111114</v>
      </c>
      <c r="J101" s="7">
        <v>0</v>
      </c>
      <c r="K101" s="105" t="str">
        <f t="shared" si="85"/>
        <v>4025/4026</v>
      </c>
      <c r="L101" s="22" t="str">
        <f>VLOOKUP(A101,'Trips&amp;Operators'!$C$1:$G$99999,5,FALSE)</f>
        <v>KILLION DAVID</v>
      </c>
      <c r="M101" s="6">
        <f t="shared" si="86"/>
        <v>2.6747685187729076E-2</v>
      </c>
      <c r="N101" s="7">
        <f t="shared" si="87"/>
        <v>38.516666670329869</v>
      </c>
      <c r="O101" s="7"/>
      <c r="P101" s="7"/>
      <c r="Q101" s="23"/>
      <c r="R101" s="23"/>
      <c r="S101" s="32">
        <f t="shared" si="88"/>
        <v>1</v>
      </c>
      <c r="T101" s="47" t="str">
        <f t="shared" si="89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13:54:48-700',mode:absolute,to:'2017-01-08 16:53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1" s="49" t="str">
        <f t="shared" si="91"/>
        <v>N</v>
      </c>
      <c r="X101" s="173">
        <f t="shared" si="92"/>
        <v>1</v>
      </c>
      <c r="Y101" s="64">
        <f t="shared" si="93"/>
        <v>3.7100000000000001E-2</v>
      </c>
      <c r="Z101" s="64">
        <f t="shared" si="94"/>
        <v>23.329499999999999</v>
      </c>
      <c r="AA101" s="64">
        <f t="shared" si="95"/>
        <v>23.292400000000001</v>
      </c>
      <c r="AB101" s="61" t="e">
        <f>VLOOKUP(A101,Enforcements!$C$7:$K$18,8,0)</f>
        <v>#N/A</v>
      </c>
      <c r="AC101" s="57" t="e">
        <f>VLOOKUP(A101,Enforcements!$C$7:$E$18,3,0)</f>
        <v>#N/A</v>
      </c>
      <c r="AD101" s="58" t="str">
        <f t="shared" si="96"/>
        <v>0193-08</v>
      </c>
      <c r="AE101" s="87" t="str">
        <f t="shared" si="97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101" s="84" t="str">
        <f t="shared" si="98"/>
        <v>"C:\Program Files (x86)\AstroGrep\AstroGrep.exe" /spath="%USERPROFILE%\AppData\Local\Temp\OnboardLogs" /stypes="app*4025*20170108*" /stext=" 22:.+((SYSTEM_STATE.+slice.+state.+changed )|(ment ac)|(multiple cpu faults)|(system.+state.+changed )|(\[timeout)|(PRM\|1\|D)|(kpr)|(kdp)|(\|lc)|(penalty))" /e /r /s</v>
      </c>
      <c r="AG101" s="1" t="str">
        <f t="shared" si="99"/>
        <v>EC</v>
      </c>
      <c r="AH101" s="88" t="str">
        <f t="shared" si="100"/>
        <v>"%USERPROFILE%\Documents\GitHub\eaglep3\Utilities\RefineRTDCRunTimes.py" --tripid 193-08 --locoid 4025 --swversion DE.1.0.8.0 --startMP 204:371 --initTime 2017-01-08T14:54:48 --startdatetime 2017-01-08T15:15:17 --delay 1 --endMP 204:233295 --enddatetime 2017-01-08T15:53:48 --enforcementcount 0 &gt;&gt;C:\Users\stu\Documents\GitHub\eaglep3-reporting\EC\2017-01-08-refined-times.txt</v>
      </c>
      <c r="AI101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{"issue":{"subject":"","project_id":79,"tracker_id":40,"status_id":1,"priority_id":2,"assigned_to_id":23,"start_date":"2017-01-08","description":"","custom_fields":[{"id":1,"name":"Subdivision","value":"EC"},{"id":4,"name":"Milepost","value":"23.3295"},{"id":17,"name":"Train ID","value":"193-08"},{"id":16,"name":"Locomotive ID","value":"4025"},{"id":130,"name":"Impact","value":""},{"id":150,"name":"Time of Event (Mountain Time)","value":"15:53:48"},{"id":151,"name":"Denver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102"/>
        <v>start /low /b %USERPROFILE%\Documents\GitHub\eaglep3\Utilities\DownloadLogsFromS3.py --loco 4025 --day 2017-01-08</v>
      </c>
    </row>
    <row r="102" spans="1:91" s="21" customFormat="1" x14ac:dyDescent="0.25">
      <c r="A102" s="34" t="s">
        <v>556</v>
      </c>
      <c r="B102" s="7">
        <v>4026</v>
      </c>
      <c r="C102" s="22" t="s">
        <v>203</v>
      </c>
      <c r="D102" s="22" t="s">
        <v>695</v>
      </c>
      <c r="E102" s="13">
        <v>42743.669965277775</v>
      </c>
      <c r="F102" s="13">
        <v>42743.67454861111</v>
      </c>
      <c r="G102" s="7">
        <v>1</v>
      </c>
      <c r="H102" s="22" t="s">
        <v>244</v>
      </c>
      <c r="I102" s="13">
        <v>42743.701412037037</v>
      </c>
      <c r="J102" s="7">
        <v>0</v>
      </c>
      <c r="K102" s="105" t="str">
        <f t="shared" si="85"/>
        <v>4025/4026</v>
      </c>
      <c r="L102" s="22" t="str">
        <f>VLOOKUP(A102,'Trips&amp;Operators'!$C$1:$G$99999,5,FALSE)</f>
        <v>KILLION DAVID</v>
      </c>
      <c r="M102" s="6">
        <f t="shared" si="86"/>
        <v>2.6863425926421769E-2</v>
      </c>
      <c r="N102" s="7">
        <f t="shared" si="87"/>
        <v>38.683333334047347</v>
      </c>
      <c r="O102" s="7"/>
      <c r="P102" s="7"/>
      <c r="Q102" s="23"/>
      <c r="R102" s="23"/>
      <c r="S102" s="32">
        <f t="shared" si="88"/>
        <v>1</v>
      </c>
      <c r="T102" s="47" t="str">
        <f t="shared" si="89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15:04:45-700',mode:absolute,to:'2017-01-08 17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2" s="49" t="str">
        <f t="shared" si="91"/>
        <v>N</v>
      </c>
      <c r="X102" s="173">
        <f t="shared" si="92"/>
        <v>1</v>
      </c>
      <c r="Y102" s="64">
        <f t="shared" si="93"/>
        <v>23.297999999999998</v>
      </c>
      <c r="Z102" s="64">
        <f t="shared" si="94"/>
        <v>1.47E-2</v>
      </c>
      <c r="AA102" s="64">
        <f t="shared" si="95"/>
        <v>23.283299999999997</v>
      </c>
      <c r="AB102" s="61" t="e">
        <f>VLOOKUP(A102,Enforcements!$C$7:$K$18,8,0)</f>
        <v>#N/A</v>
      </c>
      <c r="AC102" s="57" t="e">
        <f>VLOOKUP(A102,Enforcements!$C$7:$E$18,3,0)</f>
        <v>#N/A</v>
      </c>
      <c r="AD102" s="58" t="str">
        <f t="shared" si="96"/>
        <v>0194-08</v>
      </c>
      <c r="AE102" s="87" t="str">
        <f t="shared" si="97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102" s="84" t="str">
        <f t="shared" si="98"/>
        <v>"C:\Program Files (x86)\AstroGrep\AstroGrep.exe" /spath="%USERPROFILE%\AppData\Local\Temp\OnboardLogs" /stypes="app*4026*20170108*" /stext=" 23:.+((SYSTEM_STATE.+slice.+state.+changed )|(ment ac)|(multiple cpu faults)|(system.+state.+changed )|(\[timeout)|(PRM\|1\|D)|(kpr)|(kdp)|(\|lc)|(penalty))" /e /r /s</v>
      </c>
      <c r="AG102" s="1" t="str">
        <f t="shared" si="99"/>
        <v>EC</v>
      </c>
      <c r="AH102" s="88" t="str">
        <f t="shared" si="100"/>
        <v>"%USERPROFILE%\Documents\GitHub\eaglep3\Utilities\RefineRTDCRunTimes.py" --tripid 194-08 --locoid 4026 --swversion DE.1.0.8.0 --startMP 204:232980 --initTime 2017-01-08T16:04:45 --startdatetime 2017-01-08T16:11:21 --delay 1 --endMP 204:147 --enddatetime 2017-01-08T16:50:02 --enforcementcount 0 &gt;&gt;C:\Users\stu\Documents\GitHub\eaglep3-reporting\EC\2017-01-08-refined-times.txt</v>
      </c>
      <c r="AI102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{"issue":{"subject":"","project_id":79,"tracker_id":40,"status_id":1,"priority_id":2,"assigned_to_id":23,"start_date":"2017-01-08","description":"","custom_fields":[{"id":1,"name":"Subdivision","value":"EC"},{"id":4,"name":"Milepost","value":"0.0147"},{"id":17,"name":"Train ID","value":"194-08"},{"id":16,"name":"Locomotive ID","value":"4026"},{"id":130,"name":"Impact","value":""},{"id":150,"name":"Time of Event (Mountain Time)","value":"16:50:02"},{"id":151,"name":"Denver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102"/>
        <v>start /low /b %USERPROFILE%\Documents\GitHub\eaglep3\Utilities\DownloadLogsFromS3.py --loco 4026 --day 2017-01-08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550</v>
      </c>
      <c r="B103" s="7">
        <v>4007</v>
      </c>
      <c r="C103" s="22" t="s">
        <v>203</v>
      </c>
      <c r="D103" s="22" t="s">
        <v>743</v>
      </c>
      <c r="E103" s="13">
        <v>42743.63386574074</v>
      </c>
      <c r="F103" s="13">
        <v>42743.646168981482</v>
      </c>
      <c r="G103" s="7">
        <v>2</v>
      </c>
      <c r="H103" s="22" t="s">
        <v>744</v>
      </c>
      <c r="I103" s="13">
        <v>42743.670335648145</v>
      </c>
      <c r="J103" s="7">
        <v>0</v>
      </c>
      <c r="K103" s="105" t="str">
        <f t="shared" si="85"/>
        <v>4007/4008</v>
      </c>
      <c r="L103" s="22" t="str">
        <f>VLOOKUP(A103,'Trips&amp;Operators'!$C$1:$G$99999,5,FALSE)</f>
        <v>ROMERO CHAD</v>
      </c>
      <c r="M103" s="6">
        <f t="shared" si="86"/>
        <v>2.4166666662495118E-2</v>
      </c>
      <c r="N103" s="7">
        <f t="shared" si="87"/>
        <v>34.799999993992969</v>
      </c>
      <c r="O103" s="7"/>
      <c r="P103" s="7"/>
      <c r="Q103" s="23"/>
      <c r="R103" s="23"/>
      <c r="S103" s="32">
        <f t="shared" si="88"/>
        <v>1</v>
      </c>
      <c r="T103" s="47" t="str">
        <f t="shared" si="89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14:12:46-700',mode:absolute,to:'2017-01-08 17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3" s="49" t="str">
        <f t="shared" si="91"/>
        <v>N</v>
      </c>
      <c r="X103" s="173">
        <f t="shared" si="92"/>
        <v>1</v>
      </c>
      <c r="Y103" s="64">
        <f t="shared" si="93"/>
        <v>4.2000000000000003E-2</v>
      </c>
      <c r="Z103" s="64">
        <f t="shared" si="94"/>
        <v>23.333200000000001</v>
      </c>
      <c r="AA103" s="64">
        <f t="shared" si="95"/>
        <v>23.2912</v>
      </c>
      <c r="AB103" s="61" t="e">
        <f>VLOOKUP(A103,Enforcements!$C$7:$K$18,8,0)</f>
        <v>#N/A</v>
      </c>
      <c r="AC103" s="57" t="e">
        <f>VLOOKUP(A103,Enforcements!$C$7:$E$18,3,0)</f>
        <v>#N/A</v>
      </c>
      <c r="AD103" s="58" t="str">
        <f t="shared" si="96"/>
        <v>0195-08</v>
      </c>
      <c r="AE103" s="87" t="str">
        <f t="shared" si="97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03" s="84" t="str">
        <f t="shared" si="98"/>
        <v>"C:\Program Files (x86)\AstroGrep\AstroGrep.exe" /spath="%USERPROFILE%\AppData\Local\Temp\OnboardLogs" /stypes="app*4007*20170108*" /stext=" 23:.+((SYSTEM_STATE.+slice.+state.+changed )|(ment ac)|(multiple cpu faults)|(system.+state.+changed )|(\[timeout)|(PRM\|1\|D)|(kpr)|(kdp)|(\|lc)|(penalty))" /e /r /s</v>
      </c>
      <c r="AG103" s="1" t="str">
        <f t="shared" si="99"/>
        <v>EC</v>
      </c>
      <c r="AH103" s="88" t="str">
        <f t="shared" si="100"/>
        <v>"%USERPROFILE%\Documents\GitHub\eaglep3\Utilities\RefineRTDCRunTimes.py" --tripid 195-08 --locoid 4007 --swversion DE.1.0.8.0 --startMP 204:420 --initTime 2017-01-08T15:12:46 --startdatetime 2017-01-08T15:30:29 --delay 2 --endMP 204:233332 --enddatetime 2017-01-08T16:05:17 --enforcementcount 0 &gt;&gt;C:\Users\stu\Documents\GitHub\eaglep3-reporting\EC\2017-01-08-refined-times.txt</v>
      </c>
      <c r="AI103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{"issue":{"subject":"","project_id":79,"tracker_id":40,"status_id":1,"priority_id":2,"assigned_to_id":23,"start_date":"2017-01-08","description":"","custom_fields":[{"id":1,"name":"Subdivision","value":"EC"},{"id":4,"name":"Milepost","value":"23.3332"},{"id":17,"name":"Train ID","value":"195-08"},{"id":16,"name":"Locomotive ID","value":"4007"},{"id":130,"name":"Impact","value":""},{"id":150,"name":"Time of Event (Mountain Time)","value":"16:05:17"},{"id":151,"name":"Denver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102"/>
        <v>start /low /b %USERPROFILE%\Documents\GitHub\eaglep3\Utilities\DownloadLogsFromS3.py --loco 4007 --day 2017-01-08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559</v>
      </c>
      <c r="B104" s="7">
        <v>4008</v>
      </c>
      <c r="C104" s="22" t="s">
        <v>203</v>
      </c>
      <c r="D104" s="22" t="s">
        <v>718</v>
      </c>
      <c r="E104" s="13">
        <v>42743.673194444447</v>
      </c>
      <c r="F104" s="13">
        <v>42743.684953703705</v>
      </c>
      <c r="G104" s="7">
        <v>1</v>
      </c>
      <c r="H104" s="22" t="s">
        <v>244</v>
      </c>
      <c r="I104" s="13">
        <v>42743.710763888892</v>
      </c>
      <c r="J104" s="7">
        <v>0</v>
      </c>
      <c r="K104" s="105" t="str">
        <f t="shared" si="85"/>
        <v>4007/4008</v>
      </c>
      <c r="L104" s="22" t="str">
        <f>VLOOKUP(A104,'Trips&amp;Operators'!$C$1:$G$99999,5,FALSE)</f>
        <v>ROMERO CHAD</v>
      </c>
      <c r="M104" s="6">
        <f t="shared" si="86"/>
        <v>2.5810185186855961E-2</v>
      </c>
      <c r="N104" s="7">
        <f t="shared" si="87"/>
        <v>37.166666669072583</v>
      </c>
      <c r="O104" s="7"/>
      <c r="P104" s="7"/>
      <c r="Q104" s="23"/>
      <c r="R104" s="23"/>
      <c r="S104" s="32">
        <f t="shared" si="88"/>
        <v>1</v>
      </c>
      <c r="T104" s="47" t="str">
        <f t="shared" si="89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15:09:24-700',mode:absolute,to:'2017-01-08 18:03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4" s="49" t="str">
        <f t="shared" si="91"/>
        <v>N</v>
      </c>
      <c r="X104" s="173">
        <f t="shared" si="92"/>
        <v>1</v>
      </c>
      <c r="Y104" s="64">
        <f t="shared" si="93"/>
        <v>23.3002</v>
      </c>
      <c r="Z104" s="64">
        <f t="shared" si="94"/>
        <v>1.47E-2</v>
      </c>
      <c r="AA104" s="64">
        <f t="shared" si="95"/>
        <v>23.285499999999999</v>
      </c>
      <c r="AB104" s="61" t="e">
        <f>VLOOKUP(A104,Enforcements!$C$7:$K$18,8,0)</f>
        <v>#N/A</v>
      </c>
      <c r="AC104" s="57" t="e">
        <f>VLOOKUP(A104,Enforcements!$C$7:$E$18,3,0)</f>
        <v>#N/A</v>
      </c>
      <c r="AD104" s="58" t="str">
        <f t="shared" si="96"/>
        <v>0196-08</v>
      </c>
      <c r="AE104" s="87" t="str">
        <f t="shared" si="97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04" s="84" t="str">
        <f t="shared" si="98"/>
        <v>"C:\Program Files (x86)\AstroGrep\AstroGrep.exe" /spath="%USERPROFILE%\AppData\Local\Temp\OnboardLogs" /stypes="app*4008*20170109*" /stext=" 00:.+((SYSTEM_STATE.+slice.+state.+changed )|(ment ac)|(multiple cpu faults)|(system.+state.+changed )|(\[timeout)|(PRM\|1\|D)|(kpr)|(kdp)|(\|lc)|(penalty))" /e /r /s</v>
      </c>
      <c r="AG104" s="1" t="str">
        <f t="shared" si="99"/>
        <v>EC</v>
      </c>
      <c r="AH104" s="88" t="str">
        <f t="shared" si="100"/>
        <v>"%USERPROFILE%\Documents\GitHub\eaglep3\Utilities\RefineRTDCRunTimes.py" --tripid 196-08 --locoid 4008 --swversion DE.1.0.8.0 --startMP 204:233002 --initTime 2017-01-08T16:09:24 --startdatetime 2017-01-08T16:26:20 --delay 1 --endMP 204:147 --enddatetime 2017-01-08T17:03:30 --enforcementcount 0 &gt;&gt;C:\Users\stu\Documents\GitHub\eaglep3-reporting\EC\2017-01-08-refined-times.txt</v>
      </c>
      <c r="AI104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{"issue":{"subject":"","project_id":79,"tracker_id":40,"status_id":1,"priority_id":2,"assigned_to_id":23,"start_date":"2017-01-08","description":"","custom_fields":[{"id":1,"name":"Subdivision","value":"EC"},{"id":4,"name":"Milepost","value":"0.0147"},{"id":17,"name":"Train ID","value":"196-08"},{"id":16,"name":"Locomotive ID","value":"4008"},{"id":130,"name":"Impact","value":""},{"id":150,"name":"Time of Event (Mountain Time)","value":"17:03:30"},{"id":151,"name":"Denver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102"/>
        <v>start /low /b %USERPROFILE%\Documents\GitHub\eaglep3\Utilities\DownloadLogsFromS3.py --loco 4008 --day 2017-01-08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554</v>
      </c>
      <c r="B105" s="7">
        <v>4040</v>
      </c>
      <c r="C105" s="22" t="s">
        <v>203</v>
      </c>
      <c r="D105" s="22" t="s">
        <v>290</v>
      </c>
      <c r="E105" s="13">
        <v>42743.652175925927</v>
      </c>
      <c r="F105" s="13">
        <v>42743.656712962962</v>
      </c>
      <c r="G105" s="7">
        <v>2</v>
      </c>
      <c r="H105" s="22" t="s">
        <v>745</v>
      </c>
      <c r="I105" s="13">
        <v>42743.682037037041</v>
      </c>
      <c r="J105" s="7">
        <v>0</v>
      </c>
      <c r="K105" s="105" t="str">
        <f t="shared" si="85"/>
        <v>4039/4040</v>
      </c>
      <c r="L105" s="22" t="str">
        <f>VLOOKUP(A105,'Trips&amp;Operators'!$C$1:$G$99999,5,FALSE)</f>
        <v>LEVIN SCOTT</v>
      </c>
      <c r="M105" s="6">
        <f t="shared" si="86"/>
        <v>2.5324074078525882E-2</v>
      </c>
      <c r="N105" s="7">
        <f t="shared" si="87"/>
        <v>36.46666667307727</v>
      </c>
      <c r="O105" s="7"/>
      <c r="P105" s="7"/>
      <c r="Q105" s="23"/>
      <c r="R105" s="23"/>
      <c r="S105" s="32">
        <f t="shared" si="88"/>
        <v>1</v>
      </c>
      <c r="T105" s="47" t="str">
        <f t="shared" si="89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14:39:08-700',mode:absolute,to:'2017-01-08 17:22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49" t="str">
        <f t="shared" si="91"/>
        <v>N</v>
      </c>
      <c r="X105" s="173">
        <f t="shared" si="92"/>
        <v>1</v>
      </c>
      <c r="Y105" s="64">
        <f t="shared" si="93"/>
        <v>4.4400000000000002E-2</v>
      </c>
      <c r="Z105" s="64">
        <f t="shared" si="94"/>
        <v>23.330500000000001</v>
      </c>
      <c r="AA105" s="64">
        <f t="shared" si="95"/>
        <v>23.286100000000001</v>
      </c>
      <c r="AB105" s="61" t="e">
        <f>VLOOKUP(A105,Enforcements!$C$7:$K$18,8,0)</f>
        <v>#N/A</v>
      </c>
      <c r="AC105" s="57" t="e">
        <f>VLOOKUP(A105,Enforcements!$C$7:$E$18,3,0)</f>
        <v>#N/A</v>
      </c>
      <c r="AD105" s="58" t="str">
        <f t="shared" si="96"/>
        <v>0197-08</v>
      </c>
      <c r="AE105" s="87" t="str">
        <f t="shared" si="97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05" s="84" t="str">
        <f t="shared" si="98"/>
        <v>"C:\Program Files (x86)\AstroGrep\AstroGrep.exe" /spath="%USERPROFILE%\AppData\Local\Temp\OnboardLogs" /stypes="app*4040*20170108*" /stext=" 23:.+((SYSTEM_STATE.+slice.+state.+changed )|(ment ac)|(multiple cpu faults)|(system.+state.+changed )|(\[timeout)|(PRM\|1\|D)|(kpr)|(kdp)|(\|lc)|(penalty))" /e /r /s</v>
      </c>
      <c r="AG105" s="1" t="str">
        <f t="shared" si="99"/>
        <v>EC</v>
      </c>
      <c r="AH105" s="88" t="str">
        <f t="shared" si="100"/>
        <v>"%USERPROFILE%\Documents\GitHub\eaglep3\Utilities\RefineRTDCRunTimes.py" --tripid 197-08 --locoid 4040 --swversion DE.1.0.8.0 --startMP 204:444 --initTime 2017-01-08T15:39:08 --startdatetime 2017-01-08T15:45:40 --delay 2 --endMP 204:233305 --enddatetime 2017-01-08T16:22:08 --enforcementcount 0 &gt;&gt;C:\Users\stu\Documents\GitHub\eaglep3-reporting\EC\2017-01-08-refined-times.txt</v>
      </c>
      <c r="AI105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{"issue":{"subject":"","project_id":79,"tracker_id":40,"status_id":1,"priority_id":2,"assigned_to_id":23,"start_date":"2017-01-08","description":"","custom_fields":[{"id":1,"name":"Subdivision","value":"EC"},{"id":4,"name":"Milepost","value":"23.3305"},{"id":17,"name":"Train ID","value":"197-08"},{"id":16,"name":"Locomotive ID","value":"4040"},{"id":130,"name":"Impact","value":""},{"id":150,"name":"Time of Event (Mountain Time)","value":"16:22:08"},{"id":151,"name":"Denver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102"/>
        <v>start /low /b %USERPROFILE%\Documents\GitHub\eaglep3\Utilities\DownloadLogsFromS3.py --loco 4040 --day 2017-01-08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562</v>
      </c>
      <c r="B106" s="7">
        <v>4039</v>
      </c>
      <c r="C106" s="22" t="s">
        <v>203</v>
      </c>
      <c r="D106" s="22" t="s">
        <v>746</v>
      </c>
      <c r="E106" s="13">
        <v>42743.689004629632</v>
      </c>
      <c r="F106" s="13">
        <v>42743.695798611108</v>
      </c>
      <c r="G106" s="7">
        <v>1</v>
      </c>
      <c r="H106" s="22" t="s">
        <v>747</v>
      </c>
      <c r="I106" s="13">
        <v>42743.721562500003</v>
      </c>
      <c r="J106" s="7">
        <v>0</v>
      </c>
      <c r="K106" s="105" t="str">
        <f t="shared" si="85"/>
        <v>4039/4040</v>
      </c>
      <c r="L106" s="22" t="str">
        <f>VLOOKUP(A106,'Trips&amp;Operators'!$C$1:$G$99999,5,FALSE)</f>
        <v>LEVIN SCOTT</v>
      </c>
      <c r="M106" s="6">
        <f t="shared" si="86"/>
        <v>2.5763888894289266E-2</v>
      </c>
      <c r="N106" s="7">
        <f t="shared" si="87"/>
        <v>37.100000007776543</v>
      </c>
      <c r="O106" s="7"/>
      <c r="P106" s="7"/>
      <c r="Q106" s="23"/>
      <c r="R106" s="23"/>
      <c r="S106" s="32">
        <f t="shared" si="88"/>
        <v>1</v>
      </c>
      <c r="T106" s="47" t="str">
        <f t="shared" si="89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15:32:10-700',mode:absolute,to:'2017-01-08 18:19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49" t="str">
        <f t="shared" si="91"/>
        <v>N</v>
      </c>
      <c r="X106" s="173">
        <f t="shared" si="92"/>
        <v>1</v>
      </c>
      <c r="Y106" s="64">
        <f t="shared" si="93"/>
        <v>23.299600000000002</v>
      </c>
      <c r="Z106" s="64">
        <f t="shared" si="94"/>
        <v>1.18E-2</v>
      </c>
      <c r="AA106" s="64">
        <f t="shared" si="95"/>
        <v>23.287800000000001</v>
      </c>
      <c r="AB106" s="61" t="e">
        <f>VLOOKUP(A106,Enforcements!$C$7:$K$18,8,0)</f>
        <v>#N/A</v>
      </c>
      <c r="AC106" s="57" t="e">
        <f>VLOOKUP(A106,Enforcements!$C$7:$E$18,3,0)</f>
        <v>#N/A</v>
      </c>
      <c r="AD106" s="58" t="str">
        <f t="shared" si="96"/>
        <v>0198-08</v>
      </c>
      <c r="AE106" s="87" t="str">
        <f t="shared" si="97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106" s="84" t="str">
        <f t="shared" si="98"/>
        <v>"C:\Program Files (x86)\AstroGrep\AstroGrep.exe" /spath="%USERPROFILE%\AppData\Local\Temp\OnboardLogs" /stypes="app*4039*20170109*" /stext=" 00:.+((SYSTEM_STATE.+slice.+state.+changed )|(ment ac)|(multiple cpu faults)|(system.+state.+changed )|(\[timeout)|(PRM\|1\|D)|(kpr)|(kdp)|(\|lc)|(penalty))" /e /r /s</v>
      </c>
      <c r="AG106" s="1" t="str">
        <f t="shared" si="99"/>
        <v>EC</v>
      </c>
      <c r="AH106" s="88" t="str">
        <f t="shared" si="100"/>
        <v>"%USERPROFILE%\Documents\GitHub\eaglep3\Utilities\RefineRTDCRunTimes.py" --tripid 198-08 --locoid 4039 --swversion DE.1.0.8.0 --startMP 204:232996 --initTime 2017-01-08T16:32:10 --startdatetime 2017-01-08T16:41:57 --delay 1 --endMP 204:118 --enddatetime 2017-01-08T17:19:03 --enforcementcount 0 &gt;&gt;C:\Users\stu\Documents\GitHub\eaglep3-reporting\EC\2017-01-08-refined-times.txt</v>
      </c>
      <c r="AI106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{"issue":{"subject":"","project_id":79,"tracker_id":40,"status_id":1,"priority_id":2,"assigned_to_id":23,"start_date":"2017-01-08","description":"","custom_fields":[{"id":1,"name":"Subdivision","value":"EC"},{"id":4,"name":"Milepost","value":"0.0118"},{"id":17,"name":"Train ID","value":"198-08"},{"id":16,"name":"Locomotive ID","value":"4039"},{"id":130,"name":"Impact","value":""},{"id":150,"name":"Time of Event (Mountain Time)","value":"17:19:03"},{"id":151,"name":"Denver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102"/>
        <v>start /low /b %USERPROFILE%\Documents\GitHub\eaglep3\Utilities\DownloadLogsFromS3.py --loco 4039 --day 2017-01-08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557</v>
      </c>
      <c r="B107" s="7">
        <v>4009</v>
      </c>
      <c r="C107" s="22" t="s">
        <v>203</v>
      </c>
      <c r="D107" s="22" t="s">
        <v>299</v>
      </c>
      <c r="E107" s="13">
        <v>42743.669548611113</v>
      </c>
      <c r="F107" s="13">
        <v>42743.673449074071</v>
      </c>
      <c r="G107" s="7">
        <v>2</v>
      </c>
      <c r="H107" s="22" t="s">
        <v>668</v>
      </c>
      <c r="I107" s="13">
        <v>42743.700208333335</v>
      </c>
      <c r="J107" s="7">
        <v>0</v>
      </c>
      <c r="K107" s="105" t="str">
        <f t="shared" si="85"/>
        <v>4009/4010</v>
      </c>
      <c r="L107" s="22" t="str">
        <f>VLOOKUP(A107,'Trips&amp;Operators'!$C$1:$G$99999,5,FALSE)</f>
        <v>DAVIS MICHAEL</v>
      </c>
      <c r="M107" s="6">
        <f t="shared" si="86"/>
        <v>2.6759259264508728E-2</v>
      </c>
      <c r="N107" s="7">
        <f t="shared" si="87"/>
        <v>38.533333340892568</v>
      </c>
      <c r="O107" s="7"/>
      <c r="P107" s="7"/>
      <c r="Q107" s="23"/>
      <c r="R107" s="23"/>
      <c r="S107" s="32">
        <f t="shared" si="88"/>
        <v>1</v>
      </c>
      <c r="T107" s="47" t="str">
        <f t="shared" si="89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15:04:09-700',mode:absolute,to:'2017-01-08 17:48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7" s="49" t="str">
        <f t="shared" si="91"/>
        <v>N</v>
      </c>
      <c r="X107" s="173">
        <f t="shared" si="92"/>
        <v>1</v>
      </c>
      <c r="Y107" s="64">
        <f t="shared" si="93"/>
        <v>4.6699999999999998E-2</v>
      </c>
      <c r="Z107" s="64">
        <f t="shared" si="94"/>
        <v>23.331</v>
      </c>
      <c r="AA107" s="64">
        <f t="shared" si="95"/>
        <v>23.284299999999998</v>
      </c>
      <c r="AB107" s="61" t="e">
        <f>VLOOKUP(A107,Enforcements!$C$7:$K$18,8,0)</f>
        <v>#N/A</v>
      </c>
      <c r="AC107" s="57" t="e">
        <f>VLOOKUP(A107,Enforcements!$C$7:$E$18,3,0)</f>
        <v>#N/A</v>
      </c>
      <c r="AD107" s="58" t="str">
        <f t="shared" si="96"/>
        <v>0199-08</v>
      </c>
      <c r="AE107" s="87" t="str">
        <f t="shared" si="97"/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AF107" s="84" t="str">
        <f t="shared" si="98"/>
        <v>"C:\Program Files (x86)\AstroGrep\AstroGrep.exe" /spath="%USERPROFILE%\AppData\Local\Temp\OnboardLogs" /stypes="app*4009*20170108*" /stext=" 23:.+((SYSTEM_STATE.+slice.+state.+changed )|(ment ac)|(multiple cpu faults)|(system.+state.+changed )|(\[timeout)|(PRM\|1\|D)|(kpr)|(kdp)|(\|lc)|(penalty))" /e /r /s</v>
      </c>
      <c r="AG107" s="1" t="str">
        <f t="shared" si="99"/>
        <v>EC</v>
      </c>
      <c r="AH107" s="88" t="str">
        <f t="shared" si="100"/>
        <v>"%USERPROFILE%\Documents\GitHub\eaglep3\Utilities\RefineRTDCRunTimes.py" --tripid 199-08 --locoid 4009 --swversion DE.1.0.8.0 --startMP 204:467 --initTime 2017-01-08T16:04:09 --startdatetime 2017-01-08T16:09:46 --delay 2 --endMP 204:233310 --enddatetime 2017-01-08T16:48:18 --enforcementcount 0 &gt;&gt;C:\Users\stu\Documents\GitHub\eaglep3-reporting\EC\2017-01-08-refined-times.txt</v>
      </c>
      <c r="AI107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ID","value":"199-08"},{"id":16,"name":"Locomotive ID","value":"4009"},{"id":130,"name":"Impact","value":""},{"id":150,"name":"Time of Event (Mountain Time)","value":"16:48:18"},{"id":151,"name":"Denver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102"/>
        <v>start /low /b %USERPROFILE%\Documents\GitHub\eaglep3\Utilities\DownloadLogsFromS3.py --loco 4009 --day 2017-01-08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425</v>
      </c>
      <c r="B108" s="7">
        <v>4010</v>
      </c>
      <c r="C108" s="22" t="s">
        <v>203</v>
      </c>
      <c r="D108" s="22" t="s">
        <v>396</v>
      </c>
      <c r="E108" s="13">
        <v>42743.703796296293</v>
      </c>
      <c r="F108" s="13">
        <v>42743.706076388888</v>
      </c>
      <c r="G108" s="7">
        <v>1</v>
      </c>
      <c r="H108" s="22" t="s">
        <v>748</v>
      </c>
      <c r="I108" s="13">
        <v>42743.738078703704</v>
      </c>
      <c r="J108" s="7">
        <v>0</v>
      </c>
      <c r="K108" s="105" t="str">
        <f t="shared" si="85"/>
        <v>4009/4010</v>
      </c>
      <c r="L108" s="22" t="str">
        <f>VLOOKUP(A108,'Trips&amp;Operators'!$C$1:$G$99999,5,FALSE)</f>
        <v>DAVIS MICHAEL</v>
      </c>
      <c r="M108" s="6">
        <f t="shared" si="86"/>
        <v>3.2002314816054422E-2</v>
      </c>
      <c r="N108" s="7">
        <f t="shared" si="87"/>
        <v>46.083333335118368</v>
      </c>
      <c r="O108" s="7"/>
      <c r="P108" s="7"/>
      <c r="Q108" s="23"/>
      <c r="R108" s="23"/>
      <c r="S108" s="32">
        <f t="shared" si="88"/>
        <v>1</v>
      </c>
      <c r="T108" s="47" t="str">
        <f t="shared" si="89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15:53:28-700',mode:absolute,to:'2017-01-08 18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8" s="49" t="str">
        <f t="shared" si="91"/>
        <v>Y</v>
      </c>
      <c r="X108" s="173">
        <f t="shared" si="92"/>
        <v>1</v>
      </c>
      <c r="Y108" s="64">
        <f t="shared" si="93"/>
        <v>23.2974</v>
      </c>
      <c r="Z108" s="64">
        <f t="shared" si="94"/>
        <v>0.38619999999999999</v>
      </c>
      <c r="AA108" s="64">
        <f t="shared" si="95"/>
        <v>22.911200000000001</v>
      </c>
      <c r="AB108" s="61" t="str">
        <f>VLOOKUP(A108,Enforcements!$C$7:$K$18,8,0)</f>
        <v>Signal based authority (5)</v>
      </c>
      <c r="AC108" s="57" t="str">
        <f>VLOOKUP(A108,Enforcements!$C$7:$E$18,3,0)</f>
        <v>SIGNAL</v>
      </c>
      <c r="AD108" s="58" t="str">
        <f t="shared" si="96"/>
        <v>0200-08</v>
      </c>
      <c r="AE108" s="87" t="str">
        <f t="shared" si="97"/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AF108" s="84" t="str">
        <f t="shared" si="98"/>
        <v>"C:\Program Files (x86)\AstroGrep\AstroGrep.exe" /spath="%USERPROFILE%\AppData\Local\Temp\OnboardLogs" /stypes="app*4010*20170109*" /stext=" 00:.+((SYSTEM_STATE.+slice.+state.+changed )|(ment ac)|(multiple cpu faults)|(system.+state.+changed )|(\[timeout)|(PRM\|1\|D)|(kpr)|(kdp)|(\|lc)|(penalty))" /e /r /s</v>
      </c>
      <c r="AG108" s="1" t="str">
        <f t="shared" si="99"/>
        <v>EC</v>
      </c>
      <c r="AH108" s="88" t="str">
        <f t="shared" si="100"/>
        <v>"%USERPROFILE%\Documents\GitHub\eaglep3\Utilities\RefineRTDCRunTimes.py" --tripid 200-08 --locoid 4010 --swversion DE.1.0.8.0 --startMP 204:232974 --initTime 2017-01-08T16:53:28 --startdatetime 2017-01-08T16:56:45 --delay 1 --endMP 204:3862 --enddatetime 2017-01-08T17:42:50 --enforcementcount 0 &gt;&gt;C:\Users\stu\Documents\GitHub\eaglep3-reporting\EC\2017-01-08-refined-times.txt</v>
      </c>
      <c r="AI108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{"issue":{"subject":"","project_id":79,"tracker_id":40,"status_id":1,"priority_id":2,"assigned_to_id":23,"start_date":"2017-01-08","description":"","custom_fields":[{"id":1,"name":"Subdivision","value":"EC"},{"id":4,"name":"Milepost","value":"0.3862"},{"id":17,"name":"Train ID","value":"200-08"},{"id":16,"name":"Locomotive ID","value":"4010"},{"id":130,"name":"Impact","value":""},{"id":150,"name":"Time of Event (Mountain Time)","value":"17:42:50"},{"id":151,"name":"Denver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102"/>
        <v>start /low /b %USERPROFILE%\Documents\GitHub\eaglep3\Utilities\DownloadLogsFromS3.py --loco 4010 --day 2017-01-08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558</v>
      </c>
      <c r="B109" s="7">
        <v>4020</v>
      </c>
      <c r="C109" s="22" t="s">
        <v>203</v>
      </c>
      <c r="D109" s="22" t="s">
        <v>226</v>
      </c>
      <c r="E109" s="13">
        <v>42743.67287037037</v>
      </c>
      <c r="F109" s="13">
        <v>42743.67732638889</v>
      </c>
      <c r="G109" s="7">
        <v>1</v>
      </c>
      <c r="H109" s="22" t="s">
        <v>385</v>
      </c>
      <c r="I109" s="13">
        <v>42743.703946759262</v>
      </c>
      <c r="J109" s="7">
        <v>0</v>
      </c>
      <c r="K109" s="105" t="str">
        <f t="shared" si="85"/>
        <v>4019/4020</v>
      </c>
      <c r="L109" s="22" t="str">
        <f>VLOOKUP(A109,'Trips&amp;Operators'!$C$1:$G$99999,5,FALSE)</f>
        <v>STEWART MICHAEL</v>
      </c>
      <c r="M109" s="6">
        <f t="shared" si="86"/>
        <v>2.662037037225673E-2</v>
      </c>
      <c r="N109" s="7">
        <f t="shared" si="87"/>
        <v>38.333333336049691</v>
      </c>
      <c r="O109" s="7"/>
      <c r="P109" s="7"/>
      <c r="Q109" s="23"/>
      <c r="R109" s="23"/>
      <c r="S109" s="32">
        <f t="shared" si="88"/>
        <v>1</v>
      </c>
      <c r="T109" s="47" t="str">
        <f t="shared" si="89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15:08:56-700',mode:absolute,to:'2017-01-08 17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9" s="49" t="str">
        <f t="shared" si="91"/>
        <v>N</v>
      </c>
      <c r="X109" s="173">
        <f t="shared" si="92"/>
        <v>1</v>
      </c>
      <c r="Y109" s="64">
        <f t="shared" si="93"/>
        <v>4.5999999999999999E-2</v>
      </c>
      <c r="Z109" s="64">
        <f t="shared" si="94"/>
        <v>23.3309</v>
      </c>
      <c r="AA109" s="64">
        <f t="shared" si="95"/>
        <v>23.2849</v>
      </c>
      <c r="AB109" s="61" t="e">
        <f>VLOOKUP(A109,Enforcements!$C$7:$K$18,8,0)</f>
        <v>#N/A</v>
      </c>
      <c r="AC109" s="57" t="e">
        <f>VLOOKUP(A109,Enforcements!$C$7:$E$18,3,0)</f>
        <v>#N/A</v>
      </c>
      <c r="AD109" s="58" t="str">
        <f t="shared" si="96"/>
        <v>0201-08</v>
      </c>
      <c r="AE109" s="87" t="str">
        <f t="shared" si="97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109" s="84" t="str">
        <f t="shared" si="98"/>
        <v>"C:\Program Files (x86)\AstroGrep\AstroGrep.exe" /spath="%USERPROFILE%\AppData\Local\Temp\OnboardLogs" /stypes="app*4020*20170108*" /stext=" 23:.+((SYSTEM_STATE.+slice.+state.+changed )|(ment ac)|(multiple cpu faults)|(system.+state.+changed )|(\[timeout)|(PRM\|1\|D)|(kpr)|(kdp)|(\|lc)|(penalty))" /e /r /s</v>
      </c>
      <c r="AG109" s="1" t="str">
        <f t="shared" si="99"/>
        <v>EC</v>
      </c>
      <c r="AH109" s="88" t="str">
        <f t="shared" si="100"/>
        <v>"%USERPROFILE%\Documents\GitHub\eaglep3\Utilities\RefineRTDCRunTimes.py" --tripid 201-08 --locoid 4020 --swversion DE.1.0.8.0 --startMP 204:460 --initTime 2017-01-08T16:08:56 --startdatetime 2017-01-08T16:15:21 --delay 1 --endMP 204:233309 --enddatetime 2017-01-08T16:53:41 --enforcementcount 0 &gt;&gt;C:\Users\stu\Documents\GitHub\eaglep3-reporting\EC\2017-01-08-refined-times.txt</v>
      </c>
      <c r="AI109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{"issue":{"subject":"","project_id":79,"tracker_id":40,"status_id":1,"priority_id":2,"assigned_to_id":23,"start_date":"2017-01-08","description":"","custom_fields":[{"id":1,"name":"Subdivision","value":"EC"},{"id":4,"name":"Milepost","value":"23.3309"},{"id":17,"name":"Train ID","value":"201-08"},{"id":16,"name":"Locomotive ID","value":"4020"},{"id":130,"name":"Impact","value":""},{"id":150,"name":"Time of Event (Mountain Time)","value":"16:53:41"},{"id":151,"name":"Denver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102"/>
        <v>start /low /b %USERPROFILE%\Documents\GitHub\eaglep3\Utilities\DownloadLogsFromS3.py --loco 4020 --day 2017-01-08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567</v>
      </c>
      <c r="B110" s="7">
        <v>4019</v>
      </c>
      <c r="C110" s="22" t="s">
        <v>203</v>
      </c>
      <c r="D110" s="22" t="s">
        <v>386</v>
      </c>
      <c r="E110" s="13">
        <v>42743.713020833333</v>
      </c>
      <c r="F110" s="13">
        <v>42743.716435185182</v>
      </c>
      <c r="G110" s="7">
        <v>1</v>
      </c>
      <c r="H110" s="22" t="s">
        <v>691</v>
      </c>
      <c r="I110" s="13">
        <v>42743.743946759256</v>
      </c>
      <c r="J110" s="7">
        <v>0</v>
      </c>
      <c r="K110" s="105" t="str">
        <f t="shared" si="85"/>
        <v>4019/4020</v>
      </c>
      <c r="L110" s="22" t="str">
        <f>VLOOKUP(A110,'Trips&amp;Operators'!$C$1:$G$99999,5,FALSE)</f>
        <v>STEWART MICHAEL</v>
      </c>
      <c r="M110" s="6">
        <f t="shared" si="86"/>
        <v>2.7511574073287193E-2</v>
      </c>
      <c r="N110" s="7">
        <f t="shared" si="87"/>
        <v>39.616666665533558</v>
      </c>
      <c r="O110" s="7"/>
      <c r="P110" s="7"/>
      <c r="Q110" s="23"/>
      <c r="R110" s="23"/>
      <c r="S110" s="32">
        <f t="shared" si="88"/>
        <v>1</v>
      </c>
      <c r="T110" s="47" t="str">
        <f t="shared" si="89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16:06:45-700',mode:absolute,to:'2017-01-08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0" s="49" t="str">
        <f t="shared" si="91"/>
        <v>N</v>
      </c>
      <c r="X110" s="173">
        <f t="shared" si="92"/>
        <v>1</v>
      </c>
      <c r="Y110" s="64">
        <f t="shared" si="93"/>
        <v>23.296900000000001</v>
      </c>
      <c r="Z110" s="64">
        <f t="shared" si="94"/>
        <v>1.6299999999999999E-2</v>
      </c>
      <c r="AA110" s="64">
        <f t="shared" si="95"/>
        <v>23.2806</v>
      </c>
      <c r="AB110" s="61" t="e">
        <f>VLOOKUP(A110,Enforcements!$C$7:$K$18,8,0)</f>
        <v>#N/A</v>
      </c>
      <c r="AC110" s="57" t="e">
        <f>VLOOKUP(A110,Enforcements!$C$7:$E$18,3,0)</f>
        <v>#N/A</v>
      </c>
      <c r="AD110" s="58" t="str">
        <f t="shared" si="96"/>
        <v>0202-08</v>
      </c>
      <c r="AE110" s="87" t="str">
        <f t="shared" si="97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10" s="84" t="str">
        <f t="shared" si="98"/>
        <v>"C:\Program Files (x86)\AstroGrep\AstroGrep.exe" /spath="%USERPROFILE%\AppData\Local\Temp\OnboardLogs" /stypes="app*4019*20170109*" /stext=" 00:.+((SYSTEM_STATE.+slice.+state.+changed )|(ment ac)|(multiple cpu faults)|(system.+state.+changed )|(\[timeout)|(PRM\|1\|D)|(kpr)|(kdp)|(\|lc)|(penalty))" /e /r /s</v>
      </c>
      <c r="AG110" s="1" t="str">
        <f t="shared" si="99"/>
        <v>EC</v>
      </c>
      <c r="AH110" s="88" t="str">
        <f t="shared" si="100"/>
        <v>"%USERPROFILE%\Documents\GitHub\eaglep3\Utilities\RefineRTDCRunTimes.py" --tripid 202-08 --locoid 4019 --swversion DE.1.0.8.0 --startMP 204:232969 --initTime 2017-01-08T17:06:45 --startdatetime 2017-01-08T17:11:40 --delay 1 --endMP 204:163 --enddatetime 2017-01-08T17:51:17 --enforcementcount 0 &gt;&gt;C:\Users\stu\Documents\GitHub\eaglep3-reporting\EC\2017-01-08-refined-times.txt</v>
      </c>
      <c r="AI110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{"issue":{"subject":"","project_id":79,"tracker_id":40,"status_id":1,"priority_id":2,"assigned_to_id":23,"start_date":"2017-01-08","description":"","custom_fields":[{"id":1,"name":"Subdivision","value":"EC"},{"id":4,"name":"Milepost","value":"0.0163"},{"id":17,"name":"Train ID","value":"202-08"},{"id":16,"name":"Locomotive ID","value":"4019"},{"id":130,"name":"Impact","value":""},{"id":150,"name":"Time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102"/>
        <v>start /low /b %USERPROFILE%\Documents\GitHub\eaglep3\Utilities\DownloadLogsFromS3.py --loco 4019 --day 2017-01-08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561</v>
      </c>
      <c r="B111" s="7">
        <v>4027</v>
      </c>
      <c r="C111" s="22" t="s">
        <v>203</v>
      </c>
      <c r="D111" s="22" t="s">
        <v>399</v>
      </c>
      <c r="E111" s="13">
        <v>42743.684270833335</v>
      </c>
      <c r="F111" s="13">
        <v>42743.687662037039</v>
      </c>
      <c r="G111" s="7">
        <v>1</v>
      </c>
      <c r="H111" s="22" t="s">
        <v>655</v>
      </c>
      <c r="I111" s="13">
        <v>42743.712442129632</v>
      </c>
      <c r="J111" s="7">
        <v>0</v>
      </c>
      <c r="K111" s="105" t="str">
        <f t="shared" si="85"/>
        <v>4027/4028</v>
      </c>
      <c r="L111" s="22" t="str">
        <f>VLOOKUP(A111,'Trips&amp;Operators'!$C$1:$G$99999,5,FALSE)</f>
        <v>BRUDER RICHARD</v>
      </c>
      <c r="M111" s="6">
        <f t="shared" si="86"/>
        <v>2.4780092593573499E-2</v>
      </c>
      <c r="N111" s="7">
        <f t="shared" si="87"/>
        <v>35.683333334745839</v>
      </c>
      <c r="O111" s="7"/>
      <c r="P111" s="7"/>
      <c r="Q111" s="23"/>
      <c r="R111" s="23"/>
      <c r="S111" s="32">
        <f t="shared" si="88"/>
        <v>1</v>
      </c>
      <c r="T111" s="47" t="str">
        <f t="shared" si="89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15:25:21-700',mode:absolute,to:'2017-01-08 18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1" s="49" t="str">
        <f t="shared" si="91"/>
        <v>N</v>
      </c>
      <c r="X111" s="173">
        <f t="shared" si="92"/>
        <v>1</v>
      </c>
      <c r="Y111" s="64">
        <f t="shared" si="93"/>
        <v>4.3799999999999999E-2</v>
      </c>
      <c r="Z111" s="64">
        <f t="shared" si="94"/>
        <v>23.3308</v>
      </c>
      <c r="AA111" s="64">
        <f t="shared" si="95"/>
        <v>23.286999999999999</v>
      </c>
      <c r="AB111" s="61" t="e">
        <f>VLOOKUP(A111,Enforcements!$C$7:$K$18,8,0)</f>
        <v>#N/A</v>
      </c>
      <c r="AC111" s="57" t="e">
        <f>VLOOKUP(A111,Enforcements!$C$7:$E$18,3,0)</f>
        <v>#N/A</v>
      </c>
      <c r="AD111" s="58" t="str">
        <f t="shared" si="96"/>
        <v>0203-08</v>
      </c>
      <c r="AE111" s="87" t="str">
        <f t="shared" si="97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11" s="84" t="str">
        <f t="shared" si="98"/>
        <v>"C:\Program Files (x86)\AstroGrep\AstroGrep.exe" /spath="%USERPROFILE%\AppData\Local\Temp\OnboardLogs" /stypes="app*4027*20170109*" /stext=" 00:.+((SYSTEM_STATE.+slice.+state.+changed )|(ment ac)|(multiple cpu faults)|(system.+state.+changed )|(\[timeout)|(PRM\|1\|D)|(kpr)|(kdp)|(\|lc)|(penalty))" /e /r /s</v>
      </c>
      <c r="AG111" s="1" t="str">
        <f t="shared" si="99"/>
        <v>EC</v>
      </c>
      <c r="AH111" s="88" t="str">
        <f t="shared" si="100"/>
        <v>"%USERPROFILE%\Documents\GitHub\eaglep3\Utilities\RefineRTDCRunTimes.py" --tripid 203-08 --locoid 4027 --swversion DE.1.0.8.0 --startMP 204:438 --initTime 2017-01-08T16:25:21 --startdatetime 2017-01-08T16:30:14 --delay 1 --endMP 204:233308 --enddatetime 2017-01-08T17:05:55 --enforcementcount 0 &gt;&gt;C:\Users\stu\Documents\GitHub\eaglep3-reporting\EC\2017-01-08-refined-times.txt</v>
      </c>
      <c r="AI111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{"issue":{"subject":"","project_id":79,"tracker_id":40,"status_id":1,"priority_id":2,"assigned_to_id":23,"start_date":"2017-01-08","description":"","custom_fields":[{"id":1,"name":"Subdivision","value":"EC"},{"id":4,"name":"Milepost","value":"23.3308"},{"id":17,"name":"Train ID","value":"203-08"},{"id":16,"name":"Locomotive ID","value":"4027"},{"id":130,"name":"Impact","value":""},{"id":150,"name":"Time of Event (Mountain Time)","value":"17:05:55"},{"id":151,"name":"Denver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102"/>
        <v>start /low /b %USERPROFILE%\Documents\GitHub\eaglep3\Utilities\DownloadLogsFromS3.py --loco 4027 --day 2017-01-08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570</v>
      </c>
      <c r="B112" s="7">
        <v>4028</v>
      </c>
      <c r="C112" s="22" t="s">
        <v>203</v>
      </c>
      <c r="D112" s="22" t="s">
        <v>291</v>
      </c>
      <c r="E112" s="13">
        <v>42743.721388888887</v>
      </c>
      <c r="F112" s="13">
        <v>42743.7265625</v>
      </c>
      <c r="G112" s="7">
        <v>1</v>
      </c>
      <c r="H112" s="22" t="s">
        <v>209</v>
      </c>
      <c r="I112" s="13">
        <v>42743.753206018519</v>
      </c>
      <c r="J112" s="7">
        <v>0</v>
      </c>
      <c r="K112" s="105" t="str">
        <f t="shared" si="85"/>
        <v>4027/4028</v>
      </c>
      <c r="L112" s="22" t="str">
        <f>VLOOKUP(A112,'Trips&amp;Operators'!$C$1:$G$99999,5,FALSE)</f>
        <v>BRUDER RICHARD</v>
      </c>
      <c r="M112" s="6">
        <f t="shared" si="86"/>
        <v>2.6643518518540077E-2</v>
      </c>
      <c r="N112" s="7">
        <f t="shared" si="87"/>
        <v>38.366666666697711</v>
      </c>
      <c r="O112" s="7"/>
      <c r="P112" s="7"/>
      <c r="Q112" s="23"/>
      <c r="R112" s="23"/>
      <c r="S112" s="32">
        <f t="shared" si="88"/>
        <v>1</v>
      </c>
      <c r="T112" s="47" t="str">
        <f t="shared" si="89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16:18:48-700',mode:absolute,to:'2017-01-08 19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2" s="49" t="str">
        <f t="shared" si="91"/>
        <v>N</v>
      </c>
      <c r="X112" s="173">
        <f t="shared" si="92"/>
        <v>1</v>
      </c>
      <c r="Y112" s="64">
        <f t="shared" si="93"/>
        <v>23.2989</v>
      </c>
      <c r="Z112" s="64">
        <f t="shared" si="94"/>
        <v>1.4999999999999999E-2</v>
      </c>
      <c r="AA112" s="64">
        <f t="shared" si="95"/>
        <v>23.283899999999999</v>
      </c>
      <c r="AB112" s="61" t="e">
        <f>VLOOKUP(A112,Enforcements!$C$7:$K$18,8,0)</f>
        <v>#N/A</v>
      </c>
      <c r="AC112" s="57" t="e">
        <f>VLOOKUP(A112,Enforcements!$C$7:$E$18,3,0)</f>
        <v>#N/A</v>
      </c>
      <c r="AD112" s="58" t="str">
        <f t="shared" si="96"/>
        <v>0204-08</v>
      </c>
      <c r="AE112" s="87" t="str">
        <f t="shared" si="97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12" s="84" t="str">
        <f t="shared" si="98"/>
        <v>"C:\Program Files (x86)\AstroGrep\AstroGrep.exe" /spath="%USERPROFILE%\AppData\Local\Temp\OnboardLogs" /stypes="app*4028*20170109*" /stext=" 01:.+((SYSTEM_STATE.+slice.+state.+changed )|(ment ac)|(multiple cpu faults)|(system.+state.+changed )|(\[timeout)|(PRM\|1\|D)|(kpr)|(kdp)|(\|lc)|(penalty))" /e /r /s</v>
      </c>
      <c r="AG112" s="1" t="str">
        <f t="shared" si="99"/>
        <v>EC</v>
      </c>
      <c r="AH112" s="88" t="str">
        <f t="shared" si="100"/>
        <v>"%USERPROFILE%\Documents\GitHub\eaglep3\Utilities\RefineRTDCRunTimes.py" --tripid 204-08 --locoid 4028 --swversion DE.1.0.8.0 --startMP 204:232989 --initTime 2017-01-08T17:18:48 --startdatetime 2017-01-08T17:26:15 --delay 1 --endMP 204:150 --enddatetime 2017-01-08T18:04:37 --enforcementcount 0 &gt;&gt;C:\Users\stu\Documents\GitHub\eaglep3-reporting\EC\2017-01-08-refined-times.txt</v>
      </c>
      <c r="AI112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ID","value":"204-08"},{"id":16,"name":"Locomotive ID","value":"4028"},{"id":130,"name":"Impact","value":""},{"id":150,"name":"Time of Event (Mountain Time)","value":"18:04:37"},{"id":151,"name":"Denver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102"/>
        <v>start /low /b %USERPROFILE%\Documents\GitHub\eaglep3\Utilities\DownloadLogsFromS3.py --loco 4028 --day 2017-01-08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4" t="s">
        <v>563</v>
      </c>
      <c r="B113" s="7">
        <v>4022</v>
      </c>
      <c r="C113" s="22" t="s">
        <v>203</v>
      </c>
      <c r="D113" s="22" t="s">
        <v>224</v>
      </c>
      <c r="E113" s="13">
        <v>42743.692430555559</v>
      </c>
      <c r="F113" s="13">
        <v>42743.69809027778</v>
      </c>
      <c r="G113" s="7">
        <v>1</v>
      </c>
      <c r="H113" s="22" t="s">
        <v>749</v>
      </c>
      <c r="I113" s="13">
        <v>42743.724398148152</v>
      </c>
      <c r="J113" s="7">
        <v>0</v>
      </c>
      <c r="K113" s="105" t="str">
        <f t="shared" si="85"/>
        <v>4021/4022</v>
      </c>
      <c r="L113" s="22" t="str">
        <f>VLOOKUP(A113,'Trips&amp;Operators'!$C$1:$G$99999,5,FALSE)</f>
        <v>CRAYTON QUNTRELL</v>
      </c>
      <c r="M113" s="6">
        <f t="shared" si="86"/>
        <v>2.6307870371965691E-2</v>
      </c>
      <c r="N113" s="7">
        <f t="shared" si="87"/>
        <v>37.883333335630596</v>
      </c>
      <c r="O113" s="7"/>
      <c r="P113" s="7"/>
      <c r="Q113" s="23"/>
      <c r="R113" s="23"/>
      <c r="S113" s="32">
        <f t="shared" si="88"/>
        <v>1</v>
      </c>
      <c r="T113" s="47" t="str">
        <f t="shared" si="89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15:37:06-700',mode:absolute,to:'2017-01-08 18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3" s="49" t="str">
        <f t="shared" si="91"/>
        <v>N</v>
      </c>
      <c r="X113" s="173">
        <f t="shared" si="92"/>
        <v>1</v>
      </c>
      <c r="Y113" s="64">
        <f t="shared" si="93"/>
        <v>4.5499999999999999E-2</v>
      </c>
      <c r="Z113" s="64">
        <f t="shared" si="94"/>
        <v>23.334700000000002</v>
      </c>
      <c r="AA113" s="64">
        <f t="shared" si="95"/>
        <v>23.289200000000001</v>
      </c>
      <c r="AB113" s="61" t="e">
        <f>VLOOKUP(A113,Enforcements!$C$7:$K$18,8,0)</f>
        <v>#N/A</v>
      </c>
      <c r="AC113" s="57" t="e">
        <f>VLOOKUP(A113,Enforcements!$C$7:$E$18,3,0)</f>
        <v>#N/A</v>
      </c>
      <c r="AD113" s="58" t="str">
        <f t="shared" si="96"/>
        <v>0205-08</v>
      </c>
      <c r="AE113" s="87" t="str">
        <f t="shared" si="97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13" s="84" t="str">
        <f t="shared" si="98"/>
        <v>"C:\Program Files (x86)\AstroGrep\AstroGrep.exe" /spath="%USERPROFILE%\AppData\Local\Temp\OnboardLogs" /stypes="app*4022*20170109*" /stext=" 00:.+((SYSTEM_STATE.+slice.+state.+changed )|(ment ac)|(multiple cpu faults)|(system.+state.+changed )|(\[timeout)|(PRM\|1\|D)|(kpr)|(kdp)|(\|lc)|(penalty))" /e /r /s</v>
      </c>
      <c r="AG113" s="1" t="str">
        <f t="shared" si="99"/>
        <v>EC</v>
      </c>
      <c r="AH113" s="88" t="str">
        <f t="shared" si="100"/>
        <v>"%USERPROFILE%\Documents\GitHub\eaglep3\Utilities\RefineRTDCRunTimes.py" --tripid 205-08 --locoid 4022 --swversion DE.1.0.8.0 --startMP 204:455 --initTime 2017-01-08T16:37:06 --startdatetime 2017-01-08T16:45:15 --delay 1 --endMP 204:233347 --enddatetime 2017-01-08T17:23:08 --enforcementcount 0 &gt;&gt;C:\Users\stu\Documents\GitHub\eaglep3-reporting\EC\2017-01-08-refined-times.txt</v>
      </c>
      <c r="AI113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{"issue":{"subject":"","project_id":79,"tracker_id":40,"status_id":1,"priority_id":2,"assigned_to_id":23,"start_date":"2017-01-08","description":"","custom_fields":[{"id":1,"name":"Subdivision","value":"EC"},{"id":4,"name":"Milepost","value":"23.3347"},{"id":17,"name":"Train ID","value":"205-08"},{"id":16,"name":"Locomotive ID","value":"4022"},{"id":130,"name":"Impact","value":""},{"id":150,"name":"Time of Event (Mountain Time)","value":"17:23:08"},{"id":151,"name":"Denver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102"/>
        <v>start /low /b %USERPROFILE%\Documents\GitHub\eaglep3\Utilities\DownloadLogsFromS3.py --loco 4022 --day 2017-01-08</v>
      </c>
    </row>
    <row r="114" spans="1:91" s="21" customFormat="1" x14ac:dyDescent="0.25">
      <c r="A114" s="34" t="s">
        <v>572</v>
      </c>
      <c r="B114" s="7">
        <v>4021</v>
      </c>
      <c r="C114" s="22" t="s">
        <v>203</v>
      </c>
      <c r="D114" s="22" t="s">
        <v>750</v>
      </c>
      <c r="E114" s="13">
        <v>42743.730358796296</v>
      </c>
      <c r="F114" s="13">
        <v>42743.737002314818</v>
      </c>
      <c r="G114" s="7">
        <v>1</v>
      </c>
      <c r="H114" s="22" t="s">
        <v>751</v>
      </c>
      <c r="I114" s="13">
        <v>42743.764745370368</v>
      </c>
      <c r="J114" s="7">
        <v>0</v>
      </c>
      <c r="K114" s="105" t="str">
        <f t="shared" si="85"/>
        <v>4021/4022</v>
      </c>
      <c r="L114" s="22" t="str">
        <f>VLOOKUP(A114,'Trips&amp;Operators'!$C$1:$G$99999,5,FALSE)</f>
        <v>CRAYTON QUNTRELL</v>
      </c>
      <c r="M114" s="6">
        <f t="shared" si="86"/>
        <v>2.774305555067258E-2</v>
      </c>
      <c r="N114" s="7">
        <f t="shared" si="87"/>
        <v>39.949999992968515</v>
      </c>
      <c r="O114" s="7"/>
      <c r="P114" s="7"/>
      <c r="Q114" s="23"/>
      <c r="R114" s="23"/>
      <c r="S114" s="32">
        <f t="shared" si="88"/>
        <v>1</v>
      </c>
      <c r="T114" s="47" t="str">
        <f t="shared" si="89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16:31:43-700',mode:absolute,to:'2017-01-08 19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4" s="49" t="str">
        <f t="shared" si="91"/>
        <v>N</v>
      </c>
      <c r="X114" s="173">
        <f t="shared" si="92"/>
        <v>1</v>
      </c>
      <c r="Y114" s="64">
        <f t="shared" si="93"/>
        <v>23.3034</v>
      </c>
      <c r="Z114" s="64">
        <f t="shared" si="94"/>
        <v>1.32E-2</v>
      </c>
      <c r="AA114" s="64">
        <f t="shared" si="95"/>
        <v>23.290199999999999</v>
      </c>
      <c r="AB114" s="61" t="e">
        <f>VLOOKUP(A114,Enforcements!$C$7:$K$18,8,0)</f>
        <v>#N/A</v>
      </c>
      <c r="AC114" s="57" t="e">
        <f>VLOOKUP(A114,Enforcements!$C$7:$E$18,3,0)</f>
        <v>#N/A</v>
      </c>
      <c r="AD114" s="58" t="str">
        <f t="shared" si="96"/>
        <v>0206-08</v>
      </c>
      <c r="AE114" s="87" t="str">
        <f t="shared" si="97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14" s="84" t="str">
        <f t="shared" si="98"/>
        <v>"C:\Program Files (x86)\AstroGrep\AstroGrep.exe" /spath="%USERPROFILE%\AppData\Local\Temp\OnboardLogs" /stypes="app*4021*20170109*" /stext=" 01:.+((SYSTEM_STATE.+slice.+state.+changed )|(ment ac)|(multiple cpu faults)|(system.+state.+changed )|(\[timeout)|(PRM\|1\|D)|(kpr)|(kdp)|(\|lc)|(penalty))" /e /r /s</v>
      </c>
      <c r="AG114" s="1" t="str">
        <f t="shared" si="99"/>
        <v>EC</v>
      </c>
      <c r="AH114" s="88" t="str">
        <f t="shared" si="100"/>
        <v>"%USERPROFILE%\Documents\GitHub\eaglep3\Utilities\RefineRTDCRunTimes.py" --tripid 206-08 --locoid 4021 --swversion DE.1.0.8.0 --startMP 204:233034 --initTime 2017-01-08T17:31:43 --startdatetime 2017-01-08T17:41:17 --delay 1 --endMP 204:132 --enddatetime 2017-01-08T18:21:14 --enforcementcount 0 &gt;&gt;C:\Users\stu\Documents\GitHub\eaglep3-reporting\EC\2017-01-08-refined-times.txt</v>
      </c>
      <c r="AI114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{"issue":{"subject":"","project_id":79,"tracker_id":40,"status_id":1,"priority_id":2,"assigned_to_id":23,"start_date":"2017-01-08","description":"","custom_fields":[{"id":1,"name":"Subdivision","value":"EC"},{"id":4,"name":"Milepost","value":"0.0132"},{"id":17,"name":"Train ID","value":"206-08"},{"id":16,"name":"Locomotive ID","value":"4021"},{"id":130,"name":"Impact","value":""},{"id":150,"name":"Time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102"/>
        <v>start /low /b %USERPROFILE%\Documents\GitHub\eaglep3\Utilities\DownloadLogsFromS3.py --loco 4021 --day 2017-01-08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565</v>
      </c>
      <c r="B115" s="7">
        <v>4025</v>
      </c>
      <c r="C115" s="22" t="s">
        <v>203</v>
      </c>
      <c r="D115" s="22" t="s">
        <v>334</v>
      </c>
      <c r="E115" s="13">
        <v>42743.705451388887</v>
      </c>
      <c r="F115" s="13">
        <v>42743.708784722221</v>
      </c>
      <c r="G115" s="7">
        <v>1</v>
      </c>
      <c r="H115" s="22" t="s">
        <v>401</v>
      </c>
      <c r="I115" s="13">
        <v>42743.734432870369</v>
      </c>
      <c r="J115" s="7">
        <v>0</v>
      </c>
      <c r="K115" s="105" t="str">
        <f t="shared" si="85"/>
        <v>4025/4026</v>
      </c>
      <c r="L115" s="22" t="str">
        <f>VLOOKUP(A115,'Trips&amp;Operators'!$C$1:$G$99999,5,FALSE)</f>
        <v>KILLION DAVID</v>
      </c>
      <c r="M115" s="6">
        <f t="shared" si="86"/>
        <v>2.5648148148320615E-2</v>
      </c>
      <c r="N115" s="7">
        <f t="shared" si="87"/>
        <v>36.933333333581686</v>
      </c>
      <c r="O115" s="7"/>
      <c r="P115" s="7"/>
      <c r="Q115" s="23"/>
      <c r="R115" s="23"/>
      <c r="S115" s="32">
        <f t="shared" si="88"/>
        <v>1</v>
      </c>
      <c r="T115" s="47" t="str">
        <f t="shared" si="89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15:55:51-700',mode:absolute,to:'2017-01-08 18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5" s="49" t="str">
        <f t="shared" si="91"/>
        <v>N</v>
      </c>
      <c r="X115" s="173">
        <f t="shared" si="92"/>
        <v>1</v>
      </c>
      <c r="Y115" s="64">
        <f t="shared" si="93"/>
        <v>4.6600000000000003E-2</v>
      </c>
      <c r="Z115" s="64">
        <f t="shared" si="94"/>
        <v>23.327999999999999</v>
      </c>
      <c r="AA115" s="64">
        <f t="shared" si="95"/>
        <v>23.281399999999998</v>
      </c>
      <c r="AB115" s="61" t="e">
        <f>VLOOKUP(A115,Enforcements!$C$7:$K$18,8,0)</f>
        <v>#N/A</v>
      </c>
      <c r="AC115" s="57" t="e">
        <f>VLOOKUP(A115,Enforcements!$C$7:$E$18,3,0)</f>
        <v>#N/A</v>
      </c>
      <c r="AD115" s="58" t="str">
        <f t="shared" si="96"/>
        <v>0207-08</v>
      </c>
      <c r="AE115" s="87" t="str">
        <f t="shared" si="97"/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AF115" s="84" t="str">
        <f t="shared" si="98"/>
        <v>"C:\Program Files (x86)\AstroGrep\AstroGrep.exe" /spath="%USERPROFILE%\AppData\Local\Temp\OnboardLogs" /stypes="app*4025*20170109*" /stext=" 00:.+((SYSTEM_STATE.+slice.+state.+changed )|(ment ac)|(multiple cpu faults)|(system.+state.+changed )|(\[timeout)|(PRM\|1\|D)|(kpr)|(kdp)|(\|lc)|(penalty))" /e /r /s</v>
      </c>
      <c r="AG115" s="1" t="str">
        <f t="shared" si="99"/>
        <v>EC</v>
      </c>
      <c r="AH115" s="88" t="str">
        <f t="shared" si="100"/>
        <v>"%USERPROFILE%\Documents\GitHub\eaglep3\Utilities\RefineRTDCRunTimes.py" --tripid 207-08 --locoid 4025 --swversion DE.1.0.8.0 --startMP 204:466 --initTime 2017-01-08T16:55:51 --startdatetime 2017-01-08T17:00:39 --delay 1 --endMP 204:233280 --enddatetime 2017-01-08T17:37:35 --enforcementcount 0 &gt;&gt;C:\Users\stu\Documents\GitHub\eaglep3-reporting\EC\2017-01-08-refined-times.txt</v>
      </c>
      <c r="AI115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{"issue":{"subject":"","project_id":79,"tracker_id":40,"status_id":1,"priority_id":2,"assigned_to_id":23,"start_date":"2017-01-08","description":"","custom_fields":[{"id":1,"name":"Subdivision","value":"EC"},{"id":4,"name":"Milepost","value":"23.328"},{"id":17,"name":"Train ID","value":"207-08"},{"id":16,"name":"Locomotive ID","value":"4025"},{"id":130,"name":"Impact","value":""},{"id":150,"name":"Time of Event (Mountain Time)","value":"17:37:35"},{"id":151,"name":"Denver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102"/>
        <v>start /low /b %USERPROFILE%\Documents\GitHub\eaglep3\Utilities\DownloadLogsFromS3.py --loco 4025 --day 2017-01-08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575</v>
      </c>
      <c r="B116" s="7">
        <v>4026</v>
      </c>
      <c r="C116" s="22" t="s">
        <v>203</v>
      </c>
      <c r="D116" s="22" t="s">
        <v>315</v>
      </c>
      <c r="E116" s="13">
        <v>42743.741782407407</v>
      </c>
      <c r="F116" s="13">
        <v>42743.747499999998</v>
      </c>
      <c r="G116" s="7">
        <v>1</v>
      </c>
      <c r="H116" s="22" t="s">
        <v>192</v>
      </c>
      <c r="I116" s="13">
        <v>42743.775879629633</v>
      </c>
      <c r="J116" s="7">
        <v>0</v>
      </c>
      <c r="K116" s="105" t="str">
        <f t="shared" si="85"/>
        <v>4025/4026</v>
      </c>
      <c r="L116" s="22" t="str">
        <f>VLOOKUP(A116,'Trips&amp;Operators'!$C$1:$G$99999,5,FALSE)</f>
        <v>KILLION DAVID</v>
      </c>
      <c r="M116" s="6">
        <f t="shared" si="86"/>
        <v>2.8379629635310266E-2</v>
      </c>
      <c r="N116" s="7">
        <f t="shared" si="87"/>
        <v>40.866666674846783</v>
      </c>
      <c r="O116" s="7"/>
      <c r="P116" s="7"/>
      <c r="Q116" s="23"/>
      <c r="R116" s="23"/>
      <c r="S116" s="32">
        <f t="shared" si="88"/>
        <v>1</v>
      </c>
      <c r="T116" s="47" t="str">
        <f t="shared" si="89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16:48:10-700',mode:absolute,to:'2017-01-08 19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6" s="49" t="str">
        <f t="shared" si="91"/>
        <v>N</v>
      </c>
      <c r="X116" s="173">
        <f t="shared" si="92"/>
        <v>1</v>
      </c>
      <c r="Y116" s="64">
        <f t="shared" si="93"/>
        <v>23.298100000000002</v>
      </c>
      <c r="Z116" s="64">
        <f t="shared" si="94"/>
        <v>1.43E-2</v>
      </c>
      <c r="AA116" s="64">
        <f t="shared" si="95"/>
        <v>23.283800000000003</v>
      </c>
      <c r="AB116" s="61" t="e">
        <f>VLOOKUP(A116,Enforcements!$C$7:$K$18,8,0)</f>
        <v>#N/A</v>
      </c>
      <c r="AC116" s="57" t="e">
        <f>VLOOKUP(A116,Enforcements!$C$7:$E$18,3,0)</f>
        <v>#N/A</v>
      </c>
      <c r="AD116" s="58" t="str">
        <f t="shared" si="96"/>
        <v>0208-08</v>
      </c>
      <c r="AE116" s="87" t="str">
        <f t="shared" si="97"/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AF116" s="84" t="str">
        <f t="shared" si="98"/>
        <v>"C:\Program Files (x86)\AstroGrep\AstroGrep.exe" /spath="%USERPROFILE%\AppData\Local\Temp\OnboardLogs" /stypes="app*4026*20170109*" /stext=" 01:.+((SYSTEM_STATE.+slice.+state.+changed )|(ment ac)|(multiple cpu faults)|(system.+state.+changed )|(\[timeout)|(PRM\|1\|D)|(kpr)|(kdp)|(\|lc)|(penalty))" /e /r /s</v>
      </c>
      <c r="AG116" s="1" t="str">
        <f t="shared" si="99"/>
        <v>EC</v>
      </c>
      <c r="AH116" s="88" t="str">
        <f t="shared" si="100"/>
        <v>"%USERPROFILE%\Documents\GitHub\eaglep3\Utilities\RefineRTDCRunTimes.py" --tripid 208-08 --locoid 4026 --swversion DE.1.0.8.0 --startMP 204:232981 --initTime 2017-01-08T17:48:10 --startdatetime 2017-01-08T17:56:24 --delay 1 --endMP 204:143 --enddatetime 2017-01-08T18:37:16 --enforcementcount 0 &gt;&gt;C:\Users\stu\Documents\GitHub\eaglep3-reporting\EC\2017-01-08-refined-times.txt</v>
      </c>
      <c r="AI116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{"issue":{"subject":"","project_id":79,"tracker_id":40,"status_id":1,"priority_id":2,"assigned_to_id":23,"start_date":"2017-01-08","description":"","custom_fields":[{"id":1,"name":"Subdivision","value":"EC"},{"id":4,"name":"Milepost","value":"0.0143"},{"id":17,"name":"Train ID","value":"208-08"},{"id":16,"name":"Locomotive ID","value":"4026"},{"id":130,"name":"Impact","value":""},{"id":150,"name":"Time of Event (Mountain Time)","value":"18:37:16"},{"id":151,"name":"Denver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102"/>
        <v>start /low /b %USERPROFILE%\Documents\GitHub\eaglep3\Utilities\DownloadLogsFromS3.py --loco 4026 --day 2017-01-08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568</v>
      </c>
      <c r="B117" s="7">
        <v>4007</v>
      </c>
      <c r="C117" s="22" t="s">
        <v>203</v>
      </c>
      <c r="D117" s="22" t="s">
        <v>752</v>
      </c>
      <c r="E117" s="13">
        <v>42743.715370370373</v>
      </c>
      <c r="F117" s="13">
        <v>42743.719155092593</v>
      </c>
      <c r="G117" s="7">
        <v>1</v>
      </c>
      <c r="H117" s="22" t="s">
        <v>253</v>
      </c>
      <c r="I117" s="13">
        <v>42743.746435185189</v>
      </c>
      <c r="J117" s="7">
        <v>0</v>
      </c>
      <c r="K117" s="105" t="str">
        <f t="shared" si="85"/>
        <v>4007/4008</v>
      </c>
      <c r="L117" s="22" t="str">
        <f>VLOOKUP(A117,'Trips&amp;Operators'!$C$1:$G$99999,5,FALSE)</f>
        <v>CHANDLER KELVIN</v>
      </c>
      <c r="M117" s="6">
        <f t="shared" si="86"/>
        <v>2.7280092595901806E-2</v>
      </c>
      <c r="N117" s="7">
        <f t="shared" si="87"/>
        <v>39.283333338098601</v>
      </c>
      <c r="O117" s="7"/>
      <c r="P117" s="7"/>
      <c r="Q117" s="23"/>
      <c r="R117" s="23"/>
      <c r="S117" s="32">
        <f t="shared" si="88"/>
        <v>1</v>
      </c>
      <c r="T117" s="47" t="str">
        <f t="shared" si="89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16:10:08-700',mode:absolute,to:'2017-01-08 18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7" s="49" t="str">
        <f t="shared" si="91"/>
        <v>N</v>
      </c>
      <c r="X117" s="173">
        <f t="shared" si="92"/>
        <v>1</v>
      </c>
      <c r="Y117" s="64">
        <f t="shared" si="93"/>
        <v>4.7699999999999999E-2</v>
      </c>
      <c r="Z117" s="64">
        <f t="shared" si="94"/>
        <v>23.328900000000001</v>
      </c>
      <c r="AA117" s="64">
        <f t="shared" si="95"/>
        <v>23.281200000000002</v>
      </c>
      <c r="AB117" s="61" t="e">
        <f>VLOOKUP(A117,Enforcements!$C$7:$K$18,8,0)</f>
        <v>#N/A</v>
      </c>
      <c r="AC117" s="57" t="e">
        <f>VLOOKUP(A117,Enforcements!$C$7:$E$18,3,0)</f>
        <v>#N/A</v>
      </c>
      <c r="AD117" s="58" t="str">
        <f t="shared" si="96"/>
        <v>0209-08</v>
      </c>
      <c r="AE117" s="87" t="str">
        <f t="shared" si="97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17" s="84" t="str">
        <f t="shared" si="98"/>
        <v>"C:\Program Files (x86)\AstroGrep\AstroGrep.exe" /spath="%USERPROFILE%\AppData\Local\Temp\OnboardLogs" /stypes="app*4007*20170109*" /stext=" 00:.+((SYSTEM_STATE.+slice.+state.+changed )|(ment ac)|(multiple cpu faults)|(system.+state.+changed )|(\[timeout)|(PRM\|1\|D)|(kpr)|(kdp)|(\|lc)|(penalty))" /e /r /s</v>
      </c>
      <c r="AG117" s="1" t="str">
        <f t="shared" si="99"/>
        <v>EC</v>
      </c>
      <c r="AH117" s="88" t="str">
        <f t="shared" si="100"/>
        <v>"%USERPROFILE%\Documents\GitHub\eaglep3\Utilities\RefineRTDCRunTimes.py" --tripid 209-08 --locoid 4007 --swversion DE.1.0.8.0 --startMP 204:477 --initTime 2017-01-08T17:10:08 --startdatetime 2017-01-08T17:15:35 --delay 1 --endMP 204:233289 --enddatetime 2017-01-08T17:54:52 --enforcementcount 0 &gt;&gt;C:\Users\stu\Documents\GitHub\eaglep3-reporting\EC\2017-01-08-refined-times.txt</v>
      </c>
      <c r="AI117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{"issue":{"subject":"","project_id":79,"tracker_id":40,"status_id":1,"priority_id":2,"assigned_to_id":23,"start_date":"2017-01-08","description":"","custom_fields":[{"id":1,"name":"Subdivision","value":"EC"},{"id":4,"name":"Milepost","value":"23.3289"},{"id":17,"name":"Train ID","value":"209-08"},{"id":16,"name":"Locomotive ID","value":"4007"},{"id":130,"name":"Impact","value":""},{"id":150,"name":"Time of Event (Mountain Time)","value":"17:54:52"},{"id":151,"name":"Denver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102"/>
        <v>start /low /b %USERPROFILE%\Documents\GitHub\eaglep3\Utilities\DownloadLogsFromS3.py --loco 4007 --day 2017-01-08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427</v>
      </c>
      <c r="B118" s="7">
        <v>4008</v>
      </c>
      <c r="C118" s="22" t="s">
        <v>203</v>
      </c>
      <c r="D118" s="22" t="s">
        <v>753</v>
      </c>
      <c r="E118" s="13">
        <v>42743.755659722221</v>
      </c>
      <c r="F118" s="13">
        <v>42743.758032407408</v>
      </c>
      <c r="G118" s="7">
        <v>1</v>
      </c>
      <c r="H118" s="22" t="s">
        <v>754</v>
      </c>
      <c r="I118" s="13">
        <v>42743.785636574074</v>
      </c>
      <c r="J118" s="7">
        <v>0</v>
      </c>
      <c r="K118" s="105" t="str">
        <f t="shared" si="85"/>
        <v>4007/4008</v>
      </c>
      <c r="L118" s="22" t="str">
        <f>VLOOKUP(A118,'Trips&amp;Operators'!$C$1:$G$99999,5,FALSE)</f>
        <v>CHANDLER KELVIN</v>
      </c>
      <c r="M118" s="6">
        <f t="shared" si="86"/>
        <v>2.7604166665696539E-2</v>
      </c>
      <c r="N118" s="7">
        <f t="shared" si="87"/>
        <v>39.749999998603016</v>
      </c>
      <c r="O118" s="7"/>
      <c r="P118" s="7"/>
      <c r="Q118" s="23"/>
      <c r="R118" s="23"/>
      <c r="S118" s="32">
        <f t="shared" si="88"/>
        <v>1</v>
      </c>
      <c r="T118" s="47" t="str">
        <f t="shared" si="89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17:08:09-700',mode:absolute,to:'2017-01-08 19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8" s="49" t="str">
        <f t="shared" si="91"/>
        <v>N</v>
      </c>
      <c r="X118" s="173">
        <f t="shared" si="92"/>
        <v>1</v>
      </c>
      <c r="Y118" s="64">
        <f t="shared" si="93"/>
        <v>23.295000000000002</v>
      </c>
      <c r="Z118" s="64">
        <f t="shared" si="94"/>
        <v>1.78E-2</v>
      </c>
      <c r="AA118" s="64">
        <f t="shared" si="95"/>
        <v>23.277200000000001</v>
      </c>
      <c r="AB118" s="61" t="e">
        <f>VLOOKUP(A118,Enforcements!$C$7:$K$18,8,0)</f>
        <v>#N/A</v>
      </c>
      <c r="AC118" s="57" t="e">
        <f>VLOOKUP(A118,Enforcements!$C$7:$E$18,3,0)</f>
        <v>#N/A</v>
      </c>
      <c r="AD118" s="58" t="str">
        <f t="shared" si="96"/>
        <v>0210-08</v>
      </c>
      <c r="AE118" s="87" t="str">
        <f t="shared" si="97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18" s="84" t="str">
        <f t="shared" si="98"/>
        <v>"C:\Program Files (x86)\AstroGrep\AstroGrep.exe" /spath="%USERPROFILE%\AppData\Local\Temp\OnboardLogs" /stypes="app*4008*20170109*" /stext=" 01:.+((SYSTEM_STATE.+slice.+state.+changed )|(ment ac)|(multiple cpu faults)|(system.+state.+changed )|(\[timeout)|(PRM\|1\|D)|(kpr)|(kdp)|(\|lc)|(penalty))" /e /r /s</v>
      </c>
      <c r="AG118" s="1" t="str">
        <f t="shared" si="99"/>
        <v>EC</v>
      </c>
      <c r="AH118" s="88" t="str">
        <f t="shared" si="100"/>
        <v>"%USERPROFILE%\Documents\GitHub\eaglep3\Utilities\RefineRTDCRunTimes.py" --tripid 210-08 --locoid 4008 --swversion DE.1.0.8.0 --startMP 204:232950 --initTime 2017-01-08T18:08:09 --startdatetime 2017-01-08T18:11:34 --delay 1 --endMP 204:178 --enddatetime 2017-01-08T18:51:19 --enforcementcount 0 &gt;&gt;C:\Users\stu\Documents\GitHub\eaglep3-reporting\EC\2017-01-08-refined-times.txt</v>
      </c>
      <c r="AI118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{"issue":{"subject":"","project_id":79,"tracker_id":40,"status_id":1,"priority_id":2,"assigned_to_id":23,"start_date":"2017-01-08","description":"","custom_fields":[{"id":1,"name":"Subdivision","value":"EC"},{"id":4,"name":"Milepost","value":"0.0178"},{"id":17,"name":"Train ID","value":"210-08"},{"id":16,"name":"Locomotive ID","value":"4008"},{"id":130,"name":"Impact","value":""},{"id":150,"name":"Time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102"/>
        <v>start /low /b %USERPROFILE%\Documents\GitHub\eaglep3\Utilities\DownloadLogsFromS3.py --loco 4008 --day 2017-01-08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571</v>
      </c>
      <c r="B119" s="7">
        <v>4040</v>
      </c>
      <c r="C119" s="22" t="s">
        <v>203</v>
      </c>
      <c r="D119" s="22" t="s">
        <v>286</v>
      </c>
      <c r="E119" s="13">
        <v>42743.725162037037</v>
      </c>
      <c r="F119" s="13">
        <v>42743.729398148149</v>
      </c>
      <c r="G119" s="7">
        <v>1</v>
      </c>
      <c r="H119" s="22" t="s">
        <v>734</v>
      </c>
      <c r="I119" s="13">
        <v>42743.7578587963</v>
      </c>
      <c r="J119" s="7">
        <v>0</v>
      </c>
      <c r="K119" s="105" t="str">
        <f t="shared" si="85"/>
        <v>4039/4040</v>
      </c>
      <c r="L119" s="22" t="str">
        <f>VLOOKUP(A119,'Trips&amp;Operators'!$C$1:$G$99999,5,FALSE)</f>
        <v>NELSON ARIANE</v>
      </c>
      <c r="M119" s="6">
        <f t="shared" si="86"/>
        <v>2.846064815093996E-2</v>
      </c>
      <c r="N119" s="7">
        <f t="shared" si="87"/>
        <v>40.983333337353542</v>
      </c>
      <c r="O119" s="7"/>
      <c r="P119" s="7"/>
      <c r="Q119" s="23"/>
      <c r="R119" s="23"/>
      <c r="S119" s="32">
        <f t="shared" si="88"/>
        <v>1</v>
      </c>
      <c r="T119" s="47" t="str">
        <f t="shared" si="89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16:24:14-700',mode:absolute,to:'2017-01-08 19:11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49" t="str">
        <f t="shared" si="91"/>
        <v>N</v>
      </c>
      <c r="X119" s="173">
        <f t="shared" si="92"/>
        <v>1</v>
      </c>
      <c r="Y119" s="64">
        <f t="shared" si="93"/>
        <v>4.5699999999999998E-2</v>
      </c>
      <c r="Z119" s="64">
        <f t="shared" si="94"/>
        <v>23.326799999999999</v>
      </c>
      <c r="AA119" s="64">
        <f t="shared" si="95"/>
        <v>23.281099999999999</v>
      </c>
      <c r="AB119" s="61" t="e">
        <f>VLOOKUP(A119,Enforcements!$C$7:$K$18,8,0)</f>
        <v>#N/A</v>
      </c>
      <c r="AC119" s="57" t="e">
        <f>VLOOKUP(A119,Enforcements!$C$7:$E$18,3,0)</f>
        <v>#N/A</v>
      </c>
      <c r="AD119" s="58" t="str">
        <f t="shared" si="96"/>
        <v>0211-08</v>
      </c>
      <c r="AE119" s="87" t="str">
        <f t="shared" si="97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19" s="84" t="str">
        <f t="shared" si="98"/>
        <v>"C:\Program Files (x86)\AstroGrep\AstroGrep.exe" /spath="%USERPROFILE%\AppData\Local\Temp\OnboardLogs" /stypes="app*4040*20170109*" /stext=" 01:.+((SYSTEM_STATE.+slice.+state.+changed )|(ment ac)|(multiple cpu faults)|(system.+state.+changed )|(\[timeout)|(PRM\|1\|D)|(kpr)|(kdp)|(\|lc)|(penalty))" /e /r /s</v>
      </c>
      <c r="AG119" s="1" t="str">
        <f t="shared" si="99"/>
        <v>EC</v>
      </c>
      <c r="AH119" s="88" t="str">
        <f t="shared" si="100"/>
        <v>"%USERPROFILE%\Documents\GitHub\eaglep3\Utilities\RefineRTDCRunTimes.py" --tripid 211-08 --locoid 4040 --swversion DE.1.0.8.0 --startMP 204:457 --initTime 2017-01-08T17:24:14 --startdatetime 2017-01-08T17:30:20 --delay 1 --endMP 204:233268 --enddatetime 2017-01-08T18:11:19 --enforcementcount 0 &gt;&gt;C:\Users\stu\Documents\GitHub\eaglep3-reporting\EC\2017-01-08-refined-times.txt</v>
      </c>
      <c r="AI119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{"issue":{"subject":"","project_id":79,"tracker_id":40,"status_id":1,"priority_id":2,"assigned_to_id":23,"start_date":"2017-01-08","description":"","custom_fields":[{"id":1,"name":"Subdivision","value":"EC"},{"id":4,"name":"Milepost","value":"23.3268"},{"id":17,"name":"Train ID","value":"211-08"},{"id":16,"name":"Locomotive ID","value":"4040"},{"id":130,"name":"Impact","value":""},{"id":150,"name":"Time of Event (Mountain Time)","value":"18:11:19"},{"id":151,"name":"Denver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102"/>
        <v>start /low /b %USERPROFILE%\Documents\GitHub\eaglep3\Utilities\DownloadLogsFromS3.py --loco 4040 --day 2017-01-08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587</v>
      </c>
      <c r="B120" s="7">
        <v>4039</v>
      </c>
      <c r="C120" s="22" t="s">
        <v>203</v>
      </c>
      <c r="D120" s="22" t="s">
        <v>654</v>
      </c>
      <c r="E120" s="13">
        <v>42743.765243055554</v>
      </c>
      <c r="F120" s="13">
        <v>42743.768564814818</v>
      </c>
      <c r="G120" s="7">
        <v>3</v>
      </c>
      <c r="H120" s="22" t="s">
        <v>209</v>
      </c>
      <c r="I120" s="13">
        <v>42743.797511574077</v>
      </c>
      <c r="J120" s="7">
        <v>0</v>
      </c>
      <c r="K120" s="105" t="str">
        <f t="shared" si="85"/>
        <v>4039/4040</v>
      </c>
      <c r="L120" s="22" t="str">
        <f>VLOOKUP(A120,'Trips&amp;Operators'!$C$1:$G$99999,5,FALSE)</f>
        <v>NELSON ARIANE</v>
      </c>
      <c r="M120" s="6">
        <f t="shared" si="86"/>
        <v>2.8946759259270038E-2</v>
      </c>
      <c r="N120" s="7">
        <f t="shared" si="87"/>
        <v>41.683333333348855</v>
      </c>
      <c r="O120" s="7"/>
      <c r="P120" s="7"/>
      <c r="Q120" s="23"/>
      <c r="R120" s="23"/>
      <c r="S120" s="32">
        <f t="shared" si="88"/>
        <v>1</v>
      </c>
      <c r="T120" s="47" t="str">
        <f t="shared" si="89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17:21:57-700',mode:absolute,to:'2017-01-08 20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49" t="str">
        <f t="shared" si="91"/>
        <v>N</v>
      </c>
      <c r="X120" s="173">
        <f t="shared" si="92"/>
        <v>1</v>
      </c>
      <c r="Y120" s="64">
        <f t="shared" si="93"/>
        <v>23.295500000000001</v>
      </c>
      <c r="Z120" s="64">
        <f t="shared" si="94"/>
        <v>1.4999999999999999E-2</v>
      </c>
      <c r="AA120" s="64">
        <f t="shared" si="95"/>
        <v>23.2805</v>
      </c>
      <c r="AB120" s="61" t="e">
        <f>VLOOKUP(A120,Enforcements!$C$7:$K$18,8,0)</f>
        <v>#N/A</v>
      </c>
      <c r="AC120" s="57" t="e">
        <f>VLOOKUP(A120,Enforcements!$C$7:$E$18,3,0)</f>
        <v>#N/A</v>
      </c>
      <c r="AD120" s="58" t="str">
        <f t="shared" si="96"/>
        <v>0212-08</v>
      </c>
      <c r="AE120" s="87" t="str">
        <f t="shared" si="97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120" s="84" t="str">
        <f t="shared" si="98"/>
        <v>"C:\Program Files (x86)\AstroGrep\AstroGrep.exe" /spath="%USERPROFILE%\AppData\Local\Temp\OnboardLogs" /stypes="app*4039*20170109*" /stext=" 02:.+((SYSTEM_STATE.+slice.+state.+changed )|(ment ac)|(multiple cpu faults)|(system.+state.+changed )|(\[timeout)|(PRM\|1\|D)|(kpr)|(kdp)|(\|lc)|(penalty))" /e /r /s</v>
      </c>
      <c r="AG120" s="1" t="str">
        <f t="shared" si="99"/>
        <v>EC</v>
      </c>
      <c r="AH120" s="88" t="str">
        <f t="shared" si="100"/>
        <v>"%USERPROFILE%\Documents\GitHub\eaglep3\Utilities\RefineRTDCRunTimes.py" --tripid 212-08 --locoid 4039 --swversion DE.1.0.8.0 --startMP 204:232955 --initTime 2017-01-08T18:21:57 --startdatetime 2017-01-08T18:26:44 --delay 3 --endMP 204:150 --enddatetime 2017-01-08T19:08:25 --enforcementcount 0 &gt;&gt;C:\Users\stu\Documents\GitHub\eaglep3-reporting\EC\2017-01-08-refined-times.txt</v>
      </c>
      <c r="AI120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ID","value":"212-08"},{"id":16,"name":"Locomotive ID","value":"4039"},{"id":130,"name":"Impact","value":""},{"id":150,"name":"Time of Event (Mountain Time)","value":"19:08:25"},{"id":151,"name":"Denver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102"/>
        <v>start /low /b %USERPROFILE%\Documents\GitHub\eaglep3\Utilities\DownloadLogsFromS3.py --loco 4039 --day 2017-01-08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573</v>
      </c>
      <c r="B121" s="7">
        <v>4002</v>
      </c>
      <c r="C121" s="22" t="s">
        <v>203</v>
      </c>
      <c r="D121" s="22" t="s">
        <v>193</v>
      </c>
      <c r="E121" s="13">
        <v>42743.731192129628</v>
      </c>
      <c r="F121" s="13">
        <v>42743.739849537036</v>
      </c>
      <c r="G121" s="7">
        <v>1</v>
      </c>
      <c r="H121" s="22" t="s">
        <v>355</v>
      </c>
      <c r="I121" s="13">
        <v>42743.765706018516</v>
      </c>
      <c r="J121" s="7">
        <v>0</v>
      </c>
      <c r="K121" s="105" t="str">
        <f t="shared" si="85"/>
        <v>4001/4002</v>
      </c>
      <c r="L121" s="22" t="str">
        <f>VLOOKUP(A121,'Trips&amp;Operators'!$C$1:$G$99999,5,FALSE)</f>
        <v>NEWELL JAMES</v>
      </c>
      <c r="M121" s="6">
        <f t="shared" si="86"/>
        <v>2.5856481479422655E-2</v>
      </c>
      <c r="N121" s="7">
        <f t="shared" si="87"/>
        <v>37.233333330368623</v>
      </c>
      <c r="O121" s="7"/>
      <c r="P121" s="7"/>
      <c r="Q121" s="23"/>
      <c r="R121" s="23"/>
      <c r="S121" s="32">
        <f t="shared" si="88"/>
        <v>1</v>
      </c>
      <c r="T121" s="47" t="str">
        <f t="shared" si="89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16:32:55-700',mode:absolute,to:'2017-01-08 19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1" s="49" t="str">
        <f t="shared" si="91"/>
        <v>N</v>
      </c>
      <c r="X121" s="173">
        <f t="shared" si="92"/>
        <v>1</v>
      </c>
      <c r="Y121" s="64">
        <f t="shared" si="93"/>
        <v>4.4699999999999997E-2</v>
      </c>
      <c r="Z121" s="64">
        <f t="shared" si="94"/>
        <v>23.329899999999999</v>
      </c>
      <c r="AA121" s="64">
        <f t="shared" si="95"/>
        <v>23.2852</v>
      </c>
      <c r="AB121" s="61" t="e">
        <f>VLOOKUP(A121,Enforcements!$C$7:$K$18,8,0)</f>
        <v>#N/A</v>
      </c>
      <c r="AC121" s="57" t="e">
        <f>VLOOKUP(A121,Enforcements!$C$7:$E$18,3,0)</f>
        <v>#N/A</v>
      </c>
      <c r="AD121" s="58" t="str">
        <f t="shared" si="96"/>
        <v>0213-08</v>
      </c>
      <c r="AE121" s="87" t="str">
        <f t="shared" si="97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21" s="84" t="str">
        <f t="shared" si="98"/>
        <v>"C:\Program Files (x86)\AstroGrep\AstroGrep.exe" /spath="%USERPROFILE%\AppData\Local\Temp\OnboardLogs" /stypes="app*4002*20170109*" /stext=" 01:.+((SYSTEM_STATE.+slice.+state.+changed )|(ment ac)|(multiple cpu faults)|(system.+state.+changed )|(\[timeout)|(PRM\|1\|D)|(kpr)|(kdp)|(\|lc)|(penalty))" /e /r /s</v>
      </c>
      <c r="AG121" s="1" t="str">
        <f t="shared" si="99"/>
        <v>EC</v>
      </c>
      <c r="AH121" s="88" t="str">
        <f t="shared" si="100"/>
        <v>"%USERPROFILE%\Documents\GitHub\eaglep3\Utilities\RefineRTDCRunTimes.py" --tripid 213-08 --locoid 4002 --swversion DE.1.0.8.0 --startMP 204:447 --initTime 2017-01-08T17:32:55 --startdatetime 2017-01-08T17:45:23 --delay 1 --endMP 204:233299 --enddatetime 2017-01-08T18:22:37 --enforcementcount 0 &gt;&gt;C:\Users\stu\Documents\GitHub\eaglep3-reporting\EC\2017-01-08-refined-times.txt</v>
      </c>
      <c r="AI121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{"issue":{"subject":"","project_id":79,"tracker_id":40,"status_id":1,"priority_id":2,"assigned_to_id":23,"start_date":"2017-01-08","description":"","custom_fields":[{"id":1,"name":"Subdivision","value":"EC"},{"id":4,"name":"Milepost","value":"23.3299"},{"id":17,"name":"Train ID","value":"213-08"},{"id":16,"name":"Locomotive ID","value":"4002"},{"id":130,"name":"Impact","value":""},{"id":150,"name":"Time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102"/>
        <v>start /low /b %USERPROFILE%\Documents\GitHub\eaglep3\Utilities\DownloadLogsFromS3.py --loco 4002 --day 2017-01-08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589</v>
      </c>
      <c r="B122" s="7">
        <v>4001</v>
      </c>
      <c r="C122" s="22" t="s">
        <v>203</v>
      </c>
      <c r="D122" s="22" t="s">
        <v>386</v>
      </c>
      <c r="E122" s="13">
        <v>42743.773506944446</v>
      </c>
      <c r="F122" s="13">
        <v>42743.778622685182</v>
      </c>
      <c r="G122" s="7">
        <v>1</v>
      </c>
      <c r="H122" s="22" t="s">
        <v>248</v>
      </c>
      <c r="I122" s="13">
        <v>42743.804467592592</v>
      </c>
      <c r="J122" s="7">
        <v>0</v>
      </c>
      <c r="K122" s="105" t="str">
        <f t="shared" si="85"/>
        <v>4001/4002</v>
      </c>
      <c r="L122" s="22" t="str">
        <f>VLOOKUP(A122,'Trips&amp;Operators'!$C$1:$G$99999,5,FALSE)</f>
        <v>NEWELL JAMES</v>
      </c>
      <c r="M122" s="6">
        <f t="shared" si="86"/>
        <v>2.584490740991896E-2</v>
      </c>
      <c r="N122" s="7">
        <f t="shared" si="87"/>
        <v>37.216666670283303</v>
      </c>
      <c r="O122" s="7"/>
      <c r="P122" s="7"/>
      <c r="Q122" s="23"/>
      <c r="R122" s="23"/>
      <c r="S122" s="32">
        <f t="shared" si="88"/>
        <v>1</v>
      </c>
      <c r="T122" s="47" t="str">
        <f t="shared" si="89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17:33:51-700',mode:absolute,to:'2017-01-08 20:18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2" s="49" t="str">
        <f t="shared" si="91"/>
        <v>N</v>
      </c>
      <c r="X122" s="173">
        <f t="shared" si="92"/>
        <v>1</v>
      </c>
      <c r="Y122" s="64">
        <f t="shared" si="93"/>
        <v>23.296900000000001</v>
      </c>
      <c r="Z122" s="64">
        <f t="shared" si="94"/>
        <v>1.6E-2</v>
      </c>
      <c r="AA122" s="64">
        <f t="shared" si="95"/>
        <v>23.280900000000003</v>
      </c>
      <c r="AB122" s="61" t="e">
        <f>VLOOKUP(A122,Enforcements!$C$7:$K$18,8,0)</f>
        <v>#N/A</v>
      </c>
      <c r="AC122" s="57" t="e">
        <f>VLOOKUP(A122,Enforcements!$C$7:$E$18,3,0)</f>
        <v>#N/A</v>
      </c>
      <c r="AD122" s="58" t="str">
        <f t="shared" si="96"/>
        <v>0214-08</v>
      </c>
      <c r="AE122" s="87" t="str">
        <f t="shared" si="97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122" s="84" t="str">
        <f t="shared" si="98"/>
        <v>"C:\Program Files (x86)\AstroGrep\AstroGrep.exe" /spath="%USERPROFILE%\AppData\Local\Temp\OnboardLogs" /stypes="app*4001*20170109*" /stext=" 02:.+((SYSTEM_STATE.+slice.+state.+changed )|(ment ac)|(multiple cpu faults)|(system.+state.+changed )|(\[timeout)|(PRM\|1\|D)|(kpr)|(kdp)|(\|lc)|(penalty))" /e /r /s</v>
      </c>
      <c r="AG122" s="1" t="str">
        <f t="shared" si="99"/>
        <v>EC</v>
      </c>
      <c r="AH122" s="88" t="str">
        <f t="shared" si="100"/>
        <v>"%USERPROFILE%\Documents\GitHub\eaglep3\Utilities\RefineRTDCRunTimes.py" --tripid 214-08 --locoid 4001 --swversion DE.1.0.8.0 --startMP 204:232969 --initTime 2017-01-08T18:33:51 --startdatetime 2017-01-08T18:41:13 --delay 1 --endMP 204:160 --enddatetime 2017-01-08T19:18:26 --enforcementcount 0 &gt;&gt;C:\Users\stu\Documents\GitHub\eaglep3-reporting\EC\2017-01-08-refined-times.txt</v>
      </c>
      <c r="AI122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{"issue":{"subject":"","project_id":79,"tracker_id":40,"status_id":1,"priority_id":2,"assigned_to_id":23,"start_date":"2017-01-08","description":"","custom_fields":[{"id":1,"name":"Subdivision","value":"EC"},{"id":4,"name":"Milepost","value":"0.016"},{"id":17,"name":"Train ID","value":"214-08"},{"id":16,"name":"Locomotive ID","value":"4001"},{"id":130,"name":"Impact","value":""},{"id":150,"name":"Time of Event (Mountain Time)","value":"19:18:26"},{"id":151,"name":"Denver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102"/>
        <v>start /low /b %USERPROFILE%\Documents\GitHub\eaglep3\Utilities\DownloadLogsFromS3.py --loco 4001 --day 2017-01-08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580</v>
      </c>
      <c r="B123" s="7">
        <v>4020</v>
      </c>
      <c r="C123" s="22" t="s">
        <v>203</v>
      </c>
      <c r="D123" s="22" t="s">
        <v>692</v>
      </c>
      <c r="E123" s="13">
        <v>42743.748680555553</v>
      </c>
      <c r="F123" s="13">
        <v>42743.751064814816</v>
      </c>
      <c r="G123" s="7">
        <v>1</v>
      </c>
      <c r="H123" s="22" t="s">
        <v>332</v>
      </c>
      <c r="I123" s="13">
        <v>42743.776516203703</v>
      </c>
      <c r="J123" s="7">
        <v>0</v>
      </c>
      <c r="K123" s="105" t="str">
        <f t="shared" si="85"/>
        <v>4019/4020</v>
      </c>
      <c r="L123" s="22" t="str">
        <f>VLOOKUP(A123,'Trips&amp;Operators'!$C$1:$G$99999,5,FALSE)</f>
        <v>BADERTSCHER DIANE</v>
      </c>
      <c r="M123" s="6">
        <f t="shared" si="86"/>
        <v>2.545138888672227E-2</v>
      </c>
      <c r="N123" s="7">
        <f t="shared" si="87"/>
        <v>36.649999996880069</v>
      </c>
      <c r="O123" s="7"/>
      <c r="P123" s="7"/>
      <c r="Q123" s="23"/>
      <c r="R123" s="23"/>
      <c r="S123" s="32">
        <f t="shared" si="88"/>
        <v>1</v>
      </c>
      <c r="T123" s="47" t="str">
        <f t="shared" si="89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16:58:06-700',mode:absolute,to:'2017-01-08 19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3" s="49" t="str">
        <f t="shared" si="91"/>
        <v>N</v>
      </c>
      <c r="X123" s="173">
        <f t="shared" si="92"/>
        <v>1</v>
      </c>
      <c r="Y123" s="64">
        <f t="shared" si="93"/>
        <v>4.9099999999999998E-2</v>
      </c>
      <c r="Z123" s="64">
        <f t="shared" si="94"/>
        <v>23.331399999999999</v>
      </c>
      <c r="AA123" s="64">
        <f t="shared" si="95"/>
        <v>23.282299999999999</v>
      </c>
      <c r="AB123" s="61" t="e">
        <f>VLOOKUP(A123,Enforcements!$C$7:$K$18,8,0)</f>
        <v>#N/A</v>
      </c>
      <c r="AC123" s="57" t="e">
        <f>VLOOKUP(A123,Enforcements!$C$7:$E$18,3,0)</f>
        <v>#N/A</v>
      </c>
      <c r="AD123" s="58" t="str">
        <f t="shared" si="96"/>
        <v>0215-08</v>
      </c>
      <c r="AE123" s="87" t="str">
        <f t="shared" si="97"/>
        <v>aws s3 cp s3://rtdc.mdm.uploadarchive.raw/RTDC4020/ "%USERPROFILE%\AppData\Local\Temp\OnboardLogs"\RTDC4020\2017-01-08 --exclude "*" --recursive --include "*20170108*" &amp; "%USERPROFILE%\Documents\GitHub\mrs-test-scripts\Headless Mode &amp; Sideloading\WalkAndUnGZ.bat" "%USERPROFILE%\AppData\Local\Temp\OnboardLogs"\RTDC4020\2017-01-08 &amp; 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</v>
      </c>
      <c r="AF123" s="84" t="str">
        <f t="shared" si="98"/>
        <v>"C:\Program Files (x86)\AstroGrep\AstroGrep.exe" /spath="%USERPROFILE%\AppData\Local\Temp\OnboardLogs" /stypes="app*4020*20170109*" /stext=" 01:.+((SYSTEM_STATE.+slice.+state.+changed )|(ment ac)|(multiple cpu faults)|(system.+state.+changed )|(\[timeout)|(PRM\|1\|D)|(kpr)|(kdp)|(\|lc)|(penalty))" /e /r /s</v>
      </c>
      <c r="AG123" s="1" t="str">
        <f t="shared" si="99"/>
        <v>EC</v>
      </c>
      <c r="AH123" s="88" t="str">
        <f t="shared" si="100"/>
        <v>"%USERPROFILE%\Documents\GitHub\eaglep3\Utilities\RefineRTDCRunTimes.py" --tripid 215-08 --locoid 4020 --swversion DE.1.0.8.0 --startMP 204:491 --initTime 2017-01-08T17:58:06 --startdatetime 2017-01-08T18:01:32 --delay 1 --endMP 204:233314 --enddatetime 2017-01-08T18:38:11 --enforcementcount 0 &gt;&gt;C:\Users\stu\Documents\GitHub\eaglep3-reporting\EC\2017-01-08-refined-times.txt</v>
      </c>
      <c r="AI123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{"issue":{"subject":"","project_id":79,"tracker_id":40,"status_id":1,"priority_id":2,"assigned_to_id":23,"start_date":"2017-01-08","description":"","custom_fields":[{"id":1,"name":"Subdivision","value":"EC"},{"id":4,"name":"Milepost","value":"23.3314"},{"id":17,"name":"Train ID","value":"215-08"},{"id":16,"name":"Locomotive ID","value":"4020"},{"id":130,"name":"Impact","value":""},{"id":150,"name":"Time of Event (Mountain Time)","value":"18:38:11"},{"id":151,"name":"Denver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102"/>
        <v>start /low /b %USERPROFILE%\Documents\GitHub\eaglep3\Utilities\DownloadLogsFromS3.py --loco 4020 --day 2017-01-08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592</v>
      </c>
      <c r="B124" s="7">
        <v>4019</v>
      </c>
      <c r="C124" s="22" t="s">
        <v>203</v>
      </c>
      <c r="D124" s="22" t="s">
        <v>312</v>
      </c>
      <c r="E124" s="13">
        <v>42743.782789351855</v>
      </c>
      <c r="F124" s="13">
        <v>42743.789618055554</v>
      </c>
      <c r="G124" s="7">
        <v>1</v>
      </c>
      <c r="H124" s="22" t="s">
        <v>209</v>
      </c>
      <c r="I124" s="13">
        <v>42743.817280092589</v>
      </c>
      <c r="J124" s="7">
        <v>0</v>
      </c>
      <c r="K124" s="105" t="str">
        <f t="shared" si="85"/>
        <v>4019/4020</v>
      </c>
      <c r="L124" s="22" t="str">
        <f>VLOOKUP(A124,'Trips&amp;Operators'!$C$1:$G$99999,5,FALSE)</f>
        <v>BADERTSCHER DIANE</v>
      </c>
      <c r="M124" s="6">
        <f t="shared" si="86"/>
        <v>2.7662037035042886E-2</v>
      </c>
      <c r="N124" s="7">
        <f t="shared" si="87"/>
        <v>39.833333330461755</v>
      </c>
      <c r="O124" s="7"/>
      <c r="P124" s="7"/>
      <c r="Q124" s="23"/>
      <c r="R124" s="23"/>
      <c r="S124" s="32">
        <f t="shared" si="88"/>
        <v>1</v>
      </c>
      <c r="T124" s="47" t="str">
        <f t="shared" si="89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17:47:13-700',mode:absolute,to:'2017-01-08 20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4" s="49" t="str">
        <f t="shared" si="91"/>
        <v>N</v>
      </c>
      <c r="X124" s="173">
        <f t="shared" si="92"/>
        <v>1</v>
      </c>
      <c r="Y124" s="64">
        <f t="shared" si="93"/>
        <v>23.298300000000001</v>
      </c>
      <c r="Z124" s="64">
        <f t="shared" si="94"/>
        <v>1.4999999999999999E-2</v>
      </c>
      <c r="AA124" s="64">
        <f t="shared" si="95"/>
        <v>23.283300000000001</v>
      </c>
      <c r="AB124" s="61" t="e">
        <f>VLOOKUP(A124,Enforcements!$C$7:$K$18,8,0)</f>
        <v>#N/A</v>
      </c>
      <c r="AC124" s="57" t="e">
        <f>VLOOKUP(A124,Enforcements!$C$7:$E$18,3,0)</f>
        <v>#N/A</v>
      </c>
      <c r="AD124" s="58" t="str">
        <f t="shared" si="96"/>
        <v>0216-08</v>
      </c>
      <c r="AE124" s="87" t="str">
        <f t="shared" si="97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24" s="84" t="str">
        <f t="shared" si="98"/>
        <v>"C:\Program Files (x86)\AstroGrep\AstroGrep.exe" /spath="%USERPROFILE%\AppData\Local\Temp\OnboardLogs" /stypes="app*4019*20170109*" /stext=" 02:.+((SYSTEM_STATE.+slice.+state.+changed )|(ment ac)|(multiple cpu faults)|(system.+state.+changed )|(\[timeout)|(PRM\|1\|D)|(kpr)|(kdp)|(\|lc)|(penalty))" /e /r /s</v>
      </c>
      <c r="AG124" s="1" t="str">
        <f t="shared" si="99"/>
        <v>EC</v>
      </c>
      <c r="AH124" s="88" t="str">
        <f t="shared" si="100"/>
        <v>"%USERPROFILE%\Documents\GitHub\eaglep3\Utilities\RefineRTDCRunTimes.py" --tripid 216-08 --locoid 4019 --swversion DE.1.0.8.0 --startMP 204:232983 --initTime 2017-01-08T18:47:13 --startdatetime 2017-01-08T18:57:03 --delay 1 --endMP 204:150 --enddatetime 2017-01-08T19:36:53 --enforcementcount 0 &gt;&gt;C:\Users\stu\Documents\GitHub\eaglep3-reporting\EC\2017-01-08-refined-times.txt</v>
      </c>
      <c r="AI124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ID","value":"216-08"},{"id":16,"name":"Locomotive ID","value":"4019"},{"id":130,"name":"Impact","value":""},{"id":150,"name":"Time of Event (Mountain Time)","value":"19:36:53"},{"id":151,"name":"Denver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102"/>
        <v>start /low /b %USERPROFILE%\Documents\GitHub\eaglep3\Utilities\DownloadLogsFromS3.py --loco 4019 --day 2017-01-08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582</v>
      </c>
      <c r="B125" s="7">
        <v>4027</v>
      </c>
      <c r="C125" s="22" t="s">
        <v>203</v>
      </c>
      <c r="D125" s="22" t="s">
        <v>743</v>
      </c>
      <c r="E125" s="13">
        <v>42743.756574074076</v>
      </c>
      <c r="F125" s="13">
        <v>42743.760729166665</v>
      </c>
      <c r="G125" s="7">
        <v>1</v>
      </c>
      <c r="H125" s="22" t="s">
        <v>351</v>
      </c>
      <c r="I125" s="13">
        <v>42743.787928240738</v>
      </c>
      <c r="J125" s="7">
        <v>0</v>
      </c>
      <c r="K125" s="105" t="str">
        <f t="shared" si="85"/>
        <v>4027/4028</v>
      </c>
      <c r="L125" s="22" t="str">
        <f>VLOOKUP(A125,'Trips&amp;Operators'!$C$1:$G$99999,5,FALSE)</f>
        <v>PERKINS DARREN</v>
      </c>
      <c r="M125" s="6">
        <f t="shared" si="86"/>
        <v>2.7199074072996154E-2</v>
      </c>
      <c r="N125" s="7">
        <f t="shared" si="87"/>
        <v>39.166666665114462</v>
      </c>
      <c r="O125" s="7"/>
      <c r="P125" s="7"/>
      <c r="Q125" s="23"/>
      <c r="R125" s="23"/>
      <c r="S125" s="32">
        <f t="shared" si="88"/>
        <v>1</v>
      </c>
      <c r="T125" s="47" t="str">
        <f t="shared" si="89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17:09:28-700',mode:absolute,to:'2017-01-08 19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5" s="49" t="str">
        <f t="shared" si="91"/>
        <v>N</v>
      </c>
      <c r="X125" s="173">
        <f t="shared" si="92"/>
        <v>1</v>
      </c>
      <c r="Y125" s="64">
        <f t="shared" si="93"/>
        <v>4.2000000000000003E-2</v>
      </c>
      <c r="Z125" s="64">
        <f t="shared" si="94"/>
        <v>23.330100000000002</v>
      </c>
      <c r="AA125" s="64">
        <f t="shared" si="95"/>
        <v>23.2881</v>
      </c>
      <c r="AB125" s="61" t="e">
        <f>VLOOKUP(A125,Enforcements!$C$7:$K$18,8,0)</f>
        <v>#N/A</v>
      </c>
      <c r="AC125" s="57" t="e">
        <f>VLOOKUP(A125,Enforcements!$C$7:$E$18,3,0)</f>
        <v>#N/A</v>
      </c>
      <c r="AD125" s="58" t="str">
        <f t="shared" si="96"/>
        <v>0217-08</v>
      </c>
      <c r="AE125" s="87" t="str">
        <f t="shared" si="97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25" s="84" t="str">
        <f t="shared" si="98"/>
        <v>"C:\Program Files (x86)\AstroGrep\AstroGrep.exe" /spath="%USERPROFILE%\AppData\Local\Temp\OnboardLogs" /stypes="app*4027*20170109*" /stext=" 01:.+((SYSTEM_STATE.+slice.+state.+changed )|(ment ac)|(multiple cpu faults)|(system.+state.+changed )|(\[timeout)|(PRM\|1\|D)|(kpr)|(kdp)|(\|lc)|(penalty))" /e /r /s</v>
      </c>
      <c r="AG125" s="1" t="str">
        <f t="shared" si="99"/>
        <v>EC</v>
      </c>
      <c r="AH125" s="88" t="str">
        <f t="shared" si="100"/>
        <v>"%USERPROFILE%\Documents\GitHub\eaglep3\Utilities\RefineRTDCRunTimes.py" --tripid 217-08 --locoid 4027 --swversion DE.1.0.8.0 --startMP 204:420 --initTime 2017-01-08T18:09:28 --startdatetime 2017-01-08T18:15:27 --delay 1 --endMP 204:233301 --enddatetime 2017-01-08T18:54:37 --enforcementcount 0 &gt;&gt;C:\Users\stu\Documents\GitHub\eaglep3-reporting\EC\2017-01-08-refined-times.txt</v>
      </c>
      <c r="AI125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{"issue":{"subject":"","project_id":79,"tracker_id":40,"status_id":1,"priority_id":2,"assigned_to_id":23,"start_date":"2017-01-08","description":"","custom_fields":[{"id":1,"name":"Subdivision","value":"EC"},{"id":4,"name":"Milepost","value":"23.3301"},{"id":17,"name":"Train ID","value":"217-08"},{"id":16,"name":"Locomotive ID","value":"4027"},{"id":130,"name":"Impact","value":""},{"id":150,"name":"Time of Event (Mountain Time)","value":"18:54:37"},{"id":151,"name":"Denver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102"/>
        <v>start /low /b %USERPROFILE%\Documents\GitHub\eaglep3\Utilities\DownloadLogsFromS3.py --loco 4027 --day 2017-01-08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594</v>
      </c>
      <c r="B126" s="7">
        <v>4028</v>
      </c>
      <c r="C126" s="22" t="s">
        <v>203</v>
      </c>
      <c r="D126" s="22" t="s">
        <v>393</v>
      </c>
      <c r="E126" s="13">
        <v>42743.790949074071</v>
      </c>
      <c r="F126" s="13">
        <v>42743.799502314818</v>
      </c>
      <c r="G126" s="7">
        <v>1</v>
      </c>
      <c r="H126" s="22" t="s">
        <v>349</v>
      </c>
      <c r="I126" s="13">
        <v>42743.82640046296</v>
      </c>
      <c r="J126" s="7">
        <v>0</v>
      </c>
      <c r="K126" s="105" t="str">
        <f t="shared" si="85"/>
        <v>4027/4028</v>
      </c>
      <c r="L126" s="22" t="str">
        <f>VLOOKUP(A126,'Trips&amp;Operators'!$C$1:$G$99999,5,FALSE)</f>
        <v>PERKINS DARREN</v>
      </c>
      <c r="M126" s="6">
        <f t="shared" si="86"/>
        <v>2.6898148142208811E-2</v>
      </c>
      <c r="N126" s="7">
        <f t="shared" si="87"/>
        <v>38.733333324780688</v>
      </c>
      <c r="O126" s="7"/>
      <c r="P126" s="7"/>
      <c r="Q126" s="23"/>
      <c r="R126" s="23"/>
      <c r="S126" s="32">
        <f t="shared" si="88"/>
        <v>1</v>
      </c>
      <c r="T126" s="47" t="str">
        <f t="shared" si="89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17:58:58-700',mode:absolute,to:'2017-01-08 20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6" s="49" t="str">
        <f t="shared" si="91"/>
        <v>N</v>
      </c>
      <c r="X126" s="173">
        <f t="shared" si="92"/>
        <v>1</v>
      </c>
      <c r="Y126" s="64">
        <f t="shared" si="93"/>
        <v>23.298400000000001</v>
      </c>
      <c r="Z126" s="64">
        <f t="shared" si="94"/>
        <v>1.3599999999999999E-2</v>
      </c>
      <c r="AA126" s="64">
        <f t="shared" si="95"/>
        <v>23.284800000000001</v>
      </c>
      <c r="AB126" s="61" t="e">
        <f>VLOOKUP(A126,Enforcements!$C$7:$K$18,8,0)</f>
        <v>#N/A</v>
      </c>
      <c r="AC126" s="57" t="e">
        <f>VLOOKUP(A126,Enforcements!$C$7:$E$18,3,0)</f>
        <v>#N/A</v>
      </c>
      <c r="AD126" s="58" t="str">
        <f t="shared" si="96"/>
        <v>0218-08</v>
      </c>
      <c r="AE126" s="87" t="str">
        <f t="shared" si="97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26" s="84" t="str">
        <f t="shared" si="98"/>
        <v>"C:\Program Files (x86)\AstroGrep\AstroGrep.exe" /spath="%USERPROFILE%\AppData\Local\Temp\OnboardLogs" /stypes="app*4028*20170109*" /stext=" 02:.+((SYSTEM_STATE.+slice.+state.+changed )|(ment ac)|(multiple cpu faults)|(system.+state.+changed )|(\[timeout)|(PRM\|1\|D)|(kpr)|(kdp)|(\|lc)|(penalty))" /e /r /s</v>
      </c>
      <c r="AG126" s="1" t="str">
        <f t="shared" si="99"/>
        <v>EC</v>
      </c>
      <c r="AH126" s="88" t="str">
        <f t="shared" si="100"/>
        <v>"%USERPROFILE%\Documents\GitHub\eaglep3\Utilities\RefineRTDCRunTimes.py" --tripid 218-08 --locoid 4028 --swversion DE.1.0.8.0 --startMP 204:232984 --initTime 2017-01-08T18:58:58 --startdatetime 2017-01-08T19:11:17 --delay 1 --endMP 204:136 --enddatetime 2017-01-08T19:50:01 --enforcementcount 0 &gt;&gt;C:\Users\stu\Documents\GitHub\eaglep3-reporting\EC\2017-01-08-refined-times.txt</v>
      </c>
      <c r="AI126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{"issue":{"subject":"","project_id":79,"tracker_id":40,"status_id":1,"priority_id":2,"assigned_to_id":23,"start_date":"2017-01-08","description":"","custom_fields":[{"id":1,"name":"Subdivision","value":"EC"},{"id":4,"name":"Milepost","value":"0.0136"},{"id":17,"name":"Train ID","value":"218-08"},{"id":16,"name":"Locomotive ID","value":"4028"},{"id":130,"name":"Impact","value":""},{"id":150,"name":"Time of Event (Mountain Time)","value":"19:50:01"},{"id":151,"name":"Denver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102"/>
        <v>start /low /b %USERPROFILE%\Documents\GitHub\eaglep3\Utilities\DownloadLogsFromS3.py --loco 4028 --day 2017-01-08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588</v>
      </c>
      <c r="B127" s="7">
        <v>4022</v>
      </c>
      <c r="C127" s="22" t="s">
        <v>203</v>
      </c>
      <c r="D127" s="22" t="s">
        <v>755</v>
      </c>
      <c r="E127" s="13">
        <v>42743.769212962965</v>
      </c>
      <c r="F127" s="13">
        <v>42743.771423611113</v>
      </c>
      <c r="G127" s="7">
        <v>2</v>
      </c>
      <c r="H127" s="22" t="s">
        <v>668</v>
      </c>
      <c r="I127" s="13">
        <v>42743.795613425929</v>
      </c>
      <c r="J127" s="7">
        <v>0</v>
      </c>
      <c r="K127" s="105" t="str">
        <f t="shared" si="85"/>
        <v>4021/4022</v>
      </c>
      <c r="L127" s="22" t="str">
        <f>VLOOKUP(A127,'Trips&amp;Operators'!$C$1:$G$99999,5,FALSE)</f>
        <v>STAMBAUGH JAMES</v>
      </c>
      <c r="M127" s="6">
        <f t="shared" si="86"/>
        <v>2.4189814816054422E-2</v>
      </c>
      <c r="N127" s="7">
        <f t="shared" si="87"/>
        <v>34.833333335118368</v>
      </c>
      <c r="O127" s="7"/>
      <c r="P127" s="7"/>
      <c r="Q127" s="23"/>
      <c r="R127" s="23"/>
      <c r="S127" s="32">
        <f t="shared" si="88"/>
        <v>1</v>
      </c>
      <c r="T127" s="47" t="str">
        <f t="shared" si="89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17:27:40-700',mode:absolute,to:'2017-01-08 20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7" s="49" t="str">
        <f t="shared" si="91"/>
        <v>N</v>
      </c>
      <c r="X127" s="173">
        <f t="shared" si="92"/>
        <v>1</v>
      </c>
      <c r="Y127" s="64">
        <f t="shared" si="93"/>
        <v>4.2200000000000001E-2</v>
      </c>
      <c r="Z127" s="64">
        <f t="shared" si="94"/>
        <v>23.331</v>
      </c>
      <c r="AA127" s="64">
        <f t="shared" si="95"/>
        <v>23.288799999999998</v>
      </c>
      <c r="AB127" s="61" t="e">
        <f>VLOOKUP(A127,Enforcements!$C$7:$K$18,8,0)</f>
        <v>#N/A</v>
      </c>
      <c r="AC127" s="57" t="e">
        <f>VLOOKUP(A127,Enforcements!$C$7:$E$18,3,0)</f>
        <v>#N/A</v>
      </c>
      <c r="AD127" s="58" t="str">
        <f t="shared" si="96"/>
        <v>0219-08</v>
      </c>
      <c r="AE127" s="87" t="str">
        <f t="shared" si="97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27" s="84" t="str">
        <f t="shared" si="98"/>
        <v>"C:\Program Files (x86)\AstroGrep\AstroGrep.exe" /spath="%USERPROFILE%\AppData\Local\Temp\OnboardLogs" /stypes="app*4022*20170109*" /stext=" 02:.+((SYSTEM_STATE.+slice.+state.+changed )|(ment ac)|(multiple cpu faults)|(system.+state.+changed )|(\[timeout)|(PRM\|1\|D)|(kpr)|(kdp)|(\|lc)|(penalty))" /e /r /s</v>
      </c>
      <c r="AG127" s="1" t="str">
        <f t="shared" si="99"/>
        <v>EC</v>
      </c>
      <c r="AH127" s="88" t="str">
        <f t="shared" si="100"/>
        <v>"%USERPROFILE%\Documents\GitHub\eaglep3\Utilities\RefineRTDCRunTimes.py" --tripid 219-08 --locoid 4022 --swversion DE.1.0.8.0 --startMP 204:422 --initTime 2017-01-08T18:27:40 --startdatetime 2017-01-08T18:30:51 --delay 2 --endMP 204:233310 --enddatetime 2017-01-08T19:05:41 --enforcementcount 0 &gt;&gt;C:\Users\stu\Documents\GitHub\eaglep3-reporting\EC\2017-01-08-refined-times.txt</v>
      </c>
      <c r="AI127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ID","value":"219-08"},{"id":16,"name":"Locomotive ID","value":"4022"},{"id":130,"name":"Impact","value":""},{"id":150,"name":"Time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102"/>
        <v>start /low /b %USERPROFILE%\Documents\GitHub\eaglep3\Utilities\DownloadLogsFromS3.py --loco 4022 --day 2017-01-08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596</v>
      </c>
      <c r="B128" s="7">
        <v>4021</v>
      </c>
      <c r="C128" s="22" t="s">
        <v>203</v>
      </c>
      <c r="D128" s="22" t="s">
        <v>291</v>
      </c>
      <c r="E128" s="13">
        <v>42743.80195601852</v>
      </c>
      <c r="F128" s="13">
        <v>42743.810289351852</v>
      </c>
      <c r="G128" s="7">
        <v>1</v>
      </c>
      <c r="H128" s="22" t="s">
        <v>191</v>
      </c>
      <c r="I128" s="13">
        <v>42743.8359837963</v>
      </c>
      <c r="J128" s="7">
        <v>0</v>
      </c>
      <c r="K128" s="105" t="str">
        <f t="shared" si="85"/>
        <v>4021/4022</v>
      </c>
      <c r="L128" s="22" t="str">
        <f>VLOOKUP(A128,'Trips&amp;Operators'!$C$1:$G$99999,5,FALSE)</f>
        <v>STAMBAUGH JAMES</v>
      </c>
      <c r="M128" s="6">
        <f t="shared" si="86"/>
        <v>2.5694444448163267E-2</v>
      </c>
      <c r="N128" s="7">
        <f t="shared" si="87"/>
        <v>37.000000005355105</v>
      </c>
      <c r="O128" s="7"/>
      <c r="P128" s="7"/>
      <c r="Q128" s="23"/>
      <c r="R128" s="23"/>
      <c r="S128" s="32">
        <f t="shared" si="88"/>
        <v>1</v>
      </c>
      <c r="T128" s="47" t="str">
        <f t="shared" si="89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18:14:49-700',mode:absolute,to:'2017-01-08 21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8" s="49" t="str">
        <f t="shared" si="91"/>
        <v>N</v>
      </c>
      <c r="X128" s="173">
        <f t="shared" si="92"/>
        <v>1</v>
      </c>
      <c r="Y128" s="64">
        <f t="shared" si="93"/>
        <v>23.2989</v>
      </c>
      <c r="Z128" s="64">
        <f t="shared" si="94"/>
        <v>1.49E-2</v>
      </c>
      <c r="AA128" s="64">
        <f t="shared" si="95"/>
        <v>23.283999999999999</v>
      </c>
      <c r="AB128" s="61" t="e">
        <f>VLOOKUP(A128,Enforcements!$C$7:$K$18,8,0)</f>
        <v>#N/A</v>
      </c>
      <c r="AC128" s="57" t="e">
        <f>VLOOKUP(A128,Enforcements!$C$7:$E$18,3,0)</f>
        <v>#N/A</v>
      </c>
      <c r="AD128" s="58" t="str">
        <f t="shared" si="96"/>
        <v>0220-08</v>
      </c>
      <c r="AE128" s="87" t="str">
        <f t="shared" si="97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28" s="84" t="str">
        <f t="shared" si="98"/>
        <v>"C:\Program Files (x86)\AstroGrep\AstroGrep.exe" /spath="%USERPROFILE%\AppData\Local\Temp\OnboardLogs" /stypes="app*4021*20170109*" /stext=" 03:.+((SYSTEM_STATE.+slice.+state.+changed )|(ment ac)|(multiple cpu faults)|(system.+state.+changed )|(\[timeout)|(PRM\|1\|D)|(kpr)|(kdp)|(\|lc)|(penalty))" /e /r /s</v>
      </c>
      <c r="AG128" s="1" t="str">
        <f t="shared" si="99"/>
        <v>EC</v>
      </c>
      <c r="AH128" s="88" t="str">
        <f t="shared" si="100"/>
        <v>"%USERPROFILE%\Documents\GitHub\eaglep3\Utilities\RefineRTDCRunTimes.py" --tripid 220-08 --locoid 4021 --swversion DE.1.0.8.0 --startMP 204:232989 --initTime 2017-01-08T19:14:49 --startdatetime 2017-01-08T19:26:49 --delay 1 --endMP 204:149 --enddatetime 2017-01-08T20:03:49 --enforcementcount 0 &gt;&gt;C:\Users\stu\Documents\GitHub\eaglep3-reporting\EC\2017-01-08-refined-times.txt</v>
      </c>
      <c r="AI128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{"issue":{"subject":"","project_id":79,"tracker_id":40,"status_id":1,"priority_id":2,"assigned_to_id":23,"start_date":"2017-01-08","description":"","custom_fields":[{"id":1,"name":"Subdivision","value":"EC"},{"id":4,"name":"Milepost","value":"0.0149"},{"id":17,"name":"Train ID","value":"220-08"},{"id":16,"name":"Locomotive ID","value":"4021"},{"id":130,"name":"Impact","value":""},{"id":150,"name":"Time of Event (Mountain Time)","value":"20:03:49"},{"id":151,"name":"Denver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102"/>
        <v>start /low /b %USERPROFILE%\Documents\GitHub\eaglep3\Utilities\DownloadLogsFromS3.py --loco 4021 --day 2017-01-08</v>
      </c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593</v>
      </c>
      <c r="B129" s="7">
        <v>4007</v>
      </c>
      <c r="C129" s="22" t="s">
        <v>203</v>
      </c>
      <c r="D129" s="22" t="s">
        <v>356</v>
      </c>
      <c r="E129" s="13">
        <v>42743.788518518515</v>
      </c>
      <c r="F129" s="13">
        <v>42743.792164351849</v>
      </c>
      <c r="G129" s="7">
        <v>1</v>
      </c>
      <c r="H129" s="22" t="s">
        <v>756</v>
      </c>
      <c r="I129" s="13">
        <v>42743.817106481481</v>
      </c>
      <c r="J129" s="7">
        <v>0</v>
      </c>
      <c r="K129" s="105" t="str">
        <f t="shared" si="85"/>
        <v>4007/4008</v>
      </c>
      <c r="L129" s="22" t="str">
        <f>VLOOKUP(A129,'Trips&amp;Operators'!$C$1:$G$99999,5,FALSE)</f>
        <v>CHANDLER KELVIN</v>
      </c>
      <c r="M129" s="6">
        <f t="shared" si="86"/>
        <v>2.4942129632108845E-2</v>
      </c>
      <c r="N129" s="7">
        <f t="shared" si="87"/>
        <v>35.916666670236737</v>
      </c>
      <c r="O129" s="7"/>
      <c r="P129" s="7"/>
      <c r="Q129" s="23"/>
      <c r="R129" s="23"/>
      <c r="S129" s="32">
        <f t="shared" si="88"/>
        <v>1</v>
      </c>
      <c r="T129" s="47" t="str">
        <f t="shared" si="89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17:55:28-700',mode:absolute,to:'2017-01-08 20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9" s="49" t="str">
        <f t="shared" si="91"/>
        <v>N</v>
      </c>
      <c r="X129" s="173">
        <f t="shared" si="92"/>
        <v>1</v>
      </c>
      <c r="Y129" s="64">
        <f t="shared" si="93"/>
        <v>4.8399999999999999E-2</v>
      </c>
      <c r="Z129" s="64">
        <f t="shared" si="94"/>
        <v>23.328299999999999</v>
      </c>
      <c r="AA129" s="64">
        <f t="shared" si="95"/>
        <v>23.279899999999998</v>
      </c>
      <c r="AB129" s="61" t="e">
        <f>VLOOKUP(A129,Enforcements!$C$7:$K$18,8,0)</f>
        <v>#N/A</v>
      </c>
      <c r="AC129" s="57" t="e">
        <f>VLOOKUP(A129,Enforcements!$C$7:$E$18,3,0)</f>
        <v>#N/A</v>
      </c>
      <c r="AD129" s="58" t="str">
        <f t="shared" si="96"/>
        <v>0221-08</v>
      </c>
      <c r="AE129" s="87" t="str">
        <f t="shared" si="97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29" s="84" t="str">
        <f t="shared" si="98"/>
        <v>"C:\Program Files (x86)\AstroGrep\AstroGrep.exe" /spath="%USERPROFILE%\AppData\Local\Temp\OnboardLogs" /stypes="app*4007*20170109*" /stext=" 02:.+((SYSTEM_STATE.+slice.+state.+changed )|(ment ac)|(multiple cpu faults)|(system.+state.+changed )|(\[timeout)|(PRM\|1\|D)|(kpr)|(kdp)|(\|lc)|(penalty))" /e /r /s</v>
      </c>
      <c r="AG129" s="1" t="str">
        <f t="shared" si="99"/>
        <v>EC</v>
      </c>
      <c r="AH129" s="88" t="str">
        <f t="shared" si="100"/>
        <v>"%USERPROFILE%\Documents\GitHub\eaglep3\Utilities\RefineRTDCRunTimes.py" --tripid 221-08 --locoid 4007 --swversion DE.1.0.8.0 --startMP 204:484 --initTime 2017-01-08T18:55:28 --startdatetime 2017-01-08T19:00:43 --delay 1 --endMP 204:233283 --enddatetime 2017-01-08T19:36:38 --enforcementcount 0 &gt;&gt;C:\Users\stu\Documents\GitHub\eaglep3-reporting\EC\2017-01-08-refined-times.txt</v>
      </c>
      <c r="AI129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{"issue":{"subject":"","project_id":79,"tracker_id":40,"status_id":1,"priority_id":2,"assigned_to_id":23,"start_date":"2017-01-08","description":"","custom_fields":[{"id":1,"name":"Subdivision","value":"EC"},{"id":4,"name":"Milepost","value":"23.3283"},{"id":17,"name":"Train ID","value":"221-08"},{"id":16,"name":"Locomotive ID","value":"4007"},{"id":130,"name":"Impact","value":""},{"id":150,"name":"Time of Event (Mountain Time)","value":"19:36:38"},{"id":151,"name":"Denver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102"/>
        <v>start /low /b %USERPROFILE%\Documents\GitHub\eaglep3\Utilities\DownloadLogsFromS3.py --loco 4007 --day 2017-01-08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602</v>
      </c>
      <c r="B130" s="7">
        <v>4008</v>
      </c>
      <c r="C130" s="22" t="s">
        <v>203</v>
      </c>
      <c r="D130" s="22" t="s">
        <v>358</v>
      </c>
      <c r="E130" s="13">
        <v>42743.828611111108</v>
      </c>
      <c r="F130" s="13">
        <v>42743.830868055556</v>
      </c>
      <c r="G130" s="7">
        <v>0</v>
      </c>
      <c r="H130" s="22" t="s">
        <v>281</v>
      </c>
      <c r="I130" s="13">
        <v>42743.858530092592</v>
      </c>
      <c r="J130" s="7">
        <v>0</v>
      </c>
      <c r="K130" s="105" t="str">
        <f t="shared" si="85"/>
        <v>4007/4008</v>
      </c>
      <c r="L130" s="22" t="str">
        <f>VLOOKUP(A130,'Trips&amp;Operators'!$C$1:$G$99999,5,FALSE)</f>
        <v>CHANDLER KELVIN</v>
      </c>
      <c r="M130" s="6">
        <f t="shared" si="86"/>
        <v>2.7662037035042886E-2</v>
      </c>
      <c r="N130" s="7">
        <f t="shared" si="87"/>
        <v>39.833333330461755</v>
      </c>
      <c r="O130" s="7"/>
      <c r="P130" s="7"/>
      <c r="Q130" s="23"/>
      <c r="R130" s="23"/>
      <c r="S130" s="32">
        <f t="shared" si="88"/>
        <v>1</v>
      </c>
      <c r="T130" s="47" t="str">
        <f t="shared" si="89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18:53:12-700',mode:absolute,to:'2017-01-08 21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0" s="49" t="str">
        <f t="shared" si="91"/>
        <v>N</v>
      </c>
      <c r="X130" s="173">
        <f t="shared" si="92"/>
        <v>1</v>
      </c>
      <c r="Y130" s="64">
        <f t="shared" si="93"/>
        <v>23.2957</v>
      </c>
      <c r="Z130" s="64">
        <f t="shared" si="94"/>
        <v>1.5800000000000002E-2</v>
      </c>
      <c r="AA130" s="64">
        <f t="shared" si="95"/>
        <v>23.279900000000001</v>
      </c>
      <c r="AB130" s="61" t="e">
        <f>VLOOKUP(A130,Enforcements!$C$7:$K$18,8,0)</f>
        <v>#N/A</v>
      </c>
      <c r="AC130" s="57" t="e">
        <f>VLOOKUP(A130,Enforcements!$C$7:$E$18,3,0)</f>
        <v>#N/A</v>
      </c>
      <c r="AD130" s="58" t="str">
        <f t="shared" si="96"/>
        <v>0222-08</v>
      </c>
      <c r="AE130" s="87" t="str">
        <f t="shared" si="97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30" s="84" t="str">
        <f t="shared" si="98"/>
        <v>"C:\Program Files (x86)\AstroGrep\AstroGrep.exe" /spath="%USERPROFILE%\AppData\Local\Temp\OnboardLogs" /stypes="app*4008*20170109*" /stext=" 03:.+((SYSTEM_STATE.+slice.+state.+changed )|(ment ac)|(multiple cpu faults)|(system.+state.+changed )|(\[timeout)|(PRM\|1\|D)|(kpr)|(kdp)|(\|lc)|(penalty))" /e /r /s</v>
      </c>
      <c r="AG130" s="1" t="str">
        <f t="shared" si="99"/>
        <v>EC</v>
      </c>
      <c r="AH130" s="88" t="str">
        <f t="shared" si="100"/>
        <v>"%USERPROFILE%\Documents\GitHub\eaglep3\Utilities\RefineRTDCRunTimes.py" --tripid 222-08 --locoid 4008 --swversion DE.1.0.8.0 --startMP 204:232957 --initTime 2017-01-08T19:53:12 --startdatetime 2017-01-08T19:56:27 --delay 0 --endMP 204:158 --enddatetime 2017-01-08T20:36:17 --enforcementcount 0 &gt;&gt;C:\Users\stu\Documents\GitHub\eaglep3-reporting\EC\2017-01-08-refined-times.txt</v>
      </c>
      <c r="AI130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{"issue":{"subject":"","project_id":79,"tracker_id":40,"status_id":1,"priority_id":2,"assigned_to_id":23,"start_date":"2017-01-08","description":"","custom_fields":[{"id":1,"name":"Subdivision","value":"EC"},{"id":4,"name":"Milepost","value":"0.0158"},{"id":17,"name":"Train ID","value":"222-08"},{"id":16,"name":"Locomotive ID","value":"4008"},{"id":130,"name":"Impact","value":""},{"id":150,"name":"Time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102"/>
        <v>start /low /b %USERPROFILE%\Documents\GitHub\eaglep3\Utilities\DownloadLogsFromS3.py --loco 4008 --day 2017-01-08</v>
      </c>
    </row>
    <row r="131" spans="1:91" s="21" customFormat="1" x14ac:dyDescent="0.25">
      <c r="A131" s="34" t="s">
        <v>598</v>
      </c>
      <c r="B131" s="7">
        <v>4002</v>
      </c>
      <c r="C131" s="22" t="s">
        <v>203</v>
      </c>
      <c r="D131" s="22" t="s">
        <v>243</v>
      </c>
      <c r="E131" s="13">
        <v>42743.806886574072</v>
      </c>
      <c r="F131" s="13">
        <v>42743.813344907408</v>
      </c>
      <c r="G131" s="7">
        <v>1</v>
      </c>
      <c r="H131" s="22" t="s">
        <v>757</v>
      </c>
      <c r="I131" s="13">
        <v>42743.83734953704</v>
      </c>
      <c r="J131" s="7">
        <v>0</v>
      </c>
      <c r="K131" s="105" t="str">
        <f t="shared" si="85"/>
        <v>4001/4002</v>
      </c>
      <c r="L131" s="22" t="str">
        <f>VLOOKUP(A131,'Trips&amp;Operators'!$C$1:$G$99999,5,FALSE)</f>
        <v>NEWELL JAMES</v>
      </c>
      <c r="M131" s="6">
        <f t="shared" si="86"/>
        <v>2.400462963123573E-2</v>
      </c>
      <c r="N131" s="7">
        <f t="shared" si="87"/>
        <v>34.566666668979451</v>
      </c>
      <c r="O131" s="7"/>
      <c r="P131" s="7"/>
      <c r="Q131" s="23"/>
      <c r="R131" s="23"/>
      <c r="S131" s="32">
        <f t="shared" si="88"/>
        <v>1</v>
      </c>
      <c r="T131" s="47" t="str">
        <f t="shared" si="89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18:21:55-700',mode:absolute,to:'2017-01-08 21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1" s="49" t="str">
        <f t="shared" si="91"/>
        <v>N</v>
      </c>
      <c r="X131" s="173">
        <f t="shared" si="92"/>
        <v>1</v>
      </c>
      <c r="Y131" s="64">
        <f t="shared" si="93"/>
        <v>4.6399999999999997E-2</v>
      </c>
      <c r="Z131" s="64">
        <f t="shared" si="94"/>
        <v>23.332899999999999</v>
      </c>
      <c r="AA131" s="64">
        <f t="shared" si="95"/>
        <v>23.2865</v>
      </c>
      <c r="AB131" s="61" t="e">
        <f>VLOOKUP(A131,Enforcements!$C$7:$K$18,8,0)</f>
        <v>#N/A</v>
      </c>
      <c r="AC131" s="57" t="e">
        <f>VLOOKUP(A131,Enforcements!$C$7:$E$18,3,0)</f>
        <v>#N/A</v>
      </c>
      <c r="AD131" s="58" t="str">
        <f t="shared" si="96"/>
        <v>0223-08</v>
      </c>
      <c r="AE131" s="87" t="str">
        <f t="shared" si="97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31" s="84" t="str">
        <f t="shared" si="98"/>
        <v>"C:\Program Files (x86)\AstroGrep\AstroGrep.exe" /spath="%USERPROFILE%\AppData\Local\Temp\OnboardLogs" /stypes="app*4002*20170109*" /stext=" 03:.+((SYSTEM_STATE.+slice.+state.+changed )|(ment ac)|(multiple cpu faults)|(system.+state.+changed )|(\[timeout)|(PRM\|1\|D)|(kpr)|(kdp)|(\|lc)|(penalty))" /e /r /s</v>
      </c>
      <c r="AG131" s="1" t="str">
        <f t="shared" si="99"/>
        <v>EC</v>
      </c>
      <c r="AH131" s="88" t="str">
        <f t="shared" si="100"/>
        <v>"%USERPROFILE%\Documents\GitHub\eaglep3\Utilities\RefineRTDCRunTimes.py" --tripid 223-08 --locoid 4002 --swversion DE.1.0.8.0 --startMP 204:464 --initTime 2017-01-08T19:21:55 --startdatetime 2017-01-08T19:31:13 --delay 1 --endMP 204:233329 --enddatetime 2017-01-08T20:05:47 --enforcementcount 0 &gt;&gt;C:\Users\stu\Documents\GitHub\eaglep3-reporting\EC\2017-01-08-refined-times.txt</v>
      </c>
      <c r="AI131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{"issue":{"subject":"","project_id":79,"tracker_id":40,"status_id":1,"priority_id":2,"assigned_to_id":23,"start_date":"2017-01-08","description":"","custom_fields":[{"id":1,"name":"Subdivision","value":"EC"},{"id":4,"name":"Milepost","value":"23.3329"},{"id":17,"name":"Train ID","value":"223-08"},{"id":16,"name":"Locomotive ID","value":"4002"},{"id":130,"name":"Impact","value":""},{"id":150,"name":"Time of Event (Mountain Time)","value":"20:05:47"},{"id":151,"name":"Denver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102"/>
        <v>start /low /b %USERPROFILE%\Documents\GitHub\eaglep3\Utilities\DownloadLogsFromS3.py --loco 4002 --day 2017-01-08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4" t="s">
        <v>603</v>
      </c>
      <c r="B132" s="7">
        <v>4001</v>
      </c>
      <c r="C132" s="22" t="s">
        <v>203</v>
      </c>
      <c r="D132" s="22" t="s">
        <v>651</v>
      </c>
      <c r="E132" s="13">
        <v>42743.841956018521</v>
      </c>
      <c r="F132" s="13">
        <v>42743.851643518516</v>
      </c>
      <c r="G132" s="7">
        <v>1</v>
      </c>
      <c r="H132" s="22" t="s">
        <v>209</v>
      </c>
      <c r="I132" s="13">
        <v>42743.877511574072</v>
      </c>
      <c r="J132" s="7">
        <v>0</v>
      </c>
      <c r="K132" s="105" t="str">
        <f t="shared" si="85"/>
        <v>4001/4002</v>
      </c>
      <c r="L132" s="22" t="str">
        <f>VLOOKUP(A132,'Trips&amp;Operators'!$C$1:$G$99999,5,FALSE)</f>
        <v>NEWELL JAMES</v>
      </c>
      <c r="M132" s="6">
        <f t="shared" si="86"/>
        <v>2.5868055556202307E-2</v>
      </c>
      <c r="N132" s="7">
        <f t="shared" si="87"/>
        <v>37.250000000931323</v>
      </c>
      <c r="O132" s="7"/>
      <c r="P132" s="7"/>
      <c r="Q132" s="23"/>
      <c r="R132" s="23"/>
      <c r="S132" s="32">
        <f t="shared" si="88"/>
        <v>1</v>
      </c>
      <c r="T132" s="47" t="str">
        <f t="shared" si="89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19:12:25-700',mode:absolute,to:'2017-01-08 22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2" s="49" t="str">
        <f t="shared" si="91"/>
        <v>N</v>
      </c>
      <c r="X132" s="173">
        <f t="shared" si="92"/>
        <v>1</v>
      </c>
      <c r="Y132" s="64">
        <f t="shared" si="93"/>
        <v>23.298500000000001</v>
      </c>
      <c r="Z132" s="64">
        <f t="shared" si="94"/>
        <v>1.4999999999999999E-2</v>
      </c>
      <c r="AA132" s="64">
        <f t="shared" si="95"/>
        <v>23.2835</v>
      </c>
      <c r="AB132" s="61" t="e">
        <f>VLOOKUP(A132,Enforcements!$C$7:$K$18,8,0)</f>
        <v>#N/A</v>
      </c>
      <c r="AC132" s="57" t="e">
        <f>VLOOKUP(A132,Enforcements!$C$7:$E$18,3,0)</f>
        <v>#N/A</v>
      </c>
      <c r="AD132" s="58" t="str">
        <f t="shared" si="96"/>
        <v>0224-08</v>
      </c>
      <c r="AE132" s="87" t="str">
        <f t="shared" si="97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132" s="84" t="str">
        <f t="shared" si="98"/>
        <v>"C:\Program Files (x86)\AstroGrep\AstroGrep.exe" /spath="%USERPROFILE%\AppData\Local\Temp\OnboardLogs" /stypes="app*4001*20170109*" /stext=" 04:.+((SYSTEM_STATE.+slice.+state.+changed )|(ment ac)|(multiple cpu faults)|(system.+state.+changed )|(\[timeout)|(PRM\|1\|D)|(kpr)|(kdp)|(\|lc)|(penalty))" /e /r /s</v>
      </c>
      <c r="AG132" s="1" t="str">
        <f t="shared" si="99"/>
        <v>EC</v>
      </c>
      <c r="AH132" s="88" t="str">
        <f t="shared" si="100"/>
        <v>"%USERPROFILE%\Documents\GitHub\eaglep3\Utilities\RefineRTDCRunTimes.py" --tripid 224-08 --locoid 4001 --swversion DE.1.0.8.0 --startMP 204:232985 --initTime 2017-01-08T20:12:25 --startdatetime 2017-01-08T20:26:22 --delay 1 --endMP 204:150 --enddatetime 2017-01-08T21:03:37 --enforcementcount 0 &gt;&gt;C:\Users\stu\Documents\GitHub\eaglep3-reporting\EC\2017-01-08-refined-times.txt</v>
      </c>
      <c r="AI132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{"issue":{"subject":"","project_id":79,"tracker_id":40,"status_id":1,"priority_id":2,"assigned_to_id":23,"start_date":"2017-01-08","description":"","custom_fields":[{"id":1,"name":"Subdivision","value":"EC"},{"id":4,"name":"Milepost","value":"0.015"},{"id":17,"name":"Train ID","value":"224-08"},{"id":16,"name":"Locomotive ID","value":"4001"},{"id":130,"name":"Impact","value":""},{"id":150,"name":"Time of Event (Mountain Time)","value":"21:03:37"},{"id":151,"name":"Denver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102"/>
        <v>start /low /b %USERPROFILE%\Documents\GitHub\eaglep3\Utilities\DownloadLogsFromS3.py --loco 4001 --day 2017-01-08</v>
      </c>
    </row>
    <row r="133" spans="1:91" s="21" customFormat="1" x14ac:dyDescent="0.25">
      <c r="A133" s="34" t="s">
        <v>601</v>
      </c>
      <c r="B133" s="7">
        <v>4027</v>
      </c>
      <c r="C133" s="22" t="s">
        <v>203</v>
      </c>
      <c r="D133" s="22" t="s">
        <v>294</v>
      </c>
      <c r="E133" s="13">
        <v>42743.828125</v>
      </c>
      <c r="F133" s="13">
        <v>42743.833518518521</v>
      </c>
      <c r="G133" s="7">
        <v>1</v>
      </c>
      <c r="H133" s="22" t="s">
        <v>758</v>
      </c>
      <c r="I133" s="13">
        <v>42743.858749999999</v>
      </c>
      <c r="J133" s="7">
        <v>0</v>
      </c>
      <c r="K133" s="105" t="str">
        <f t="shared" si="85"/>
        <v>4027/4028</v>
      </c>
      <c r="L133" s="22" t="str">
        <f>VLOOKUP(A133,'Trips&amp;Operators'!$C$1:$G$99999,5,FALSE)</f>
        <v>PERKINS DARREN</v>
      </c>
      <c r="M133" s="6">
        <f t="shared" si="86"/>
        <v>2.5231481478840578E-2</v>
      </c>
      <c r="N133" s="7">
        <f t="shared" si="87"/>
        <v>36.333333329530433</v>
      </c>
      <c r="O133" s="7"/>
      <c r="P133" s="7"/>
      <c r="Q133" s="23"/>
      <c r="R133" s="23"/>
      <c r="S133" s="32">
        <f t="shared" si="88"/>
        <v>1</v>
      </c>
      <c r="T133" s="47" t="str">
        <f t="shared" si="89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18:52:30-700',mode:absolute,to:'2017-01-08 21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3" s="49" t="str">
        <f t="shared" si="91"/>
        <v>N</v>
      </c>
      <c r="X133" s="173">
        <f t="shared" si="92"/>
        <v>1</v>
      </c>
      <c r="Y133" s="64">
        <f t="shared" si="93"/>
        <v>4.7800000000000002E-2</v>
      </c>
      <c r="Z133" s="64">
        <f t="shared" si="94"/>
        <v>23.322099999999999</v>
      </c>
      <c r="AA133" s="64">
        <f t="shared" si="95"/>
        <v>23.2743</v>
      </c>
      <c r="AB133" s="61" t="e">
        <f>VLOOKUP(A133,Enforcements!$C$7:$K$18,8,0)</f>
        <v>#N/A</v>
      </c>
      <c r="AC133" s="57" t="e">
        <f>VLOOKUP(A133,Enforcements!$C$7:$E$18,3,0)</f>
        <v>#N/A</v>
      </c>
      <c r="AD133" s="58" t="str">
        <f t="shared" si="96"/>
        <v>0225-08</v>
      </c>
      <c r="AE133" s="87" t="str">
        <f t="shared" si="97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33" s="84" t="str">
        <f t="shared" si="98"/>
        <v>"C:\Program Files (x86)\AstroGrep\AstroGrep.exe" /spath="%USERPROFILE%\AppData\Local\Temp\OnboardLogs" /stypes="app*4027*20170109*" /stext=" 03:.+((SYSTEM_STATE.+slice.+state.+changed )|(ment ac)|(multiple cpu faults)|(system.+state.+changed )|(\[timeout)|(PRM\|1\|D)|(kpr)|(kdp)|(\|lc)|(penalty))" /e /r /s</v>
      </c>
      <c r="AG133" s="1" t="str">
        <f t="shared" si="99"/>
        <v>EC</v>
      </c>
      <c r="AH133" s="88" t="str">
        <f t="shared" si="100"/>
        <v>"%USERPROFILE%\Documents\GitHub\eaglep3\Utilities\RefineRTDCRunTimes.py" --tripid 225-08 --locoid 4027 --swversion DE.1.0.8.0 --startMP 204:478 --initTime 2017-01-08T19:52:30 --startdatetime 2017-01-08T20:00:16 --delay 1 --endMP 204:233221 --enddatetime 2017-01-08T20:36:36 --enforcementcount 0 &gt;&gt;C:\Users\stu\Documents\GitHub\eaglep3-reporting\EC\2017-01-08-refined-times.txt</v>
      </c>
      <c r="AI133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{"issue":{"subject":"","project_id":79,"tracker_id":40,"status_id":1,"priority_id":2,"assigned_to_id":23,"start_date":"2017-01-08","description":"","custom_fields":[{"id":1,"name":"Subdivision","value":"EC"},{"id":4,"name":"Milepost","value":"23.3221"},{"id":17,"name":"Train ID","value":"225-08"},{"id":16,"name":"Locomotive ID","value":"4027"},{"id":130,"name":"Impact","value":""},{"id":150,"name":"Time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102"/>
        <v>start /low /b %USERPROFILE%\Documents\GitHub\eaglep3\Utilities\DownloadLogsFromS3.py --loco 4027 --day 2017-01-08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607</v>
      </c>
      <c r="B134" s="7">
        <v>4028</v>
      </c>
      <c r="C134" s="22" t="s">
        <v>203</v>
      </c>
      <c r="D134" s="22" t="s">
        <v>718</v>
      </c>
      <c r="E134" s="13">
        <v>42743.8671412037</v>
      </c>
      <c r="F134" s="13">
        <v>42743.872407407405</v>
      </c>
      <c r="G134" s="7">
        <v>1</v>
      </c>
      <c r="H134" s="22" t="s">
        <v>400</v>
      </c>
      <c r="I134" s="13">
        <v>42743.899976851855</v>
      </c>
      <c r="J134" s="7">
        <v>0</v>
      </c>
      <c r="K134" s="105" t="str">
        <f t="shared" si="85"/>
        <v>4027/4028</v>
      </c>
      <c r="L134" s="22" t="str">
        <f>VLOOKUP(A134,'Trips&amp;Operators'!$C$1:$G$99999,5,FALSE)</f>
        <v>PERKINS DARREN</v>
      </c>
      <c r="M134" s="6">
        <f t="shared" si="86"/>
        <v>2.7569444449909497E-2</v>
      </c>
      <c r="N134" s="7">
        <f t="shared" si="87"/>
        <v>39.700000007869676</v>
      </c>
      <c r="O134" s="7"/>
      <c r="P134" s="7"/>
      <c r="Q134" s="23"/>
      <c r="R134" s="23"/>
      <c r="S134" s="32">
        <f t="shared" si="88"/>
        <v>1</v>
      </c>
      <c r="T134" s="47" t="str">
        <f t="shared" si="89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19:48:41-700',mode:absolute,to:'2017-01-08 22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4" s="49" t="str">
        <f t="shared" si="91"/>
        <v>N</v>
      </c>
      <c r="X134" s="173">
        <f t="shared" si="92"/>
        <v>1</v>
      </c>
      <c r="Y134" s="64">
        <f t="shared" si="93"/>
        <v>23.3002</v>
      </c>
      <c r="Z134" s="64">
        <f t="shared" si="94"/>
        <v>1.14E-2</v>
      </c>
      <c r="AA134" s="64">
        <f t="shared" si="95"/>
        <v>23.288800000000002</v>
      </c>
      <c r="AB134" s="61" t="e">
        <f>VLOOKUP(A134,Enforcements!$C$7:$K$18,8,0)</f>
        <v>#N/A</v>
      </c>
      <c r="AC134" s="57" t="e">
        <f>VLOOKUP(A134,Enforcements!$C$7:$E$18,3,0)</f>
        <v>#N/A</v>
      </c>
      <c r="AD134" s="58" t="str">
        <f t="shared" si="96"/>
        <v>0226-08</v>
      </c>
      <c r="AE134" s="87" t="str">
        <f t="shared" si="97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34" s="84" t="str">
        <f t="shared" si="98"/>
        <v>"C:\Program Files (x86)\AstroGrep\AstroGrep.exe" /spath="%USERPROFILE%\AppData\Local\Temp\OnboardLogs" /stypes="app*4028*20170109*" /stext=" 04:.+((SYSTEM_STATE.+slice.+state.+changed )|(ment ac)|(multiple cpu faults)|(system.+state.+changed )|(\[timeout)|(PRM\|1\|D)|(kpr)|(kdp)|(\|lc)|(penalty))" /e /r /s</v>
      </c>
      <c r="AG134" s="1" t="str">
        <f t="shared" si="99"/>
        <v>EC</v>
      </c>
      <c r="AH134" s="88" t="str">
        <f t="shared" si="100"/>
        <v>"%USERPROFILE%\Documents\GitHub\eaglep3\Utilities\RefineRTDCRunTimes.py" --tripid 226-08 --locoid 4028 --swversion DE.1.0.8.0 --startMP 204:233002 --initTime 2017-01-08T20:48:41 --startdatetime 2017-01-08T20:56:16 --delay 1 --endMP 204:114 --enddatetime 2017-01-08T21:35:58 --enforcementcount 0 &gt;&gt;C:\Users\stu\Documents\GitHub\eaglep3-reporting\EC\2017-01-08-refined-times.txt</v>
      </c>
      <c r="AI134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{"issue":{"subject":"","project_id":79,"tracker_id":40,"status_id":1,"priority_id":2,"assigned_to_id":23,"start_date":"2017-01-08","description":"","custom_fields":[{"id":1,"name":"Subdivision","value":"EC"},{"id":4,"name":"Milepost","value":"0.0114"},{"id":17,"name":"Train ID","value":"226-08"},{"id":16,"name":"Locomotive ID","value":"4028"},{"id":130,"name":"Impact","value":""},{"id":150,"name":"Time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102"/>
        <v>start /low /b %USERPROFILE%\Documents\GitHub\eaglep3\Utilities\DownloadLogsFromS3.py --loco 4028 --day 2017-01-08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604</v>
      </c>
      <c r="B135" s="7">
        <v>4022</v>
      </c>
      <c r="C135" s="22" t="s">
        <v>203</v>
      </c>
      <c r="D135" s="22" t="s">
        <v>257</v>
      </c>
      <c r="E135" s="13">
        <v>42743.842638888891</v>
      </c>
      <c r="F135" s="13">
        <v>42743.854548611111</v>
      </c>
      <c r="G135" s="7">
        <v>1</v>
      </c>
      <c r="H135" s="22" t="s">
        <v>650</v>
      </c>
      <c r="I135" s="13">
        <v>42743.879942129628</v>
      </c>
      <c r="J135" s="7">
        <v>0</v>
      </c>
      <c r="K135" s="105" t="str">
        <f t="shared" si="85"/>
        <v>4021/4022</v>
      </c>
      <c r="L135" s="22" t="str">
        <f>VLOOKUP(A135,'Trips&amp;Operators'!$C$1:$G$99999,5,FALSE)</f>
        <v>MACDONALD THOMAS</v>
      </c>
      <c r="M135" s="6">
        <f t="shared" si="86"/>
        <v>2.5393518517375924E-2</v>
      </c>
      <c r="N135" s="7">
        <f t="shared" si="87"/>
        <v>36.56666666502133</v>
      </c>
      <c r="O135" s="7"/>
      <c r="P135" s="7"/>
      <c r="Q135" s="23"/>
      <c r="R135" s="23"/>
      <c r="S135" s="32">
        <f t="shared" si="88"/>
        <v>1</v>
      </c>
      <c r="T135" s="47" t="str">
        <f t="shared" si="89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19:13:24-700',mode:absolute,to:'2017-01-08 22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5" s="49" t="str">
        <f t="shared" si="91"/>
        <v>N</v>
      </c>
      <c r="X135" s="173">
        <f t="shared" si="92"/>
        <v>1</v>
      </c>
      <c r="Y135" s="64">
        <f t="shared" si="93"/>
        <v>4.4900000000000002E-2</v>
      </c>
      <c r="Z135" s="64">
        <f t="shared" si="94"/>
        <v>23.330400000000001</v>
      </c>
      <c r="AA135" s="64">
        <f t="shared" si="95"/>
        <v>23.285500000000003</v>
      </c>
      <c r="AB135" s="61" t="e">
        <f>VLOOKUP(A135,Enforcements!$C$7:$K$18,8,0)</f>
        <v>#N/A</v>
      </c>
      <c r="AC135" s="57" t="e">
        <f>VLOOKUP(A135,Enforcements!$C$7:$E$18,3,0)</f>
        <v>#N/A</v>
      </c>
      <c r="AD135" s="58" t="str">
        <f t="shared" si="96"/>
        <v>0227-08</v>
      </c>
      <c r="AE135" s="87" t="str">
        <f t="shared" si="97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35" s="84" t="str">
        <f t="shared" si="98"/>
        <v>"C:\Program Files (x86)\AstroGrep\AstroGrep.exe" /spath="%USERPROFILE%\AppData\Local\Temp\OnboardLogs" /stypes="app*4022*20170109*" /stext=" 04:.+((SYSTEM_STATE.+slice.+state.+changed )|(ment ac)|(multiple cpu faults)|(system.+state.+changed )|(\[timeout)|(PRM\|1\|D)|(kpr)|(kdp)|(\|lc)|(penalty))" /e /r /s</v>
      </c>
      <c r="AG135" s="1" t="str">
        <f t="shared" si="99"/>
        <v>EC</v>
      </c>
      <c r="AH135" s="88" t="str">
        <f t="shared" si="100"/>
        <v>"%USERPROFILE%\Documents\GitHub\eaglep3\Utilities\RefineRTDCRunTimes.py" --tripid 227-08 --locoid 4022 --swversion DE.1.0.8.0 --startMP 204:449 --initTime 2017-01-08T20:13:24 --startdatetime 2017-01-08T20:30:33 --delay 1 --endMP 204:233304 --enddatetime 2017-01-08T21:07:07 --enforcementcount 0 &gt;&gt;C:\Users\stu\Documents\GitHub\eaglep3-reporting\EC\2017-01-08-refined-times.txt</v>
      </c>
      <c r="AI135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{"issue":{"subject":"","project_id":79,"tracker_id":40,"status_id":1,"priority_id":2,"assigned_to_id":23,"start_date":"2017-01-08","description":"","custom_fields":[{"id":1,"name":"Subdivision","value":"EC"},{"id":4,"name":"Milepost","value":"23.3304"},{"id":17,"name":"Train ID","value":"227-08"},{"id":16,"name":"Locomotive ID","value":"4022"},{"id":130,"name":"Impact","value":""},{"id":150,"name":"Time of Event (Mountain Time)","value":"21:07:07"},{"id":151,"name":"Denver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102"/>
        <v>start /low /b %USERPROFILE%\Documents\GitHub\eaglep3\Utilities\DownloadLogsFromS3.py --loco 4022 --day 2017-01-08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611</v>
      </c>
      <c r="B136" s="7">
        <v>4021</v>
      </c>
      <c r="C136" s="22" t="s">
        <v>203</v>
      </c>
      <c r="D136" s="22" t="s">
        <v>388</v>
      </c>
      <c r="E136" s="13">
        <v>42743.88858796296</v>
      </c>
      <c r="F136" s="13">
        <v>42743.89371527778</v>
      </c>
      <c r="G136" s="7">
        <v>2</v>
      </c>
      <c r="H136" s="22" t="s">
        <v>229</v>
      </c>
      <c r="I136" s="13">
        <v>42743.922303240739</v>
      </c>
      <c r="J136" s="7">
        <v>0</v>
      </c>
      <c r="K136" s="105" t="str">
        <f t="shared" si="85"/>
        <v>4021/4022</v>
      </c>
      <c r="L136" s="22" t="str">
        <f>VLOOKUP(A136,'Trips&amp;Operators'!$C$1:$G$99999,5,FALSE)</f>
        <v>MACDONALD THOMAS</v>
      </c>
      <c r="M136" s="6">
        <f t="shared" si="86"/>
        <v>2.8587962959136348E-2</v>
      </c>
      <c r="N136" s="7">
        <f t="shared" si="87"/>
        <v>41.166666661156341</v>
      </c>
      <c r="O136" s="7"/>
      <c r="P136" s="7"/>
      <c r="Q136" s="23"/>
      <c r="R136" s="23"/>
      <c r="S136" s="32">
        <f t="shared" si="88"/>
        <v>1</v>
      </c>
      <c r="T136" s="47" t="str">
        <f t="shared" si="89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20:19:34-700',mode:absolute,to:'2017-01-08 23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6" s="49" t="str">
        <f t="shared" si="91"/>
        <v>N</v>
      </c>
      <c r="X136" s="173">
        <f t="shared" si="92"/>
        <v>1</v>
      </c>
      <c r="Y136" s="64">
        <f t="shared" si="93"/>
        <v>23.299399999999999</v>
      </c>
      <c r="Z136" s="64">
        <f t="shared" si="94"/>
        <v>1.4500000000000001E-2</v>
      </c>
      <c r="AA136" s="64">
        <f t="shared" si="95"/>
        <v>23.284899999999997</v>
      </c>
      <c r="AB136" s="61" t="e">
        <f>VLOOKUP(A136,Enforcements!$C$7:$K$18,8,0)</f>
        <v>#N/A</v>
      </c>
      <c r="AC136" s="57" t="e">
        <f>VLOOKUP(A136,Enforcements!$C$7:$E$18,3,0)</f>
        <v>#N/A</v>
      </c>
      <c r="AD136" s="58" t="str">
        <f t="shared" si="96"/>
        <v>0228-08</v>
      </c>
      <c r="AE136" s="87" t="str">
        <f t="shared" si="97"/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36" s="84" t="str">
        <f t="shared" si="98"/>
        <v>"C:\Program Files (x86)\AstroGrep\AstroGrep.exe" /spath="%USERPROFILE%\AppData\Local\Temp\OnboardLogs" /stypes="app*4021*20170109*" /stext=" 05:.+((SYSTEM_STATE.+slice.+state.+changed )|(ment ac)|(multiple cpu faults)|(system.+state.+changed )|(\[timeout)|(PRM\|1\|D)|(kpr)|(kdp)|(\|lc)|(penalty))" /e /r /s</v>
      </c>
      <c r="AG136" s="1" t="str">
        <f t="shared" si="99"/>
        <v>EC</v>
      </c>
      <c r="AH136" s="88" t="str">
        <f t="shared" si="100"/>
        <v>"%USERPROFILE%\Documents\GitHub\eaglep3\Utilities\RefineRTDCRunTimes.py" --tripid 228-08 --locoid 4021 --swversion DE.1.0.8.0 --startMP 204:232994 --initTime 2017-01-08T21:19:34 --startdatetime 2017-01-08T21:26:57 --delay 2 --endMP 204:145 --enddatetime 2017-01-08T22:08:07 --enforcementcount 0 &gt;&gt;C:\Users\stu\Documents\GitHub\eaglep3-reporting\EC\2017-01-08-refined-times.txt</v>
      </c>
      <c r="AI136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{"issue":{"subject":"","project_id":79,"tracker_id":40,"status_id":1,"priority_id":2,"assigned_to_id":23,"start_date":"2017-01-08","description":"","custom_fields":[{"id":1,"name":"Subdivision","value":"EC"},{"id":4,"name":"Milepost","value":"0.0145"},{"id":17,"name":"Train ID","value":"228-08"},{"id":16,"name":"Locomotive ID","value":"4021"},{"id":130,"name":"Impact","value":""},{"id":150,"name":"Time of Event (Mountain Time)","value":"22:08:07"},{"id":151,"name":"Denver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102"/>
        <v>start /low /b %USERPROFILE%\Documents\GitHub\eaglep3\Utilities\DownloadLogsFromS3.py --loco 4021 --day 2017-01-08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608</v>
      </c>
      <c r="B137" s="7">
        <v>4007</v>
      </c>
      <c r="C137" s="22" t="s">
        <v>203</v>
      </c>
      <c r="D137" s="22" t="s">
        <v>752</v>
      </c>
      <c r="E137" s="13">
        <v>42743.874942129631</v>
      </c>
      <c r="F137" s="13">
        <v>42743.875937500001</v>
      </c>
      <c r="G137" s="7">
        <v>1</v>
      </c>
      <c r="H137" s="22" t="s">
        <v>384</v>
      </c>
      <c r="I137" s="13">
        <v>42743.901747685188</v>
      </c>
      <c r="J137" s="7">
        <v>0</v>
      </c>
      <c r="K137" s="105" t="str">
        <f t="shared" si="85"/>
        <v>4007/4008</v>
      </c>
      <c r="L137" s="22" t="str">
        <f>VLOOKUP(A137,'Trips&amp;Operators'!$C$1:$G$99999,5,FALSE)</f>
        <v>CHANDLER KELVIN</v>
      </c>
      <c r="M137" s="6">
        <f t="shared" si="86"/>
        <v>2.5810185186855961E-2</v>
      </c>
      <c r="N137" s="7">
        <f t="shared" si="87"/>
        <v>37.166666669072583</v>
      </c>
      <c r="O137" s="7"/>
      <c r="P137" s="7"/>
      <c r="Q137" s="23"/>
      <c r="R137" s="23"/>
      <c r="S137" s="32">
        <f t="shared" si="88"/>
        <v>1</v>
      </c>
      <c r="T137" s="47" t="str">
        <f t="shared" si="89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19:59:55-700',mode:absolute,to:'2017-01-08 22:38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7" s="49" t="str">
        <f t="shared" si="91"/>
        <v>N</v>
      </c>
      <c r="X137" s="173">
        <f t="shared" si="92"/>
        <v>1</v>
      </c>
      <c r="Y137" s="64">
        <f t="shared" si="93"/>
        <v>4.7699999999999999E-2</v>
      </c>
      <c r="Z137" s="64">
        <f t="shared" si="94"/>
        <v>23.3293</v>
      </c>
      <c r="AA137" s="64">
        <f t="shared" si="95"/>
        <v>23.281600000000001</v>
      </c>
      <c r="AB137" s="61" t="e">
        <f>VLOOKUP(A137,Enforcements!$C$7:$K$18,8,0)</f>
        <v>#N/A</v>
      </c>
      <c r="AC137" s="57" t="e">
        <f>VLOOKUP(A137,Enforcements!$C$7:$E$18,3,0)</f>
        <v>#N/A</v>
      </c>
      <c r="AD137" s="58" t="str">
        <f t="shared" si="96"/>
        <v>0229-08</v>
      </c>
      <c r="AE137" s="87" t="str">
        <f t="shared" si="97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37" s="84" t="str">
        <f t="shared" si="98"/>
        <v>"C:\Program Files (x86)\AstroGrep\AstroGrep.exe" /spath="%USERPROFILE%\AppData\Local\Temp\OnboardLogs" /stypes="app*4007*20170109*" /stext=" 04:.+((SYSTEM_STATE.+slice.+state.+changed )|(ment ac)|(multiple cpu faults)|(system.+state.+changed )|(\[timeout)|(PRM\|1\|D)|(kpr)|(kdp)|(\|lc)|(penalty))" /e /r /s</v>
      </c>
      <c r="AG137" s="1" t="str">
        <f t="shared" si="99"/>
        <v>EC</v>
      </c>
      <c r="AH137" s="88" t="str">
        <f t="shared" si="100"/>
        <v>"%USERPROFILE%\Documents\GitHub\eaglep3\Utilities\RefineRTDCRunTimes.py" --tripid 229-08 --locoid 4007 --swversion DE.1.0.8.0 --startMP 204:477 --initTime 2017-01-08T20:59:55 --startdatetime 2017-01-08T21:01:21 --delay 1 --endMP 204:233293 --enddatetime 2017-01-08T21:38:31 --enforcementcount 0 &gt;&gt;C:\Users\stu\Documents\GitHub\eaglep3-reporting\EC\2017-01-08-refined-times.txt</v>
      </c>
      <c r="AI137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{"issue":{"subject":"","project_id":79,"tracker_id":40,"status_id":1,"priority_id":2,"assigned_to_id":23,"start_date":"2017-01-08","description":"","custom_fields":[{"id":1,"name":"Subdivision","value":"EC"},{"id":4,"name":"Milepost","value":"23.3293"},{"id":17,"name":"Train ID","value":"229-08"},{"id":16,"name":"Locomotive ID","value":"4007"},{"id":130,"name":"Impact","value":""},{"id":150,"name":"Time of Event (Mountain Time)","value":"21:38:31"},{"id":151,"name":"Denver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102"/>
        <v>start /low /b %USERPROFILE%\Documents\GitHub\eaglep3\Utilities\DownloadLogsFromS3.py --loco 4007 --day 2017-01-08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613</v>
      </c>
      <c r="B138" s="7">
        <v>4008</v>
      </c>
      <c r="C138" s="22" t="s">
        <v>203</v>
      </c>
      <c r="D138" s="22" t="s">
        <v>357</v>
      </c>
      <c r="E138" s="13">
        <v>42743.912210648145</v>
      </c>
      <c r="F138" s="13">
        <v>42743.914317129631</v>
      </c>
      <c r="G138" s="7">
        <v>0</v>
      </c>
      <c r="H138" s="22" t="s">
        <v>276</v>
      </c>
      <c r="I138" s="13">
        <v>42743.94290509259</v>
      </c>
      <c r="J138" s="7">
        <v>0</v>
      </c>
      <c r="K138" s="105" t="str">
        <f t="shared" si="85"/>
        <v>4007/4008</v>
      </c>
      <c r="L138" s="22" t="str">
        <f>VLOOKUP(A138,'Trips&amp;Operators'!$C$1:$G$99999,5,FALSE)</f>
        <v>CHANDLER KELVIN</v>
      </c>
      <c r="M138" s="6">
        <f t="shared" si="86"/>
        <v>2.8587962959136348E-2</v>
      </c>
      <c r="N138" s="7">
        <f t="shared" si="87"/>
        <v>41.166666661156341</v>
      </c>
      <c r="O138" s="7"/>
      <c r="P138" s="7"/>
      <c r="Q138" s="23"/>
      <c r="R138" s="23"/>
      <c r="S138" s="32">
        <f t="shared" si="88"/>
        <v>1</v>
      </c>
      <c r="T138" s="47" t="str">
        <f t="shared" si="89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20:53:35-700',mode:absolute,to:'2017-01-08 23:37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8" s="49" t="str">
        <f t="shared" si="91"/>
        <v>N</v>
      </c>
      <c r="X138" s="173">
        <f t="shared" si="92"/>
        <v>1</v>
      </c>
      <c r="Y138" s="64">
        <f t="shared" si="93"/>
        <v>23.296800000000001</v>
      </c>
      <c r="Z138" s="64">
        <f t="shared" si="94"/>
        <v>1.52E-2</v>
      </c>
      <c r="AA138" s="64">
        <f t="shared" si="95"/>
        <v>23.281600000000001</v>
      </c>
      <c r="AB138" s="61" t="e">
        <f>VLOOKUP(A138,Enforcements!$C$7:$K$18,8,0)</f>
        <v>#N/A</v>
      </c>
      <c r="AC138" s="57" t="e">
        <f>VLOOKUP(A138,Enforcements!$C$7:$E$18,3,0)</f>
        <v>#N/A</v>
      </c>
      <c r="AD138" s="58" t="str">
        <f t="shared" si="96"/>
        <v>0230-08</v>
      </c>
      <c r="AE138" s="87" t="str">
        <f t="shared" si="97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38" s="84" t="str">
        <f t="shared" si="98"/>
        <v>"C:\Program Files (x86)\AstroGrep\AstroGrep.exe" /spath="%USERPROFILE%\AppData\Local\Temp\OnboardLogs" /stypes="app*4008*20170109*" /stext=" 05:.+((SYSTEM_STATE.+slice.+state.+changed )|(ment ac)|(multiple cpu faults)|(system.+state.+changed )|(\[timeout)|(PRM\|1\|D)|(kpr)|(kdp)|(\|lc)|(penalty))" /e /r /s</v>
      </c>
      <c r="AG138" s="1" t="str">
        <f t="shared" si="99"/>
        <v>EC</v>
      </c>
      <c r="AH138" s="88" t="str">
        <f t="shared" si="100"/>
        <v>"%USERPROFILE%\Documents\GitHub\eaglep3\Utilities\RefineRTDCRunTimes.py" --tripid 230-08 --locoid 4008 --swversion DE.1.0.8.0 --startMP 204:232968 --initTime 2017-01-08T21:53:35 --startdatetime 2017-01-08T21:56:37 --delay 0 --endMP 204:152 --enddatetime 2017-01-08T22:37:47 --enforcementcount 0 &gt;&gt;C:\Users\stu\Documents\GitHub\eaglep3-reporting\EC\2017-01-08-refined-times.txt</v>
      </c>
      <c r="AI138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ID","value":"230-08"},{"id":16,"name":"Locomotive ID","value":"4008"},{"id":130,"name":"Impact","value":""},{"id":150,"name":"Time of Event (Mountain Time)","value":"22:37:47"},{"id":151,"name":"Denver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102"/>
        <v>start /low /b %USERPROFILE%\Documents\GitHub\eaglep3\Utilities\DownloadLogsFromS3.py --loco 4008 --day 2017-01-08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609</v>
      </c>
      <c r="B139" s="7">
        <v>4002</v>
      </c>
      <c r="C139" s="22" t="s">
        <v>203</v>
      </c>
      <c r="D139" s="22" t="s">
        <v>311</v>
      </c>
      <c r="E139" s="13">
        <v>42743.880370370367</v>
      </c>
      <c r="F139" s="13">
        <v>42743.896215277775</v>
      </c>
      <c r="G139" s="7">
        <v>1</v>
      </c>
      <c r="H139" s="22" t="s">
        <v>668</v>
      </c>
      <c r="I139" s="13">
        <v>42743.920717592591</v>
      </c>
      <c r="J139" s="7">
        <v>0</v>
      </c>
      <c r="K139" s="105" t="str">
        <f t="shared" si="85"/>
        <v>4001/4002</v>
      </c>
      <c r="L139" s="22" t="str">
        <f>VLOOKUP(A139,'Trips&amp;Operators'!$C$1:$G$99999,5,FALSE)</f>
        <v>NEWELL JAMES</v>
      </c>
      <c r="M139" s="6">
        <f t="shared" si="86"/>
        <v>2.4502314816345461E-2</v>
      </c>
      <c r="N139" s="7">
        <f t="shared" si="87"/>
        <v>35.283333335537463</v>
      </c>
      <c r="O139" s="7"/>
      <c r="P139" s="7"/>
      <c r="Q139" s="23"/>
      <c r="R139" s="23"/>
      <c r="S139" s="32">
        <f t="shared" si="88"/>
        <v>1</v>
      </c>
      <c r="T139" s="47" t="str">
        <f t="shared" si="89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20:07:44-700',mode:absolute,to:'2017-01-08 23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9" s="49" t="str">
        <f t="shared" si="91"/>
        <v>N</v>
      </c>
      <c r="X139" s="173">
        <f t="shared" si="92"/>
        <v>1</v>
      </c>
      <c r="Y139" s="64">
        <f t="shared" si="93"/>
        <v>4.7500000000000001E-2</v>
      </c>
      <c r="Z139" s="64">
        <f t="shared" si="94"/>
        <v>23.331</v>
      </c>
      <c r="AA139" s="64">
        <f t="shared" si="95"/>
        <v>23.2835</v>
      </c>
      <c r="AB139" s="61" t="e">
        <f>VLOOKUP(A139,Enforcements!$C$7:$K$18,8,0)</f>
        <v>#N/A</v>
      </c>
      <c r="AC139" s="57" t="e">
        <f>VLOOKUP(A139,Enforcements!$C$7:$E$18,3,0)</f>
        <v>#N/A</v>
      </c>
      <c r="AD139" s="58" t="str">
        <f t="shared" si="96"/>
        <v>0231-08</v>
      </c>
      <c r="AE139" s="87" t="str">
        <f t="shared" si="97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39" s="84" t="str">
        <f t="shared" si="98"/>
        <v>"C:\Program Files (x86)\AstroGrep\AstroGrep.exe" /spath="%USERPROFILE%\AppData\Local\Temp\OnboardLogs" /stypes="app*4002*20170109*" /stext=" 05:.+((SYSTEM_STATE.+slice.+state.+changed )|(ment ac)|(multiple cpu faults)|(system.+state.+changed )|(\[timeout)|(PRM\|1\|D)|(kpr)|(kdp)|(\|lc)|(penalty))" /e /r /s</v>
      </c>
      <c r="AG139" s="1" t="str">
        <f t="shared" si="99"/>
        <v>EC</v>
      </c>
      <c r="AH139" s="88" t="str">
        <f t="shared" si="100"/>
        <v>"%USERPROFILE%\Documents\GitHub\eaglep3\Utilities\RefineRTDCRunTimes.py" --tripid 231-08 --locoid 4002 --swversion DE.1.0.8.0 --startMP 204:475 --initTime 2017-01-08T21:07:44 --startdatetime 2017-01-08T21:30:33 --delay 1 --endMP 204:233310 --enddatetime 2017-01-08T22:05:50 --enforcementcount 0 &gt;&gt;C:\Users\stu\Documents\GitHub\eaglep3-reporting\EC\2017-01-08-refined-times.txt</v>
      </c>
      <c r="AI139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{"issue":{"subject":"","project_id":79,"tracker_id":40,"status_id":1,"priority_id":2,"assigned_to_id":23,"start_date":"2017-01-08","description":"","custom_fields":[{"id":1,"name":"Subdivision","value":"EC"},{"id":4,"name":"Milepost","value":"23.331"},{"id":17,"name":"Train ID","value":"231-08"},{"id":16,"name":"Locomotive ID","value":"4002"},{"id":130,"name":"Impact","value":""},{"id":150,"name":"Time of Event (Mountain Time)","value":"22:05:50"},{"id":151,"name":"Denver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102"/>
        <v>start /low /b %USERPROFILE%\Documents\GitHub\eaglep3\Utilities\DownloadLogsFromS3.py --loco 4002 --day 2017-01-08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615</v>
      </c>
      <c r="B140" s="7">
        <v>4001</v>
      </c>
      <c r="C140" s="22" t="s">
        <v>203</v>
      </c>
      <c r="D140" s="22" t="s">
        <v>388</v>
      </c>
      <c r="E140" s="13">
        <v>42743.931956018518</v>
      </c>
      <c r="F140" s="13">
        <v>42743.934953703705</v>
      </c>
      <c r="G140" s="7">
        <v>1</v>
      </c>
      <c r="H140" s="22" t="s">
        <v>276</v>
      </c>
      <c r="I140" s="13">
        <v>42743.963368055556</v>
      </c>
      <c r="J140" s="7">
        <v>0</v>
      </c>
      <c r="K140" s="105" t="str">
        <f t="shared" si="85"/>
        <v>4001/4002</v>
      </c>
      <c r="L140" s="22" t="str">
        <f>VLOOKUP(A140,'Trips&amp;Operators'!$C$1:$G$99999,5,FALSE)</f>
        <v>NEWELL JAMES</v>
      </c>
      <c r="M140" s="6">
        <f t="shared" si="86"/>
        <v>2.8414351851097308E-2</v>
      </c>
      <c r="N140" s="7">
        <f t="shared" si="87"/>
        <v>40.916666665580124</v>
      </c>
      <c r="O140" s="7"/>
      <c r="P140" s="7"/>
      <c r="Q140" s="23"/>
      <c r="R140" s="23"/>
      <c r="S140" s="32">
        <f t="shared" si="88"/>
        <v>1</v>
      </c>
      <c r="T140" s="47" t="str">
        <f t="shared" si="89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21:22:01-700',mode:absolute,to:'2017-01-09 00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0" s="49" t="str">
        <f t="shared" si="91"/>
        <v>N</v>
      </c>
      <c r="X140" s="173">
        <f t="shared" si="92"/>
        <v>1</v>
      </c>
      <c r="Y140" s="64">
        <f t="shared" si="93"/>
        <v>23.299399999999999</v>
      </c>
      <c r="Z140" s="64">
        <f t="shared" si="94"/>
        <v>1.52E-2</v>
      </c>
      <c r="AA140" s="64">
        <f t="shared" si="95"/>
        <v>23.284199999999998</v>
      </c>
      <c r="AB140" s="61" t="e">
        <f>VLOOKUP(A140,Enforcements!$C$7:$K$18,8,0)</f>
        <v>#N/A</v>
      </c>
      <c r="AC140" s="57" t="e">
        <f>VLOOKUP(A140,Enforcements!$C$7:$E$18,3,0)</f>
        <v>#N/A</v>
      </c>
      <c r="AD140" s="58" t="str">
        <f t="shared" si="96"/>
        <v>0232-08</v>
      </c>
      <c r="AE140" s="87" t="str">
        <f t="shared" si="97"/>
        <v>aws s3 cp s3://rtdc.mdm.uploadarchive.raw/RTDC4001/ "%USERPROFILE%\AppData\Local\Temp\OnboardLogs"\RTDC4001\2017-01-08 --exclude "*" --recursive --include "*20170108*" &amp; "%USERPROFILE%\Documents\GitHub\mrs-test-scripts\Headless Mode &amp; Sideloading\WalkAndUnGZ.bat" "%USERPROFILE%\AppData\Local\Temp\OnboardLogs"\RTDC4001\2017-01-08 &amp; 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</v>
      </c>
      <c r="AF140" s="84" t="str">
        <f t="shared" si="98"/>
        <v>"C:\Program Files (x86)\AstroGrep\AstroGrep.exe" /spath="%USERPROFILE%\AppData\Local\Temp\OnboardLogs" /stypes="app*4001*20170109*" /stext=" 06:.+((SYSTEM_STATE.+slice.+state.+changed )|(ment ac)|(multiple cpu faults)|(system.+state.+changed )|(\[timeout)|(PRM\|1\|D)|(kpr)|(kdp)|(\|lc)|(penalty))" /e /r /s</v>
      </c>
      <c r="AG140" s="1" t="str">
        <f t="shared" si="99"/>
        <v>EC</v>
      </c>
      <c r="AH140" s="88" t="str">
        <f t="shared" si="100"/>
        <v>"%USERPROFILE%\Documents\GitHub\eaglep3\Utilities\RefineRTDCRunTimes.py" --tripid 232-08 --locoid 4001 --swversion DE.1.0.8.0 --startMP 204:232994 --initTime 2017-01-08T22:22:01 --startdatetime 2017-01-08T22:26:20 --delay 1 --endMP 204:152 --enddatetime 2017-01-08T23:07:15 --enforcementcount 0 &gt;&gt;C:\Users\stu\Documents\GitHub\eaglep3-reporting\EC\2017-01-08-refined-times.txt</v>
      </c>
      <c r="AI140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{"issue":{"subject":"","project_id":79,"tracker_id":40,"status_id":1,"priority_id":2,"assigned_to_id":23,"start_date":"2017-01-08","description":"","custom_fields":[{"id":1,"name":"Subdivision","value":"EC"},{"id":4,"name":"Milepost","value":"0.0152"},{"id":17,"name":"Train ID","value":"232-08"},{"id":16,"name":"Locomotive ID","value":"4001"},{"id":130,"name":"Impact","value":""},{"id":150,"name":"Time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102"/>
        <v>start /low /b %USERPROFILE%\Documents\GitHub\eaglep3\Utilities\DownloadLogsFromS3.py --loco 4001 --day 2017-01-08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428</v>
      </c>
      <c r="B141" s="7">
        <v>4027</v>
      </c>
      <c r="C141" s="22" t="s">
        <v>203</v>
      </c>
      <c r="D141" s="22" t="s">
        <v>755</v>
      </c>
      <c r="E141" s="13">
        <v>42743.904131944444</v>
      </c>
      <c r="F141" s="13">
        <v>42743.917118055557</v>
      </c>
      <c r="G141" s="7">
        <v>0</v>
      </c>
      <c r="H141" s="22" t="s">
        <v>759</v>
      </c>
      <c r="I141" s="13">
        <v>42743.944606481484</v>
      </c>
      <c r="J141" s="7">
        <v>0</v>
      </c>
      <c r="K141" s="105" t="str">
        <f t="shared" si="85"/>
        <v>4027/4028</v>
      </c>
      <c r="L141" s="22" t="str">
        <f>VLOOKUP(A141,'Trips&amp;Operators'!$C$1:$G$99999,5,FALSE)</f>
        <v>PERKINS DARREN</v>
      </c>
      <c r="M141" s="6">
        <f t="shared" si="86"/>
        <v>2.7488425927003846E-2</v>
      </c>
      <c r="N141" s="7">
        <f t="shared" si="87"/>
        <v>39.583333334885538</v>
      </c>
      <c r="O141" s="7"/>
      <c r="P141" s="7"/>
      <c r="Q141" s="23"/>
      <c r="R141" s="23"/>
      <c r="S141" s="32">
        <f t="shared" si="88"/>
        <v>1</v>
      </c>
      <c r="T141" s="47" t="str">
        <f t="shared" si="89"/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20:41:57-700',mode:absolute,to:'2017-01-08 23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1" s="49" t="str">
        <f t="shared" si="91"/>
        <v>N</v>
      </c>
      <c r="X141" s="173">
        <f t="shared" si="92"/>
        <v>1</v>
      </c>
      <c r="Y141" s="64">
        <f t="shared" si="93"/>
        <v>4.2200000000000001E-2</v>
      </c>
      <c r="Z141" s="64">
        <f t="shared" si="94"/>
        <v>23.328099999999999</v>
      </c>
      <c r="AA141" s="64">
        <f t="shared" si="95"/>
        <v>23.285899999999998</v>
      </c>
      <c r="AB141" s="61" t="str">
        <f>VLOOKUP(A141,Enforcements!$C$7:$K$18,8,0)</f>
        <v>Speed (6)</v>
      </c>
      <c r="AC141" s="57" t="str">
        <f>VLOOKUP(A141,Enforcements!$C$7:$E$18,3,0)</f>
        <v>PERMANENT SPEED RESTRICTION</v>
      </c>
      <c r="AD141" s="58" t="str">
        <f t="shared" si="96"/>
        <v>0233-08</v>
      </c>
      <c r="AE141" s="87" t="str">
        <f t="shared" si="97"/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AF141" s="84" t="str">
        <f t="shared" si="98"/>
        <v>"C:\Program Files (x86)\AstroGrep\AstroGrep.exe" /spath="%USERPROFILE%\AppData\Local\Temp\OnboardLogs" /stypes="app*4027*20170109*" /stext=" 05:.+((SYSTEM_STATE.+slice.+state.+changed )|(ment ac)|(multiple cpu faults)|(system.+state.+changed )|(\[timeout)|(PRM\|1\|D)|(kpr)|(kdp)|(\|lc)|(penalty))" /e /r /s</v>
      </c>
      <c r="AG141" s="1" t="str">
        <f t="shared" si="99"/>
        <v>EC</v>
      </c>
      <c r="AH141" s="88" t="str">
        <f t="shared" si="100"/>
        <v>"%USERPROFILE%\Documents\GitHub\eaglep3\Utilities\RefineRTDCRunTimes.py" --tripid 233-08 --locoid 4027 --swversion DE.1.0.8.0 --startMP 204:422 --initTime 2017-01-08T21:41:57 --startdatetime 2017-01-08T22:00:39 --delay 0 --endMP 204:233281 --enddatetime 2017-01-08T22:40:14 --enforcementcount 0 &gt;&gt;C:\Users\stu\Documents\GitHub\eaglep3-reporting\EC\2017-01-08-refined-times.txt</v>
      </c>
      <c r="AI141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{"issue":{"subject":"","project_id":79,"tracker_id":40,"status_id":1,"priority_id":2,"assigned_to_id":23,"start_date":"2017-01-08","description":"","custom_fields":[{"id":1,"name":"Subdivision","value":"EC"},{"id":4,"name":"Milepost","value":"23.3281"},{"id":17,"name":"Train ID","value":"233-08"},{"id":16,"name":"Locomotive ID","value":"4027"},{"id":130,"name":"Impact","value":""},{"id":150,"name":"Time of Event (Mountain Time)","value":"22:40:14"},{"id":151,"name":"Denver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102"/>
        <v>start /low /b %USERPROFILE%\Documents\GitHub\eaglep3\Utilities\DownloadLogsFromS3.py --loco 4027 --day 2017-01-08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430</v>
      </c>
      <c r="B142" s="7">
        <v>4028</v>
      </c>
      <c r="C142" s="22" t="s">
        <v>203</v>
      </c>
      <c r="D142" s="22" t="s">
        <v>746</v>
      </c>
      <c r="E142" s="13">
        <v>42743.950706018521</v>
      </c>
      <c r="F142" s="13">
        <v>42743.956388888888</v>
      </c>
      <c r="G142" s="7">
        <v>1</v>
      </c>
      <c r="H142" s="22" t="s">
        <v>751</v>
      </c>
      <c r="I142" s="13">
        <v>42743.985011574077</v>
      </c>
      <c r="J142" s="7">
        <v>0</v>
      </c>
      <c r="K142" s="105" t="str">
        <f t="shared" si="85"/>
        <v>4027/4028</v>
      </c>
      <c r="L142" s="22" t="str">
        <f>VLOOKUP(A142,'Trips&amp;Operators'!$C$1:$G$99999,5,FALSE)</f>
        <v>PERKINS DARREN</v>
      </c>
      <c r="M142" s="6">
        <f t="shared" si="86"/>
        <v>2.8622685189475305E-2</v>
      </c>
      <c r="N142" s="7">
        <f t="shared" si="87"/>
        <v>41.21666667284444</v>
      </c>
      <c r="O142" s="7"/>
      <c r="P142" s="7"/>
      <c r="Q142" s="23"/>
      <c r="R142" s="23"/>
      <c r="S142" s="32">
        <f t="shared" si="88"/>
        <v>1</v>
      </c>
      <c r="T142" s="47" t="str">
        <f t="shared" si="89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21:49:01-700',mode:absolute,to:'2017-01-09 00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2" s="49" t="str">
        <f t="shared" si="91"/>
        <v>N</v>
      </c>
      <c r="X142" s="173">
        <f t="shared" si="92"/>
        <v>1</v>
      </c>
      <c r="Y142" s="64">
        <f t="shared" si="93"/>
        <v>23.299600000000002</v>
      </c>
      <c r="Z142" s="64">
        <f t="shared" si="94"/>
        <v>1.32E-2</v>
      </c>
      <c r="AA142" s="64">
        <f t="shared" si="95"/>
        <v>23.2864</v>
      </c>
      <c r="AB142" s="61" t="str">
        <f>VLOOKUP(A142,Enforcements!$C$7:$K$18,8,0)</f>
        <v>Bulletin (2)</v>
      </c>
      <c r="AC142" s="57" t="str">
        <f>VLOOKUP(A142,Enforcements!$C$7:$E$18,3,0)</f>
        <v>GRADE CROSSING</v>
      </c>
      <c r="AD142" s="58" t="str">
        <f t="shared" si="96"/>
        <v>0234-08</v>
      </c>
      <c r="AE142" s="87" t="str">
        <f t="shared" si="97"/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AF142" s="84" t="str">
        <f t="shared" si="98"/>
        <v>"C:\Program Files (x86)\AstroGrep\AstroGrep.exe" /spath="%USERPROFILE%\AppData\Local\Temp\OnboardLogs" /stypes="app*4028*20170109*" /stext=" 06:.+((SYSTEM_STATE.+slice.+state.+changed )|(ment ac)|(multiple cpu faults)|(system.+state.+changed )|(\[timeout)|(PRM\|1\|D)|(kpr)|(kdp)|(\|lc)|(penalty))" /e /r /s</v>
      </c>
      <c r="AG142" s="1" t="str">
        <f t="shared" si="99"/>
        <v>EC</v>
      </c>
      <c r="AH142" s="88" t="str">
        <f t="shared" si="100"/>
        <v>"%USERPROFILE%\Documents\GitHub\eaglep3\Utilities\RefineRTDCRunTimes.py" --tripid 234-08 --locoid 4028 --swversion DE.1.0.8.0 --startMP 204:232996 --initTime 2017-01-08T22:49:01 --startdatetime 2017-01-08T22:57:12 --delay 1 --endMP 204:132 --enddatetime 2017-01-08T23:38:25 --enforcementcount 0 &gt;&gt;C:\Users\stu\Documents\GitHub\eaglep3-reporting\EC\2017-01-08-refined-times.txt</v>
      </c>
      <c r="AI142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{"issue":{"subject":"","project_id":79,"tracker_id":40,"status_id":1,"priority_id":2,"assigned_to_id":23,"start_date":"2017-01-08","description":"","custom_fields":[{"id":1,"name":"Subdivision","value":"EC"},{"id":4,"name":"Milepost","value":"0.0132"},{"id":17,"name":"Train ID","value":"234-08"},{"id":16,"name":"Locomotive ID","value":"4028"},{"id":130,"name":"Impact","value":""},{"id":150,"name":"Time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102"/>
        <v>start /low /b %USERPROFILE%\Documents\GitHub\eaglep3\Utilities\DownloadLogsFromS3.py --loco 4028 --day 2017-01-08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429</v>
      </c>
      <c r="B143" s="7">
        <v>4022</v>
      </c>
      <c r="C143" s="22" t="s">
        <v>203</v>
      </c>
      <c r="D143" s="22" t="s">
        <v>286</v>
      </c>
      <c r="E143" s="13">
        <v>42743.929884259262</v>
      </c>
      <c r="F143" s="13">
        <v>42743.937916666669</v>
      </c>
      <c r="G143" s="7">
        <v>1</v>
      </c>
      <c r="H143" s="22" t="s">
        <v>350</v>
      </c>
      <c r="I143" s="13">
        <v>42743.96266203704</v>
      </c>
      <c r="J143" s="7">
        <v>0</v>
      </c>
      <c r="K143" s="105" t="str">
        <f t="shared" si="85"/>
        <v>4021/4022</v>
      </c>
      <c r="L143" s="22" t="str">
        <f>VLOOKUP(A143,'Trips&amp;Operators'!$C$1:$G$99999,5,FALSE)</f>
        <v>STAMBAUGH JAMES</v>
      </c>
      <c r="M143" s="6">
        <f t="shared" si="86"/>
        <v>2.47453703705105E-2</v>
      </c>
      <c r="N143" s="7">
        <f t="shared" si="87"/>
        <v>35.63333333353512</v>
      </c>
      <c r="O143" s="7"/>
      <c r="P143" s="7"/>
      <c r="Q143" s="23"/>
      <c r="R143" s="23"/>
      <c r="S143" s="32">
        <f t="shared" si="88"/>
        <v>1</v>
      </c>
      <c r="T143" s="47" t="str">
        <f t="shared" si="89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90"/>
        <v>https://search-rtdc-monitor-bjffxe2xuh6vdkpspy63sjmuny.us-east-1.es.amazonaws.com/_plugin/kibana/#/discover/Steve-Slow-Train-Analysis-(2080s-and-2083s)?_g=(refreshInterval:(display:Off,section:0,value:0),time:(from:'2017-01-08 21:19:02-700',mode:absolute,to:'2017-01-09 00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3" s="49" t="str">
        <f t="shared" si="91"/>
        <v>N</v>
      </c>
      <c r="X143" s="173">
        <f t="shared" si="92"/>
        <v>1</v>
      </c>
      <c r="Y143" s="64">
        <f t="shared" si="93"/>
        <v>4.5699999999999998E-2</v>
      </c>
      <c r="Z143" s="64">
        <f t="shared" si="94"/>
        <v>23.3291</v>
      </c>
      <c r="AA143" s="64">
        <f t="shared" si="95"/>
        <v>23.2834</v>
      </c>
      <c r="AB143" s="61" t="e">
        <f>VLOOKUP(A143,Enforcements!$C$7:$K$18,8,0)</f>
        <v>#N/A</v>
      </c>
      <c r="AC143" s="57" t="e">
        <f>VLOOKUP(A143,Enforcements!$C$7:$E$18,3,0)</f>
        <v>#N/A</v>
      </c>
      <c r="AD143" s="58" t="str">
        <f t="shared" si="96"/>
        <v>0235-08</v>
      </c>
      <c r="AE143" s="87" t="str">
        <f t="shared" si="97"/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AF143" s="84" t="str">
        <f t="shared" si="98"/>
        <v>"C:\Program Files (x86)\AstroGrep\AstroGrep.exe" /spath="%USERPROFILE%\AppData\Local\Temp\OnboardLogs" /stypes="app*4022*20170109*" /stext=" 06:.+((SYSTEM_STATE.+slice.+state.+changed )|(ment ac)|(multiple cpu faults)|(system.+state.+changed )|(\[timeout)|(PRM\|1\|D)|(kpr)|(kdp)|(\|lc)|(penalty))" /e /r /s</v>
      </c>
      <c r="AG143" s="1" t="str">
        <f t="shared" si="99"/>
        <v>EC</v>
      </c>
      <c r="AH143" s="88" t="str">
        <f t="shared" si="100"/>
        <v>"%USERPROFILE%\Documents\GitHub\eaglep3\Utilities\RefineRTDCRunTimes.py" --tripid 235-08 --locoid 4022 --swversion DE.1.0.8.0 --startMP 204:457 --initTime 2017-01-08T22:19:02 --startdatetime 2017-01-08T22:30:36 --delay 1 --endMP 204:233291 --enddatetime 2017-01-08T23:06:14 --enforcementcount 0 &gt;&gt;C:\Users\stu\Documents\GitHub\eaglep3-reporting\EC\2017-01-08-refined-times.txt</v>
      </c>
      <c r="AI143" s="115" t="str">
        <f t="shared" si="101"/>
        <v>echo {"issue":{"subject":"","project_id":79,"tracker_id":40,"status_id":1,"priority_id":2,"assigned_to_id":23,"start_date":"2017-01-08","description":"","custom_fields":[{"id":1,"name":"Subdivision","value":"EC"},{"id":4,"name":"Milepost","value":"23.3291"},{"id":17,"name":"Train ID","value":"235-08"},{"id":16,"name":"Locomotive ID","value":"4022"},{"id":130,"name":"Impact","value":""},{"id":150,"name":"Time of Event (Mountain Time)","value":"23:06:14"},{"id":151,"name":"Denver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102"/>
        <v>start /low /b %USERPROFILE%\Documents\GitHub\eaglep3\Utilities\DownloadLogsFromS3.py --loco 4022 --day 2017-01-08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618</v>
      </c>
      <c r="B144" s="7">
        <v>4021</v>
      </c>
      <c r="C144" s="22" t="s">
        <v>203</v>
      </c>
      <c r="D144" s="22" t="s">
        <v>315</v>
      </c>
      <c r="E144" s="13">
        <v>42743.974120370367</v>
      </c>
      <c r="F144" s="13">
        <v>42743.977106481485</v>
      </c>
      <c r="G144" s="7">
        <v>1</v>
      </c>
      <c r="H144" s="22" t="s">
        <v>191</v>
      </c>
      <c r="I144" s="13">
        <v>42744.006203703706</v>
      </c>
      <c r="J144" s="7">
        <v>0</v>
      </c>
      <c r="K144" s="105" t="str">
        <f t="shared" ref="K144:K206" si="103">IF(ISEVEN(B144),(B144-1)&amp;"/"&amp;B144,B144&amp;"/"&amp;(B144+1))</f>
        <v>4021/4022</v>
      </c>
      <c r="L144" s="22" t="str">
        <f>VLOOKUP(A144,'Trips&amp;Operators'!$C$1:$G$99999,5,FALSE)</f>
        <v>STAMBAUGH JAMES</v>
      </c>
      <c r="M144" s="6">
        <f t="shared" ref="M144:M206" si="104">I144-F144</f>
        <v>2.9097222221025731E-2</v>
      </c>
      <c r="N144" s="7">
        <f t="shared" ref="N144:P206" si="105">24*60*SUM($M144:$M144)</f>
        <v>41.899999998277053</v>
      </c>
      <c r="O144" s="7"/>
      <c r="P144" s="7"/>
      <c r="Q144" s="23"/>
      <c r="R144" s="23"/>
      <c r="S144" s="32">
        <f t="shared" ref="S144:S206" si="106">SUM(U144:U144)/IF(AG144="EC",12,1)</f>
        <v>1</v>
      </c>
      <c r="T144" s="47" t="str">
        <f t="shared" ref="T144:T206" si="107">IF(ISEVEN(LEFT(AD144,4)),"Southbound","NorthBound")</f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ref="V144:V206" si="108"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https://search-rtdc-monitor-bjffxe2xuh6vdkpspy63sjmuny.us-east-1.es.amazonaws.com/_plugin/kibana/#/discover/Steve-Slow-Train-Analysis-(2080s-and-2083s)?_g=(refreshInterval:(display:Off,section:0,value:0),time:(from:'2017-01-08 22:22:44-700',mode:absolute,to:'2017-01-09 01:08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4" s="49" t="str">
        <f t="shared" ref="W144:W206" si="109">IF(AA144&lt;IF(AG144="EC",23,5.65),"Y","N")</f>
        <v>N</v>
      </c>
      <c r="X144" s="173">
        <f t="shared" ref="X144:X206" si="110">VALUE(LEFT(AD144,4))-VALUE(LEFT(AD143,4))</f>
        <v>1</v>
      </c>
      <c r="Y144" s="64">
        <f t="shared" ref="Y144:Y206" si="111">RIGHT(D144,LEN(D144)-4)/10000</f>
        <v>23.298100000000002</v>
      </c>
      <c r="Z144" s="64">
        <f t="shared" ref="Z144:Z206" si="112">RIGHT(H144,LEN(H144)-4)/10000</f>
        <v>1.49E-2</v>
      </c>
      <c r="AA144" s="64">
        <f t="shared" ref="AA144:AA206" si="113">ABS(Z144-Y144)</f>
        <v>23.283200000000001</v>
      </c>
      <c r="AB144" s="61" t="e">
        <f>VLOOKUP(A144,Enforcements!$C$7:$K$18,8,0)</f>
        <v>#N/A</v>
      </c>
      <c r="AC144" s="57" t="e">
        <f>VLOOKUP(A144,Enforcements!$C$7:$E$18,3,0)</f>
        <v>#N/A</v>
      </c>
      <c r="AD144" s="58" t="str">
        <f t="shared" ref="AD144:AD206" si="114">IF(LEN(A144)=6,"0"&amp;A144,A144)</f>
        <v>0236-08</v>
      </c>
      <c r="AE144" s="87" t="str">
        <f t="shared" ref="AE144:AE206" si="115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AF144" s="84" t="str">
        <f t="shared" ref="AF144:AF206" si="116"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/stypes="app*4021*20170109*" /stext=" 07:.+((SYSTEM_STATE.+slice.+state.+changed )|(ment ac)|(multiple cpu faults)|(system.+state.+changed )|(\[timeout)|(PRM\|1\|D)|(kpr)|(kdp)|(\|lc)|(penalty))" /e /r /s</v>
      </c>
      <c r="AG144" s="1" t="str">
        <f t="shared" ref="AG144:AG206" si="117">IFERROR(IF(VALUE(LEFT(AD144,2))&lt;=2,"EC",IF(OR(VALUE(LEFT(AD144,2))=8,VALUE(LEFT(AD144,2))=18),"NW","Other")),"Other")</f>
        <v>EC</v>
      </c>
      <c r="AH144" s="88" t="str">
        <f t="shared" si="100"/>
        <v>"%USERPROFILE%\Documents\GitHub\eaglep3\Utilities\RefineRTDCRunTimes.py" --tripid 236-08 --locoid 4021 --swversion DE.1.0.8.0 --startMP 204:232981 --initTime 2017-01-08T23:22:44 --startdatetime 2017-01-08T23:27:02 --delay 1 --endMP 204:149 --enddatetime 2017-01-09T00:08:56 --enforcementcount 0 &gt;&gt;C:\Users\stu\Documents\GitHub\eaglep3-reporting\EC\2017-01-08-refined-times.txt</v>
      </c>
      <c r="AI144" s="115" t="str">
        <f t="shared" si="101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ID","value":"236-08"},{"id":16,"name":"Locomotive ID","value":"4021"},{"id":130,"name":"Impact","value":""},{"id":150,"name":"Time of Event (Mountain Time)","value":"00:08:56"},{"id":151,"name":"Denver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102"/>
        <v>start /low /b %USERPROFILE%\Documents\GitHub\eaglep3\Utilities\DownloadLogsFromS3.py --loco 4021 --day 2017-01-08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617</v>
      </c>
      <c r="B145" s="7">
        <v>4007</v>
      </c>
      <c r="C145" s="22" t="s">
        <v>203</v>
      </c>
      <c r="D145" s="22" t="s">
        <v>226</v>
      </c>
      <c r="E145" s="13">
        <v>42743.956030092595</v>
      </c>
      <c r="F145" s="13">
        <v>42743.958668981482</v>
      </c>
      <c r="G145" s="7">
        <v>0</v>
      </c>
      <c r="H145" s="22" t="s">
        <v>760</v>
      </c>
      <c r="I145" s="13">
        <v>42743.983888888892</v>
      </c>
      <c r="J145" s="7">
        <v>0</v>
      </c>
      <c r="K145" s="105" t="str">
        <f t="shared" si="103"/>
        <v>4007/4008</v>
      </c>
      <c r="L145" s="22" t="str">
        <f>VLOOKUP(A145,'Trips&amp;Operators'!$C$1:$G$99999,5,FALSE)</f>
        <v>CHANDLER KELVIN</v>
      </c>
      <c r="M145" s="6">
        <f t="shared" si="104"/>
        <v>2.5219907409336884E-2</v>
      </c>
      <c r="N145" s="7">
        <f t="shared" si="105"/>
        <v>36.316666669445112</v>
      </c>
      <c r="O145" s="7"/>
      <c r="P145" s="7"/>
      <c r="Q145" s="23"/>
      <c r="R145" s="23"/>
      <c r="S145" s="32">
        <f t="shared" si="106"/>
        <v>1</v>
      </c>
      <c r="T145" s="47" t="str">
        <f t="shared" si="107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21:56:41-700',mode:absolute,to:'2017-01-09 00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5" s="49" t="str">
        <f t="shared" si="109"/>
        <v>N</v>
      </c>
      <c r="X145" s="173">
        <f t="shared" si="110"/>
        <v>1</v>
      </c>
      <c r="Y145" s="64">
        <f t="shared" si="111"/>
        <v>4.5999999999999999E-2</v>
      </c>
      <c r="Z145" s="64">
        <f t="shared" si="112"/>
        <v>23.324400000000001</v>
      </c>
      <c r="AA145" s="64">
        <f t="shared" si="113"/>
        <v>23.278400000000001</v>
      </c>
      <c r="AB145" s="61" t="e">
        <f>VLOOKUP(A145,Enforcements!$C$7:$K$18,8,0)</f>
        <v>#N/A</v>
      </c>
      <c r="AC145" s="57" t="e">
        <f>VLOOKUP(A145,Enforcements!$C$7:$E$18,3,0)</f>
        <v>#N/A</v>
      </c>
      <c r="AD145" s="58" t="str">
        <f t="shared" si="114"/>
        <v>0237-08</v>
      </c>
      <c r="AE145" s="87" t="str">
        <f t="shared" si="115"/>
        <v>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 &amp; 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</v>
      </c>
      <c r="AF145" s="84" t="str">
        <f t="shared" si="116"/>
        <v>"C:\Program Files (x86)\AstroGrep\AstroGrep.exe" /spath="%USERPROFILE%\AppData\Local\Temp\OnboardLogs" /stypes="app*4007*20170109*" /stext=" 06:.+((SYSTEM_STATE.+slice.+state.+changed )|(ment ac)|(multiple cpu faults)|(system.+state.+changed )|(\[timeout)|(PRM\|1\|D)|(kpr)|(kdp)|(\|lc)|(penalty))" /e /r /s</v>
      </c>
      <c r="AG145" s="1" t="str">
        <f t="shared" si="117"/>
        <v>EC</v>
      </c>
      <c r="AH145" s="88" t="str">
        <f t="shared" ref="AH145:AH207" si="118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237-08 --locoid 4007 --swversion DE.1.0.8.0 --startMP 204:460 --initTime 2017-01-08T22:56:41 --startdatetime 2017-01-08T23:00:29 --delay 0 --endMP 204:233244 --enddatetime 2017-01-08T23:36:48 --enforcementcount 0 &gt;&gt;C:\Users\stu\Documents\GitHub\eaglep3-reporting\EC\2017-01-08-refined-times.txt</v>
      </c>
      <c r="AI145" s="115" t="str">
        <f t="shared" ref="AI145:AI207" si="119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{"issue":{"subject":"","project_id":79,"tracker_id":40,"status_id":1,"priority_id":2,"assigned_to_id":23,"start_date":"2017-01-08","description":"","custom_fields":[{"id":1,"name":"Subdivision","value":"EC"},{"id":4,"name":"Milepost","value":"23.3244"},{"id":17,"name":"Train ID","value":"237-08"},{"id":16,"name":"Locomotive ID","value":"4007"},{"id":130,"name":"Impact","value":""},{"id":150,"name":"Time of Event (Mountain Time)","value":"23:36:48"},{"id":151,"name":"Denver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ref="AM145:AM207" si="120">"start /low /b "&amp;dls3logs&amp;" --loco "&amp;B145&amp;" --day "&amp;TEXT(F145,"YYYY-MM-DD")</f>
        <v>start /low /b %USERPROFILE%\Documents\GitHub\eaglep3\Utilities\DownloadLogsFromS3.py --loco 4007 --day 2017-01-08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620</v>
      </c>
      <c r="B146" s="7">
        <v>4008</v>
      </c>
      <c r="C146" s="22" t="s">
        <v>203</v>
      </c>
      <c r="D146" s="22" t="s">
        <v>315</v>
      </c>
      <c r="E146" s="13">
        <v>42743.994756944441</v>
      </c>
      <c r="F146" s="13">
        <v>42743.997615740744</v>
      </c>
      <c r="G146" s="7">
        <v>1</v>
      </c>
      <c r="H146" s="22" t="s">
        <v>276</v>
      </c>
      <c r="I146" s="13">
        <v>42744.028368055559</v>
      </c>
      <c r="J146" s="7">
        <v>0</v>
      </c>
      <c r="K146" s="105" t="str">
        <f t="shared" si="103"/>
        <v>4007/4008</v>
      </c>
      <c r="L146" s="22" t="str">
        <f>VLOOKUP(A146,'Trips&amp;Operators'!$C$1:$G$99999,5,FALSE)</f>
        <v>CHANDLER KELVIN</v>
      </c>
      <c r="M146" s="6">
        <f t="shared" si="104"/>
        <v>3.0752314814890269E-2</v>
      </c>
      <c r="N146" s="7">
        <f t="shared" si="105"/>
        <v>44.283333333441988</v>
      </c>
      <c r="O146" s="7"/>
      <c r="P146" s="7"/>
      <c r="Q146" s="23"/>
      <c r="R146" s="23"/>
      <c r="S146" s="32">
        <f t="shared" si="106"/>
        <v>1</v>
      </c>
      <c r="T146" s="47" t="str">
        <f t="shared" si="107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22:52:27-700',mode:absolute,to:'2017-01-09 01:40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6" s="49" t="str">
        <f t="shared" si="109"/>
        <v>N</v>
      </c>
      <c r="X146" s="173">
        <f t="shared" si="110"/>
        <v>1</v>
      </c>
      <c r="Y146" s="64">
        <f t="shared" si="111"/>
        <v>23.298100000000002</v>
      </c>
      <c r="Z146" s="64">
        <f t="shared" si="112"/>
        <v>1.52E-2</v>
      </c>
      <c r="AA146" s="64">
        <f t="shared" si="113"/>
        <v>23.282900000000001</v>
      </c>
      <c r="AB146" s="61" t="e">
        <f>VLOOKUP(A146,Enforcements!$C$7:$K$18,8,0)</f>
        <v>#N/A</v>
      </c>
      <c r="AC146" s="57" t="e">
        <f>VLOOKUP(A146,Enforcements!$C$7:$E$18,3,0)</f>
        <v>#N/A</v>
      </c>
      <c r="AD146" s="58" t="str">
        <f t="shared" si="114"/>
        <v>0238-08</v>
      </c>
      <c r="AE146" s="87" t="str">
        <f t="shared" si="115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146" s="84" t="str">
        <f t="shared" si="116"/>
        <v>"C:\Program Files (x86)\AstroGrep\AstroGrep.exe" /spath="%USERPROFILE%\AppData\Local\Temp\OnboardLogs" /stypes="app*4008*20170109*" /stext=" 07:.+((SYSTEM_STATE.+slice.+state.+changed )|(ment ac)|(multiple cpu faults)|(system.+state.+changed )|(\[timeout)|(PRM\|1\|D)|(kpr)|(kdp)|(\|lc)|(penalty))" /e /r /s</v>
      </c>
      <c r="AG146" s="1" t="str">
        <f t="shared" si="117"/>
        <v>EC</v>
      </c>
      <c r="AH146" s="88" t="str">
        <f t="shared" si="118"/>
        <v>"%USERPROFILE%\Documents\GitHub\eaglep3\Utilities\RefineRTDCRunTimes.py" --tripid 238-08 --locoid 4008 --swversion DE.1.0.8.0 --startMP 204:232981 --initTime 2017-01-08T23:52:27 --startdatetime 2017-01-08T23:56:34 --delay 1 --endMP 204:152 --enddatetime 2017-01-09T00:40:51 --enforcementcount 0 &gt;&gt;C:\Users\stu\Documents\GitHub\eaglep3-reporting\EC\2017-01-08-refined-times.txt</v>
      </c>
      <c r="AI146" s="115" t="str">
        <f t="shared" si="119"/>
        <v>echo {"issue":{"subject":"","project_id":79,"tracker_id":40,"status_id":1,"priority_id":2,"assigned_to_id":23,"start_date":"2017-01-09","description":"","custom_fields":[{"id":1,"name":"Subdivision","value":"EC"},{"id":4,"name":"Milepost","value":"0.0152"},{"id":17,"name":"Train ID","value":"238-08"},{"id":16,"name":"Locomotive ID","value":"4008"},{"id":130,"name":"Impact","value":""},{"id":150,"name":"Time of Event (Mountain Time)","value":"00:40:51"},{"id":151,"name":"Denver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120"/>
        <v>start /low /b %USERPROFILE%\Documents\GitHub\eaglep3\Utilities\DownloadLogsFromS3.py --loco 4008 --day 2017-01-08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619</v>
      </c>
      <c r="B147" s="7">
        <v>4002</v>
      </c>
      <c r="C147" s="22" t="s">
        <v>203</v>
      </c>
      <c r="D147" s="22" t="s">
        <v>761</v>
      </c>
      <c r="E147" s="13">
        <v>42743.976620370369</v>
      </c>
      <c r="F147" s="13">
        <v>42743.97934027778</v>
      </c>
      <c r="G147" s="7">
        <v>1</v>
      </c>
      <c r="H147" s="22" t="s">
        <v>662</v>
      </c>
      <c r="I147" s="13">
        <v>42744.005381944444</v>
      </c>
      <c r="J147" s="7">
        <v>0</v>
      </c>
      <c r="K147" s="105" t="str">
        <f t="shared" si="103"/>
        <v>4001/4002</v>
      </c>
      <c r="L147" s="22" t="str">
        <f>VLOOKUP(A147,'Trips&amp;Operators'!$C$1:$G$99999,5,FALSE)</f>
        <v>NEWELL JAMES</v>
      </c>
      <c r="M147" s="6">
        <f t="shared" si="104"/>
        <v>2.6041666664241347E-2</v>
      </c>
      <c r="N147" s="7">
        <f t="shared" si="105"/>
        <v>37.49999999650754</v>
      </c>
      <c r="O147" s="7"/>
      <c r="P147" s="7"/>
      <c r="Q147" s="23"/>
      <c r="R147" s="23"/>
      <c r="S147" s="32">
        <f t="shared" si="106"/>
        <v>1</v>
      </c>
      <c r="T147" s="47" t="str">
        <f t="shared" si="107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22:26:20-700',mode:absolute,to:'2017-01-09 01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7" s="49" t="str">
        <f t="shared" si="109"/>
        <v>N</v>
      </c>
      <c r="X147" s="173">
        <f t="shared" si="110"/>
        <v>1</v>
      </c>
      <c r="Y147" s="64">
        <f t="shared" si="111"/>
        <v>4.7300000000000002E-2</v>
      </c>
      <c r="Z147" s="64">
        <f t="shared" si="112"/>
        <v>23.330200000000001</v>
      </c>
      <c r="AA147" s="64">
        <f t="shared" si="113"/>
        <v>23.282900000000001</v>
      </c>
      <c r="AB147" s="61" t="e">
        <f>VLOOKUP(A147,Enforcements!$C$7:$K$18,8,0)</f>
        <v>#N/A</v>
      </c>
      <c r="AC147" s="57" t="e">
        <f>VLOOKUP(A147,Enforcements!$C$7:$E$18,3,0)</f>
        <v>#N/A</v>
      </c>
      <c r="AD147" s="58" t="str">
        <f t="shared" si="114"/>
        <v>0239-08</v>
      </c>
      <c r="AE147" s="87" t="str">
        <f t="shared" si="115"/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AF147" s="84" t="str">
        <f t="shared" si="116"/>
        <v>"C:\Program Files (x86)\AstroGrep\AstroGrep.exe" /spath="%USERPROFILE%\AppData\Local\Temp\OnboardLogs" /stypes="app*4002*20170109*" /stext=" 07:.+((SYSTEM_STATE.+slice.+state.+changed )|(ment ac)|(multiple cpu faults)|(system.+state.+changed )|(\[timeout)|(PRM\|1\|D)|(kpr)|(kdp)|(\|lc)|(penalty))" /e /r /s</v>
      </c>
      <c r="AG147" s="1" t="str">
        <f t="shared" si="117"/>
        <v>EC</v>
      </c>
      <c r="AH147" s="88" t="str">
        <f t="shared" si="118"/>
        <v>"%USERPROFILE%\Documents\GitHub\eaglep3\Utilities\RefineRTDCRunTimes.py" --tripid 239-08 --locoid 4002 --swversion DE.1.0.8.0 --startMP 204:473 --initTime 2017-01-08T23:26:20 --startdatetime 2017-01-08T23:30:15 --delay 1 --endMP 204:233302 --enddatetime 2017-01-09T00:07:45 --enforcementcount 0 &gt;&gt;C:\Users\stu\Documents\GitHub\eaglep3-reporting\EC\2017-01-08-refined-times.txt</v>
      </c>
      <c r="AI147" s="115" t="str">
        <f t="shared" si="119"/>
        <v>echo {"issue":{"subject":"","project_id":79,"tracker_id":40,"status_id":1,"priority_id":2,"assigned_to_id":23,"start_date":"2017-01-09","description":"","custom_fields":[{"id":1,"name":"Subdivision","value":"EC"},{"id":4,"name":"Milepost","value":"23.3302"},{"id":17,"name":"Train ID","value":"239-08"},{"id":16,"name":"Locomotive ID","value":"4002"},{"id":130,"name":"Impact","value":""},{"id":150,"name":"Time of Event (Mountain Time)","value":"00:07:45"},{"id":151,"name":"Denver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120"/>
        <v>start /low /b %USERPROFILE%\Documents\GitHub\eaglep3\Utilities\DownloadLogsFromS3.py --loco 4002 --day 2017-01-08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431</v>
      </c>
      <c r="B148" s="7">
        <v>4001</v>
      </c>
      <c r="C148" s="22" t="s">
        <v>203</v>
      </c>
      <c r="D148" s="22" t="s">
        <v>762</v>
      </c>
      <c r="E148" s="13">
        <v>42744.047581018516</v>
      </c>
      <c r="F148" s="13">
        <v>42744.048437500001</v>
      </c>
      <c r="G148" s="7">
        <v>1</v>
      </c>
      <c r="H148" s="22" t="s">
        <v>763</v>
      </c>
      <c r="I148" s="13">
        <v>42744.053796296299</v>
      </c>
      <c r="J148" s="7">
        <v>1</v>
      </c>
      <c r="K148" s="105" t="str">
        <f t="shared" si="103"/>
        <v>4001/4002</v>
      </c>
      <c r="L148" s="22" t="str">
        <f>VLOOKUP(A148,'Trips&amp;Operators'!$C$1:$G$99999,5,FALSE)</f>
        <v>NEWELL JAMES</v>
      </c>
      <c r="M148" s="6">
        <f t="shared" si="104"/>
        <v>5.3587962975143455E-3</v>
      </c>
      <c r="N148" s="7"/>
      <c r="O148" s="7"/>
      <c r="P148" s="7">
        <f>24*60*SUM($M148:$M149)</f>
        <v>55.36666665924713</v>
      </c>
      <c r="Q148" s="23"/>
      <c r="R148" s="23" t="s">
        <v>833</v>
      </c>
      <c r="S148" s="32">
        <f>SUM(U148:U149)/IF(AG148="EC",12,1)</f>
        <v>1</v>
      </c>
      <c r="T148" s="47" t="str">
        <f t="shared" si="107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https://search-rtdc-monitor-bjffxe2xuh6vdkpspy63sjmuny.us-east-1.es.amazonaws.com/_plugin/kibana/#/discover/Steve-Slow-Train-Analysis-(2080s-and-2083s)?_g=(refreshInterval:(display:Off,section:0,value:0),time:(from:'2017-01-09 00:08:31-700',mode:absolute,to:'2017-01-09 02:17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8" s="49" t="str">
        <f t="shared" si="109"/>
        <v>Y</v>
      </c>
      <c r="X148" s="173">
        <f t="shared" si="110"/>
        <v>1</v>
      </c>
      <c r="Y148" s="64">
        <f t="shared" si="111"/>
        <v>1.8897999999999999</v>
      </c>
      <c r="Z148" s="64">
        <f t="shared" si="112"/>
        <v>1.7600000000000001E-2</v>
      </c>
      <c r="AA148" s="64">
        <f t="shared" si="113"/>
        <v>1.8721999999999999</v>
      </c>
      <c r="AB148" s="61" t="e">
        <f>VLOOKUP(A148,Enforcements!$C$7:$K$18,8,0)</f>
        <v>#N/A</v>
      </c>
      <c r="AC148" s="57" t="e">
        <f>VLOOKUP(A148,Enforcements!$C$7:$E$18,3,0)</f>
        <v>#N/A</v>
      </c>
      <c r="AD148" s="58" t="str">
        <f t="shared" si="114"/>
        <v>0240-08</v>
      </c>
      <c r="AE148" s="87" t="str">
        <f t="shared" si="115"/>
        <v>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 &amp; 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</v>
      </c>
      <c r="AF148" s="84" t="str">
        <f t="shared" si="116"/>
        <v>"C:\Program Files (x86)\AstroGrep\AstroGrep.exe" /spath="%USERPROFILE%\AppData\Local\Temp\OnboardLogs" /stypes="app*4001*20170109*" /stext=" 08:.+((SYSTEM_STATE.+slice.+state.+changed )|(ment ac)|(multiple cpu faults)|(system.+state.+changed )|(\[timeout)|(PRM\|1\|D)|(kpr)|(kdp)|(\|lc)|(penalty))" /e /r /s</v>
      </c>
      <c r="AG148" s="1" t="str">
        <f t="shared" si="117"/>
        <v>EC</v>
      </c>
      <c r="AH148" s="88" t="str">
        <f t="shared" si="118"/>
        <v>"%USERPROFILE%\Documents\GitHub\eaglep3\Utilities\RefineRTDCRunTimes.py" --tripid 240-08 --locoid 4001 --swversion DE.1.0.8.0 --startMP 204:18898 --initTime 2017-01-09T01:08:31 --startdatetime 2017-01-09T01:09:45 --delay 1 --endMP 204:176 --enddatetime 2017-01-09T01:17:28 --enforcementcount 1 &gt;&gt;C:\Users\stu\Documents\GitHub\eaglep3-reporting\EC\2017-01-08-refined-times.txt</v>
      </c>
      <c r="AI148" s="115" t="str">
        <f t="shared" si="119"/>
        <v>echo {"issue":{"subject":"Emergency at 38th (brake pressure issue? Slippery track?)","project_id":79,"tracker_id":40,"status_id":1,"priority_id":2,"assigned_to_id":23,"start_date":"2017-01-09","description":"","custom_fields":[{"id":1,"name":"Subdivision","value":"EC"},{"id":4,"name":"Milepost","value":"0.0176"},{"id":17,"name":"Train ID","value":"240-08"},{"id":16,"name":"Locomotive ID","value":"4001"},{"id":130,"name":"Impact","value":""},{"id":150,"name":"Time of Event (Mountain Time)","value":"01:17:28"},{"id":151,"name":"Denver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120"/>
        <v>start /low /b %USERPROFILE%\Documents\GitHub\eaglep3\Utilities\DownloadLogsFromS3.py --loco 4001 --day 2017-01-09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431</v>
      </c>
      <c r="B149" s="7">
        <v>4001</v>
      </c>
      <c r="C149" s="22" t="s">
        <v>203</v>
      </c>
      <c r="D149" s="22" t="s">
        <v>388</v>
      </c>
      <c r="E149" s="13">
        <v>42744.009942129633</v>
      </c>
      <c r="F149" s="13">
        <v>42744.010844907411</v>
      </c>
      <c r="G149" s="7">
        <v>1</v>
      </c>
      <c r="H149" s="22" t="s">
        <v>764</v>
      </c>
      <c r="I149" s="13">
        <v>42744.043935185182</v>
      </c>
      <c r="J149" s="7">
        <v>0</v>
      </c>
      <c r="K149" s="105" t="str">
        <f t="shared" si="103"/>
        <v>4001/4002</v>
      </c>
      <c r="L149" s="22" t="str">
        <f>VLOOKUP(A149,'Trips&amp;Operators'!$C$1:$G$99999,5,FALSE)</f>
        <v>NEWELL JAMES</v>
      </c>
      <c r="M149" s="6">
        <f t="shared" si="104"/>
        <v>3.3090277771407273E-2</v>
      </c>
      <c r="N149" s="7"/>
      <c r="O149" s="7"/>
      <c r="P149" s="7"/>
      <c r="Q149" s="23"/>
      <c r="R149" s="23"/>
      <c r="S149" s="32"/>
      <c r="T149" s="47" t="str">
        <f t="shared" si="107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23:14:19-700',mode:absolute,to:'2017-01-09 02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49" t="str">
        <f t="shared" si="109"/>
        <v>Y</v>
      </c>
      <c r="X149" s="173">
        <f t="shared" si="110"/>
        <v>0</v>
      </c>
      <c r="Y149" s="64">
        <f t="shared" si="111"/>
        <v>23.299399999999999</v>
      </c>
      <c r="Z149" s="64">
        <f t="shared" si="112"/>
        <v>1.8593999999999999</v>
      </c>
      <c r="AA149" s="64">
        <f t="shared" si="113"/>
        <v>21.439999999999998</v>
      </c>
      <c r="AB149" s="61" t="e">
        <f>VLOOKUP(A149,Enforcements!$C$7:$K$18,8,0)</f>
        <v>#N/A</v>
      </c>
      <c r="AC149" s="57" t="e">
        <f>VLOOKUP(A149,Enforcements!$C$7:$E$18,3,0)</f>
        <v>#N/A</v>
      </c>
      <c r="AD149" s="58" t="str">
        <f t="shared" si="114"/>
        <v>0240-08</v>
      </c>
      <c r="AE149" s="87" t="str">
        <f t="shared" si="115"/>
        <v>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 &amp; 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</v>
      </c>
      <c r="AF149" s="84" t="str">
        <f t="shared" si="116"/>
        <v>"C:\Program Files (x86)\AstroGrep\AstroGrep.exe" /spath="%USERPROFILE%\AppData\Local\Temp\OnboardLogs" /stypes="app*4001*20170109*" /stext=" 08:.+((SYSTEM_STATE.+slice.+state.+changed )|(ment ac)|(multiple cpu faults)|(system.+state.+changed )|(\[timeout)|(PRM\|1\|D)|(kpr)|(kdp)|(\|lc)|(penalty))" /e /r /s</v>
      </c>
      <c r="AG149" s="1" t="str">
        <f t="shared" si="117"/>
        <v>EC</v>
      </c>
      <c r="AH149" s="88" t="str">
        <f t="shared" si="118"/>
        <v>"%USERPROFILE%\Documents\GitHub\eaglep3\Utilities\RefineRTDCRunTimes.py" --tripid 240-08 --locoid 4001 --swversion DE.1.0.8.0 --startMP 204:232994 --initTime 2017-01-09T00:14:19 --startdatetime 2017-01-09T00:15:37 --delay 1 --endMP 204:18594 --enddatetime 2017-01-09T01:03:16 --enforcementcount 0 &gt;&gt;C:\Users\stu\Documents\GitHub\eaglep3-reporting\EC\2017-01-08-refined-times.txt</v>
      </c>
      <c r="AI149" s="115" t="str">
        <f t="shared" si="119"/>
        <v>echo {"issue":{"subject":"","project_id":79,"tracker_id":40,"status_id":1,"priority_id":2,"assigned_to_id":23,"start_date":"2017-01-09","description":"","custom_fields":[{"id":1,"name":"Subdivision","value":"EC"},{"id":4,"name":"Milepost","value":"1.8594"},{"id":17,"name":"Train ID","value":"240-08"},{"id":16,"name":"Locomotive ID","value":"4001"},{"id":130,"name":"Impact","value":""},{"id":150,"name":"Time of Event (Mountain Time)","value":"01:03:16"},{"id":151,"name":"Denver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120"/>
        <v>start /low /b %USERPROFILE%\Documents\GitHub\eaglep3\Utilities\DownloadLogsFromS3.py --loco 4001 --day 2017-01-09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621</v>
      </c>
      <c r="B150" s="7">
        <v>4027</v>
      </c>
      <c r="C150" s="22" t="s">
        <v>203</v>
      </c>
      <c r="D150" s="22" t="s">
        <v>399</v>
      </c>
      <c r="E150" s="13">
        <v>42743.994895833333</v>
      </c>
      <c r="F150" s="13">
        <v>42744.000173611108</v>
      </c>
      <c r="G150" s="7">
        <v>1</v>
      </c>
      <c r="H150" s="22" t="s">
        <v>650</v>
      </c>
      <c r="I150" s="13">
        <v>42744.027094907404</v>
      </c>
      <c r="J150" s="7">
        <v>0</v>
      </c>
      <c r="K150" s="105" t="str">
        <f t="shared" si="103"/>
        <v>4027/4028</v>
      </c>
      <c r="L150" s="22" t="str">
        <f>VLOOKUP(A150,'Trips&amp;Operators'!$C$1:$G$99999,5,FALSE)</f>
        <v>PERKINS DARREN</v>
      </c>
      <c r="M150" s="6">
        <f t="shared" si="104"/>
        <v>2.6921296295768116E-2</v>
      </c>
      <c r="N150" s="7">
        <f t="shared" si="105"/>
        <v>38.766666665906087</v>
      </c>
      <c r="O150" s="7"/>
      <c r="P150" s="7"/>
      <c r="Q150" s="23"/>
      <c r="R150" s="23"/>
      <c r="S150" s="32">
        <f t="shared" si="106"/>
        <v>1</v>
      </c>
      <c r="T150" s="47" t="str">
        <f t="shared" si="107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22:52:39-700',mode:absolute,to:'2017-01-09 01:39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0" s="49" t="str">
        <f t="shared" si="109"/>
        <v>N</v>
      </c>
      <c r="X150" s="173">
        <f t="shared" si="110"/>
        <v>1</v>
      </c>
      <c r="Y150" s="64">
        <f t="shared" si="111"/>
        <v>4.3799999999999999E-2</v>
      </c>
      <c r="Z150" s="64">
        <f t="shared" si="112"/>
        <v>23.330400000000001</v>
      </c>
      <c r="AA150" s="64">
        <f t="shared" si="113"/>
        <v>23.2866</v>
      </c>
      <c r="AB150" s="61" t="e">
        <f>VLOOKUP(A150,Enforcements!$C$7:$K$18,8,0)</f>
        <v>#N/A</v>
      </c>
      <c r="AC150" s="57" t="e">
        <f>VLOOKUP(A150,Enforcements!$C$7:$E$18,3,0)</f>
        <v>#N/A</v>
      </c>
      <c r="AD150" s="58" t="str">
        <f t="shared" si="114"/>
        <v>0241-08</v>
      </c>
      <c r="AE150" s="87" t="str">
        <f t="shared" si="115"/>
        <v>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 &amp; aws s3 cp s3://rtdc.mdm.uploadarchive.raw/RTDC4027/ "%USERPROFILE%\AppData\Local\Temp\OnboardLogs"\RTDC4027\2017-01-10 --exclude "*" --recursive --include "*20170110*" &amp; "%USERPROFILE%\Documents\GitHub\mrs-test-scripts\Headless Mode &amp; Sideloading\WalkAndUnGZ.bat" "%USERPROFILE%\AppData\Local\Temp\OnboardLogs"\RTDC4027\2017-01-10</v>
      </c>
      <c r="AF150" s="84" t="str">
        <f t="shared" si="116"/>
        <v>"C:\Program Files (x86)\AstroGrep\AstroGrep.exe" /spath="%USERPROFILE%\AppData\Local\Temp\OnboardLogs" /stypes="app*4027*20170109*" /stext=" 07:.+((SYSTEM_STATE.+slice.+state.+changed )|(ment ac)|(multiple cpu faults)|(system.+state.+changed )|(\[timeout)|(PRM\|1\|D)|(kpr)|(kdp)|(\|lc)|(penalty))" /e /r /s</v>
      </c>
      <c r="AG150" s="1" t="str">
        <f t="shared" si="117"/>
        <v>EC</v>
      </c>
      <c r="AH150" s="88" t="str">
        <f t="shared" si="118"/>
        <v>"%USERPROFILE%\Documents\GitHub\eaglep3\Utilities\RefineRTDCRunTimes.py" --tripid 241-08 --locoid 4027 --swversion DE.1.0.8.0 --startMP 204:438 --initTime 2017-01-08T23:52:39 --startdatetime 2017-01-09T00:00:15 --delay 1 --endMP 204:233304 --enddatetime 2017-01-09T00:39:01 --enforcementcount 0 &gt;&gt;C:\Users\stu\Documents\GitHub\eaglep3-reporting\EC\2017-01-08-refined-times.txt</v>
      </c>
      <c r="AI150" s="115" t="str">
        <f t="shared" si="119"/>
        <v>echo {"issue":{"subject":"","project_id":79,"tracker_id":40,"status_id":1,"priority_id":2,"assigned_to_id":23,"start_date":"2017-01-09","description":"","custom_fields":[{"id":1,"name":"Subdivision","value":"EC"},{"id":4,"name":"Milepost","value":"23.3304"},{"id":17,"name":"Train ID","value":"241-08"},{"id":16,"name":"Locomotive ID","value":"4027"},{"id":130,"name":"Impact","value":""},{"id":150,"name":"Time of Event (Mountain Time)","value":"00:39:01"},{"id":151,"name":"Denver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120"/>
        <v>start /low /b %USERPROFILE%\Documents\GitHub\eaglep3\Utilities\DownloadLogsFromS3.py --loco 4027 --day 2017-01-09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4" t="s">
        <v>624</v>
      </c>
      <c r="B151" s="7">
        <v>4028</v>
      </c>
      <c r="C151" s="22" t="s">
        <v>203</v>
      </c>
      <c r="D151" s="22" t="s">
        <v>312</v>
      </c>
      <c r="E151" s="13">
        <v>42744.037037037036</v>
      </c>
      <c r="F151" s="13">
        <v>42744.03974537037</v>
      </c>
      <c r="G151" s="7">
        <v>1</v>
      </c>
      <c r="H151" s="22" t="s">
        <v>765</v>
      </c>
      <c r="I151" s="13">
        <v>42744.068090277775</v>
      </c>
      <c r="J151" s="7">
        <v>0</v>
      </c>
      <c r="K151" s="105" t="str">
        <f t="shared" si="103"/>
        <v>4027/4028</v>
      </c>
      <c r="L151" s="22" t="str">
        <f>VLOOKUP(A151,'Trips&amp;Operators'!$C$1:$G$99999,5,FALSE)</f>
        <v>PERKINS DARREN</v>
      </c>
      <c r="M151" s="6">
        <f t="shared" si="104"/>
        <v>2.8344907404971309E-2</v>
      </c>
      <c r="N151" s="7">
        <f t="shared" si="105"/>
        <v>40.816666663158685</v>
      </c>
      <c r="O151" s="7"/>
      <c r="P151" s="7"/>
      <c r="Q151" s="23"/>
      <c r="R151" s="23"/>
      <c r="S151" s="32">
        <f t="shared" si="106"/>
        <v>1</v>
      </c>
      <c r="T151" s="47" t="str">
        <f t="shared" si="107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23:53:20-700',mode:absolute,to:'2017-01-09 02:38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1" s="49" t="str">
        <f t="shared" si="109"/>
        <v>N</v>
      </c>
      <c r="X151" s="173">
        <f t="shared" si="110"/>
        <v>1</v>
      </c>
      <c r="Y151" s="64">
        <f t="shared" si="111"/>
        <v>23.298300000000001</v>
      </c>
      <c r="Z151" s="64">
        <f t="shared" si="112"/>
        <v>1.2999999999999999E-2</v>
      </c>
      <c r="AA151" s="64">
        <f t="shared" si="113"/>
        <v>23.285299999999999</v>
      </c>
      <c r="AB151" s="61" t="e">
        <f>VLOOKUP(A151,Enforcements!$C$7:$K$18,8,0)</f>
        <v>#N/A</v>
      </c>
      <c r="AC151" s="57" t="e">
        <f>VLOOKUP(A151,Enforcements!$C$7:$E$18,3,0)</f>
        <v>#N/A</v>
      </c>
      <c r="AD151" s="58" t="str">
        <f t="shared" si="114"/>
        <v>0242-08</v>
      </c>
      <c r="AE151" s="87" t="str">
        <f t="shared" si="115"/>
        <v>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 &amp; aws s3 cp s3://rtdc.mdm.uploadarchive.raw/RTDC4028/ "%USERPROFILE%\AppData\Local\Temp\OnboardLogs"\RTDC4028\2017-01-10 --exclude "*" --recursive --include "*20170110*" &amp; "%USERPROFILE%\Documents\GitHub\mrs-test-scripts\Headless Mode &amp; Sideloading\WalkAndUnGZ.bat" "%USERPROFILE%\AppData\Local\Temp\OnboardLogs"\RTDC4028\2017-01-10</v>
      </c>
      <c r="AF151" s="84" t="str">
        <f t="shared" si="116"/>
        <v>"C:\Program Files (x86)\AstroGrep\AstroGrep.exe" /spath="%USERPROFILE%\AppData\Local\Temp\OnboardLogs" /stypes="app*4028*20170109*" /stext=" 08:.+((SYSTEM_STATE.+slice.+state.+changed )|(ment ac)|(multiple cpu faults)|(system.+state.+changed )|(\[timeout)|(PRM\|1\|D)|(kpr)|(kdp)|(\|lc)|(penalty))" /e /r /s</v>
      </c>
      <c r="AG151" s="1" t="str">
        <f t="shared" si="117"/>
        <v>EC</v>
      </c>
      <c r="AH151" s="88" t="str">
        <f t="shared" si="118"/>
        <v>"%USERPROFILE%\Documents\GitHub\eaglep3\Utilities\RefineRTDCRunTimes.py" --tripid 242-08 --locoid 4028 --swversion DE.1.0.8.0 --startMP 204:232983 --initTime 2017-01-09T00:53:20 --startdatetime 2017-01-09T00:57:14 --delay 1 --endMP 204:130 --enddatetime 2017-01-09T01:38:03 --enforcementcount 0 &gt;&gt;C:\Users\stu\Documents\GitHub\eaglep3-reporting\EC\2017-01-08-refined-times.txt</v>
      </c>
      <c r="AI151" s="115" t="str">
        <f t="shared" si="119"/>
        <v>echo {"issue":{"subject":"","project_id":79,"tracker_id":40,"status_id":1,"priority_id":2,"assigned_to_id":23,"start_date":"2017-01-09","description":"","custom_fields":[{"id":1,"name":"Subdivision","value":"EC"},{"id":4,"name":"Milepost","value":"0.013"},{"id":17,"name":"Train ID","value":"242-08"},{"id":16,"name":"Locomotive ID","value":"4028"},{"id":130,"name":"Impact","value":""},{"id":150,"name":"Time of Event (Mountain Time)","value":"01:38:03"},{"id":151,"name":"Denver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120"/>
        <v>start /low /b %USERPROFILE%\Documents\GitHub\eaglep3\Utilities\DownloadLogsFromS3.py --loco 4028 --day 2017-01-09</v>
      </c>
    </row>
    <row r="152" spans="1:91" s="21" customFormat="1" x14ac:dyDescent="0.25">
      <c r="A152" s="34" t="s">
        <v>622</v>
      </c>
      <c r="B152" s="7">
        <v>4022</v>
      </c>
      <c r="C152" s="22" t="s">
        <v>203</v>
      </c>
      <c r="D152" s="22" t="s">
        <v>224</v>
      </c>
      <c r="E152" s="13">
        <v>42744.008842592593</v>
      </c>
      <c r="F152" s="13">
        <v>42744.021331018521</v>
      </c>
      <c r="G152" s="7">
        <v>1</v>
      </c>
      <c r="H152" s="22" t="s">
        <v>766</v>
      </c>
      <c r="I152" s="13">
        <v>42744.046516203707</v>
      </c>
      <c r="J152" s="7">
        <v>0</v>
      </c>
      <c r="K152" s="105" t="str">
        <f t="shared" si="103"/>
        <v>4021/4022</v>
      </c>
      <c r="L152" s="22" t="str">
        <f>VLOOKUP(A152,'Trips&amp;Operators'!$C$1:$G$99999,5,FALSE)</f>
        <v>STAMBAUGH JAMES</v>
      </c>
      <c r="M152" s="6">
        <f t="shared" si="104"/>
        <v>2.5185185186273884E-2</v>
      </c>
      <c r="N152" s="7">
        <f t="shared" si="105"/>
        <v>36.266666668234393</v>
      </c>
      <c r="O152" s="7"/>
      <c r="P152" s="7"/>
      <c r="Q152" s="23"/>
      <c r="R152" s="23"/>
      <c r="S152" s="32">
        <f t="shared" si="106"/>
        <v>1</v>
      </c>
      <c r="T152" s="47" t="str">
        <f t="shared" si="107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23:12:44-700',mode:absolute,to:'2017-01-09 02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2" s="49" t="str">
        <f t="shared" si="109"/>
        <v>N</v>
      </c>
      <c r="X152" s="173">
        <f t="shared" si="110"/>
        <v>1</v>
      </c>
      <c r="Y152" s="64">
        <f t="shared" si="111"/>
        <v>4.5499999999999999E-2</v>
      </c>
      <c r="Z152" s="64">
        <f t="shared" si="112"/>
        <v>23.335100000000001</v>
      </c>
      <c r="AA152" s="64">
        <f t="shared" si="113"/>
        <v>23.2896</v>
      </c>
      <c r="AB152" s="61" t="e">
        <f>VLOOKUP(A152,Enforcements!$C$7:$K$18,8,0)</f>
        <v>#N/A</v>
      </c>
      <c r="AC152" s="57" t="e">
        <f>VLOOKUP(A152,Enforcements!$C$7:$E$18,3,0)</f>
        <v>#N/A</v>
      </c>
      <c r="AD152" s="58" t="str">
        <f t="shared" si="114"/>
        <v>0243-08</v>
      </c>
      <c r="AE152" s="87" t="str">
        <f t="shared" si="115"/>
        <v>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 &amp; aws s3 cp s3://rtdc.mdm.uploadarchive.raw/RTDC4022/ "%USERPROFILE%\AppData\Local\Temp\OnboardLogs"\RTDC4022\2017-01-10 --exclude "*" --recursive --include "*20170110*" &amp; "%USERPROFILE%\Documents\GitHub\mrs-test-scripts\Headless Mode &amp; Sideloading\WalkAndUnGZ.bat" "%USERPROFILE%\AppData\Local\Temp\OnboardLogs"\RTDC4022\2017-01-10</v>
      </c>
      <c r="AF152" s="84" t="str">
        <f t="shared" si="116"/>
        <v>"C:\Program Files (x86)\AstroGrep\AstroGrep.exe" /spath="%USERPROFILE%\AppData\Local\Temp\OnboardLogs" /stypes="app*4022*20170109*" /stext=" 08:.+((SYSTEM_STATE.+slice.+state.+changed )|(ment ac)|(multiple cpu faults)|(system.+state.+changed )|(\[timeout)|(PRM\|1\|D)|(kpr)|(kdp)|(\|lc)|(penalty))" /e /r /s</v>
      </c>
      <c r="AG152" s="1" t="str">
        <f t="shared" si="117"/>
        <v>EC</v>
      </c>
      <c r="AH152" s="88" t="str">
        <f t="shared" si="118"/>
        <v>"%USERPROFILE%\Documents\GitHub\eaglep3\Utilities\RefineRTDCRunTimes.py" --tripid 243-08 --locoid 4022 --swversion DE.1.0.8.0 --startMP 204:455 --initTime 2017-01-09T00:12:44 --startdatetime 2017-01-09T00:30:43 --delay 1 --endMP 204:233351 --enddatetime 2017-01-09T01:06:59 --enforcementcount 0 &gt;&gt;C:\Users\stu\Documents\GitHub\eaglep3-reporting\EC\2017-01-08-refined-times.txt</v>
      </c>
      <c r="AI152" s="115" t="str">
        <f t="shared" si="119"/>
        <v>echo {"issue":{"subject":"","project_id":79,"tracker_id":40,"status_id":1,"priority_id":2,"assigned_to_id":23,"start_date":"2017-01-09","description":"","custom_fields":[{"id":1,"name":"Subdivision","value":"EC"},{"id":4,"name":"Milepost","value":"23.3351"},{"id":17,"name":"Train ID","value":"243-08"},{"id":16,"name":"Locomotive ID","value":"4022"},{"id":130,"name":"Impact","value":""},{"id":150,"name":"Time of Event (Mountain Time)","value":"01:06:59"},{"id":151,"name":"Denver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120"/>
        <v>start /low /b %USERPROFILE%\Documents\GitHub\eaglep3\Utilities\DownloadLogsFromS3.py --loco 4022 --day 2017-01-09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4" t="s">
        <v>625</v>
      </c>
      <c r="B153" s="7">
        <v>4021</v>
      </c>
      <c r="C153" s="22" t="s">
        <v>203</v>
      </c>
      <c r="D153" s="22" t="s">
        <v>767</v>
      </c>
      <c r="E153" s="13">
        <v>42744.048310185186</v>
      </c>
      <c r="F153" s="13">
        <v>42744.059930555559</v>
      </c>
      <c r="G153" s="7">
        <v>1</v>
      </c>
      <c r="H153" s="22" t="s">
        <v>287</v>
      </c>
      <c r="I153" s="13">
        <v>42744.086215277777</v>
      </c>
      <c r="J153" s="7">
        <v>0</v>
      </c>
      <c r="K153" s="105" t="str">
        <f t="shared" si="103"/>
        <v>4021/4022</v>
      </c>
      <c r="L153" s="22" t="str">
        <f>VLOOKUP(A153,'Trips&amp;Operators'!$C$1:$G$99999,5,FALSE)</f>
        <v>STAMBAUGH JAMES</v>
      </c>
      <c r="M153" s="6">
        <f t="shared" si="104"/>
        <v>2.6284722218406387E-2</v>
      </c>
      <c r="N153" s="7">
        <f t="shared" si="105"/>
        <v>37.849999994505197</v>
      </c>
      <c r="O153" s="7"/>
      <c r="P153" s="7"/>
      <c r="Q153" s="23"/>
      <c r="R153" s="23"/>
      <c r="S153" s="32">
        <f t="shared" si="106"/>
        <v>1</v>
      </c>
      <c r="T153" s="47" t="str">
        <f t="shared" si="107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https://search-rtdc-monitor-bjffxe2xuh6vdkpspy63sjmuny.us-east-1.es.amazonaws.com/_plugin/kibana/#/discover/Steve-Slow-Train-Analysis-(2080s-and-2083s)?_g=(refreshInterval:(display:Off,section:0,value:0),time:(from:'2017-01-09 00:09:34-700',mode:absolute,to:'2017-01-09 03:04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3" s="49" t="str">
        <f t="shared" si="109"/>
        <v>N</v>
      </c>
      <c r="X153" s="173">
        <f t="shared" si="110"/>
        <v>1</v>
      </c>
      <c r="Y153" s="64">
        <f t="shared" si="111"/>
        <v>23.305499999999999</v>
      </c>
      <c r="Z153" s="64">
        <f t="shared" si="112"/>
        <v>1.5599999999999999E-2</v>
      </c>
      <c r="AA153" s="64">
        <f t="shared" si="113"/>
        <v>23.289899999999999</v>
      </c>
      <c r="AB153" s="61" t="e">
        <f>VLOOKUP(A153,Enforcements!$C$7:$K$18,8,0)</f>
        <v>#N/A</v>
      </c>
      <c r="AC153" s="57" t="e">
        <f>VLOOKUP(A153,Enforcements!$C$7:$E$18,3,0)</f>
        <v>#N/A</v>
      </c>
      <c r="AD153" s="58" t="str">
        <f t="shared" si="114"/>
        <v>0244-08</v>
      </c>
      <c r="AE153" s="87" t="str">
        <f t="shared" si="115"/>
        <v>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 &amp; aws s3 cp s3://rtdc.mdm.uploadarchive.raw/RTDC4021/ "%USERPROFILE%\AppData\Local\Temp\OnboardLogs"\RTDC4021\2017-01-10 --exclude "*" --recursive --include "*20170110*" &amp; "%USERPROFILE%\Documents\GitHub\mrs-test-scripts\Headless Mode &amp; Sideloading\WalkAndUnGZ.bat" "%USERPROFILE%\AppData\Local\Temp\OnboardLogs"\RTDC4021\2017-01-10</v>
      </c>
      <c r="AF153" s="84" t="str">
        <f t="shared" si="116"/>
        <v>"C:\Program Files (x86)\AstroGrep\AstroGrep.exe" /spath="%USERPROFILE%\AppData\Local\Temp\OnboardLogs" /stypes="app*4021*20170109*" /stext=" 09:.+((SYSTEM_STATE.+slice.+state.+changed )|(ment ac)|(multiple cpu faults)|(system.+state.+changed )|(\[timeout)|(PRM\|1\|D)|(kpr)|(kdp)|(\|lc)|(penalty))" /e /r /s</v>
      </c>
      <c r="AG153" s="1" t="str">
        <f t="shared" si="117"/>
        <v>EC</v>
      </c>
      <c r="AH153" s="88" t="str">
        <f t="shared" si="118"/>
        <v>"%USERPROFILE%\Documents\GitHub\eaglep3\Utilities\RefineRTDCRunTimes.py" --tripid 244-08 --locoid 4021 --swversion DE.1.0.8.0 --startMP 204:233055 --initTime 2017-01-09T01:09:34 --startdatetime 2017-01-09T01:26:18 --delay 1 --endMP 204:156 --enddatetime 2017-01-09T02:04:09 --enforcementcount 0 &gt;&gt;C:\Users\stu\Documents\GitHub\eaglep3-reporting\EC\2017-01-08-refined-times.txt</v>
      </c>
      <c r="AI153" s="115" t="str">
        <f t="shared" si="119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ID","value":"244-08"},{"id":16,"name":"Locomotive ID","value":"4021"},{"id":130,"name":"Impact","value":""},{"id":150,"name":"Time of Event (Mountain Time)","value":"02:04:09"},{"id":151,"name":"Denver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120"/>
        <v>start /low /b %USERPROFILE%\Documents\GitHub\eaglep3\Utilities\DownloadLogsFromS3.py --loco 4021 --day 2017-01-09</v>
      </c>
    </row>
    <row r="154" spans="1:91" s="21" customFormat="1" x14ac:dyDescent="0.25">
      <c r="A154" s="34" t="s">
        <v>457</v>
      </c>
      <c r="B154" s="7">
        <v>4043</v>
      </c>
      <c r="C154" s="22" t="s">
        <v>203</v>
      </c>
      <c r="D154" s="22" t="s">
        <v>320</v>
      </c>
      <c r="E154" s="13">
        <v>42743.232685185183</v>
      </c>
      <c r="F154" s="13">
        <v>42743.234548611108</v>
      </c>
      <c r="G154" s="7">
        <v>1</v>
      </c>
      <c r="H154" s="22" t="s">
        <v>700</v>
      </c>
      <c r="I154" s="13">
        <v>42743.246261574073</v>
      </c>
      <c r="J154" s="7">
        <v>0</v>
      </c>
      <c r="K154" s="105" t="str">
        <f t="shared" si="103"/>
        <v>4043/4044</v>
      </c>
      <c r="L154" s="22" t="str">
        <f>VLOOKUP(A154,'Trips&amp;Operators'!$C$1:$G$99999,5,FALSE)</f>
        <v>YORK EDGAR</v>
      </c>
      <c r="M154" s="6">
        <f t="shared" si="104"/>
        <v>1.1712962965248153E-2</v>
      </c>
      <c r="N154" s="7">
        <f t="shared" si="105"/>
        <v>16.86666666995734</v>
      </c>
      <c r="O154" s="7"/>
      <c r="P154" s="7"/>
      <c r="Q154" s="23"/>
      <c r="R154" s="23"/>
      <c r="S154" s="32">
        <f t="shared" si="106"/>
        <v>1</v>
      </c>
      <c r="T154" s="47" t="str">
        <f t="shared" si="107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04:35:04-700',mode:absolute,to:'2017-01-08 06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4" s="49" t="str">
        <f t="shared" si="109"/>
        <v>N</v>
      </c>
      <c r="X154" s="173">
        <f t="shared" si="110"/>
        <v>1556</v>
      </c>
      <c r="Y154" s="64">
        <f t="shared" si="111"/>
        <v>5.8613</v>
      </c>
      <c r="Z154" s="64">
        <f t="shared" si="112"/>
        <v>7.4300000000000005E-2</v>
      </c>
      <c r="AA154" s="64">
        <f t="shared" si="113"/>
        <v>5.7869999999999999</v>
      </c>
      <c r="AB154" s="61" t="e">
        <f>VLOOKUP(A154,Enforcements!$C$7:$K$18,8,0)</f>
        <v>#N/A</v>
      </c>
      <c r="AC154" s="57" t="e">
        <f>VLOOKUP(A154,Enforcements!$C$7:$E$18,3,0)</f>
        <v>#N/A</v>
      </c>
      <c r="AD154" s="58" t="str">
        <f t="shared" si="114"/>
        <v>1800-08</v>
      </c>
      <c r="AE154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54" s="84" t="str">
        <f t="shared" si="116"/>
        <v>"C:\Program Files (x86)\AstroGrep\AstroGrep.exe" /spath="%USERPROFILE%\AppData\Local\Temp\OnboardLogs" /stypes="app*4043*20170108*" /stext=" 12:.+((SYSTEM_STATE.+slice.+state.+changed )|(ment ac)|(multiple cpu faults)|(system.+state.+changed )|(\[timeout)|(PRM\|1\|D)|(kpr)|(kdp)|(\|lc)|(penalty))" /e /r /s</v>
      </c>
      <c r="AG154" s="1" t="str">
        <f t="shared" si="117"/>
        <v>NW</v>
      </c>
      <c r="AH154" s="88" t="str">
        <f t="shared" si="118"/>
        <v>"%USERPROFILE%\Documents\GitHub\eaglep3\Utilities\RefineRTDCRunTimes.py" --tripid 1800-08 --locoid 4043 --swversion DE.1.0.8.0 --startMP 300:58613 --initTime 2017-01-08T05:35:04 --startdatetime 2017-01-08T05:37:45 --delay 1 --endMP 204:743 --enddatetime 2017-01-08T05:54:37 --enforcementcount 0 &gt;&gt;C:\Users\stu\Documents\GitHub\eaglep3-reporting\EC\2017-01-08-refined-times.txt</v>
      </c>
      <c r="AI154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{"issue":{"subject":"","project_id":79,"tracker_id":40,"status_id":1,"priority_id":2,"assigned_to_id":23,"start_date":"2017-01-08","description":"","custom_fields":[{"id":1,"name":"Subdivision","value":"NW"},{"id":4,"name":"Milepost","value":"0.0743"},{"id":17,"name":"Train ID","value":"1800-08"},{"id":16,"name":"Locomotive ID","value":"4043"},{"id":130,"name":"Impact","value":""},{"id":150,"name":"Time of Event (Mountain Time)","value":"05:54:37"},{"id":151,"name":"Denver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120"/>
        <v>start /low /b %USERPROFILE%\Documents\GitHub\eaglep3\Utilities\DownloadLogsFromS3.py --loco 4043 --day 2017-01-08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461</v>
      </c>
      <c r="B155" s="7">
        <v>4044</v>
      </c>
      <c r="C155" s="22" t="s">
        <v>203</v>
      </c>
      <c r="D155" s="22" t="s">
        <v>701</v>
      </c>
      <c r="E155" s="13">
        <v>42743.248622685183</v>
      </c>
      <c r="F155" s="13">
        <v>42743.264791666668</v>
      </c>
      <c r="G155" s="7">
        <v>0</v>
      </c>
      <c r="H155" s="22" t="s">
        <v>702</v>
      </c>
      <c r="I155" s="13">
        <v>42743.274212962962</v>
      </c>
      <c r="J155" s="7">
        <v>0</v>
      </c>
      <c r="K155" s="105" t="str">
        <f t="shared" si="103"/>
        <v>4043/4044</v>
      </c>
      <c r="L155" s="22" t="str">
        <f>VLOOKUP(A155,'Trips&amp;Operators'!$C$1:$G$99999,5,FALSE)</f>
        <v>YORK EDGAR</v>
      </c>
      <c r="M155" s="6">
        <f t="shared" si="104"/>
        <v>9.4212962940218858E-3</v>
      </c>
      <c r="N155" s="7">
        <f t="shared" si="105"/>
        <v>13.566666663391516</v>
      </c>
      <c r="O155" s="7"/>
      <c r="P155" s="7"/>
      <c r="Q155" s="23"/>
      <c r="R155" s="23"/>
      <c r="S155" s="32">
        <f t="shared" si="106"/>
        <v>1</v>
      </c>
      <c r="T155" s="47" t="str">
        <f t="shared" si="107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04:58:01-700',mode:absolute,to:'2017-01-08 07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5" s="49" t="str">
        <f t="shared" si="109"/>
        <v>N</v>
      </c>
      <c r="X155" s="173">
        <f t="shared" si="110"/>
        <v>1</v>
      </c>
      <c r="Y155" s="64">
        <f t="shared" si="111"/>
        <v>0.10249999999999999</v>
      </c>
      <c r="Z155" s="64">
        <f t="shared" si="112"/>
        <v>5.8929</v>
      </c>
      <c r="AA155" s="64">
        <f t="shared" si="113"/>
        <v>5.7904</v>
      </c>
      <c r="AB155" s="61" t="e">
        <f>VLOOKUP(A155,Enforcements!$C$7:$K$18,8,0)</f>
        <v>#N/A</v>
      </c>
      <c r="AC155" s="57" t="e">
        <f>VLOOKUP(A155,Enforcements!$C$7:$E$18,3,0)</f>
        <v>#N/A</v>
      </c>
      <c r="AD155" s="58" t="str">
        <f t="shared" si="114"/>
        <v>1801-08</v>
      </c>
      <c r="AE155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55" s="84" t="str">
        <f t="shared" si="116"/>
        <v>"C:\Program Files (x86)\AstroGrep\AstroGrep.exe" /spath="%USERPROFILE%\AppData\Local\Temp\OnboardLogs" /stypes="app*4044*20170108*" /stext=" 13:.+((SYSTEM_STATE.+slice.+state.+changed )|(ment ac)|(multiple cpu faults)|(system.+state.+changed )|(\[timeout)|(PRM\|1\|D)|(kpr)|(kdp)|(\|lc)|(penalty))" /e /r /s</v>
      </c>
      <c r="AG155" s="1" t="str">
        <f t="shared" si="117"/>
        <v>NW</v>
      </c>
      <c r="AH155" s="88" t="str">
        <f t="shared" si="118"/>
        <v>"%USERPROFILE%\Documents\GitHub\eaglep3\Utilities\RefineRTDCRunTimes.py" --tripid 1801-08 --locoid 4044 --swversion DE.1.0.8.0 --startMP 204:1025 --initTime 2017-01-08T05:58:01 --startdatetime 2017-01-08T06:21:18 --delay 0 --endMP 300:58929 --enddatetime 2017-01-08T06:34:52 --enforcementcount 0 &gt;&gt;C:\Users\stu\Documents\GitHub\eaglep3-reporting\EC\2017-01-08-refined-times.txt</v>
      </c>
      <c r="AI155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{"issue":{"subject":"","project_id":79,"tracker_id":40,"status_id":1,"priority_id":2,"assigned_to_id":23,"start_date":"2017-01-08","description":"","custom_fields":[{"id":1,"name":"Subdivision","value":"NW"},{"id":4,"name":"Milepost","value":"5.8929"},{"id":17,"name":"Train ID","value":"1801-08"},{"id":16,"name":"Locomotive ID","value":"4044"},{"id":130,"name":"Impact","value":""},{"id":150,"name":"Time of Event (Mountain Time)","value":"06:34:52"},{"id":151,"name":"Denver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120"/>
        <v>start /low /b %USERPROFILE%\Documents\GitHub\eaglep3\Utilities\DownloadLogsFromS3.py --loco 4044 --day 2017-01-08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467</v>
      </c>
      <c r="B156" s="7">
        <v>4043</v>
      </c>
      <c r="C156" s="22" t="s">
        <v>203</v>
      </c>
      <c r="D156" s="22" t="s">
        <v>408</v>
      </c>
      <c r="E156" s="13">
        <v>42743.276261574072</v>
      </c>
      <c r="F156" s="13">
        <v>42743.277569444443</v>
      </c>
      <c r="G156" s="7">
        <v>1</v>
      </c>
      <c r="H156" s="22" t="s">
        <v>703</v>
      </c>
      <c r="I156" s="13">
        <v>42743.287893518522</v>
      </c>
      <c r="J156" s="7">
        <v>0</v>
      </c>
      <c r="K156" s="105" t="str">
        <f t="shared" si="103"/>
        <v>4043/4044</v>
      </c>
      <c r="L156" s="22" t="str">
        <f>VLOOKUP(A156,'Trips&amp;Operators'!$C$1:$G$99999,5,FALSE)</f>
        <v>YORK EDGAR</v>
      </c>
      <c r="M156" s="6">
        <f t="shared" si="104"/>
        <v>1.0324074079107959E-2</v>
      </c>
      <c r="N156" s="7">
        <f t="shared" si="105"/>
        <v>14.866666673915461</v>
      </c>
      <c r="O156" s="7"/>
      <c r="P156" s="7"/>
      <c r="Q156" s="23"/>
      <c r="R156" s="23"/>
      <c r="S156" s="32">
        <f t="shared" si="106"/>
        <v>1</v>
      </c>
      <c r="T156" s="47" t="str">
        <f t="shared" si="107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05:37:49-700',mode:absolute,to:'2017-01-08 07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6" s="49" t="str">
        <f t="shared" si="109"/>
        <v>N</v>
      </c>
      <c r="X156" s="173">
        <f t="shared" si="110"/>
        <v>1</v>
      </c>
      <c r="Y156" s="64">
        <f t="shared" si="111"/>
        <v>5.8623000000000003</v>
      </c>
      <c r="Z156" s="64">
        <f t="shared" si="112"/>
        <v>7.5399999999999995E-2</v>
      </c>
      <c r="AA156" s="64">
        <f t="shared" si="113"/>
        <v>5.7869000000000002</v>
      </c>
      <c r="AB156" s="61" t="e">
        <f>VLOOKUP(A156,Enforcements!$C$7:$K$18,8,0)</f>
        <v>#N/A</v>
      </c>
      <c r="AC156" s="57" t="e">
        <f>VLOOKUP(A156,Enforcements!$C$7:$E$18,3,0)</f>
        <v>#N/A</v>
      </c>
      <c r="AD156" s="58" t="str">
        <f t="shared" si="114"/>
        <v>1802-08</v>
      </c>
      <c r="AE156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56" s="84" t="str">
        <f t="shared" si="116"/>
        <v>"C:\Program Files (x86)\AstroGrep\AstroGrep.exe" /spath="%USERPROFILE%\AppData\Local\Temp\OnboardLogs" /stypes="app*4043*20170108*" /stext=" 13:.+((SYSTEM_STATE.+slice.+state.+changed )|(ment ac)|(multiple cpu faults)|(system.+state.+changed )|(\[timeout)|(PRM\|1\|D)|(kpr)|(kdp)|(\|lc)|(penalty))" /e /r /s</v>
      </c>
      <c r="AG156" s="1" t="str">
        <f t="shared" si="117"/>
        <v>NW</v>
      </c>
      <c r="AH156" s="88" t="str">
        <f t="shared" si="118"/>
        <v>"%USERPROFILE%\Documents\GitHub\eaglep3\Utilities\RefineRTDCRunTimes.py" --tripid 1802-08 --locoid 4043 --swversion DE.1.0.8.0 --startMP 300:58623 --initTime 2017-01-08T06:37:49 --startdatetime 2017-01-08T06:39:42 --delay 1 --endMP 204:754 --enddatetime 2017-01-08T06:54:34 --enforcementcount 0 &gt;&gt;C:\Users\stu\Documents\GitHub\eaglep3-reporting\EC\2017-01-08-refined-times.txt</v>
      </c>
      <c r="AI156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{"issue":{"subject":"","project_id":79,"tracker_id":40,"status_id":1,"priority_id":2,"assigned_to_id":23,"start_date":"2017-01-08","description":"","custom_fields":[{"id":1,"name":"Subdivision","value":"NW"},{"id":4,"name":"Milepost","value":"0.0754"},{"id":17,"name":"Train ID","value":"1802-08"},{"id":16,"name":"Locomotive ID","value":"4043"},{"id":130,"name":"Impact","value":""},{"id":150,"name":"Time of Event (Mountain Time)","value":"06:54:34"},{"id":151,"name":"Denver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120"/>
        <v>start /low /b %USERPROFILE%\Documents\GitHub\eaglep3\Utilities\DownloadLogsFromS3.py --loco 4043 --day 2017-01-08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4" t="s">
        <v>470</v>
      </c>
      <c r="B157" s="7">
        <v>4044</v>
      </c>
      <c r="C157" s="22" t="s">
        <v>203</v>
      </c>
      <c r="D157" s="22" t="s">
        <v>704</v>
      </c>
      <c r="E157" s="13">
        <v>42743.289097222223</v>
      </c>
      <c r="F157" s="13">
        <v>42743.306585648148</v>
      </c>
      <c r="G157" s="7">
        <v>1</v>
      </c>
      <c r="H157" s="22" t="s">
        <v>288</v>
      </c>
      <c r="I157" s="13">
        <v>42743.316736111112</v>
      </c>
      <c r="J157" s="7">
        <v>0</v>
      </c>
      <c r="K157" s="105" t="str">
        <f t="shared" si="103"/>
        <v>4043/4044</v>
      </c>
      <c r="L157" s="22" t="str">
        <f>VLOOKUP(A157,'Trips&amp;Operators'!$C$1:$G$99999,5,FALSE)</f>
        <v>YORK EDGAR</v>
      </c>
      <c r="M157" s="6">
        <f t="shared" si="104"/>
        <v>1.0150462963792961E-2</v>
      </c>
      <c r="N157" s="7">
        <f t="shared" si="105"/>
        <v>14.616666667861864</v>
      </c>
      <c r="O157" s="7"/>
      <c r="P157" s="7"/>
      <c r="Q157" s="23"/>
      <c r="R157" s="23"/>
      <c r="S157" s="32">
        <f t="shared" si="106"/>
        <v>1</v>
      </c>
      <c r="T157" s="47" t="str">
        <f t="shared" si="107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05:56:18-700',mode:absolute,to:'2017-01-08 08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7" s="49" t="str">
        <f t="shared" si="109"/>
        <v>N</v>
      </c>
      <c r="X157" s="173">
        <f t="shared" si="110"/>
        <v>1</v>
      </c>
      <c r="Y157" s="64">
        <f t="shared" si="111"/>
        <v>0.1032</v>
      </c>
      <c r="Z157" s="64">
        <f t="shared" si="112"/>
        <v>5.8930999999999996</v>
      </c>
      <c r="AA157" s="64">
        <f t="shared" si="113"/>
        <v>5.7898999999999994</v>
      </c>
      <c r="AB157" s="61" t="e">
        <f>VLOOKUP(A157,Enforcements!$C$7:$K$18,8,0)</f>
        <v>#N/A</v>
      </c>
      <c r="AC157" s="57" t="e">
        <f>VLOOKUP(A157,Enforcements!$C$7:$E$18,3,0)</f>
        <v>#N/A</v>
      </c>
      <c r="AD157" s="58" t="str">
        <f t="shared" si="114"/>
        <v>1803-08</v>
      </c>
      <c r="AE157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57" s="84" t="str">
        <f t="shared" si="116"/>
        <v>"C:\Program Files (x86)\AstroGrep\AstroGrep.exe" /spath="%USERPROFILE%\AppData\Local\Temp\OnboardLogs" /stypes="app*4044*20170108*" /stext=" 14:.+((SYSTEM_STATE.+slice.+state.+changed )|(ment ac)|(multiple cpu faults)|(system.+state.+changed )|(\[timeout)|(PRM\|1\|D)|(kpr)|(kdp)|(\|lc)|(penalty))" /e /r /s</v>
      </c>
      <c r="AG157" s="1" t="str">
        <f t="shared" si="117"/>
        <v>NW</v>
      </c>
      <c r="AH157" s="88" t="str">
        <f t="shared" si="118"/>
        <v>"%USERPROFILE%\Documents\GitHub\eaglep3\Utilities\RefineRTDCRunTimes.py" --tripid 1803-08 --locoid 4044 --swversion DE.1.0.8.0 --startMP 204:1032 --initTime 2017-01-08T06:56:18 --startdatetime 2017-01-08T07:21:29 --delay 1 --endMP 300:58931 --enddatetime 2017-01-08T07:36:06 --enforcementcount 0 &gt;&gt;C:\Users\stu\Documents\GitHub\eaglep3-reporting\EC\2017-01-08-refined-times.txt</v>
      </c>
      <c r="AI157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{"issue":{"subject":"","project_id":79,"tracker_id":40,"status_id":1,"priority_id":2,"assigned_to_id":23,"start_date":"2017-01-08","description":"","custom_fields":[{"id":1,"name":"Subdivision","value":"NW"},{"id":4,"name":"Milepost","value":"5.8931"},{"id":17,"name":"Train ID","value":"1803-08"},{"id":16,"name":"Locomotive ID","value":"4044"},{"id":130,"name":"Impact","value":""},{"id":150,"name":"Time of Event (Mountain Time)","value":"07:36:06"},{"id":151,"name":"Denver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120"/>
        <v>start /low /b %USERPROFILE%\Documents\GitHub\eaglep3\Utilities\DownloadLogsFromS3.py --loco 4044 --day 2017-01-08</v>
      </c>
    </row>
    <row r="158" spans="1:91" s="21" customFormat="1" x14ac:dyDescent="0.25">
      <c r="A158" s="34" t="s">
        <v>476</v>
      </c>
      <c r="B158" s="7">
        <v>4043</v>
      </c>
      <c r="C158" s="22" t="s">
        <v>203</v>
      </c>
      <c r="D158" s="22" t="s">
        <v>404</v>
      </c>
      <c r="E158" s="13">
        <v>42743.318009259259</v>
      </c>
      <c r="F158" s="13">
        <v>42743.3203125</v>
      </c>
      <c r="G158" s="7">
        <v>2</v>
      </c>
      <c r="H158" s="22" t="s">
        <v>705</v>
      </c>
      <c r="I158" s="13">
        <v>42743.330046296294</v>
      </c>
      <c r="J158" s="7">
        <v>0</v>
      </c>
      <c r="K158" s="105" t="str">
        <f t="shared" si="103"/>
        <v>4043/4044</v>
      </c>
      <c r="L158" s="22" t="str">
        <f>VLOOKUP(A158,'Trips&amp;Operators'!$C$1:$G$99999,5,FALSE)</f>
        <v>YORK EDGAR</v>
      </c>
      <c r="M158" s="6">
        <f t="shared" si="104"/>
        <v>9.7337962943129241E-3</v>
      </c>
      <c r="N158" s="7">
        <f t="shared" si="105"/>
        <v>14.016666663810611</v>
      </c>
      <c r="O158" s="7"/>
      <c r="P158" s="7"/>
      <c r="Q158" s="23"/>
      <c r="R158" s="23"/>
      <c r="S158" s="32">
        <f t="shared" si="106"/>
        <v>1</v>
      </c>
      <c r="T158" s="47" t="str">
        <f t="shared" si="107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06:37:56-700',mode:absolute,to:'2017-01-08 08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8" s="49" t="str">
        <f t="shared" si="109"/>
        <v>N</v>
      </c>
      <c r="X158" s="173">
        <f t="shared" si="110"/>
        <v>1</v>
      </c>
      <c r="Y158" s="64">
        <f t="shared" si="111"/>
        <v>5.8630000000000004</v>
      </c>
      <c r="Z158" s="64">
        <f t="shared" si="112"/>
        <v>7.3999999999999996E-2</v>
      </c>
      <c r="AA158" s="64">
        <f t="shared" si="113"/>
        <v>5.7890000000000006</v>
      </c>
      <c r="AB158" s="61" t="e">
        <f>VLOOKUP(A158,Enforcements!$C$7:$K$18,8,0)</f>
        <v>#N/A</v>
      </c>
      <c r="AC158" s="57" t="e">
        <f>VLOOKUP(A158,Enforcements!$C$7:$E$18,3,0)</f>
        <v>#N/A</v>
      </c>
      <c r="AD158" s="58" t="str">
        <f t="shared" si="114"/>
        <v>1804-08</v>
      </c>
      <c r="AE158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58" s="84" t="str">
        <f t="shared" si="116"/>
        <v>"C:\Program Files (x86)\AstroGrep\AstroGrep.exe" /spath="%USERPROFILE%\AppData\Local\Temp\OnboardLogs" /stypes="app*4043*20170108*" /stext=" 14:.+((SYSTEM_STATE.+slice.+state.+changed )|(ment ac)|(multiple cpu faults)|(system.+state.+changed )|(\[timeout)|(PRM\|1\|D)|(kpr)|(kdp)|(\|lc)|(penalty))" /e /r /s</v>
      </c>
      <c r="AG158" s="1" t="str">
        <f t="shared" si="117"/>
        <v>NW</v>
      </c>
      <c r="AH158" s="88" t="str">
        <f t="shared" si="118"/>
        <v>"%USERPROFILE%\Documents\GitHub\eaglep3\Utilities\RefineRTDCRunTimes.py" --tripid 1804-08 --locoid 4043 --swversion DE.1.0.8.0 --startMP 300:58630 --initTime 2017-01-08T07:37:56 --startdatetime 2017-01-08T07:41:15 --delay 2 --endMP 204:740 --enddatetime 2017-01-08T07:55:16 --enforcementcount 0 &gt;&gt;C:\Users\stu\Documents\GitHub\eaglep3-reporting\EC\2017-01-08-refined-times.txt</v>
      </c>
      <c r="AI158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{"issue":{"subject":"","project_id":79,"tracker_id":40,"status_id":1,"priority_id":2,"assigned_to_id":23,"start_date":"2017-01-08","description":"","custom_fields":[{"id":1,"name":"Subdivision","value":"NW"},{"id":4,"name":"Milepost","value":"0.074"},{"id":17,"name":"Train ID","value":"1804-08"},{"id":16,"name":"Locomotive ID","value":"4043"},{"id":130,"name":"Impact","value":""},{"id":150,"name":"Time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120"/>
        <v>start /low /b %USERPROFILE%\Documents\GitHub\eaglep3\Utilities\DownloadLogsFromS3.py --loco 4043 --day 2017-01-08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481</v>
      </c>
      <c r="B159" s="7">
        <v>4044</v>
      </c>
      <c r="C159" s="22" t="s">
        <v>203</v>
      </c>
      <c r="D159" s="22" t="s">
        <v>704</v>
      </c>
      <c r="E159" s="13">
        <v>42743.331585648149</v>
      </c>
      <c r="F159" s="13">
        <v>42743.348090277781</v>
      </c>
      <c r="G159" s="7">
        <v>1</v>
      </c>
      <c r="H159" s="22" t="s">
        <v>403</v>
      </c>
      <c r="I159" s="13">
        <v>42743.357835648145</v>
      </c>
      <c r="J159" s="7">
        <v>0</v>
      </c>
      <c r="K159" s="105" t="str">
        <f t="shared" si="103"/>
        <v>4043/4044</v>
      </c>
      <c r="L159" s="22" t="str">
        <f>VLOOKUP(A159,'Trips&amp;Operators'!$C$1:$G$99999,5,FALSE)</f>
        <v>YORK EDGAR</v>
      </c>
      <c r="M159" s="6">
        <f t="shared" si="104"/>
        <v>9.7453703638166189E-3</v>
      </c>
      <c r="N159" s="7">
        <f t="shared" si="105"/>
        <v>14.033333323895931</v>
      </c>
      <c r="O159" s="7"/>
      <c r="P159" s="7"/>
      <c r="Q159" s="23"/>
      <c r="R159" s="23"/>
      <c r="S159" s="32">
        <f t="shared" si="106"/>
        <v>1</v>
      </c>
      <c r="T159" s="47" t="str">
        <f t="shared" si="107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06:57:29-700',mode:absolute,to:'2017-01-08 09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9" s="49" t="str">
        <f t="shared" si="109"/>
        <v>N</v>
      </c>
      <c r="X159" s="173">
        <f t="shared" si="110"/>
        <v>1</v>
      </c>
      <c r="Y159" s="64">
        <f t="shared" si="111"/>
        <v>0.1032</v>
      </c>
      <c r="Z159" s="64">
        <f t="shared" si="112"/>
        <v>5.8935000000000004</v>
      </c>
      <c r="AA159" s="64">
        <f t="shared" si="113"/>
        <v>5.7903000000000002</v>
      </c>
      <c r="AB159" s="61" t="e">
        <f>VLOOKUP(A159,Enforcements!$C$7:$K$18,8,0)</f>
        <v>#N/A</v>
      </c>
      <c r="AC159" s="57" t="e">
        <f>VLOOKUP(A159,Enforcements!$C$7:$E$18,3,0)</f>
        <v>#N/A</v>
      </c>
      <c r="AD159" s="58" t="str">
        <f t="shared" si="114"/>
        <v>1805-08</v>
      </c>
      <c r="AE159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59" s="84" t="str">
        <f t="shared" si="116"/>
        <v>"C:\Program Files (x86)\AstroGrep\AstroGrep.exe" /spath="%USERPROFILE%\AppData\Local\Temp\OnboardLogs" /stypes="app*4044*20170108*" /stext=" 15:.+((SYSTEM_STATE.+slice.+state.+changed )|(ment ac)|(multiple cpu faults)|(system.+state.+changed )|(\[timeout)|(PRM\|1\|D)|(kpr)|(kdp)|(\|lc)|(penalty))" /e /r /s</v>
      </c>
      <c r="AG159" s="1" t="str">
        <f t="shared" si="117"/>
        <v>NW</v>
      </c>
      <c r="AH159" s="88" t="str">
        <f t="shared" si="118"/>
        <v>"%USERPROFILE%\Documents\GitHub\eaglep3\Utilities\RefineRTDCRunTimes.py" --tripid 1805-08 --locoid 4044 --swversion DE.1.0.8.0 --startMP 204:1032 --initTime 2017-01-08T07:57:29 --startdatetime 2017-01-08T08:21:15 --delay 1 --endMP 300:58935 --enddatetime 2017-01-08T08:35:17 --enforcementcount 0 &gt;&gt;C:\Users\stu\Documents\GitHub\eaglep3-reporting\EC\2017-01-08-refined-times.txt</v>
      </c>
      <c r="AI159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ID","value":"1805-08"},{"id":16,"name":"Locomotive ID","value":"4044"},{"id":130,"name":"Impact","value":""},{"id":150,"name":"Time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120"/>
        <v>start /low /b %USERPROFILE%\Documents\GitHub\eaglep3\Utilities\DownloadLogsFromS3.py --loco 4044 --day 2017-01-08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488</v>
      </c>
      <c r="B160" s="7">
        <v>4043</v>
      </c>
      <c r="C160" s="22" t="s">
        <v>203</v>
      </c>
      <c r="D160" s="22" t="s">
        <v>408</v>
      </c>
      <c r="E160" s="13">
        <v>42743.360289351855</v>
      </c>
      <c r="F160" s="13">
        <v>42743.36178240741</v>
      </c>
      <c r="G160" s="7">
        <v>0</v>
      </c>
      <c r="H160" s="22" t="s">
        <v>706</v>
      </c>
      <c r="I160" s="13">
        <v>42743.371412037035</v>
      </c>
      <c r="J160" s="7">
        <v>0</v>
      </c>
      <c r="K160" s="105" t="str">
        <f t="shared" si="103"/>
        <v>4043/4044</v>
      </c>
      <c r="L160" s="22" t="str">
        <f>VLOOKUP(A160,'Trips&amp;Operators'!$C$1:$G$99999,5,FALSE)</f>
        <v>YORK EDGAR</v>
      </c>
      <c r="M160" s="6">
        <f t="shared" si="104"/>
        <v>9.6296296251239255E-3</v>
      </c>
      <c r="N160" s="7">
        <f t="shared" si="105"/>
        <v>13.866666660178453</v>
      </c>
      <c r="O160" s="7"/>
      <c r="P160" s="7"/>
      <c r="Q160" s="23"/>
      <c r="R160" s="23"/>
      <c r="S160" s="32">
        <f t="shared" si="106"/>
        <v>1</v>
      </c>
      <c r="T160" s="47" t="str">
        <f t="shared" si="107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07:38:49-700',mode:absolute,to:'2017-01-08 09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0" s="49" t="str">
        <f t="shared" si="109"/>
        <v>N</v>
      </c>
      <c r="X160" s="173">
        <f t="shared" si="110"/>
        <v>1</v>
      </c>
      <c r="Y160" s="64">
        <f t="shared" si="111"/>
        <v>5.8623000000000003</v>
      </c>
      <c r="Z160" s="64">
        <f t="shared" si="112"/>
        <v>7.5700000000000003E-2</v>
      </c>
      <c r="AA160" s="64">
        <f t="shared" si="113"/>
        <v>5.7866</v>
      </c>
      <c r="AB160" s="61" t="e">
        <f>VLOOKUP(A160,Enforcements!$C$7:$K$18,8,0)</f>
        <v>#N/A</v>
      </c>
      <c r="AC160" s="57" t="e">
        <f>VLOOKUP(A160,Enforcements!$C$7:$E$18,3,0)</f>
        <v>#N/A</v>
      </c>
      <c r="AD160" s="58" t="str">
        <f t="shared" si="114"/>
        <v>1806-08</v>
      </c>
      <c r="AE160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0" s="84" t="str">
        <f t="shared" si="116"/>
        <v>"C:\Program Files (x86)\AstroGrep\AstroGrep.exe" /spath="%USERPROFILE%\AppData\Local\Temp\OnboardLogs" /stypes="app*4043*20170108*" /stext=" 15:.+((SYSTEM_STATE.+slice.+state.+changed )|(ment ac)|(multiple cpu faults)|(system.+state.+changed )|(\[timeout)|(PRM\|1\|D)|(kpr)|(kdp)|(\|lc)|(penalty))" /e /r /s</v>
      </c>
      <c r="AG160" s="1" t="str">
        <f t="shared" si="117"/>
        <v>NW</v>
      </c>
      <c r="AH160" s="88" t="str">
        <f t="shared" si="118"/>
        <v>"%USERPROFILE%\Documents\GitHub\eaglep3\Utilities\RefineRTDCRunTimes.py" --tripid 1806-08 --locoid 4043 --swversion DE.1.0.8.0 --startMP 300:58623 --initTime 2017-01-08T08:38:49 --startdatetime 2017-01-08T08:40:58 --delay 0 --endMP 204:757 --enddatetime 2017-01-08T08:54:50 --enforcementcount 0 &gt;&gt;C:\Users\stu\Documents\GitHub\eaglep3-reporting\EC\2017-01-08-refined-times.txt</v>
      </c>
      <c r="AI160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{"issue":{"subject":"","project_id":79,"tracker_id":40,"status_id":1,"priority_id":2,"assigned_to_id":23,"start_date":"2017-01-08","description":"","custom_fields":[{"id":1,"name":"Subdivision","value":"NW"},{"id":4,"name":"Milepost","value":"0.0757"},{"id":17,"name":"Train ID","value":"1806-08"},{"id":16,"name":"Locomotive ID","value":"4043"},{"id":130,"name":"Impact","value":""},{"id":150,"name":"Time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120"/>
        <v>start /low /b %USERPROFILE%\Documents\GitHub\eaglep3\Utilities\DownloadLogsFromS3.py --loco 4043 --day 2017-01-08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493</v>
      </c>
      <c r="B161" s="7">
        <v>4044</v>
      </c>
      <c r="C161" s="22" t="s">
        <v>203</v>
      </c>
      <c r="D161" s="22" t="s">
        <v>707</v>
      </c>
      <c r="E161" s="13">
        <v>42743.376018518517</v>
      </c>
      <c r="F161" s="13">
        <v>42743.390243055554</v>
      </c>
      <c r="G161" s="7">
        <v>1</v>
      </c>
      <c r="H161" s="22" t="s">
        <v>406</v>
      </c>
      <c r="I161" s="13">
        <v>42743.399525462963</v>
      </c>
      <c r="J161" s="7">
        <v>0</v>
      </c>
      <c r="K161" s="105" t="str">
        <f t="shared" si="103"/>
        <v>4043/4044</v>
      </c>
      <c r="L161" s="22" t="str">
        <f>VLOOKUP(A161,'Trips&amp;Operators'!$C$1:$G$99999,5,FALSE)</f>
        <v>YORK EDGAR</v>
      </c>
      <c r="M161" s="6">
        <f t="shared" si="104"/>
        <v>9.2824074090458453E-3</v>
      </c>
      <c r="N161" s="7">
        <f t="shared" si="105"/>
        <v>13.366666669026017</v>
      </c>
      <c r="O161" s="7"/>
      <c r="P161" s="7"/>
      <c r="Q161" s="23"/>
      <c r="R161" s="23"/>
      <c r="S161" s="32">
        <f t="shared" si="106"/>
        <v>1</v>
      </c>
      <c r="T161" s="47" t="str">
        <f t="shared" si="107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08:01:28-700',mode:absolute,to:'2017-01-08 10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1" s="49" t="str">
        <f t="shared" si="109"/>
        <v>N</v>
      </c>
      <c r="X161" s="173">
        <f t="shared" si="110"/>
        <v>1</v>
      </c>
      <c r="Y161" s="64">
        <f t="shared" si="111"/>
        <v>0.1037</v>
      </c>
      <c r="Z161" s="64">
        <f t="shared" si="112"/>
        <v>5.8936999999999999</v>
      </c>
      <c r="AA161" s="64">
        <f t="shared" si="113"/>
        <v>5.79</v>
      </c>
      <c r="AB161" s="61" t="e">
        <f>VLOOKUP(A161,Enforcements!$C$7:$K$18,8,0)</f>
        <v>#N/A</v>
      </c>
      <c r="AC161" s="57" t="e">
        <f>VLOOKUP(A161,Enforcements!$C$7:$E$18,3,0)</f>
        <v>#N/A</v>
      </c>
      <c r="AD161" s="58" t="str">
        <f t="shared" si="114"/>
        <v>1807-08</v>
      </c>
      <c r="AE161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1" s="84" t="str">
        <f t="shared" si="116"/>
        <v>"C:\Program Files (x86)\AstroGrep\AstroGrep.exe" /spath="%USERPROFILE%\AppData\Local\Temp\OnboardLogs" /stypes="app*4044*20170108*" /stext=" 16:.+((SYSTEM_STATE.+slice.+state.+changed )|(ment ac)|(multiple cpu faults)|(system.+state.+changed )|(\[timeout)|(PRM\|1\|D)|(kpr)|(kdp)|(\|lc)|(penalty))" /e /r /s</v>
      </c>
      <c r="AG161" s="1" t="str">
        <f t="shared" si="117"/>
        <v>NW</v>
      </c>
      <c r="AH161" s="88" t="str">
        <f t="shared" si="118"/>
        <v>"%USERPROFILE%\Documents\GitHub\eaglep3\Utilities\RefineRTDCRunTimes.py" --tripid 1807-08 --locoid 4044 --swversion DE.1.0.8.0 --startMP 204:1037 --initTime 2017-01-08T09:01:28 --startdatetime 2017-01-08T09:21:57 --delay 1 --endMP 300:58937 --enddatetime 2017-01-08T09:35:19 --enforcementcount 0 &gt;&gt;C:\Users\stu\Documents\GitHub\eaglep3-reporting\EC\2017-01-08-refined-times.txt</v>
      </c>
      <c r="AI161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{"issue":{"subject":"","project_id":79,"tracker_id":40,"status_id":1,"priority_id":2,"assigned_to_id":23,"start_date":"2017-01-08","description":"","custom_fields":[{"id":1,"name":"Subdivision","value":"NW"},{"id":4,"name":"Milepost","value":"5.8937"},{"id":17,"name":"Train ID","value":"1807-08"},{"id":16,"name":"Locomotive ID","value":"4044"},{"id":130,"name":"Impact","value":""},{"id":150,"name":"Time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120"/>
        <v>start /low /b %USERPROFILE%\Documents\GitHub\eaglep3\Utilities\DownloadLogsFromS3.py --loco 4044 --day 2017-01-08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497</v>
      </c>
      <c r="B162" s="7">
        <v>4043</v>
      </c>
      <c r="C162" s="22" t="s">
        <v>203</v>
      </c>
      <c r="D162" s="22" t="s">
        <v>404</v>
      </c>
      <c r="E162" s="13">
        <v>42743.400694444441</v>
      </c>
      <c r="F162" s="13">
        <v>42743.402465277781</v>
      </c>
      <c r="G162" s="7">
        <v>1</v>
      </c>
      <c r="H162" s="22" t="s">
        <v>708</v>
      </c>
      <c r="I162" s="13">
        <v>42743.41300925926</v>
      </c>
      <c r="J162" s="7">
        <v>0</v>
      </c>
      <c r="K162" s="105" t="str">
        <f t="shared" si="103"/>
        <v>4043/4044</v>
      </c>
      <c r="L162" s="22" t="str">
        <f>VLOOKUP(A162,'Trips&amp;Operators'!$C$1:$G$99999,5,FALSE)</f>
        <v>YORK EDGAR</v>
      </c>
      <c r="M162" s="6">
        <f t="shared" si="104"/>
        <v>1.0543981479713693E-2</v>
      </c>
      <c r="N162" s="7">
        <f t="shared" si="105"/>
        <v>15.183333330787718</v>
      </c>
      <c r="O162" s="7"/>
      <c r="P162" s="7"/>
      <c r="Q162" s="23"/>
      <c r="R162" s="23"/>
      <c r="S162" s="32">
        <f t="shared" si="106"/>
        <v>1</v>
      </c>
      <c r="T162" s="47" t="str">
        <f t="shared" si="107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08:37:00-700',mode:absolute,to:'2017-01-08 10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2" s="49" t="str">
        <f t="shared" si="109"/>
        <v>N</v>
      </c>
      <c r="X162" s="173">
        <f t="shared" si="110"/>
        <v>1</v>
      </c>
      <c r="Y162" s="64">
        <f t="shared" si="111"/>
        <v>5.8630000000000004</v>
      </c>
      <c r="Z162" s="64">
        <f t="shared" si="112"/>
        <v>7.3599999999999999E-2</v>
      </c>
      <c r="AA162" s="64">
        <f t="shared" si="113"/>
        <v>5.7894000000000005</v>
      </c>
      <c r="AB162" s="61" t="e">
        <f>VLOOKUP(A162,Enforcements!$C$7:$K$18,8,0)</f>
        <v>#N/A</v>
      </c>
      <c r="AC162" s="57" t="e">
        <f>VLOOKUP(A162,Enforcements!$C$7:$E$18,3,0)</f>
        <v>#N/A</v>
      </c>
      <c r="AD162" s="58" t="str">
        <f t="shared" si="114"/>
        <v>1808-08</v>
      </c>
      <c r="AE162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2" s="84" t="str">
        <f t="shared" si="116"/>
        <v>"C:\Program Files (x86)\AstroGrep\AstroGrep.exe" /spath="%USERPROFILE%\AppData\Local\Temp\OnboardLogs" /stypes="app*4043*20170108*" /stext=" 16:.+((SYSTEM_STATE.+slice.+state.+changed )|(ment ac)|(multiple cpu faults)|(system.+state.+changed )|(\[timeout)|(PRM\|1\|D)|(kpr)|(kdp)|(\|lc)|(penalty))" /e /r /s</v>
      </c>
      <c r="AG162" s="1" t="str">
        <f t="shared" si="117"/>
        <v>NW</v>
      </c>
      <c r="AH162" s="88" t="str">
        <f t="shared" si="118"/>
        <v>"%USERPROFILE%\Documents\GitHub\eaglep3\Utilities\RefineRTDCRunTimes.py" --tripid 1808-08 --locoid 4043 --swversion DE.1.0.8.0 --startMP 300:58630 --initTime 2017-01-08T09:37:00 --startdatetime 2017-01-08T09:39:33 --delay 1 --endMP 204:736 --enddatetime 2017-01-08T09:54:44 --enforcementcount 0 &gt;&gt;C:\Users\stu\Documents\GitHub\eaglep3-reporting\EC\2017-01-08-refined-times.txt</v>
      </c>
      <c r="AI162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{"issue":{"subject":"","project_id":79,"tracker_id":40,"status_id":1,"priority_id":2,"assigned_to_id":23,"start_date":"2017-01-08","description":"","custom_fields":[{"id":1,"name":"Subdivision","value":"NW"},{"id":4,"name":"Milepost","value":"0.0736"},{"id":17,"name":"Train ID","value":"1808-08"},{"id":16,"name":"Locomotive ID","value":"4043"},{"id":130,"name":"Impact","value":""},{"id":150,"name":"Time of Event (Mountain Time)","value":"09:54:44"},{"id":151,"name":"Denver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120"/>
        <v>start /low /b %USERPROFILE%\Documents\GitHub\eaglep3\Utilities\DownloadLogsFromS3.py --loco 4043 --day 2017-01-08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500</v>
      </c>
      <c r="B163" s="7">
        <v>4044</v>
      </c>
      <c r="C163" s="22" t="s">
        <v>203</v>
      </c>
      <c r="D163" s="22" t="s">
        <v>704</v>
      </c>
      <c r="E163" s="13">
        <v>42743.414201388892</v>
      </c>
      <c r="F163" s="13">
        <v>42743.431423611109</v>
      </c>
      <c r="G163" s="7">
        <v>1</v>
      </c>
      <c r="H163" s="22" t="s">
        <v>364</v>
      </c>
      <c r="I163" s="13">
        <v>42743.441006944442</v>
      </c>
      <c r="J163" s="7">
        <v>0</v>
      </c>
      <c r="K163" s="105" t="str">
        <f t="shared" si="103"/>
        <v>4043/4044</v>
      </c>
      <c r="L163" s="22" t="str">
        <f>VLOOKUP(A163,'Trips&amp;Operators'!$C$1:$G$99999,5,FALSE)</f>
        <v>YORK EDGAR</v>
      </c>
      <c r="M163" s="6">
        <f t="shared" si="104"/>
        <v>9.5833333325572312E-3</v>
      </c>
      <c r="N163" s="7">
        <f t="shared" si="105"/>
        <v>13.799999998882413</v>
      </c>
      <c r="O163" s="7"/>
      <c r="P163" s="7"/>
      <c r="Q163" s="23"/>
      <c r="R163" s="23"/>
      <c r="S163" s="32">
        <f t="shared" si="106"/>
        <v>1</v>
      </c>
      <c r="T163" s="47" t="str">
        <f t="shared" si="107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08:56:27-700',mode:absolute,to:'2017-01-08 11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3" s="49" t="str">
        <f t="shared" si="109"/>
        <v>N</v>
      </c>
      <c r="X163" s="173">
        <f t="shared" si="110"/>
        <v>1</v>
      </c>
      <c r="Y163" s="64">
        <f t="shared" si="111"/>
        <v>0.1032</v>
      </c>
      <c r="Z163" s="64">
        <f t="shared" si="112"/>
        <v>5.8933</v>
      </c>
      <c r="AA163" s="64">
        <f t="shared" si="113"/>
        <v>5.7900999999999998</v>
      </c>
      <c r="AB163" s="61" t="e">
        <f>VLOOKUP(A163,Enforcements!$C$7:$K$18,8,0)</f>
        <v>#N/A</v>
      </c>
      <c r="AC163" s="57" t="e">
        <f>VLOOKUP(A163,Enforcements!$C$7:$E$18,3,0)</f>
        <v>#N/A</v>
      </c>
      <c r="AD163" s="58" t="str">
        <f t="shared" si="114"/>
        <v>1809-08</v>
      </c>
      <c r="AE163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3" s="84" t="str">
        <f t="shared" si="116"/>
        <v>"C:\Program Files (x86)\AstroGrep\AstroGrep.exe" /spath="%USERPROFILE%\AppData\Local\Temp\OnboardLogs" /stypes="app*4044*20170108*" /stext=" 17:.+((SYSTEM_STATE.+slice.+state.+changed )|(ment ac)|(multiple cpu faults)|(system.+state.+changed )|(\[timeout)|(PRM\|1\|D)|(kpr)|(kdp)|(\|lc)|(penalty))" /e /r /s</v>
      </c>
      <c r="AG163" s="1" t="str">
        <f t="shared" si="117"/>
        <v>NW</v>
      </c>
      <c r="AH163" s="88" t="str">
        <f t="shared" si="118"/>
        <v>"%USERPROFILE%\Documents\GitHub\eaglep3\Utilities\RefineRTDCRunTimes.py" --tripid 1809-08 --locoid 4044 --swversion DE.1.0.8.0 --startMP 204:1032 --initTime 2017-01-08T09:56:27 --startdatetime 2017-01-08T10:21:15 --delay 1 --endMP 300:58933 --enddatetime 2017-01-08T10:35:03 --enforcementcount 0 &gt;&gt;C:\Users\stu\Documents\GitHub\eaglep3-reporting\EC\2017-01-08-refined-times.txt</v>
      </c>
      <c r="AI163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{"issue":{"subject":"","project_id":79,"tracker_id":40,"status_id":1,"priority_id":2,"assigned_to_id":23,"start_date":"2017-01-08","description":"","custom_fields":[{"id":1,"name":"Subdivision","value":"NW"},{"id":4,"name":"Milepost","value":"5.8933"},{"id":17,"name":"Train ID","value":"1809-08"},{"id":16,"name":"Locomotive ID","value":"4044"},{"id":130,"name":"Impact","value":""},{"id":150,"name":"Time of Event (Mountain Time)","value":"10:35:03"},{"id":151,"name":"Denver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120"/>
        <v>start /low /b %USERPROFILE%\Documents\GitHub\eaglep3\Utilities\DownloadLogsFromS3.py --loco 4044 --day 2017-01-08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512</v>
      </c>
      <c r="B164" s="7">
        <v>4043</v>
      </c>
      <c r="C164" s="22" t="s">
        <v>203</v>
      </c>
      <c r="D164" s="22" t="s">
        <v>408</v>
      </c>
      <c r="E164" s="13">
        <v>42743.443333333336</v>
      </c>
      <c r="F164" s="13">
        <v>42743.444502314815</v>
      </c>
      <c r="G164" s="7">
        <v>0</v>
      </c>
      <c r="H164" s="22" t="s">
        <v>700</v>
      </c>
      <c r="I164" s="13">
        <v>42743.454745370371</v>
      </c>
      <c r="J164" s="7">
        <v>0</v>
      </c>
      <c r="K164" s="105" t="str">
        <f t="shared" si="103"/>
        <v>4043/4044</v>
      </c>
      <c r="L164" s="22" t="str">
        <f>VLOOKUP(A164,'Trips&amp;Operators'!$C$1:$G$99999,5,FALSE)</f>
        <v>YORK EDGAR</v>
      </c>
      <c r="M164" s="6">
        <f t="shared" si="104"/>
        <v>1.0243055556202307E-2</v>
      </c>
      <c r="N164" s="7">
        <f t="shared" si="105"/>
        <v>14.750000000931323</v>
      </c>
      <c r="O164" s="7"/>
      <c r="P164" s="7"/>
      <c r="Q164" s="23"/>
      <c r="R164" s="23"/>
      <c r="S164" s="32">
        <f t="shared" si="106"/>
        <v>1</v>
      </c>
      <c r="T164" s="47" t="str">
        <f t="shared" si="107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09:38:24-700',mode:absolute,to:'2017-01-08 11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4" s="49" t="str">
        <f t="shared" si="109"/>
        <v>N</v>
      </c>
      <c r="X164" s="173">
        <f t="shared" si="110"/>
        <v>1</v>
      </c>
      <c r="Y164" s="64">
        <f t="shared" si="111"/>
        <v>5.8623000000000003</v>
      </c>
      <c r="Z164" s="64">
        <f t="shared" si="112"/>
        <v>7.4300000000000005E-2</v>
      </c>
      <c r="AA164" s="64">
        <f t="shared" si="113"/>
        <v>5.7880000000000003</v>
      </c>
      <c r="AB164" s="61" t="e">
        <f>VLOOKUP(A164,Enforcements!$C$7:$K$18,8,0)</f>
        <v>#N/A</v>
      </c>
      <c r="AC164" s="57" t="e">
        <f>VLOOKUP(A164,Enforcements!$C$7:$E$18,3,0)</f>
        <v>#N/A</v>
      </c>
      <c r="AD164" s="58" t="str">
        <f t="shared" si="114"/>
        <v>1810-08</v>
      </c>
      <c r="AE164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4" s="84" t="str">
        <f t="shared" si="116"/>
        <v>"C:\Program Files (x86)\AstroGrep\AstroGrep.exe" /spath="%USERPROFILE%\AppData\Local\Temp\OnboardLogs" /stypes="app*4043*20170108*" /stext=" 17:.+((SYSTEM_STATE.+slice.+state.+changed )|(ment ac)|(multiple cpu faults)|(system.+state.+changed )|(\[timeout)|(PRM\|1\|D)|(kpr)|(kdp)|(\|lc)|(penalty))" /e /r /s</v>
      </c>
      <c r="AG164" s="1" t="str">
        <f t="shared" si="117"/>
        <v>NW</v>
      </c>
      <c r="AH164" s="88" t="str">
        <f t="shared" si="118"/>
        <v>"%USERPROFILE%\Documents\GitHub\eaglep3\Utilities\RefineRTDCRunTimes.py" --tripid 1810-08 --locoid 4043 --swversion DE.1.0.8.0 --startMP 300:58623 --initTime 2017-01-08T10:38:24 --startdatetime 2017-01-08T10:40:05 --delay 0 --endMP 204:743 --enddatetime 2017-01-08T10:54:50 --enforcementcount 0 &gt;&gt;C:\Users\stu\Documents\GitHub\eaglep3-reporting\EC\2017-01-08-refined-times.txt</v>
      </c>
      <c r="AI164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{"issue":{"subject":"","project_id":79,"tracker_id":40,"status_id":1,"priority_id":2,"assigned_to_id":23,"start_date":"2017-01-08","description":"","custom_fields":[{"id":1,"name":"Subdivision","value":"NW"},{"id":4,"name":"Milepost","value":"0.0743"},{"id":17,"name":"Train ID","value":"1810-08"},{"id":16,"name":"Locomotive ID","value":"4043"},{"id":130,"name":"Impact","value":""},{"id":150,"name":"Time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120"/>
        <v>start /low /b %USERPROFILE%\Documents\GitHub\eaglep3\Utilities\DownloadLogsFromS3.py --loco 4043 --day 2017-01-08</v>
      </c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511</v>
      </c>
      <c r="B165" s="7">
        <v>4044</v>
      </c>
      <c r="C165" s="22" t="s">
        <v>203</v>
      </c>
      <c r="D165" s="22" t="s">
        <v>398</v>
      </c>
      <c r="E165" s="13">
        <v>42743.458460648151</v>
      </c>
      <c r="F165" s="13">
        <v>42743.473078703704</v>
      </c>
      <c r="G165" s="7">
        <v>0</v>
      </c>
      <c r="H165" s="22" t="s">
        <v>364</v>
      </c>
      <c r="I165" s="13">
        <v>42743.48228009259</v>
      </c>
      <c r="J165" s="7">
        <v>0</v>
      </c>
      <c r="K165" s="105" t="str">
        <f t="shared" si="103"/>
        <v>4043/4044</v>
      </c>
      <c r="L165" s="22" t="str">
        <f>VLOOKUP(A165,'Trips&amp;Operators'!$C$1:$G$99999,5,FALSE)</f>
        <v>YORK EDGAR</v>
      </c>
      <c r="M165" s="6">
        <f t="shared" si="104"/>
        <v>9.2013888861401938E-3</v>
      </c>
      <c r="N165" s="7">
        <f t="shared" si="105"/>
        <v>13.249999996041879</v>
      </c>
      <c r="O165" s="7"/>
      <c r="P165" s="7"/>
      <c r="Q165" s="23"/>
      <c r="R165" s="23"/>
      <c r="S165" s="32">
        <f t="shared" si="106"/>
        <v>1</v>
      </c>
      <c r="T165" s="47" t="str">
        <f t="shared" si="107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10:00:11-700',mode:absolute,to:'2017-01-08 12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49" t="str">
        <f t="shared" si="109"/>
        <v>N</v>
      </c>
      <c r="X165" s="173">
        <f t="shared" si="110"/>
        <v>1</v>
      </c>
      <c r="Y165" s="64">
        <f t="shared" si="111"/>
        <v>0.1018</v>
      </c>
      <c r="Z165" s="64">
        <f t="shared" si="112"/>
        <v>5.8933</v>
      </c>
      <c r="AA165" s="64">
        <f t="shared" si="113"/>
        <v>5.7915000000000001</v>
      </c>
      <c r="AB165" s="61" t="e">
        <f>VLOOKUP(A165,Enforcements!$C$7:$K$18,8,0)</f>
        <v>#N/A</v>
      </c>
      <c r="AC165" s="57" t="e">
        <f>VLOOKUP(A165,Enforcements!$C$7:$E$18,3,0)</f>
        <v>#N/A</v>
      </c>
      <c r="AD165" s="58" t="str">
        <f t="shared" si="114"/>
        <v>1811-08</v>
      </c>
      <c r="AE165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5" s="84" t="str">
        <f t="shared" si="116"/>
        <v>"C:\Program Files (x86)\AstroGrep\AstroGrep.exe" /spath="%USERPROFILE%\AppData\Local\Temp\OnboardLogs" /stypes="app*4044*20170108*" /stext=" 18:.+((SYSTEM_STATE.+slice.+state.+changed )|(ment ac)|(multiple cpu faults)|(system.+state.+changed )|(\[timeout)|(PRM\|1\|D)|(kpr)|(kdp)|(\|lc)|(penalty))" /e /r /s</v>
      </c>
      <c r="AG165" s="1" t="str">
        <f t="shared" si="117"/>
        <v>NW</v>
      </c>
      <c r="AH165" s="88" t="str">
        <f t="shared" si="118"/>
        <v>"%USERPROFILE%\Documents\GitHub\eaglep3\Utilities\RefineRTDCRunTimes.py" --tripid 1811-08 --locoid 4044 --swversion DE.1.0.8.0 --startMP 204:1018 --initTime 2017-01-08T11:00:11 --startdatetime 2017-01-08T11:21:14 --delay 0 --endMP 300:58933 --enddatetime 2017-01-08T11:34:29 --enforcementcount 0 &gt;&gt;C:\Users\stu\Documents\GitHub\eaglep3-reporting\EC\2017-01-08-refined-times.txt</v>
      </c>
      <c r="AI165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{"issue":{"subject":"","project_id":79,"tracker_id":40,"status_id":1,"priority_id":2,"assigned_to_id":23,"start_date":"2017-01-08","description":"","custom_fields":[{"id":1,"name":"Subdivision","value":"NW"},{"id":4,"name":"Milepost","value":"5.8933"},{"id":17,"name":"Train ID","value":"1811-08"},{"id":16,"name":"Locomotive ID","value":"4044"},{"id":130,"name":"Impact","value":""},{"id":150,"name":"Time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120"/>
        <v>start /low /b %USERPROFILE%\Documents\GitHub\eaglep3\Utilities\DownloadLogsFromS3.py --loco 4044 --day 2017-01-08</v>
      </c>
    </row>
    <row r="166" spans="1:91" x14ac:dyDescent="0.25">
      <c r="A166" s="34" t="s">
        <v>524</v>
      </c>
      <c r="B166" s="7">
        <v>4043</v>
      </c>
      <c r="C166" s="22" t="s">
        <v>203</v>
      </c>
      <c r="D166" s="22" t="s">
        <v>337</v>
      </c>
      <c r="E166" s="13">
        <v>42743.483506944445</v>
      </c>
      <c r="F166" s="13">
        <v>42743.484780092593</v>
      </c>
      <c r="G166" s="7">
        <v>1</v>
      </c>
      <c r="H166" s="22" t="s">
        <v>710</v>
      </c>
      <c r="I166" s="13">
        <v>42743.496168981481</v>
      </c>
      <c r="J166" s="7">
        <v>0</v>
      </c>
      <c r="K166" s="105" t="str">
        <f t="shared" si="103"/>
        <v>4043/4044</v>
      </c>
      <c r="L166" s="22" t="str">
        <f>VLOOKUP(A166,'Trips&amp;Operators'!$C$1:$G$99999,5,FALSE)</f>
        <v>YORK EDGAR</v>
      </c>
      <c r="M166" s="6">
        <f t="shared" si="104"/>
        <v>1.1388888888177462E-2</v>
      </c>
      <c r="N166" s="7">
        <f t="shared" si="105"/>
        <v>16.399999998975545</v>
      </c>
      <c r="O166" s="7"/>
      <c r="P166" s="7"/>
      <c r="Q166" s="23"/>
      <c r="R166" s="23"/>
      <c r="S166" s="32">
        <f t="shared" si="106"/>
        <v>1</v>
      </c>
      <c r="T166" s="47" t="str">
        <f t="shared" si="107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10:36:15-700',mode:absolute,to:'2017-01-08 12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49" t="str">
        <f t="shared" si="109"/>
        <v>N</v>
      </c>
      <c r="X166" s="173">
        <f t="shared" si="110"/>
        <v>1</v>
      </c>
      <c r="Y166" s="64">
        <f t="shared" si="111"/>
        <v>5.8616999999999999</v>
      </c>
      <c r="Z166" s="64">
        <f t="shared" si="112"/>
        <v>7.3099999999999998E-2</v>
      </c>
      <c r="AA166" s="64">
        <f t="shared" si="113"/>
        <v>5.7885999999999997</v>
      </c>
      <c r="AB166" s="61" t="e">
        <f>VLOOKUP(A166,Enforcements!$C$7:$K$18,8,0)</f>
        <v>#N/A</v>
      </c>
      <c r="AC166" s="57" t="e">
        <f>VLOOKUP(A166,Enforcements!$C$7:$E$18,3,0)</f>
        <v>#N/A</v>
      </c>
      <c r="AD166" s="58" t="str">
        <f t="shared" si="114"/>
        <v>1812-08</v>
      </c>
      <c r="AE166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6" s="84" t="str">
        <f t="shared" si="116"/>
        <v>"C:\Program Files (x86)\AstroGrep\AstroGrep.exe" /spath="%USERPROFILE%\AppData\Local\Temp\OnboardLogs" /stypes="app*4043*20170108*" /stext=" 18:.+((SYSTEM_STATE.+slice.+state.+changed )|(ment ac)|(multiple cpu faults)|(system.+state.+changed )|(\[timeout)|(PRM\|1\|D)|(kpr)|(kdp)|(\|lc)|(penalty))" /e /r /s</v>
      </c>
      <c r="AG166" s="1" t="str">
        <f t="shared" si="117"/>
        <v>NW</v>
      </c>
      <c r="AH166" s="88" t="str">
        <f t="shared" si="118"/>
        <v>"%USERPROFILE%\Documents\GitHub\eaglep3\Utilities\RefineRTDCRunTimes.py" --tripid 1812-08 --locoid 4043 --swversion DE.1.0.8.0 --startMP 300:58617 --initTime 2017-01-08T11:36:15 --startdatetime 2017-01-08T11:38:05 --delay 1 --endMP 204:731 --enddatetime 2017-01-08T11:54:29 --enforcementcount 0 &gt;&gt;C:\Users\stu\Documents\GitHub\eaglep3-reporting\EC\2017-01-08-refined-times.txt</v>
      </c>
      <c r="AI166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{"issue":{"subject":"","project_id":79,"tracker_id":40,"status_id":1,"priority_id":2,"assigned_to_id":23,"start_date":"2017-01-08","description":"","custom_fields":[{"id":1,"name":"Subdivision","value":"NW"},{"id":4,"name":"Milepost","value":"0.0731"},{"id":17,"name":"Train ID","value":"1812-08"},{"id":16,"name":"Locomotive ID","value":"4043"},{"id":130,"name":"Impact","value":""},{"id":150,"name":"Time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120"/>
        <v>start /low /b %USERPROFILE%\Documents\GitHub\eaglep3\Utilities\DownloadLogsFromS3.py --loco 4043 --day 2017-01-08</v>
      </c>
    </row>
    <row r="167" spans="1:91" x14ac:dyDescent="0.25">
      <c r="A167" s="34" t="s">
        <v>528</v>
      </c>
      <c r="B167" s="7">
        <v>4044</v>
      </c>
      <c r="C167" s="22" t="s">
        <v>203</v>
      </c>
      <c r="D167" s="22" t="s">
        <v>711</v>
      </c>
      <c r="E167" s="13">
        <v>42743.497210648151</v>
      </c>
      <c r="F167" s="13">
        <v>42743.514733796299</v>
      </c>
      <c r="G167" s="7">
        <v>1</v>
      </c>
      <c r="H167" s="22" t="s">
        <v>363</v>
      </c>
      <c r="I167" s="13">
        <v>42743.524050925924</v>
      </c>
      <c r="J167" s="7">
        <v>0</v>
      </c>
      <c r="K167" s="105" t="str">
        <f t="shared" si="103"/>
        <v>4043/4044</v>
      </c>
      <c r="L167" s="22" t="str">
        <f>VLOOKUP(A167,'Trips&amp;Operators'!$C$1:$G$99999,5,FALSE)</f>
        <v>YORK EDGAR</v>
      </c>
      <c r="M167" s="6">
        <f t="shared" si="104"/>
        <v>9.3171296248328872E-3</v>
      </c>
      <c r="N167" s="7">
        <f t="shared" si="105"/>
        <v>13.416666659759358</v>
      </c>
      <c r="O167" s="7"/>
      <c r="P167" s="7"/>
      <c r="Q167" s="23"/>
      <c r="R167" s="23"/>
      <c r="S167" s="32">
        <f t="shared" si="106"/>
        <v>1</v>
      </c>
      <c r="T167" s="47" t="str">
        <f t="shared" si="107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10:55:59-700',mode:absolute,to:'2017-01-08 13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49" t="str">
        <f t="shared" si="109"/>
        <v>N</v>
      </c>
      <c r="X167" s="173">
        <f t="shared" si="110"/>
        <v>1</v>
      </c>
      <c r="Y167" s="64">
        <f t="shared" si="111"/>
        <v>0.1014</v>
      </c>
      <c r="Z167" s="64">
        <f t="shared" si="112"/>
        <v>5.8925999999999998</v>
      </c>
      <c r="AA167" s="64">
        <f t="shared" si="113"/>
        <v>5.7911999999999999</v>
      </c>
      <c r="AB167" s="61" t="e">
        <f>VLOOKUP(A167,Enforcements!$C$7:$K$18,8,0)</f>
        <v>#N/A</v>
      </c>
      <c r="AC167" s="57" t="e">
        <f>VLOOKUP(A167,Enforcements!$C$7:$E$18,3,0)</f>
        <v>#N/A</v>
      </c>
      <c r="AD167" s="58" t="str">
        <f t="shared" si="114"/>
        <v>1813-08</v>
      </c>
      <c r="AE167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7" s="84" t="str">
        <f t="shared" si="116"/>
        <v>"C:\Program Files (x86)\AstroGrep\AstroGrep.exe" /spath="%USERPROFILE%\AppData\Local\Temp\OnboardLogs" /stypes="app*4044*20170108*" /stext=" 19:.+((SYSTEM_STATE.+slice.+state.+changed )|(ment ac)|(multiple cpu faults)|(system.+state.+changed )|(\[timeout)|(PRM\|1\|D)|(kpr)|(kdp)|(\|lc)|(penalty))" /e /r /s</v>
      </c>
      <c r="AG167" s="1" t="str">
        <f t="shared" si="117"/>
        <v>NW</v>
      </c>
      <c r="AH167" s="88" t="str">
        <f t="shared" si="118"/>
        <v>"%USERPROFILE%\Documents\GitHub\eaglep3\Utilities\RefineRTDCRunTimes.py" --tripid 1813-08 --locoid 4044 --swversion DE.1.0.8.0 --startMP 204:1014 --initTime 2017-01-08T11:55:59 --startdatetime 2017-01-08T12:21:13 --delay 1 --endMP 300:58926 --enddatetime 2017-01-08T12:34:38 --enforcementcount 0 &gt;&gt;C:\Users\stu\Documents\GitHub\eaglep3-reporting\EC\2017-01-08-refined-times.txt</v>
      </c>
      <c r="AI167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{"issue":{"subject":"","project_id":79,"tracker_id":40,"status_id":1,"priority_id":2,"assigned_to_id":23,"start_date":"2017-01-08","description":"","custom_fields":[{"id":1,"name":"Subdivision","value":"NW"},{"id":4,"name":"Milepost","value":"5.8926"},{"id":17,"name":"Train ID","value":"1813-08"},{"id":16,"name":"Locomotive ID","value":"4044"},{"id":130,"name":"Impact","value":""},{"id":150,"name":"Time of Event (Mountain Time)","value":"12:34:38"},{"id":151,"name":"Denver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120"/>
        <v>start /low /b %USERPROFILE%\Documents\GitHub\eaglep3\Utilities\DownloadLogsFromS3.py --loco 4044 --day 2017-01-08</v>
      </c>
    </row>
    <row r="168" spans="1:91" x14ac:dyDescent="0.25">
      <c r="A168" s="34" t="s">
        <v>533</v>
      </c>
      <c r="B168" s="7">
        <v>4043</v>
      </c>
      <c r="C168" s="22" t="s">
        <v>203</v>
      </c>
      <c r="D168" s="22" t="s">
        <v>336</v>
      </c>
      <c r="E168" s="13">
        <v>42743.525555555556</v>
      </c>
      <c r="F168" s="13">
        <v>42743.528229166666</v>
      </c>
      <c r="G168" s="7">
        <v>1</v>
      </c>
      <c r="H168" s="22" t="s">
        <v>361</v>
      </c>
      <c r="I168" s="13">
        <v>42743.537974537037</v>
      </c>
      <c r="J168" s="7">
        <v>0</v>
      </c>
      <c r="K168" s="105" t="str">
        <f t="shared" si="103"/>
        <v>4043/4044</v>
      </c>
      <c r="L168" s="22" t="str">
        <f>VLOOKUP(A168,'Trips&amp;Operators'!$C$1:$G$99999,5,FALSE)</f>
        <v>YORK EDGAR</v>
      </c>
      <c r="M168" s="6">
        <f t="shared" si="104"/>
        <v>9.7453703710925765E-3</v>
      </c>
      <c r="N168" s="7">
        <f t="shared" si="105"/>
        <v>14.03333333437331</v>
      </c>
      <c r="O168" s="7"/>
      <c r="P168" s="7"/>
      <c r="Q168" s="23"/>
      <c r="R168" s="23"/>
      <c r="S168" s="32">
        <f t="shared" si="106"/>
        <v>1</v>
      </c>
      <c r="T168" s="47" t="str">
        <f t="shared" si="107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11:36:48-700',mode:absolute,to:'2017-01-08 13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49" t="str">
        <f t="shared" si="109"/>
        <v>N</v>
      </c>
      <c r="X168" s="173">
        <f t="shared" si="110"/>
        <v>1</v>
      </c>
      <c r="Y168" s="64">
        <f t="shared" si="111"/>
        <v>5.8619000000000003</v>
      </c>
      <c r="Z168" s="64">
        <f t="shared" si="112"/>
        <v>7.5200000000000003E-2</v>
      </c>
      <c r="AA168" s="64">
        <f t="shared" si="113"/>
        <v>5.7867000000000006</v>
      </c>
      <c r="AB168" s="61" t="e">
        <f>VLOOKUP(A168,Enforcements!$C$7:$K$18,8,0)</f>
        <v>#N/A</v>
      </c>
      <c r="AC168" s="57" t="e">
        <f>VLOOKUP(A168,Enforcements!$C$7:$E$18,3,0)</f>
        <v>#N/A</v>
      </c>
      <c r="AD168" s="58" t="str">
        <f t="shared" si="114"/>
        <v>1814-08</v>
      </c>
      <c r="AE168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68" s="84" t="str">
        <f t="shared" si="116"/>
        <v>"C:\Program Files (x86)\AstroGrep\AstroGrep.exe" /spath="%USERPROFILE%\AppData\Local\Temp\OnboardLogs" /stypes="app*4043*20170108*" /stext=" 19:.+((SYSTEM_STATE.+slice.+state.+changed )|(ment ac)|(multiple cpu faults)|(system.+state.+changed )|(\[timeout)|(PRM\|1\|D)|(kpr)|(kdp)|(\|lc)|(penalty))" /e /r /s</v>
      </c>
      <c r="AG168" s="1" t="str">
        <f t="shared" si="117"/>
        <v>NW</v>
      </c>
      <c r="AH168" s="88" t="str">
        <f t="shared" si="118"/>
        <v>"%USERPROFILE%\Documents\GitHub\eaglep3\Utilities\RefineRTDCRunTimes.py" --tripid 1814-08 --locoid 4043 --swversion DE.1.0.8.0 --startMP 300:58619 --initTime 2017-01-08T12:36:48 --startdatetime 2017-01-08T12:40:39 --delay 1 --endMP 204:752 --enddatetime 2017-01-08T12:54:41 --enforcementcount 0 &gt;&gt;C:\Users\stu\Documents\GitHub\eaglep3-reporting\EC\2017-01-08-refined-times.txt</v>
      </c>
      <c r="AI168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{"issue":{"subject":"","project_id":79,"tracker_id":40,"status_id":1,"priority_id":2,"assigned_to_id":23,"start_date":"2017-01-08","description":"","custom_fields":[{"id":1,"name":"Subdivision","value":"NW"},{"id":4,"name":"Milepost","value":"0.0752"},{"id":17,"name":"Train ID","value":"1814-08"},{"id":16,"name":"Locomotive ID","value":"4043"},{"id":130,"name":"Impact","value":""},{"id":150,"name":"Time of Event (Mountain Time)","value":"12:54:41"},{"id":151,"name":"Denver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120"/>
        <v>start /low /b %USERPROFILE%\Documents\GitHub\eaglep3\Utilities\DownloadLogsFromS3.py --loco 4043 --day 2017-01-08</v>
      </c>
    </row>
    <row r="169" spans="1:91" s="21" customFormat="1" x14ac:dyDescent="0.25">
      <c r="A169" s="34" t="s">
        <v>536</v>
      </c>
      <c r="B169" s="7">
        <v>4044</v>
      </c>
      <c r="C169" s="22" t="s">
        <v>203</v>
      </c>
      <c r="D169" s="22" t="s">
        <v>712</v>
      </c>
      <c r="E169" s="13">
        <v>42743.538923611108</v>
      </c>
      <c r="F169" s="13">
        <v>42743.556400462963</v>
      </c>
      <c r="G169" s="7">
        <v>1</v>
      </c>
      <c r="H169" s="22" t="s">
        <v>403</v>
      </c>
      <c r="I169" s="13">
        <v>42743.565555555557</v>
      </c>
      <c r="J169" s="7">
        <v>0</v>
      </c>
      <c r="K169" s="105" t="str">
        <f t="shared" si="103"/>
        <v>4043/4044</v>
      </c>
      <c r="L169" s="22" t="str">
        <f>VLOOKUP(A169,'Trips&amp;Operators'!$C$1:$G$99999,5,FALSE)</f>
        <v>YORK EDGAR</v>
      </c>
      <c r="M169" s="6">
        <f t="shared" si="104"/>
        <v>9.1550925935734995E-3</v>
      </c>
      <c r="N169" s="7">
        <f t="shared" si="105"/>
        <v>13.183333334745839</v>
      </c>
      <c r="O169" s="7"/>
      <c r="P169" s="7"/>
      <c r="Q169" s="23"/>
      <c r="R169" s="23"/>
      <c r="S169" s="32">
        <f t="shared" si="106"/>
        <v>1</v>
      </c>
      <c r="T169" s="47" t="str">
        <f t="shared" si="107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11:56:03-700',mode:absolute,to:'2017-01-08 14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9" s="49" t="str">
        <f t="shared" si="109"/>
        <v>N</v>
      </c>
      <c r="X169" s="173">
        <f t="shared" si="110"/>
        <v>1</v>
      </c>
      <c r="Y169" s="64">
        <f t="shared" si="111"/>
        <v>0.1027</v>
      </c>
      <c r="Z169" s="64">
        <f t="shared" si="112"/>
        <v>5.8935000000000004</v>
      </c>
      <c r="AA169" s="64">
        <f t="shared" si="113"/>
        <v>5.7908000000000008</v>
      </c>
      <c r="AB169" s="61" t="e">
        <f>VLOOKUP(A169,Enforcements!$C$7:$K$18,8,0)</f>
        <v>#N/A</v>
      </c>
      <c r="AC169" s="57" t="e">
        <f>VLOOKUP(A169,Enforcements!$C$7:$E$18,3,0)</f>
        <v>#N/A</v>
      </c>
      <c r="AD169" s="58" t="str">
        <f t="shared" si="114"/>
        <v>1815-08</v>
      </c>
      <c r="AE169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69" s="84" t="str">
        <f t="shared" si="116"/>
        <v>"C:\Program Files (x86)\AstroGrep\AstroGrep.exe" /spath="%USERPROFILE%\AppData\Local\Temp\OnboardLogs" /stypes="app*4044*20170108*" /stext=" 20:.+((SYSTEM_STATE.+slice.+state.+changed )|(ment ac)|(multiple cpu faults)|(system.+state.+changed )|(\[timeout)|(PRM\|1\|D)|(kpr)|(kdp)|(\|lc)|(penalty))" /e /r /s</v>
      </c>
      <c r="AG169" s="1" t="str">
        <f t="shared" si="117"/>
        <v>NW</v>
      </c>
      <c r="AH169" s="88" t="str">
        <f t="shared" si="118"/>
        <v>"%USERPROFILE%\Documents\GitHub\eaglep3\Utilities\RefineRTDCRunTimes.py" --tripid 1815-08 --locoid 4044 --swversion DE.1.0.8.0 --startMP 204:1027 --initTime 2017-01-08T12:56:03 --startdatetime 2017-01-08T13:21:13 --delay 1 --endMP 300:58935 --enddatetime 2017-01-08T13:34:24 --enforcementcount 0 &gt;&gt;C:\Users\stu\Documents\GitHub\eaglep3-reporting\EC\2017-01-08-refined-times.txt</v>
      </c>
      <c r="AI169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ID","value":"1815-08"},{"id":16,"name":"Locomotive ID","value":"4044"},{"id":130,"name":"Impact","value":""},{"id":150,"name":"Time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120"/>
        <v>start /low /b %USERPROFILE%\Documents\GitHub\eaglep3\Utilities\DownloadLogsFromS3.py --loco 4044 --day 2017-01-08</v>
      </c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4" t="s">
        <v>540</v>
      </c>
      <c r="B170" s="7">
        <v>4043</v>
      </c>
      <c r="C170" s="22" t="s">
        <v>203</v>
      </c>
      <c r="D170" s="22" t="s">
        <v>713</v>
      </c>
      <c r="E170" s="13">
        <v>42743.566678240742</v>
      </c>
      <c r="F170" s="13">
        <v>42743.568657407406</v>
      </c>
      <c r="G170" s="7">
        <v>1</v>
      </c>
      <c r="H170" s="22" t="s">
        <v>714</v>
      </c>
      <c r="I170" s="13">
        <v>42743.579583333332</v>
      </c>
      <c r="J170" s="7">
        <v>0</v>
      </c>
      <c r="K170" s="105" t="str">
        <f t="shared" si="103"/>
        <v>4043/4044</v>
      </c>
      <c r="L170" s="22" t="str">
        <f>VLOOKUP(A170,'Trips&amp;Operators'!$C$1:$G$99999,5,FALSE)</f>
        <v>YORK EDGAR</v>
      </c>
      <c r="M170" s="6">
        <f t="shared" si="104"/>
        <v>1.0925925926130731E-2</v>
      </c>
      <c r="N170" s="7">
        <f t="shared" si="105"/>
        <v>15.733333333628252</v>
      </c>
      <c r="O170" s="7"/>
      <c r="P170" s="7"/>
      <c r="Q170" s="23"/>
      <c r="R170" s="23"/>
      <c r="S170" s="32">
        <f t="shared" si="106"/>
        <v>1</v>
      </c>
      <c r="T170" s="47" t="str">
        <f t="shared" si="107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12:36:01-700',mode:absolute,to:'2017-01-08 14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0" s="49" t="str">
        <f t="shared" si="109"/>
        <v>N</v>
      </c>
      <c r="X170" s="173">
        <f t="shared" si="110"/>
        <v>1</v>
      </c>
      <c r="Y170" s="64">
        <f t="shared" si="111"/>
        <v>5.8620999999999999</v>
      </c>
      <c r="Z170" s="64">
        <f t="shared" si="112"/>
        <v>7.4499999999999997E-2</v>
      </c>
      <c r="AA170" s="64">
        <f t="shared" si="113"/>
        <v>5.7876000000000003</v>
      </c>
      <c r="AB170" s="61" t="e">
        <f>VLOOKUP(A170,Enforcements!$C$7:$K$18,8,0)</f>
        <v>#N/A</v>
      </c>
      <c r="AC170" s="57" t="e">
        <f>VLOOKUP(A170,Enforcements!$C$7:$E$18,3,0)</f>
        <v>#N/A</v>
      </c>
      <c r="AD170" s="58" t="str">
        <f t="shared" si="114"/>
        <v>1816-08</v>
      </c>
      <c r="AE170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0" s="84" t="str">
        <f t="shared" si="116"/>
        <v>"C:\Program Files (x86)\AstroGrep\AstroGrep.exe" /spath="%USERPROFILE%\AppData\Local\Temp\OnboardLogs" /stypes="app*4043*20170108*" /stext=" 20:.+((SYSTEM_STATE.+slice.+state.+changed )|(ment ac)|(multiple cpu faults)|(system.+state.+changed )|(\[timeout)|(PRM\|1\|D)|(kpr)|(kdp)|(\|lc)|(penalty))" /e /r /s</v>
      </c>
      <c r="AG170" s="1" t="str">
        <f t="shared" si="117"/>
        <v>NW</v>
      </c>
      <c r="AH170" s="88" t="str">
        <f t="shared" si="118"/>
        <v>"%USERPROFILE%\Documents\GitHub\eaglep3\Utilities\RefineRTDCRunTimes.py" --tripid 1816-08 --locoid 4043 --swversion DE.1.0.8.0 --startMP 300:58621 --initTime 2017-01-08T13:36:01 --startdatetime 2017-01-08T13:38:52 --delay 1 --endMP 204:745 --enddatetime 2017-01-08T13:54:36 --enforcementcount 0 &gt;&gt;C:\Users\stu\Documents\GitHub\eaglep3-reporting\EC\2017-01-08-refined-times.txt</v>
      </c>
      <c r="AI170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{"issue":{"subject":"","project_id":79,"tracker_id":40,"status_id":1,"priority_id":2,"assigned_to_id":23,"start_date":"2017-01-08","description":"","custom_fields":[{"id":1,"name":"Subdivision","value":"NW"},{"id":4,"name":"Milepost","value":"0.0745"},{"id":17,"name":"Train ID","value":"1816-08"},{"id":16,"name":"Locomotive ID","value":"4043"},{"id":130,"name":"Impact","value":""},{"id":150,"name":"Time of Event (Mountain Time)","value":"13:54:36"},{"id":151,"name":"Denver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120"/>
        <v>start /low /b %USERPROFILE%\Documents\GitHub\eaglep3\Utilities\DownloadLogsFromS3.py --loco 4043 --day 2017-01-08</v>
      </c>
    </row>
    <row r="171" spans="1:91" x14ac:dyDescent="0.25">
      <c r="A171" s="34" t="s">
        <v>543</v>
      </c>
      <c r="B171" s="7">
        <v>4044</v>
      </c>
      <c r="C171" s="22" t="s">
        <v>203</v>
      </c>
      <c r="D171" s="22" t="s">
        <v>701</v>
      </c>
      <c r="E171" s="13">
        <v>42743.591793981483</v>
      </c>
      <c r="F171" s="13">
        <v>42743.598321759258</v>
      </c>
      <c r="G171" s="7">
        <v>1</v>
      </c>
      <c r="H171" s="22" t="s">
        <v>406</v>
      </c>
      <c r="I171" s="13">
        <v>42743.608344907407</v>
      </c>
      <c r="J171" s="7">
        <v>0</v>
      </c>
      <c r="K171" s="105" t="str">
        <f t="shared" si="103"/>
        <v>4043/4044</v>
      </c>
      <c r="L171" s="22" t="str">
        <f>VLOOKUP(A171,'Trips&amp;Operators'!$C$1:$G$99999,5,FALSE)</f>
        <v>HELVIE ADAM</v>
      </c>
      <c r="M171" s="6">
        <f t="shared" si="104"/>
        <v>1.0023148148320615E-2</v>
      </c>
      <c r="N171" s="7">
        <f t="shared" si="105"/>
        <v>14.433333333581686</v>
      </c>
      <c r="O171" s="7"/>
      <c r="P171" s="7"/>
      <c r="Q171" s="23"/>
      <c r="R171" s="23"/>
      <c r="S171" s="32">
        <f t="shared" si="106"/>
        <v>1</v>
      </c>
      <c r="T171" s="47" t="str">
        <f t="shared" si="107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13:12:11-700',mode:absolute,to:'2017-01-08 15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49" t="str">
        <f t="shared" si="109"/>
        <v>N</v>
      </c>
      <c r="X171" s="173">
        <f t="shared" si="110"/>
        <v>1</v>
      </c>
      <c r="Y171" s="64">
        <f t="shared" si="111"/>
        <v>0.10249999999999999</v>
      </c>
      <c r="Z171" s="64">
        <f t="shared" si="112"/>
        <v>5.8936999999999999</v>
      </c>
      <c r="AA171" s="64">
        <f t="shared" si="113"/>
        <v>5.7911999999999999</v>
      </c>
      <c r="AB171" s="61" t="e">
        <f>VLOOKUP(A171,Enforcements!$C$7:$K$18,8,0)</f>
        <v>#N/A</v>
      </c>
      <c r="AC171" s="57" t="e">
        <f>VLOOKUP(A171,Enforcements!$C$7:$E$18,3,0)</f>
        <v>#N/A</v>
      </c>
      <c r="AD171" s="58" t="str">
        <f t="shared" si="114"/>
        <v>1817-08</v>
      </c>
      <c r="AE171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1" s="84" t="str">
        <f t="shared" si="116"/>
        <v>"C:\Program Files (x86)\AstroGrep\AstroGrep.exe" /spath="%USERPROFILE%\AppData\Local\Temp\OnboardLogs" /stypes="app*4044*20170108*" /stext=" 21:.+((SYSTEM_STATE.+slice.+state.+changed )|(ment ac)|(multiple cpu faults)|(system.+state.+changed )|(\[timeout)|(PRM\|1\|D)|(kpr)|(kdp)|(\|lc)|(penalty))" /e /r /s</v>
      </c>
      <c r="AG171" s="1" t="str">
        <f t="shared" si="117"/>
        <v>NW</v>
      </c>
      <c r="AH171" s="88" t="str">
        <f t="shared" si="118"/>
        <v>"%USERPROFILE%\Documents\GitHub\eaglep3\Utilities\RefineRTDCRunTimes.py" --tripid 1817-08 --locoid 4044 --swversion DE.1.0.8.0 --startMP 204:1025 --initTime 2017-01-08T14:12:11 --startdatetime 2017-01-08T14:21:35 --delay 1 --endMP 300:58937 --enddatetime 2017-01-08T14:36:01 --enforcementcount 0 &gt;&gt;C:\Users\stu\Documents\GitHub\eaglep3-reporting\EC\2017-01-08-refined-times.txt</v>
      </c>
      <c r="AI171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{"issue":{"subject":"","project_id":79,"tracker_id":40,"status_id":1,"priority_id":2,"assigned_to_id":23,"start_date":"2017-01-08","description":"","custom_fields":[{"id":1,"name":"Subdivision","value":"NW"},{"id":4,"name":"Milepost","value":"5.8937"},{"id":17,"name":"Train ID","value":"1817-08"},{"id":16,"name":"Locomotive ID","value":"4044"},{"id":130,"name":"Impact","value":""},{"id":150,"name":"Time of Event (Mountain Time)","value":"14:36:01"},{"id":151,"name":"Denver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120"/>
        <v>start /low /b %USERPROFILE%\Documents\GitHub\eaglep3\Utilities\DownloadLogsFromS3.py --loco 4044 --day 2017-01-08</v>
      </c>
    </row>
    <row r="172" spans="1:91" x14ac:dyDescent="0.25">
      <c r="A172" s="34" t="s">
        <v>547</v>
      </c>
      <c r="B172" s="7">
        <v>4043</v>
      </c>
      <c r="C172" s="22" t="s">
        <v>203</v>
      </c>
      <c r="D172" s="22" t="s">
        <v>336</v>
      </c>
      <c r="E172" s="13">
        <v>42743.611828703702</v>
      </c>
      <c r="F172" s="13">
        <v>42743.613136574073</v>
      </c>
      <c r="G172" s="7">
        <v>1</v>
      </c>
      <c r="H172" s="22" t="s">
        <v>715</v>
      </c>
      <c r="I172" s="13">
        <v>42743.622210648151</v>
      </c>
      <c r="J172" s="7">
        <v>0</v>
      </c>
      <c r="K172" s="105" t="str">
        <f t="shared" si="103"/>
        <v>4043/4044</v>
      </c>
      <c r="L172" s="22" t="str">
        <f>VLOOKUP(A172,'Trips&amp;Operators'!$C$1:$G$99999,5,FALSE)</f>
        <v>HELVIE ADAM</v>
      </c>
      <c r="M172" s="6">
        <f t="shared" si="104"/>
        <v>9.0740740779438056E-3</v>
      </c>
      <c r="N172" s="7">
        <f t="shared" si="105"/>
        <v>13.06666667223908</v>
      </c>
      <c r="O172" s="7"/>
      <c r="P172" s="7"/>
      <c r="Q172" s="23"/>
      <c r="R172" s="23"/>
      <c r="S172" s="32">
        <f t="shared" si="106"/>
        <v>1</v>
      </c>
      <c r="T172" s="47" t="str">
        <f t="shared" si="107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13:41:02-700',mode:absolute,to:'2017-01-08 15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49" t="str">
        <f t="shared" si="109"/>
        <v>N</v>
      </c>
      <c r="X172" s="173">
        <f t="shared" si="110"/>
        <v>1</v>
      </c>
      <c r="Y172" s="64">
        <f t="shared" si="111"/>
        <v>5.8619000000000003</v>
      </c>
      <c r="Z172" s="64">
        <f t="shared" si="112"/>
        <v>7.6600000000000001E-2</v>
      </c>
      <c r="AA172" s="64">
        <f t="shared" si="113"/>
        <v>5.7853000000000003</v>
      </c>
      <c r="AB172" s="61" t="e">
        <f>VLOOKUP(A172,Enforcements!$C$7:$K$18,8,0)</f>
        <v>#N/A</v>
      </c>
      <c r="AC172" s="57" t="e">
        <f>VLOOKUP(A172,Enforcements!$C$7:$E$18,3,0)</f>
        <v>#N/A</v>
      </c>
      <c r="AD172" s="58" t="str">
        <f t="shared" si="114"/>
        <v>1818-08</v>
      </c>
      <c r="AE172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2" s="84" t="str">
        <f t="shared" si="116"/>
        <v>"C:\Program Files (x86)\AstroGrep\AstroGrep.exe" /spath="%USERPROFILE%\AppData\Local\Temp\OnboardLogs" /stypes="app*4043*20170108*" /stext=" 21:.+((SYSTEM_STATE.+slice.+state.+changed )|(ment ac)|(multiple cpu faults)|(system.+state.+changed )|(\[timeout)|(PRM\|1\|D)|(kpr)|(kdp)|(\|lc)|(penalty))" /e /r /s</v>
      </c>
      <c r="AG172" s="1" t="str">
        <f t="shared" si="117"/>
        <v>NW</v>
      </c>
      <c r="AH172" s="88" t="str">
        <f t="shared" si="118"/>
        <v>"%USERPROFILE%\Documents\GitHub\eaglep3\Utilities\RefineRTDCRunTimes.py" --tripid 1818-08 --locoid 4043 --swversion DE.1.0.8.0 --startMP 300:58619 --initTime 2017-01-08T14:41:02 --startdatetime 2017-01-08T14:42:55 --delay 1 --endMP 204:766 --enddatetime 2017-01-08T14:55:59 --enforcementcount 0 &gt;&gt;C:\Users\stu\Documents\GitHub\eaglep3-reporting\EC\2017-01-08-refined-times.txt</v>
      </c>
      <c r="AI172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{"issue":{"subject":"","project_id":79,"tracker_id":40,"status_id":1,"priority_id":2,"assigned_to_id":23,"start_date":"2017-01-08","description":"","custom_fields":[{"id":1,"name":"Subdivision","value":"NW"},{"id":4,"name":"Milepost","value":"0.0766"},{"id":17,"name":"Train ID","value":"1818-08"},{"id":16,"name":"Locomotive ID","value":"4043"},{"id":130,"name":"Impact","value":""},{"id":150,"name":"Time of Event (Mountain Time)","value":"14:55:59"},{"id":151,"name":"Denver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120"/>
        <v>start /low /b %USERPROFILE%\Documents\GitHub\eaglep3\Utilities\DownloadLogsFromS3.py --loco 4043 --day 2017-01-08</v>
      </c>
    </row>
    <row r="173" spans="1:91" x14ac:dyDescent="0.25">
      <c r="A173" s="34" t="s">
        <v>551</v>
      </c>
      <c r="B173" s="7">
        <v>4044</v>
      </c>
      <c r="C173" s="22" t="s">
        <v>203</v>
      </c>
      <c r="D173" s="22" t="s">
        <v>716</v>
      </c>
      <c r="E173" s="13">
        <v>42743.636770833335</v>
      </c>
      <c r="F173" s="13">
        <v>42743.639768518522</v>
      </c>
      <c r="G173" s="7">
        <v>1</v>
      </c>
      <c r="H173" s="22" t="s">
        <v>717</v>
      </c>
      <c r="I173" s="13">
        <v>42743.649942129632</v>
      </c>
      <c r="J173" s="7">
        <v>0</v>
      </c>
      <c r="K173" s="105" t="str">
        <f t="shared" si="103"/>
        <v>4043/4044</v>
      </c>
      <c r="L173" s="22" t="str">
        <f>VLOOKUP(A173,'Trips&amp;Operators'!$C$1:$G$99999,5,FALSE)</f>
        <v>HELVIE ADAM</v>
      </c>
      <c r="M173" s="6">
        <f t="shared" si="104"/>
        <v>1.0173611110076308E-2</v>
      </c>
      <c r="N173" s="7">
        <f t="shared" si="105"/>
        <v>14.649999998509884</v>
      </c>
      <c r="O173" s="7"/>
      <c r="P173" s="7"/>
      <c r="Q173" s="23"/>
      <c r="R173" s="23"/>
      <c r="S173" s="32">
        <f t="shared" si="106"/>
        <v>1</v>
      </c>
      <c r="T173" s="47" t="str">
        <f t="shared" si="107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14:16:57-700',mode:absolute,to:'2017-01-08 16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3" s="49" t="str">
        <f t="shared" si="109"/>
        <v>N</v>
      </c>
      <c r="X173" s="173">
        <f t="shared" si="110"/>
        <v>1</v>
      </c>
      <c r="Y173" s="64">
        <f t="shared" si="111"/>
        <v>0.106</v>
      </c>
      <c r="Z173" s="64">
        <f t="shared" si="112"/>
        <v>5.8944000000000001</v>
      </c>
      <c r="AA173" s="64">
        <f t="shared" si="113"/>
        <v>5.7884000000000002</v>
      </c>
      <c r="AB173" s="61" t="e">
        <f>VLOOKUP(A173,Enforcements!$C$7:$K$18,8,0)</f>
        <v>#N/A</v>
      </c>
      <c r="AC173" s="57" t="e">
        <f>VLOOKUP(A173,Enforcements!$C$7:$E$18,3,0)</f>
        <v>#N/A</v>
      </c>
      <c r="AD173" s="58" t="str">
        <f t="shared" si="114"/>
        <v>1819-08</v>
      </c>
      <c r="AE173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3" s="84" t="str">
        <f t="shared" si="116"/>
        <v>"C:\Program Files (x86)\AstroGrep\AstroGrep.exe" /spath="%USERPROFILE%\AppData\Local\Temp\OnboardLogs" /stypes="app*4044*20170108*" /stext=" 22:.+((SYSTEM_STATE.+slice.+state.+changed )|(ment ac)|(multiple cpu faults)|(system.+state.+changed )|(\[timeout)|(PRM\|1\|D)|(kpr)|(kdp)|(\|lc)|(penalty))" /e /r /s</v>
      </c>
      <c r="AG173" s="1" t="str">
        <f t="shared" si="117"/>
        <v>NW</v>
      </c>
      <c r="AH173" s="88" t="str">
        <f t="shared" si="118"/>
        <v>"%USERPROFILE%\Documents\GitHub\eaglep3\Utilities\RefineRTDCRunTimes.py" --tripid 1819-08 --locoid 4044 --swversion DE.1.0.8.0 --startMP 204:1060 --initTime 2017-01-08T15:16:57 --startdatetime 2017-01-08T15:21:16 --delay 1 --endMP 300:58944 --enddatetime 2017-01-08T15:35:55 --enforcementcount 0 &gt;&gt;C:\Users\stu\Documents\GitHub\eaglep3-reporting\EC\2017-01-08-refined-times.txt</v>
      </c>
      <c r="AI173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{"issue":{"subject":"","project_id":79,"tracker_id":40,"status_id":1,"priority_id":2,"assigned_to_id":23,"start_date":"2017-01-08","description":"","custom_fields":[{"id":1,"name":"Subdivision","value":"NW"},{"id":4,"name":"Milepost","value":"5.8944"},{"id":17,"name":"Train ID","value":"1819-08"},{"id":16,"name":"Locomotive ID","value":"4044"},{"id":130,"name":"Impact","value":""},{"id":150,"name":"Time of Event (Mountain Time)","value":"15:35:55"},{"id":151,"name":"Denver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120"/>
        <v>start /low /b %USERPROFILE%\Documents\GitHub\eaglep3\Utilities\DownloadLogsFromS3.py --loco 4044 --day 2017-01-08</v>
      </c>
    </row>
    <row r="174" spans="1:91" x14ac:dyDescent="0.25">
      <c r="A174" s="34" t="s">
        <v>424</v>
      </c>
      <c r="B174" s="7">
        <v>4043</v>
      </c>
      <c r="C174" s="22" t="s">
        <v>203</v>
      </c>
      <c r="D174" s="22" t="s">
        <v>720</v>
      </c>
      <c r="E174" s="13">
        <v>42743.65111111111</v>
      </c>
      <c r="F174" s="13">
        <v>42743.652986111112</v>
      </c>
      <c r="G174" s="7">
        <v>1</v>
      </c>
      <c r="H174" s="22" t="s">
        <v>361</v>
      </c>
      <c r="I174" s="13">
        <v>42743.664641203701</v>
      </c>
      <c r="J174" s="7">
        <v>0</v>
      </c>
      <c r="K174" s="105" t="str">
        <f t="shared" si="103"/>
        <v>4043/4044</v>
      </c>
      <c r="L174" s="22" t="str">
        <f>VLOOKUP(A174,'Trips&amp;Operators'!$C$1:$G$99999,5,FALSE)</f>
        <v>HELVIE ADAM</v>
      </c>
      <c r="M174" s="6">
        <f t="shared" si="104"/>
        <v>1.1655092588625848E-2</v>
      </c>
      <c r="N174" s="7">
        <f t="shared" si="105"/>
        <v>16.783333327621222</v>
      </c>
      <c r="O174" s="7"/>
      <c r="P174" s="7"/>
      <c r="Q174" s="23"/>
      <c r="R174" s="23"/>
      <c r="S174" s="32">
        <f t="shared" si="106"/>
        <v>1</v>
      </c>
      <c r="T174" s="47" t="str">
        <f t="shared" si="107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14:37:36-700',mode:absolute,to:'2017-01-08 16:57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4" s="49" t="str">
        <f t="shared" si="109"/>
        <v>N</v>
      </c>
      <c r="X174" s="173">
        <f t="shared" si="110"/>
        <v>1</v>
      </c>
      <c r="Y174" s="64">
        <f t="shared" si="111"/>
        <v>5.8625999999999996</v>
      </c>
      <c r="Z174" s="64">
        <f t="shared" si="112"/>
        <v>7.5200000000000003E-2</v>
      </c>
      <c r="AA174" s="64">
        <f t="shared" si="113"/>
        <v>5.7873999999999999</v>
      </c>
      <c r="AB174" s="61" t="e">
        <f>VLOOKUP(A174,Enforcements!$C$7:$K$18,8,0)</f>
        <v>#N/A</v>
      </c>
      <c r="AC174" s="57" t="e">
        <f>VLOOKUP(A174,Enforcements!$C$7:$E$18,3,0)</f>
        <v>#N/A</v>
      </c>
      <c r="AD174" s="58" t="str">
        <f t="shared" si="114"/>
        <v>1820-08</v>
      </c>
      <c r="AE174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4" s="84" t="str">
        <f t="shared" si="116"/>
        <v>"C:\Program Files (x86)\AstroGrep\AstroGrep.exe" /spath="%USERPROFILE%\AppData\Local\Temp\OnboardLogs" /stypes="app*4043*20170108*" /stext=" 22:.+((SYSTEM_STATE.+slice.+state.+changed )|(ment ac)|(multiple cpu faults)|(system.+state.+changed )|(\[timeout)|(PRM\|1\|D)|(kpr)|(kdp)|(\|lc)|(penalty))" /e /r /s</v>
      </c>
      <c r="AG174" s="1" t="str">
        <f t="shared" si="117"/>
        <v>NW</v>
      </c>
      <c r="AH174" s="88" t="str">
        <f t="shared" si="118"/>
        <v>"%USERPROFILE%\Documents\GitHub\eaglep3\Utilities\RefineRTDCRunTimes.py" --tripid 1820-08 --locoid 4043 --swversion DE.1.0.8.0 --startMP 300:58626 --initTime 2017-01-08T15:37:36 --startdatetime 2017-01-08T15:40:18 --delay 1 --endMP 204:752 --enddatetime 2017-01-08T15:57:05 --enforcementcount 0 &gt;&gt;C:\Users\stu\Documents\GitHub\eaglep3-reporting\EC\2017-01-08-refined-times.txt</v>
      </c>
      <c r="AI174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{"issue":{"subject":"","project_id":79,"tracker_id":40,"status_id":1,"priority_id":2,"assigned_to_id":23,"start_date":"2017-01-08","description":"","custom_fields":[{"id":1,"name":"Subdivision","value":"NW"},{"id":4,"name":"Milepost","value":"0.0752"},{"id":17,"name":"Train ID","value":"1820-08"},{"id":16,"name":"Locomotive ID","value":"4043"},{"id":130,"name":"Impact","value":""},{"id":150,"name":"Time of Event (Mountain Time)","value":"15:57:05"},{"id":151,"name":"Denver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120"/>
        <v>start /low /b %USERPROFILE%\Documents\GitHub\eaglep3\Utilities\DownloadLogsFromS3.py --loco 4043 --day 2017-01-08</v>
      </c>
    </row>
    <row r="175" spans="1:91" s="21" customFormat="1" x14ac:dyDescent="0.25">
      <c r="A175" s="34" t="s">
        <v>560</v>
      </c>
      <c r="B175" s="7">
        <v>4044</v>
      </c>
      <c r="C175" s="22" t="s">
        <v>203</v>
      </c>
      <c r="D175" s="22" t="s">
        <v>707</v>
      </c>
      <c r="E175" s="13">
        <v>42743.677997685183</v>
      </c>
      <c r="F175" s="13">
        <v>42743.681550925925</v>
      </c>
      <c r="G175" s="7">
        <v>1</v>
      </c>
      <c r="H175" s="22" t="s">
        <v>721</v>
      </c>
      <c r="I175" s="13">
        <v>42743.692025462966</v>
      </c>
      <c r="J175" s="7">
        <v>0</v>
      </c>
      <c r="K175" s="105" t="str">
        <f t="shared" si="103"/>
        <v>4043/4044</v>
      </c>
      <c r="L175" s="22" t="str">
        <f>VLOOKUP(A175,'Trips&amp;Operators'!$C$1:$G$99999,5,FALSE)</f>
        <v>HELVIE ADAM</v>
      </c>
      <c r="M175" s="6">
        <f t="shared" si="104"/>
        <v>1.0474537040863652E-2</v>
      </c>
      <c r="N175" s="7">
        <f t="shared" si="105"/>
        <v>15.083333338843659</v>
      </c>
      <c r="O175" s="7"/>
      <c r="P175" s="7"/>
      <c r="Q175" s="23"/>
      <c r="R175" s="23"/>
      <c r="S175" s="32">
        <f t="shared" si="106"/>
        <v>1</v>
      </c>
      <c r="T175" s="47" t="str">
        <f t="shared" si="107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15:16:19-700',mode:absolute,to:'2017-01-08 17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5" s="49" t="str">
        <f t="shared" si="109"/>
        <v>N</v>
      </c>
      <c r="X175" s="173">
        <f t="shared" si="110"/>
        <v>1</v>
      </c>
      <c r="Y175" s="64">
        <f t="shared" si="111"/>
        <v>0.1037</v>
      </c>
      <c r="Z175" s="64">
        <f t="shared" si="112"/>
        <v>5.8940999999999999</v>
      </c>
      <c r="AA175" s="64">
        <f t="shared" si="113"/>
        <v>5.7904</v>
      </c>
      <c r="AB175" s="61" t="e">
        <f>VLOOKUP(A175,Enforcements!$C$7:$K$18,8,0)</f>
        <v>#N/A</v>
      </c>
      <c r="AC175" s="57" t="e">
        <f>VLOOKUP(A175,Enforcements!$C$7:$E$18,3,0)</f>
        <v>#N/A</v>
      </c>
      <c r="AD175" s="58" t="str">
        <f t="shared" si="114"/>
        <v>1821-08</v>
      </c>
      <c r="AE175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5" s="84" t="str">
        <f t="shared" si="116"/>
        <v>"C:\Program Files (x86)\AstroGrep\AstroGrep.exe" /spath="%USERPROFILE%\AppData\Local\Temp\OnboardLogs" /stypes="app*4044*20170108*" /stext=" 23:.+((SYSTEM_STATE.+slice.+state.+changed )|(ment ac)|(multiple cpu faults)|(system.+state.+changed )|(\[timeout)|(PRM\|1\|D)|(kpr)|(kdp)|(\|lc)|(penalty))" /e /r /s</v>
      </c>
      <c r="AG175" s="1" t="str">
        <f t="shared" si="117"/>
        <v>NW</v>
      </c>
      <c r="AH175" s="88" t="str">
        <f t="shared" si="118"/>
        <v>"%USERPROFILE%\Documents\GitHub\eaglep3\Utilities\RefineRTDCRunTimes.py" --tripid 1821-08 --locoid 4044 --swversion DE.1.0.8.0 --startMP 204:1037 --initTime 2017-01-08T16:16:19 --startdatetime 2017-01-08T16:21:26 --delay 1 --endMP 300:58941 --enddatetime 2017-01-08T16:36:31 --enforcementcount 0 &gt;&gt;C:\Users\stu\Documents\GitHub\eaglep3-reporting\EC\2017-01-08-refined-times.txt</v>
      </c>
      <c r="AI175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{"issue":{"subject":"","project_id":79,"tracker_id":40,"status_id":1,"priority_id":2,"assigned_to_id":23,"start_date":"2017-01-08","description":"","custom_fields":[{"id":1,"name":"Subdivision","value":"NW"},{"id":4,"name":"Milepost","value":"5.8941"},{"id":17,"name":"Train ID","value":"1821-08"},{"id":16,"name":"Locomotive ID","value":"4044"},{"id":130,"name":"Impact","value":""},{"id":150,"name":"Time of Event (Mountain Time)","value":"16:36:31"},{"id":151,"name":"Denver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120"/>
        <v>start /low /b %USERPROFILE%\Documents\GitHub\eaglep3\Utilities\DownloadLogsFromS3.py --loco 4044 --day 2017-01-08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564</v>
      </c>
      <c r="B176" s="7">
        <v>4043</v>
      </c>
      <c r="C176" s="22" t="s">
        <v>203</v>
      </c>
      <c r="D176" s="22" t="s">
        <v>722</v>
      </c>
      <c r="E176" s="13">
        <v>42743.695844907408</v>
      </c>
      <c r="F176" s="13">
        <v>42743.697025462963</v>
      </c>
      <c r="G176" s="7">
        <v>0</v>
      </c>
      <c r="H176" s="22" t="s">
        <v>723</v>
      </c>
      <c r="I176" s="13">
        <v>42743.699363425927</v>
      </c>
      <c r="J176" s="7">
        <v>0</v>
      </c>
      <c r="K176" s="105" t="str">
        <f t="shared" si="103"/>
        <v>4043/4044</v>
      </c>
      <c r="L176" s="22" t="str">
        <f>VLOOKUP(A176,'Trips&amp;Operators'!$C$1:$G$99999,5,FALSE)</f>
        <v>HELVIE ADAM</v>
      </c>
      <c r="M176" s="6">
        <f t="shared" si="104"/>
        <v>2.3379629637929611E-3</v>
      </c>
      <c r="N176" s="7"/>
      <c r="O176" s="7"/>
      <c r="P176" s="7">
        <f t="shared" si="105"/>
        <v>3.366666667861864</v>
      </c>
      <c r="Q176" s="23"/>
      <c r="R176" s="23" t="s">
        <v>834</v>
      </c>
      <c r="S176" s="32">
        <f t="shared" si="106"/>
        <v>0</v>
      </c>
      <c r="T176" s="47" t="str">
        <f t="shared" si="107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15:42:01-700',mode:absolute,to:'2017-01-08 17:47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6" s="49" t="str">
        <f t="shared" si="109"/>
        <v>Y</v>
      </c>
      <c r="X176" s="173">
        <f t="shared" si="110"/>
        <v>1</v>
      </c>
      <c r="Y176" s="64">
        <f t="shared" si="111"/>
        <v>5.7336999999999998</v>
      </c>
      <c r="Z176" s="64">
        <f t="shared" si="112"/>
        <v>4.9508000000000001</v>
      </c>
      <c r="AA176" s="64">
        <f t="shared" si="113"/>
        <v>0.78289999999999971</v>
      </c>
      <c r="AB176" s="61" t="e">
        <f>VLOOKUP(A176,Enforcements!$C$7:$K$18,8,0)</f>
        <v>#N/A</v>
      </c>
      <c r="AC176" s="57" t="e">
        <f>VLOOKUP(A176,Enforcements!$C$7:$E$18,3,0)</f>
        <v>#N/A</v>
      </c>
      <c r="AD176" s="58" t="str">
        <f t="shared" si="114"/>
        <v>1822-08</v>
      </c>
      <c r="AE176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6" s="84" t="str">
        <f t="shared" si="116"/>
        <v>"C:\Program Files (x86)\AstroGrep\AstroGrep.exe" /spath="%USERPROFILE%\AppData\Local\Temp\OnboardLogs" /stypes="app*4043*20170108*" /stext=" 23:.+((SYSTEM_STATE.+slice.+state.+changed )|(ment ac)|(multiple cpu faults)|(system.+state.+changed )|(\[timeout)|(PRM\|1\|D)|(kpr)|(kdp)|(\|lc)|(penalty))" /e /r /s</v>
      </c>
      <c r="AG176" s="1" t="str">
        <f t="shared" si="117"/>
        <v>NW</v>
      </c>
      <c r="AH176" s="88" t="str">
        <f t="shared" si="118"/>
        <v>"%USERPROFILE%\Documents\GitHub\eaglep3\Utilities\RefineRTDCRunTimes.py" --tripid 1822-08 --locoid 4043 --swversion DE.1.0.8.0 --startMP 300:57337 --initTime 2017-01-08T16:42:01 --startdatetime 2017-01-08T16:43:43 --delay 0 --endMP 300:49508 --enddatetime 2017-01-08T16:47:05 --enforcementcount 0 &gt;&gt;C:\Users\stu\Documents\GitHub\eaglep3-reporting\EC\2017-01-08-refined-times.txt</v>
      </c>
      <c r="AI176" s="115" t="str">
        <f t="shared" si="119"/>
        <v>echo {"issue":{"subject":"NW0487RH 49-1T 1S stuck at STOP &amp; PROCEED","project_id":79,"tracker_id":40,"status_id":1,"priority_id":2,"assigned_to_id":23,"start_date":"2017-01-08","description":"Starting from 16:42:55 (and possibly earlier), NW0487RH 49-1T 1S was stuck at STOP &amp; PROCEED for a while. It seems like this was undesired - do logs tell anything?","custom_fields":[{"id":1,"name":"Subdivision","value":"NW"},{"id":4,"name":"Milepost","value":"4.9508"},{"id":17,"name":"Train ID","value":"1822-08"},{"id":16,"name":"Locomotive ID","value":"4043"},{"id":130,"name":"Impact","value":"Unexpected Cut-Out or Disengaged"},{"id":150,"name":"Time of Event (Mountain Time)","value":"16:47:05"},{"id":151,"name":"Denver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6" s="50" t="s">
        <v>835</v>
      </c>
      <c r="AK176" s="50" t="s">
        <v>131</v>
      </c>
      <c r="AL176" s="50" t="s">
        <v>130</v>
      </c>
      <c r="AM176" s="180" t="str">
        <f t="shared" si="120"/>
        <v>start /low /b %USERPROFILE%\Documents\GitHub\eaglep3\Utilities\DownloadLogsFromS3.py --loco 4043 --day 2017-01-08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569</v>
      </c>
      <c r="B177" s="7">
        <v>4044</v>
      </c>
      <c r="C177" s="22" t="s">
        <v>203</v>
      </c>
      <c r="D177" s="22" t="s">
        <v>362</v>
      </c>
      <c r="E177" s="13">
        <v>42743.719710648147</v>
      </c>
      <c r="F177" s="13">
        <v>42743.723194444443</v>
      </c>
      <c r="G177" s="7">
        <v>1</v>
      </c>
      <c r="H177" s="22" t="s">
        <v>403</v>
      </c>
      <c r="I177" s="13">
        <v>42743.733275462961</v>
      </c>
      <c r="J177" s="7">
        <v>0</v>
      </c>
      <c r="K177" s="105" t="str">
        <f t="shared" si="103"/>
        <v>4043/4044</v>
      </c>
      <c r="L177" s="22" t="str">
        <f>VLOOKUP(A177,'Trips&amp;Operators'!$C$1:$G$99999,5,FALSE)</f>
        <v>HELVIE ADAM</v>
      </c>
      <c r="M177" s="6">
        <f t="shared" si="104"/>
        <v>1.0081018517666962E-2</v>
      </c>
      <c r="N177" s="7">
        <f t="shared" si="105"/>
        <v>14.516666665440425</v>
      </c>
      <c r="O177" s="7"/>
      <c r="P177" s="7"/>
      <c r="Q177" s="23"/>
      <c r="R177" s="23"/>
      <c r="S177" s="32">
        <f t="shared" si="106"/>
        <v>1</v>
      </c>
      <c r="T177" s="47" t="str">
        <f t="shared" si="107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16:16:23-700',mode:absolute,to:'2017-01-08 18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49" t="str">
        <f t="shared" si="109"/>
        <v>N</v>
      </c>
      <c r="X177" s="173">
        <f t="shared" si="110"/>
        <v>1</v>
      </c>
      <c r="Y177" s="64">
        <f t="shared" si="111"/>
        <v>9.6000000000000002E-2</v>
      </c>
      <c r="Z177" s="64">
        <f t="shared" si="112"/>
        <v>5.8935000000000004</v>
      </c>
      <c r="AA177" s="64">
        <f t="shared" si="113"/>
        <v>5.7975000000000003</v>
      </c>
      <c r="AB177" s="61" t="e">
        <f>VLOOKUP(A177,Enforcements!$C$7:$K$18,8,0)</f>
        <v>#N/A</v>
      </c>
      <c r="AC177" s="57" t="e">
        <f>VLOOKUP(A177,Enforcements!$C$7:$E$18,3,0)</f>
        <v>#N/A</v>
      </c>
      <c r="AD177" s="58" t="str">
        <f t="shared" si="114"/>
        <v>1823-08</v>
      </c>
      <c r="AE177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7" s="84" t="str">
        <f t="shared" si="116"/>
        <v>"C:\Program Files (x86)\AstroGrep\AstroGrep.exe" /spath="%USERPROFILE%\AppData\Local\Temp\OnboardLogs" /stypes="app*4044*20170109*" /stext=" 00:.+((SYSTEM_STATE.+slice.+state.+changed )|(ment ac)|(multiple cpu faults)|(system.+state.+changed )|(\[timeout)|(PRM\|1\|D)|(kpr)|(kdp)|(\|lc)|(penalty))" /e /r /s</v>
      </c>
      <c r="AG177" s="1" t="str">
        <f t="shared" si="117"/>
        <v>NW</v>
      </c>
      <c r="AH177" s="88" t="str">
        <f t="shared" si="118"/>
        <v>"%USERPROFILE%\Documents\GitHub\eaglep3\Utilities\RefineRTDCRunTimes.py" --tripid 1823-08 --locoid 4044 --swversion DE.1.0.8.0 --startMP 204:960 --initTime 2017-01-08T17:16:23 --startdatetime 2017-01-08T17:21:24 --delay 1 --endMP 300:58935 --enddatetime 2017-01-08T17:35:55 --enforcementcount 0 &gt;&gt;C:\Users\stu\Documents\GitHub\eaglep3-reporting\EC\2017-01-08-refined-times.txt</v>
      </c>
      <c r="AI177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ID","value":"1823-08"},{"id":16,"name":"Locomotive ID","value":"4044"},{"id":130,"name":"Impact","value":""},{"id":150,"name":"Time of Event (Mountain Time)","value":"17:35:55"},{"id":151,"name":"Denver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120"/>
        <v>start /low /b %USERPROFILE%\Documents\GitHub\eaglep3\Utilities\DownloadLogsFromS3.py --loco 4044 --day 2017-01-08</v>
      </c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4" t="s">
        <v>574</v>
      </c>
      <c r="B178" s="7">
        <v>4043</v>
      </c>
      <c r="C178" s="22" t="s">
        <v>203</v>
      </c>
      <c r="D178" s="22" t="s">
        <v>336</v>
      </c>
      <c r="E178" s="13">
        <v>42743.734340277777</v>
      </c>
      <c r="F178" s="13">
        <v>42743.735763888886</v>
      </c>
      <c r="G178" s="7">
        <v>1</v>
      </c>
      <c r="H178" s="22" t="s">
        <v>724</v>
      </c>
      <c r="I178" s="13">
        <v>42743.746863425928</v>
      </c>
      <c r="J178" s="7">
        <v>0</v>
      </c>
      <c r="K178" s="105" t="str">
        <f t="shared" si="103"/>
        <v>4043/4044</v>
      </c>
      <c r="L178" s="22" t="str">
        <f>VLOOKUP(A178,'Trips&amp;Operators'!$C$1:$G$99999,5,FALSE)</f>
        <v>HELVIE ADAM</v>
      </c>
      <c r="M178" s="6">
        <f t="shared" si="104"/>
        <v>1.1099537041445728E-2</v>
      </c>
      <c r="N178" s="7">
        <f t="shared" si="105"/>
        <v>15.983333339681849</v>
      </c>
      <c r="O178" s="7"/>
      <c r="P178" s="7"/>
      <c r="Q178" s="23"/>
      <c r="R178" s="23"/>
      <c r="S178" s="32">
        <f t="shared" si="106"/>
        <v>1</v>
      </c>
      <c r="T178" s="47" t="str">
        <f t="shared" si="107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16:37:27-700',mode:absolute,to:'2017-01-08 18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8" s="49" t="str">
        <f t="shared" si="109"/>
        <v>N</v>
      </c>
      <c r="X178" s="173">
        <f t="shared" si="110"/>
        <v>1</v>
      </c>
      <c r="Y178" s="64">
        <f t="shared" si="111"/>
        <v>5.8619000000000003</v>
      </c>
      <c r="Z178" s="64">
        <f t="shared" si="112"/>
        <v>6.9199999999999998E-2</v>
      </c>
      <c r="AA178" s="64">
        <f t="shared" si="113"/>
        <v>5.7927</v>
      </c>
      <c r="AB178" s="61" t="e">
        <f>VLOOKUP(A178,Enforcements!$C$7:$K$18,8,0)</f>
        <v>#N/A</v>
      </c>
      <c r="AC178" s="57" t="e">
        <f>VLOOKUP(A178,Enforcements!$C$7:$E$18,3,0)</f>
        <v>#N/A</v>
      </c>
      <c r="AD178" s="58" t="str">
        <f t="shared" si="114"/>
        <v>1824-08</v>
      </c>
      <c r="AE178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78" s="84" t="str">
        <f t="shared" si="116"/>
        <v>"C:\Program Files (x86)\AstroGrep\AstroGrep.exe" /spath="%USERPROFILE%\AppData\Local\Temp\OnboardLogs" /stypes="app*4043*20170109*" /stext=" 00:.+((SYSTEM_STATE.+slice.+state.+changed )|(ment ac)|(multiple cpu faults)|(system.+state.+changed )|(\[timeout)|(PRM\|1\|D)|(kpr)|(kdp)|(\|lc)|(penalty))" /e /r /s</v>
      </c>
      <c r="AG178" s="1" t="str">
        <f t="shared" si="117"/>
        <v>NW</v>
      </c>
      <c r="AH178" s="88" t="str">
        <f t="shared" si="118"/>
        <v>"%USERPROFILE%\Documents\GitHub\eaglep3\Utilities\RefineRTDCRunTimes.py" --tripid 1824-08 --locoid 4043 --swversion DE.1.0.8.0 --startMP 300:58619 --initTime 2017-01-08T17:37:27 --startdatetime 2017-01-08T17:39:30 --delay 1 --endMP 204:692 --enddatetime 2017-01-08T17:55:29 --enforcementcount 0 &gt;&gt;C:\Users\stu\Documents\GitHub\eaglep3-reporting\EC\2017-01-08-refined-times.txt</v>
      </c>
      <c r="AI178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{"issue":{"subject":"","project_id":79,"tracker_id":40,"status_id":1,"priority_id":2,"assigned_to_id":23,"start_date":"2017-01-08","description":"","custom_fields":[{"id":1,"name":"Subdivision","value":"NW"},{"id":4,"name":"Milepost","value":"0.0692"},{"id":17,"name":"Train ID","value":"1824-08"},{"id":16,"name":"Locomotive ID","value":"4043"},{"id":130,"name":"Impact","value":""},{"id":150,"name":"Time of Event (Mountain Time)","value":"17:55:29"},{"id":151,"name":"Denver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120"/>
        <v>start /low /b %USERPROFILE%\Documents\GitHub\eaglep3\Utilities\DownloadLogsFromS3.py --loco 4043 --day 2017-01-08</v>
      </c>
    </row>
    <row r="179" spans="1:91" x14ac:dyDescent="0.25">
      <c r="A179" s="34" t="s">
        <v>426</v>
      </c>
      <c r="B179" s="7">
        <v>4044</v>
      </c>
      <c r="C179" s="22" t="s">
        <v>203</v>
      </c>
      <c r="D179" s="22" t="s">
        <v>407</v>
      </c>
      <c r="E179" s="13">
        <v>42743.762013888889</v>
      </c>
      <c r="F179" s="13">
        <v>42743.764814814815</v>
      </c>
      <c r="G179" s="7">
        <v>1</v>
      </c>
      <c r="H179" s="22" t="s">
        <v>721</v>
      </c>
      <c r="I179" s="13">
        <v>42743.77484953704</v>
      </c>
      <c r="J179" s="7">
        <v>0</v>
      </c>
      <c r="K179" s="105" t="str">
        <f t="shared" si="103"/>
        <v>4043/4044</v>
      </c>
      <c r="L179" s="22" t="str">
        <f>VLOOKUP(A179,'Trips&amp;Operators'!$C$1:$G$99999,5,FALSE)</f>
        <v>HELVIE ADAM</v>
      </c>
      <c r="M179" s="6">
        <f t="shared" si="104"/>
        <v>1.0034722225100268E-2</v>
      </c>
      <c r="N179" s="7">
        <f t="shared" si="105"/>
        <v>14.450000004144385</v>
      </c>
      <c r="O179" s="7"/>
      <c r="P179" s="7"/>
      <c r="Q179" s="23"/>
      <c r="R179" s="23"/>
      <c r="S179" s="32">
        <f t="shared" si="106"/>
        <v>1</v>
      </c>
      <c r="T179" s="47" t="str">
        <f t="shared" si="107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17:17:18-700',mode:absolute,to:'2017-01-08 19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9" s="49" t="str">
        <f t="shared" si="109"/>
        <v>N</v>
      </c>
      <c r="X179" s="173">
        <f t="shared" si="110"/>
        <v>1</v>
      </c>
      <c r="Y179" s="64">
        <f t="shared" si="111"/>
        <v>9.8799999999999999E-2</v>
      </c>
      <c r="Z179" s="64">
        <f t="shared" si="112"/>
        <v>5.8940999999999999</v>
      </c>
      <c r="AA179" s="64">
        <f t="shared" si="113"/>
        <v>5.7953000000000001</v>
      </c>
      <c r="AB179" s="61" t="e">
        <f>VLOOKUP(A179,Enforcements!$C$7:$K$18,8,0)</f>
        <v>#N/A</v>
      </c>
      <c r="AC179" s="57" t="e">
        <f>VLOOKUP(A179,Enforcements!$C$7:$E$18,3,0)</f>
        <v>#N/A</v>
      </c>
      <c r="AD179" s="58" t="str">
        <f t="shared" si="114"/>
        <v>1825-08</v>
      </c>
      <c r="AE179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79" s="84" t="str">
        <f t="shared" si="116"/>
        <v>"C:\Program Files (x86)\AstroGrep\AstroGrep.exe" /spath="%USERPROFILE%\AppData\Local\Temp\OnboardLogs" /stypes="app*4044*20170109*" /stext=" 01:.+((SYSTEM_STATE.+slice.+state.+changed )|(ment ac)|(multiple cpu faults)|(system.+state.+changed )|(\[timeout)|(PRM\|1\|D)|(kpr)|(kdp)|(\|lc)|(penalty))" /e /r /s</v>
      </c>
      <c r="AG179" s="1" t="str">
        <f t="shared" si="117"/>
        <v>NW</v>
      </c>
      <c r="AH179" s="88" t="str">
        <f t="shared" si="118"/>
        <v>"%USERPROFILE%\Documents\GitHub\eaglep3\Utilities\RefineRTDCRunTimes.py" --tripid 1825-08 --locoid 4044 --swversion DE.1.0.8.0 --startMP 204:988 --initTime 2017-01-08T18:17:18 --startdatetime 2017-01-08T18:21:20 --delay 1 --endMP 300:58941 --enddatetime 2017-01-08T18:35:47 --enforcementcount 0 &gt;&gt;C:\Users\stu\Documents\GitHub\eaglep3-reporting\EC\2017-01-08-refined-times.txt</v>
      </c>
      <c r="AI179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{"issue":{"subject":"","project_id":79,"tracker_id":40,"status_id":1,"priority_id":2,"assigned_to_id":23,"start_date":"2017-01-08","description":"","custom_fields":[{"id":1,"name":"Subdivision","value":"NW"},{"id":4,"name":"Milepost","value":"5.8941"},{"id":17,"name":"Train ID","value":"1825-08"},{"id":16,"name":"Locomotive ID","value":"4044"},{"id":130,"name":"Impact","value":""},{"id":150,"name":"Time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120"/>
        <v>start /low /b %USERPROFILE%\Documents\GitHub\eaglep3\Utilities\DownloadLogsFromS3.py --loco 4044 --day 2017-01-08</v>
      </c>
    </row>
    <row r="180" spans="1:91" x14ac:dyDescent="0.25">
      <c r="A180" s="34" t="s">
        <v>590</v>
      </c>
      <c r="B180" s="7">
        <v>4043</v>
      </c>
      <c r="C180" s="22" t="s">
        <v>203</v>
      </c>
      <c r="D180" s="22" t="s">
        <v>725</v>
      </c>
      <c r="E180" s="13">
        <v>42743.776296296295</v>
      </c>
      <c r="F180" s="13">
        <v>42743.777361111112</v>
      </c>
      <c r="G180" s="7">
        <v>1</v>
      </c>
      <c r="H180" s="22" t="s">
        <v>726</v>
      </c>
      <c r="I180" s="13">
        <v>42743.790254629632</v>
      </c>
      <c r="J180" s="7">
        <v>0</v>
      </c>
      <c r="K180" s="105" t="str">
        <f t="shared" si="103"/>
        <v>4043/4044</v>
      </c>
      <c r="L180" s="22" t="str">
        <f>VLOOKUP(A180,'Trips&amp;Operators'!$C$1:$G$99999,5,FALSE)</f>
        <v>HELVIE ADAM</v>
      </c>
      <c r="M180" s="6">
        <f t="shared" si="104"/>
        <v>1.2893518520286307E-2</v>
      </c>
      <c r="N180" s="7">
        <f t="shared" si="105"/>
        <v>18.566666669212282</v>
      </c>
      <c r="O180" s="7"/>
      <c r="P180" s="7"/>
      <c r="Q180" s="23"/>
      <c r="R180" s="23"/>
      <c r="S180" s="32">
        <f t="shared" si="106"/>
        <v>1</v>
      </c>
      <c r="T180" s="47" t="str">
        <f t="shared" si="107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17:37:52-700',mode:absolute,to:'2017-01-08 19:57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0" s="49" t="str">
        <f t="shared" si="109"/>
        <v>N</v>
      </c>
      <c r="X180" s="173">
        <f t="shared" si="110"/>
        <v>1</v>
      </c>
      <c r="Y180" s="64">
        <f t="shared" si="111"/>
        <v>5.8611000000000004</v>
      </c>
      <c r="Z180" s="64">
        <f t="shared" si="112"/>
        <v>7.2900000000000006E-2</v>
      </c>
      <c r="AA180" s="64">
        <f t="shared" si="113"/>
        <v>5.7882000000000007</v>
      </c>
      <c r="AB180" s="61" t="e">
        <f>VLOOKUP(A180,Enforcements!$C$7:$K$18,8,0)</f>
        <v>#N/A</v>
      </c>
      <c r="AC180" s="57" t="e">
        <f>VLOOKUP(A180,Enforcements!$C$7:$E$18,3,0)</f>
        <v>#N/A</v>
      </c>
      <c r="AD180" s="58" t="str">
        <f t="shared" si="114"/>
        <v>1826-08</v>
      </c>
      <c r="AE180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80" s="84" t="str">
        <f t="shared" si="116"/>
        <v>"C:\Program Files (x86)\AstroGrep\AstroGrep.exe" /spath="%USERPROFILE%\AppData\Local\Temp\OnboardLogs" /stypes="app*4043*20170109*" /stext=" 01:.+((SYSTEM_STATE.+slice.+state.+changed )|(ment ac)|(multiple cpu faults)|(system.+state.+changed )|(\[timeout)|(PRM\|1\|D)|(kpr)|(kdp)|(\|lc)|(penalty))" /e /r /s</v>
      </c>
      <c r="AG180" s="1" t="str">
        <f t="shared" si="117"/>
        <v>NW</v>
      </c>
      <c r="AH180" s="88" t="str">
        <f t="shared" si="118"/>
        <v>"%USERPROFILE%\Documents\GitHub\eaglep3\Utilities\RefineRTDCRunTimes.py" --tripid 1826-08 --locoid 4043 --swversion DE.1.0.8.0 --startMP 300:58611 --initTime 2017-01-08T18:37:52 --startdatetime 2017-01-08T18:39:24 --delay 1 --endMP 204:729 --enddatetime 2017-01-08T18:57:58 --enforcementcount 0 &gt;&gt;C:\Users\stu\Documents\GitHub\eaglep3-reporting\EC\2017-01-08-refined-times.txt</v>
      </c>
      <c r="AI180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{"issue":{"subject":"","project_id":79,"tracker_id":40,"status_id":1,"priority_id":2,"assigned_to_id":23,"start_date":"2017-01-08","description":"","custom_fields":[{"id":1,"name":"Subdivision","value":"NW"},{"id":4,"name":"Milepost","value":"0.0729"},{"id":17,"name":"Train ID","value":"1826-08"},{"id":16,"name":"Locomotive ID","value":"4043"},{"id":130,"name":"Impact","value":""},{"id":150,"name":"Time of Event (Mountain Time)","value":"18:57:58"},{"id":151,"name":"Denver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120"/>
        <v>start /low /b %USERPROFILE%\Documents\GitHub\eaglep3\Utilities\DownloadLogsFromS3.py --loco 4043 --day 2017-01-08</v>
      </c>
    </row>
    <row r="181" spans="1:91" x14ac:dyDescent="0.25">
      <c r="A181" s="34" t="s">
        <v>597</v>
      </c>
      <c r="B181" s="7">
        <v>4044</v>
      </c>
      <c r="C181" s="22" t="s">
        <v>203</v>
      </c>
      <c r="D181" s="22" t="s">
        <v>727</v>
      </c>
      <c r="E181" s="13">
        <v>42743.803773148145</v>
      </c>
      <c r="F181" s="13">
        <v>42743.807210648149</v>
      </c>
      <c r="G181" s="7">
        <v>0</v>
      </c>
      <c r="H181" s="22" t="s">
        <v>288</v>
      </c>
      <c r="I181" s="13">
        <v>42743.817094907405</v>
      </c>
      <c r="J181" s="7">
        <v>0</v>
      </c>
      <c r="K181" s="105" t="str">
        <f t="shared" si="103"/>
        <v>4043/4044</v>
      </c>
      <c r="L181" s="22" t="str">
        <f>VLOOKUP(A181,'Trips&amp;Operators'!$C$1:$G$99999,5,FALSE)</f>
        <v>HELVIE ADAM</v>
      </c>
      <c r="M181" s="6">
        <f t="shared" si="104"/>
        <v>9.8842592560686171E-3</v>
      </c>
      <c r="N181" s="7">
        <f t="shared" si="105"/>
        <v>14.233333328738809</v>
      </c>
      <c r="O181" s="7"/>
      <c r="P181" s="7"/>
      <c r="Q181" s="23"/>
      <c r="R181" s="23"/>
      <c r="S181" s="32">
        <f t="shared" si="106"/>
        <v>1</v>
      </c>
      <c r="T181" s="47" t="str">
        <f t="shared" si="107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18:17:26-700',mode:absolute,to:'2017-01-08 20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1" s="49" t="str">
        <f t="shared" si="109"/>
        <v>N</v>
      </c>
      <c r="X181" s="173">
        <f t="shared" si="110"/>
        <v>1</v>
      </c>
      <c r="Y181" s="64">
        <f t="shared" si="111"/>
        <v>0.1016</v>
      </c>
      <c r="Z181" s="64">
        <f t="shared" si="112"/>
        <v>5.8930999999999996</v>
      </c>
      <c r="AA181" s="64">
        <f t="shared" si="113"/>
        <v>5.7914999999999992</v>
      </c>
      <c r="AB181" s="61" t="e">
        <f>VLOOKUP(A181,Enforcements!$C$7:$K$18,8,0)</f>
        <v>#N/A</v>
      </c>
      <c r="AC181" s="57" t="e">
        <f>VLOOKUP(A181,Enforcements!$C$7:$E$18,3,0)</f>
        <v>#N/A</v>
      </c>
      <c r="AD181" s="58" t="str">
        <f t="shared" si="114"/>
        <v>1827-08</v>
      </c>
      <c r="AE181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81" s="84" t="str">
        <f t="shared" si="116"/>
        <v>"C:\Program Files (x86)\AstroGrep\AstroGrep.exe" /spath="%USERPROFILE%\AppData\Local\Temp\OnboardLogs" /stypes="app*4044*20170109*" /stext=" 02:.+((SYSTEM_STATE.+slice.+state.+changed )|(ment ac)|(multiple cpu faults)|(system.+state.+changed )|(\[timeout)|(PRM\|1\|D)|(kpr)|(kdp)|(\|lc)|(penalty))" /e /r /s</v>
      </c>
      <c r="AG181" s="1" t="str">
        <f t="shared" si="117"/>
        <v>NW</v>
      </c>
      <c r="AH181" s="88" t="str">
        <f t="shared" si="118"/>
        <v>"%USERPROFILE%\Documents\GitHub\eaglep3\Utilities\RefineRTDCRunTimes.py" --tripid 1827-08 --locoid 4044 --swversion DE.1.0.8.0 --startMP 204:1016 --initTime 2017-01-08T19:17:26 --startdatetime 2017-01-08T19:22:23 --delay 0 --endMP 300:58931 --enddatetime 2017-01-08T19:36:37 --enforcementcount 0 &gt;&gt;C:\Users\stu\Documents\GitHub\eaglep3-reporting\EC\2017-01-08-refined-times.txt</v>
      </c>
      <c r="AI181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{"issue":{"subject":"","project_id":79,"tracker_id":40,"status_id":1,"priority_id":2,"assigned_to_id":23,"start_date":"2017-01-08","description":"","custom_fields":[{"id":1,"name":"Subdivision","value":"NW"},{"id":4,"name":"Milepost","value":"5.8931"},{"id":17,"name":"Train ID","value":"1827-08"},{"id":16,"name":"Locomotive ID","value":"4044"},{"id":130,"name":"Impact","value":""},{"id":150,"name":"Time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120"/>
        <v>start /low /b %USERPROFILE%\Documents\GitHub\eaglep3\Utilities\DownloadLogsFromS3.py --loco 4044 --day 2017-01-08</v>
      </c>
    </row>
    <row r="182" spans="1:91" x14ac:dyDescent="0.25">
      <c r="A182" s="34" t="s">
        <v>599</v>
      </c>
      <c r="B182" s="7">
        <v>4043</v>
      </c>
      <c r="C182" s="22" t="s">
        <v>203</v>
      </c>
      <c r="D182" s="22" t="s">
        <v>320</v>
      </c>
      <c r="E182" s="13">
        <v>42743.81832175926</v>
      </c>
      <c r="F182" s="13">
        <v>42743.820069444446</v>
      </c>
      <c r="G182" s="7">
        <v>1</v>
      </c>
      <c r="H182" s="22" t="s">
        <v>728</v>
      </c>
      <c r="I182" s="13">
        <v>42743.836076388892</v>
      </c>
      <c r="J182" s="7">
        <v>0</v>
      </c>
      <c r="K182" s="105" t="str">
        <f t="shared" si="103"/>
        <v>4043/4044</v>
      </c>
      <c r="L182" s="22" t="str">
        <f>VLOOKUP(A182,'Trips&amp;Operators'!$C$1:$G$99999,5,FALSE)</f>
        <v>HELVIE ADAM</v>
      </c>
      <c r="M182" s="6">
        <f t="shared" si="104"/>
        <v>1.6006944446417037E-2</v>
      </c>
      <c r="N182" s="7">
        <f t="shared" si="105"/>
        <v>23.050000002840534</v>
      </c>
      <c r="O182" s="7"/>
      <c r="P182" s="7"/>
      <c r="Q182" s="23"/>
      <c r="R182" s="23"/>
      <c r="S182" s="32">
        <f t="shared" si="106"/>
        <v>1</v>
      </c>
      <c r="T182" s="47" t="str">
        <f t="shared" si="107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18:38:23-700',mode:absolute,to:'2017-01-08 21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2" s="49" t="str">
        <f t="shared" si="109"/>
        <v>N</v>
      </c>
      <c r="X182" s="173">
        <f t="shared" si="110"/>
        <v>1</v>
      </c>
      <c r="Y182" s="64">
        <f t="shared" si="111"/>
        <v>5.8613</v>
      </c>
      <c r="Z182" s="64">
        <f t="shared" si="112"/>
        <v>7.4700000000000003E-2</v>
      </c>
      <c r="AA182" s="64">
        <f t="shared" si="113"/>
        <v>5.7866</v>
      </c>
      <c r="AB182" s="61" t="e">
        <f>VLOOKUP(A182,Enforcements!$C$7:$K$18,8,0)</f>
        <v>#N/A</v>
      </c>
      <c r="AC182" s="57" t="e">
        <f>VLOOKUP(A182,Enforcements!$C$7:$E$18,3,0)</f>
        <v>#N/A</v>
      </c>
      <c r="AD182" s="58" t="str">
        <f t="shared" si="114"/>
        <v>1828-08</v>
      </c>
      <c r="AE182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82" s="84" t="str">
        <f t="shared" si="116"/>
        <v>"C:\Program Files (x86)\AstroGrep\AstroGrep.exe" /spath="%USERPROFILE%\AppData\Local\Temp\OnboardLogs" /stypes="app*4043*20170109*" /stext=" 03:.+((SYSTEM_STATE.+slice.+state.+changed )|(ment ac)|(multiple cpu faults)|(system.+state.+changed )|(\[timeout)|(PRM\|1\|D)|(kpr)|(kdp)|(\|lc)|(penalty))" /e /r /s</v>
      </c>
      <c r="AG182" s="1" t="str">
        <f t="shared" si="117"/>
        <v>NW</v>
      </c>
      <c r="AH182" s="88" t="str">
        <f t="shared" si="118"/>
        <v>"%USERPROFILE%\Documents\GitHub\eaglep3\Utilities\RefineRTDCRunTimes.py" --tripid 1828-08 --locoid 4043 --swversion DE.1.0.8.0 --startMP 300:58613 --initTime 2017-01-08T19:38:23 --startdatetime 2017-01-08T19:40:54 --delay 1 --endMP 204:747 --enddatetime 2017-01-08T20:03:57 --enforcementcount 0 &gt;&gt;C:\Users\stu\Documents\GitHub\eaglep3-reporting\EC\2017-01-08-refined-times.txt</v>
      </c>
      <c r="AI182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{"issue":{"subject":"","project_id":79,"tracker_id":40,"status_id":1,"priority_id":2,"assigned_to_id":23,"start_date":"2017-01-08","description":"","custom_fields":[{"id":1,"name":"Subdivision","value":"NW"},{"id":4,"name":"Milepost","value":"0.0747"},{"id":17,"name":"Train ID","value":"1828-08"},{"id":16,"name":"Locomotive ID","value":"4043"},{"id":130,"name":"Impact","value":""},{"id":150,"name":"Time of Event (Mountain Time)","value":"20:03:57"},{"id":151,"name":"Denver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120"/>
        <v>start /low /b %USERPROFILE%\Documents\GitHub\eaglep3\Utilities\DownloadLogsFromS3.py --loco 4043 --day 2017-01-08</v>
      </c>
    </row>
    <row r="183" spans="1:91" x14ac:dyDescent="0.25">
      <c r="A183" s="34" t="s">
        <v>605</v>
      </c>
      <c r="B183" s="7">
        <v>4044</v>
      </c>
      <c r="C183" s="22" t="s">
        <v>203</v>
      </c>
      <c r="D183" s="22" t="s">
        <v>712</v>
      </c>
      <c r="E183" s="13">
        <v>42743.845578703702</v>
      </c>
      <c r="F183" s="13">
        <v>42743.848090277781</v>
      </c>
      <c r="G183" s="7">
        <v>1</v>
      </c>
      <c r="H183" s="22" t="s">
        <v>729</v>
      </c>
      <c r="I183" s="13">
        <v>42743.857789351852</v>
      </c>
      <c r="J183" s="7">
        <v>0</v>
      </c>
      <c r="K183" s="105" t="str">
        <f t="shared" si="103"/>
        <v>4043/4044</v>
      </c>
      <c r="L183" s="22" t="str">
        <f>VLOOKUP(A183,'Trips&amp;Operators'!$C$1:$G$99999,5,FALSE)</f>
        <v>HELVIE ADAM</v>
      </c>
      <c r="M183" s="6">
        <f t="shared" si="104"/>
        <v>9.6990740712499246E-3</v>
      </c>
      <c r="N183" s="7">
        <f t="shared" si="105"/>
        <v>13.966666662599891</v>
      </c>
      <c r="O183" s="7"/>
      <c r="P183" s="7"/>
      <c r="Q183" s="23"/>
      <c r="R183" s="23"/>
      <c r="S183" s="32">
        <f t="shared" si="106"/>
        <v>1</v>
      </c>
      <c r="T183" s="47" t="str">
        <f t="shared" si="107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19:17:38-700',mode:absolute,to:'2017-01-08 21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49" t="str">
        <f t="shared" si="109"/>
        <v>N</v>
      </c>
      <c r="X183" s="173">
        <f t="shared" si="110"/>
        <v>1</v>
      </c>
      <c r="Y183" s="64">
        <f t="shared" si="111"/>
        <v>0.1027</v>
      </c>
      <c r="Z183" s="64">
        <f t="shared" si="112"/>
        <v>5.8943000000000003</v>
      </c>
      <c r="AA183" s="64">
        <f t="shared" si="113"/>
        <v>5.7916000000000007</v>
      </c>
      <c r="AB183" s="61" t="e">
        <f>VLOOKUP(A183,Enforcements!$C$7:$K$18,8,0)</f>
        <v>#N/A</v>
      </c>
      <c r="AC183" s="57" t="e">
        <f>VLOOKUP(A183,Enforcements!$C$7:$E$18,3,0)</f>
        <v>#N/A</v>
      </c>
      <c r="AD183" s="58" t="str">
        <f t="shared" si="114"/>
        <v>1829-08</v>
      </c>
      <c r="AE183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83" s="84" t="str">
        <f t="shared" si="116"/>
        <v>"C:\Program Files (x86)\AstroGrep\AstroGrep.exe" /spath="%USERPROFILE%\AppData\Local\Temp\OnboardLogs" /stypes="app*4044*20170109*" /stext=" 03:.+((SYSTEM_STATE.+slice.+state.+changed )|(ment ac)|(multiple cpu faults)|(system.+state.+changed )|(\[timeout)|(PRM\|1\|D)|(kpr)|(kdp)|(\|lc)|(penalty))" /e /r /s</v>
      </c>
      <c r="AG183" s="1" t="str">
        <f t="shared" si="117"/>
        <v>NW</v>
      </c>
      <c r="AH183" s="88" t="str">
        <f t="shared" si="118"/>
        <v>"%USERPROFILE%\Documents\GitHub\eaglep3\Utilities\RefineRTDCRunTimes.py" --tripid 1829-08 --locoid 4044 --swversion DE.1.0.8.0 --startMP 204:1027 --initTime 2017-01-08T20:17:38 --startdatetime 2017-01-08T20:21:15 --delay 1 --endMP 300:58943 --enddatetime 2017-01-08T20:35:13 --enforcementcount 0 &gt;&gt;C:\Users\stu\Documents\GitHub\eaglep3-reporting\EC\2017-01-08-refined-times.txt</v>
      </c>
      <c r="AI183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{"issue":{"subject":"","project_id":79,"tracker_id":40,"status_id":1,"priority_id":2,"assigned_to_id":23,"start_date":"2017-01-08","description":"","custom_fields":[{"id":1,"name":"Subdivision","value":"NW"},{"id":4,"name":"Milepost","value":"5.8943"},{"id":17,"name":"Train ID","value":"1829-08"},{"id":16,"name":"Locomotive ID","value":"4044"},{"id":130,"name":"Impact","value":""},{"id":150,"name":"Time of Event (Mountain Time)","value":"20:35:13"},{"id":151,"name":"Denver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120"/>
        <v>start /low /b %USERPROFILE%\Documents\GitHub\eaglep3\Utilities\DownloadLogsFromS3.py --loco 4044 --day 2017-01-08</v>
      </c>
    </row>
    <row r="184" spans="1:91" x14ac:dyDescent="0.25">
      <c r="A184" s="34" t="s">
        <v>606</v>
      </c>
      <c r="B184" s="7">
        <v>4043</v>
      </c>
      <c r="C184" s="22" t="s">
        <v>203</v>
      </c>
      <c r="D184" s="22" t="s">
        <v>720</v>
      </c>
      <c r="E184" s="13">
        <v>42743.858796296299</v>
      </c>
      <c r="F184" s="13">
        <v>42743.86078703704</v>
      </c>
      <c r="G184" s="7">
        <v>1</v>
      </c>
      <c r="H184" s="22" t="s">
        <v>715</v>
      </c>
      <c r="I184" s="13">
        <v>42743.871574074074</v>
      </c>
      <c r="J184" s="7">
        <v>0</v>
      </c>
      <c r="K184" s="105" t="str">
        <f t="shared" si="103"/>
        <v>4043/4044</v>
      </c>
      <c r="L184" s="22" t="str">
        <f>VLOOKUP(A184,'Trips&amp;Operators'!$C$1:$G$99999,5,FALSE)</f>
        <v>HELVIE ADAM</v>
      </c>
      <c r="M184" s="6">
        <f t="shared" si="104"/>
        <v>1.0787037033878732E-2</v>
      </c>
      <c r="N184" s="7">
        <f t="shared" si="105"/>
        <v>15.533333328785375</v>
      </c>
      <c r="O184" s="7"/>
      <c r="P184" s="7"/>
      <c r="Q184" s="23"/>
      <c r="R184" s="23"/>
      <c r="S184" s="32">
        <f t="shared" si="106"/>
        <v>1</v>
      </c>
      <c r="T184" s="47" t="str">
        <f t="shared" si="107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19:36:40-700',mode:absolute,to:'2017-01-08 21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49" t="str">
        <f t="shared" si="109"/>
        <v>N</v>
      </c>
      <c r="X184" s="173">
        <f t="shared" si="110"/>
        <v>1</v>
      </c>
      <c r="Y184" s="64">
        <f t="shared" si="111"/>
        <v>5.8625999999999996</v>
      </c>
      <c r="Z184" s="64">
        <f t="shared" si="112"/>
        <v>7.6600000000000001E-2</v>
      </c>
      <c r="AA184" s="64">
        <f t="shared" si="113"/>
        <v>5.7859999999999996</v>
      </c>
      <c r="AB184" s="61" t="e">
        <f>VLOOKUP(A184,Enforcements!$C$7:$K$18,8,0)</f>
        <v>#N/A</v>
      </c>
      <c r="AC184" s="57" t="e">
        <f>VLOOKUP(A184,Enforcements!$C$7:$E$18,3,0)</f>
        <v>#N/A</v>
      </c>
      <c r="AD184" s="58" t="str">
        <f t="shared" si="114"/>
        <v>1830-08</v>
      </c>
      <c r="AE184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84" s="84" t="str">
        <f t="shared" si="116"/>
        <v>"C:\Program Files (x86)\AstroGrep\AstroGrep.exe" /spath="%USERPROFILE%\AppData\Local\Temp\OnboardLogs" /stypes="app*4043*20170109*" /stext=" 03:.+((SYSTEM_STATE.+slice.+state.+changed )|(ment ac)|(multiple cpu faults)|(system.+state.+changed )|(\[timeout)|(PRM\|1\|D)|(kpr)|(kdp)|(\|lc)|(penalty))" /e /r /s</v>
      </c>
      <c r="AG184" s="1" t="str">
        <f t="shared" si="117"/>
        <v>NW</v>
      </c>
      <c r="AH184" s="88" t="str">
        <f t="shared" si="118"/>
        <v>"%USERPROFILE%\Documents\GitHub\eaglep3\Utilities\RefineRTDCRunTimes.py" --tripid 1830-08 --locoid 4043 --swversion DE.1.0.8.0 --startMP 300:58626 --initTime 2017-01-08T20:36:40 --startdatetime 2017-01-08T20:39:32 --delay 1 --endMP 204:766 --enddatetime 2017-01-08T20:55:04 --enforcementcount 0 &gt;&gt;C:\Users\stu\Documents\GitHub\eaglep3-reporting\EC\2017-01-08-refined-times.txt</v>
      </c>
      <c r="AI184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{"issue":{"subject":"","project_id":79,"tracker_id":40,"status_id":1,"priority_id":2,"assigned_to_id":23,"start_date":"2017-01-08","description":"","custom_fields":[{"id":1,"name":"Subdivision","value":"NW"},{"id":4,"name":"Milepost","value":"0.0766"},{"id":17,"name":"Train ID","value":"1830-08"},{"id":16,"name":"Locomotive ID","value":"4043"},{"id":130,"name":"Impact","value":""},{"id":150,"name":"Time of Event (Mountain Time)","value":"20:55:04"},{"id":151,"name":"Denver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120"/>
        <v>start /low /b %USERPROFILE%\Documents\GitHub\eaglep3\Utilities\DownloadLogsFromS3.py --loco 4043 --day 2017-01-08</v>
      </c>
    </row>
    <row r="185" spans="1:91" s="21" customFormat="1" x14ac:dyDescent="0.25">
      <c r="A185" s="34" t="s">
        <v>610</v>
      </c>
      <c r="B185" s="7">
        <v>4044</v>
      </c>
      <c r="C185" s="22" t="s">
        <v>203</v>
      </c>
      <c r="D185" s="22" t="s">
        <v>730</v>
      </c>
      <c r="E185" s="13">
        <v>42743.888831018521</v>
      </c>
      <c r="F185" s="13">
        <v>42743.890150462961</v>
      </c>
      <c r="G185" s="7">
        <v>1</v>
      </c>
      <c r="H185" s="22" t="s">
        <v>403</v>
      </c>
      <c r="I185" s="13">
        <v>42743.899953703702</v>
      </c>
      <c r="J185" s="7">
        <v>0</v>
      </c>
      <c r="K185" s="105" t="str">
        <f t="shared" si="103"/>
        <v>4043/4044</v>
      </c>
      <c r="L185" s="22" t="str">
        <f>VLOOKUP(A185,'Trips&amp;Operators'!$C$1:$G$99999,5,FALSE)</f>
        <v>HELVIE ADAM</v>
      </c>
      <c r="M185" s="6">
        <f t="shared" si="104"/>
        <v>9.8032407404389232E-3</v>
      </c>
      <c r="N185" s="7">
        <f t="shared" si="105"/>
        <v>14.116666666232049</v>
      </c>
      <c r="O185" s="7"/>
      <c r="P185" s="7"/>
      <c r="Q185" s="23"/>
      <c r="R185" s="23"/>
      <c r="S185" s="32">
        <f t="shared" si="106"/>
        <v>1</v>
      </c>
      <c r="T185" s="47" t="str">
        <f t="shared" si="107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20:19:55-700',mode:absolute,to:'2017-01-08 22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5" s="49" t="str">
        <f t="shared" si="109"/>
        <v>N</v>
      </c>
      <c r="X185" s="173">
        <f t="shared" si="110"/>
        <v>1</v>
      </c>
      <c r="Y185" s="64">
        <f t="shared" si="111"/>
        <v>0.1055</v>
      </c>
      <c r="Z185" s="64">
        <f t="shared" si="112"/>
        <v>5.8935000000000004</v>
      </c>
      <c r="AA185" s="64">
        <f t="shared" si="113"/>
        <v>5.7880000000000003</v>
      </c>
      <c r="AB185" s="61" t="e">
        <f>VLOOKUP(A185,Enforcements!$C$7:$K$18,8,0)</f>
        <v>#N/A</v>
      </c>
      <c r="AC185" s="57" t="e">
        <f>VLOOKUP(A185,Enforcements!$C$7:$E$18,3,0)</f>
        <v>#N/A</v>
      </c>
      <c r="AD185" s="58" t="str">
        <f t="shared" si="114"/>
        <v>1831-08</v>
      </c>
      <c r="AE185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85" s="84" t="str">
        <f t="shared" si="116"/>
        <v>"C:\Program Files (x86)\AstroGrep\AstroGrep.exe" /spath="%USERPROFILE%\AppData\Local\Temp\OnboardLogs" /stypes="app*4044*20170109*" /stext=" 04:.+((SYSTEM_STATE.+slice.+state.+changed )|(ment ac)|(multiple cpu faults)|(system.+state.+changed )|(\[timeout)|(PRM\|1\|D)|(kpr)|(kdp)|(\|lc)|(penalty))" /e /r /s</v>
      </c>
      <c r="AG185" s="1" t="str">
        <f t="shared" si="117"/>
        <v>NW</v>
      </c>
      <c r="AH185" s="88" t="str">
        <f t="shared" si="118"/>
        <v>"%USERPROFILE%\Documents\GitHub\eaglep3\Utilities\RefineRTDCRunTimes.py" --tripid 1831-08 --locoid 4044 --swversion DE.1.0.8.0 --startMP 204:1055 --initTime 2017-01-08T21:19:55 --startdatetime 2017-01-08T21:21:49 --delay 1 --endMP 300:58935 --enddatetime 2017-01-08T21:35:56 --enforcementcount 0 &gt;&gt;C:\Users\stu\Documents\GitHub\eaglep3-reporting\EC\2017-01-08-refined-times.txt</v>
      </c>
      <c r="AI185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{"issue":{"subject":"","project_id":79,"tracker_id":40,"status_id":1,"priority_id":2,"assigned_to_id":23,"start_date":"2017-01-08","description":"","custom_fields":[{"id":1,"name":"Subdivision","value":"NW"},{"id":4,"name":"Milepost","value":"5.8935"},{"id":17,"name":"Train ID","value":"1831-08"},{"id":16,"name":"Locomotive ID","value":"4044"},{"id":130,"name":"Impact","value":""},{"id":150,"name":"Time of Event (Mountain Time)","value":"21:35:56"},{"id":151,"name":"Denver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120"/>
        <v>start /low /b %USERPROFILE%\Documents\GitHub\eaglep3\Utilities\DownloadLogsFromS3.py --loco 4044 --day 2017-01-08</v>
      </c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612</v>
      </c>
      <c r="B186" s="7">
        <v>4043</v>
      </c>
      <c r="C186" s="22" t="s">
        <v>203</v>
      </c>
      <c r="D186" s="22" t="s">
        <v>404</v>
      </c>
      <c r="E186" s="13">
        <v>42743.900868055556</v>
      </c>
      <c r="F186" s="13">
        <v>42743.902314814812</v>
      </c>
      <c r="G186" s="7">
        <v>1</v>
      </c>
      <c r="H186" s="22" t="s">
        <v>731</v>
      </c>
      <c r="I186" s="13">
        <v>42743.913587962961</v>
      </c>
      <c r="J186" s="7">
        <v>0</v>
      </c>
      <c r="K186" s="105" t="str">
        <f t="shared" si="103"/>
        <v>4043/4044</v>
      </c>
      <c r="L186" s="22" t="str">
        <f>VLOOKUP(A186,'Trips&amp;Operators'!$C$1:$G$99999,5,FALSE)</f>
        <v>HELVIE ADAM</v>
      </c>
      <c r="M186" s="6">
        <f t="shared" si="104"/>
        <v>1.1273148149484769E-2</v>
      </c>
      <c r="N186" s="7">
        <f t="shared" si="105"/>
        <v>16.233333335258067</v>
      </c>
      <c r="O186" s="7"/>
      <c r="P186" s="7"/>
      <c r="Q186" s="23"/>
      <c r="R186" s="23"/>
      <c r="S186" s="32">
        <f t="shared" si="106"/>
        <v>1</v>
      </c>
      <c r="T186" s="47" t="str">
        <f t="shared" si="107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20:37:15-700',mode:absolute,to:'2017-01-08 22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6" s="49" t="str">
        <f t="shared" si="109"/>
        <v>N</v>
      </c>
      <c r="X186" s="173">
        <f t="shared" si="110"/>
        <v>1</v>
      </c>
      <c r="Y186" s="64">
        <f t="shared" si="111"/>
        <v>5.8630000000000004</v>
      </c>
      <c r="Z186" s="64">
        <f t="shared" si="112"/>
        <v>7.7799999999999994E-2</v>
      </c>
      <c r="AA186" s="64">
        <f t="shared" si="113"/>
        <v>5.7852000000000006</v>
      </c>
      <c r="AB186" s="61" t="e">
        <f>VLOOKUP(A186,Enforcements!$C$7:$K$18,8,0)</f>
        <v>#N/A</v>
      </c>
      <c r="AC186" s="57" t="e">
        <f>VLOOKUP(A186,Enforcements!$C$7:$E$18,3,0)</f>
        <v>#N/A</v>
      </c>
      <c r="AD186" s="58" t="str">
        <f t="shared" si="114"/>
        <v>1832-08</v>
      </c>
      <c r="AE186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186" s="84" t="str">
        <f t="shared" si="116"/>
        <v>"C:\Program Files (x86)\AstroGrep\AstroGrep.exe" /spath="%USERPROFILE%\AppData\Local\Temp\OnboardLogs" /stypes="app*4043*20170109*" /stext=" 04:.+((SYSTEM_STATE.+slice.+state.+changed )|(ment ac)|(multiple cpu faults)|(system.+state.+changed )|(\[timeout)|(PRM\|1\|D)|(kpr)|(kdp)|(\|lc)|(penalty))" /e /r /s</v>
      </c>
      <c r="AG186" s="1" t="str">
        <f t="shared" si="117"/>
        <v>NW</v>
      </c>
      <c r="AH186" s="88" t="str">
        <f t="shared" si="118"/>
        <v>"%USERPROFILE%\Documents\GitHub\eaglep3\Utilities\RefineRTDCRunTimes.py" --tripid 1832-08 --locoid 4043 --swversion DE.1.0.8.0 --startMP 300:58630 --initTime 2017-01-08T21:37:15 --startdatetime 2017-01-08T21:39:20 --delay 1 --endMP 204:778 --enddatetime 2017-01-08T21:55:34 --enforcementcount 0 &gt;&gt;C:\Users\stu\Documents\GitHub\eaglep3-reporting\EC\2017-01-08-refined-times.txt</v>
      </c>
      <c r="AI186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{"issue":{"subject":"","project_id":79,"tracker_id":40,"status_id":1,"priority_id":2,"assigned_to_id":23,"start_date":"2017-01-08","description":"","custom_fields":[{"id":1,"name":"Subdivision","value":"NW"},{"id":4,"name":"Milepost","value":"0.0778"},{"id":17,"name":"Train ID","value":"1832-08"},{"id":16,"name":"Locomotive ID","value":"4043"},{"id":130,"name":"Impact","value":""},{"id":150,"name":"Time of Event (Mountain Time)","value":"21:55:34"},{"id":151,"name":"Denver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120"/>
        <v>start /low /b %USERPROFILE%\Documents\GitHub\eaglep3\Utilities\DownloadLogsFromS3.py --loco 4043 --day 2017-01-08</v>
      </c>
    </row>
    <row r="187" spans="1:91" s="21" customFormat="1" x14ac:dyDescent="0.25">
      <c r="A187" s="34" t="s">
        <v>614</v>
      </c>
      <c r="B187" s="7">
        <v>4044</v>
      </c>
      <c r="C187" s="22" t="s">
        <v>203</v>
      </c>
      <c r="D187" s="22" t="s">
        <v>732</v>
      </c>
      <c r="E187" s="13">
        <v>42743.927974537037</v>
      </c>
      <c r="F187" s="13">
        <v>42743.931539351855</v>
      </c>
      <c r="G187" s="7">
        <v>1</v>
      </c>
      <c r="H187" s="22" t="s">
        <v>721</v>
      </c>
      <c r="I187" s="13">
        <v>42743.941666666666</v>
      </c>
      <c r="J187" s="7">
        <v>0</v>
      </c>
      <c r="K187" s="105" t="str">
        <f t="shared" si="103"/>
        <v>4043/4044</v>
      </c>
      <c r="L187" s="22" t="str">
        <f>VLOOKUP(A187,'Trips&amp;Operators'!$C$1:$G$99999,5,FALSE)</f>
        <v>HELVIE ADAM</v>
      </c>
      <c r="M187" s="6">
        <f t="shared" si="104"/>
        <v>1.0127314810233656E-2</v>
      </c>
      <c r="N187" s="7">
        <f t="shared" si="105"/>
        <v>14.583333326736465</v>
      </c>
      <c r="O187" s="7"/>
      <c r="P187" s="7"/>
      <c r="Q187" s="23"/>
      <c r="R187" s="23"/>
      <c r="S187" s="32">
        <f t="shared" si="106"/>
        <v>1</v>
      </c>
      <c r="T187" s="47" t="str">
        <f t="shared" si="107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21:16:17-700',mode:absolute,to:'2017-01-08 23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7" s="49" t="str">
        <f t="shared" si="109"/>
        <v>N</v>
      </c>
      <c r="X187" s="173">
        <f t="shared" si="110"/>
        <v>1</v>
      </c>
      <c r="Y187" s="64">
        <f t="shared" si="111"/>
        <v>0.10580000000000001</v>
      </c>
      <c r="Z187" s="64">
        <f t="shared" si="112"/>
        <v>5.8940999999999999</v>
      </c>
      <c r="AA187" s="64">
        <f t="shared" si="113"/>
        <v>5.7882999999999996</v>
      </c>
      <c r="AB187" s="61" t="e">
        <f>VLOOKUP(A187,Enforcements!$C$7:$K$18,8,0)</f>
        <v>#N/A</v>
      </c>
      <c r="AC187" s="57" t="e">
        <f>VLOOKUP(A187,Enforcements!$C$7:$E$18,3,0)</f>
        <v>#N/A</v>
      </c>
      <c r="AD187" s="58" t="str">
        <f t="shared" si="114"/>
        <v>1833-08</v>
      </c>
      <c r="AE187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187" s="84" t="str">
        <f t="shared" si="116"/>
        <v>"C:\Program Files (x86)\AstroGrep\AstroGrep.exe" /spath="%USERPROFILE%\AppData\Local\Temp\OnboardLogs" /stypes="app*4044*20170109*" /stext=" 05:.+((SYSTEM_STATE.+slice.+state.+changed )|(ment ac)|(multiple cpu faults)|(system.+state.+changed )|(\[timeout)|(PRM\|1\|D)|(kpr)|(kdp)|(\|lc)|(penalty))" /e /r /s</v>
      </c>
      <c r="AG187" s="1" t="str">
        <f t="shared" si="117"/>
        <v>NW</v>
      </c>
      <c r="AH187" s="88" t="str">
        <f t="shared" si="118"/>
        <v>"%USERPROFILE%\Documents\GitHub\eaglep3\Utilities\RefineRTDCRunTimes.py" --tripid 1833-08 --locoid 4044 --swversion DE.1.0.8.0 --startMP 204:1058 --initTime 2017-01-08T22:16:17 --startdatetime 2017-01-08T22:21:25 --delay 1 --endMP 300:58941 --enddatetime 2017-01-08T22:36:00 --enforcementcount 0 &gt;&gt;C:\Users\stu\Documents\GitHub\eaglep3-reporting\EC\2017-01-08-refined-times.txt</v>
      </c>
      <c r="AI187" s="115" t="str">
        <f t="shared" si="119"/>
        <v>echo {"issue":{"subject":"","project_id":79,"tracker_id":40,"status_id":1,"priority_id":2,"assigned_to_id":23,"start_date":"2017-01-08","description":"","custom_fields":[{"id":1,"name":"Subdivision","value":"NW"},{"id":4,"name":"Milepost","value":"5.8941"},{"id":17,"name":"Train ID","value":"1833-08"},{"id":16,"name":"Locomotive ID","value":"4044"},{"id":130,"name":"Impact","value":""},{"id":150,"name":"Time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120"/>
        <v>start /low /b %USERPROFILE%\Documents\GitHub\eaglep3\Utilities\DownloadLogsFromS3.py --loco 4044 --day 2017-01-08</v>
      </c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4" t="s">
        <v>435</v>
      </c>
      <c r="B188" s="7">
        <v>4019</v>
      </c>
      <c r="C188" s="22" t="s">
        <v>203</v>
      </c>
      <c r="D188" s="22" t="s">
        <v>768</v>
      </c>
      <c r="E188" s="13">
        <v>42743.120995370373</v>
      </c>
      <c r="F188" s="13">
        <v>42743.126643518517</v>
      </c>
      <c r="G188" s="7">
        <v>7</v>
      </c>
      <c r="H188" s="22" t="s">
        <v>754</v>
      </c>
      <c r="I188" s="13">
        <v>42743.133472222224</v>
      </c>
      <c r="J188" s="7">
        <v>0</v>
      </c>
      <c r="K188" s="105" t="str">
        <f t="shared" si="103"/>
        <v>4019/4020</v>
      </c>
      <c r="L188" s="22" t="str">
        <f>VLOOKUP(A188,'Trips&amp;Operators'!$C$1:$G$99999,5,FALSE)</f>
        <v>OUN ZACK</v>
      </c>
      <c r="M188" s="6">
        <f t="shared" si="104"/>
        <v>6.8287037065601908E-3</v>
      </c>
      <c r="N188" s="7">
        <f t="shared" si="105"/>
        <v>9.8333333374466747</v>
      </c>
      <c r="O188" s="7"/>
      <c r="P188" s="7"/>
      <c r="Q188" s="23"/>
      <c r="R188" s="23"/>
      <c r="S188" s="32">
        <f t="shared" si="106"/>
        <v>1</v>
      </c>
      <c r="T188" s="47" t="str">
        <f t="shared" si="107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01:54:14-700',mode:absolute,to:'2017-01-08 04:12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8" s="49" t="str">
        <f t="shared" si="109"/>
        <v>Y</v>
      </c>
      <c r="X188" s="173">
        <f t="shared" si="110"/>
        <v>-1531</v>
      </c>
      <c r="Y188" s="64">
        <f t="shared" si="111"/>
        <v>2.3129</v>
      </c>
      <c r="Z188" s="64">
        <f t="shared" si="112"/>
        <v>1.78E-2</v>
      </c>
      <c r="AA188" s="64">
        <f t="shared" si="113"/>
        <v>2.2951000000000001</v>
      </c>
      <c r="AB188" s="61" t="e">
        <f>VLOOKUP(A188,Enforcements!$C$7:$K$18,8,0)</f>
        <v>#N/A</v>
      </c>
      <c r="AC188" s="57" t="e">
        <f>VLOOKUP(A188,Enforcements!$C$7:$E$18,3,0)</f>
        <v>#N/A</v>
      </c>
      <c r="AD188" s="58" t="str">
        <f t="shared" si="114"/>
        <v>0302-08</v>
      </c>
      <c r="AE188" s="87" t="str">
        <f t="shared" si="115"/>
        <v>aws s3 cp s3://rtdc.mdm.uploadarchive.raw/RTDC4019/ "%USERPROFILE%\AppData\Local\Temp\OnboardLogs"\RTDC4019\2017-01-08 --exclude "*" --recursive --include "*20170108*" &amp; "%USERPROFILE%\Documents\GitHub\mrs-test-scripts\Headless Mode &amp; Sideloading\WalkAndUnGZ.bat" "%USERPROFILE%\AppData\Local\Temp\OnboardLogs"\RTDC4019\2017-01-08 &amp; 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</v>
      </c>
      <c r="AF188" s="84" t="str">
        <f t="shared" si="116"/>
        <v>"C:\Program Files (x86)\AstroGrep\AstroGrep.exe" /spath="%USERPROFILE%\AppData\Local\Temp\OnboardLogs" /stypes="app*4019*20170108*" /stext=" 10:.+((SYSTEM_STATE.+slice.+state.+changed )|(ment ac)|(multiple cpu faults)|(system.+state.+changed )|(\[timeout)|(PRM\|1\|D)|(kpr)|(kdp)|(\|lc)|(penalty))" /e /r /s</v>
      </c>
      <c r="AG188" s="1" t="str">
        <f t="shared" si="117"/>
        <v>Other</v>
      </c>
      <c r="AH188" s="88" t="str">
        <f t="shared" si="118"/>
        <v>"%USERPROFILE%\Documents\GitHub\eaglep3\Utilities\RefineRTDCRunTimes.py" --tripid 302-08 --locoid 4019 --swversion DE.1.0.8.0 --startMP 300:23129 --initTime 2017-01-08T02:54:14 --startdatetime 2017-01-08T03:02:22 --delay 7 --endMP 204:178 --enddatetime 2017-01-08T03:12:12 --enforcementcount 0 &gt;&gt;C:\Users\stu\Documents\GitHub\eaglep3-reporting\EC\2017-01-08-refined-times.txt</v>
      </c>
      <c r="AI188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{"issue":{"subject":"","project_id":79,"tracker_id":40,"status_id":1,"priority_id":2,"assigned_to_id":23,"start_date":"2017-01-08","description":"","custom_fields":[{"id":1,"name":"Subdivision","value":"Other"},{"id":4,"name":"Milepost","value":"0.0178"},{"id":17,"name":"Train ID","value":"302-08"},{"id":16,"name":"Locomotive ID","value":"4019"},{"id":130,"name":"Impact","value":""},{"id":150,"name":"Time of Event (Mountain Time)","value":"03:12:12"},{"id":151,"name":"Denver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120"/>
        <v>start /low /b %USERPROFILE%\Documents\GitHub\eaglep3\Utilities\DownloadLogsFromS3.py --loco 4019 --day 2017-01-08</v>
      </c>
    </row>
    <row r="189" spans="1:91" x14ac:dyDescent="0.25">
      <c r="A189" s="34" t="s">
        <v>591</v>
      </c>
      <c r="B189" s="7">
        <v>4025</v>
      </c>
      <c r="C189" s="22" t="s">
        <v>203</v>
      </c>
      <c r="D189" s="22" t="s">
        <v>286</v>
      </c>
      <c r="E189" s="13">
        <v>42743.778287037036</v>
      </c>
      <c r="F189" s="13">
        <v>25568.708333333332</v>
      </c>
      <c r="G189" s="7">
        <v>1</v>
      </c>
      <c r="H189" s="22" t="s">
        <v>360</v>
      </c>
      <c r="I189" s="13">
        <v>25568.708333333332</v>
      </c>
      <c r="J189" s="7">
        <v>0</v>
      </c>
      <c r="K189" s="105" t="str">
        <f t="shared" si="103"/>
        <v>4025/4026</v>
      </c>
      <c r="L189" s="22" t="str">
        <f>VLOOKUP(A189,'Trips&amp;Operators'!$C$1:$G$99999,5,FALSE)</f>
        <v>KILLION DAVID</v>
      </c>
      <c r="M189" s="6">
        <f t="shared" si="104"/>
        <v>0</v>
      </c>
      <c r="N189" s="7">
        <f t="shared" si="105"/>
        <v>0</v>
      </c>
      <c r="O189" s="7"/>
      <c r="P189" s="7"/>
      <c r="Q189" s="23"/>
      <c r="R189" s="23"/>
      <c r="S189" s="32">
        <f t="shared" si="106"/>
        <v>1</v>
      </c>
      <c r="T189" s="47" t="str">
        <f t="shared" si="107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17:40:44-700',mode:absolute,to:'1969-12-31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9" s="49" t="str">
        <f t="shared" si="109"/>
        <v>Y</v>
      </c>
      <c r="X189" s="173">
        <f t="shared" si="110"/>
        <v>1</v>
      </c>
      <c r="Y189" s="64">
        <f t="shared" si="111"/>
        <v>4.5699999999999998E-2</v>
      </c>
      <c r="Z189" s="64">
        <f t="shared" si="112"/>
        <v>2.3308</v>
      </c>
      <c r="AA189" s="64">
        <f t="shared" si="113"/>
        <v>2.2850999999999999</v>
      </c>
      <c r="AB189" s="61" t="e">
        <f>VLOOKUP(A189,Enforcements!$C$7:$K$18,8,0)</f>
        <v>#N/A</v>
      </c>
      <c r="AC189" s="57" t="e">
        <f>VLOOKUP(A189,Enforcements!$C$7:$E$18,3,0)</f>
        <v>#N/A</v>
      </c>
      <c r="AD189" s="58" t="str">
        <f t="shared" si="114"/>
        <v>0303-08</v>
      </c>
      <c r="AE189" s="87" t="str">
        <f t="shared" si="11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89" s="84" t="str">
        <f t="shared" si="116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189" s="1" t="str">
        <f t="shared" si="117"/>
        <v>Other</v>
      </c>
      <c r="AH189" s="88" t="str">
        <f t="shared" si="118"/>
        <v>"%USERPROFILE%\Documents\GitHub\eaglep3\Utilities\RefineRTDCRunTimes.py" --tripid 303-08 --locoid 4025 --swversion DE.1.0.8.0 --startMP 204:457 --initTime 2017-01-08T18:40:44 --startdatetime 1969-12-31T17:00:00 --delay 1 --endMP 300:23308 --enddatetime 1969-12-31T17:00:00 --enforcementcount 0 &gt;&gt;C:\Users\stu\Documents\GitHub\eaglep3-reporting\EC\2017-01-08-refined-times.txt</v>
      </c>
      <c r="AI189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ID","value":"303-08"},{"id":16,"name":"Locomotive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120"/>
        <v>start /low /b %USERPROFILE%\Documents\GitHub\eaglep3\Utilities\DownloadLogsFromS3.py --loco 4025 --day 1969-12-31</v>
      </c>
    </row>
    <row r="190" spans="1:91" x14ac:dyDescent="0.25">
      <c r="A190" s="34" t="s">
        <v>595</v>
      </c>
      <c r="B190" s="7">
        <v>4040</v>
      </c>
      <c r="C190" s="22" t="s">
        <v>203</v>
      </c>
      <c r="D190" s="22" t="s">
        <v>330</v>
      </c>
      <c r="E190" s="13">
        <v>42743.799479166664</v>
      </c>
      <c r="F190" s="13">
        <v>42743.801446759258</v>
      </c>
      <c r="G190" s="7">
        <v>1</v>
      </c>
      <c r="H190" s="22" t="s">
        <v>335</v>
      </c>
      <c r="I190" s="13">
        <v>42743.808495370373</v>
      </c>
      <c r="J190" s="7">
        <v>0</v>
      </c>
      <c r="K190" s="105" t="str">
        <f t="shared" si="103"/>
        <v>4039/4040</v>
      </c>
      <c r="L190" s="22" t="str">
        <f>VLOOKUP(A190,'Trips&amp;Operators'!$C$1:$G$99999,5,FALSE)</f>
        <v>NELSON ARIANE</v>
      </c>
      <c r="M190" s="6">
        <f t="shared" si="104"/>
        <v>7.0486111144418828E-3</v>
      </c>
      <c r="N190" s="7">
        <f t="shared" si="105"/>
        <v>10.150000004796311</v>
      </c>
      <c r="O190" s="7"/>
      <c r="P190" s="7"/>
      <c r="Q190" s="23"/>
      <c r="R190" s="23"/>
      <c r="S190" s="32">
        <f t="shared" si="106"/>
        <v>1</v>
      </c>
      <c r="T190" s="47" t="str">
        <f t="shared" si="107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18:11:15-700',mode:absolute,to:'2017-01-08 20:24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0" s="49" t="str">
        <f t="shared" si="109"/>
        <v>Y</v>
      </c>
      <c r="X190" s="173">
        <f t="shared" si="110"/>
        <v>2</v>
      </c>
      <c r="Y190" s="64">
        <f t="shared" si="111"/>
        <v>4.6899999999999997E-2</v>
      </c>
      <c r="Z190" s="64">
        <f t="shared" si="112"/>
        <v>2.3313999999999999</v>
      </c>
      <c r="AA190" s="64">
        <f t="shared" si="113"/>
        <v>2.2845</v>
      </c>
      <c r="AB190" s="61" t="e">
        <f>VLOOKUP(A190,Enforcements!$C$7:$K$18,8,0)</f>
        <v>#N/A</v>
      </c>
      <c r="AC190" s="57" t="e">
        <f>VLOOKUP(A190,Enforcements!$C$7:$E$18,3,0)</f>
        <v>#N/A</v>
      </c>
      <c r="AD190" s="58" t="str">
        <f t="shared" si="114"/>
        <v>0305-08</v>
      </c>
      <c r="AE190" s="87" t="str">
        <f t="shared" si="115"/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AF190" s="84" t="str">
        <f t="shared" si="116"/>
        <v>"C:\Program Files (x86)\AstroGrep\AstroGrep.exe" /spath="%USERPROFILE%\AppData\Local\Temp\OnboardLogs" /stypes="app*4040*20170109*" /stext=" 02:.+((SYSTEM_STATE.+slice.+state.+changed )|(ment ac)|(multiple cpu faults)|(system.+state.+changed )|(\[timeout)|(PRM\|1\|D)|(kpr)|(kdp)|(\|lc)|(penalty))" /e /r /s</v>
      </c>
      <c r="AG190" s="1" t="str">
        <f t="shared" si="117"/>
        <v>Other</v>
      </c>
      <c r="AH190" s="88" t="str">
        <f t="shared" si="118"/>
        <v>"%USERPROFILE%\Documents\GitHub\eaglep3\Utilities\RefineRTDCRunTimes.py" --tripid 305-08 --locoid 4040 --swversion DE.1.0.8.0 --startMP 204:469 --initTime 2017-01-08T19:11:15 --startdatetime 2017-01-08T19:14:05 --delay 1 --endMP 300:23314 --enddatetime 2017-01-08T19:24:14 --enforcementcount 0 &gt;&gt;C:\Users\stu\Documents\GitHub\eaglep3-reporting\EC\2017-01-08-refined-times.txt</v>
      </c>
      <c r="AI190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{"issue":{"subject":"","project_id":79,"tracker_id":40,"status_id":1,"priority_id":2,"assigned_to_id":23,"start_date":"2017-01-08","description":"","custom_fields":[{"id":1,"name":"Subdivision","value":"Other"},{"id":4,"name":"Milepost","value":"2.3314"},{"id":17,"name":"Train ID","value":"305-08"},{"id":16,"name":"Locomotive ID","value":"4040"},{"id":130,"name":"Impact","value":""},{"id":150,"name":"Time of Event (Mountain Time)","value":"19:24:14"},{"id":151,"name":"Denver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120"/>
        <v>start /low /b %USERPROFILE%\Documents\GitHub\eaglep3\Utilities\DownloadLogsFromS3.py --loco 4040 --day 2017-01-08</v>
      </c>
    </row>
    <row r="191" spans="1:91" s="21" customFormat="1" x14ac:dyDescent="0.25">
      <c r="A191" s="34" t="s">
        <v>600</v>
      </c>
      <c r="B191" s="7">
        <v>4020</v>
      </c>
      <c r="C191" s="22" t="s">
        <v>203</v>
      </c>
      <c r="D191" s="22" t="s">
        <v>242</v>
      </c>
      <c r="E191" s="13">
        <v>42743.823599537034</v>
      </c>
      <c r="F191" s="13">
        <v>25568.708333333332</v>
      </c>
      <c r="G191" s="7">
        <v>1</v>
      </c>
      <c r="H191" s="22" t="s">
        <v>402</v>
      </c>
      <c r="I191" s="13">
        <v>25568.708333333332</v>
      </c>
      <c r="J191" s="7">
        <v>0</v>
      </c>
      <c r="K191" s="105" t="str">
        <f t="shared" si="103"/>
        <v>4019/4020</v>
      </c>
      <c r="L191" s="22" t="str">
        <f>VLOOKUP(A191,'Trips&amp;Operators'!$C$1:$G$99999,5,FALSE)</f>
        <v>BADERTSCHER DIANE</v>
      </c>
      <c r="M191" s="6">
        <f t="shared" si="104"/>
        <v>0</v>
      </c>
      <c r="N191" s="7">
        <f t="shared" si="105"/>
        <v>0</v>
      </c>
      <c r="O191" s="7"/>
      <c r="P191" s="7"/>
      <c r="Q191" s="23"/>
      <c r="R191" s="23"/>
      <c r="S191" s="32">
        <f t="shared" si="106"/>
        <v>1</v>
      </c>
      <c r="T191" s="47" t="str">
        <f t="shared" si="107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18:45:59-700',mode:absolute,to:'1969-12-31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1" s="49" t="str">
        <f t="shared" si="109"/>
        <v>Y</v>
      </c>
      <c r="X191" s="173">
        <f t="shared" si="110"/>
        <v>2</v>
      </c>
      <c r="Y191" s="64">
        <f t="shared" si="111"/>
        <v>4.53E-2</v>
      </c>
      <c r="Z191" s="64">
        <f t="shared" si="112"/>
        <v>2.3346</v>
      </c>
      <c r="AA191" s="64">
        <f t="shared" si="113"/>
        <v>2.2892999999999999</v>
      </c>
      <c r="AB191" s="61" t="e">
        <f>VLOOKUP(A191,Enforcements!$C$7:$K$18,8,0)</f>
        <v>#N/A</v>
      </c>
      <c r="AC191" s="57" t="e">
        <f>VLOOKUP(A191,Enforcements!$C$7:$E$18,3,0)</f>
        <v>#N/A</v>
      </c>
      <c r="AD191" s="58" t="str">
        <f t="shared" si="114"/>
        <v>0307-08</v>
      </c>
      <c r="AE191" s="87" t="str">
        <f t="shared" si="115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191" s="84" t="str">
        <f t="shared" si="116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191" s="1" t="str">
        <f t="shared" si="117"/>
        <v>Other</v>
      </c>
      <c r="AH191" s="88" t="str">
        <f t="shared" si="118"/>
        <v>"%USERPROFILE%\Documents\GitHub\eaglep3\Utilities\RefineRTDCRunTimes.py" --tripid 307-08 --locoid 4020 --swversion DE.1.0.8.0 --startMP 204:453 --initTime 2017-01-08T19:45:59 --startdatetime 1969-12-31T17:00:00 --delay 1 --endMP 300:23346 --enddatetime 1969-12-31T17:00:00 --enforcementcount 0 &gt;&gt;C:\Users\stu\Documents\GitHub\eaglep3-reporting\EC\2017-01-08-refined-times.txt</v>
      </c>
      <c r="AI191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ID","value":"307-08"},{"id":16,"name":"Locomotive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120"/>
        <v>start /low /b %USERPROFILE%\Documents\GitHub\eaglep3\Utilities\DownloadLogsFromS3.py --loco 4020 --day 1969-12-31</v>
      </c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4" t="s">
        <v>442</v>
      </c>
      <c r="B192" s="7">
        <v>4039</v>
      </c>
      <c r="C192" s="22" t="s">
        <v>203</v>
      </c>
      <c r="D192" s="22" t="s">
        <v>769</v>
      </c>
      <c r="E192" s="13">
        <v>42743.172789351855</v>
      </c>
      <c r="F192" s="13">
        <v>42743.174143518518</v>
      </c>
      <c r="G192" s="7">
        <v>1</v>
      </c>
      <c r="H192" s="22" t="s">
        <v>672</v>
      </c>
      <c r="I192" s="13">
        <v>42743.181956018518</v>
      </c>
      <c r="J192" s="7">
        <v>0</v>
      </c>
      <c r="K192" s="105" t="str">
        <f t="shared" si="103"/>
        <v>4039/4040</v>
      </c>
      <c r="L192" s="22" t="str">
        <f>VLOOKUP(A192,'Trips&amp;Operators'!$C$1:$G$99999,5,FALSE)</f>
        <v>DAVIS WENDY</v>
      </c>
      <c r="M192" s="6">
        <f t="shared" si="104"/>
        <v>7.8125E-3</v>
      </c>
      <c r="N192" s="7">
        <f t="shared" si="105"/>
        <v>11.25</v>
      </c>
      <c r="O192" s="7"/>
      <c r="P192" s="7"/>
      <c r="Q192" s="23"/>
      <c r="R192" s="23"/>
      <c r="S192" s="32">
        <f t="shared" si="106"/>
        <v>1</v>
      </c>
      <c r="T192" s="47" t="str">
        <f t="shared" si="107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03:08:49-700',mode:absolute,to:'2017-01-08 05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2" s="49" t="str">
        <f t="shared" si="109"/>
        <v>Y</v>
      </c>
      <c r="X192" s="173">
        <f t="shared" si="110"/>
        <v>1</v>
      </c>
      <c r="Y192" s="64">
        <f t="shared" si="111"/>
        <v>2.3269000000000002</v>
      </c>
      <c r="Z192" s="64">
        <f t="shared" si="112"/>
        <v>1.61E-2</v>
      </c>
      <c r="AA192" s="64">
        <f t="shared" si="113"/>
        <v>2.3108000000000004</v>
      </c>
      <c r="AB192" s="61" t="e">
        <f>VLOOKUP(A192,Enforcements!$C$7:$K$18,8,0)</f>
        <v>#N/A</v>
      </c>
      <c r="AC192" s="57" t="e">
        <f>VLOOKUP(A192,Enforcements!$C$7:$E$18,3,0)</f>
        <v>#N/A</v>
      </c>
      <c r="AD192" s="58" t="str">
        <f t="shared" si="114"/>
        <v>0308-08</v>
      </c>
      <c r="AE192" s="87" t="str">
        <f t="shared" si="115"/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AF192" s="84" t="str">
        <f t="shared" si="116"/>
        <v>"C:\Program Files (x86)\AstroGrep\AstroGrep.exe" /spath="%USERPROFILE%\AppData\Local\Temp\OnboardLogs" /stypes="app*4039*20170108*" /stext=" 11:.+((SYSTEM_STATE.+slice.+state.+changed )|(ment ac)|(multiple cpu faults)|(system.+state.+changed )|(\[timeout)|(PRM\|1\|D)|(kpr)|(kdp)|(\|lc)|(penalty))" /e /r /s</v>
      </c>
      <c r="AG192" s="1" t="str">
        <f t="shared" si="117"/>
        <v>Other</v>
      </c>
      <c r="AH192" s="88" t="str">
        <f t="shared" si="118"/>
        <v>"%USERPROFILE%\Documents\GitHub\eaglep3\Utilities\RefineRTDCRunTimes.py" --tripid 308-08 --locoid 4039 --swversion DE.1.0.8.0 --startMP 300:23269 --initTime 2017-01-08T04:08:49 --startdatetime 2017-01-08T04:10:46 --delay 1 --endMP 204:161 --enddatetime 2017-01-08T04:22:01 --enforcementcount 0 &gt;&gt;C:\Users\stu\Documents\GitHub\eaglep3-reporting\EC\2017-01-08-refined-times.txt</v>
      </c>
      <c r="AI192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{"issue":{"subject":"","project_id":79,"tracker_id":40,"status_id":1,"priority_id":2,"assigned_to_id":23,"start_date":"2017-01-08","description":"","custom_fields":[{"id":1,"name":"Subdivision","value":"Other"},{"id":4,"name":"Milepost","value":"0.0161"},{"id":17,"name":"Train ID","value":"308-08"},{"id":16,"name":"Locomotive ID","value":"4039"},{"id":130,"name":"Impact","value":""},{"id":150,"name":"Time of Event (Mountain Time)","value":"04:22:01"},{"id":151,"name":"Denver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120"/>
        <v>start /low /b %USERPROFILE%\Documents\GitHub\eaglep3\Utilities\DownloadLogsFromS3.py --loco 4039 --day 2017-01-08</v>
      </c>
    </row>
    <row r="193" spans="1:91" x14ac:dyDescent="0.25">
      <c r="A193" s="34" t="s">
        <v>623</v>
      </c>
      <c r="B193" s="7">
        <v>4007</v>
      </c>
      <c r="C193" s="22" t="s">
        <v>203</v>
      </c>
      <c r="D193" s="22" t="s">
        <v>193</v>
      </c>
      <c r="E193" s="13">
        <v>42744.031226851854</v>
      </c>
      <c r="F193" s="13">
        <v>42744.032731481479</v>
      </c>
      <c r="G193" s="7">
        <v>1</v>
      </c>
      <c r="H193" s="22" t="s">
        <v>360</v>
      </c>
      <c r="I193" s="13">
        <v>42744.039479166669</v>
      </c>
      <c r="J193" s="7">
        <v>0</v>
      </c>
      <c r="K193" s="105" t="str">
        <f t="shared" si="103"/>
        <v>4007/4008</v>
      </c>
      <c r="L193" s="22" t="str">
        <f>VLOOKUP(A193,'Trips&amp;Operators'!$C$1:$G$99999,5,FALSE)</f>
        <v>CHANDLER KELVIN</v>
      </c>
      <c r="M193" s="6">
        <f t="shared" si="104"/>
        <v>6.7476851909304969E-3</v>
      </c>
      <c r="N193" s="7">
        <f t="shared" si="105"/>
        <v>9.7166666749399155</v>
      </c>
      <c r="O193" s="7"/>
      <c r="P193" s="7"/>
      <c r="Q193" s="23"/>
      <c r="R193" s="23"/>
      <c r="S193" s="32">
        <f t="shared" si="106"/>
        <v>1</v>
      </c>
      <c r="T193" s="47" t="str">
        <f t="shared" si="107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23:44:58-700',mode:absolute,to:'2017-01-09 01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3" s="49" t="str">
        <f t="shared" si="109"/>
        <v>Y</v>
      </c>
      <c r="X193" s="173">
        <f t="shared" si="110"/>
        <v>1</v>
      </c>
      <c r="Y193" s="64">
        <f t="shared" si="111"/>
        <v>4.4699999999999997E-2</v>
      </c>
      <c r="Z193" s="64">
        <f t="shared" si="112"/>
        <v>2.3308</v>
      </c>
      <c r="AA193" s="64">
        <f t="shared" si="113"/>
        <v>2.2860999999999998</v>
      </c>
      <c r="AB193" s="61" t="e">
        <f>VLOOKUP(A193,Enforcements!$C$7:$K$18,8,0)</f>
        <v>#N/A</v>
      </c>
      <c r="AC193" s="57" t="e">
        <f>VLOOKUP(A193,Enforcements!$C$7:$E$18,3,0)</f>
        <v>#N/A</v>
      </c>
      <c r="AD193" s="58" t="str">
        <f t="shared" si="114"/>
        <v>0309-08</v>
      </c>
      <c r="AE193" s="87" t="str">
        <f t="shared" si="115"/>
        <v>aws s3 cp s3://rtdc.mdm.uploadarchive.raw/RTDC4007/ "%USERPROFILE%\AppData\Local\Temp\OnboardLogs"\RTDC4007\2017-01-09 --exclude "*" --recursive --include "*20170109*" &amp; "%USERPROFILE%\Documents\GitHub\mrs-test-scripts\Headless Mode &amp; Sideloading\WalkAndUnGZ.bat" "%USERPROFILE%\AppData\Local\Temp\OnboardLogs"\RTDC4007\2017-01-09 &amp; aws s3 cp s3://rtdc.mdm.uploadarchive.raw/RTDC4007/ "%USERPROFILE%\AppData\Local\Temp\OnboardLogs"\RTDC4007\2017-01-10 --exclude "*" --recursive --include "*20170110*" &amp; "%USERPROFILE%\Documents\GitHub\mrs-test-scripts\Headless Mode &amp; Sideloading\WalkAndUnGZ.bat" "%USERPROFILE%\AppData\Local\Temp\OnboardLogs"\RTDC4007\2017-01-10</v>
      </c>
      <c r="AF193" s="84" t="str">
        <f t="shared" si="116"/>
        <v>"C:\Program Files (x86)\AstroGrep\AstroGrep.exe" /spath="%USERPROFILE%\AppData\Local\Temp\OnboardLogs" /stypes="app*4007*20170109*" /stext=" 07:.+((SYSTEM_STATE.+slice.+state.+changed )|(ment ac)|(multiple cpu faults)|(system.+state.+changed )|(\[timeout)|(PRM\|1\|D)|(kpr)|(kdp)|(\|lc)|(penalty))" /e /r /s</v>
      </c>
      <c r="AG193" s="1" t="str">
        <f t="shared" si="117"/>
        <v>Other</v>
      </c>
      <c r="AH193" s="88" t="str">
        <f t="shared" si="118"/>
        <v>"%USERPROFILE%\Documents\GitHub\eaglep3\Utilities\RefineRTDCRunTimes.py" --tripid 309-08 --locoid 4007 --swversion DE.1.0.8.0 --startMP 204:447 --initTime 2017-01-09T00:44:58 --startdatetime 2017-01-09T00:47:08 --delay 1 --endMP 300:23308 --enddatetime 2017-01-09T00:56:51 --enforcementcount 0 &gt;&gt;C:\Users\stu\Documents\GitHub\eaglep3-reporting\EC\2017-01-08-refined-times.txt</v>
      </c>
      <c r="AI193" s="115" t="str">
        <f t="shared" si="119"/>
        <v>echo {"issue":{"subject":"","project_id":79,"tracker_id":40,"status_id":1,"priority_id":2,"assigned_to_id":23,"start_date":"2017-01-09","description":"","custom_fields":[{"id":1,"name":"Subdivision","value":"Other"},{"id":4,"name":"Milepost","value":"2.3308"},{"id":17,"name":"Train ID","value":"309-08"},{"id":16,"name":"Locomotive ID","value":"4007"},{"id":130,"name":"Impact","value":""},{"id":150,"name":"Time of Event (Mountain Time)","value":"00:56:51"},{"id":151,"name":"Denver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120"/>
        <v>start /low /b %USERPROFILE%\Documents\GitHub\eaglep3\Utilities\DownloadLogsFromS3.py --loco 4007 --day 2017-01-09</v>
      </c>
    </row>
    <row r="194" spans="1:91" x14ac:dyDescent="0.25">
      <c r="A194" s="34" t="s">
        <v>445</v>
      </c>
      <c r="B194" s="7">
        <v>4013</v>
      </c>
      <c r="C194" s="22" t="s">
        <v>203</v>
      </c>
      <c r="D194" s="22" t="s">
        <v>770</v>
      </c>
      <c r="E194" s="13">
        <v>42743.17728009259</v>
      </c>
      <c r="F194" s="13">
        <v>42743.178657407407</v>
      </c>
      <c r="G194" s="7">
        <v>1</v>
      </c>
      <c r="H194" s="22" t="s">
        <v>209</v>
      </c>
      <c r="I194" s="13">
        <v>42743.191689814812</v>
      </c>
      <c r="J194" s="7">
        <v>0</v>
      </c>
      <c r="K194" s="105" t="str">
        <f t="shared" si="103"/>
        <v>4013/4014</v>
      </c>
      <c r="L194" s="22" t="str">
        <f>VLOOKUP(A194,'Trips&amp;Operators'!$C$1:$G$99999,5,FALSE)</f>
        <v>ROBINSON KADDIBA</v>
      </c>
      <c r="M194" s="6">
        <f t="shared" si="104"/>
        <v>1.3032407405262347E-2</v>
      </c>
      <c r="N194" s="7">
        <f t="shared" si="105"/>
        <v>18.76666666357778</v>
      </c>
      <c r="O194" s="7"/>
      <c r="P194" s="7"/>
      <c r="Q194" s="23"/>
      <c r="R194" s="23"/>
      <c r="S194" s="32">
        <f t="shared" si="106"/>
        <v>1</v>
      </c>
      <c r="T194" s="47" t="str">
        <f t="shared" si="107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03:15:17-700',mode:absolute,to:'2017-01-08 05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4" s="49" t="str">
        <f t="shared" si="109"/>
        <v>Y</v>
      </c>
      <c r="X194" s="173">
        <f t="shared" si="110"/>
        <v>1</v>
      </c>
      <c r="Y194" s="64">
        <f t="shared" si="111"/>
        <v>2.2113</v>
      </c>
      <c r="Z194" s="64">
        <f t="shared" si="112"/>
        <v>1.4999999999999999E-2</v>
      </c>
      <c r="AA194" s="64">
        <f t="shared" si="113"/>
        <v>2.1962999999999999</v>
      </c>
      <c r="AB194" s="61" t="e">
        <f>VLOOKUP(A194,Enforcements!$C$7:$K$18,8,0)</f>
        <v>#N/A</v>
      </c>
      <c r="AC194" s="57" t="e">
        <f>VLOOKUP(A194,Enforcements!$C$7:$E$18,3,0)</f>
        <v>#N/A</v>
      </c>
      <c r="AD194" s="58" t="str">
        <f t="shared" si="114"/>
        <v>0310-08</v>
      </c>
      <c r="AE194" s="87" t="str">
        <f t="shared" si="115"/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AF194" s="84" t="str">
        <f t="shared" si="116"/>
        <v>"C:\Program Files (x86)\AstroGrep\AstroGrep.exe" /spath="%USERPROFILE%\AppData\Local\Temp\OnboardLogs" /stypes="app*4013*20170108*" /stext=" 11:.+((SYSTEM_STATE.+slice.+state.+changed )|(ment ac)|(multiple cpu faults)|(system.+state.+changed )|(\[timeout)|(PRM\|1\|D)|(kpr)|(kdp)|(\|lc)|(penalty))" /e /r /s</v>
      </c>
      <c r="AG194" s="1" t="str">
        <f t="shared" si="117"/>
        <v>Other</v>
      </c>
      <c r="AH194" s="88" t="str">
        <f t="shared" si="118"/>
        <v>"%USERPROFILE%\Documents\GitHub\eaglep3\Utilities\RefineRTDCRunTimes.py" --tripid 310-08 --locoid 4013 --swversion DE.1.0.8.0 --startMP 300:22113 --initTime 2017-01-08T04:15:17 --startdatetime 2017-01-08T04:17:16 --delay 1 --endMP 204:150 --enddatetime 2017-01-08T04:36:02 --enforcementcount 0 &gt;&gt;C:\Users\stu\Documents\GitHub\eaglep3-reporting\EC\2017-01-08-refined-times.txt</v>
      </c>
      <c r="AI194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{"issue":{"subject":"","project_id":79,"tracker_id":40,"status_id":1,"priority_id":2,"assigned_to_id":23,"start_date":"2017-01-08","description":"","custom_fields":[{"id":1,"name":"Subdivision","value":"Other"},{"id":4,"name":"Milepost","value":"0.015"},{"id":17,"name":"Train ID","value":"310-08"},{"id":16,"name":"Locomotive ID","value":"4013"},{"id":130,"name":"Impact","value":""},{"id":150,"name":"Time of Event (Mountain Time)","value":"04:36:02"},{"id":151,"name":"Denver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120"/>
        <v>start /low /b %USERPROFILE%\Documents\GitHub\eaglep3\Utilities\DownloadLogsFromS3.py --loco 4013 --day 2017-01-08</v>
      </c>
    </row>
    <row r="195" spans="1:91" x14ac:dyDescent="0.25">
      <c r="A195" s="34" t="s">
        <v>626</v>
      </c>
      <c r="B195" s="7">
        <v>4002</v>
      </c>
      <c r="C195" s="22" t="s">
        <v>203</v>
      </c>
      <c r="D195" s="22" t="s">
        <v>771</v>
      </c>
      <c r="E195" s="13">
        <v>42744.057291666664</v>
      </c>
      <c r="F195" s="13">
        <v>25568.708333333332</v>
      </c>
      <c r="G195" s="7">
        <v>1</v>
      </c>
      <c r="H195" s="22" t="s">
        <v>772</v>
      </c>
      <c r="I195" s="13">
        <v>25568.708333333332</v>
      </c>
      <c r="J195" s="7">
        <v>0</v>
      </c>
      <c r="K195" s="105" t="str">
        <f t="shared" si="103"/>
        <v>4001/4002</v>
      </c>
      <c r="L195" s="22" t="str">
        <f>VLOOKUP(A195,'Trips&amp;Operators'!$C$1:$G$99999,5,FALSE)</f>
        <v>NEWELL JAMES</v>
      </c>
      <c r="M195" s="6">
        <f t="shared" si="104"/>
        <v>0</v>
      </c>
      <c r="N195" s="7">
        <f t="shared" si="105"/>
        <v>0</v>
      </c>
      <c r="O195" s="7"/>
      <c r="P195" s="7"/>
      <c r="Q195" s="23"/>
      <c r="R195" s="23"/>
      <c r="S195" s="32">
        <f t="shared" si="106"/>
        <v>1</v>
      </c>
      <c r="T195" s="47" t="str">
        <f t="shared" si="107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https://search-rtdc-monitor-bjffxe2xuh6vdkpspy63sjmuny.us-east-1.es.amazonaws.com/_plugin/kibana/#/discover/Steve-Slow-Train-Analysis-(2080s-and-2083s)?_g=(refreshInterval:(display:Off,section:0,value:0),time:(from:'2017-01-09 00:22:30-700',mode:absolute,to:'1969-12-31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5" s="49" t="str">
        <f t="shared" si="109"/>
        <v>Y</v>
      </c>
      <c r="X195" s="173">
        <f t="shared" si="110"/>
        <v>1</v>
      </c>
      <c r="Y195" s="64">
        <f t="shared" si="111"/>
        <v>4.8899999999999999E-2</v>
      </c>
      <c r="Z195" s="64">
        <f t="shared" si="112"/>
        <v>2.3311999999999999</v>
      </c>
      <c r="AA195" s="64">
        <f t="shared" si="113"/>
        <v>2.2822999999999998</v>
      </c>
      <c r="AB195" s="61" t="e">
        <f>VLOOKUP(A195,Enforcements!$C$7:$K$18,8,0)</f>
        <v>#N/A</v>
      </c>
      <c r="AC195" s="57" t="e">
        <f>VLOOKUP(A195,Enforcements!$C$7:$E$18,3,0)</f>
        <v>#N/A</v>
      </c>
      <c r="AD195" s="58" t="str">
        <f t="shared" si="114"/>
        <v>0311-08</v>
      </c>
      <c r="AE195" s="87" t="str">
        <f t="shared" si="11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195" s="84" t="str">
        <f t="shared" si="116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195" s="1" t="str">
        <f t="shared" si="117"/>
        <v>Other</v>
      </c>
      <c r="AH195" s="88" t="str">
        <f t="shared" si="118"/>
        <v>"%USERPROFILE%\Documents\GitHub\eaglep3\Utilities\RefineRTDCRunTimes.py" --tripid 311-08 --locoid 4002 --swversion DE.1.0.8.0 --startMP 204:489 --initTime 2017-01-09T01:22:30 --startdatetime 1969-12-31T17:00:00 --delay 1 --endMP 300:23312 --enddatetime 1969-12-31T17:00:00 --enforcementcount 0 &gt;&gt;C:\Users\stu\Documents\GitHub\eaglep3-reporting\EC\2017-01-08-refined-times.txt</v>
      </c>
      <c r="AI195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ID","value":"311-08"},{"id":16,"name":"Locomotive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120"/>
        <v>start /low /b %USERPROFILE%\Documents\GitHub\eaglep3\Utilities\DownloadLogsFromS3.py --loco 4002 --day 1969-12-31</v>
      </c>
    </row>
    <row r="196" spans="1:91" s="21" customFormat="1" x14ac:dyDescent="0.25">
      <c r="A196" s="34" t="s">
        <v>434</v>
      </c>
      <c r="B196" s="7">
        <v>4042</v>
      </c>
      <c r="C196" s="22" t="s">
        <v>203</v>
      </c>
      <c r="D196" s="22" t="s">
        <v>773</v>
      </c>
      <c r="E196" s="13">
        <v>42743.106064814812</v>
      </c>
      <c r="F196" s="13">
        <v>25568.708333333332</v>
      </c>
      <c r="G196" s="7">
        <v>1</v>
      </c>
      <c r="H196" s="22" t="s">
        <v>774</v>
      </c>
      <c r="I196" s="13">
        <v>25568.708333333332</v>
      </c>
      <c r="J196" s="7">
        <v>0</v>
      </c>
      <c r="K196" s="105" t="str">
        <f t="shared" si="103"/>
        <v>4041/4042</v>
      </c>
      <c r="L196" s="22" t="str">
        <f>VLOOKUP(A196,'Trips&amp;Operators'!$C$1:$G$99999,5,FALSE)</f>
        <v>HILLS DUSTIN</v>
      </c>
      <c r="M196" s="6">
        <f t="shared" si="104"/>
        <v>0</v>
      </c>
      <c r="N196" s="7">
        <f t="shared" si="105"/>
        <v>0</v>
      </c>
      <c r="O196" s="7"/>
      <c r="P196" s="7"/>
      <c r="Q196" s="23"/>
      <c r="R196" s="23"/>
      <c r="S196" s="32">
        <f t="shared" si="106"/>
        <v>1</v>
      </c>
      <c r="T196" s="47" t="str">
        <f t="shared" si="107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01:32:44-700',mode:absolute,to:'1969-12-31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49" t="str">
        <f t="shared" si="109"/>
        <v>Y</v>
      </c>
      <c r="X196" s="173">
        <f t="shared" si="110"/>
        <v>2</v>
      </c>
      <c r="Y196" s="64">
        <f t="shared" si="111"/>
        <v>0.1051</v>
      </c>
      <c r="Z196" s="64">
        <f t="shared" si="112"/>
        <v>2.3306</v>
      </c>
      <c r="AA196" s="64">
        <f t="shared" si="113"/>
        <v>2.2254999999999998</v>
      </c>
      <c r="AB196" s="61" t="e">
        <f>VLOOKUP(A196,Enforcements!$C$7:$K$18,8,0)</f>
        <v>#N/A</v>
      </c>
      <c r="AC196" s="57" t="e">
        <f>VLOOKUP(A196,Enforcements!$C$7:$E$18,3,0)</f>
        <v>#N/A</v>
      </c>
      <c r="AD196" s="58" t="str">
        <f t="shared" si="114"/>
        <v>0313-07</v>
      </c>
      <c r="AE196" s="87" t="str">
        <f t="shared" si="11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6" s="84" t="str">
        <f t="shared" si="116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6" s="1" t="str">
        <f t="shared" si="117"/>
        <v>Other</v>
      </c>
      <c r="AH196" s="88" t="str">
        <f t="shared" si="118"/>
        <v>"%USERPROFILE%\Documents\GitHub\eaglep3\Utilities\RefineRTDCRunTimes.py" --tripid 313-07 --locoid 4042 --swversion DE.1.0.8.0 --startMP 204:1051 --initTime 2017-01-08T02:32:44 --startdatetime 1969-12-31T17:00:00 --delay 1 --endMP 300:23306 --enddatetime 1969-12-31T17:00:00 --enforcementcount 0 &gt;&gt;C:\Users\stu\Documents\GitHub\eaglep3-reporting\EC\2017-01-08-refined-times.txt</v>
      </c>
      <c r="AI196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120"/>
        <v>start /low /b %USERPROFILE%\Documents\GitHub\eaglep3\Utilities\DownloadLogsFromS3.py --loco 4042 --day 1969-12-31</v>
      </c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434</v>
      </c>
      <c r="B197" s="7">
        <v>4042</v>
      </c>
      <c r="C197" s="22" t="s">
        <v>203</v>
      </c>
      <c r="D197" s="22" t="s">
        <v>775</v>
      </c>
      <c r="E197" s="13">
        <v>42743.088055555556</v>
      </c>
      <c r="F197" s="13">
        <v>25568.708333333332</v>
      </c>
      <c r="G197" s="7">
        <v>13</v>
      </c>
      <c r="H197" s="22" t="s">
        <v>776</v>
      </c>
      <c r="I197" s="13">
        <v>25568.708333333332</v>
      </c>
      <c r="J197" s="7">
        <v>0</v>
      </c>
      <c r="K197" s="105" t="str">
        <f t="shared" si="103"/>
        <v>4041/4042</v>
      </c>
      <c r="L197" s="22" t="str">
        <f>VLOOKUP(A197,'Trips&amp;Operators'!$C$1:$G$99999,5,FALSE)</f>
        <v>HILLS DUSTIN</v>
      </c>
      <c r="M197" s="6">
        <f t="shared" si="104"/>
        <v>0</v>
      </c>
      <c r="N197" s="7">
        <f t="shared" si="105"/>
        <v>0</v>
      </c>
      <c r="O197" s="7"/>
      <c r="P197" s="7"/>
      <c r="Q197" s="23"/>
      <c r="R197" s="23"/>
      <c r="S197" s="32">
        <f t="shared" si="106"/>
        <v>0</v>
      </c>
      <c r="T197" s="47" t="str">
        <f t="shared" si="107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7" s="49" t="str">
        <f t="shared" si="109"/>
        <v>Y</v>
      </c>
      <c r="X197" s="173">
        <f t="shared" si="110"/>
        <v>0</v>
      </c>
      <c r="Y197" s="64">
        <f t="shared" si="111"/>
        <v>7.3700000000000002E-2</v>
      </c>
      <c r="Z197" s="64">
        <f t="shared" si="112"/>
        <v>0.34029999999999999</v>
      </c>
      <c r="AA197" s="64">
        <f t="shared" si="113"/>
        <v>0.2666</v>
      </c>
      <c r="AB197" s="61" t="e">
        <f>VLOOKUP(A197,Enforcements!$C$7:$K$18,8,0)</f>
        <v>#N/A</v>
      </c>
      <c r="AC197" s="57" t="e">
        <f>VLOOKUP(A197,Enforcements!$C$7:$E$18,3,0)</f>
        <v>#N/A</v>
      </c>
      <c r="AD197" s="58" t="str">
        <f t="shared" si="114"/>
        <v>0313-07</v>
      </c>
      <c r="AE197" s="87" t="str">
        <f t="shared" si="11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7" s="84" t="str">
        <f t="shared" si="116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7" s="1" t="str">
        <f t="shared" si="117"/>
        <v>Other</v>
      </c>
      <c r="AH197" s="88" t="str">
        <f t="shared" si="118"/>
        <v>"%USERPROFILE%\Documents\GitHub\eaglep3\Utilities\RefineRTDCRunTimes.py" --tripid 313-07 --locoid 4042 --swversion DE.1.0.8.0 --startMP 204:737 --initTime 2017-01-08T02:06:48 --startdatetime 1969-12-31T17:00:00 --delay 13 --endMP 204:3403 --enddatetime 1969-12-31T17:00:00 --enforcementcount 0 &gt;&gt;C:\Users\stu\Documents\GitHub\eaglep3-reporting\EC\2017-01-08-refined-times.txt</v>
      </c>
      <c r="AI197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120"/>
        <v>start /low /b %USERPROFILE%\Documents\GitHub\eaglep3\Utilities\DownloadLogsFromS3.py --loco 4042 --day 1969-12-31</v>
      </c>
    </row>
    <row r="198" spans="1:91" s="21" customFormat="1" x14ac:dyDescent="0.25">
      <c r="A198" s="34" t="s">
        <v>434</v>
      </c>
      <c r="B198" s="7">
        <v>4042</v>
      </c>
      <c r="C198" s="22" t="s">
        <v>203</v>
      </c>
      <c r="D198" s="22" t="s">
        <v>700</v>
      </c>
      <c r="E198" s="13">
        <v>42743.088055555556</v>
      </c>
      <c r="F198" s="13">
        <v>25568.708333333332</v>
      </c>
      <c r="G198" s="7">
        <v>2</v>
      </c>
      <c r="H198" s="22" t="s">
        <v>776</v>
      </c>
      <c r="I198" s="13">
        <v>25568.708333333332</v>
      </c>
      <c r="J198" s="7">
        <v>0</v>
      </c>
      <c r="K198" s="105" t="str">
        <f t="shared" si="103"/>
        <v>4041/4042</v>
      </c>
      <c r="L198" s="22" t="str">
        <f>VLOOKUP(A198,'Trips&amp;Operators'!$C$1:$G$99999,5,FALSE)</f>
        <v>HILLS DUSTIN</v>
      </c>
      <c r="M198" s="6">
        <f t="shared" si="104"/>
        <v>0</v>
      </c>
      <c r="N198" s="7">
        <f t="shared" si="105"/>
        <v>0</v>
      </c>
      <c r="O198" s="7"/>
      <c r="P198" s="7"/>
      <c r="Q198" s="23"/>
      <c r="R198" s="23"/>
      <c r="S198" s="32">
        <f t="shared" si="106"/>
        <v>0</v>
      </c>
      <c r="T198" s="47" t="str">
        <f t="shared" si="107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8" s="49" t="str">
        <f t="shared" si="109"/>
        <v>Y</v>
      </c>
      <c r="X198" s="173">
        <f t="shared" si="110"/>
        <v>0</v>
      </c>
      <c r="Y198" s="64">
        <f t="shared" si="111"/>
        <v>7.4300000000000005E-2</v>
      </c>
      <c r="Z198" s="64">
        <f t="shared" si="112"/>
        <v>0.34029999999999999</v>
      </c>
      <c r="AA198" s="64">
        <f t="shared" si="113"/>
        <v>0.26600000000000001</v>
      </c>
      <c r="AB198" s="61" t="e">
        <f>VLOOKUP(A198,Enforcements!$C$7:$K$18,8,0)</f>
        <v>#N/A</v>
      </c>
      <c r="AC198" s="57" t="e">
        <f>VLOOKUP(A198,Enforcements!$C$7:$E$18,3,0)</f>
        <v>#N/A</v>
      </c>
      <c r="AD198" s="58" t="str">
        <f t="shared" si="114"/>
        <v>0313-07</v>
      </c>
      <c r="AE198" s="87" t="str">
        <f t="shared" si="11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8" s="84" t="str">
        <f t="shared" si="116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8" s="1" t="str">
        <f t="shared" si="117"/>
        <v>Other</v>
      </c>
      <c r="AH198" s="88" t="str">
        <f t="shared" si="118"/>
        <v>"%USERPROFILE%\Documents\GitHub\eaglep3\Utilities\RefineRTDCRunTimes.py" --tripid 313-07 --locoid 4042 --swversion DE.1.0.8.0 --startMP 204:743 --initTime 2017-01-08T02:06:48 --startdatetime 1969-12-31T17:00:00 --delay 2 --endMP 204:3403 --enddatetime 1969-12-31T17:00:00 --enforcementcount 0 &gt;&gt;C:\Users\stu\Documents\GitHub\eaglep3-reporting\EC\2017-01-08-refined-times.txt</v>
      </c>
      <c r="AI198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120"/>
        <v>start /low /b %USERPROFILE%\Documents\GitHub\eaglep3\Utilities\DownloadLogsFromS3.py --loco 4042 --day 1969-12-31</v>
      </c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4" t="s">
        <v>627</v>
      </c>
      <c r="B199" s="7">
        <v>4027</v>
      </c>
      <c r="C199" s="22" t="s">
        <v>203</v>
      </c>
      <c r="D199" s="22" t="s">
        <v>755</v>
      </c>
      <c r="E199" s="13">
        <v>42744.070810185185</v>
      </c>
      <c r="F199" s="13">
        <v>42744.072789351849</v>
      </c>
      <c r="G199" s="7">
        <v>1</v>
      </c>
      <c r="H199" s="22" t="s">
        <v>777</v>
      </c>
      <c r="I199" s="13">
        <v>42744.078402777777</v>
      </c>
      <c r="J199" s="7">
        <v>0</v>
      </c>
      <c r="K199" s="105" t="str">
        <f t="shared" si="103"/>
        <v>4027/4028</v>
      </c>
      <c r="L199" s="22" t="str">
        <f>VLOOKUP(A199,'Trips&amp;Operators'!$C$1:$G$99999,5,FALSE)</f>
        <v>PERKINS DARREN</v>
      </c>
      <c r="M199" s="6">
        <f t="shared" si="104"/>
        <v>5.6134259284590371E-3</v>
      </c>
      <c r="N199" s="7">
        <f t="shared" si="105"/>
        <v>8.0833333369810134</v>
      </c>
      <c r="O199" s="7"/>
      <c r="P199" s="7"/>
      <c r="Q199" s="23"/>
      <c r="R199" s="23"/>
      <c r="S199" s="32">
        <f t="shared" si="106"/>
        <v>1</v>
      </c>
      <c r="T199" s="47" t="str">
        <f t="shared" si="107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https://search-rtdc-monitor-bjffxe2xuh6vdkpspy63sjmuny.us-east-1.es.amazonaws.com/_plugin/kibana/#/discover/Steve-Slow-Train-Analysis-(2080s-and-2083s)?_g=(refreshInterval:(display:Off,section:0,value:0),time:(from:'2017-01-09 00:41:58-700',mode:absolute,to:'2017-01-09 02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9" s="49" t="str">
        <f t="shared" si="109"/>
        <v>Y</v>
      </c>
      <c r="X199" s="173">
        <f t="shared" si="110"/>
        <v>0</v>
      </c>
      <c r="Y199" s="64">
        <f t="shared" si="111"/>
        <v>4.2200000000000001E-2</v>
      </c>
      <c r="Z199" s="64">
        <f t="shared" si="112"/>
        <v>2.3045</v>
      </c>
      <c r="AA199" s="64">
        <f t="shared" si="113"/>
        <v>2.2623000000000002</v>
      </c>
      <c r="AB199" s="61" t="e">
        <f>VLOOKUP(A199,Enforcements!$C$7:$K$18,8,0)</f>
        <v>#N/A</v>
      </c>
      <c r="AC199" s="57" t="e">
        <f>VLOOKUP(A199,Enforcements!$C$7:$E$18,3,0)</f>
        <v>#N/A</v>
      </c>
      <c r="AD199" s="58" t="str">
        <f t="shared" si="114"/>
        <v>0313-08</v>
      </c>
      <c r="AE199" s="87" t="str">
        <f t="shared" si="115"/>
        <v>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 &amp; aws s3 cp s3://rtdc.mdm.uploadarchive.raw/RTDC4027/ "%USERPROFILE%\AppData\Local\Temp\OnboardLogs"\RTDC4027\2017-01-10 --exclude "*" --recursive --include "*20170110*" &amp; "%USERPROFILE%\Documents\GitHub\mrs-test-scripts\Headless Mode &amp; Sideloading\WalkAndUnGZ.bat" "%USERPROFILE%\AppData\Local\Temp\OnboardLogs"\RTDC4027\2017-01-10</v>
      </c>
      <c r="AF199" s="84" t="str">
        <f t="shared" si="116"/>
        <v>"C:\Program Files (x86)\AstroGrep\AstroGrep.exe" /spath="%USERPROFILE%\AppData\Local\Temp\OnboardLogs" /stypes="app*4027*20170109*" /stext=" 08:.+((SYSTEM_STATE.+slice.+state.+changed )|(ment ac)|(multiple cpu faults)|(system.+state.+changed )|(\[timeout)|(PRM\|1\|D)|(kpr)|(kdp)|(\|lc)|(penalty))" /e /r /s</v>
      </c>
      <c r="AG199" s="1" t="str">
        <f t="shared" si="117"/>
        <v>Other</v>
      </c>
      <c r="AH199" s="88" t="str">
        <f t="shared" si="118"/>
        <v>"%USERPROFILE%\Documents\GitHub\eaglep3\Utilities\RefineRTDCRunTimes.py" --tripid 313-08 --locoid 4027 --swversion DE.1.0.8.0 --startMP 204:422 --initTime 2017-01-09T01:41:58 --startdatetime 2017-01-09T01:44:49 --delay 1 --endMP 300:23045 --enddatetime 2017-01-09T01:52:54 --enforcementcount 0 &gt;&gt;C:\Users\stu\Documents\GitHub\eaglep3-reporting\EC\2017-01-08-refined-times.txt</v>
      </c>
      <c r="AI199" s="115" t="str">
        <f t="shared" si="119"/>
        <v>echo {"issue":{"subject":"","project_id":79,"tracker_id":40,"status_id":1,"priority_id":2,"assigned_to_id":23,"start_date":"2017-01-09","description":"","custom_fields":[{"id":1,"name":"Subdivision","value":"Other"},{"id":4,"name":"Milepost","value":"2.3045"},{"id":17,"name":"Train ID","value":"313-08"},{"id":16,"name":"Locomotive ID","value":"4027"},{"id":130,"name":"Impact","value":""},{"id":150,"name":"Time of Event (Mountain Time)","value":"01:52:54"},{"id":151,"name":"Denver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120"/>
        <v>start /low /b %USERPROFILE%\Documents\GitHub\eaglep3\Utilities\DownloadLogsFromS3.py --loco 4027 --day 2017-01-09</v>
      </c>
    </row>
    <row r="200" spans="1:91" x14ac:dyDescent="0.25">
      <c r="A200" s="34" t="s">
        <v>628</v>
      </c>
      <c r="B200" s="7">
        <v>4022</v>
      </c>
      <c r="C200" s="22" t="s">
        <v>203</v>
      </c>
      <c r="D200" s="22" t="s">
        <v>293</v>
      </c>
      <c r="E200" s="13">
        <v>42744.08792824074</v>
      </c>
      <c r="F200" s="13">
        <v>25568.708333333332</v>
      </c>
      <c r="G200" s="7">
        <v>1</v>
      </c>
      <c r="H200" s="22" t="s">
        <v>778</v>
      </c>
      <c r="I200" s="13">
        <v>25568.708333333332</v>
      </c>
      <c r="J200" s="7">
        <v>0</v>
      </c>
      <c r="K200" s="105" t="str">
        <f t="shared" si="103"/>
        <v>4021/4022</v>
      </c>
      <c r="L200" s="22" t="str">
        <f>VLOOKUP(A200,'Trips&amp;Operators'!$C$1:$G$99999,5,FALSE)</f>
        <v>STAMBAUGH JAMES</v>
      </c>
      <c r="M200" s="6">
        <f t="shared" si="104"/>
        <v>0</v>
      </c>
      <c r="N200" s="7">
        <f t="shared" si="105"/>
        <v>0</v>
      </c>
      <c r="O200" s="7"/>
      <c r="P200" s="7"/>
      <c r="Q200" s="23"/>
      <c r="R200" s="23"/>
      <c r="S200" s="32">
        <f t="shared" si="106"/>
        <v>1</v>
      </c>
      <c r="T200" s="47" t="str">
        <f t="shared" si="107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https://search-rtdc-monitor-bjffxe2xuh6vdkpspy63sjmuny.us-east-1.es.amazonaws.com/_plugin/kibana/#/discover/Steve-Slow-Train-Analysis-(2080s-and-2083s)?_g=(refreshInterval:(display:Off,section:0,value:0),time:(from:'2017-01-09 01:06:37-700',mode:absolute,to:'1969-12-31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0" s="49" t="str">
        <f t="shared" si="109"/>
        <v>Y</v>
      </c>
      <c r="X200" s="173">
        <f t="shared" si="110"/>
        <v>2</v>
      </c>
      <c r="Y200" s="64">
        <f t="shared" si="111"/>
        <v>4.3700000000000003E-2</v>
      </c>
      <c r="Z200" s="64">
        <f t="shared" si="112"/>
        <v>2.3300999999999998</v>
      </c>
      <c r="AA200" s="64">
        <f t="shared" si="113"/>
        <v>2.2864</v>
      </c>
      <c r="AB200" s="61" t="e">
        <f>VLOOKUP(A200,Enforcements!$C$7:$K$18,8,0)</f>
        <v>#N/A</v>
      </c>
      <c r="AC200" s="57" t="e">
        <f>VLOOKUP(A200,Enforcements!$C$7:$E$18,3,0)</f>
        <v>#N/A</v>
      </c>
      <c r="AD200" s="58" t="str">
        <f t="shared" si="114"/>
        <v>0315-08</v>
      </c>
      <c r="AE200" s="87" t="str">
        <f t="shared" si="115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0" s="84" t="str">
        <f t="shared" si="116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0" s="1" t="str">
        <f t="shared" si="117"/>
        <v>Other</v>
      </c>
      <c r="AH200" s="88" t="str">
        <f t="shared" si="118"/>
        <v>"%USERPROFILE%\Documents\GitHub\eaglep3\Utilities\RefineRTDCRunTimes.py" --tripid 315-08 --locoid 4022 --swversion DE.1.0.8.0 --startMP 204:437 --initTime 2017-01-09T02:06:37 --startdatetime 1969-12-31T17:00:00 --delay 1 --endMP 300:23301 --enddatetime 1969-12-31T17:00:00 --enforcementcount 0 &gt;&gt;C:\Users\stu\Documents\GitHub\eaglep3-reporting\EC\2017-01-08-refined-times.txt</v>
      </c>
      <c r="AI200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ID","value":"315-08"},{"id":16,"name":"Locomotive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120"/>
        <v>start /low /b %USERPROFILE%\Documents\GitHub\eaglep3\Utilities\DownloadLogsFromS3.py --loco 4022 --day 1969-12-31</v>
      </c>
    </row>
    <row r="201" spans="1:91" x14ac:dyDescent="0.25">
      <c r="A201" s="34" t="s">
        <v>455</v>
      </c>
      <c r="B201" s="7">
        <v>4044</v>
      </c>
      <c r="C201" s="22" t="s">
        <v>203</v>
      </c>
      <c r="D201" s="22" t="s">
        <v>739</v>
      </c>
      <c r="E201" s="13">
        <v>42743.224687499998</v>
      </c>
      <c r="F201" s="13">
        <v>42743.225949074076</v>
      </c>
      <c r="G201" s="7">
        <v>1</v>
      </c>
      <c r="H201" s="22" t="s">
        <v>288</v>
      </c>
      <c r="I201" s="13">
        <v>42743.231354166666</v>
      </c>
      <c r="J201" s="7">
        <v>0</v>
      </c>
      <c r="K201" s="105" t="str">
        <f t="shared" si="103"/>
        <v>4043/4044</v>
      </c>
      <c r="L201" s="22" t="str">
        <f>VLOOKUP(A201,'Trips&amp;Operators'!$C$1:$G$99999,5,FALSE)</f>
        <v>YORK EDGAR</v>
      </c>
      <c r="M201" s="6">
        <f t="shared" si="104"/>
        <v>5.4050925900810398E-3</v>
      </c>
      <c r="N201" s="7">
        <f t="shared" si="105"/>
        <v>7.7833333297166973</v>
      </c>
      <c r="O201" s="7"/>
      <c r="P201" s="7"/>
      <c r="Q201" s="23"/>
      <c r="R201" s="23"/>
      <c r="S201" s="32">
        <f t="shared" si="106"/>
        <v>0</v>
      </c>
      <c r="T201" s="47" t="str">
        <f t="shared" si="107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04:23:33-700',mode:absolute,to:'2017-01-08 06:33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49" t="str">
        <f t="shared" si="109"/>
        <v>Y</v>
      </c>
      <c r="X201" s="173">
        <f t="shared" si="110"/>
        <v>1586</v>
      </c>
      <c r="Y201" s="64">
        <f t="shared" si="111"/>
        <v>3.0222000000000002</v>
      </c>
      <c r="Z201" s="64">
        <f t="shared" si="112"/>
        <v>5.8930999999999996</v>
      </c>
      <c r="AA201" s="64">
        <f t="shared" si="113"/>
        <v>2.8708999999999993</v>
      </c>
      <c r="AB201" s="61" t="e">
        <f>VLOOKUP(A201,Enforcements!$C$7:$K$18,8,0)</f>
        <v>#N/A</v>
      </c>
      <c r="AC201" s="57" t="e">
        <f>VLOOKUP(A201,Enforcements!$C$7:$E$18,3,0)</f>
        <v>#N/A</v>
      </c>
      <c r="AD201" s="58" t="str">
        <f t="shared" si="114"/>
        <v>1901-08</v>
      </c>
      <c r="AE201" s="87" t="str">
        <f t="shared" si="115"/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AF201" s="84" t="str">
        <f t="shared" si="116"/>
        <v>"C:\Program Files (x86)\AstroGrep\AstroGrep.exe" /spath="%USERPROFILE%\AppData\Local\Temp\OnboardLogs" /stypes="app*4044*20170108*" /stext=" 12:.+((SYSTEM_STATE.+slice.+state.+changed )|(ment ac)|(multiple cpu faults)|(system.+state.+changed )|(\[timeout)|(PRM\|1\|D)|(kpr)|(kdp)|(\|lc)|(penalty))" /e /r /s</v>
      </c>
      <c r="AG201" s="1" t="str">
        <f t="shared" si="117"/>
        <v>Other</v>
      </c>
      <c r="AH201" s="88" t="str">
        <f t="shared" si="118"/>
        <v>"%USERPROFILE%\Documents\GitHub\eaglep3\Utilities\RefineRTDCRunTimes.py" --tripid 1901-08 --locoid 4044 --swversion DE.1.0.8.0 --startMP 300:30222 --initTime 2017-01-08T05:23:33 --startdatetime 2017-01-08T05:25:22 --delay 1 --endMP 300:58931 --enddatetime 2017-01-08T05:33:09 --enforcementcount 0 &gt;&gt;C:\Users\stu\Documents\GitHub\eaglep3-reporting\EC\2017-01-08-refined-times.txt</v>
      </c>
      <c r="AI201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{"issue":{"subject":"","project_id":79,"tracker_id":40,"status_id":1,"priority_id":2,"assigned_to_id":23,"start_date":"2017-01-08","description":"","custom_fields":[{"id":1,"name":"Subdivision","value":"Other"},{"id":4,"name":"Milepost","value":"5.8931"},{"id":17,"name":"Train ID","value":"1901-08"},{"id":16,"name":"Locomotive ID","value":"4044"},{"id":130,"name":"Impact","value":""},{"id":150,"name":"Time of Event (Mountain Time)","value":"05:33:09"},{"id":151,"name":"Denver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120"/>
        <v>start /low /b %USERPROFILE%\Documents\GitHub\eaglep3\Utilities\DownloadLogsFromS3.py --loco 4044 --day 2017-01-08</v>
      </c>
    </row>
    <row r="202" spans="1:91" x14ac:dyDescent="0.25">
      <c r="A202" s="34" t="s">
        <v>616</v>
      </c>
      <c r="B202" s="7">
        <v>4043</v>
      </c>
      <c r="C202" s="22" t="s">
        <v>203</v>
      </c>
      <c r="D202" s="22" t="s">
        <v>404</v>
      </c>
      <c r="E202" s="13">
        <v>42743.942569444444</v>
      </c>
      <c r="F202" s="13">
        <v>42743.944178240738</v>
      </c>
      <c r="G202" s="7">
        <v>1</v>
      </c>
      <c r="H202" s="22" t="s">
        <v>740</v>
      </c>
      <c r="I202" s="13">
        <v>42743.948622685188</v>
      </c>
      <c r="J202" s="7">
        <v>0</v>
      </c>
      <c r="K202" s="105" t="str">
        <f t="shared" si="103"/>
        <v>4043/4044</v>
      </c>
      <c r="L202" s="22" t="str">
        <f>VLOOKUP(A202,'Trips&amp;Operators'!$C$1:$G$99999,5,FALSE)</f>
        <v>HELVIE ADAM</v>
      </c>
      <c r="M202" s="6">
        <f t="shared" si="104"/>
        <v>4.4444444502005354E-3</v>
      </c>
      <c r="N202" s="7">
        <f t="shared" si="105"/>
        <v>6.4000000082887709</v>
      </c>
      <c r="O202" s="7"/>
      <c r="P202" s="7"/>
      <c r="Q202" s="23"/>
      <c r="R202" s="23"/>
      <c r="S202" s="32">
        <f t="shared" si="106"/>
        <v>0</v>
      </c>
      <c r="T202" s="47" t="str">
        <f t="shared" si="107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21:37:18-700',mode:absolute,to:'2017-01-08 23:46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49" t="str">
        <f t="shared" si="109"/>
        <v>Y</v>
      </c>
      <c r="X202" s="173">
        <f t="shared" si="110"/>
        <v>1</v>
      </c>
      <c r="Y202" s="64">
        <f t="shared" si="111"/>
        <v>5.8630000000000004</v>
      </c>
      <c r="Z202" s="64">
        <f t="shared" si="112"/>
        <v>2.1629999999999998</v>
      </c>
      <c r="AA202" s="64">
        <f t="shared" si="113"/>
        <v>3.7000000000000006</v>
      </c>
      <c r="AB202" s="61" t="e">
        <f>VLOOKUP(A202,Enforcements!$C$7:$K$18,8,0)</f>
        <v>#N/A</v>
      </c>
      <c r="AC202" s="57" t="e">
        <f>VLOOKUP(A202,Enforcements!$C$7:$E$18,3,0)</f>
        <v>#N/A</v>
      </c>
      <c r="AD202" s="58" t="str">
        <f t="shared" si="114"/>
        <v>1902-08</v>
      </c>
      <c r="AE202" s="87" t="str">
        <f t="shared" si="115"/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AF202" s="84" t="str">
        <f t="shared" si="116"/>
        <v>"C:\Program Files (x86)\AstroGrep\AstroGrep.exe" /spath="%USERPROFILE%\AppData\Local\Temp\OnboardLogs" /stypes="app*4043*20170109*" /stext=" 05:.+((SYSTEM_STATE.+slice.+state.+changed )|(ment ac)|(multiple cpu faults)|(system.+state.+changed )|(\[timeout)|(PRM\|1\|D)|(kpr)|(kdp)|(\|lc)|(penalty))" /e /r /s</v>
      </c>
      <c r="AG202" s="1" t="str">
        <f t="shared" si="117"/>
        <v>Other</v>
      </c>
      <c r="AH202" s="88" t="str">
        <f t="shared" si="118"/>
        <v>"%USERPROFILE%\Documents\GitHub\eaglep3\Utilities\RefineRTDCRunTimes.py" --tripid 1902-08 --locoid 4043 --swversion DE.1.0.8.0 --startMP 300:58630 --initTime 2017-01-08T22:37:18 --startdatetime 2017-01-08T22:39:37 --delay 1 --endMP 300:21630 --enddatetime 2017-01-08T22:46:01 --enforcementcount 0 &gt;&gt;C:\Users\stu\Documents\GitHub\eaglep3-reporting\EC\2017-01-08-refined-times.txt</v>
      </c>
      <c r="AI202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{"issue":{"subject":"","project_id":79,"tracker_id":40,"status_id":1,"priority_id":2,"assigned_to_id":23,"start_date":"2017-01-08","description":"","custom_fields":[{"id":1,"name":"Subdivision","value":"Other"},{"id":4,"name":"Milepost","value":"2.163"},{"id":17,"name":"Train ID","value":"1902-08"},{"id":16,"name":"Locomotive ID","value":"4043"},{"id":130,"name":"Impact","value":""},{"id":150,"name":"Time of Event (Mountain Time)","value":"22:46:01"},{"id":151,"name":"Denver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120"/>
        <v>start /low /b %USERPROFILE%\Documents\GitHub\eaglep3\Utilities\DownloadLogsFromS3.py --loco 4043 --day 2017-01-08</v>
      </c>
    </row>
    <row r="203" spans="1:91" x14ac:dyDescent="0.25">
      <c r="A203" s="34" t="s">
        <v>482</v>
      </c>
      <c r="B203" s="7">
        <v>4003</v>
      </c>
      <c r="C203" s="22" t="s">
        <v>203</v>
      </c>
      <c r="D203" s="22" t="s">
        <v>779</v>
      </c>
      <c r="E203" s="13">
        <v>42743.335266203707</v>
      </c>
      <c r="F203" s="13">
        <v>25568.708333333332</v>
      </c>
      <c r="G203" s="7">
        <v>0</v>
      </c>
      <c r="H203" s="22" t="s">
        <v>402</v>
      </c>
      <c r="I203" s="13">
        <v>25568.708333333332</v>
      </c>
      <c r="J203" s="7">
        <v>0</v>
      </c>
      <c r="K203" s="105" t="str">
        <f t="shared" si="103"/>
        <v>4003/4004</v>
      </c>
      <c r="L203" s="22" t="str">
        <f>VLOOKUP(A203,'Trips&amp;Operators'!$C$1:$G$99999,5,FALSE)</f>
        <v>HAITHCOX MICHAEL</v>
      </c>
      <c r="M203" s="6">
        <f t="shared" si="104"/>
        <v>0</v>
      </c>
      <c r="N203" s="7">
        <f t="shared" si="105"/>
        <v>0</v>
      </c>
      <c r="O203" s="7"/>
      <c r="P203" s="7"/>
      <c r="Q203" s="23"/>
      <c r="R203" s="23"/>
      <c r="S203" s="32">
        <f t="shared" si="106"/>
        <v>0</v>
      </c>
      <c r="T203" s="47" t="e">
        <f t="shared" si="107"/>
        <v>#VALUE!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07:02:47-700',mode:absolute,to:'1969-12-31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49" t="str">
        <f t="shared" si="109"/>
        <v>Y</v>
      </c>
      <c r="X203" s="173" t="e">
        <f t="shared" si="110"/>
        <v>#VALUE!</v>
      </c>
      <c r="Y203" s="64">
        <f t="shared" si="111"/>
        <v>3.4299999999999997E-2</v>
      </c>
      <c r="Z203" s="64">
        <f t="shared" si="112"/>
        <v>2.3346</v>
      </c>
      <c r="AA203" s="64">
        <f t="shared" si="113"/>
        <v>2.3003</v>
      </c>
      <c r="AB203" s="61" t="e">
        <f>VLOOKUP(A203,Enforcements!$C$7:$K$18,8,0)</f>
        <v>#N/A</v>
      </c>
      <c r="AC203" s="57" t="e">
        <f>VLOOKUP(A203,Enforcements!$C$7:$E$18,3,0)</f>
        <v>#N/A</v>
      </c>
      <c r="AD203" s="58" t="str">
        <f t="shared" si="114"/>
        <v>51-08</v>
      </c>
      <c r="AE203" s="87" t="str">
        <f t="shared" si="115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3" s="84" t="str">
        <f t="shared" si="116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3" s="1" t="str">
        <f t="shared" si="117"/>
        <v>Other</v>
      </c>
      <c r="AH203" s="88" t="str">
        <f t="shared" si="118"/>
        <v>"%USERPROFILE%\Documents\GitHub\eaglep3\Utilities\RefineRTDCRunTimes.py" --tripid 51-08 --locoid 4003 --swversion DE.1.0.8.0 --startMP 204:343 --initTime 2017-01-08T08:02:47 --startdatetime 1969-12-31T17:00:00 --delay 0 --endMP 300:23346 --enddatetime 1969-12-31T17:00:00 --enforcementcount 0 &gt;&gt;C:\Users\stu\Documents\GitHub\eaglep3-reporting\EC\2017-01-08-refined-times.txt</v>
      </c>
      <c r="AI203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ID","value":"51-08"},{"id":16,"name":"Locomotive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120"/>
        <v>start /low /b %USERPROFILE%\Documents\GitHub\eaglep3\Utilities\DownloadLogsFromS3.py --loco 4003 --day 1969-12-31</v>
      </c>
    </row>
    <row r="204" spans="1:91" x14ac:dyDescent="0.25">
      <c r="A204" s="34" t="s">
        <v>519</v>
      </c>
      <c r="B204" s="7">
        <v>4029</v>
      </c>
      <c r="C204" s="22" t="s">
        <v>203</v>
      </c>
      <c r="D204" s="22" t="s">
        <v>780</v>
      </c>
      <c r="E204" s="13">
        <v>42743.470277777778</v>
      </c>
      <c r="F204" s="13">
        <v>42743.474814814814</v>
      </c>
      <c r="G204" s="7">
        <v>1</v>
      </c>
      <c r="H204" s="22" t="s">
        <v>781</v>
      </c>
      <c r="I204" s="13">
        <v>42743.535173611112</v>
      </c>
      <c r="J204" s="7">
        <v>0</v>
      </c>
      <c r="K204" s="105" t="str">
        <f t="shared" si="103"/>
        <v>4029/4030</v>
      </c>
      <c r="L204" s="22" t="str">
        <f>VLOOKUP(A204,'Trips&amp;Operators'!$C$1:$G$99999,5,FALSE)</f>
        <v>OUN ZACK</v>
      </c>
      <c r="M204" s="6">
        <f t="shared" si="104"/>
        <v>6.0358796297805384E-2</v>
      </c>
      <c r="N204" s="7">
        <f t="shared" si="105"/>
        <v>86.916666668839753</v>
      </c>
      <c r="O204" s="7"/>
      <c r="P204" s="7"/>
      <c r="Q204" s="23"/>
      <c r="R204" s="23"/>
      <c r="S204" s="32">
        <f t="shared" si="106"/>
        <v>0</v>
      </c>
      <c r="T204" s="47" t="e">
        <f t="shared" si="107"/>
        <v>#VALUE!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10:17:12-700',mode:absolute,to:'2017-01-08 13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4" s="49" t="str">
        <f t="shared" si="109"/>
        <v>Y</v>
      </c>
      <c r="X204" s="173" t="e">
        <f t="shared" si="110"/>
        <v>#VALUE!</v>
      </c>
      <c r="Y204" s="64">
        <f t="shared" si="111"/>
        <v>4.2599999999999999E-2</v>
      </c>
      <c r="Z204" s="64">
        <f t="shared" si="112"/>
        <v>2.4228999999999998</v>
      </c>
      <c r="AA204" s="64">
        <f t="shared" si="113"/>
        <v>2.3802999999999996</v>
      </c>
      <c r="AB204" s="61" t="e">
        <f>VLOOKUP(A204,Enforcements!$C$7:$K$18,8,0)</f>
        <v>#N/A</v>
      </c>
      <c r="AC204" s="57" t="e">
        <f>VLOOKUP(A204,Enforcements!$C$7:$E$18,3,0)</f>
        <v>#N/A</v>
      </c>
      <c r="AD204" s="58" t="str">
        <f t="shared" si="114"/>
        <v>53-08</v>
      </c>
      <c r="AE204" s="87" t="str">
        <f t="shared" si="115"/>
        <v>aws s3 cp s3://rtdc.mdm.uploadarchive.raw/RTDC4029/ "%USERPROFILE%\AppData\Local\Temp\OnboardLogs"\RTDC4029\2017-01-08 --exclude "*" --recursive --include "*20170108*" &amp; "%USERPROFILE%\Documents\GitHub\mrs-test-scripts\Headless Mode &amp; Sideloading\WalkAndUnGZ.bat" "%USERPROFILE%\AppData\Local\Temp\OnboardLogs"\RTDC4029\2017-01-08 &amp; 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</v>
      </c>
      <c r="AF204" s="84" t="str">
        <f t="shared" si="116"/>
        <v>"C:\Program Files (x86)\AstroGrep\AstroGrep.exe" /spath="%USERPROFILE%\AppData\Local\Temp\OnboardLogs" /stypes="app*4029*20170108*" /stext=" 19:.+((SYSTEM_STATE.+slice.+state.+changed )|(ment ac)|(multiple cpu faults)|(system.+state.+changed )|(\[timeout)|(PRM\|1\|D)|(kpr)|(kdp)|(\|lc)|(penalty))" /e /r /s</v>
      </c>
      <c r="AG204" s="1" t="str">
        <f t="shared" si="117"/>
        <v>Other</v>
      </c>
      <c r="AH204" s="88" t="str">
        <f t="shared" si="118"/>
        <v>"%USERPROFILE%\Documents\GitHub\eaglep3\Utilities\RefineRTDCRunTimes.py" --tripid 53-08 --locoid 4029 --swversion DE.1.0.8.0 --startMP 204:426 --initTime 2017-01-08T11:17:12 --startdatetime 2017-01-08T11:23:44 --delay 1 --endMP 300:24229 --enddatetime 2017-01-08T12:50:39 --enforcementcount 0 &gt;&gt;C:\Users\stu\Documents\GitHub\eaglep3-reporting\EC\2017-01-08-refined-times.txt</v>
      </c>
      <c r="AI204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{"issue":{"subject":"","project_id":79,"tracker_id":40,"status_id":1,"priority_id":2,"assigned_to_id":23,"start_date":"2017-01-08","description":"","custom_fields":[{"id":1,"name":"Subdivision","value":"Other"},{"id":4,"name":"Milepost","value":"2.4229"},{"id":17,"name":"Train ID","value":"53-08"},{"id":16,"name":"Locomotive ID","value":"4029"},{"id":130,"name":"Impact","value":""},{"id":150,"name":"Time of Event (Mountain Time)","value":"12:50:39"},{"id":151,"name":"Denver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120"/>
        <v>start /low /b %USERPROFILE%\Documents\GitHub\eaglep3\Utilities\DownloadLogsFromS3.py --loco 4029 --day 2017-01-08</v>
      </c>
    </row>
    <row r="205" spans="1:91" x14ac:dyDescent="0.25">
      <c r="A205" s="34" t="s">
        <v>566</v>
      </c>
      <c r="B205" s="7">
        <v>4030</v>
      </c>
      <c r="C205" s="22" t="s">
        <v>203</v>
      </c>
      <c r="D205" s="22" t="s">
        <v>782</v>
      </c>
      <c r="E205" s="13">
        <v>42743.709930555553</v>
      </c>
      <c r="F205" s="13">
        <v>42743.712847222225</v>
      </c>
      <c r="G205" s="7">
        <v>4</v>
      </c>
      <c r="H205" s="22" t="s">
        <v>281</v>
      </c>
      <c r="I205" s="13">
        <v>42743.718657407408</v>
      </c>
      <c r="J205" s="7">
        <v>0</v>
      </c>
      <c r="K205" s="105" t="str">
        <f t="shared" si="103"/>
        <v>4029/4030</v>
      </c>
      <c r="L205" s="22" t="str">
        <f>VLOOKUP(A205,'Trips&amp;Operators'!$C$1:$G$99999,5,FALSE)</f>
        <v>NEWELL JAMES</v>
      </c>
      <c r="M205" s="6">
        <f t="shared" si="104"/>
        <v>5.8101851827814244E-3</v>
      </c>
      <c r="N205" s="7">
        <f t="shared" si="105"/>
        <v>8.3666666632052511</v>
      </c>
      <c r="O205" s="7"/>
      <c r="P205" s="7"/>
      <c r="Q205" s="23"/>
      <c r="R205" s="23"/>
      <c r="S205" s="32">
        <f t="shared" si="106"/>
        <v>0</v>
      </c>
      <c r="T205" s="47" t="e">
        <f t="shared" si="107"/>
        <v>#VALUE!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16:02:18-700',mode:absolute,to:'2017-01-08 18:14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49" t="str">
        <f t="shared" si="109"/>
        <v>Y</v>
      </c>
      <c r="X205" s="173" t="e">
        <f t="shared" si="110"/>
        <v>#VALUE!</v>
      </c>
      <c r="Y205" s="64">
        <f t="shared" si="111"/>
        <v>2.3285</v>
      </c>
      <c r="Z205" s="64">
        <f t="shared" si="112"/>
        <v>1.5800000000000002E-2</v>
      </c>
      <c r="AA205" s="64">
        <f t="shared" si="113"/>
        <v>2.3127</v>
      </c>
      <c r="AB205" s="61" t="e">
        <f>VLOOKUP(A205,Enforcements!$C$7:$K$18,8,0)</f>
        <v>#N/A</v>
      </c>
      <c r="AC205" s="57" t="e">
        <f>VLOOKUP(A205,Enforcements!$C$7:$E$18,3,0)</f>
        <v>#N/A</v>
      </c>
      <c r="AD205" s="58" t="str">
        <f t="shared" si="114"/>
        <v>54-08</v>
      </c>
      <c r="AE205" s="87" t="str">
        <f t="shared" si="115"/>
        <v>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 &amp; 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</v>
      </c>
      <c r="AF205" s="84" t="str">
        <f t="shared" si="116"/>
        <v>"C:\Program Files (x86)\AstroGrep\AstroGrep.exe" /spath="%USERPROFILE%\AppData\Local\Temp\OnboardLogs" /stypes="app*4030*20170109*" /stext=" 00:.+((SYSTEM_STATE.+slice.+state.+changed )|(ment ac)|(multiple cpu faults)|(system.+state.+changed )|(\[timeout)|(PRM\|1\|D)|(kpr)|(kdp)|(\|lc)|(penalty))" /e /r /s</v>
      </c>
      <c r="AG205" s="1" t="str">
        <f t="shared" si="117"/>
        <v>Other</v>
      </c>
      <c r="AH205" s="88" t="str">
        <f t="shared" si="118"/>
        <v>"%USERPROFILE%\Documents\GitHub\eaglep3\Utilities\RefineRTDCRunTimes.py" --tripid 54-08 --locoid 4030 --swversion DE.1.0.8.0 --startMP 300:23285 --initTime 2017-01-08T17:02:18 --startdatetime 2017-01-08T17:06:30 --delay 4 --endMP 204:158 --enddatetime 2017-01-08T17:14:52 --enforcementcount 0 &gt;&gt;C:\Users\stu\Documents\GitHub\eaglep3-reporting\EC\2017-01-08-refined-times.txt</v>
      </c>
      <c r="AI205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{"issue":{"subject":"","project_id":79,"tracker_id":40,"status_id":1,"priority_id":2,"assigned_to_id":23,"start_date":"2017-01-08","description":"","custom_fields":[{"id":1,"name":"Subdivision","value":"Other"},{"id":4,"name":"Milepost","value":"0.0158"},{"id":17,"name":"Train ID","value":"54-08"},{"id":16,"name":"Locomotive ID","value":"4030"},{"id":130,"name":"Impact","value":""},{"id":150,"name":"Time of Event (Mountain Time)","value":"17:14:52"},{"id":151,"name":"Denver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120"/>
        <v>start /low /b %USERPROFILE%\Documents\GitHub\eaglep3\Utilities\DownloadLogsFromS3.py --loco 4030 --day 2017-01-08</v>
      </c>
    </row>
    <row r="206" spans="1:91" x14ac:dyDescent="0.25">
      <c r="A206" s="34" t="s">
        <v>523</v>
      </c>
      <c r="B206" s="7">
        <v>4032</v>
      </c>
      <c r="C206" s="22" t="s">
        <v>203</v>
      </c>
      <c r="D206" s="22" t="s">
        <v>783</v>
      </c>
      <c r="E206" s="13">
        <v>42743.470775462964</v>
      </c>
      <c r="F206" s="13">
        <v>42743.478958333333</v>
      </c>
      <c r="G206" s="7">
        <v>11</v>
      </c>
      <c r="H206" s="22" t="s">
        <v>784</v>
      </c>
      <c r="I206" s="13">
        <v>42743.485023148147</v>
      </c>
      <c r="J206" s="7">
        <v>0</v>
      </c>
      <c r="K206" s="105" t="str">
        <f t="shared" si="103"/>
        <v>4031/4032</v>
      </c>
      <c r="L206" s="22" t="str">
        <f>VLOOKUP(A206,'Trips&amp;Operators'!$C$1:$G$99999,5,FALSE)</f>
        <v>CRAYTON QUNTRELL</v>
      </c>
      <c r="M206" s="6">
        <f t="shared" si="104"/>
        <v>6.064814813726116E-3</v>
      </c>
      <c r="N206" s="7">
        <f t="shared" si="105"/>
        <v>8.733333331765607</v>
      </c>
      <c r="O206" s="7"/>
      <c r="P206" s="7"/>
      <c r="Q206" s="23"/>
      <c r="R206" s="23"/>
      <c r="S206" s="32">
        <f t="shared" si="106"/>
        <v>0</v>
      </c>
      <c r="T206" s="47" t="e">
        <f t="shared" si="107"/>
        <v>#VALUE!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108"/>
        <v>https://search-rtdc-monitor-bjffxe2xuh6vdkpspy63sjmuny.us-east-1.es.amazonaws.com/_plugin/kibana/#/discover/Steve-Slow-Train-Analysis-(2080s-and-2083s)?_g=(refreshInterval:(display:Off,section:0,value:0),time:(from:'2017-01-08 10:17:55-700',mode:absolute,to:'2017-01-08 12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6" s="49" t="str">
        <f t="shared" si="109"/>
        <v>Y</v>
      </c>
      <c r="X206" s="173" t="e">
        <f t="shared" si="110"/>
        <v>#VALUE!</v>
      </c>
      <c r="Y206" s="64">
        <f t="shared" si="111"/>
        <v>2.1985000000000001</v>
      </c>
      <c r="Z206" s="64">
        <f t="shared" si="112"/>
        <v>8.3999999999999995E-3</v>
      </c>
      <c r="AA206" s="64">
        <f t="shared" si="113"/>
        <v>2.1901000000000002</v>
      </c>
      <c r="AB206" s="61" t="e">
        <f>VLOOKUP(A206,Enforcements!$C$7:$K$18,8,0)</f>
        <v>#N/A</v>
      </c>
      <c r="AC206" s="57" t="e">
        <f>VLOOKUP(A206,Enforcements!$C$7:$E$18,3,0)</f>
        <v>#N/A</v>
      </c>
      <c r="AD206" s="58" t="str">
        <f t="shared" si="114"/>
        <v>56-08</v>
      </c>
      <c r="AE206" s="87" t="str">
        <f t="shared" si="115"/>
        <v>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 &amp; 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</v>
      </c>
      <c r="AF206" s="84" t="str">
        <f t="shared" si="116"/>
        <v>"C:\Program Files (x86)\AstroGrep\AstroGrep.exe" /spath="%USERPROFILE%\AppData\Local\Temp\OnboardLogs" /stypes="app*4032*20170108*" /stext=" 18:.+((SYSTEM_STATE.+slice.+state.+changed )|(ment ac)|(multiple cpu faults)|(system.+state.+changed )|(\[timeout)|(PRM\|1\|D)|(kpr)|(kdp)|(\|lc)|(penalty))" /e /r /s</v>
      </c>
      <c r="AG206" s="1" t="str">
        <f t="shared" si="117"/>
        <v>Other</v>
      </c>
      <c r="AH206" s="88" t="str">
        <f t="shared" si="118"/>
        <v>"%USERPROFILE%\Documents\GitHub\eaglep3\Utilities\RefineRTDCRunTimes.py" --tripid 56-08 --locoid 4032 --swversion DE.1.0.8.0 --startMP 300:21985 --initTime 2017-01-08T11:17:55 --startdatetime 2017-01-08T11:29:42 --delay 11 --endMP 204:84 --enddatetime 2017-01-08T11:38:26 --enforcementcount 0 &gt;&gt;C:\Users\stu\Documents\GitHub\eaglep3-reporting\EC\2017-01-08-refined-times.txt</v>
      </c>
      <c r="AI206" s="115" t="str">
        <f t="shared" si="119"/>
        <v>echo {"issue":{"subject":"","project_id":79,"tracker_id":40,"status_id":1,"priority_id":2,"assigned_to_id":23,"start_date":"2017-01-08","description":"","custom_fields":[{"id":1,"name":"Subdivision","value":"Other"},{"id":4,"name":"Milepost","value":"0.0084"},{"id":17,"name":"Train ID","value":"56-08"},{"id":16,"name":"Locomotive ID","value":"4032"},{"id":130,"name":"Impact","value":""},{"id":150,"name":"Time of Event (Mountain Time)","value":"11:38:26"},{"id":151,"name":"Denver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120"/>
        <v>start /low /b %USERPROFILE%\Documents\GitHub\eaglep3\Utilities\DownloadLogsFromS3.py --loco 4032 --day 2017-01-08</v>
      </c>
    </row>
    <row r="207" spans="1:91" x14ac:dyDescent="0.25">
      <c r="A207" s="34" t="s">
        <v>530</v>
      </c>
      <c r="B207" s="7">
        <v>4031</v>
      </c>
      <c r="C207" s="22" t="s">
        <v>203</v>
      </c>
      <c r="D207" s="22" t="s">
        <v>785</v>
      </c>
      <c r="E207" s="13">
        <v>42743.507569444446</v>
      </c>
      <c r="F207" s="13">
        <v>25568.708333333332</v>
      </c>
      <c r="G207" s="7">
        <v>1</v>
      </c>
      <c r="H207" s="22" t="s">
        <v>786</v>
      </c>
      <c r="I207" s="13">
        <v>25568.708333333332</v>
      </c>
      <c r="J207" s="7">
        <v>0</v>
      </c>
      <c r="K207" s="105" t="str">
        <f t="shared" ref="K207:K215" si="121">IF(ISEVEN(B207),(B207-1)&amp;"/"&amp;B207,B207&amp;"/"&amp;(B207+1))</f>
        <v>4031/4032</v>
      </c>
      <c r="L207" s="22" t="str">
        <f>VLOOKUP(A207,'Trips&amp;Operators'!$C$1:$G$99999,5,FALSE)</f>
        <v>MAELZER KURT</v>
      </c>
      <c r="M207" s="6">
        <f t="shared" ref="M207:M215" si="122">I207-F207</f>
        <v>0</v>
      </c>
      <c r="N207" s="7">
        <f t="shared" ref="N207:N215" si="123">24*60*SUM($M207:$M207)</f>
        <v>0</v>
      </c>
      <c r="O207" s="7"/>
      <c r="P207" s="7"/>
      <c r="Q207" s="23"/>
      <c r="R207" s="23"/>
      <c r="S207" s="32">
        <f t="shared" ref="S207:S215" si="124">SUM(U207:U207)/IF(AG207="EC",12,1)</f>
        <v>0</v>
      </c>
      <c r="T207" s="47" t="e">
        <f t="shared" ref="T207:T215" si="125">IF(ISEVEN(LEFT(AD207,4)),"Southbound","NorthBound")</f>
        <v>#VALUE!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ref="V207:V215" si="126"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https://search-rtdc-monitor-bjffxe2xuh6vdkpspy63sjmuny.us-east-1.es.amazonaws.com/_plugin/kibana/#/discover/Steve-Slow-Train-Analysis-(2080s-and-2083s)?_g=(refreshInterval:(display:Off,section:0,value:0),time:(from:'2017-01-08 11:10:54-700',mode:absolute,to:'1969-12-31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7" s="49" t="str">
        <f t="shared" ref="W207:W215" si="127">IF(AA207&lt;IF(AG207="EC",23,5.65),"Y","N")</f>
        <v>Y</v>
      </c>
      <c r="X207" s="173" t="e">
        <f t="shared" ref="X207:X215" si="128">VALUE(LEFT(AD207,4))-VALUE(LEFT(AD206,4))</f>
        <v>#VALUE!</v>
      </c>
      <c r="Y207" s="64">
        <f t="shared" ref="Y207:Y215" si="129">RIGHT(D207,LEN(D207)-4)/10000</f>
        <v>3.8300000000000001E-2</v>
      </c>
      <c r="Z207" s="64">
        <f t="shared" ref="Z207:Z215" si="130">RIGHT(H207,LEN(H207)-4)/10000</f>
        <v>2.4220000000000002</v>
      </c>
      <c r="AA207" s="64">
        <f t="shared" ref="AA207:AA215" si="131">ABS(Z207-Y207)</f>
        <v>2.3837000000000002</v>
      </c>
      <c r="AB207" s="61" t="e">
        <f>VLOOKUP(A207,Enforcements!$C$7:$K$18,8,0)</f>
        <v>#N/A</v>
      </c>
      <c r="AC207" s="57" t="e">
        <f>VLOOKUP(A207,Enforcements!$C$7:$E$18,3,0)</f>
        <v>#N/A</v>
      </c>
      <c r="AD207" s="58" t="str">
        <f t="shared" ref="AD207:AD215" si="132">IF(LEN(A207)=6,"0"&amp;A207,A207)</f>
        <v>57-08</v>
      </c>
      <c r="AE207" s="87" t="str">
        <f t="shared" ref="AE207:AE215" si="133"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7" s="84" t="str">
        <f t="shared" ref="AF207:AF215" si="134"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7" s="1" t="str">
        <f t="shared" ref="AG207:AG215" si="135">IFERROR(IF(VALUE(LEFT(AD207,2))&lt;=2,"EC",IF(OR(VALUE(LEFT(AD207,2))=8,VALUE(LEFT(AD207,2))=18),"NW","Other")),"Other")</f>
        <v>Other</v>
      </c>
      <c r="AH207" s="88" t="str">
        <f t="shared" si="118"/>
        <v>"%USERPROFILE%\Documents\GitHub\eaglep3\Utilities\RefineRTDCRunTimes.py" --tripid 57-08 --locoid 4031 --swversion DE.1.0.8.0 --startMP 204:383 --initTime 2017-01-08T12:10:54 --startdatetime 1969-12-31T17:00:00 --delay 1 --endMP 300:24220 --enddatetime 1969-12-31T17:00:00 --enforcementcount 0 &gt;&gt;C:\Users\stu\Documents\GitHub\eaglep3-reporting\EC\2017-01-08-refined-times.txt</v>
      </c>
      <c r="AI207" s="115" t="str">
        <f t="shared" si="119"/>
        <v>echo {"issue":{"subject":"","project_id":79,"tracker_id":40,"status_id":1,"priority_id":2,"assigned_to_id":23,"start_date":"1969-12-31","description":"","custom_fields":[{"id":1,"name":"Subdivision","value":"Other"},{"id":4,"name":"Milepost","value":"2.422"},{"id":17,"name":"Train ID","value":"57-08"},{"id":16,"name":"Locomotive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120"/>
        <v>start /low /b %USERPROFILE%\Documents\GitHub\eaglep3\Utilities\DownloadLogsFromS3.py --loco 4031 --day 1969-12-31</v>
      </c>
    </row>
    <row r="208" spans="1:91" x14ac:dyDescent="0.25">
      <c r="A208" s="34" t="s">
        <v>529</v>
      </c>
      <c r="B208" s="7">
        <v>4030</v>
      </c>
      <c r="C208" s="22" t="s">
        <v>203</v>
      </c>
      <c r="D208" s="22" t="s">
        <v>787</v>
      </c>
      <c r="E208" s="13">
        <v>42743.499560185184</v>
      </c>
      <c r="F208" s="13">
        <v>42743.501145833332</v>
      </c>
      <c r="G208" s="7">
        <v>1</v>
      </c>
      <c r="H208" s="22" t="s">
        <v>788</v>
      </c>
      <c r="I208" s="13">
        <v>42743.508622685185</v>
      </c>
      <c r="J208" s="7">
        <v>0</v>
      </c>
      <c r="K208" s="105" t="str">
        <f t="shared" si="121"/>
        <v>4029/4030</v>
      </c>
      <c r="L208" s="22" t="str">
        <f>VLOOKUP(A208,'Trips&amp;Operators'!$C$1:$G$99999,5,FALSE)</f>
        <v>KILLION DAVID</v>
      </c>
      <c r="M208" s="6">
        <f t="shared" si="122"/>
        <v>7.4768518534256145E-3</v>
      </c>
      <c r="N208" s="7">
        <f t="shared" si="123"/>
        <v>10.766666668932885</v>
      </c>
      <c r="O208" s="7"/>
      <c r="P208" s="7"/>
      <c r="Q208" s="23"/>
      <c r="R208" s="23"/>
      <c r="S208" s="32">
        <f t="shared" si="124"/>
        <v>0</v>
      </c>
      <c r="T208" s="47" t="e">
        <f t="shared" si="125"/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10:59:22-700',mode:absolute,to:'2017-01-08 13:12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8" s="49" t="str">
        <f t="shared" si="127"/>
        <v>Y</v>
      </c>
      <c r="X208" s="173" t="e">
        <f t="shared" si="128"/>
        <v>#VALUE!</v>
      </c>
      <c r="Y208" s="64">
        <f t="shared" si="129"/>
        <v>2.3374999999999999</v>
      </c>
      <c r="Z208" s="64">
        <f t="shared" si="130"/>
        <v>8.6699999999999999E-2</v>
      </c>
      <c r="AA208" s="64">
        <f t="shared" si="131"/>
        <v>2.2507999999999999</v>
      </c>
      <c r="AB208" s="61" t="e">
        <f>VLOOKUP(A208,Enforcements!$C$7:$K$18,8,0)</f>
        <v>#N/A</v>
      </c>
      <c r="AC208" s="57" t="e">
        <f>VLOOKUP(A208,Enforcements!$C$7:$E$18,3,0)</f>
        <v>#N/A</v>
      </c>
      <c r="AD208" s="58" t="str">
        <f t="shared" si="132"/>
        <v>58-08</v>
      </c>
      <c r="AE208" s="87" t="str">
        <f t="shared" si="133"/>
        <v>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 &amp; 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</v>
      </c>
      <c r="AF208" s="84" t="str">
        <f t="shared" si="134"/>
        <v>"C:\Program Files (x86)\AstroGrep\AstroGrep.exe" /spath="%USERPROFILE%\AppData\Local\Temp\OnboardLogs" /stypes="app*4030*20170108*" /stext=" 19:.+((SYSTEM_STATE.+slice.+state.+changed )|(ment ac)|(multiple cpu faults)|(system.+state.+changed )|(\[timeout)|(PRM\|1\|D)|(kpr)|(kdp)|(\|lc)|(penalty))" /e /r /s</v>
      </c>
      <c r="AG208" s="1" t="str">
        <f t="shared" si="135"/>
        <v>Other</v>
      </c>
      <c r="AH208" s="88" t="str">
        <f t="shared" ref="AH208:AH215" si="13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58-08 --locoid 4030 --swversion DE.1.0.8.0 --startMP 300:23375 --initTime 2017-01-08T11:59:22 --startdatetime 2017-01-08T12:01:39 --delay 1 --endMP 204:867 --enddatetime 2017-01-08T12:12:25 --enforcementcount 0 &gt;&gt;C:\Users\stu\Documents\GitHub\eaglep3-reporting\EC\2017-01-08-refined-times.txt</v>
      </c>
      <c r="AI208" s="115" t="str">
        <f t="shared" ref="AI208:AI215" si="137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{"issue":{"subject":"","project_id":79,"tracker_id":40,"status_id":1,"priority_id":2,"assigned_to_id":23,"start_date":"2017-01-08","description":"","custom_fields":[{"id":1,"name":"Subdivision","value":"Other"},{"id":4,"name":"Milepost","value":"0.0867"},{"id":17,"name":"Train ID","value":"58-08"},{"id":16,"name":"Locomotive ID","value":"4030"},{"id":130,"name":"Impact","value":""},{"id":150,"name":"Time of Event (Mountain Time)","value":"12:12:25"},{"id":151,"name":"Denver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ref="AM208:AM215" si="138">"start /low /b "&amp;dls3logs&amp;" --loco "&amp;B208&amp;" --day "&amp;TEXT(F208,"YYYY-MM-DD")</f>
        <v>start /low /b %USERPROFILE%\Documents\GitHub\eaglep3\Utilities\DownloadLogsFromS3.py --loco 4030 --day 2017-01-08</v>
      </c>
    </row>
    <row r="209" spans="1:39" x14ac:dyDescent="0.25">
      <c r="A209" s="34" t="s">
        <v>532</v>
      </c>
      <c r="B209" s="7">
        <v>4029</v>
      </c>
      <c r="C209" s="22" t="s">
        <v>203</v>
      </c>
      <c r="D209" s="22" t="s">
        <v>789</v>
      </c>
      <c r="E209" s="13">
        <v>42743.524560185186</v>
      </c>
      <c r="F209" s="13">
        <v>25568.708333333332</v>
      </c>
      <c r="G209" s="7">
        <v>1</v>
      </c>
      <c r="H209" s="22" t="s">
        <v>790</v>
      </c>
      <c r="I209" s="13">
        <v>25568.708333333332</v>
      </c>
      <c r="J209" s="7">
        <v>0</v>
      </c>
      <c r="K209" s="105" t="str">
        <f t="shared" si="121"/>
        <v>4029/4030</v>
      </c>
      <c r="L209" s="22" t="str">
        <f>VLOOKUP(A209,'Trips&amp;Operators'!$C$1:$G$99999,5,FALSE)</f>
        <v>OUN ZACK</v>
      </c>
      <c r="M209" s="6">
        <f t="shared" si="122"/>
        <v>0</v>
      </c>
      <c r="N209" s="7">
        <f t="shared" si="123"/>
        <v>0</v>
      </c>
      <c r="O209" s="7"/>
      <c r="P209" s="7"/>
      <c r="Q209" s="23"/>
      <c r="R209" s="23"/>
      <c r="S209" s="32">
        <f t="shared" si="124"/>
        <v>0</v>
      </c>
      <c r="T209" s="47" t="e">
        <f t="shared" si="125"/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11:35:22-700',mode:absolute,to:'1969-12-31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49" t="str">
        <f t="shared" si="127"/>
        <v>Y</v>
      </c>
      <c r="X209" s="173" t="e">
        <f t="shared" si="128"/>
        <v>#VALUE!</v>
      </c>
      <c r="Y209" s="64">
        <f t="shared" si="129"/>
        <v>0.1186</v>
      </c>
      <c r="Z209" s="64">
        <f t="shared" si="130"/>
        <v>2.4226000000000001</v>
      </c>
      <c r="AA209" s="64">
        <f t="shared" si="131"/>
        <v>2.3040000000000003</v>
      </c>
      <c r="AB209" s="61" t="e">
        <f>VLOOKUP(A209,Enforcements!$C$7:$K$18,8,0)</f>
        <v>#N/A</v>
      </c>
      <c r="AC209" s="57" t="e">
        <f>VLOOKUP(A209,Enforcements!$C$7:$E$18,3,0)</f>
        <v>#N/A</v>
      </c>
      <c r="AD209" s="58" t="str">
        <f t="shared" si="132"/>
        <v>59-08</v>
      </c>
      <c r="AE209" s="87" t="str">
        <f t="shared" si="133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4" t="str">
        <f t="shared" si="134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9" s="1" t="str">
        <f t="shared" si="135"/>
        <v>Other</v>
      </c>
      <c r="AH209" s="88" t="str">
        <f t="shared" si="136"/>
        <v>"%USERPROFILE%\Documents\GitHub\eaglep3\Utilities\RefineRTDCRunTimes.py" --tripid 59-08 --locoid 4029 --swversion DE.1.0.8.0 --startMP 204:1186 --initTime 2017-01-08T12:35:22 --startdatetime 1969-12-31T17:00:00 --delay 1 --endMP 300:24226 --enddatetime 1969-12-31T17:00:00 --enforcementcount 0 &gt;&gt;C:\Users\stu\Documents\GitHub\eaglep3-reporting\EC\2017-01-08-refined-times.txt</v>
      </c>
      <c r="AI209" s="115" t="str">
        <f t="shared" si="137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ID","value":"59-08"},{"id":16,"name":"Locomotive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138"/>
        <v>start /low /b %USERPROFILE%\Documents\GitHub\eaglep3\Utilities\DownloadLogsFromS3.py --loco 4029 --day 1969-12-31</v>
      </c>
    </row>
    <row r="210" spans="1:39" x14ac:dyDescent="0.25">
      <c r="A210" s="34" t="s">
        <v>531</v>
      </c>
      <c r="B210" s="7">
        <v>4008</v>
      </c>
      <c r="C210" s="22" t="s">
        <v>203</v>
      </c>
      <c r="D210" s="22" t="s">
        <v>791</v>
      </c>
      <c r="E210" s="13">
        <v>42743.521990740737</v>
      </c>
      <c r="F210" s="13">
        <v>42743.523275462961</v>
      </c>
      <c r="G210" s="7">
        <v>1</v>
      </c>
      <c r="H210" s="22" t="s">
        <v>792</v>
      </c>
      <c r="I210" s="13">
        <v>42743.529386574075</v>
      </c>
      <c r="J210" s="7">
        <v>0</v>
      </c>
      <c r="K210" s="105" t="str">
        <f t="shared" si="121"/>
        <v>4007/4008</v>
      </c>
      <c r="L210" s="22" t="str">
        <f>VLOOKUP(A210,'Trips&amp;Operators'!$C$1:$G$99999,5,FALSE)</f>
        <v>DELGADO DIANAH</v>
      </c>
      <c r="M210" s="6">
        <f t="shared" si="122"/>
        <v>6.1111111135687679E-3</v>
      </c>
      <c r="N210" s="7">
        <f t="shared" si="123"/>
        <v>8.8000000035390258</v>
      </c>
      <c r="O210" s="7"/>
      <c r="P210" s="7"/>
      <c r="Q210" s="23"/>
      <c r="R210" s="23"/>
      <c r="S210" s="32">
        <f t="shared" si="124"/>
        <v>0</v>
      </c>
      <c r="T210" s="47" t="e">
        <f t="shared" si="125"/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11:31:40-700',mode:absolute,to:'2017-01-08 13:42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0" s="49" t="str">
        <f t="shared" si="127"/>
        <v>Y</v>
      </c>
      <c r="X210" s="173" t="e">
        <f t="shared" si="128"/>
        <v>#VALUE!</v>
      </c>
      <c r="Y210" s="64">
        <f t="shared" si="129"/>
        <v>2.1823999999999999</v>
      </c>
      <c r="Z210" s="64">
        <f t="shared" si="130"/>
        <v>1.06E-2</v>
      </c>
      <c r="AA210" s="64">
        <f t="shared" si="131"/>
        <v>2.1717999999999997</v>
      </c>
      <c r="AB210" s="61" t="e">
        <f>VLOOKUP(A210,Enforcements!$C$7:$K$18,8,0)</f>
        <v>#N/A</v>
      </c>
      <c r="AC210" s="57" t="e">
        <f>VLOOKUP(A210,Enforcements!$C$7:$E$18,3,0)</f>
        <v>#N/A</v>
      </c>
      <c r="AD210" s="58" t="str">
        <f t="shared" si="132"/>
        <v>60-08</v>
      </c>
      <c r="AE210" s="87" t="str">
        <f t="shared" si="133"/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AF210" s="84" t="str">
        <f t="shared" si="134"/>
        <v>"C:\Program Files (x86)\AstroGrep\AstroGrep.exe" /spath="%USERPROFILE%\AppData\Local\Temp\OnboardLogs" /stypes="app*4008*20170108*" /stext=" 19:.+((SYSTEM_STATE.+slice.+state.+changed )|(ment ac)|(multiple cpu faults)|(system.+state.+changed )|(\[timeout)|(PRM\|1\|D)|(kpr)|(kdp)|(\|lc)|(penalty))" /e /r /s</v>
      </c>
      <c r="AG210" s="1" t="str">
        <f t="shared" si="135"/>
        <v>Other</v>
      </c>
      <c r="AH210" s="88" t="str">
        <f t="shared" si="136"/>
        <v>"%USERPROFILE%\Documents\GitHub\eaglep3\Utilities\RefineRTDCRunTimes.py" --tripid 60-08 --locoid 4008 --swversion DE.1.0.8.0 --startMP 300:21824 --initTime 2017-01-08T12:31:40 --startdatetime 2017-01-08T12:33:31 --delay 1 --endMP 204:106 --enddatetime 2017-01-08T12:42:19 --enforcementcount 0 &gt;&gt;C:\Users\stu\Documents\GitHub\eaglep3-reporting\EC\2017-01-08-refined-times.txt</v>
      </c>
      <c r="AI210" s="115" t="str">
        <f t="shared" si="137"/>
        <v>echo {"issue":{"subject":"","project_id":79,"tracker_id":40,"status_id":1,"priority_id":2,"assigned_to_id":23,"start_date":"2017-01-08","description":"","custom_fields":[{"id":1,"name":"Subdivision","value":"Other"},{"id":4,"name":"Milepost","value":"0.0106"},{"id":17,"name":"Train ID","value":"60-08"},{"id":16,"name":"Locomotive ID","value":"4008"},{"id":130,"name":"Impact","value":""},{"id":150,"name":"Time of Event (Mountain Time)","value":"12:42:19"},{"id":151,"name":"Denver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138"/>
        <v>start /low /b %USERPROFILE%\Documents\GitHub\eaglep3\Utilities\DownloadLogsFromS3.py --loco 4008 --day 2017-01-08</v>
      </c>
    </row>
    <row r="211" spans="1:39" x14ac:dyDescent="0.25">
      <c r="A211" s="34" t="s">
        <v>581</v>
      </c>
      <c r="B211" s="7">
        <v>4029</v>
      </c>
      <c r="C211" s="22" t="s">
        <v>203</v>
      </c>
      <c r="D211" s="22" t="s">
        <v>793</v>
      </c>
      <c r="E211" s="13">
        <v>42743.75445601852</v>
      </c>
      <c r="F211" s="13">
        <v>25568.708333333332</v>
      </c>
      <c r="G211" s="7">
        <v>1</v>
      </c>
      <c r="H211" s="22" t="s">
        <v>402</v>
      </c>
      <c r="I211" s="13">
        <v>25568.708333333332</v>
      </c>
      <c r="J211" s="7">
        <v>0</v>
      </c>
      <c r="K211" s="105" t="str">
        <f t="shared" si="121"/>
        <v>4029/4030</v>
      </c>
      <c r="L211" s="22" t="str">
        <f>VLOOKUP(A211,'Trips&amp;Operators'!$C$1:$G$99999,5,FALSE)</f>
        <v>DAVIS MICHAEL</v>
      </c>
      <c r="M211" s="6">
        <f t="shared" si="122"/>
        <v>0</v>
      </c>
      <c r="N211" s="7">
        <f t="shared" si="123"/>
        <v>0</v>
      </c>
      <c r="O211" s="7"/>
      <c r="P211" s="7"/>
      <c r="Q211" s="23"/>
      <c r="R211" s="23"/>
      <c r="S211" s="32">
        <f t="shared" si="124"/>
        <v>0</v>
      </c>
      <c r="T211" s="47" t="e">
        <f t="shared" si="125"/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17:06:25-700',mode:absolute,to:'1969-12-31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1" s="49" t="str">
        <f t="shared" si="127"/>
        <v>Y</v>
      </c>
      <c r="X211" s="173" t="e">
        <f t="shared" si="128"/>
        <v>#VALUE!</v>
      </c>
      <c r="Y211" s="64">
        <f t="shared" si="129"/>
        <v>4.3499999999999997E-2</v>
      </c>
      <c r="Z211" s="64">
        <f t="shared" si="130"/>
        <v>2.3346</v>
      </c>
      <c r="AA211" s="64">
        <f t="shared" si="131"/>
        <v>2.2911000000000001</v>
      </c>
      <c r="AB211" s="61" t="e">
        <f>VLOOKUP(A211,Enforcements!$C$7:$K$18,8,0)</f>
        <v>#N/A</v>
      </c>
      <c r="AC211" s="57" t="e">
        <f>VLOOKUP(A211,Enforcements!$C$7:$E$18,3,0)</f>
        <v>#N/A</v>
      </c>
      <c r="AD211" s="58" t="str">
        <f t="shared" si="132"/>
        <v>61-08</v>
      </c>
      <c r="AE211" s="87" t="str">
        <f t="shared" si="133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1" s="84" t="str">
        <f t="shared" si="134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1" s="1" t="str">
        <f t="shared" si="135"/>
        <v>Other</v>
      </c>
      <c r="AH211" s="88" t="str">
        <f t="shared" si="136"/>
        <v>"%USERPROFILE%\Documents\GitHub\eaglep3\Utilities\RefineRTDCRunTimes.py" --tripid 61-08 --locoid 4029 --swversion DE.1.0.8.0 --startMP 204:435 --initTime 2017-01-08T18:06:25 --startdatetime 1969-12-31T17:00:00 --delay 1 --endMP 300:23346 --enddatetime 1969-12-31T17:00:00 --enforcementcount 0 &gt;&gt;C:\Users\stu\Documents\GitHub\eaglep3-reporting\EC\2017-01-08-refined-times.txt</v>
      </c>
      <c r="AI211" s="115" t="str">
        <f t="shared" si="13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ID","value":"61-08"},{"id":16,"name":"Locomotive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138"/>
        <v>start /low /b %USERPROFILE%\Documents\GitHub\eaglep3\Utilities\DownloadLogsFromS3.py --loco 4029 --day 1969-12-31</v>
      </c>
    </row>
    <row r="212" spans="1:39" x14ac:dyDescent="0.25">
      <c r="A212" s="34" t="s">
        <v>576</v>
      </c>
      <c r="B212" s="7">
        <v>4032</v>
      </c>
      <c r="C212" s="22" t="s">
        <v>203</v>
      </c>
      <c r="D212" s="22" t="s">
        <v>794</v>
      </c>
      <c r="E212" s="13">
        <v>42743.744687500002</v>
      </c>
      <c r="F212" s="13">
        <v>42743.745833333334</v>
      </c>
      <c r="G212" s="7">
        <v>1</v>
      </c>
      <c r="H212" s="22" t="s">
        <v>795</v>
      </c>
      <c r="I212" s="13">
        <v>42743.752500000002</v>
      </c>
      <c r="J212" s="7">
        <v>0</v>
      </c>
      <c r="K212" s="105" t="str">
        <f t="shared" si="121"/>
        <v>4031/4032</v>
      </c>
      <c r="L212" s="22" t="str">
        <f>VLOOKUP(A212,'Trips&amp;Operators'!$C$1:$G$99999,5,FALSE)</f>
        <v>PERKINS DARREN</v>
      </c>
      <c r="M212" s="6">
        <f t="shared" si="122"/>
        <v>6.6666666680248454E-3</v>
      </c>
      <c r="N212" s="7">
        <f t="shared" si="123"/>
        <v>9.6000000019557774</v>
      </c>
      <c r="O212" s="7"/>
      <c r="P212" s="7"/>
      <c r="Q212" s="23"/>
      <c r="R212" s="23"/>
      <c r="S212" s="32">
        <f t="shared" si="124"/>
        <v>0</v>
      </c>
      <c r="T212" s="47" t="e">
        <f t="shared" si="125"/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16:52:21-700',mode:absolute,to:'2017-01-08 19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2" s="49" t="str">
        <f t="shared" si="127"/>
        <v>Y</v>
      </c>
      <c r="X212" s="173" t="e">
        <f t="shared" si="128"/>
        <v>#VALUE!</v>
      </c>
      <c r="Y212" s="64">
        <f t="shared" si="129"/>
        <v>2.1326000000000001</v>
      </c>
      <c r="Z212" s="64">
        <f t="shared" si="130"/>
        <v>8.9700000000000002E-2</v>
      </c>
      <c r="AA212" s="64">
        <f t="shared" si="131"/>
        <v>2.0428999999999999</v>
      </c>
      <c r="AB212" s="61" t="e">
        <f>VLOOKUP(A212,Enforcements!$C$7:$K$18,8,0)</f>
        <v>#N/A</v>
      </c>
      <c r="AC212" s="57" t="e">
        <f>VLOOKUP(A212,Enforcements!$C$7:$E$18,3,0)</f>
        <v>#N/A</v>
      </c>
      <c r="AD212" s="58" t="str">
        <f t="shared" si="132"/>
        <v>62-08</v>
      </c>
      <c r="AE212" s="87" t="str">
        <f t="shared" si="133"/>
        <v>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 &amp; 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</v>
      </c>
      <c r="AF212" s="84" t="str">
        <f t="shared" si="134"/>
        <v>"C:\Program Files (x86)\AstroGrep\AstroGrep.exe" /spath="%USERPROFILE%\AppData\Local\Temp\OnboardLogs" /stypes="app*4032*20170109*" /stext=" 01:.+((SYSTEM_STATE.+slice.+state.+changed )|(ment ac)|(multiple cpu faults)|(system.+state.+changed )|(\[timeout)|(PRM\|1\|D)|(kpr)|(kdp)|(\|lc)|(penalty))" /e /r /s</v>
      </c>
      <c r="AG212" s="1" t="str">
        <f t="shared" si="135"/>
        <v>Other</v>
      </c>
      <c r="AH212" s="88" t="str">
        <f t="shared" si="136"/>
        <v>"%USERPROFILE%\Documents\GitHub\eaglep3\Utilities\RefineRTDCRunTimes.py" --tripid 62-08 --locoid 4032 --swversion DE.1.0.8.0 --startMP 300:21326 --initTime 2017-01-08T17:52:21 --startdatetime 2017-01-08T17:54:00 --delay 1 --endMP 204:897 --enddatetime 2017-01-08T18:03:36 --enforcementcount 0 &gt;&gt;C:\Users\stu\Documents\GitHub\eaglep3-reporting\EC\2017-01-08-refined-times.txt</v>
      </c>
      <c r="AI212" s="115" t="str">
        <f t="shared" si="137"/>
        <v>echo {"issue":{"subject":"","project_id":79,"tracker_id":40,"status_id":1,"priority_id":2,"assigned_to_id":23,"start_date":"2017-01-08","description":"","custom_fields":[{"id":1,"name":"Subdivision","value":"Other"},{"id":4,"name":"Milepost","value":"0.0897"},{"id":17,"name":"Train ID","value":"62-08"},{"id":16,"name":"Locomotive ID","value":"4032"},{"id":130,"name":"Impact","value":""},{"id":150,"name":"Time of Event (Mountain Time)","value":"18:03:36"},{"id":151,"name":"Denver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138"/>
        <v>start /low /b %USERPROFILE%\Documents\GitHub\eaglep3\Utilities\DownloadLogsFromS3.py --loco 4032 --day 2017-01-08</v>
      </c>
    </row>
    <row r="213" spans="1:39" x14ac:dyDescent="0.25">
      <c r="A213" s="34" t="s">
        <v>586</v>
      </c>
      <c r="B213" s="7">
        <v>4031</v>
      </c>
      <c r="C213" s="22" t="s">
        <v>203</v>
      </c>
      <c r="D213" s="22" t="s">
        <v>796</v>
      </c>
      <c r="E213" s="13">
        <v>42743.760729166665</v>
      </c>
      <c r="F213" s="13">
        <v>42743.767858796295</v>
      </c>
      <c r="G213" s="7">
        <v>1</v>
      </c>
      <c r="H213" s="22" t="s">
        <v>402</v>
      </c>
      <c r="I213" s="13">
        <v>42743.772962962961</v>
      </c>
      <c r="J213" s="7">
        <v>0</v>
      </c>
      <c r="K213" s="105" t="str">
        <f t="shared" si="121"/>
        <v>4031/4032</v>
      </c>
      <c r="L213" s="22" t="str">
        <f>VLOOKUP(A213,'Trips&amp;Operators'!$C$1:$G$99999,5,FALSE)</f>
        <v>BRUDER RICHARD</v>
      </c>
      <c r="M213" s="6">
        <f t="shared" si="122"/>
        <v>5.1041666665696539E-3</v>
      </c>
      <c r="N213" s="7">
        <f t="shared" si="123"/>
        <v>7.3499999998603016</v>
      </c>
      <c r="O213" s="7"/>
      <c r="P213" s="7"/>
      <c r="Q213" s="23"/>
      <c r="R213" s="23"/>
      <c r="S213" s="32">
        <f t="shared" si="124"/>
        <v>0</v>
      </c>
      <c r="T213" s="47" t="e">
        <f t="shared" si="125"/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17:15:27-700',mode:absolute,to:'2017-01-08 19:33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3" s="49" t="str">
        <f t="shared" si="127"/>
        <v>Y</v>
      </c>
      <c r="X213" s="173" t="e">
        <f t="shared" si="128"/>
        <v>#VALUE!</v>
      </c>
      <c r="Y213" s="64">
        <f t="shared" si="129"/>
        <v>0.1216</v>
      </c>
      <c r="Z213" s="64">
        <f t="shared" si="130"/>
        <v>2.3346</v>
      </c>
      <c r="AA213" s="64">
        <f t="shared" si="131"/>
        <v>2.2130000000000001</v>
      </c>
      <c r="AB213" s="61" t="e">
        <f>VLOOKUP(A213,Enforcements!$C$7:$K$18,8,0)</f>
        <v>#N/A</v>
      </c>
      <c r="AC213" s="57" t="e">
        <f>VLOOKUP(A213,Enforcements!$C$7:$E$18,3,0)</f>
        <v>#N/A</v>
      </c>
      <c r="AD213" s="58" t="str">
        <f t="shared" si="132"/>
        <v>63-08</v>
      </c>
      <c r="AE213" s="87" t="str">
        <f t="shared" si="133"/>
        <v>aws s3 cp s3://rtdc.mdm.uploadarchive.raw/RTDC4031/ "%USERPROFILE%\AppData\Local\Temp\OnboardLogs"\RTDC4031\2017-01-08 --exclude "*" --recursive --include "*20170108*" &amp; "%USERPROFILE%\Documents\GitHub\mrs-test-scripts\Headless Mode &amp; Sideloading\WalkAndUnGZ.bat" "%USERPROFILE%\AppData\Local\Temp\OnboardLogs"\RTDC4031\2017-01-08 &amp; 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</v>
      </c>
      <c r="AF213" s="84" t="str">
        <f t="shared" si="134"/>
        <v>"C:\Program Files (x86)\AstroGrep\AstroGrep.exe" /spath="%USERPROFILE%\AppData\Local\Temp\OnboardLogs" /stypes="app*4031*20170109*" /stext=" 01:.+((SYSTEM_STATE.+slice.+state.+changed )|(ment ac)|(multiple cpu faults)|(system.+state.+changed )|(\[timeout)|(PRM\|1\|D)|(kpr)|(kdp)|(\|lc)|(penalty))" /e /r /s</v>
      </c>
      <c r="AG213" s="1" t="str">
        <f t="shared" si="135"/>
        <v>Other</v>
      </c>
      <c r="AH213" s="88" t="str">
        <f t="shared" si="136"/>
        <v>"%USERPROFILE%\Documents\GitHub\eaglep3\Utilities\RefineRTDCRunTimes.py" --tripid 63-08 --locoid 4031 --swversion DE.1.0.8.0 --startMP 204:1216 --initTime 2017-01-08T18:15:27 --startdatetime 2017-01-08T18:25:43 --delay 1 --endMP 300:23346 --enddatetime 2017-01-08T18:33:04 --enforcementcount 0 &gt;&gt;C:\Users\stu\Documents\GitHub\eaglep3-reporting\EC\2017-01-08-refined-times.txt</v>
      </c>
      <c r="AI213" s="115" t="str">
        <f t="shared" si="137"/>
        <v>echo {"issue":{"subject":"","project_id":79,"tracker_id":40,"status_id":1,"priority_id":2,"assigned_to_id":23,"start_date":"2017-01-08","description":"","custom_fields":[{"id":1,"name":"Subdivision","value":"Other"},{"id":4,"name":"Milepost","value":"2.3346"},{"id":17,"name":"Train ID","value":"63-08"},{"id":16,"name":"Locomotive ID","value":"4031"},{"id":130,"name":"Impact","value":""},{"id":150,"name":"Time of Event (Mountain Time)","value":"18:33:04"},{"id":151,"name":"Denver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138"/>
        <v>start /low /b %USERPROFILE%\Documents\GitHub\eaglep3\Utilities\DownloadLogsFromS3.py --loco 4031 --day 2017-01-08</v>
      </c>
    </row>
    <row r="214" spans="1:39" x14ac:dyDescent="0.25">
      <c r="A214" s="34" t="s">
        <v>583</v>
      </c>
      <c r="B214" s="7">
        <v>4012</v>
      </c>
      <c r="C214" s="22" t="s">
        <v>203</v>
      </c>
      <c r="D214" s="22" t="s">
        <v>797</v>
      </c>
      <c r="E214" s="13">
        <v>42743.75818287037</v>
      </c>
      <c r="F214" s="13">
        <v>42743.759733796294</v>
      </c>
      <c r="G214" s="7">
        <v>1</v>
      </c>
      <c r="H214" s="22" t="s">
        <v>798</v>
      </c>
      <c r="I214" s="13">
        <v>42743.767893518518</v>
      </c>
      <c r="J214" s="7">
        <v>0</v>
      </c>
      <c r="K214" s="105" t="str">
        <f t="shared" si="121"/>
        <v>4011/4012</v>
      </c>
      <c r="L214" s="22" t="str">
        <f>VLOOKUP(A214,'Trips&amp;Operators'!$C$1:$G$99999,5,FALSE)</f>
        <v>SAFIEF AEIMEN</v>
      </c>
      <c r="M214" s="6">
        <f t="shared" si="122"/>
        <v>8.1597222233540379E-3</v>
      </c>
      <c r="N214" s="7">
        <f t="shared" si="123"/>
        <v>11.750000001629815</v>
      </c>
      <c r="O214" s="7"/>
      <c r="P214" s="7"/>
      <c r="Q214" s="23"/>
      <c r="R214" s="23"/>
      <c r="S214" s="32">
        <f t="shared" si="124"/>
        <v>0</v>
      </c>
      <c r="T214" s="47" t="e">
        <f t="shared" si="125"/>
        <v>#VALUE!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17:11:47-700',mode:absolute,to:'2017-01-08 19:25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4" s="49" t="str">
        <f t="shared" si="127"/>
        <v>Y</v>
      </c>
      <c r="X214" s="173" t="e">
        <f t="shared" si="128"/>
        <v>#VALUE!</v>
      </c>
      <c r="Y214" s="64">
        <f t="shared" si="129"/>
        <v>2.3121999999999998</v>
      </c>
      <c r="Z214" s="64">
        <f t="shared" si="130"/>
        <v>1.44E-2</v>
      </c>
      <c r="AA214" s="64">
        <f t="shared" si="131"/>
        <v>2.2977999999999996</v>
      </c>
      <c r="AB214" s="61" t="e">
        <f>VLOOKUP(A214,Enforcements!$C$7:$K$18,8,0)</f>
        <v>#N/A</v>
      </c>
      <c r="AC214" s="57" t="e">
        <f>VLOOKUP(A214,Enforcements!$C$7:$E$18,3,0)</f>
        <v>#N/A</v>
      </c>
      <c r="AD214" s="58" t="str">
        <f t="shared" si="132"/>
        <v>64-08</v>
      </c>
      <c r="AE214" s="87" t="str">
        <f t="shared" si="133"/>
        <v>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 &amp; 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</v>
      </c>
      <c r="AF214" s="84" t="str">
        <f t="shared" si="134"/>
        <v>"C:\Program Files (x86)\AstroGrep\AstroGrep.exe" /spath="%USERPROFILE%\AppData\Local\Temp\OnboardLogs" /stypes="app*4012*20170109*" /stext=" 01:.+((SYSTEM_STATE.+slice.+state.+changed )|(ment ac)|(multiple cpu faults)|(system.+state.+changed )|(\[timeout)|(PRM\|1\|D)|(kpr)|(kdp)|(\|lc)|(penalty))" /e /r /s</v>
      </c>
      <c r="AG214" s="1" t="str">
        <f t="shared" si="135"/>
        <v>Other</v>
      </c>
      <c r="AH214" s="88" t="str">
        <f t="shared" si="136"/>
        <v>"%USERPROFILE%\Documents\GitHub\eaglep3\Utilities\RefineRTDCRunTimes.py" --tripid 64-08 --locoid 4012 --swversion DE.1.0.8.0 --startMP 300:23122 --initTime 2017-01-08T18:11:47 --startdatetime 2017-01-08T18:14:01 --delay 1 --endMP 204:144 --enddatetime 2017-01-08T18:25:46 --enforcementcount 0 &gt;&gt;C:\Users\stu\Documents\GitHub\eaglep3-reporting\EC\2017-01-08-refined-times.txt</v>
      </c>
      <c r="AI214" s="115" t="str">
        <f t="shared" si="137"/>
        <v>echo {"issue":{"subject":"","project_id":79,"tracker_id":40,"status_id":1,"priority_id":2,"assigned_to_id":23,"start_date":"2017-01-08","description":"","custom_fields":[{"id":1,"name":"Subdivision","value":"Other"},{"id":4,"name":"Milepost","value":"0.0144"},{"id":17,"name":"Train ID","value":"64-08"},{"id":16,"name":"Locomotive ID","value":"4012"},{"id":130,"name":"Impact","value":""},{"id":150,"name":"Time of Event (Mountain Time)","value":"18:25:46"},{"id":151,"name":"Denver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138"/>
        <v>start /low /b %USERPROFILE%\Documents\GitHub\eaglep3\Utilities\DownloadLogsFromS3.py --loco 4012 --day 2017-01-08</v>
      </c>
    </row>
    <row r="215" spans="1:39" x14ac:dyDescent="0.25">
      <c r="A215" s="34" t="s">
        <v>579</v>
      </c>
      <c r="B215" s="7">
        <v>4009</v>
      </c>
      <c r="C215" s="22" t="s">
        <v>203</v>
      </c>
      <c r="D215" s="22" t="s">
        <v>799</v>
      </c>
      <c r="E215" s="13">
        <v>42743.745891203704</v>
      </c>
      <c r="F215" s="13">
        <v>25568.708333333332</v>
      </c>
      <c r="G215" s="7">
        <v>1</v>
      </c>
      <c r="H215" s="22" t="s">
        <v>335</v>
      </c>
      <c r="I215" s="13">
        <v>25568.708333333332</v>
      </c>
      <c r="J215" s="7">
        <v>0</v>
      </c>
      <c r="K215" s="105" t="str">
        <f t="shared" si="121"/>
        <v>4009/4010</v>
      </c>
      <c r="L215" s="22" t="str">
        <f>VLOOKUP(A215,'Trips&amp;Operators'!$C$1:$G$99999,5,FALSE)</f>
        <v>HOLCOMB KAMDEN</v>
      </c>
      <c r="M215" s="6">
        <f t="shared" si="122"/>
        <v>0</v>
      </c>
      <c r="N215" s="7">
        <f t="shared" si="123"/>
        <v>0</v>
      </c>
      <c r="O215" s="7"/>
      <c r="P215" s="7"/>
      <c r="Q215" s="23"/>
      <c r="R215" s="23"/>
      <c r="S215" s="32">
        <f t="shared" si="124"/>
        <v>0</v>
      </c>
      <c r="T215" s="47" t="e">
        <f t="shared" si="125"/>
        <v>#VALUE!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126"/>
        <v>https://search-rtdc-monitor-bjffxe2xuh6vdkpspy63sjmuny.us-east-1.es.amazonaws.com/_plugin/kibana/#/discover/Steve-Slow-Train-Analysis-(2080s-and-2083s)?_g=(refreshInterval:(display:Off,section:0,value:0),time:(from:'2017-01-08 16:54:05-700',mode:absolute,to:'1969-12-31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5" s="49" t="str">
        <f t="shared" si="127"/>
        <v>Y</v>
      </c>
      <c r="X215" s="173" t="e">
        <f t="shared" si="128"/>
        <v>#VALUE!</v>
      </c>
      <c r="Y215" s="64">
        <f t="shared" si="129"/>
        <v>0.1492</v>
      </c>
      <c r="Z215" s="64">
        <f t="shared" si="130"/>
        <v>2.3313999999999999</v>
      </c>
      <c r="AA215" s="64">
        <f t="shared" si="131"/>
        <v>2.1821999999999999</v>
      </c>
      <c r="AB215" s="61" t="e">
        <f>VLOOKUP(A215,Enforcements!$C$7:$K$18,8,0)</f>
        <v>#N/A</v>
      </c>
      <c r="AC215" s="57" t="e">
        <f>VLOOKUP(A215,Enforcements!$C$7:$E$18,3,0)</f>
        <v>#N/A</v>
      </c>
      <c r="AD215" s="58" t="str">
        <f t="shared" si="132"/>
        <v>69-08</v>
      </c>
      <c r="AE215" s="87" t="str">
        <f t="shared" si="133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5" s="84" t="str">
        <f t="shared" si="134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5" s="1" t="str">
        <f t="shared" si="135"/>
        <v>Other</v>
      </c>
      <c r="AH215" s="88" t="str">
        <f t="shared" si="136"/>
        <v>"%USERPROFILE%\Documents\GitHub\eaglep3\Utilities\RefineRTDCRunTimes.py" --tripid 69-08 --locoid 4009 --swversion DE.1.0.8.0 --startMP 204:1492 --initTime 2017-01-08T17:54:05 --startdatetime 1969-12-31T17:00:00 --delay 1 --endMP 300:23314 --enddatetime 1969-12-31T17:00:00 --enforcementcount 0 &gt;&gt;C:\Users\stu\Documents\GitHub\eaglep3-reporting\EC\2017-01-08-refined-times.txt</v>
      </c>
      <c r="AI215" s="115" t="str">
        <f t="shared" si="137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ID","value":"69-08"},{"id":16,"name":"Locomotive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138"/>
        <v>start /low /b %USERPROFILE%\Documents\GitHub\eaglep3\Utilities\DownloadLogsFromS3.py --loco 4009 --day 1969-12-31</v>
      </c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</sheetData>
  <autoFilter ref="A12:AG221">
    <sortState ref="A13:AG219">
      <sortCondition ref="AG13:AG213"/>
      <sortCondition ref="AD13:AD213"/>
    </sortState>
  </autoFilter>
  <sortState ref="A13:AH200">
    <sortCondition ref="AG13:AG200"/>
    <sortCondition ref="AD13:AD200"/>
  </sortState>
  <mergeCells count="1">
    <mergeCell ref="A11:P11"/>
  </mergeCells>
  <conditionalFormatting sqref="W11:W12 W238:X1048576 W13:X215">
    <cfRule type="cellIs" dxfId="10" priority="352" operator="equal">
      <formula>"Y"</formula>
    </cfRule>
  </conditionalFormatting>
  <conditionalFormatting sqref="X238:X1048576 X13:X215">
    <cfRule type="cellIs" dxfId="9" priority="335" operator="greaterThan">
      <formula>1</formula>
    </cfRule>
  </conditionalFormatting>
  <conditionalFormatting sqref="X238:X1048576 X12:X215">
    <cfRule type="cellIs" dxfId="8" priority="332" operator="equal">
      <formula>0</formula>
    </cfRule>
  </conditionalFormatting>
  <conditionalFormatting sqref="A13:S215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2"/>
  <sheetViews>
    <sheetView topLeftCell="A2" zoomScaleNormal="100" workbookViewId="0">
      <selection activeCell="B17" sqref="B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COUNTIF($O$7:$O$331,"=Y")</f>
        <v>4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COUNTA($O$7:$O$331)-O2</f>
        <v>25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- 2017-01-08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302</v>
      </c>
    </row>
    <row r="7" spans="1:31" s="1" customFormat="1" x14ac:dyDescent="0.25">
      <c r="A7" s="33">
        <v>42743.978148148148</v>
      </c>
      <c r="B7" s="31" t="s">
        <v>371</v>
      </c>
      <c r="C7" s="31" t="s">
        <v>430</v>
      </c>
      <c r="D7" s="31" t="s">
        <v>49</v>
      </c>
      <c r="E7" s="31" t="s">
        <v>236</v>
      </c>
      <c r="F7" s="44">
        <v>190</v>
      </c>
      <c r="G7" s="44">
        <v>240</v>
      </c>
      <c r="H7" s="44">
        <v>27624</v>
      </c>
      <c r="I7" s="44">
        <v>27089</v>
      </c>
      <c r="J7" s="31" t="s">
        <v>237</v>
      </c>
      <c r="K7" s="44">
        <v>27350</v>
      </c>
      <c r="L7" s="150" t="s">
        <v>51</v>
      </c>
      <c r="M7" s="151">
        <f t="shared" ref="M7:M35" si="0">CONVERT((I7-K7)/10000,"mi","ft")*IF(L7="Increasing Mileposts (1)",-1,1)</f>
        <v>-137.80799999999999</v>
      </c>
      <c r="N7" s="152" t="str">
        <f>VLOOKUP(C7,'Trips&amp;Operators'!$C$1:$G$99999,5,FALSE)</f>
        <v>PERKINS DARREN</v>
      </c>
      <c r="O7" s="179" t="s">
        <v>195</v>
      </c>
      <c r="P7" s="153" t="s">
        <v>831</v>
      </c>
      <c r="Q7" s="31"/>
      <c r="R7" s="96" t="str">
        <f>VLOOKUP(C7,'Train Runs'!$A$13:$AE$9965,31,0)</f>
        <v>aws s3 cp s3://rtdc.mdm.uploadarchive.raw/RTDC4028/ "%USERPROFILE%\AppData\Local\Temp\OnboardLogs"\RTDC4028\2017-01-08 --exclude "*" --recursive --include "*20170108*" &amp; "%USERPROFILE%\Documents\GitHub\mrs-test-scripts\Headless Mode &amp; Sideloading\WalkAndUnGZ.bat" "%USERPROFILE%\AppData\Local\Temp\OnboardLogs"\RTDC4028\2017-01-08 &amp; 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</v>
      </c>
      <c r="S7" s="99" t="str">
        <f>VLOOKUP(C7,'Train Runs'!$A$13:$AE$9965,22,0)</f>
        <v>https://search-rtdc-monitor-bjffxe2xuh6vdkpspy63sjmuny.us-east-1.es.amazonaws.com/_plugin/kibana/#/discover/Steve-Slow-Train-Analysis-(2080s-and-2083s)?_g=(refreshInterval:(display:Off,section:0,value:0),time:(from:'2017-01-08 21:49:01-700',mode:absolute,to:'2017-01-09 00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7" s="101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/stypes="*4028*201701090*" /stext=" 06:.+((SYSTEM_STATE.+slice.+state.+changed )|(ment ac)|(multiple cpu faults)|(system.+state.+changed )|(\[timeout)|(PRM\|1\|D)|(kpr)|(kdp)|(\|lc)|(penalty))" /e /r /s</v>
      </c>
      <c r="U7" s="9" t="str">
        <f t="shared" ref="U7:U35" si="2">MID(B7,13,4)</f>
        <v>4028</v>
      </c>
      <c r="V7" s="33">
        <f t="shared" ref="V7:V35" si="3">A7-utc_offset/24</f>
        <v>42744.269814814812</v>
      </c>
      <c r="W7" s="47" t="str">
        <f t="shared" ref="W7:W35" si="4">IF(VALUE(LEFT(IF(LEN(C7)=6,"0"&amp;C7,C7),2))&lt;=2,"EC",IF(OR(VALUE(LEFT(IF(LEN(C7)=6,"0"&amp;C7,C7),2))=8,VALUE(LEFT(IF(LEN(C7)=6,"0"&amp;C7,C7),2))=18),"NW","Other"))</f>
        <v>EC</v>
      </c>
      <c r="X7" s="47" t="str">
        <f t="shared" ref="X7:X35" si="5">IF(AND(E7="TRACK WARRANT AUTHORITY",G7&lt;10),"OMIT","KEEP")</f>
        <v>KEEP</v>
      </c>
      <c r="Y7" s="115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arrival","project_id":79,"tracker_id":40,"status_id":1,"priority_id":2,"assigned_to_id":23,"start_date":"2017-01-08","description":"","custom_fields":[{"id":1,"name":"Subdivision","value":"EC"},{"id":4,"name":"Milepost","value":"2.735"},{"id":17,"name":"Train ID","value":"234-08"},{"id":16,"name":"Locomotive ID","value":"4028"},{"id":130,"name":"Impact","value":""},{"id":150,"name":"Time of Event (Mountain Time)","value":"23:28:32"},{"id":151,"name":"Denver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"%USERPROFILE%\AppData\Local\Temp\OnboardLogs"\RTDC4028\*4028*201701090*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"%USERPROFILE%\AppData\Local\Temp\OnboardLogs"\RTDC4028\*4028*201701090* &gt;&gt; 42743-slicedisagreementcheck.txt</v>
      </c>
      <c r="AE7" s="183" t="str">
        <f t="shared" ref="AE7:AE35" si="8">"start /low /b "&amp;dls3logs&amp;" --loco "&amp;U7&amp;" --day "&amp;TEXT(V7,"YYYY-MM-DD")</f>
        <v>start /low /b %USERPROFILE%\Documents\GitHub\eaglep3\Utilities\DownloadLogsFromS3.py --loco 4028 --day 2017-01-09</v>
      </c>
    </row>
    <row r="8" spans="1:31" s="1" customFormat="1" x14ac:dyDescent="0.25">
      <c r="A8" s="33">
        <v>42743.605011574073</v>
      </c>
      <c r="B8" s="31" t="s">
        <v>183</v>
      </c>
      <c r="C8" s="31" t="s">
        <v>420</v>
      </c>
      <c r="D8" s="31" t="s">
        <v>49</v>
      </c>
      <c r="E8" s="31" t="s">
        <v>236</v>
      </c>
      <c r="F8" s="44">
        <v>0</v>
      </c>
      <c r="G8" s="44">
        <v>54</v>
      </c>
      <c r="H8" s="44">
        <v>32964</v>
      </c>
      <c r="I8" s="44">
        <v>33026</v>
      </c>
      <c r="J8" s="31" t="s">
        <v>237</v>
      </c>
      <c r="K8" s="44">
        <v>33136</v>
      </c>
      <c r="L8" s="150" t="s">
        <v>50</v>
      </c>
      <c r="M8" s="151">
        <f t="shared" si="0"/>
        <v>58.08</v>
      </c>
      <c r="N8" s="152" t="str">
        <f>VLOOKUP(C8,'Trips&amp;Operators'!$C$1:$G$99999,5,FALSE)</f>
        <v>DAVIS MICHAEL</v>
      </c>
      <c r="O8" s="179" t="s">
        <v>195</v>
      </c>
      <c r="P8" s="153" t="s">
        <v>832</v>
      </c>
      <c r="Q8" s="31"/>
      <c r="R8" s="96" t="str">
        <f>VLOOKUP(C8,'Train Runs'!$A$13:$AE$9965,31,0)</f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S8" s="99" t="str">
        <f>VLOOKUP(C8,'Train Runs'!$A$13:$AE$9965,22,0)</f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8" s="101" t="str">
        <f t="shared" si="1"/>
        <v>"C:\Program Files (x86)\AstroGrep\AstroGrep.exe" /spath="%USERPROFILE%\AppData\Local\Temp\OnboardLogs" /stypes="*4009*201701082*" /stext=" 21:.+((SYSTEM_STATE.+slice.+state.+changed )|(ment ac)|(multiple cpu faults)|(system.+state.+changed )|(\[timeout)|(PRM\|1\|D)|(kpr)|(kdp)|(\|lc)|(penalty))" /e /r /s</v>
      </c>
      <c r="U8" s="9" t="str">
        <f t="shared" si="2"/>
        <v>4009</v>
      </c>
      <c r="V8" s="33">
        <f t="shared" si="3"/>
        <v>42743.896678240737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C","project_id":79,"tracker_id":40,"status_id":1,"priority_id":2,"assigned_to_id":23,"start_date":"2017-01-08","description":"","custom_fields":[{"id":1,"name":"Subdivision","value":"EC"},{"id":4,"name":"Milepost","value":"3.3136"},{"id":17,"name":"Train ID","value":"185-08"},{"id":16,"name":"Locomotive ID","value":"4009"},{"id":130,"name":"Impact","value":""},{"id":150,"name":"Time of Event (Mountain Time)","value":"14:31:13"},{"id":151,"name":"Denver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"%USERPROFILE%\AppData\Local\Temp\OnboardLogs"\RTDC4009\*4009*201701082*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"%USERPROFILE%\AppData\Local\Temp\OnboardLogs"\RTDC4009\*4009*201701082* &gt;&gt; 42743-slicedisagreementcheck.txt</v>
      </c>
      <c r="AE8" s="183" t="str">
        <f t="shared" si="8"/>
        <v>start /low /b %USERPROFILE%\Documents\GitHub\eaglep3\Utilities\DownloadLogsFromS3.py --loco 4009 --day 2017-01-08</v>
      </c>
    </row>
    <row r="9" spans="1:31" s="1" customFormat="1" x14ac:dyDescent="0.25">
      <c r="A9" s="33">
        <v>42743.484432870369</v>
      </c>
      <c r="B9" s="31" t="s">
        <v>307</v>
      </c>
      <c r="C9" s="31" t="s">
        <v>416</v>
      </c>
      <c r="D9" s="31" t="s">
        <v>49</v>
      </c>
      <c r="E9" s="31" t="s">
        <v>236</v>
      </c>
      <c r="F9" s="44">
        <v>410</v>
      </c>
      <c r="G9" s="44">
        <v>463</v>
      </c>
      <c r="H9" s="44">
        <v>54210</v>
      </c>
      <c r="I9" s="44">
        <v>52992</v>
      </c>
      <c r="J9" s="31" t="s">
        <v>237</v>
      </c>
      <c r="K9" s="44">
        <v>53277</v>
      </c>
      <c r="L9" s="150" t="s">
        <v>51</v>
      </c>
      <c r="M9" s="151">
        <f t="shared" si="0"/>
        <v>-150.47999999999999</v>
      </c>
      <c r="N9" s="152" t="str">
        <f>VLOOKUP(C9,'Trips&amp;Operators'!$C$1:$G$99999,5,FALSE)</f>
        <v>MAELZER KURT</v>
      </c>
      <c r="O9" s="179" t="s">
        <v>195</v>
      </c>
      <c r="P9" s="153" t="s">
        <v>831</v>
      </c>
      <c r="Q9" s="31"/>
      <c r="R9" s="96" t="str">
        <f>VLOOKUP(C9,'Train Runs'!$A$13:$AE$9965,31,0)</f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S9" s="99" t="str">
        <f>VLOOKUP(C9,'Train Runs'!$A$13:$AE$9965,22,0)</f>
        <v>https://search-rtdc-monitor-bjffxe2xuh6vdkpspy63sjmuny.us-east-1.es.amazonaws.com/_plugin/kibana/#/discover/Steve-Slow-Train-Analysis-(2080s-and-2083s)?_g=(refreshInterval:(display:Off,section:0,value:0),time:(from:'2017-01-08 09:56:30-700',mode:absolute,to:'2017-01-08 12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9" s="101" t="str">
        <f t="shared" si="1"/>
        <v>"C:\Program Files (x86)\AstroGrep\AstroGrep.exe" /spath="%USERPROFILE%\AppData\Local\Temp\OnboardLogs" /stypes="*4021*201701081*" /stext=" 18:.+((SYSTEM_STATE.+slice.+state.+changed )|(ment ac)|(multiple cpu faults)|(system.+state.+changed )|(\[timeout)|(PRM\|1\|D)|(kpr)|(kdp)|(\|lc)|(penalty))" /e /r /s</v>
      </c>
      <c r="U9" s="9" t="str">
        <f t="shared" si="2"/>
        <v>4021</v>
      </c>
      <c r="V9" s="33">
        <f t="shared" si="3"/>
        <v>42743.776099537034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arrival","project_id":79,"tracker_id":40,"status_id":1,"priority_id":2,"assigned_to_id":23,"start_date":"2017-01-08","description":"","custom_fields":[{"id":1,"name":"Subdivision","value":"EC"},{"id":4,"name":"Milepost","value":"5.3277"},{"id":17,"name":"Train ID","value":"154-08"},{"id":16,"name":"Locomotive ID","value":"4021"},{"id":130,"name":"Impact","value":""},{"id":150,"name":"Time of Event (Mountain Time)","value":"11:37:35"},{"id":151,"name":"Denver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"%USERPROFILE%\AppData\Local\Temp\OnboardLogs"\RTDC4021\*4021*201701081*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"%USERPROFILE%\AppData\Local\Temp\OnboardLogs"\RTDC4021\*4021*201701081* &gt;&gt; 42743-slicedisagreementcheck.txt</v>
      </c>
      <c r="AE9" s="183" t="str">
        <f t="shared" si="8"/>
        <v>start /low /b %USERPROFILE%\Documents\GitHub\eaglep3\Utilities\DownloadLogsFromS3.py --loco 4021 --day 2017-01-08</v>
      </c>
    </row>
    <row r="10" spans="1:31" s="1" customFormat="1" x14ac:dyDescent="0.25">
      <c r="A10" s="33">
        <v>42743.57439814815</v>
      </c>
      <c r="B10" s="31" t="s">
        <v>321</v>
      </c>
      <c r="C10" s="31" t="s">
        <v>419</v>
      </c>
      <c r="D10" s="31" t="s">
        <v>49</v>
      </c>
      <c r="E10" s="31" t="s">
        <v>236</v>
      </c>
      <c r="F10" s="44">
        <v>0</v>
      </c>
      <c r="G10" s="44">
        <v>35</v>
      </c>
      <c r="H10" s="44">
        <v>53382</v>
      </c>
      <c r="I10" s="44">
        <v>53355</v>
      </c>
      <c r="J10" s="31" t="s">
        <v>237</v>
      </c>
      <c r="K10" s="44">
        <v>53277</v>
      </c>
      <c r="L10" s="150" t="s">
        <v>51</v>
      </c>
      <c r="M10" s="151">
        <f t="shared" si="0"/>
        <v>41.183999999999997</v>
      </c>
      <c r="N10" s="152" t="str">
        <f>VLOOKUP(C10,'Trips&amp;Operators'!$C$1:$G$99999,5,FALSE)</f>
        <v>DAVIS MICHAEL</v>
      </c>
      <c r="O10" s="179" t="s">
        <v>195</v>
      </c>
      <c r="P10" s="153" t="s">
        <v>832</v>
      </c>
      <c r="Q10" s="31"/>
      <c r="R10" s="96" t="str">
        <f>VLOOKUP(C10,'Train Runs'!$A$13:$AE$9965,31,0)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10" s="99" t="str">
        <f>VLOOKUP(C10,'Train Runs'!$A$13:$AE$9965,22,0)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0" s="101" t="str">
        <f t="shared" si="1"/>
        <v>"C:\Program Files (x86)\AstroGrep\AstroGrep.exe" /spath="%USERPROFILE%\AppData\Local\Temp\OnboardLogs" /stypes="*4010*201701082*" /stext=" 20:.+((SYSTEM_STATE.+slice.+state.+changed )|(ment ac)|(multiple cpu faults)|(system.+state.+changed )|(\[timeout)|(PRM\|1\|D)|(kpr)|(kdp)|(\|lc)|(penalty))" /e /r /s</v>
      </c>
      <c r="U10" s="9" t="str">
        <f t="shared" si="2"/>
        <v>4010</v>
      </c>
      <c r="V10" s="33">
        <f t="shared" si="3"/>
        <v>42743.866064814814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C","project_id":79,"tracker_id":40,"status_id":1,"priority_id":2,"assigned_to_id":23,"start_date":"2017-01-08","description":"","custom_fields":[{"id":1,"name":"Subdivision","value":"EC"},{"id":4,"name":"Milepost","value":"5.3277"},{"id":17,"name":"Train ID","value":"168-08"},{"id":16,"name":"Locomotive ID","value":"4010"},{"id":130,"name":"Impact","value":""},{"id":150,"name":"Time of Event (Mountain Time)","value":"13:47:08"},{"id":151,"name":"Denver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"%USERPROFILE%\AppData\Local\Temp\OnboardLogs"\RTDC4010\*4010*201701082*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10" s="183" t="str">
        <f t="shared" si="8"/>
        <v>start /low /b %USERPROFILE%\Documents\GitHub\eaglep3\Utilities\DownloadLogsFromS3.py --loco 4010 --day 2017-01-08</v>
      </c>
    </row>
    <row r="11" spans="1:31" s="1" customFormat="1" x14ac:dyDescent="0.25">
      <c r="A11" s="33">
        <v>42743.256180555552</v>
      </c>
      <c r="B11" s="31" t="s">
        <v>412</v>
      </c>
      <c r="C11" s="31" t="s">
        <v>413</v>
      </c>
      <c r="D11" s="31" t="s">
        <v>49</v>
      </c>
      <c r="E11" s="31" t="s">
        <v>322</v>
      </c>
      <c r="F11" s="44">
        <v>300</v>
      </c>
      <c r="G11" s="44">
        <v>367</v>
      </c>
      <c r="H11" s="44">
        <v>22856</v>
      </c>
      <c r="I11" s="44">
        <v>21610</v>
      </c>
      <c r="J11" s="31" t="s">
        <v>323</v>
      </c>
      <c r="K11" s="44">
        <v>21848</v>
      </c>
      <c r="L11" s="150" t="s">
        <v>51</v>
      </c>
      <c r="M11" s="151">
        <f t="shared" si="0"/>
        <v>-125.664</v>
      </c>
      <c r="N11" s="152" t="str">
        <f>VLOOKUP(C11,'Trips&amp;Operators'!$C$1:$G$99999,5,FALSE)</f>
        <v>ISHMAEL JOSEPH</v>
      </c>
      <c r="O11" s="179" t="s">
        <v>195</v>
      </c>
      <c r="P11" s="153"/>
      <c r="Q11" s="31"/>
      <c r="R11" s="96" t="str">
        <f>VLOOKUP(C11,'Train Runs'!$A$13:$AE$9965,31,0)</f>
        <v>aws s3 cp s3://rtdc.mdm.uploadarchive.raw/RTDC4026/ "%USERPROFILE%\AppData\Local\Temp\OnboardLogs"\RTDC4026\2017-01-08 --exclude "*" --recursive --include "*20170108*" &amp; "%USERPROFILE%\Documents\GitHub\mrs-test-scripts\Headless Mode &amp; Sideloading\WalkAndUnGZ.bat" "%USERPROFILE%\AppData\Local\Temp\OnboardLogs"\RTDC4026\2017-01-08 &amp; 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</v>
      </c>
      <c r="S11" s="99" t="str">
        <f>VLOOKUP(C11,'Train Runs'!$A$13:$AE$9965,22,0)</f>
        <v>https://search-rtdc-monitor-bjffxe2xuh6vdkpspy63sjmuny.us-east-1.es.amazonaws.com/_plugin/kibana/#/discover/Steve-Slow-Train-Analysis-(2080s-and-2083s)?_g=(refreshInterval:(display:Off,section:0,value:0),time:(from:'2017-01-08 04:13:55-700',mode:absolute,to:'2017-01-08 07:18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1" s="101" t="str">
        <f t="shared" si="1"/>
        <v>"C:\Program Files (x86)\AstroGrep\AstroGrep.exe" /spath="%USERPROFILE%\AppData\Local\Temp\OnboardLogs" /stypes="*4026*201701081*" /stext=" 13:.+((SYSTEM_STATE.+slice.+state.+changed )|(ment ac)|(multiple cpu faults)|(system.+state.+changed )|(\[timeout)|(PRM\|1\|D)|(kpr)|(kdp)|(\|lc)|(penalty))" /e /r /s</v>
      </c>
      <c r="U11" s="9" t="str">
        <f t="shared" si="2"/>
        <v>4026</v>
      </c>
      <c r="V11" s="33">
        <f t="shared" si="3"/>
        <v>42743.547847222217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{"issue":{"subject":"","project_id":79,"tracker_id":40,"status_id":1,"priority_id":2,"assigned_to_id":23,"start_date":"2017-01-08","description":"","custom_fields":[{"id":1,"name":"Subdivision","value":"EC"},{"id":4,"name":"Milepost","value":"2.1848"},{"id":17,"name":"Train ID","value":"108-08"},{"id":16,"name":"Locomotive ID","value":"4026"},{"id":130,"name":"Impact","value":""},{"id":150,"name":"Time of Event (Mountain Time)","value":"06:08:54"},{"id":151,"name":"Denver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"%USERPROFILE%\AppData\Local\Temp\OnboardLogs"\RTDC4026\*4026*201701081*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"%USERPROFILE%\AppData\Local\Temp\OnboardLogs"\RTDC4026\*4026*201701081* &gt;&gt; 42743-slicedisagreementcheck.txt</v>
      </c>
      <c r="AE11" s="183" t="str">
        <f t="shared" si="8"/>
        <v>start /low /b %USERPROFILE%\Documents\GitHub\eaglep3\Utilities\DownloadLogsFromS3.py --loco 4026 --day 2017-01-08</v>
      </c>
    </row>
    <row r="12" spans="1:31" s="1" customFormat="1" x14ac:dyDescent="0.25">
      <c r="A12" s="33">
        <v>42743.92255787037</v>
      </c>
      <c r="B12" s="31" t="s">
        <v>376</v>
      </c>
      <c r="C12" s="31" t="s">
        <v>428</v>
      </c>
      <c r="D12" s="31" t="s">
        <v>98</v>
      </c>
      <c r="E12" s="31" t="s">
        <v>322</v>
      </c>
      <c r="F12" s="44">
        <v>200</v>
      </c>
      <c r="G12" s="44">
        <v>253</v>
      </c>
      <c r="H12" s="44">
        <v>27892</v>
      </c>
      <c r="I12" s="44">
        <v>29994</v>
      </c>
      <c r="J12" s="31" t="s">
        <v>323</v>
      </c>
      <c r="K12" s="44">
        <v>27333</v>
      </c>
      <c r="L12" s="150" t="s">
        <v>50</v>
      </c>
      <c r="M12" s="151">
        <f t="shared" si="0"/>
        <v>-1405.008</v>
      </c>
      <c r="N12" s="152" t="str">
        <f>VLOOKUP(C12,'Trips&amp;Operators'!$C$1:$G$99999,5,FALSE)</f>
        <v>PERKINS DARREN</v>
      </c>
      <c r="O12" s="179" t="s">
        <v>195</v>
      </c>
      <c r="P12" s="153"/>
      <c r="Q12" s="31"/>
      <c r="R12" s="96" t="str">
        <f>VLOOKUP(C12,'Train Runs'!$A$13:$AE$9965,31,0)</f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S12" s="99" t="str">
        <f>VLOOKUP(C12,'Train Runs'!$A$13:$AE$9965,22,0)</f>
        <v>https://search-rtdc-monitor-bjffxe2xuh6vdkpspy63sjmuny.us-east-1.es.amazonaws.com/_plugin/kibana/#/discover/Steve-Slow-Train-Analysis-(2080s-and-2083s)?_g=(refreshInterval:(display:Off,section:0,value:0),time:(from:'2017-01-08 20:41:57-700',mode:absolute,to:'2017-01-08 23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2" s="101" t="str">
        <f t="shared" si="1"/>
        <v>"C:\Program Files (x86)\AstroGrep\AstroGrep.exe" /spath="%USERPROFILE%\AppData\Local\Temp\OnboardLogs" /stypes="*4027*201701090*" /stext=" 05:.+((SYSTEM_STATE.+slice.+state.+changed )|(ment ac)|(multiple cpu faults)|(system.+state.+changed )|(\[timeout)|(PRM\|1\|D)|(kpr)|(kdp)|(\|lc)|(penalty))" /e /r /s</v>
      </c>
      <c r="U12" s="9" t="str">
        <f t="shared" si="2"/>
        <v>4027</v>
      </c>
      <c r="V12" s="33">
        <f t="shared" si="3"/>
        <v>42744.214224537034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{"issue":{"subject":"","project_id":79,"tracker_id":40,"status_id":1,"priority_id":2,"assigned_to_id":23,"start_date":"2017-01-08","description":"","custom_fields":[{"id":1,"name":"Subdivision","value":"EC"},{"id":4,"name":"Milepost","value":"2.7333"},{"id":17,"name":"Train ID","value":"233-08"},{"id":16,"name":"Locomotive ID","value":"4027"},{"id":130,"name":"Impact","value":""},{"id":150,"name":"Time of Event (Mountain Time)","value":"22:08:29"},{"id":151,"name":"Denver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"%USERPROFILE%\AppData\Local\Temp\OnboardLogs"\RTDC4027\*4027*201701090*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"%USERPROFILE%\AppData\Local\Temp\OnboardLogs"\RTDC4027\*4027*201701090* &gt;&gt; 42743-slicedisagreementcheck.txt</v>
      </c>
      <c r="AE12" s="183" t="str">
        <f t="shared" si="8"/>
        <v>start /low /b %USERPROFILE%\Documents\GitHub\eaglep3\Utilities\DownloadLogsFromS3.py --loco 4027 --day 2017-01-09</v>
      </c>
    </row>
    <row r="13" spans="1:31" s="1" customFormat="1" x14ac:dyDescent="0.25">
      <c r="A13" s="33">
        <v>42743.644918981481</v>
      </c>
      <c r="B13" s="31" t="s">
        <v>321</v>
      </c>
      <c r="C13" s="31" t="s">
        <v>423</v>
      </c>
      <c r="D13" s="31" t="s">
        <v>49</v>
      </c>
      <c r="E13" s="31" t="s">
        <v>322</v>
      </c>
      <c r="F13" s="44">
        <v>400</v>
      </c>
      <c r="G13" s="44">
        <v>465</v>
      </c>
      <c r="H13" s="44">
        <v>120786</v>
      </c>
      <c r="I13" s="44">
        <v>119353</v>
      </c>
      <c r="J13" s="31" t="s">
        <v>323</v>
      </c>
      <c r="K13" s="44">
        <v>119716</v>
      </c>
      <c r="L13" s="150" t="s">
        <v>51</v>
      </c>
      <c r="M13" s="151">
        <f t="shared" si="0"/>
        <v>-191.66399999999999</v>
      </c>
      <c r="N13" s="152" t="str">
        <f>VLOOKUP(C13,'Trips&amp;Operators'!$C$1:$G$99999,5,FALSE)</f>
        <v>DAVIS MICHAEL</v>
      </c>
      <c r="O13" s="179" t="s">
        <v>195</v>
      </c>
      <c r="P13" s="153"/>
      <c r="Q13" s="31"/>
      <c r="R13" s="96" t="str">
        <f>VLOOKUP(C13,'Train Runs'!$A$13:$AE$9965,31,0)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13" s="99" t="str">
        <f>VLOOKUP(C13,'Train Runs'!$A$13:$AE$9965,22,0)</f>
        <v>https://search-rtdc-monitor-bjffxe2xuh6vdkpspy63sjmuny.us-east-1.es.amazonaws.com/_plugin/kibana/#/discover/Steve-Slow-Train-Analysis-(2080s-and-2083s)?_g=(refreshInterval:(display:Off,section:0,value:0),time:(from:'2017-01-08 14:09:26-700',mode:absolute,to:'2017-01-08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3" s="101" t="str">
        <f t="shared" si="1"/>
        <v>"C:\Program Files (x86)\AstroGrep\AstroGrep.exe" /spath="%USERPROFILE%\AppData\Local\Temp\OnboardLogs" /stypes="*4010*201701082*" /stext=" 22:.+((SYSTEM_STATE.+slice.+state.+changed )|(ment ac)|(multiple cpu faults)|(system.+state.+changed )|(\[timeout)|(PRM\|1\|D)|(kpr)|(kdp)|(\|lc)|(penalty))" /e /r /s</v>
      </c>
      <c r="U13" s="9" t="str">
        <f t="shared" si="2"/>
        <v>4010</v>
      </c>
      <c r="V13" s="33">
        <f t="shared" si="3"/>
        <v>42743.936585648145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{"issue":{"subject":"","project_id":79,"tracker_id":40,"status_id":1,"priority_id":2,"assigned_to_id":23,"start_date":"2017-01-08","description":"","custom_fields":[{"id":1,"name":"Subdivision","value":"EC"},{"id":4,"name":"Milepost","value":"11.9716"},{"id":17,"name":"Train ID","value":"186-08"},{"id":16,"name":"Locomotive ID","value":"4010"},{"id":130,"name":"Impact","value":""},{"id":150,"name":"Time of Event (Mountain Time)","value":"15:28:41"},{"id":151,"name":"Denver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"%USERPROFILE%\AppData\Local\Temp\OnboardLogs"\RTDC4010\*4010*201701082*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13" s="183" t="str">
        <f t="shared" si="8"/>
        <v>start /low /b %USERPROFILE%\Documents\GitHub\eaglep3\Utilities\DownloadLogsFromS3.py --loco 4010 --day 2017-01-08</v>
      </c>
    </row>
    <row r="14" spans="1:31" s="1" customFormat="1" x14ac:dyDescent="0.25">
      <c r="A14" s="33">
        <v>42743.933877314812</v>
      </c>
      <c r="B14" s="31" t="s">
        <v>376</v>
      </c>
      <c r="C14" s="31" t="s">
        <v>428</v>
      </c>
      <c r="D14" s="31" t="s">
        <v>98</v>
      </c>
      <c r="E14" s="31" t="s">
        <v>322</v>
      </c>
      <c r="F14" s="44">
        <v>600</v>
      </c>
      <c r="G14" s="44">
        <v>651</v>
      </c>
      <c r="H14" s="44">
        <v>123716</v>
      </c>
      <c r="I14" s="44">
        <v>126878</v>
      </c>
      <c r="J14" s="31" t="s">
        <v>323</v>
      </c>
      <c r="K14" s="44">
        <v>119716</v>
      </c>
      <c r="L14" s="150" t="s">
        <v>50</v>
      </c>
      <c r="M14" s="151">
        <f t="shared" si="0"/>
        <v>-3781.5360000000001</v>
      </c>
      <c r="N14" s="152" t="str">
        <f>VLOOKUP(C14,'Trips&amp;Operators'!$C$1:$G$99999,5,FALSE)</f>
        <v>PERKINS DARREN</v>
      </c>
      <c r="O14" s="179" t="s">
        <v>195</v>
      </c>
      <c r="P14" s="153"/>
      <c r="Q14" s="31"/>
      <c r="R14" s="96" t="str">
        <f>VLOOKUP(C14,'Train Runs'!$A$13:$AE$9965,31,0)</f>
        <v>aws s3 cp s3://rtdc.mdm.uploadarchive.raw/RTDC4027/ "%USERPROFILE%\AppData\Local\Temp\OnboardLogs"\RTDC4027\2017-01-08 --exclude "*" --recursive --include "*20170108*" &amp; "%USERPROFILE%\Documents\GitHub\mrs-test-scripts\Headless Mode &amp; Sideloading\WalkAndUnGZ.bat" "%USERPROFILE%\AppData\Local\Temp\OnboardLogs"\RTDC4027\2017-01-08 &amp; aws s3 cp s3://rtdc.mdm.uploadarchive.raw/RTDC4027/ "%USERPROFILE%\AppData\Local\Temp\OnboardLogs"\RTDC4027\2017-01-09 --exclude "*" --recursive --include "*20170109*" &amp; "%USERPROFILE%\Documents\GitHub\mrs-test-scripts\Headless Mode &amp; Sideloading\WalkAndUnGZ.bat" "%USERPROFILE%\AppData\Local\Temp\OnboardLogs"\RTDC4027\2017-01-09</v>
      </c>
      <c r="S14" s="99" t="str">
        <f>VLOOKUP(C14,'Train Runs'!$A$13:$AE$9965,22,0)</f>
        <v>https://search-rtdc-monitor-bjffxe2xuh6vdkpspy63sjmuny.us-east-1.es.amazonaws.com/_plugin/kibana/#/discover/Steve-Slow-Train-Analysis-(2080s-and-2083s)?_g=(refreshInterval:(display:Off,section:0,value:0),time:(from:'2017-01-08 20:41:57-700',mode:absolute,to:'2017-01-08 23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4" s="101" t="str">
        <f t="shared" si="1"/>
        <v>"C:\Program Files (x86)\AstroGrep\AstroGrep.exe" /spath="%USERPROFILE%\AppData\Local\Temp\OnboardLogs" /stypes="*4027*201701090*" /stext=" 05:.+((SYSTEM_STATE.+slice.+state.+changed )|(ment ac)|(multiple cpu faults)|(system.+state.+changed )|(\[timeout)|(PRM\|1\|D)|(kpr)|(kdp)|(\|lc)|(penalty))" /e /r /s</v>
      </c>
      <c r="U14" s="9" t="str">
        <f t="shared" si="2"/>
        <v>4027</v>
      </c>
      <c r="V14" s="33">
        <f t="shared" si="3"/>
        <v>42744.225543981476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{"issue":{"subject":"","project_id":79,"tracker_id":40,"status_id":1,"priority_id":2,"assigned_to_id":23,"start_date":"2017-01-08","description":"","custom_fields":[{"id":1,"name":"Subdivision","value":"EC"},{"id":4,"name":"Milepost","value":"11.9716"},{"id":17,"name":"Train ID","value":"233-08"},{"id":16,"name":"Locomotive ID","value":"4027"},{"id":130,"name":"Impact","value":""},{"id":150,"name":"Time of Event (Mountain Time)","value":"22:24:47"},{"id":151,"name":"Denver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"%USERPROFILE%\AppData\Local\Temp\OnboardLogs"\RTDC4027\*4027*201701090*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"%USERPROFILE%\AppData\Local\Temp\OnboardLogs"\RTDC4027\*4027*201701090* &gt;&gt; 42743-slicedisagreementcheck.txt</v>
      </c>
      <c r="AE14" s="183" t="str">
        <f t="shared" si="8"/>
        <v>start /low /b %USERPROFILE%\Documents\GitHub\eaglep3\Utilities\DownloadLogsFromS3.py --loco 4027 --day 2017-01-09</v>
      </c>
    </row>
    <row r="15" spans="1:31" s="1" customFormat="1" x14ac:dyDescent="0.25">
      <c r="A15" s="33">
        <v>42743.36818287037</v>
      </c>
      <c r="B15" s="31" t="s">
        <v>210</v>
      </c>
      <c r="C15" s="31" t="s">
        <v>414</v>
      </c>
      <c r="D15" s="31" t="s">
        <v>98</v>
      </c>
      <c r="E15" s="31" t="s">
        <v>196</v>
      </c>
      <c r="F15" s="44">
        <v>0</v>
      </c>
      <c r="G15" s="44">
        <v>60</v>
      </c>
      <c r="H15" s="44">
        <v>11029</v>
      </c>
      <c r="I15" s="44">
        <v>11231</v>
      </c>
      <c r="J15" s="31" t="s">
        <v>197</v>
      </c>
      <c r="K15" s="44">
        <v>10800</v>
      </c>
      <c r="L15" s="150" t="s">
        <v>50</v>
      </c>
      <c r="M15" s="151">
        <f t="shared" si="0"/>
        <v>-227.56800000000001</v>
      </c>
      <c r="N15" s="152" t="str">
        <f>VLOOKUP(C15,'Trips&amp;Operators'!$C$1:$G$99999,5,FALSE)</f>
        <v>SHOOK JOHN</v>
      </c>
      <c r="O15" s="179" t="s">
        <v>324</v>
      </c>
      <c r="P15" s="153" t="s">
        <v>830</v>
      </c>
      <c r="Q15" s="31"/>
      <c r="R15" s="96" t="str">
        <f>VLOOKUP(C15,'Train Runs'!$A$13:$AE$9965,31,0)</f>
        <v>aws s3 cp s3://rtdc.mdm.uploadarchive.raw/RTDC4002/ "%USERPROFILE%\AppData\Local\Temp\OnboardLogs"\RTDC4002\2017-01-08 --exclude "*" --recursive --include "*20170108*" &amp; "%USERPROFILE%\Documents\GitHub\mrs-test-scripts\Headless Mode &amp; Sideloading\WalkAndUnGZ.bat" "%USERPROFILE%\AppData\Local\Temp\OnboardLogs"\RTDC4002\2017-01-08 &amp; aws s3 cp s3://rtdc.mdm.uploadarchive.raw/RTDC4002/ "%USERPROFILE%\AppData\Local\Temp\OnboardLogs"\RTDC4002\2017-01-09 --exclude "*" --recursive --include "*20170109*" &amp; "%USERPROFILE%\Documents\GitHub\mrs-test-scripts\Headless Mode &amp; Sideloading\WalkAndUnGZ.bat" "%USERPROFILE%\AppData\Local\Temp\OnboardLogs"\RTDC4002\2017-01-09</v>
      </c>
      <c r="S15" s="99" t="str">
        <f>VLOOKUP(C15,'Train Runs'!$A$13:$AE$9965,22,0)</f>
        <v>https://search-rtdc-monitor-bjffxe2xuh6vdkpspy63sjmuny.us-east-1.es.amazonaws.com/_plugin/kibana/#/discover/Steve-Slow-Train-Analysis-(2080s-and-2083s)?_g=(refreshInterval:(display:Off,section:0,value:0),time:(from:'2017-01-08 07:48:06-700',mode:absolute,to:'2017-01-08 09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5" s="101" t="str">
        <f t="shared" si="1"/>
        <v>"C:\Program Files (x86)\AstroGrep\AstroGrep.exe" /spath="%USERPROFILE%\AppData\Local\Temp\OnboardLogs" /stypes="*4002*201701081*" /stext=" 15:.+((SYSTEM_STATE.+slice.+state.+changed )|(ment ac)|(multiple cpu faults)|(system.+state.+changed )|(\[timeout)|(PRM\|1\|D)|(kpr)|(kdp)|(\|lc)|(penalty))" /e /r /s</v>
      </c>
      <c r="U15" s="9" t="str">
        <f t="shared" si="2"/>
        <v>4002</v>
      </c>
      <c r="V15" s="33">
        <f t="shared" si="3"/>
        <v>42743.659849537034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drop","project_id":79,"tracker_id":40,"status_id":1,"priority_id":2,"assigned_to_id":23,"start_date":"2017-01-08","description":"","custom_fields":[{"id":1,"name":"Subdivision","value":"EC"},{"id":4,"name":"Milepost","value":"1.08"},{"id":17,"name":"Train ID","value":"139-08"},{"id":16,"name":"Locomotive ID","value":"4002"},{"id":130,"name":"Impact","value":""},{"id":150,"name":"Time of Event (Mountain Time)","value":"08:50:11"},{"id":151,"name":"Denver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"%USERPROFILE%\AppData\Local\Temp\OnboardLogs"\RTDC4002\*4002*201701081*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"%USERPROFILE%\AppData\Local\Temp\OnboardLogs"\RTDC4002\*4002*201701081* &gt;&gt; 42743-slicedisagreementcheck.txt</v>
      </c>
      <c r="AE15" s="183" t="str">
        <f t="shared" si="8"/>
        <v>start /low /b %USERPROFILE%\Documents\GitHub\eaglep3\Utilities\DownloadLogsFromS3.py --loco 4002 --day 2017-01-08</v>
      </c>
    </row>
    <row r="16" spans="1:31" s="1" customFormat="1" x14ac:dyDescent="0.25">
      <c r="A16" s="33">
        <v>42743.726643518516</v>
      </c>
      <c r="B16" s="31" t="s">
        <v>321</v>
      </c>
      <c r="C16" s="31" t="s">
        <v>425</v>
      </c>
      <c r="D16" s="31" t="s">
        <v>49</v>
      </c>
      <c r="E16" s="31" t="s">
        <v>196</v>
      </c>
      <c r="F16" s="44">
        <v>0</v>
      </c>
      <c r="G16" s="44">
        <v>287</v>
      </c>
      <c r="H16" s="44">
        <v>44977</v>
      </c>
      <c r="I16" s="44">
        <v>44373</v>
      </c>
      <c r="J16" s="31" t="s">
        <v>197</v>
      </c>
      <c r="K16" s="44">
        <v>43664</v>
      </c>
      <c r="L16" s="150" t="s">
        <v>51</v>
      </c>
      <c r="M16" s="151">
        <f t="shared" si="0"/>
        <v>374.35199999999998</v>
      </c>
      <c r="N16" s="152" t="str">
        <f>VLOOKUP(C16,'Trips&amp;Operators'!$C$1:$G$99999,5,FALSE)</f>
        <v>DAVIS MICHAEL</v>
      </c>
      <c r="O16" s="179" t="s">
        <v>324</v>
      </c>
      <c r="P16" s="153" t="s">
        <v>830</v>
      </c>
      <c r="Q16" s="31"/>
      <c r="R16" s="96" t="str">
        <f>VLOOKUP(C16,'Train Runs'!$A$13:$AE$9965,31,0)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16" s="99" t="str">
        <f>VLOOKUP(C16,'Train Runs'!$A$13:$AE$9965,22,0)</f>
        <v>https://search-rtdc-monitor-bjffxe2xuh6vdkpspy63sjmuny.us-east-1.es.amazonaws.com/_plugin/kibana/#/discover/Steve-Slow-Train-Analysis-(2080s-and-2083s)?_g=(refreshInterval:(display:Off,section:0,value:0),time:(from:'2017-01-08 15:53:28-700',mode:absolute,to:'2017-01-08 18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6" s="101" t="str">
        <f t="shared" si="1"/>
        <v>"C:\Program Files (x86)\AstroGrep\AstroGrep.exe" /spath="%USERPROFILE%\AppData\Local\Temp\OnboardLogs" /stypes="*4010*201701090*" /stext=" 00:.+((SYSTEM_STATE.+slice.+state.+changed )|(ment ac)|(multiple cpu faults)|(system.+state.+changed )|(\[timeout)|(PRM\|1\|D)|(kpr)|(kdp)|(\|lc)|(penalty))" /e /r /s</v>
      </c>
      <c r="U16" s="9" t="str">
        <f t="shared" si="2"/>
        <v>4010</v>
      </c>
      <c r="V16" s="33">
        <f t="shared" si="3"/>
        <v>42744.01831018518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drop","project_id":79,"tracker_id":40,"status_id":1,"priority_id":2,"assigned_to_id":23,"start_date":"2017-01-08","description":"","custom_fields":[{"id":1,"name":"Subdivision","value":"EC"},{"id":4,"name":"Milepost","value":"4.3664"},{"id":17,"name":"Train ID","value":"200-08"},{"id":16,"name":"Locomotive ID","value":"4010"},{"id":130,"name":"Impact","value":""},{"id":150,"name":"Time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"%USERPROFILE%\AppData\Local\Temp\OnboardLogs"\RTDC4010\*4010*201701090*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"%USERPROFILE%\AppData\Local\Temp\OnboardLogs"\RTDC4010\*4010*201701090* &gt;&gt; 42743-slicedisagreementcheck.txt</v>
      </c>
      <c r="AE16" s="183" t="str">
        <f t="shared" si="8"/>
        <v>start /low /b %USERPROFILE%\Documents\GitHub\eaglep3\Utilities\DownloadLogsFromS3.py --loco 4010 --day 2017-01-09</v>
      </c>
    </row>
    <row r="17" spans="1:32" s="1" customFormat="1" x14ac:dyDescent="0.25">
      <c r="A17" s="33">
        <v>42743.180960648147</v>
      </c>
      <c r="B17" s="31" t="s">
        <v>289</v>
      </c>
      <c r="C17" s="31" t="s">
        <v>410</v>
      </c>
      <c r="D17" s="31" t="s">
        <v>49</v>
      </c>
      <c r="E17" s="31" t="s">
        <v>196</v>
      </c>
      <c r="F17" s="44">
        <v>0</v>
      </c>
      <c r="G17" s="44">
        <v>40</v>
      </c>
      <c r="H17" s="44">
        <v>126064</v>
      </c>
      <c r="I17" s="44">
        <v>126112</v>
      </c>
      <c r="J17" s="31" t="s">
        <v>197</v>
      </c>
      <c r="K17" s="44">
        <v>126585</v>
      </c>
      <c r="L17" s="150" t="s">
        <v>50</v>
      </c>
      <c r="M17" s="151">
        <f t="shared" si="0"/>
        <v>249.744</v>
      </c>
      <c r="N17" s="152" t="str">
        <f>VLOOKUP(C17,'Trips&amp;Operators'!$C$1:$G$99999,5,FALSE)</f>
        <v>MAELZER KURT</v>
      </c>
      <c r="O17" s="179" t="s">
        <v>324</v>
      </c>
      <c r="P17" s="153" t="s">
        <v>836</v>
      </c>
      <c r="Q17" s="31"/>
      <c r="R17" s="96" t="str">
        <f>VLOOKUP(C17,'Train Runs'!$A$13:$AE$9965,31,0)</f>
        <v>aws s3 cp s3://rtdc.mdm.uploadarchive.raw/RTDC4018/ "%USERPROFILE%\AppData\Local\Temp\OnboardLogs"\RTDC4018\2017-01-08 --exclude "*" --recursive --include "*20170108*" &amp; "%USERPROFILE%\Documents\GitHub\mrs-test-scripts\Headless Mode &amp; Sideloading\WalkAndUnGZ.bat" "%USERPROFILE%\AppData\Local\Temp\OnboardLogs"\RTDC4018\2017-01-08 &amp; aws s3 cp s3://rtdc.mdm.uploadarchive.raw/RTDC4018/ "%USERPROFILE%\AppData\Local\Temp\OnboardLogs"\RTDC4018\2017-01-09 --exclude "*" --recursive --include "*20170109*" &amp; "%USERPROFILE%\Documents\GitHub\mrs-test-scripts\Headless Mode &amp; Sideloading\WalkAndUnGZ.bat" "%USERPROFILE%\AppData\Local\Temp\OnboardLogs"\RTDC4018\2017-01-09</v>
      </c>
      <c r="S17" s="99" t="str">
        <f>VLOOKUP(C17,'Train Runs'!$A$13:$AE$9965,22,0)</f>
        <v>https://search-rtdc-monitor-bjffxe2xuh6vdkpspy63sjmuny.us-east-1.es.amazonaws.com/_plugin/kibana/#/discover/Steve-Slow-Train-Analysis-(2080s-and-2083s)?_g=(refreshInterval:(display:Off,section:0,value:0),time:(from:'2017-01-08 02:39:47-700',mode:absolute,to:'2017-01-08 05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7" s="101" t="str">
        <f t="shared" si="1"/>
        <v>"C:\Program Files (x86)\AstroGrep\AstroGrep.exe" /spath="%USERPROFILE%\AppData\Local\Temp\OnboardLogs" /stypes="*4018*201701081*" /stext=" 11:.+((SYSTEM_STATE.+slice.+state.+changed )|(ment ac)|(multiple cpu faults)|(system.+state.+changed )|(\[timeout)|(PRM\|1\|D)|(kpr)|(kdp)|(\|lc)|(penalty))" /e /r /s</v>
      </c>
      <c r="U17" s="9" t="str">
        <f t="shared" si="2"/>
        <v>4018</v>
      </c>
      <c r="V17" s="33">
        <f t="shared" si="3"/>
        <v>42743.472627314812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{"issue":{"subject":"241-08 Pantograph issue","project_id":79,"tracker_id":40,"status_id":1,"priority_id":2,"assigned_to_id":23,"start_date":"2017-01-08","description":"","custom_fields":[{"id":1,"name":"Subdivision","value":"EC"},{"id":4,"name":"Milepost","value":"12.6585"},{"id":17,"name":"Train ID","value":"103-08"},{"id":16,"name":"Locomotive ID","value":"4018"},{"id":130,"name":"Impact","value":""},{"id":150,"name":"Time of Event (Mountain Time)","value":"04:20:35"},{"id":151,"name":"Denver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"%USERPROFILE%\AppData\Local\Temp\OnboardLogs"\RTDC4018\*4018*201701081*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"%USERPROFILE%\AppData\Local\Temp\OnboardLogs"\RTDC4018\*4018*201701081* &gt;&gt; 42743-slicedisagreementcheck.txt</v>
      </c>
      <c r="AE17" s="183" t="str">
        <f t="shared" si="8"/>
        <v>start /low /b %USERPROFILE%\Documents\GitHub\eaglep3\Utilities\DownloadLogsFromS3.py --loco 4018 --day 2017-01-08</v>
      </c>
    </row>
    <row r="18" spans="1:32" s="1" customFormat="1" x14ac:dyDescent="0.25">
      <c r="A18" s="33">
        <v>42743.530486111114</v>
      </c>
      <c r="B18" s="31" t="s">
        <v>283</v>
      </c>
      <c r="C18" s="31" t="s">
        <v>417</v>
      </c>
      <c r="D18" s="31" t="s">
        <v>49</v>
      </c>
      <c r="E18" s="31" t="s">
        <v>196</v>
      </c>
      <c r="F18" s="44">
        <v>0</v>
      </c>
      <c r="G18" s="44">
        <v>67</v>
      </c>
      <c r="H18" s="44">
        <v>126409</v>
      </c>
      <c r="I18" s="44">
        <v>126475</v>
      </c>
      <c r="J18" s="31" t="s">
        <v>197</v>
      </c>
      <c r="K18" s="44">
        <v>126585</v>
      </c>
      <c r="L18" s="150" t="s">
        <v>50</v>
      </c>
      <c r="M18" s="151">
        <f t="shared" si="0"/>
        <v>58.08</v>
      </c>
      <c r="N18" s="152" t="str">
        <f>VLOOKUP(C18,'Trips&amp;Operators'!$C$1:$G$99999,5,FALSE)</f>
        <v>ROMERO CHAD</v>
      </c>
      <c r="O18" s="179" t="s">
        <v>195</v>
      </c>
      <c r="P18" s="153" t="s">
        <v>838</v>
      </c>
      <c r="Q18" s="31"/>
      <c r="R18" s="96" t="str">
        <f>VLOOKUP(C18,'Train Runs'!$A$13:$AE$9965,31,0)</f>
        <v>aws s3 cp s3://rtdc.mdm.uploadarchive.raw/RTDC4025/ "%USERPROFILE%\AppData\Local\Temp\OnboardLogs"\RTDC4025\2017-01-08 --exclude "*" --recursive --include "*20170108*" &amp; "%USERPROFILE%\Documents\GitHub\mrs-test-scripts\Headless Mode &amp; Sideloading\WalkAndUnGZ.bat" "%USERPROFILE%\AppData\Local\Temp\OnboardLogs"\RTDC4025\2017-01-08 &amp; aws s3 cp s3://rtdc.mdm.uploadarchive.raw/RTDC4025/ "%USERPROFILE%\AppData\Local\Temp\OnboardLogs"\RTDC4025\2017-01-09 --exclude "*" --recursive --include "*20170109*" &amp; "%USERPROFILE%\Documents\GitHub\mrs-test-scripts\Headless Mode &amp; Sideloading\WalkAndUnGZ.bat" "%USERPROFILE%\AppData\Local\Temp\OnboardLogs"\RTDC4025\2017-01-09</v>
      </c>
      <c r="S18" s="99" t="str">
        <f>VLOOKUP(C18,'Train Runs'!$A$13:$AE$9965,22,0)</f>
        <v>https://search-rtdc-monitor-bjffxe2xuh6vdkpspy63sjmuny.us-east-1.es.amazonaws.com/_plugin/kibana/#/discover/Steve-Slow-Train-Analysis-(2080s-and-2083s)?_g=(refreshInterval:(display:Off,section:0,value:0),time:(from:'2017-01-08 11:11:06-700',mode:absolute,to:'2017-01-08 14:15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8" s="101" t="str">
        <f t="shared" si="1"/>
        <v>"C:\Program Files (x86)\AstroGrep\AstroGrep.exe" /spath="%USERPROFILE%\AppData\Local\Temp\OnboardLogs" /stypes="*4025*201701081*" /stext=" 19:.+((SYSTEM_STATE.+slice.+state.+changed )|(ment ac)|(multiple cpu faults)|(system.+state.+changed )|(\[timeout)|(PRM\|1\|D)|(kpr)|(kdp)|(\|lc)|(penalty))" /e /r /s</v>
      </c>
      <c r="U18" s="9" t="str">
        <f t="shared" si="2"/>
        <v>4025</v>
      </c>
      <c r="V18" s="33">
        <f t="shared" si="3"/>
        <v>42743.822152777779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{"issue":{"subject":"40th 2N STOP","project_id":79,"tracker_id":40,"status_id":1,"priority_id":2,"assigned_to_id":23,"start_date":"2017-01-08","description":"","custom_fields":[{"id":1,"name":"Subdivision","value":"EC"},{"id":4,"name":"Milepost","value":"12.6585"},{"id":17,"name":"Train ID","value":"169-08"},{"id":16,"name":"Locomotive ID","value":"4025"},{"id":130,"name":"Impact","value":""},{"id":150,"name":"Time of Event (Mountain Time)","value":"12:43:54"},{"id":151,"name":"Denver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"%USERPROFILE%\AppData\Local\Temp\OnboardLogs"\RTDC4025\*4025*201701081*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"%USERPROFILE%\AppData\Local\Temp\OnboardLogs"\RTDC4025\*4025*201701081* &gt;&gt; 42743-slicedisagreementcheck.txt</v>
      </c>
      <c r="AE18" s="183" t="str">
        <f t="shared" si="8"/>
        <v>start /low /b %USERPROFILE%\Documents\GitHub\eaglep3\Utilities\DownloadLogsFromS3.py --loco 4025 --day 2017-01-08</v>
      </c>
    </row>
    <row r="19" spans="1:32" x14ac:dyDescent="0.25">
      <c r="A19" s="33">
        <v>42743.622129629628</v>
      </c>
      <c r="B19" s="31" t="s">
        <v>205</v>
      </c>
      <c r="C19" s="31" t="s">
        <v>422</v>
      </c>
      <c r="D19" s="31" t="s">
        <v>49</v>
      </c>
      <c r="E19" s="31" t="s">
        <v>196</v>
      </c>
      <c r="F19" s="44">
        <v>0</v>
      </c>
      <c r="G19" s="44">
        <v>152</v>
      </c>
      <c r="H19" s="44">
        <v>128137</v>
      </c>
      <c r="I19" s="44">
        <v>127925</v>
      </c>
      <c r="J19" s="31" t="s">
        <v>197</v>
      </c>
      <c r="K19" s="44">
        <v>127587</v>
      </c>
      <c r="L19" s="150" t="s">
        <v>51</v>
      </c>
      <c r="M19" s="151">
        <f t="shared" si="0"/>
        <v>178.46399999999997</v>
      </c>
      <c r="N19" s="152" t="str">
        <f>VLOOKUP(C19,'Trips&amp;Operators'!$C$1:$G$99999,5,FALSE)</f>
        <v>LEVIN SCOTT</v>
      </c>
      <c r="O19" s="179" t="s">
        <v>195</v>
      </c>
      <c r="P19" s="153" t="s">
        <v>839</v>
      </c>
      <c r="Q19" s="31"/>
      <c r="R19" s="96" t="str">
        <f>VLOOKUP(C19,'Train Runs'!$A$13:$AE$9965,31,0)</f>
        <v>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 &amp; 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</v>
      </c>
      <c r="S19" s="99" t="str">
        <f>VLOOKUP(C19,'Train Runs'!$A$13:$AE$9965,22,0)</f>
        <v>https://search-rtdc-monitor-bjffxe2xuh6vdkpspy63sjmuny.us-east-1.es.amazonaws.com/_plugin/kibana/#/discover/Steve-Slow-Train-Analysis-(2080s-and-2083s)?_g=(refreshInterval:(display:Off,section:0,value:0),time:(from:'2017-01-08 13:37:22-700',mode:absolute,to:'2017-01-08 16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9" s="101" t="str">
        <f t="shared" si="1"/>
        <v>"C:\Program Files (x86)\AstroGrep\AstroGrep.exe" /spath="%USERPROFILE%\AppData\Local\Temp\OnboardLogs" /stypes="*4039*201701082*" /stext=" 21:.+((SYSTEM_STATE.+slice.+state.+changed )|(ment ac)|(multiple cpu faults)|(system.+state.+changed )|(\[timeout)|(PRM\|1\|D)|(kpr)|(kdp)|(\|lc)|(penalty))" /e /r /s</v>
      </c>
      <c r="U19" s="9" t="str">
        <f t="shared" si="2"/>
        <v>4039</v>
      </c>
      <c r="V19" s="33">
        <f t="shared" si="3"/>
        <v>42743.913796296292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{"issue":{"subject":"40th 4S STOP","project_id":79,"tracker_id":40,"status_id":1,"priority_id":2,"assigned_to_id":23,"start_date":"2017-01-08","description":"","custom_fields":[{"id":1,"name":"Subdivision","value":"EC"},{"id":4,"name":"Milepost","value":"12.7587"},{"id":17,"name":"Train ID","value":"182-08"},{"id":16,"name":"Locomotive ID","value":"4039"},{"id":130,"name":"Impact","value":""},{"id":150,"name":"Time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"%USERPROFILE%\AppData\Local\Temp\OnboardLogs"\RTDC4039\*4039*201701082*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"%USERPROFILE%\AppData\Local\Temp\OnboardLogs"\RTDC4039\*4039*201701082* &gt;&gt; 42743-slicedisagreementcheck.txt</v>
      </c>
      <c r="AE19" s="183" t="str">
        <f t="shared" si="8"/>
        <v>start /low /b %USERPROFILE%\Documents\GitHub\eaglep3\Utilities\DownloadLogsFromS3.py --loco 4039 --day 2017-01-08</v>
      </c>
      <c r="AF19" s="1"/>
    </row>
    <row r="20" spans="1:32" x14ac:dyDescent="0.25">
      <c r="A20" s="33">
        <v>42743.547858796293</v>
      </c>
      <c r="B20" s="31" t="s">
        <v>222</v>
      </c>
      <c r="C20" s="31" t="s">
        <v>418</v>
      </c>
      <c r="D20" s="31" t="s">
        <v>98</v>
      </c>
      <c r="E20" s="31" t="s">
        <v>196</v>
      </c>
      <c r="F20" s="44">
        <v>200</v>
      </c>
      <c r="G20" s="44">
        <v>257</v>
      </c>
      <c r="H20" s="44">
        <v>155062</v>
      </c>
      <c r="I20" s="44">
        <v>155859</v>
      </c>
      <c r="J20" s="31" t="s">
        <v>197</v>
      </c>
      <c r="K20" s="44">
        <v>149694</v>
      </c>
      <c r="L20" s="150" t="s">
        <v>50</v>
      </c>
      <c r="M20" s="151">
        <f t="shared" si="0"/>
        <v>-3255.12</v>
      </c>
      <c r="N20" s="152" t="str">
        <f>VLOOKUP(C20,'Trips&amp;Operators'!$C$1:$G$99999,5,FALSE)</f>
        <v>KILLION DAVID</v>
      </c>
      <c r="O20" s="179" t="s">
        <v>195</v>
      </c>
      <c r="P20" s="153" t="s">
        <v>840</v>
      </c>
      <c r="Q20" s="31"/>
      <c r="R20" s="96" t="str">
        <f>VLOOKUP(C20,'Train Runs'!$A$13:$AE$9965,31,0)</f>
        <v>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 &amp; 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</v>
      </c>
      <c r="S20" s="99" t="str">
        <f>VLOOKUP(C20,'Train Runs'!$A$13:$AE$9965,22,0)</f>
        <v>https://search-rtdc-monitor-bjffxe2xuh6vdkpspy63sjmuny.us-east-1.es.amazonaws.com/_plugin/kibana/#/discover/Steve-Slow-Train-Analysis-(2080s-and-2083s)?_g=(refreshInterval:(display:Off,section:0,value:0),time:(from:'2017-01-08 11:24:48-700',mode:absolute,to:'2017-01-08 14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1" t="str">
        <f t="shared" si="1"/>
        <v>"C:\Program Files (x86)\AstroGrep\AstroGrep.exe" /spath="%USERPROFILE%\AppData\Local\Temp\OnboardLogs" /stypes="*4014*201701082*" /stext=" 20:.+((SYSTEM_STATE.+slice.+state.+changed )|(ment ac)|(multiple cpu faults)|(system.+state.+changed )|(\[timeout)|(PRM\|1\|D)|(kpr)|(kdp)|(\|lc)|(penalty))" /e /r /s</v>
      </c>
      <c r="U20" s="9" t="str">
        <f t="shared" si="2"/>
        <v>4014</v>
      </c>
      <c r="V20" s="33">
        <f t="shared" si="3"/>
        <v>42743.839525462958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{"issue":{"subject":"RESTRICTED aspect","project_id":79,"tracker_id":40,"status_id":1,"priority_id":2,"assigned_to_id":23,"start_date":"2017-01-08","description":"","custom_fields":[{"id":1,"name":"Subdivision","value":"EC"},{"id":4,"name":"Milepost","value":"14.9694"},{"id":17,"name":"Train ID","value":"171-08"},{"id":16,"name":"Locomotive ID","value":"4014"},{"id":130,"name":"Impact","value":""},{"id":150,"name":"Time of Event (Mountain Time)","value":"13:08:55"},{"id":151,"name":"Denver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"%USERPROFILE%\AppData\Local\Temp\OnboardLogs"\RTDC4014\*4014*201701082*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"%USERPROFILE%\AppData\Local\Temp\OnboardLogs"\RTDC4014\*4014*201701082* &gt;&gt; 42743-slicedisagreementcheck.txt</v>
      </c>
      <c r="AE20" s="183" t="str">
        <f t="shared" si="8"/>
        <v>start /low /b %USERPROFILE%\Documents\GitHub\eaglep3\Utilities\DownloadLogsFromS3.py --loco 4014 --day 2017-01-08</v>
      </c>
      <c r="AF20" s="1"/>
    </row>
    <row r="21" spans="1:32" ht="15" customHeight="1" x14ac:dyDescent="0.25">
      <c r="A21" s="33">
        <v>42743.248553240737</v>
      </c>
      <c r="B21" s="31" t="s">
        <v>307</v>
      </c>
      <c r="C21" s="31" t="s">
        <v>411</v>
      </c>
      <c r="D21" s="31" t="s">
        <v>49</v>
      </c>
      <c r="E21" s="31" t="s">
        <v>198</v>
      </c>
      <c r="F21" s="44">
        <v>0</v>
      </c>
      <c r="G21" s="44">
        <v>39</v>
      </c>
      <c r="H21" s="44">
        <v>127</v>
      </c>
      <c r="I21" s="44">
        <v>101</v>
      </c>
      <c r="J21" s="31" t="s">
        <v>199</v>
      </c>
      <c r="K21" s="44">
        <v>1</v>
      </c>
      <c r="L21" s="150" t="s">
        <v>51</v>
      </c>
      <c r="M21" s="151">
        <f t="shared" si="0"/>
        <v>52.8</v>
      </c>
      <c r="N21" s="152" t="str">
        <f>VLOOKUP(C21,'Trips&amp;Operators'!$C$1:$G$99999,5,FALSE)</f>
        <v>MAELZER KURT</v>
      </c>
      <c r="O21" s="179" t="s">
        <v>195</v>
      </c>
      <c r="P21" s="153"/>
      <c r="Q21" s="31"/>
      <c r="R21" s="96" t="str">
        <f>VLOOKUP(C21,'Train Runs'!$A$13:$AE$9965,31,0)</f>
        <v>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 &amp; aws s3 cp s3://rtdc.mdm.uploadarchive.raw/RTDC4021/ "%USERPROFILE%\AppData\Local\Temp\OnboardLogs"\RTDC4021\2017-01-09 --exclude "*" --recursive --include "*20170109*" &amp; "%USERPROFILE%\Documents\GitHub\mrs-test-scripts\Headless Mode &amp; Sideloading\WalkAndUnGZ.bat" "%USERPROFILE%\AppData\Local\Temp\OnboardLogs"\RTDC4021\2017-01-09</v>
      </c>
      <c r="S21" s="99" t="str">
        <f>VLOOKUP(C21,'Train Runs'!$A$13:$AE$9965,22,0)</f>
        <v>https://search-rtdc-monitor-bjffxe2xuh6vdkpspy63sjmuny.us-east-1.es.amazonaws.com/_plugin/kibana/#/discover/Steve-Slow-Train-Analysis-(2080s-and-2083s)?_g=(refreshInterval:(display:Off,section:0,value:0),time:(from:'2017-01-08 04:10:52-700',mode:absolute,to:'2017-01-08 06:57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1" s="101" t="str">
        <f t="shared" si="1"/>
        <v>"C:\Program Files (x86)\AstroGrep\AstroGrep.exe" /spath="%USERPROFILE%\AppData\Local\Temp\OnboardLogs" /stypes="*4021*201701081*" /stext=" 12:.+((SYSTEM_STATE.+slice.+state.+changed )|(ment ac)|(multiple cpu faults)|(system.+state.+changed )|(\[timeout)|(PRM\|1\|D)|(kpr)|(kdp)|(\|lc)|(penalty))" /e /r /s</v>
      </c>
      <c r="U21" s="9" t="str">
        <f t="shared" si="2"/>
        <v>4021</v>
      </c>
      <c r="V21" s="33">
        <f t="shared" si="3"/>
        <v>42743.540219907401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{"issue":{"subject":"","project_id":79,"tracker_id":40,"status_id":1,"priority_id":2,"assigned_to_id":23,"start_date":"2017-01-08","description":"","custom_fields":[{"id":1,"name":"Subdivision","value":"EC"},{"id":4,"name":"Milepost","value":"0.0001"},{"id":17,"name":"Train ID","value":"106-08"},{"id":16,"name":"Locomotive ID","value":"4021"},{"id":130,"name":"Impact","value":""},{"id":150,"name":"Time of Event (Mountain Time)","value":"05:57:55"},{"id":151,"name":"Denver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"%USERPROFILE%\AppData\Local\Temp\OnboardLogs"\RTDC4021\*4021*201701081*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"%USERPROFILE%\AppData\Local\Temp\OnboardLogs"\RTDC4021\*4021*201701081* &gt;&gt; 42743-slicedisagreementcheck.txt</v>
      </c>
      <c r="AE21" s="183" t="str">
        <f t="shared" si="8"/>
        <v>start /low /b %USERPROFILE%\Documents\GitHub\eaglep3\Utilities\DownloadLogsFromS3.py --loco 4021 --day 2017-01-08</v>
      </c>
      <c r="AF21" s="1"/>
    </row>
    <row r="22" spans="1:32" x14ac:dyDescent="0.25">
      <c r="A22" s="33">
        <v>42743.785636574074</v>
      </c>
      <c r="B22" s="31" t="s">
        <v>306</v>
      </c>
      <c r="C22" s="31" t="s">
        <v>427</v>
      </c>
      <c r="D22" s="31" t="s">
        <v>49</v>
      </c>
      <c r="E22" s="31" t="s">
        <v>198</v>
      </c>
      <c r="F22" s="44">
        <v>0</v>
      </c>
      <c r="G22" s="44">
        <v>62</v>
      </c>
      <c r="H22" s="44">
        <v>216</v>
      </c>
      <c r="I22" s="44">
        <v>169</v>
      </c>
      <c r="J22" s="31" t="s">
        <v>199</v>
      </c>
      <c r="K22" s="44">
        <v>1</v>
      </c>
      <c r="L22" s="150" t="s">
        <v>51</v>
      </c>
      <c r="M22" s="151">
        <f t="shared" si="0"/>
        <v>88.703999999999994</v>
      </c>
      <c r="N22" s="152" t="str">
        <f>VLOOKUP(C22,'Trips&amp;Operators'!$C$1:$G$99999,5,FALSE)</f>
        <v>CHANDLER KELVIN</v>
      </c>
      <c r="O22" s="179" t="s">
        <v>195</v>
      </c>
      <c r="P22" s="153"/>
      <c r="Q22" s="31"/>
      <c r="R22" s="96" t="str">
        <f>VLOOKUP(C22,'Train Runs'!$A$13:$AE$9965,31,0)</f>
        <v>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 &amp; aws s3 cp s3://rtdc.mdm.uploadarchive.raw/RTDC4008/ "%USERPROFILE%\AppData\Local\Temp\OnboardLogs"\RTDC4008\2017-01-09 --exclude "*" --recursive --include "*20170109*" &amp; "%USERPROFILE%\Documents\GitHub\mrs-test-scripts\Headless Mode &amp; Sideloading\WalkAndUnGZ.bat" "%USERPROFILE%\AppData\Local\Temp\OnboardLogs"\RTDC4008\2017-01-09</v>
      </c>
      <c r="S22" s="99" t="str">
        <f>VLOOKUP(C22,'Train Runs'!$A$13:$AE$9965,22,0)</f>
        <v>https://search-rtdc-monitor-bjffxe2xuh6vdkpspy63sjmuny.us-east-1.es.amazonaws.com/_plugin/kibana/#/discover/Steve-Slow-Train-Analysis-(2080s-and-2083s)?_g=(refreshInterval:(display:Off,section:0,value:0),time:(from:'2017-01-08 17:08:09-700',mode:absolute,to:'2017-01-08 19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2" s="101" t="str">
        <f t="shared" si="1"/>
        <v>"C:\Program Files (x86)\AstroGrep\AstroGrep.exe" /spath="%USERPROFILE%\AppData\Local\Temp\OnboardLogs" /stypes="*4008*201701090*" /stext=" 01:.+((SYSTEM_STATE.+slice.+state.+changed )|(ment ac)|(multiple cpu faults)|(system.+state.+changed )|(\[timeout)|(PRM\|1\|D)|(kpr)|(kdp)|(\|lc)|(penalty))" /e /r /s</v>
      </c>
      <c r="U22" s="9" t="str">
        <f t="shared" si="2"/>
        <v>4008</v>
      </c>
      <c r="V22" s="33">
        <f t="shared" si="3"/>
        <v>42744.077303240738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{"issue":{"subject":"","project_id":79,"tracker_id":40,"status_id":1,"priority_id":2,"assigned_to_id":23,"start_date":"2017-01-08","description":"","custom_fields":[{"id":1,"name":"Subdivision","value":"EC"},{"id":4,"name":"Milepost","value":"0.0001"},{"id":17,"name":"Train ID","value":"210-08"},{"id":16,"name":"Locomotive ID","value":"4008"},{"id":130,"name":"Impact","value":""},{"id":150,"name":"Time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"%USERPROFILE%\AppData\Local\Temp\OnboardLogs"\RTDC4008\*4008*201701090*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"%USERPROFILE%\AppData\Local\Temp\OnboardLogs"\RTDC4008\*4008*201701090* &gt;&gt; 42743-slicedisagreementcheck.txt</v>
      </c>
      <c r="AE22" s="183" t="str">
        <f t="shared" si="8"/>
        <v>start /low /b %USERPROFILE%\Documents\GitHub\eaglep3\Utilities\DownloadLogsFromS3.py --loco 4008 --day 2017-01-09</v>
      </c>
      <c r="AF22" s="1"/>
    </row>
    <row r="23" spans="1:32" x14ac:dyDescent="0.25">
      <c r="A23" s="33">
        <v>42744.053611111114</v>
      </c>
      <c r="B23" s="31" t="s">
        <v>338</v>
      </c>
      <c r="C23" s="31" t="s">
        <v>431</v>
      </c>
      <c r="D23" s="31" t="s">
        <v>49</v>
      </c>
      <c r="E23" s="31" t="s">
        <v>198</v>
      </c>
      <c r="F23" s="44">
        <v>0</v>
      </c>
      <c r="G23" s="44">
        <v>63</v>
      </c>
      <c r="H23" s="44">
        <v>214</v>
      </c>
      <c r="I23" s="44">
        <v>149</v>
      </c>
      <c r="J23" s="31" t="s">
        <v>199</v>
      </c>
      <c r="K23" s="44">
        <v>1</v>
      </c>
      <c r="L23" s="150" t="s">
        <v>51</v>
      </c>
      <c r="M23" s="151">
        <f t="shared" si="0"/>
        <v>78.144000000000005</v>
      </c>
      <c r="N23" s="152" t="str">
        <f>VLOOKUP(C23,'Trips&amp;Operators'!$C$1:$G$99999,5,FALSE)</f>
        <v>NEWELL JAMES</v>
      </c>
      <c r="O23" s="179" t="s">
        <v>195</v>
      </c>
      <c r="P23" s="153"/>
      <c r="Q23" s="31"/>
      <c r="R23" s="96" t="str">
        <f>VLOOKUP(C23,'Train Runs'!$A$13:$AE$9965,31,0)</f>
        <v>aws s3 cp s3://rtdc.mdm.uploadarchive.raw/RTDC4001/ "%USERPROFILE%\AppData\Local\Temp\OnboardLogs"\RTDC4001\2017-01-09 --exclude "*" --recursive --include "*20170109*" &amp; "%USERPROFILE%\Documents\GitHub\mrs-test-scripts\Headless Mode &amp; Sideloading\WalkAndUnGZ.bat" "%USERPROFILE%\AppData\Local\Temp\OnboardLogs"\RTDC4001\2017-01-09 &amp; aws s3 cp s3://rtdc.mdm.uploadarchive.raw/RTDC4001/ "%USERPROFILE%\AppData\Local\Temp\OnboardLogs"\RTDC4001\2017-01-10 --exclude "*" --recursive --include "*20170110*" &amp; "%USERPROFILE%\Documents\GitHub\mrs-test-scripts\Headless Mode &amp; Sideloading\WalkAndUnGZ.bat" "%USERPROFILE%\AppData\Local\Temp\OnboardLogs"\RTDC4001\2017-01-10</v>
      </c>
      <c r="S23" s="99" t="str">
        <f>VLOOKUP(C23,'Train Runs'!$A$13:$AE$9965,22,0)</f>
        <v>https://search-rtdc-monitor-bjffxe2xuh6vdkpspy63sjmuny.us-east-1.es.amazonaws.com/_plugin/kibana/#/discover/Steve-Slow-Train-Analysis-(2080s-and-2083s)?_g=(refreshInterval:(display:Off,section:0,value:0),time:(from:'2017-01-09 00:08:31-700',mode:absolute,to:'2017-01-09 02:17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3" s="101" t="str">
        <f t="shared" si="1"/>
        <v>"C:\Program Files (x86)\AstroGrep\AstroGrep.exe" /spath="%USERPROFILE%\AppData\Local\Temp\OnboardLogs" /stypes="*4001*201701090*" /stext=" 08:.+((SYSTEM_STATE.+slice.+state.+changed )|(ment ac)|(multiple cpu faults)|(system.+state.+changed )|(\[timeout)|(PRM\|1\|D)|(kpr)|(kdp)|(\|lc)|(penalty))" /e /r /s</v>
      </c>
      <c r="U23" s="9" t="str">
        <f t="shared" si="2"/>
        <v>4001</v>
      </c>
      <c r="V23" s="33">
        <f t="shared" si="3"/>
        <v>42744.345277777778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ID","value":"240-08"},{"id":16,"name":"Locomotive ID","value":"4001"},{"id":130,"name":"Impact","value":""},{"id":150,"name":"Time of Event (Mountain Time)","value":"01:17:12"},{"id":151,"name":"Denver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"%USERPROFILE%\AppData\Local\Temp\OnboardLogs"\RTDC4001\*4001*201701090*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"%USERPROFILE%\AppData\Local\Temp\OnboardLogs"\RTDC4001\*4001*201701090* &gt;&gt; 42743-slicedisagreementcheck.txt</v>
      </c>
      <c r="AE23" s="183" t="str">
        <f t="shared" si="8"/>
        <v>start /low /b %USERPROFILE%\Documents\GitHub\eaglep3\Utilities\DownloadLogsFromS3.py --loco 4001 --day 2017-01-09</v>
      </c>
      <c r="AF23" s="1"/>
    </row>
    <row r="24" spans="1:32" x14ac:dyDescent="0.25">
      <c r="A24" s="33">
        <v>42743.585428240738</v>
      </c>
      <c r="B24" s="31" t="s">
        <v>321</v>
      </c>
      <c r="C24" s="31" t="s">
        <v>419</v>
      </c>
      <c r="D24" s="31" t="s">
        <v>49</v>
      </c>
      <c r="E24" s="31" t="s">
        <v>198</v>
      </c>
      <c r="F24" s="44">
        <v>0</v>
      </c>
      <c r="G24" s="44">
        <v>97</v>
      </c>
      <c r="H24" s="44">
        <v>1330</v>
      </c>
      <c r="I24" s="44">
        <v>1224</v>
      </c>
      <c r="J24" s="31" t="s">
        <v>199</v>
      </c>
      <c r="K24" s="44">
        <v>839</v>
      </c>
      <c r="L24" s="150" t="s">
        <v>51</v>
      </c>
      <c r="M24" s="151">
        <f t="shared" si="0"/>
        <v>203.28</v>
      </c>
      <c r="N24" s="152" t="str">
        <f>VLOOKUP(C24,'Trips&amp;Operators'!$C$1:$G$99999,5,FALSE)</f>
        <v>DAVIS MICHAEL</v>
      </c>
      <c r="O24" s="179" t="s">
        <v>195</v>
      </c>
      <c r="P24" s="153"/>
      <c r="Q24" s="31"/>
      <c r="R24" s="96" t="str">
        <f>VLOOKUP(C24,'Train Runs'!$A$13:$AE$9965,31,0)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24" s="99" t="str">
        <f>VLOOKUP(C24,'Train Runs'!$A$13:$AE$9965,22,0)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4" s="101" t="str">
        <f t="shared" si="1"/>
        <v>"C:\Program Files (x86)\AstroGrep\AstroGrep.exe" /spath="%USERPROFILE%\AppData\Local\Temp\OnboardLogs" /stypes="*4010*201701082*" /stext=" 21:.+((SYSTEM_STATE.+slice.+state.+changed )|(ment ac)|(multiple cpu faults)|(system.+state.+changed )|(\[timeout)|(PRM\|1\|D)|(kpr)|(kdp)|(\|lc)|(penalty))" /e /r /s</v>
      </c>
      <c r="U24" s="9" t="str">
        <f t="shared" si="2"/>
        <v>4010</v>
      </c>
      <c r="V24" s="33">
        <f t="shared" si="3"/>
        <v>42743.877094907402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ID","value":"168-08"},{"id":16,"name":"Locomotive ID","value":"4010"},{"id":130,"name":"Impact","value":""},{"id":150,"name":"Time of Event (Mountain Time)","value":"14:03:01"},{"id":151,"name":"Denver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"%USERPROFILE%\AppData\Local\Temp\OnboardLogs"\RTDC4010\*4010*201701082*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24" s="183" t="str">
        <f t="shared" si="8"/>
        <v>start /low /b %USERPROFILE%\Documents\GitHub\eaglep3\Utilities\DownloadLogsFromS3.py --loco 4010 --day 2017-01-08</v>
      </c>
      <c r="AF24" s="1"/>
    </row>
    <row r="25" spans="1:32" x14ac:dyDescent="0.25">
      <c r="A25" s="33">
        <v>42743.585856481484</v>
      </c>
      <c r="B25" s="31" t="s">
        <v>321</v>
      </c>
      <c r="C25" s="31" t="s">
        <v>419</v>
      </c>
      <c r="D25" s="31" t="s">
        <v>49</v>
      </c>
      <c r="E25" s="31" t="s">
        <v>198</v>
      </c>
      <c r="F25" s="44">
        <v>0</v>
      </c>
      <c r="G25" s="44">
        <v>54</v>
      </c>
      <c r="H25" s="44">
        <v>1135</v>
      </c>
      <c r="I25" s="44">
        <v>1092</v>
      </c>
      <c r="J25" s="31" t="s">
        <v>199</v>
      </c>
      <c r="K25" s="44">
        <v>839</v>
      </c>
      <c r="L25" s="150" t="s">
        <v>51</v>
      </c>
      <c r="M25" s="151">
        <f t="shared" si="0"/>
        <v>133.584</v>
      </c>
      <c r="N25" s="152" t="str">
        <f>VLOOKUP(C25,'Trips&amp;Operators'!$C$1:$G$99999,5,FALSE)</f>
        <v>DAVIS MICHAEL</v>
      </c>
      <c r="O25" s="179" t="s">
        <v>195</v>
      </c>
      <c r="P25" s="153"/>
      <c r="Q25" s="31"/>
      <c r="R25" s="96" t="str">
        <f>VLOOKUP(C25,'Train Runs'!$A$13:$AE$9965,31,0)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25" s="99" t="str">
        <f>VLOOKUP(C25,'Train Runs'!$A$13:$AE$9965,22,0)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5" s="101" t="str">
        <f t="shared" si="1"/>
        <v>"C:\Program Files (x86)\AstroGrep\AstroGrep.exe" /spath="%USERPROFILE%\AppData\Local\Temp\OnboardLogs" /stypes="*4010*201701082*" /stext=" 21:.+((SYSTEM_STATE.+slice.+state.+changed )|(ment ac)|(multiple cpu faults)|(system.+state.+changed )|(\[timeout)|(PRM\|1\|D)|(kpr)|(kdp)|(\|lc)|(penalty))" /e /r /s</v>
      </c>
      <c r="U25" s="9" t="str">
        <f t="shared" si="2"/>
        <v>4010</v>
      </c>
      <c r="V25" s="33">
        <f t="shared" si="3"/>
        <v>42743.877523148149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ID","value":"168-08"},{"id":16,"name":"Locomotive ID","value":"4010"},{"id":130,"name":"Impact","value":""},{"id":150,"name":"Time of Event (Mountain Time)","value":"14:03:38"},{"id":151,"name":"Denver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"%USERPROFILE%\AppData\Local\Temp\OnboardLogs"\RTDC4010\*4010*201701082*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25" s="183" t="str">
        <f t="shared" si="8"/>
        <v>start /low /b %USERPROFILE%\Documents\GitHub\eaglep3\Utilities\DownloadLogsFromS3.py --loco 4010 --day 2017-01-08</v>
      </c>
      <c r="AF25" s="1"/>
    </row>
    <row r="26" spans="1:32" x14ac:dyDescent="0.25">
      <c r="A26" s="33">
        <v>42743.586481481485</v>
      </c>
      <c r="B26" s="31" t="s">
        <v>321</v>
      </c>
      <c r="C26" s="31" t="s">
        <v>419</v>
      </c>
      <c r="D26" s="31" t="s">
        <v>49</v>
      </c>
      <c r="E26" s="31" t="s">
        <v>198</v>
      </c>
      <c r="F26" s="44">
        <v>0</v>
      </c>
      <c r="G26" s="44">
        <v>23</v>
      </c>
      <c r="H26" s="44">
        <v>977</v>
      </c>
      <c r="I26" s="44">
        <v>964</v>
      </c>
      <c r="J26" s="31" t="s">
        <v>199</v>
      </c>
      <c r="K26" s="44">
        <v>839</v>
      </c>
      <c r="L26" s="150" t="s">
        <v>51</v>
      </c>
      <c r="M26" s="151">
        <f t="shared" si="0"/>
        <v>66</v>
      </c>
      <c r="N26" s="152" t="str">
        <f>VLOOKUP(C26,'Trips&amp;Operators'!$C$1:$G$99999,5,FALSE)</f>
        <v>DAVIS MICHAEL</v>
      </c>
      <c r="O26" s="179" t="s">
        <v>324</v>
      </c>
      <c r="P26" s="153" t="s">
        <v>875</v>
      </c>
      <c r="Q26" s="31"/>
      <c r="R26" s="96" t="str">
        <f>VLOOKUP(C26,'Train Runs'!$A$13:$AE$9965,31,0)</f>
        <v>aws s3 cp s3://rtdc.mdm.uploadarchive.raw/RTDC4010/ "%USERPROFILE%\AppData\Local\Temp\OnboardLogs"\RTDC4010\2017-01-08 --exclude "*" --recursive --include "*20170108*" &amp; "%USERPROFILE%\Documents\GitHub\mrs-test-scripts\Headless Mode &amp; Sideloading\WalkAndUnGZ.bat" "%USERPROFILE%\AppData\Local\Temp\OnboardLogs"\RTDC4010\2017-01-08 &amp; 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</v>
      </c>
      <c r="S26" s="99" t="str">
        <f>VLOOKUP(C26,'Train Runs'!$A$13:$AE$9965,22,0)</f>
        <v>https://search-rtdc-monitor-bjffxe2xuh6vdkpspy63sjmuny.us-east-1.es.amazonaws.com/_plugin/kibana/#/discover/Steve-Slow-Train-Analysis-(2080s-and-2083s)?_g=(refreshInterval:(display:Off,section:0,value:0),time:(from:'2017-01-08 12:02:10-700',mode:absolute,to:'2017-01-08 16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6" s="101" t="str">
        <f t="shared" si="1"/>
        <v>"C:\Program Files (x86)\AstroGrep\AstroGrep.exe" /spath="%USERPROFILE%\AppData\Local\Temp\OnboardLogs" /stypes="*4010*201701082*" /stext=" 21:.+((SYSTEM_STATE.+slice.+state.+changed )|(ment ac)|(multiple cpu faults)|(system.+state.+changed )|(\[timeout)|(PRM\|1\|D)|(kpr)|(kdp)|(\|lc)|(penalty))" /e /r /s</v>
      </c>
      <c r="U26" s="9" t="str">
        <f t="shared" si="2"/>
        <v>4010</v>
      </c>
      <c r="V26" s="33">
        <f t="shared" si="3"/>
        <v>42743.878148148149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{"issue":{"subject":"Banner without braking","project_id":79,"tracker_id":40,"status_id":1,"priority_id":2,"assigned_to_id":23,"start_date":"2017-01-08","description":"","custom_fields":[{"id":1,"name":"Subdivision","value":"EC"},{"id":4,"name":"Milepost","value":"0.0839"},{"id":17,"name":"Train ID","value":"168-08"},{"id":16,"name":"Locomotive ID","value":"4010"},{"id":130,"name":"Impact","value":""},{"id":150,"name":"Time of Event (Mountain Time)","value":"14:04:32"},{"id":151,"name":"Denver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"%USERPROFILE%\AppData\Local\Temp\OnboardLogs"\RTDC4010\*4010*201701082*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"%USERPROFILE%\AppData\Local\Temp\OnboardLogs"\RTDC4010\*4010*201701082* &gt;&gt; 42743-slicedisagreementcheck.txt</v>
      </c>
      <c r="AE26" s="183" t="str">
        <f t="shared" si="8"/>
        <v>start /low /b %USERPROFILE%\Documents\GitHub\eaglep3\Utilities\DownloadLogsFromS3.py --loco 4010 --day 2017-01-08</v>
      </c>
      <c r="AF26" s="1"/>
    </row>
    <row r="27" spans="1:32" ht="15" customHeight="1" x14ac:dyDescent="0.25">
      <c r="A27" s="33">
        <v>42743.606944444444</v>
      </c>
      <c r="B27" s="31" t="s">
        <v>250</v>
      </c>
      <c r="C27" s="31" t="s">
        <v>421</v>
      </c>
      <c r="D27" s="31" t="s">
        <v>49</v>
      </c>
      <c r="E27" s="31" t="s">
        <v>198</v>
      </c>
      <c r="F27" s="44">
        <v>0</v>
      </c>
      <c r="G27" s="44">
        <v>104</v>
      </c>
      <c r="H27" s="44">
        <v>1347</v>
      </c>
      <c r="I27" s="44">
        <v>1235</v>
      </c>
      <c r="J27" s="31" t="s">
        <v>199</v>
      </c>
      <c r="K27" s="44">
        <v>839</v>
      </c>
      <c r="L27" s="150" t="s">
        <v>51</v>
      </c>
      <c r="M27" s="151">
        <f t="shared" si="0"/>
        <v>209.08799999999999</v>
      </c>
      <c r="N27" s="152" t="str">
        <f>VLOOKUP(C27,'Trips&amp;Operators'!$C$1:$G$99999,5,FALSE)</f>
        <v>KILLION DAVID</v>
      </c>
      <c r="O27" s="179" t="s">
        <v>195</v>
      </c>
      <c r="P27" s="153"/>
      <c r="Q27" s="31"/>
      <c r="R27" s="96" t="str">
        <f>VLOOKUP(C27,'Train Runs'!$A$13:$AE$9965,31,0)</f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S27" s="99" t="str">
        <f>VLOOKUP(C27,'Train Runs'!$A$13:$AE$9965,22,0)</f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7" s="101" t="str">
        <f t="shared" si="1"/>
        <v>"C:\Program Files (x86)\AstroGrep\AstroGrep.exe" /spath="%USERPROFILE%\AppData\Local\Temp\OnboardLogs" /stypes="*4013*201701082*" /stext=" 21:.+((SYSTEM_STATE.+slice.+state.+changed )|(ment ac)|(multiple cpu faults)|(system.+state.+changed )|(\[timeout)|(PRM\|1\|D)|(kpr)|(kdp)|(\|lc)|(penalty))" /e /r /s</v>
      </c>
      <c r="U27" s="9" t="str">
        <f t="shared" si="2"/>
        <v>4013</v>
      </c>
      <c r="V27" s="33">
        <f t="shared" si="3"/>
        <v>42743.898611111108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ID","value":"174-08"},{"id":16,"name":"Locomotive ID","value":"4013"},{"id":130,"name":"Impact","value":""},{"id":150,"name":"Time of Event (Mountain Time)","value":"14:34:00"},{"id":151,"name":"Denver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"%USERPROFILE%\AppData\Local\Temp\OnboardLogs"\RTDC4013\*4013*201701082*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"%USERPROFILE%\AppData\Local\Temp\OnboardLogs"\RTDC4013\*4013*201701082* &gt;&gt; 42743-slicedisagreementcheck.txt</v>
      </c>
      <c r="AE27" s="183" t="str">
        <f t="shared" si="8"/>
        <v>start /low /b %USERPROFILE%\Documents\GitHub\eaglep3\Utilities\DownloadLogsFromS3.py --loco 4013 --day 2017-01-08</v>
      </c>
      <c r="AF27" s="1"/>
    </row>
    <row r="28" spans="1:32" ht="15" customHeight="1" x14ac:dyDescent="0.25">
      <c r="A28" s="33">
        <v>42743.60738425926</v>
      </c>
      <c r="B28" s="31" t="s">
        <v>250</v>
      </c>
      <c r="C28" s="31" t="s">
        <v>421</v>
      </c>
      <c r="D28" s="31" t="s">
        <v>49</v>
      </c>
      <c r="E28" s="31" t="s">
        <v>198</v>
      </c>
      <c r="F28" s="44">
        <v>0</v>
      </c>
      <c r="G28" s="44">
        <v>59</v>
      </c>
      <c r="H28" s="44">
        <v>1120</v>
      </c>
      <c r="I28" s="44">
        <v>1062</v>
      </c>
      <c r="J28" s="31" t="s">
        <v>199</v>
      </c>
      <c r="K28" s="44">
        <v>839</v>
      </c>
      <c r="L28" s="150" t="s">
        <v>51</v>
      </c>
      <c r="M28" s="151">
        <f t="shared" si="0"/>
        <v>117.744</v>
      </c>
      <c r="N28" s="152" t="str">
        <f>VLOOKUP(C28,'Trips&amp;Operators'!$C$1:$G$99999,5,FALSE)</f>
        <v>KILLION DAVID</v>
      </c>
      <c r="O28" s="179" t="s">
        <v>195</v>
      </c>
      <c r="P28" s="153"/>
      <c r="Q28" s="31"/>
      <c r="R28" s="96" t="str">
        <f>VLOOKUP(C28,'Train Runs'!$A$13:$AE$9965,31,0)</f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S28" s="99" t="str">
        <f>VLOOKUP(C28,'Train Runs'!$A$13:$AE$9965,22,0)</f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1" t="str">
        <f t="shared" si="1"/>
        <v>"C:\Program Files (x86)\AstroGrep\AstroGrep.exe" /spath="%USERPROFILE%\AppData\Local\Temp\OnboardLogs" /stypes="*4013*201701082*" /stext=" 21:.+((SYSTEM_STATE.+slice.+state.+changed )|(ment ac)|(multiple cpu faults)|(system.+state.+changed )|(\[timeout)|(PRM\|1\|D)|(kpr)|(kdp)|(\|lc)|(penalty))" /e /r /s</v>
      </c>
      <c r="U28" s="9" t="str">
        <f t="shared" si="2"/>
        <v>4013</v>
      </c>
      <c r="V28" s="33">
        <f t="shared" si="3"/>
        <v>42743.899050925924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ID","value":"174-08"},{"id":16,"name":"Locomotive ID","value":"4013"},{"id":130,"name":"Impact","value":""},{"id":150,"name":"Time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"%USERPROFILE%\AppData\Local\Temp\OnboardLogs"\RTDC4013\*4013*201701082*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"%USERPROFILE%\AppData\Local\Temp\OnboardLogs"\RTDC4013\*4013*201701082* &gt;&gt; 42743-slicedisagreementcheck.txt</v>
      </c>
      <c r="AE28" s="183" t="str">
        <f t="shared" si="8"/>
        <v>start /low /b %USERPROFILE%\Documents\GitHub\eaglep3\Utilities\DownloadLogsFromS3.py --loco 4013 --day 2017-01-08</v>
      </c>
      <c r="AF28" s="1"/>
    </row>
    <row r="29" spans="1:32" x14ac:dyDescent="0.25">
      <c r="A29" s="33">
        <v>42743.607766203706</v>
      </c>
      <c r="B29" s="31" t="s">
        <v>250</v>
      </c>
      <c r="C29" s="31" t="s">
        <v>421</v>
      </c>
      <c r="D29" s="31" t="s">
        <v>49</v>
      </c>
      <c r="E29" s="31" t="s">
        <v>198</v>
      </c>
      <c r="F29" s="44">
        <v>0</v>
      </c>
      <c r="G29" s="44">
        <v>29</v>
      </c>
      <c r="H29" s="44">
        <v>1048</v>
      </c>
      <c r="I29" s="44">
        <v>996</v>
      </c>
      <c r="J29" s="31" t="s">
        <v>199</v>
      </c>
      <c r="K29" s="44">
        <v>839</v>
      </c>
      <c r="L29" s="150" t="s">
        <v>51</v>
      </c>
      <c r="M29" s="151">
        <f t="shared" si="0"/>
        <v>82.895999999999987</v>
      </c>
      <c r="N29" s="152" t="str">
        <f>VLOOKUP(C29,'Trips&amp;Operators'!$C$1:$G$99999,5,FALSE)</f>
        <v>KILLION DAVID</v>
      </c>
      <c r="O29" s="179" t="s">
        <v>195</v>
      </c>
      <c r="P29" s="153"/>
      <c r="Q29" s="31"/>
      <c r="R29" s="96" t="str">
        <f>VLOOKUP(C29,'Train Runs'!$A$13:$AE$9965,31,0)</f>
        <v>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 &amp; 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</v>
      </c>
      <c r="S29" s="99" t="str">
        <f>VLOOKUP(C29,'Train Runs'!$A$13:$AE$9965,22,0)</f>
        <v>https://search-rtdc-monitor-bjffxe2xuh6vdkpspy63sjmuny.us-east-1.es.amazonaws.com/_plugin/kibana/#/discover/Steve-Slow-Train-Analysis-(2080s-and-2083s)?_g=(refreshInterval:(display:Off,section:0,value:0),time:(from:'2017-01-08 12:34:45-700',mode:absolute,to:'2017-01-08 15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1" t="str">
        <f t="shared" si="1"/>
        <v>"C:\Program Files (x86)\AstroGrep\AstroGrep.exe" /spath="%USERPROFILE%\AppData\Local\Temp\OnboardLogs" /stypes="*4013*201701082*" /stext=" 21:.+((SYSTEM_STATE.+slice.+state.+changed )|(ment ac)|(multiple cpu faults)|(system.+state.+changed )|(\[timeout)|(PRM\|1\|D)|(kpr)|(kdp)|(\|lc)|(penalty))" /e /r /s</v>
      </c>
      <c r="U29" s="9" t="str">
        <f t="shared" si="2"/>
        <v>4013</v>
      </c>
      <c r="V29" s="33">
        <f t="shared" si="3"/>
        <v>42743.89943287037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{"issue":{"subject":"","project_id":79,"tracker_id":40,"status_id":1,"priority_id":2,"assigned_to_id":23,"start_date":"2017-01-08","description":"","custom_fields":[{"id":1,"name":"Subdivision","value":"EC"},{"id":4,"name":"Milepost","value":"0.0839"},{"id":17,"name":"Train ID","value":"174-08"},{"id":16,"name":"Locomotive ID","value":"4013"},{"id":130,"name":"Impact","value":""},{"id":150,"name":"Time of Event (Mountain Time)","value":"14:35:11"},{"id":151,"name":"Denver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"%USERPROFILE%\AppData\Local\Temp\OnboardLogs"\RTDC4013\*4013*201701082*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"%USERPROFILE%\AppData\Local\Temp\OnboardLogs"\RTDC4013\*4013*201701082* &gt;&gt; 42743-slicedisagreementcheck.txt</v>
      </c>
      <c r="AE29" s="183" t="str">
        <f t="shared" si="8"/>
        <v>start /low /b %USERPROFILE%\Documents\GitHub\eaglep3\Utilities\DownloadLogsFromS3.py --loco 4013 --day 2017-01-08</v>
      </c>
      <c r="AF29" s="1"/>
    </row>
    <row r="30" spans="1:32" x14ac:dyDescent="0.25">
      <c r="A30" s="33">
        <v>42743.434270833335</v>
      </c>
      <c r="B30" s="31" t="s">
        <v>204</v>
      </c>
      <c r="C30" s="31" t="s">
        <v>415</v>
      </c>
      <c r="D30" s="31" t="s">
        <v>49</v>
      </c>
      <c r="E30" s="31" t="s">
        <v>198</v>
      </c>
      <c r="F30" s="44">
        <v>0</v>
      </c>
      <c r="G30" s="44">
        <v>74</v>
      </c>
      <c r="H30" s="44">
        <v>233204</v>
      </c>
      <c r="I30" s="44">
        <v>233314</v>
      </c>
      <c r="J30" s="31" t="s">
        <v>199</v>
      </c>
      <c r="K30" s="44">
        <v>233491</v>
      </c>
      <c r="L30" s="150" t="s">
        <v>50</v>
      </c>
      <c r="M30" s="151">
        <f t="shared" si="0"/>
        <v>93.456000000000003</v>
      </c>
      <c r="N30" s="152" t="str">
        <f>VLOOKUP(C30,'Trips&amp;Operators'!$C$1:$G$99999,5,FALSE)</f>
        <v>DAVIS WENDY</v>
      </c>
      <c r="O30" s="179" t="s">
        <v>195</v>
      </c>
      <c r="P30" s="153"/>
      <c r="Q30" s="31"/>
      <c r="R30" s="96" t="str">
        <f>VLOOKUP(C30,'Train Runs'!$A$13:$AE$9965,31,0)</f>
        <v>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 &amp; 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</v>
      </c>
      <c r="S30" s="99" t="str">
        <f>VLOOKUP(C30,'Train Runs'!$A$13:$AE$9965,22,0)</f>
        <v>https://search-rtdc-monitor-bjffxe2xuh6vdkpspy63sjmuny.us-east-1.es.amazonaws.com/_plugin/kibana/#/discover/Steve-Slow-Train-Analysis-(2080s-and-2083s)?_g=(refreshInterval:(display:Off,section:0,value:0),time:(from:'2017-01-08 08:43:24-700',mode:absolute,to:'2017-01-08 11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1" t="str">
        <f t="shared" si="1"/>
        <v>"C:\Program Files (x86)\AstroGrep\AstroGrep.exe" /spath="%USERPROFILE%\AppData\Local\Temp\OnboardLogs" /stypes="*4040*201701081*" /stext=" 17:.+((SYSTEM_STATE.+slice.+state.+changed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3">
        <f t="shared" si="3"/>
        <v>42743.725937499999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ID","value":"149-08"},{"id":16,"name":"Locomotive ID","value":"4040"},{"id":130,"name":"Impact","value":""},{"id":150,"name":"Time of Event (Mountain Time)","value":"10:25:21"},{"id":151,"name":"Denver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"%USERPROFILE%\AppData\Local\Temp\OnboardLogs"\RTDC4040\*4040*201701081*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"%USERPROFILE%\AppData\Local\Temp\OnboardLogs"\RTDC4040\*4040*201701081* &gt;&gt; 42743-slicedisagreementcheck.txt</v>
      </c>
      <c r="AE30" s="183" t="str">
        <f t="shared" si="8"/>
        <v>start /low /b %USERPROFILE%\Documents\GitHub\eaglep3\Utilities\DownloadLogsFromS3.py --loco 4040 --day 2017-01-08</v>
      </c>
      <c r="AF30" s="1"/>
    </row>
    <row r="31" spans="1:32" x14ac:dyDescent="0.25">
      <c r="A31" s="33">
        <v>42743.628067129626</v>
      </c>
      <c r="B31" s="31" t="s">
        <v>183</v>
      </c>
      <c r="C31" s="31" t="s">
        <v>420</v>
      </c>
      <c r="D31" s="31" t="s">
        <v>49</v>
      </c>
      <c r="E31" s="31" t="s">
        <v>198</v>
      </c>
      <c r="F31" s="44">
        <v>0</v>
      </c>
      <c r="G31" s="44">
        <v>61</v>
      </c>
      <c r="H31" s="44">
        <v>233234</v>
      </c>
      <c r="I31" s="44">
        <v>233299</v>
      </c>
      <c r="J31" s="31" t="s">
        <v>199</v>
      </c>
      <c r="K31" s="44">
        <v>233491</v>
      </c>
      <c r="L31" s="150" t="s">
        <v>50</v>
      </c>
      <c r="M31" s="151">
        <f t="shared" si="0"/>
        <v>101.376</v>
      </c>
      <c r="N31" s="152" t="str">
        <f>VLOOKUP(C31,'Trips&amp;Operators'!$C$1:$G$99999,5,FALSE)</f>
        <v>DAVIS MICHAEL</v>
      </c>
      <c r="O31" s="179" t="s">
        <v>195</v>
      </c>
      <c r="P31" s="153"/>
      <c r="Q31" s="31"/>
      <c r="R31" s="96" t="str">
        <f>VLOOKUP(C31,'Train Runs'!$A$13:$AE$9965,31,0)</f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S31" s="99" t="str">
        <f>VLOOKUP(C31,'Train Runs'!$A$13:$AE$9965,22,0)</f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1" s="101" t="str">
        <f t="shared" si="1"/>
        <v>"C:\Program Files (x86)\AstroGrep\AstroGrep.exe" /spath="%USERPROFILE%\AppData\Local\Temp\OnboardLogs" /stypes="*4009*201701082*" /stext=" 22:.+((SYSTEM_STATE.+slice.+state.+changed )|(ment ac)|(multiple cpu faults)|(system.+state.+changed )|(\[timeout)|(PRM\|1\|D)|(kpr)|(kdp)|(\|lc)|(penalty))" /e /r /s</v>
      </c>
      <c r="U31" s="9" t="str">
        <f t="shared" si="2"/>
        <v>4009</v>
      </c>
      <c r="V31" s="33">
        <f t="shared" si="3"/>
        <v>42743.919733796291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ID","value":"185-08"},{"id":16,"name":"Locomotive ID","value":"4009"},{"id":130,"name":"Impact","value":""},{"id":150,"name":"Time of Event (Mountain Time)","value":"15:04:25"},{"id":151,"name":"Denver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"%USERPROFILE%\AppData\Local\Temp\OnboardLogs"\RTDC4009\*4009*201701082*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"%USERPROFILE%\AppData\Local\Temp\OnboardLogs"\RTDC4009\*4009*201701082* &gt;&gt; 42743-slicedisagreementcheck.txt</v>
      </c>
      <c r="AE31" s="183" t="str">
        <f t="shared" si="8"/>
        <v>start /low /b %USERPROFILE%\Documents\GitHub\eaglep3\Utilities\DownloadLogsFromS3.py --loco 4009 --day 2017-01-08</v>
      </c>
      <c r="AF31" s="1"/>
    </row>
    <row r="32" spans="1:32" x14ac:dyDescent="0.25">
      <c r="A32" s="33">
        <v>42743.628472222219</v>
      </c>
      <c r="B32" s="31" t="s">
        <v>183</v>
      </c>
      <c r="C32" s="31" t="s">
        <v>420</v>
      </c>
      <c r="D32" s="31" t="s">
        <v>49</v>
      </c>
      <c r="E32" s="31" t="s">
        <v>198</v>
      </c>
      <c r="F32" s="44">
        <v>0</v>
      </c>
      <c r="G32" s="44">
        <v>35</v>
      </c>
      <c r="H32" s="44">
        <v>233376</v>
      </c>
      <c r="I32" s="44">
        <v>233397</v>
      </c>
      <c r="J32" s="31" t="s">
        <v>199</v>
      </c>
      <c r="K32" s="44">
        <v>233491</v>
      </c>
      <c r="L32" s="150" t="s">
        <v>50</v>
      </c>
      <c r="M32" s="151">
        <f t="shared" si="0"/>
        <v>49.631999999999998</v>
      </c>
      <c r="N32" s="152" t="str">
        <f>VLOOKUP(C32,'Trips&amp;Operators'!$C$1:$G$99999,5,FALSE)</f>
        <v>DAVIS MICHAEL</v>
      </c>
      <c r="O32" s="179" t="s">
        <v>195</v>
      </c>
      <c r="P32" s="153"/>
      <c r="Q32" s="31"/>
      <c r="R32" s="96" t="str">
        <f>VLOOKUP(C32,'Train Runs'!$A$13:$AE$9965,31,0)</f>
        <v>aws s3 cp s3://rtdc.mdm.uploadarchive.raw/RTDC4009/ "%USERPROFILE%\AppData\Local\Temp\OnboardLogs"\RTDC4009\2017-01-08 --exclude "*" --recursive --include "*20170108*" &amp; "%USERPROFILE%\Documents\GitHub\mrs-test-scripts\Headless Mode &amp; Sideloading\WalkAndUnGZ.bat" "%USERPROFILE%\AppData\Local\Temp\OnboardLogs"\RTDC4009\2017-01-08 &amp; 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</v>
      </c>
      <c r="S32" s="99" t="str">
        <f>VLOOKUP(C32,'Train Runs'!$A$13:$AE$9965,22,0)</f>
        <v>https://search-rtdc-monitor-bjffxe2xuh6vdkpspy63sjmuny.us-east-1.es.amazonaws.com/_plugin/kibana/#/discover/Steve-Slow-Train-Analysis-(2080s-and-2083s)?_g=(refreshInterval:(display:Off,section:0,value:0),time:(from:'2017-01-08 13:12:49-700',mode:absolute,to:'2017-01-08 16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2" s="101" t="str">
        <f t="shared" si="1"/>
        <v>"C:\Program Files (x86)\AstroGrep\AstroGrep.exe" /spath="%USERPROFILE%\AppData\Local\Temp\OnboardLogs" /stypes="*4009*201701082*" /stext=" 22:.+((SYSTEM_STATE.+slice.+state.+changed )|(ment ac)|(multiple cpu faults)|(system.+state.+changed )|(\[timeout)|(PRM\|1\|D)|(kpr)|(kdp)|(\|lc)|(penalty))" /e /r /s</v>
      </c>
      <c r="U32" s="9" t="str">
        <f t="shared" si="2"/>
        <v>4009</v>
      </c>
      <c r="V32" s="33">
        <f t="shared" si="3"/>
        <v>42743.920138888883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ID","value":"185-08"},{"id":16,"name":"Locomotive ID","value":"4009"},{"id":130,"name":"Impact","value":""},{"id":150,"name":"Time of Event (Mountain Time)","value":"15:05:00"},{"id":151,"name":"Denver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"%USERPROFILE%\AppData\Local\Temp\OnboardLogs"\RTDC4009\*4009*201701082*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"%USERPROFILE%\AppData\Local\Temp\OnboardLogs"\RTDC4009\*4009*201701082* &gt;&gt; 42743-slicedisagreementcheck.txt</v>
      </c>
      <c r="AE32" s="183" t="str">
        <f t="shared" si="8"/>
        <v>start /low /b %USERPROFILE%\Documents\GitHub\eaglep3\Utilities\DownloadLogsFromS3.py --loco 4009 --day 2017-01-08</v>
      </c>
      <c r="AF32" s="1"/>
    </row>
    <row r="33" spans="1:32" x14ac:dyDescent="0.25">
      <c r="A33" s="33">
        <v>42743.962673611109</v>
      </c>
      <c r="B33" s="31" t="s">
        <v>212</v>
      </c>
      <c r="C33" s="31" t="s">
        <v>429</v>
      </c>
      <c r="D33" s="31" t="s">
        <v>49</v>
      </c>
      <c r="E33" s="31" t="s">
        <v>198</v>
      </c>
      <c r="F33" s="44">
        <v>0</v>
      </c>
      <c r="G33" s="44">
        <v>165</v>
      </c>
      <c r="H33" s="44">
        <v>232613</v>
      </c>
      <c r="I33" s="44">
        <v>232868</v>
      </c>
      <c r="J33" s="31" t="s">
        <v>199</v>
      </c>
      <c r="K33" s="44">
        <v>233491</v>
      </c>
      <c r="L33" s="150" t="s">
        <v>50</v>
      </c>
      <c r="M33" s="151">
        <f t="shared" si="0"/>
        <v>328.94400000000002</v>
      </c>
      <c r="N33" s="152" t="str">
        <f>VLOOKUP(C33,'Trips&amp;Operators'!$C$1:$G$99999,5,FALSE)</f>
        <v>STAMBAUGH JAMES</v>
      </c>
      <c r="O33" s="179" t="s">
        <v>195</v>
      </c>
      <c r="P33" s="153"/>
      <c r="Q33" s="31"/>
      <c r="R33" s="96" t="str">
        <f>VLOOKUP(C33,'Train Runs'!$A$13:$AE$9965,31,0)</f>
        <v>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 &amp; aws s3 cp s3://rtdc.mdm.uploadarchive.raw/RTDC4022/ "%USERPROFILE%\AppData\Local\Temp\OnboardLogs"\RTDC4022\2017-01-09 --exclude "*" --recursive --include "*20170109*" &amp; "%USERPROFILE%\Documents\GitHub\mrs-test-scripts\Headless Mode &amp; Sideloading\WalkAndUnGZ.bat" "%USERPROFILE%\AppData\Local\Temp\OnboardLogs"\RTDC4022\2017-01-09</v>
      </c>
      <c r="S33" s="99" t="str">
        <f>VLOOKUP(C33,'Train Runs'!$A$13:$AE$9965,22,0)</f>
        <v>https://search-rtdc-monitor-bjffxe2xuh6vdkpspy63sjmuny.us-east-1.es.amazonaws.com/_plugin/kibana/#/discover/Steve-Slow-Train-Analysis-(2080s-and-2083s)?_g=(refreshInterval:(display:Off,section:0,value:0),time:(from:'2017-01-08 21:19:02-700',mode:absolute,to:'2017-01-09 00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3" s="101" t="str">
        <f t="shared" si="1"/>
        <v>"C:\Program Files (x86)\AstroGrep\AstroGrep.exe" /spath="%USERPROFILE%\AppData\Local\Temp\OnboardLogs" /stypes="*4022*201701090*" /stext=" 06:.+((SYSTEM_STATE.+slice.+state.+changed )|(ment ac)|(multiple cpu faults)|(system.+state.+changed )|(\[timeout)|(PRM\|1\|D)|(kpr)|(kdp)|(\|lc)|(penalty))" /e /r /s</v>
      </c>
      <c r="U33" s="9" t="str">
        <f t="shared" si="2"/>
        <v>4022</v>
      </c>
      <c r="V33" s="33">
        <f t="shared" si="3"/>
        <v>42744.254340277774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{"issue":{"subject":"","project_id":79,"tracker_id":40,"status_id":1,"priority_id":2,"assigned_to_id":23,"start_date":"2017-01-08","description":"","custom_fields":[{"id":1,"name":"Subdivision","value":"EC"},{"id":4,"name":"Milepost","value":"23.3491"},{"id":17,"name":"Train ID","value":"235-08"},{"id":16,"name":"Locomotive ID","value":"4022"},{"id":130,"name":"Impact","value":""},{"id":150,"name":"Time of Event (Mountain Time)","value":"23:06:15"},{"id":151,"name":"Denver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"%USERPROFILE%\AppData\Local\Temp\OnboardLogs"\RTDC4022\*4022*201701090*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"%USERPROFILE%\AppData\Local\Temp\OnboardLogs"\RTDC4022\*4022*201701090* &gt;&gt; 42743-slicedisagreementcheck.txt</v>
      </c>
      <c r="AE33" s="183" t="str">
        <f t="shared" si="8"/>
        <v>start /low /b %USERPROFILE%\Documents\GitHub\eaglep3\Utilities\DownloadLogsFromS3.py --loco 4022 --day 2017-01-09</v>
      </c>
      <c r="AF33" s="1"/>
    </row>
    <row r="34" spans="1:32" x14ac:dyDescent="0.25">
      <c r="A34" s="33">
        <v>42743.656238425923</v>
      </c>
      <c r="B34" s="31" t="s">
        <v>260</v>
      </c>
      <c r="C34" s="31" t="s">
        <v>424</v>
      </c>
      <c r="D34" s="31" t="s">
        <v>98</v>
      </c>
      <c r="E34" s="31" t="s">
        <v>322</v>
      </c>
      <c r="F34" s="44">
        <v>150</v>
      </c>
      <c r="G34" s="44">
        <v>204</v>
      </c>
      <c r="H34" s="44">
        <v>56967</v>
      </c>
      <c r="I34" s="44">
        <v>56616</v>
      </c>
      <c r="J34" s="31" t="s">
        <v>323</v>
      </c>
      <c r="K34" s="44">
        <v>59050</v>
      </c>
      <c r="L34" s="150" t="s">
        <v>51</v>
      </c>
      <c r="M34" s="151">
        <f t="shared" si="0"/>
        <v>-1285.152</v>
      </c>
      <c r="N34" s="152" t="str">
        <f>VLOOKUP(C34,'Trips&amp;Operators'!$C$1:$G$99999,5,FALSE)</f>
        <v>HELVIE ADAM</v>
      </c>
      <c r="O34" s="179" t="s">
        <v>195</v>
      </c>
      <c r="P34" s="153"/>
      <c r="Q34" s="31"/>
      <c r="R34" s="96" t="str">
        <f>VLOOKUP(C34,'Train Runs'!$A$13:$AE$9965,31,0)</f>
        <v>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 &amp; 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</v>
      </c>
      <c r="S34" s="99" t="str">
        <f>VLOOKUP(C34,'Train Runs'!$A$13:$AE$9965,22,0)</f>
        <v>https://search-rtdc-monitor-bjffxe2xuh6vdkpspy63sjmuny.us-east-1.es.amazonaws.com/_plugin/kibana/#/discover/Steve-Slow-Train-Analysis-(2080s-and-2083s)?_g=(refreshInterval:(display:Off,section:0,value:0),time:(from:'2017-01-08 14:37:36-700',mode:absolute,to:'2017-01-08 16:57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4" s="101" t="str">
        <f t="shared" si="1"/>
        <v>"C:\Program Files (x86)\AstroGrep\AstroGrep.exe" /spath="%USERPROFILE%\AppData\Local\Temp\OnboardLogs" /stypes="*4043*201701082*" /stext=" 22:.+((SYSTEM_STATE.+slice.+state.+changed )|(ment ac)|(multiple cpu faults)|(system.+state.+changed )|(\[timeout)|(PRM\|1\|D)|(kpr)|(kdp)|(\|lc)|(penalty))" /e /r /s</v>
      </c>
      <c r="U34" s="9" t="str">
        <f t="shared" si="2"/>
        <v>4043</v>
      </c>
      <c r="V34" s="33">
        <f t="shared" si="3"/>
        <v>42743.947905092587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{"issue":{"subject":"","project_id":79,"tracker_id":40,"status_id":1,"priority_id":2,"assigned_to_id":23,"start_date":"2017-01-08","description":"","custom_fields":[{"id":1,"name":"Subdivision","value":"NW"},{"id":4,"name":"Milepost","value":"5.905"},{"id":17,"name":"Train ID","value":"1820-08"},{"id":16,"name":"Locomotive ID","value":"4043"},{"id":130,"name":"Impact","value":""},{"id":150,"name":"Time of Event (Mountain Time)","value":"15:44:59"},{"id":151,"name":"Denver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"%USERPROFILE%\AppData\Local\Temp\OnboardLogs"\RTDC4043\*4043*201701082*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"%USERPROFILE%\AppData\Local\Temp\OnboardLogs"\RTDC4043\*4043*201701082* &gt;&gt; 42743-slicedisagreementcheck.txt</v>
      </c>
      <c r="AE34" s="183" t="str">
        <f t="shared" si="8"/>
        <v>start /low /b %USERPROFILE%\Documents\GitHub\eaglep3\Utilities\DownloadLogsFromS3.py --loco 4043 --day 2017-01-08</v>
      </c>
      <c r="AF34" s="1"/>
    </row>
    <row r="35" spans="1:32" x14ac:dyDescent="0.25">
      <c r="A35" s="33">
        <v>42743.774016203701</v>
      </c>
      <c r="B35" s="31" t="s">
        <v>259</v>
      </c>
      <c r="C35" s="31" t="s">
        <v>426</v>
      </c>
      <c r="D35" s="31" t="s">
        <v>49</v>
      </c>
      <c r="E35" s="31" t="s">
        <v>198</v>
      </c>
      <c r="F35" s="44">
        <v>0</v>
      </c>
      <c r="G35" s="44">
        <v>158</v>
      </c>
      <c r="H35" s="44">
        <v>58180</v>
      </c>
      <c r="I35" s="44">
        <v>58358</v>
      </c>
      <c r="J35" s="31" t="s">
        <v>199</v>
      </c>
      <c r="K35" s="44">
        <v>59058</v>
      </c>
      <c r="L35" s="150" t="s">
        <v>50</v>
      </c>
      <c r="M35" s="151">
        <f t="shared" si="0"/>
        <v>369.6</v>
      </c>
      <c r="N35" s="152" t="str">
        <f>VLOOKUP(C35,'Trips&amp;Operators'!$C$1:$G$99999,5,FALSE)</f>
        <v>HELVIE ADAM</v>
      </c>
      <c r="O35" s="179" t="s">
        <v>195</v>
      </c>
      <c r="P35" s="153"/>
      <c r="Q35" s="31"/>
      <c r="R35" s="96" t="str">
        <f>VLOOKUP(C35,'Train Runs'!$A$13:$AE$9965,31,0)</f>
        <v>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 &amp; 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</v>
      </c>
      <c r="S35" s="99" t="str">
        <f>VLOOKUP(C35,'Train Runs'!$A$13:$AE$9965,22,0)</f>
        <v>https://search-rtdc-monitor-bjffxe2xuh6vdkpspy63sjmuny.us-east-1.es.amazonaws.com/_plugin/kibana/#/discover/Steve-Slow-Train-Analysis-(2080s-and-2083s)?_g=(refreshInterval:(display:Off,section:0,value:0),time:(from:'2017-01-08 17:17:18-700',mode:absolute,to:'2017-01-08 19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5" s="101" t="str">
        <f t="shared" si="1"/>
        <v>"C:\Program Files (x86)\AstroGrep\AstroGrep.exe" /spath="%USERPROFILE%\AppData\Local\Temp\OnboardLogs" /stypes="*4044*201701090*" /stext=" 01:.+((SYSTEM_STATE.+slice.+state.+changed )|(ment ac)|(multiple cpu faults)|(system.+state.+changed )|(\[timeout)|(PRM\|1\|D)|(kpr)|(kdp)|(\|lc)|(penalty))" /e /r /s</v>
      </c>
      <c r="U35" s="9" t="str">
        <f t="shared" si="2"/>
        <v>4044</v>
      </c>
      <c r="V35" s="33">
        <f t="shared" si="3"/>
        <v>42744.065682870365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{"issue":{"subject":"","project_id":79,"tracker_id":40,"status_id":1,"priority_id":2,"assigned_to_id":23,"start_date":"2017-01-08","description":"","custom_fields":[{"id":1,"name":"Subdivision","value":"NW"},{"id":4,"name":"Milepost","value":"5.9058"},{"id":17,"name":"Train ID","value":"1825-08"},{"id":16,"name":"Locomotive ID","value":"4044"},{"id":130,"name":"Impact","value":""},{"id":150,"name":"Time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"%USERPROFILE%\AppData\Local\Temp\OnboardLogs"\RTDC4044\*4044*201701090*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"%USERPROFILE%\AppData\Local\Temp\OnboardLogs"\RTDC4044\*4044*201701090* &gt;&gt; 42743-slicedisagreementcheck.txt</v>
      </c>
      <c r="AE35" s="183" t="str">
        <f t="shared" si="8"/>
        <v>start /low /b %USERPROFILE%\Documents\GitHub\eaglep3\Utilities\DownloadLogsFromS3.py --loco 4044 --day 2017-01-09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</sheetData>
  <autoFilter ref="A6:AC43">
    <sortState ref="A7:AC43">
      <sortCondition ref="V6:V43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73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6"/>
  <sheetViews>
    <sheetView workbookViewId="0">
      <selection activeCell="A11" sqref="A11:A29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2017-01-08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113</v>
      </c>
      <c r="B3" s="44" t="str">
        <f>A3&amp;"-"&amp;IF(DAY(Variables!$A$2)&lt;10,0,"")&amp;DAY(Variables!$A$2)</f>
        <v>113-08</v>
      </c>
      <c r="C3" s="154"/>
      <c r="D3" s="159"/>
      <c r="E3" s="31" t="s">
        <v>409</v>
      </c>
      <c r="F3" s="22" t="str">
        <f>VLOOKUP(B3,'Trips&amp;Operators'!$C$2:$E$10000,3,FALSE)</f>
        <v>OUN</v>
      </c>
      <c r="G3" s="22" t="str">
        <f>VLOOKUP(B3,'Trips&amp;Operators'!$C$1:$F$10000,4,FALSE)</f>
        <v>ZACK</v>
      </c>
      <c r="H3" s="30" t="str">
        <f>VLOOKUP(B3,'Trips&amp;Operators'!$C$1:$H$10000,5,FALSE)</f>
        <v>OUN ZACK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22113-08%22)),sort:!(Time,asc))</v>
      </c>
      <c r="J3" s="31" t="e">
        <f>VLOOKUP(B3,'Train Runs'!$A$13:$A$99962,1,FALSE)</f>
        <v>#N/A</v>
      </c>
    </row>
    <row r="4" spans="1:11" x14ac:dyDescent="0.25">
      <c r="A4" s="167">
        <v>162</v>
      </c>
      <c r="B4" s="44" t="str">
        <f>A4&amp;"-"&amp;IF(DAY(Variables!$A$2)&lt;10,0,"")&amp;DAY(Variables!$A$2)</f>
        <v>162-08</v>
      </c>
      <c r="C4" s="154"/>
      <c r="D4" s="159"/>
      <c r="E4" s="31" t="s">
        <v>409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6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22162-08%22)),sort:!(Time,asc))</v>
      </c>
      <c r="J4" s="31" t="e">
        <f>VLOOKUP(B4,'Train Runs'!$A$13:$A$99962,1,FALSE)</f>
        <v>#N/A</v>
      </c>
      <c r="K4" s="21"/>
    </row>
    <row r="5" spans="1:11" x14ac:dyDescent="0.25">
      <c r="A5" s="167">
        <v>164</v>
      </c>
      <c r="B5" s="44" t="str">
        <f>A5&amp;"-"&amp;IF(DAY(Variables!$A$2)&lt;10,0,"")&amp;DAY(Variables!$A$2)</f>
        <v>164-08</v>
      </c>
      <c r="C5" s="154"/>
      <c r="D5" s="159"/>
      <c r="E5" s="31" t="s">
        <v>409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22164-08%22)),sort:!(Time,asc))</v>
      </c>
      <c r="J5" s="31" t="e">
        <f>VLOOKUP(B5,'Train Runs'!$A$13:$A$99962,1,FALSE)</f>
        <v>#N/A</v>
      </c>
      <c r="K5" s="21"/>
    </row>
    <row r="6" spans="1:11" x14ac:dyDescent="0.25">
      <c r="A6" s="167">
        <v>173</v>
      </c>
      <c r="B6" s="44" t="str">
        <f>A6&amp;"-"&amp;IF(DAY(Variables!$A$2)&lt;10,0,"")&amp;DAY(Variables!$A$2)</f>
        <v>173-08</v>
      </c>
      <c r="C6" s="154"/>
      <c r="D6" s="159"/>
      <c r="E6" s="31" t="s">
        <v>409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22173-08%22)),sort:!(Time,asc))</v>
      </c>
      <c r="J6" s="31" t="e">
        <f>VLOOKUP(B6,'Train Runs'!$A$13:$A$99962,1,FALSE)</f>
        <v>#N/A</v>
      </c>
      <c r="K6" s="21"/>
    </row>
    <row r="7" spans="1:11" x14ac:dyDescent="0.25">
      <c r="A7" s="167">
        <v>177</v>
      </c>
      <c r="B7" s="44" t="str">
        <f>A7&amp;"-"&amp;IF(DAY(Variables!$A$2)&lt;10,0,"")&amp;DAY(Variables!$A$2)</f>
        <v>177-08</v>
      </c>
      <c r="C7" s="154"/>
      <c r="D7" s="159"/>
      <c r="E7" s="31" t="s">
        <v>409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ref="I7:I31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22177-08%22)),sort:!(Time,asc))</v>
      </c>
      <c r="J7" s="31" t="e">
        <f>VLOOKUP(B7,'Train Runs'!$A$13:$A$99962,1,FALSE)</f>
        <v>#N/A</v>
      </c>
    </row>
    <row r="8" spans="1:11" x14ac:dyDescent="0.25">
      <c r="A8" s="167">
        <v>178</v>
      </c>
      <c r="B8" s="44" t="str">
        <f>A8&amp;"-"&amp;IF(DAY(Variables!$A$2)&lt;10,0,"")&amp;DAY(Variables!$A$2)</f>
        <v>178-08</v>
      </c>
      <c r="C8" s="154"/>
      <c r="D8" s="159"/>
      <c r="E8" s="31" t="s">
        <v>409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22178-08%22)),sort:!(Time,asc))</v>
      </c>
      <c r="J8" s="31" t="e">
        <f>VLOOKUP(B8,'Train Runs'!$A$13:$A$99962,1,FALSE)</f>
        <v>#N/A</v>
      </c>
    </row>
    <row r="9" spans="1:11" x14ac:dyDescent="0.25">
      <c r="A9" s="167">
        <v>183</v>
      </c>
      <c r="B9" s="44" t="str">
        <f>A9&amp;"-"&amp;IF(DAY(Variables!$A$2)&lt;10,0,"")&amp;DAY(Variables!$A$2)</f>
        <v>183-08</v>
      </c>
      <c r="C9" s="154"/>
      <c r="D9" s="159"/>
      <c r="E9" s="31" t="s">
        <v>409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-08%22)),sort:!(Time,asc))</v>
      </c>
      <c r="J9" s="31" t="e">
        <f>VLOOKUP(B9,'Train Runs'!$A$13:$A$99962,1,FALSE)</f>
        <v>#N/A</v>
      </c>
    </row>
    <row r="10" spans="1:11" x14ac:dyDescent="0.25">
      <c r="A10" s="167">
        <v>184</v>
      </c>
      <c r="B10" s="44" t="str">
        <f>A10&amp;"-"&amp;IF(DAY(Variables!$A$2)&lt;10,0,"")&amp;DAY(Variables!$A$2)</f>
        <v>184-08</v>
      </c>
      <c r="C10" s="154"/>
      <c r="D10" s="159"/>
      <c r="E10" s="31" t="s">
        <v>409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22184-08%22)),sort:!(Time,asc))</v>
      </c>
      <c r="J10" s="31" t="e">
        <f>VLOOKUP(B10,'Train Runs'!$A$13:$A$99962,1,FALSE)</f>
        <v>#N/A</v>
      </c>
    </row>
    <row r="11" spans="1:11" x14ac:dyDescent="0.25">
      <c r="A11" s="167"/>
      <c r="B11" s="44" t="str">
        <f>A11&amp;"-"&amp;IF(DAY(Variables!$A$2)&lt;10,0,"")&amp;DAY(Variables!$A$2)</f>
        <v>-08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" s="31" t="e">
        <f>VLOOKUP(B11,'Train Runs'!$A$13:$A$99962,1,FALSE)</f>
        <v>#N/A</v>
      </c>
    </row>
    <row r="12" spans="1:11" x14ac:dyDescent="0.25">
      <c r="A12" s="167"/>
      <c r="B12" s="44" t="str">
        <f>A12&amp;"-"&amp;IF(DAY(Variables!$A$2)&lt;10,0,"")&amp;DAY(Variables!$A$2)</f>
        <v>-08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" s="31" t="e">
        <f>VLOOKUP(B12,'Train Runs'!$A$13:$A$99962,1,FALSE)</f>
        <v>#N/A</v>
      </c>
    </row>
    <row r="13" spans="1:11" x14ac:dyDescent="0.25">
      <c r="A13" s="167"/>
      <c r="B13" s="44" t="str">
        <f>A13&amp;"-"&amp;IF(DAY(Variables!$A$2)&lt;10,0,"")&amp;DAY(Variables!$A$2)</f>
        <v>-08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" s="31" t="e">
        <f>VLOOKUP(B13,'Train Runs'!$A$13:$A$99962,1,FALSE)</f>
        <v>#N/A</v>
      </c>
    </row>
    <row r="14" spans="1:11" x14ac:dyDescent="0.25">
      <c r="A14" s="167"/>
      <c r="B14" s="44" t="str">
        <f>A14&amp;"-"&amp;IF(DAY(Variables!$A$2)&lt;10,0,"")&amp;DAY(Variables!$A$2)</f>
        <v>-08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" s="31" t="e">
        <f>VLOOKUP(B14,'Train Runs'!$A$13:$A$99962,1,FALSE)</f>
        <v>#N/A</v>
      </c>
    </row>
    <row r="15" spans="1:11" x14ac:dyDescent="0.25">
      <c r="A15" s="167"/>
      <c r="B15" s="44" t="str">
        <f>A15&amp;"-"&amp;IF(DAY(Variables!$A$2)&lt;10,0,"")&amp;DAY(Variables!$A$2)</f>
        <v>-08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5" s="31" t="e">
        <f>VLOOKUP(B15,'Train Runs'!$A$13:$A$99962,1,FALSE)</f>
        <v>#N/A</v>
      </c>
    </row>
    <row r="16" spans="1:11" x14ac:dyDescent="0.25">
      <c r="A16" s="167"/>
      <c r="B16" s="44" t="str">
        <f>A16&amp;"-"&amp;IF(DAY(Variables!$A$2)&lt;10,0,"")&amp;DAY(Variables!$A$2)</f>
        <v>-08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6" s="31" t="e">
        <f>VLOOKUP(B16,'Train Runs'!$A$13:$A$99962,1,FALSE)</f>
        <v>#N/A</v>
      </c>
    </row>
    <row r="17" spans="1:10" x14ac:dyDescent="0.25">
      <c r="A17" s="167"/>
      <c r="B17" s="44" t="str">
        <f>A17&amp;"-"&amp;IF(DAY(Variables!$A$2)&lt;10,0,"")&amp;DAY(Variables!$A$2)</f>
        <v>-08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7" s="31" t="e">
        <f>VLOOKUP(B17,'Train Runs'!$A$13:$A$99962,1,FALSE)</f>
        <v>#N/A</v>
      </c>
    </row>
    <row r="18" spans="1:10" x14ac:dyDescent="0.25">
      <c r="A18" s="167"/>
      <c r="B18" s="44" t="str">
        <f>A18&amp;"-"&amp;IF(DAY(Variables!$A$2)&lt;10,0,"")&amp;DAY(Variables!$A$2)</f>
        <v>-08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8" s="31" t="e">
        <f>VLOOKUP(B18,'Train Runs'!$A$13:$A$99962,1,FALSE)</f>
        <v>#N/A</v>
      </c>
    </row>
    <row r="19" spans="1:10" x14ac:dyDescent="0.25">
      <c r="A19" s="167"/>
      <c r="B19" s="44" t="str">
        <f>A19&amp;"-"&amp;IF(DAY(Variables!$A$2)&lt;10,0,"")&amp;DAY(Variables!$A$2)</f>
        <v>-08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9" s="31" t="e">
        <f>VLOOKUP(B19,'Train Runs'!$A$13:$A$99962,1,FALSE)</f>
        <v>#N/A</v>
      </c>
    </row>
    <row r="20" spans="1:10" x14ac:dyDescent="0.25">
      <c r="A20" s="167"/>
      <c r="B20" s="44" t="str">
        <f>A20&amp;"-"&amp;IF(DAY(Variables!$A$2)&lt;10,0,"")&amp;DAY(Variables!$A$2)</f>
        <v>-08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0" s="31" t="e">
        <f>VLOOKUP(B20,'Train Runs'!$A$13:$A$99962,1,FALSE)</f>
        <v>#N/A</v>
      </c>
    </row>
    <row r="21" spans="1:10" x14ac:dyDescent="0.25">
      <c r="A21" s="167"/>
      <c r="B21" s="44" t="str">
        <f>A21&amp;"-"&amp;IF(DAY(Variables!$A$2)&lt;10,0,"")&amp;DAY(Variables!$A$2)</f>
        <v>-08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1" s="31" t="e">
        <f>VLOOKUP(B21,'Train Runs'!$A$13:$A$99962,1,FALSE)</f>
        <v>#N/A</v>
      </c>
    </row>
    <row r="22" spans="1:10" x14ac:dyDescent="0.25">
      <c r="A22" s="167"/>
      <c r="B22" s="44" t="str">
        <f>A22&amp;"-"&amp;IF(DAY(Variables!$A$2)&lt;10,0,"")&amp;DAY(Variables!$A$2)</f>
        <v>-08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2" s="31" t="e">
        <f>VLOOKUP(B22,'Train Runs'!$A$13:$A$99962,1,FALSE)</f>
        <v>#N/A</v>
      </c>
    </row>
    <row r="23" spans="1:10" x14ac:dyDescent="0.25">
      <c r="A23" s="167"/>
      <c r="B23" s="44" t="str">
        <f>A23&amp;"-"&amp;IF(DAY(Variables!$A$2)&lt;10,0,"")&amp;DAY(Variables!$A$2)</f>
        <v>-08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3" s="31" t="e">
        <f>VLOOKUP(B23,'Train Runs'!$A$13:$A$99962,1,FALSE)</f>
        <v>#N/A</v>
      </c>
    </row>
    <row r="24" spans="1:10" x14ac:dyDescent="0.25">
      <c r="A24" s="167"/>
      <c r="B24" s="44" t="str">
        <f>A24&amp;"-"&amp;IF(DAY(Variables!$A$2)&lt;10,0,"")&amp;DAY(Variables!$A$2)</f>
        <v>-08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4" s="31" t="e">
        <f>VLOOKUP(B24,'Train Runs'!$A$13:$A$99962,1,FALSE)</f>
        <v>#N/A</v>
      </c>
    </row>
    <row r="25" spans="1:10" x14ac:dyDescent="0.25">
      <c r="A25" s="167"/>
      <c r="B25" s="44" t="str">
        <f>A25&amp;"-"&amp;IF(DAY(Variables!$A$2)&lt;10,0,"")&amp;DAY(Variables!$A$2)</f>
        <v>-08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5" s="31" t="e">
        <f>VLOOKUP(B25,'Train Runs'!$A$13:$A$99962,1,FALSE)</f>
        <v>#N/A</v>
      </c>
    </row>
    <row r="26" spans="1:10" x14ac:dyDescent="0.25">
      <c r="A26" s="167"/>
      <c r="B26" s="44" t="str">
        <f>A26&amp;"-"&amp;IF(DAY(Variables!$A$2)&lt;10,0,"")&amp;DAY(Variables!$A$2)</f>
        <v>-08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6" s="31" t="e">
        <f>VLOOKUP(B26,'Train Runs'!$A$13:$A$99962,1,FALSE)</f>
        <v>#N/A</v>
      </c>
    </row>
    <row r="27" spans="1:10" x14ac:dyDescent="0.25">
      <c r="A27" s="167"/>
      <c r="B27" s="44" t="str">
        <f>A27&amp;"-"&amp;IF(DAY(Variables!$A$2)&lt;10,0,"")&amp;DAY(Variables!$A$2)</f>
        <v>-08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7" s="31" t="e">
        <f>VLOOKUP(B27,'Train Runs'!$A$13:$A$99962,1,FALSE)</f>
        <v>#N/A</v>
      </c>
    </row>
    <row r="28" spans="1:10" x14ac:dyDescent="0.25">
      <c r="A28" s="167"/>
      <c r="B28" s="44" t="str">
        <f>A28&amp;"-"&amp;IF(DAY(Variables!$A$2)&lt;10,0,"")&amp;DAY(Variables!$A$2)</f>
        <v>-08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8" s="31" t="e">
        <f>VLOOKUP(B28,'Train Runs'!$A$13:$A$99962,1,FALSE)</f>
        <v>#N/A</v>
      </c>
    </row>
    <row r="29" spans="1:10" x14ac:dyDescent="0.25">
      <c r="A29" s="167"/>
      <c r="B29" s="44" t="str">
        <f>A29&amp;"-"&amp;IF(DAY(Variables!$A$2)&lt;10,0,"")&amp;DAY(Variables!$A$2)</f>
        <v>-08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29" s="31" t="e">
        <f>VLOOKUP(B29,'Train Runs'!$A$13:$A$99962,1,FALSE)</f>
        <v>#N/A</v>
      </c>
    </row>
    <row r="30" spans="1:10" x14ac:dyDescent="0.25">
      <c r="A30" s="167"/>
      <c r="B30" s="44" t="str">
        <f>A30&amp;"-"&amp;IF(DAY(Variables!$A$2)&lt;10,0,"")&amp;DAY(Variables!$A$2)</f>
        <v>-08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0" s="31" t="e">
        <f>VLOOKUP(B30,'Train Runs'!$A$13:$A$99962,1,FALSE)</f>
        <v>#N/A</v>
      </c>
    </row>
    <row r="31" spans="1:10" x14ac:dyDescent="0.25">
      <c r="A31" s="167"/>
      <c r="B31" s="44" t="str">
        <f>A31&amp;"-"&amp;IF(DAY(Variables!$A$2)&lt;10,0,"")&amp;DAY(Variables!$A$2)</f>
        <v>-08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1" s="31" t="e">
        <f>VLOOKUP(B31,'Train Runs'!$A$13:$A$99962,1,FALSE)</f>
        <v>#N/A</v>
      </c>
    </row>
    <row r="32" spans="1:10" x14ac:dyDescent="0.25">
      <c r="A32" s="167"/>
      <c r="B32" s="44" t="str">
        <f>A32&amp;"-"&amp;IF(DAY(Variables!$A$2)&lt;10,0,"")&amp;DAY(Variables!$A$2)</f>
        <v>-08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ref="I32:I95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32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2" s="31" t="e">
        <f>VLOOKUP(B32,'Train Runs'!$A$13:$A$99962,1,FALSE)</f>
        <v>#N/A</v>
      </c>
    </row>
    <row r="33" spans="1:10" x14ac:dyDescent="0.25">
      <c r="A33" s="167"/>
      <c r="B33" s="44" t="str">
        <f>A33&amp;"-"&amp;IF(DAY(Variables!$A$2)&lt;10,0,"")&amp;DAY(Variables!$A$2)</f>
        <v>-08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3" s="31" t="e">
        <f>VLOOKUP(B33,'Train Runs'!$A$13:$A$99962,1,FALSE)</f>
        <v>#N/A</v>
      </c>
    </row>
    <row r="34" spans="1:10" x14ac:dyDescent="0.25">
      <c r="A34" s="167"/>
      <c r="B34" s="44" t="str">
        <f>A34&amp;"-"&amp;IF(DAY(Variables!$A$2)&lt;10,0,"")&amp;DAY(Variables!$A$2)</f>
        <v>-08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4" s="31" t="e">
        <f>VLOOKUP(B34,'Train Runs'!$A$13:$A$99962,1,FALSE)</f>
        <v>#N/A</v>
      </c>
    </row>
    <row r="35" spans="1:10" x14ac:dyDescent="0.25">
      <c r="A35" s="167"/>
      <c r="B35" s="44" t="str">
        <f>A35&amp;"-"&amp;IF(DAY(Variables!$A$2)&lt;10,0,"")&amp;DAY(Variables!$A$2)</f>
        <v>-08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5" s="31" t="e">
        <f>VLOOKUP(B35,'Train Runs'!$A$13:$A$99962,1,FALSE)</f>
        <v>#N/A</v>
      </c>
    </row>
    <row r="36" spans="1:10" x14ac:dyDescent="0.25">
      <c r="A36" s="167"/>
      <c r="B36" s="44" t="str">
        <f>A36&amp;"-"&amp;IF(DAY(Variables!$A$2)&lt;10,0,"")&amp;DAY(Variables!$A$2)</f>
        <v>-08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6" s="31" t="e">
        <f>VLOOKUP(B36,'Train Runs'!$A$13:$A$99962,1,FALSE)</f>
        <v>#N/A</v>
      </c>
    </row>
    <row r="37" spans="1:10" x14ac:dyDescent="0.25">
      <c r="A37" s="167"/>
      <c r="B37" s="44" t="str">
        <f>A37&amp;"-"&amp;IF(DAY(Variables!$A$2)&lt;10,0,"")&amp;DAY(Variables!$A$2)</f>
        <v>-08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7" s="31" t="e">
        <f>VLOOKUP(B37,'Train Runs'!$A$13:$A$99962,1,FALSE)</f>
        <v>#N/A</v>
      </c>
    </row>
    <row r="38" spans="1:10" x14ac:dyDescent="0.25">
      <c r="A38" s="167"/>
      <c r="B38" s="44" t="str">
        <f>A38&amp;"-"&amp;IF(DAY(Variables!$A$2)&lt;10,0,"")&amp;DAY(Variables!$A$2)</f>
        <v>-08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8" s="31" t="e">
        <f>VLOOKUP(B38,'Train Runs'!$A$13:$A$99962,1,FALSE)</f>
        <v>#N/A</v>
      </c>
    </row>
    <row r="39" spans="1:10" x14ac:dyDescent="0.25">
      <c r="A39" s="167"/>
      <c r="B39" s="44" t="str">
        <f>A39&amp;"-"&amp;IF(DAY(Variables!$A$2)&lt;10,0,"")&amp;DAY(Variables!$A$2)</f>
        <v>-08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9" s="31" t="e">
        <f>VLOOKUP(B39,'Train Runs'!$A$13:$A$99962,1,FALSE)</f>
        <v>#N/A</v>
      </c>
    </row>
    <row r="40" spans="1:10" x14ac:dyDescent="0.25">
      <c r="A40" s="167"/>
      <c r="B40" s="44" t="str">
        <f>A40&amp;"-"&amp;IF(DAY(Variables!$A$2)&lt;10,0,"")&amp;DAY(Variables!$A$2)</f>
        <v>-08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0" s="31" t="e">
        <f>VLOOKUP(B40,'Train Runs'!$A$13:$A$99962,1,FALSE)</f>
        <v>#N/A</v>
      </c>
    </row>
    <row r="41" spans="1:10" x14ac:dyDescent="0.25">
      <c r="A41" s="167"/>
      <c r="B41" s="44" t="str">
        <f>A41&amp;"-"&amp;IF(DAY(Variables!$A$2)&lt;10,0,"")&amp;DAY(Variables!$A$2)</f>
        <v>-08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1" s="31" t="e">
        <f>VLOOKUP(B41,'Train Runs'!$A$13:$A$99962,1,FALSE)</f>
        <v>#N/A</v>
      </c>
    </row>
    <row r="42" spans="1:10" x14ac:dyDescent="0.25">
      <c r="A42" s="167"/>
      <c r="B42" s="44" t="str">
        <f>A42&amp;"-"&amp;IF(DAY(Variables!$A$2)&lt;10,0,"")&amp;DAY(Variables!$A$2)</f>
        <v>-08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2" s="31" t="e">
        <f>VLOOKUP(B42,'Train Runs'!$A$13:$A$99962,1,FALSE)</f>
        <v>#N/A</v>
      </c>
    </row>
    <row r="43" spans="1:10" x14ac:dyDescent="0.25">
      <c r="A43" s="167"/>
      <c r="B43" s="44" t="str">
        <f>A43&amp;"-"&amp;IF(DAY(Variables!$A$2)&lt;10,0,"")&amp;DAY(Variables!$A$2)</f>
        <v>-08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3" s="31" t="e">
        <f>VLOOKUP(B43,'Train Runs'!$A$13:$A$99962,1,FALSE)</f>
        <v>#N/A</v>
      </c>
    </row>
    <row r="44" spans="1:10" x14ac:dyDescent="0.25">
      <c r="A44" s="167"/>
      <c r="B44" s="44" t="str">
        <f>A44&amp;"-"&amp;IF(DAY(Variables!$A$2)&lt;10,0,"")&amp;DAY(Variables!$A$2)</f>
        <v>-08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4" s="31" t="e">
        <f>VLOOKUP(B44,'Train Runs'!$A$13:$A$99962,1,FALSE)</f>
        <v>#N/A</v>
      </c>
    </row>
    <row r="45" spans="1:10" x14ac:dyDescent="0.25">
      <c r="A45" s="167"/>
      <c r="B45" s="44" t="str">
        <f>A45&amp;"-"&amp;IF(DAY(Variables!$A$2)&lt;10,0,"")&amp;DAY(Variables!$A$2)</f>
        <v>-08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5" s="31" t="e">
        <f>VLOOKUP(B45,'Train Runs'!$A$13:$A$99962,1,FALSE)</f>
        <v>#N/A</v>
      </c>
    </row>
    <row r="46" spans="1:10" x14ac:dyDescent="0.25">
      <c r="A46" s="167"/>
      <c r="B46" s="44" t="str">
        <f>A46&amp;"-"&amp;IF(DAY(Variables!$A$2)&lt;10,0,"")&amp;DAY(Variables!$A$2)</f>
        <v>-08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6" s="31" t="e">
        <f>VLOOKUP(B46,'Train Runs'!$A$13:$A$99962,1,FALSE)</f>
        <v>#N/A</v>
      </c>
    </row>
    <row r="47" spans="1:10" x14ac:dyDescent="0.25">
      <c r="A47" s="167"/>
      <c r="B47" s="44" t="str">
        <f>A47&amp;"-"&amp;IF(DAY(Variables!$A$2)&lt;10,0,"")&amp;DAY(Variables!$A$2)</f>
        <v>-08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7" s="31" t="e">
        <f>VLOOKUP(B47,'Train Runs'!$A$13:$A$99962,1,FALSE)</f>
        <v>#N/A</v>
      </c>
    </row>
    <row r="48" spans="1:10" x14ac:dyDescent="0.25">
      <c r="A48" s="167"/>
      <c r="B48" s="44" t="str">
        <f>A48&amp;"-"&amp;IF(DAY(Variables!$A$2)&lt;10,0,"")&amp;DAY(Variables!$A$2)</f>
        <v>-08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8" s="31" t="e">
        <f>VLOOKUP(B48,'Train Runs'!$A$13:$A$99962,1,FALSE)</f>
        <v>#N/A</v>
      </c>
    </row>
    <row r="49" spans="1:10" x14ac:dyDescent="0.25">
      <c r="A49" s="167"/>
      <c r="B49" s="44" t="str">
        <f>A49&amp;"-"&amp;IF(DAY(Variables!$A$2)&lt;10,0,"")&amp;DAY(Variables!$A$2)</f>
        <v>-08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9" s="31" t="e">
        <f>VLOOKUP(B49,'Train Runs'!$A$13:$A$99962,1,FALSE)</f>
        <v>#N/A</v>
      </c>
    </row>
    <row r="50" spans="1:10" x14ac:dyDescent="0.25">
      <c r="A50" s="167"/>
      <c r="B50" s="44" t="str">
        <f>A50&amp;"-"&amp;IF(DAY(Variables!$A$2)&lt;10,0,"")&amp;DAY(Variables!$A$2)</f>
        <v>-08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0" s="31" t="e">
        <f>VLOOKUP(B50,'Train Runs'!$A$13:$A$99962,1,FALSE)</f>
        <v>#N/A</v>
      </c>
    </row>
    <row r="51" spans="1:10" x14ac:dyDescent="0.25">
      <c r="A51" s="167"/>
      <c r="B51" s="44" t="str">
        <f>A51&amp;"-"&amp;IF(DAY(Variables!$A$2)&lt;10,0,"")&amp;DAY(Variables!$A$2)</f>
        <v>-08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1" s="31" t="e">
        <f>VLOOKUP(B51,'Train Runs'!$A$13:$A$99962,1,FALSE)</f>
        <v>#N/A</v>
      </c>
    </row>
    <row r="52" spans="1:10" x14ac:dyDescent="0.25">
      <c r="A52" s="167"/>
      <c r="B52" s="44" t="str">
        <f>A52&amp;"-"&amp;IF(DAY(Variables!$A$2)&lt;10,0,"")&amp;DAY(Variables!$A$2)</f>
        <v>-08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2" s="31" t="e">
        <f>VLOOKUP(B52,'Train Runs'!$A$13:$A$99962,1,FALSE)</f>
        <v>#N/A</v>
      </c>
    </row>
    <row r="53" spans="1:10" x14ac:dyDescent="0.25">
      <c r="A53" s="167"/>
      <c r="B53" s="44" t="str">
        <f>A53&amp;"-"&amp;IF(DAY(Variables!$A$2)&lt;10,0,"")&amp;DAY(Variables!$A$2)</f>
        <v>-08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3" s="31" t="e">
        <f>VLOOKUP(B53,'Train Runs'!$A$13:$A$99962,1,FALSE)</f>
        <v>#N/A</v>
      </c>
    </row>
    <row r="54" spans="1:10" x14ac:dyDescent="0.25">
      <c r="A54" s="167"/>
      <c r="B54" s="44" t="str">
        <f>A54&amp;"-"&amp;IF(DAY(Variables!$A$2)&lt;10,0,"")&amp;DAY(Variables!$A$2)</f>
        <v>-08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4" s="31" t="e">
        <f>VLOOKUP(B54,'Train Runs'!$A$13:$A$99962,1,FALSE)</f>
        <v>#N/A</v>
      </c>
    </row>
    <row r="55" spans="1:10" x14ac:dyDescent="0.25">
      <c r="A55" s="167"/>
      <c r="B55" s="44" t="str">
        <f>A55&amp;"-"&amp;IF(DAY(Variables!$A$2)&lt;10,0,"")&amp;DAY(Variables!$A$2)</f>
        <v>-08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5" s="31" t="e">
        <f>VLOOKUP(B55,'Train Runs'!$A$13:$A$99962,1,FALSE)</f>
        <v>#N/A</v>
      </c>
    </row>
    <row r="56" spans="1:10" x14ac:dyDescent="0.25">
      <c r="A56" s="167"/>
      <c r="B56" s="44" t="str">
        <f>A56&amp;"-"&amp;IF(DAY(Variables!$A$2)&lt;10,0,"")&amp;DAY(Variables!$A$2)</f>
        <v>-08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6" s="31" t="e">
        <f>VLOOKUP(B56,'Train Runs'!$A$13:$A$99962,1,FALSE)</f>
        <v>#N/A</v>
      </c>
    </row>
    <row r="57" spans="1:10" x14ac:dyDescent="0.25">
      <c r="A57" s="167"/>
      <c r="B57" s="44" t="str">
        <f>A57&amp;"-"&amp;IF(DAY(Variables!$A$2)&lt;10,0,"")&amp;DAY(Variables!$A$2)</f>
        <v>-08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7" s="31" t="e">
        <f>VLOOKUP(B57,'Train Runs'!$A$13:$A$99962,1,FALSE)</f>
        <v>#N/A</v>
      </c>
    </row>
    <row r="58" spans="1:10" x14ac:dyDescent="0.25">
      <c r="A58" s="167"/>
      <c r="B58" s="44" t="str">
        <f>A58&amp;"-"&amp;IF(DAY(Variables!$A$2)&lt;10,0,"")&amp;DAY(Variables!$A$2)</f>
        <v>-08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8" s="31" t="e">
        <f>VLOOKUP(B58,'Train Runs'!$A$13:$A$99962,1,FALSE)</f>
        <v>#N/A</v>
      </c>
    </row>
    <row r="59" spans="1:10" x14ac:dyDescent="0.25">
      <c r="A59" s="167"/>
      <c r="B59" s="44" t="str">
        <f>A59&amp;"-"&amp;IF(DAY(Variables!$A$2)&lt;10,0,"")&amp;DAY(Variables!$A$2)</f>
        <v>-08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9" s="31" t="e">
        <f>VLOOKUP(B59,'Train Runs'!$A$13:$A$99962,1,FALSE)</f>
        <v>#N/A</v>
      </c>
    </row>
    <row r="60" spans="1:10" x14ac:dyDescent="0.25">
      <c r="A60" s="167"/>
      <c r="B60" s="44" t="str">
        <f>A60&amp;"-"&amp;IF(DAY(Variables!$A$2)&lt;10,0,"")&amp;DAY(Variables!$A$2)</f>
        <v>-08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0" s="31" t="e">
        <f>VLOOKUP(B60,'Train Runs'!$A$13:$A$99962,1,FALSE)</f>
        <v>#N/A</v>
      </c>
    </row>
    <row r="61" spans="1:10" x14ac:dyDescent="0.25">
      <c r="A61" s="167"/>
      <c r="B61" s="44" t="str">
        <f>A61&amp;"-"&amp;IF(DAY(Variables!$A$2)&lt;10,0,"")&amp;DAY(Variables!$A$2)</f>
        <v>-08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1" s="31" t="e">
        <f>VLOOKUP(B61,'Train Runs'!$A$13:$A$99962,1,FALSE)</f>
        <v>#N/A</v>
      </c>
    </row>
    <row r="62" spans="1:10" x14ac:dyDescent="0.25">
      <c r="A62" s="167"/>
      <c r="B62" s="44" t="str">
        <f>A62&amp;"-"&amp;IF(DAY(Variables!$A$2)&lt;10,0,"")&amp;DAY(Variables!$A$2)</f>
        <v>-08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2" s="31" t="e">
        <f>VLOOKUP(B62,'Train Runs'!$A$13:$A$99962,1,FALSE)</f>
        <v>#N/A</v>
      </c>
    </row>
    <row r="63" spans="1:10" x14ac:dyDescent="0.25">
      <c r="A63" s="167"/>
      <c r="B63" s="44" t="str">
        <f>A63&amp;"-"&amp;IF(DAY(Variables!$A$2)&lt;10,0,"")&amp;DAY(Variables!$A$2)</f>
        <v>-08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3" s="31" t="e">
        <f>VLOOKUP(B63,'Train Runs'!$A$13:$A$99962,1,FALSE)</f>
        <v>#N/A</v>
      </c>
    </row>
    <row r="64" spans="1:10" x14ac:dyDescent="0.25">
      <c r="A64" s="167"/>
      <c r="B64" s="44" t="str">
        <f>A64&amp;"-"&amp;IF(DAY(Variables!$A$2)&lt;10,0,"")&amp;DAY(Variables!$A$2)</f>
        <v>-08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4" s="31" t="e">
        <f>VLOOKUP(B64,'Train Runs'!$A$13:$A$99962,1,FALSE)</f>
        <v>#N/A</v>
      </c>
    </row>
    <row r="65" spans="1:10" x14ac:dyDescent="0.25">
      <c r="A65" s="167"/>
      <c r="B65" s="44" t="str">
        <f>A65&amp;"-"&amp;IF(DAY(Variables!$A$2)&lt;10,0,"")&amp;DAY(Variables!$A$2)</f>
        <v>-08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5" s="31" t="e">
        <f>VLOOKUP(B65,'Train Runs'!$A$13:$A$99962,1,FALSE)</f>
        <v>#N/A</v>
      </c>
    </row>
    <row r="66" spans="1:10" x14ac:dyDescent="0.25">
      <c r="A66" s="167"/>
      <c r="B66" s="44" t="str">
        <f>A66&amp;"-"&amp;IF(DAY(Variables!$A$2)&lt;10,0,"")&amp;DAY(Variables!$A$2)</f>
        <v>-08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6" s="31" t="e">
        <f>VLOOKUP(B66,'Train Runs'!$A$13:$A$99962,1,FALSE)</f>
        <v>#N/A</v>
      </c>
    </row>
    <row r="67" spans="1:10" x14ac:dyDescent="0.25">
      <c r="A67" s="167"/>
      <c r="B67" s="44" t="str">
        <f>A67&amp;"-"&amp;IF(DAY(Variables!$A$2)&lt;10,0,"")&amp;DAY(Variables!$A$2)</f>
        <v>-08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7" s="31" t="e">
        <f>VLOOKUP(B67,'Train Runs'!$A$13:$A$99962,1,FALSE)</f>
        <v>#N/A</v>
      </c>
    </row>
    <row r="68" spans="1:10" x14ac:dyDescent="0.25">
      <c r="A68" s="167"/>
      <c r="B68" s="44" t="str">
        <f>A68&amp;"-"&amp;IF(DAY(Variables!$A$2)&lt;10,0,"")&amp;DAY(Variables!$A$2)</f>
        <v>-08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8" s="31" t="e">
        <f>VLOOKUP(B68,'Train Runs'!$A$13:$A$99962,1,FALSE)</f>
        <v>#N/A</v>
      </c>
    </row>
    <row r="69" spans="1:10" x14ac:dyDescent="0.25">
      <c r="A69" s="167"/>
      <c r="B69" s="44" t="str">
        <f>A69&amp;"-"&amp;IF(DAY(Variables!$A$2)&lt;10,0,"")&amp;DAY(Variables!$A$2)</f>
        <v>-08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9" s="31" t="e">
        <f>VLOOKUP(B69,'Train Runs'!$A$13:$A$99962,1,FALSE)</f>
        <v>#N/A</v>
      </c>
    </row>
    <row r="70" spans="1:10" x14ac:dyDescent="0.25">
      <c r="A70" s="167"/>
      <c r="B70" s="44" t="str">
        <f>A70&amp;"-"&amp;IF(DAY(Variables!$A$2)&lt;10,0,"")&amp;DAY(Variables!$A$2)</f>
        <v>-08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0" s="31" t="e">
        <f>VLOOKUP(B70,'Train Runs'!$A$13:$A$99962,1,FALSE)</f>
        <v>#N/A</v>
      </c>
    </row>
    <row r="71" spans="1:10" x14ac:dyDescent="0.25">
      <c r="A71" s="167"/>
      <c r="B71" s="44" t="str">
        <f>A71&amp;"-"&amp;IF(DAY(Variables!$A$2)&lt;10,0,"")&amp;DAY(Variables!$A$2)</f>
        <v>-08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1" s="31" t="e">
        <f>VLOOKUP(B71,'Train Runs'!$A$13:$A$99962,1,FALSE)</f>
        <v>#N/A</v>
      </c>
    </row>
    <row r="72" spans="1:10" x14ac:dyDescent="0.25">
      <c r="A72" s="167"/>
      <c r="B72" s="44" t="str">
        <f>A72&amp;"-"&amp;IF(DAY(Variables!$A$2)&lt;10,0,"")&amp;DAY(Variables!$A$2)</f>
        <v>-08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2" s="31" t="e">
        <f>VLOOKUP(B72,'Train Runs'!$A$13:$A$99962,1,FALSE)</f>
        <v>#N/A</v>
      </c>
    </row>
    <row r="73" spans="1:10" x14ac:dyDescent="0.25">
      <c r="A73" s="167"/>
      <c r="B73" s="44" t="str">
        <f>A73&amp;"-"&amp;IF(DAY(Variables!$A$2)&lt;10,0,"")&amp;DAY(Variables!$A$2)</f>
        <v>-08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3" s="31" t="e">
        <f>VLOOKUP(B73,'Train Runs'!$A$13:$A$99962,1,FALSE)</f>
        <v>#N/A</v>
      </c>
    </row>
    <row r="74" spans="1:10" x14ac:dyDescent="0.25">
      <c r="A74" s="167"/>
      <c r="B74" s="44" t="str">
        <f>A74&amp;"-"&amp;IF(DAY(Variables!$A$2)&lt;10,0,"")&amp;DAY(Variables!$A$2)</f>
        <v>-08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4" s="31" t="e">
        <f>VLOOKUP(B74,'Train Runs'!$A$13:$A$99962,1,FALSE)</f>
        <v>#N/A</v>
      </c>
    </row>
    <row r="75" spans="1:10" x14ac:dyDescent="0.25">
      <c r="A75" s="167"/>
      <c r="B75" s="44" t="str">
        <f>A75&amp;"-"&amp;IF(DAY(Variables!$A$2)&lt;10,0,"")&amp;DAY(Variables!$A$2)</f>
        <v>-08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5" s="31" t="e">
        <f>VLOOKUP(B75,'Train Runs'!$A$13:$A$99962,1,FALSE)</f>
        <v>#N/A</v>
      </c>
    </row>
    <row r="76" spans="1:10" x14ac:dyDescent="0.25">
      <c r="A76" s="167"/>
      <c r="B76" s="44" t="str">
        <f>A76&amp;"-"&amp;IF(DAY(Variables!$A$2)&lt;10,0,"")&amp;DAY(Variables!$A$2)</f>
        <v>-08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6" s="31" t="e">
        <f>VLOOKUP(B76,'Train Runs'!$A$13:$A$99962,1,FALSE)</f>
        <v>#N/A</v>
      </c>
    </row>
    <row r="77" spans="1:10" x14ac:dyDescent="0.25">
      <c r="A77" s="167"/>
      <c r="B77" s="44" t="str">
        <f>A77&amp;"-"&amp;IF(DAY(Variables!$A$2)&lt;10,0,"")&amp;DAY(Variables!$A$2)</f>
        <v>-08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7" s="31" t="e">
        <f>VLOOKUP(B77,'Train Runs'!$A$13:$A$99962,1,FALSE)</f>
        <v>#N/A</v>
      </c>
    </row>
    <row r="78" spans="1:10" x14ac:dyDescent="0.25">
      <c r="A78" s="167"/>
      <c r="B78" s="44" t="str">
        <f>A78&amp;"-"&amp;IF(DAY(Variables!$A$2)&lt;10,0,"")&amp;DAY(Variables!$A$2)</f>
        <v>-08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8" s="31" t="e">
        <f>VLOOKUP(B78,'Train Runs'!$A$13:$A$99962,1,FALSE)</f>
        <v>#N/A</v>
      </c>
    </row>
    <row r="79" spans="1:10" x14ac:dyDescent="0.25">
      <c r="A79" s="167"/>
      <c r="B79" s="44" t="str">
        <f>A79&amp;"-"&amp;IF(DAY(Variables!$A$2)&lt;10,0,"")&amp;DAY(Variables!$A$2)</f>
        <v>-08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9" s="31" t="e">
        <f>VLOOKUP(B79,'Train Runs'!$A$13:$A$99962,1,FALSE)</f>
        <v>#N/A</v>
      </c>
    </row>
    <row r="80" spans="1:10" x14ac:dyDescent="0.25">
      <c r="A80" s="167"/>
      <c r="B80" s="44" t="str">
        <f>A80&amp;"-"&amp;IF(DAY(Variables!$A$2)&lt;10,0,"")&amp;DAY(Variables!$A$2)</f>
        <v>-08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0" s="31" t="e">
        <f>VLOOKUP(B80,'Train Runs'!$A$13:$A$99962,1,FALSE)</f>
        <v>#N/A</v>
      </c>
    </row>
    <row r="81" spans="1:10" x14ac:dyDescent="0.25">
      <c r="A81" s="167"/>
      <c r="B81" s="44" t="str">
        <f>A81&amp;"-"&amp;IF(DAY(Variables!$A$2)&lt;10,0,"")&amp;DAY(Variables!$A$2)</f>
        <v>-08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1" s="31" t="e">
        <f>VLOOKUP(B81,'Train Runs'!$A$13:$A$99962,1,FALSE)</f>
        <v>#N/A</v>
      </c>
    </row>
    <row r="82" spans="1:10" x14ac:dyDescent="0.25">
      <c r="A82" s="167"/>
      <c r="B82" s="44" t="str">
        <f>A82&amp;"-"&amp;IF(DAY(Variables!$A$2)&lt;10,0,"")&amp;DAY(Variables!$A$2)</f>
        <v>-08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2" s="31" t="e">
        <f>VLOOKUP(B82,'Train Runs'!$A$13:$A$99962,1,FALSE)</f>
        <v>#N/A</v>
      </c>
    </row>
    <row r="83" spans="1:10" x14ac:dyDescent="0.25">
      <c r="A83" s="167"/>
      <c r="B83" s="44" t="str">
        <f>A83&amp;"-"&amp;IF(DAY(Variables!$A$2)&lt;10,0,"")&amp;DAY(Variables!$A$2)</f>
        <v>-08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3" s="31" t="e">
        <f>VLOOKUP(B83,'Train Runs'!$A$13:$A$99962,1,FALSE)</f>
        <v>#N/A</v>
      </c>
    </row>
    <row r="84" spans="1:10" x14ac:dyDescent="0.25">
      <c r="A84" s="167"/>
      <c r="B84" s="44" t="str">
        <f>A84&amp;"-"&amp;IF(DAY(Variables!$A$2)&lt;10,0,"")&amp;DAY(Variables!$A$2)</f>
        <v>-08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4" s="31" t="e">
        <f>VLOOKUP(B84,'Train Runs'!$A$13:$A$99962,1,FALSE)</f>
        <v>#N/A</v>
      </c>
    </row>
    <row r="85" spans="1:10" x14ac:dyDescent="0.25">
      <c r="A85" s="167"/>
      <c r="B85" s="44" t="str">
        <f>A85&amp;"-"&amp;IF(DAY(Variables!$A$2)&lt;10,0,"")&amp;DAY(Variables!$A$2)</f>
        <v>-08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5" s="31" t="e">
        <f>VLOOKUP(B85,'Train Runs'!$A$13:$A$99962,1,FALSE)</f>
        <v>#N/A</v>
      </c>
    </row>
    <row r="86" spans="1:10" x14ac:dyDescent="0.25">
      <c r="A86" s="167"/>
      <c r="B86" s="44" t="str">
        <f>A86&amp;"-"&amp;IF(DAY(Variables!$A$2)&lt;10,0,"")&amp;DAY(Variables!$A$2)</f>
        <v>-08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6" s="31" t="e">
        <f>VLOOKUP(B86,'Train Runs'!$A$13:$A$99962,1,FALSE)</f>
        <v>#N/A</v>
      </c>
    </row>
    <row r="87" spans="1:10" x14ac:dyDescent="0.25">
      <c r="A87" s="167"/>
      <c r="B87" s="44" t="str">
        <f>A87&amp;"-"&amp;IF(DAY(Variables!$A$2)&lt;10,0,"")&amp;DAY(Variables!$A$2)</f>
        <v>-08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7" s="31" t="e">
        <f>VLOOKUP(B87,'Train Runs'!$A$13:$A$99962,1,FALSE)</f>
        <v>#N/A</v>
      </c>
    </row>
    <row r="88" spans="1:10" x14ac:dyDescent="0.25">
      <c r="A88" s="167"/>
      <c r="B88" s="44" t="str">
        <f>A88&amp;"-"&amp;IF(DAY(Variables!$A$2)&lt;10,0,"")&amp;DAY(Variables!$A$2)</f>
        <v>-08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8" s="31" t="e">
        <f>VLOOKUP(B88,'Train Runs'!$A$13:$A$99962,1,FALSE)</f>
        <v>#N/A</v>
      </c>
    </row>
    <row r="89" spans="1:10" x14ac:dyDescent="0.25">
      <c r="A89" s="167"/>
      <c r="B89" s="44" t="str">
        <f>A89&amp;"-"&amp;IF(DAY(Variables!$A$2)&lt;10,0,"")&amp;DAY(Variables!$A$2)</f>
        <v>-08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9" s="31" t="e">
        <f>VLOOKUP(B89,'Train Runs'!$A$13:$A$99962,1,FALSE)</f>
        <v>#N/A</v>
      </c>
    </row>
    <row r="90" spans="1:10" x14ac:dyDescent="0.25">
      <c r="A90" s="167"/>
      <c r="B90" s="44" t="str">
        <f>A90&amp;"-"&amp;IF(DAY(Variables!$A$2)&lt;10,0,"")&amp;DAY(Variables!$A$2)</f>
        <v>-08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0" s="31" t="e">
        <f>VLOOKUP(B90,'Train Runs'!$A$13:$A$99962,1,FALSE)</f>
        <v>#N/A</v>
      </c>
    </row>
    <row r="91" spans="1:10" x14ac:dyDescent="0.25">
      <c r="A91" s="167"/>
      <c r="B91" s="44" t="str">
        <f>A91&amp;"-"&amp;IF(DAY(Variables!$A$2)&lt;10,0,"")&amp;DAY(Variables!$A$2)</f>
        <v>-08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1" s="31" t="e">
        <f>VLOOKUP(B91,'Train Runs'!$A$13:$A$99962,1,FALSE)</f>
        <v>#N/A</v>
      </c>
    </row>
    <row r="92" spans="1:10" x14ac:dyDescent="0.25">
      <c r="A92" s="167"/>
      <c r="B92" s="44" t="str">
        <f>A92&amp;"-"&amp;IF(DAY(Variables!$A$2)&lt;10,0,"")&amp;DAY(Variables!$A$2)</f>
        <v>-08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2" s="31" t="e">
        <f>VLOOKUP(B92,'Train Runs'!$A$13:$A$99962,1,FALSE)</f>
        <v>#N/A</v>
      </c>
    </row>
    <row r="93" spans="1:10" x14ac:dyDescent="0.25">
      <c r="A93" s="167"/>
      <c r="B93" s="44" t="str">
        <f>A93&amp;"-"&amp;IF(DAY(Variables!$A$2)&lt;10,0,"")&amp;DAY(Variables!$A$2)</f>
        <v>-08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3" s="31" t="e">
        <f>VLOOKUP(B93,'Train Runs'!$A$13:$A$99962,1,FALSE)</f>
        <v>#N/A</v>
      </c>
    </row>
    <row r="94" spans="1:10" x14ac:dyDescent="0.25">
      <c r="A94" s="167"/>
      <c r="B94" s="44" t="str">
        <f>A94&amp;"-"&amp;IF(DAY(Variables!$A$2)&lt;10,0,"")&amp;DAY(Variables!$A$2)</f>
        <v>-08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4" s="31" t="e">
        <f>VLOOKUP(B94,'Train Runs'!$A$13:$A$99962,1,FALSE)</f>
        <v>#N/A</v>
      </c>
    </row>
    <row r="95" spans="1:10" x14ac:dyDescent="0.25">
      <c r="A95" s="167"/>
      <c r="B95" s="44" t="str">
        <f>A95&amp;"-"&amp;IF(DAY(Variables!$A$2)&lt;10,0,"")&amp;DAY(Variables!$A$2)</f>
        <v>-08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5" s="31" t="e">
        <f>VLOOKUP(B95,'Train Runs'!$A$13:$A$99962,1,FALSE)</f>
        <v>#N/A</v>
      </c>
    </row>
    <row r="96" spans="1:10" x14ac:dyDescent="0.25">
      <c r="A96" s="167"/>
      <c r="B96" s="44" t="str">
        <f>A96&amp;"-"&amp;IF(DAY(Variables!$A$2)&lt;10,0,"")&amp;DAY(Variables!$A$2)</f>
        <v>-08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ref="I96:I146" si="4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96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6" s="31" t="e">
        <f>VLOOKUP(B96,'Train Runs'!$A$13:$A$99962,1,FALSE)</f>
        <v>#N/A</v>
      </c>
    </row>
    <row r="97" spans="1:10" x14ac:dyDescent="0.25">
      <c r="A97" s="167"/>
      <c r="B97" s="44" t="str">
        <f>A97&amp;"-"&amp;IF(DAY(Variables!$A$2)&lt;10,0,"")&amp;DAY(Variables!$A$2)</f>
        <v>-08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7" s="31" t="e">
        <f>VLOOKUP(B97,'Train Runs'!$A$13:$A$99962,1,FALSE)</f>
        <v>#N/A</v>
      </c>
    </row>
    <row r="98" spans="1:10" x14ac:dyDescent="0.25">
      <c r="A98" s="167"/>
      <c r="B98" s="44" t="str">
        <f>A98&amp;"-"&amp;IF(DAY(Variables!$A$2)&lt;10,0,"")&amp;DAY(Variables!$A$2)</f>
        <v>-08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8" s="31" t="e">
        <f>VLOOKUP(B98,'Train Runs'!$A$13:$A$99962,1,FALSE)</f>
        <v>#N/A</v>
      </c>
    </row>
    <row r="99" spans="1:10" x14ac:dyDescent="0.25">
      <c r="A99" s="167"/>
      <c r="B99" s="44" t="str">
        <f>A99&amp;"-"&amp;IF(DAY(Variables!$A$2)&lt;10,0,"")&amp;DAY(Variables!$A$2)</f>
        <v>-08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9" s="31" t="e">
        <f>VLOOKUP(B99,'Train Runs'!$A$13:$A$99962,1,FALSE)</f>
        <v>#N/A</v>
      </c>
    </row>
    <row r="100" spans="1:10" x14ac:dyDescent="0.25">
      <c r="A100" s="167"/>
      <c r="B100" s="44" t="str">
        <f>A100&amp;"-"&amp;IF(DAY(Variables!$A$2)&lt;10,0,"")&amp;DAY(Variables!$A$2)</f>
        <v>-08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0" s="31" t="e">
        <f>VLOOKUP(B100,'Train Runs'!$A$13:$A$99962,1,FALSE)</f>
        <v>#N/A</v>
      </c>
    </row>
    <row r="101" spans="1:10" x14ac:dyDescent="0.25">
      <c r="A101" s="167"/>
      <c r="B101" s="44" t="str">
        <f>A101&amp;"-"&amp;IF(DAY(Variables!$A$2)&lt;10,0,"")&amp;DAY(Variables!$A$2)</f>
        <v>-08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1" s="31" t="e">
        <f>VLOOKUP(B101,'Train Runs'!$A$13:$A$99962,1,FALSE)</f>
        <v>#N/A</v>
      </c>
    </row>
    <row r="102" spans="1:10" x14ac:dyDescent="0.25">
      <c r="A102" s="167"/>
      <c r="B102" s="44" t="str">
        <f>A102&amp;"-"&amp;IF(DAY(Variables!$A$2)&lt;10,0,"")&amp;DAY(Variables!$A$2)</f>
        <v>-08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2" s="31" t="e">
        <f>VLOOKUP(B102,'Train Runs'!$A$13:$A$99962,1,FALSE)</f>
        <v>#N/A</v>
      </c>
    </row>
    <row r="103" spans="1:10" x14ac:dyDescent="0.25">
      <c r="A103" s="167"/>
      <c r="B103" s="44" t="str">
        <f>A103&amp;"-"&amp;IF(DAY(Variables!$A$2)&lt;10,0,"")&amp;DAY(Variables!$A$2)</f>
        <v>-08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3" s="31" t="e">
        <f>VLOOKUP(B103,'Train Runs'!$A$13:$A$99962,1,FALSE)</f>
        <v>#N/A</v>
      </c>
    </row>
    <row r="104" spans="1:10" x14ac:dyDescent="0.25">
      <c r="A104" s="167"/>
      <c r="B104" s="44" t="str">
        <f>A104&amp;"-"&amp;IF(DAY(Variables!$A$2)&lt;10,0,"")&amp;DAY(Variables!$A$2)</f>
        <v>-08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4" s="31" t="e">
        <f>VLOOKUP(B104,'Train Runs'!$A$13:$A$99962,1,FALSE)</f>
        <v>#N/A</v>
      </c>
    </row>
    <row r="105" spans="1:10" x14ac:dyDescent="0.25">
      <c r="A105" s="167"/>
      <c r="B105" s="44" t="str">
        <f>A105&amp;"-"&amp;IF(DAY(Variables!$A$2)&lt;10,0,"")&amp;DAY(Variables!$A$2)</f>
        <v>-08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5" s="31" t="e">
        <f>VLOOKUP(B105,'Train Runs'!$A$13:$A$99962,1,FALSE)</f>
        <v>#N/A</v>
      </c>
    </row>
    <row r="106" spans="1:10" x14ac:dyDescent="0.25">
      <c r="A106" s="167"/>
      <c r="B106" s="44" t="str">
        <f>A106&amp;"-"&amp;IF(DAY(Variables!$A$2)&lt;10,0,"")&amp;DAY(Variables!$A$2)</f>
        <v>-08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6" s="31" t="e">
        <f>VLOOKUP(B106,'Train Runs'!$A$13:$A$99962,1,FALSE)</f>
        <v>#N/A</v>
      </c>
    </row>
    <row r="107" spans="1:10" x14ac:dyDescent="0.25">
      <c r="A107" s="167"/>
      <c r="B107" s="44" t="str">
        <f>A107&amp;"-"&amp;IF(DAY(Variables!$A$2)&lt;10,0,"")&amp;DAY(Variables!$A$2)</f>
        <v>-08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7" s="31" t="e">
        <f>VLOOKUP(B107,'Train Runs'!$A$13:$A$99962,1,FALSE)</f>
        <v>#N/A</v>
      </c>
    </row>
    <row r="108" spans="1:10" x14ac:dyDescent="0.25">
      <c r="A108" s="167"/>
      <c r="B108" s="44" t="str">
        <f>A108&amp;"-"&amp;IF(DAY(Variables!$A$2)&lt;10,0,"")&amp;DAY(Variables!$A$2)</f>
        <v>-08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8" s="31" t="e">
        <f>VLOOKUP(B108,'Train Runs'!$A$13:$A$99962,1,FALSE)</f>
        <v>#N/A</v>
      </c>
    </row>
    <row r="109" spans="1:10" x14ac:dyDescent="0.25">
      <c r="A109" s="167"/>
      <c r="B109" s="44" t="str">
        <f>A109&amp;"-"&amp;IF(DAY(Variables!$A$2)&lt;10,0,"")&amp;DAY(Variables!$A$2)</f>
        <v>-08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09" s="31" t="e">
        <f>VLOOKUP(B109,'Train Runs'!$A$13:$A$99962,1,FALSE)</f>
        <v>#N/A</v>
      </c>
    </row>
    <row r="110" spans="1:10" x14ac:dyDescent="0.25">
      <c r="A110" s="167"/>
      <c r="B110" s="44" t="str">
        <f>A110&amp;"-"&amp;IF(DAY(Variables!$A$2)&lt;10,0,"")&amp;DAY(Variables!$A$2)</f>
        <v>-08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0" s="31" t="e">
        <f>VLOOKUP(B110,'Train Runs'!$A$13:$A$99962,1,FALSE)</f>
        <v>#N/A</v>
      </c>
    </row>
    <row r="111" spans="1:10" x14ac:dyDescent="0.25">
      <c r="A111" s="167"/>
      <c r="B111" s="44" t="str">
        <f>A111&amp;"-"&amp;IF(DAY(Variables!$A$2)&lt;10,0,"")&amp;DAY(Variables!$A$2)</f>
        <v>-08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1" s="31" t="e">
        <f>VLOOKUP(B111,'Train Runs'!$A$13:$A$99962,1,FALSE)</f>
        <v>#N/A</v>
      </c>
    </row>
    <row r="112" spans="1:10" x14ac:dyDescent="0.25">
      <c r="A112" s="167"/>
      <c r="B112" s="44" t="str">
        <f>A112&amp;"-"&amp;IF(DAY(Variables!$A$2)&lt;10,0,"")&amp;DAY(Variables!$A$2)</f>
        <v>-08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2" s="31" t="e">
        <f>VLOOKUP(B112,'Train Runs'!$A$13:$A$99962,1,FALSE)</f>
        <v>#N/A</v>
      </c>
    </row>
    <row r="113" spans="1:10" x14ac:dyDescent="0.25">
      <c r="A113" s="167"/>
      <c r="B113" s="44" t="str">
        <f>A113&amp;"-"&amp;IF(DAY(Variables!$A$2)&lt;10,0,"")&amp;DAY(Variables!$A$2)</f>
        <v>-08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3" s="31" t="e">
        <f>VLOOKUP(B113,'Train Runs'!$A$13:$A$99962,1,FALSE)</f>
        <v>#N/A</v>
      </c>
    </row>
    <row r="114" spans="1:10" x14ac:dyDescent="0.25">
      <c r="A114" s="167"/>
      <c r="B114" s="44" t="str">
        <f>A114&amp;"-"&amp;IF(DAY(Variables!$A$2)&lt;10,0,"")&amp;DAY(Variables!$A$2)</f>
        <v>-08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4" s="31" t="e">
        <f>VLOOKUP(B114,'Train Runs'!$A$13:$A$99962,1,FALSE)</f>
        <v>#N/A</v>
      </c>
    </row>
    <row r="115" spans="1:10" x14ac:dyDescent="0.25">
      <c r="A115" s="167"/>
      <c r="B115" s="44" t="str">
        <f>A115&amp;"-"&amp;IF(DAY(Variables!$A$2)&lt;10,0,"")&amp;DAY(Variables!$A$2)</f>
        <v>-08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5" s="31" t="e">
        <f>VLOOKUP(B115,'Train Runs'!$A$13:$A$99962,1,FALSE)</f>
        <v>#N/A</v>
      </c>
    </row>
    <row r="116" spans="1:10" x14ac:dyDescent="0.25">
      <c r="A116" s="167"/>
      <c r="B116" s="44" t="str">
        <f>A116&amp;"-"&amp;IF(DAY(Variables!$A$2)&lt;10,0,"")&amp;DAY(Variables!$A$2)</f>
        <v>-08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6" s="31" t="e">
        <f>VLOOKUP(B116,'Train Runs'!$A$13:$A$99962,1,FALSE)</f>
        <v>#N/A</v>
      </c>
    </row>
    <row r="117" spans="1:10" x14ac:dyDescent="0.25">
      <c r="A117" s="167"/>
      <c r="B117" s="44" t="str">
        <f>A117&amp;"-"&amp;IF(DAY(Variables!$A$2)&lt;10,0,"")&amp;DAY(Variables!$A$2)</f>
        <v>-08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7" s="31" t="e">
        <f>VLOOKUP(B117,'Train Runs'!$A$13:$A$99962,1,FALSE)</f>
        <v>#N/A</v>
      </c>
    </row>
    <row r="118" spans="1:10" x14ac:dyDescent="0.25">
      <c r="A118" s="167"/>
      <c r="B118" s="44" t="str">
        <f>A118&amp;"-"&amp;IF(DAY(Variables!$A$2)&lt;10,0,"")&amp;DAY(Variables!$A$2)</f>
        <v>-08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8" s="31" t="e">
        <f>VLOOKUP(B118,'Train Runs'!$A$13:$A$99962,1,FALSE)</f>
        <v>#N/A</v>
      </c>
    </row>
    <row r="119" spans="1:10" x14ac:dyDescent="0.25">
      <c r="A119" s="167"/>
      <c r="B119" s="44" t="str">
        <f>A119&amp;"-"&amp;IF(DAY(Variables!$A$2)&lt;10,0,"")&amp;DAY(Variables!$A$2)</f>
        <v>-08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19" s="31" t="e">
        <f>VLOOKUP(B119,'Train Runs'!$A$13:$A$99962,1,FALSE)</f>
        <v>#N/A</v>
      </c>
    </row>
    <row r="120" spans="1:10" x14ac:dyDescent="0.25">
      <c r="A120" s="167"/>
      <c r="B120" s="44" t="str">
        <f>A120&amp;"-"&amp;IF(DAY(Variables!$A$2)&lt;10,0,"")&amp;DAY(Variables!$A$2)</f>
        <v>-08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0" s="31" t="e">
        <f>VLOOKUP(B120,'Train Runs'!$A$13:$A$99962,1,FALSE)</f>
        <v>#N/A</v>
      </c>
    </row>
    <row r="121" spans="1:10" x14ac:dyDescent="0.25">
      <c r="A121" s="167"/>
      <c r="B121" s="44" t="str">
        <f>A121&amp;"-"&amp;IF(DAY(Variables!$A$2)&lt;10,0,"")&amp;DAY(Variables!$A$2)</f>
        <v>-08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1" s="31" t="e">
        <f>VLOOKUP(B121,'Train Runs'!$A$13:$A$99962,1,FALSE)</f>
        <v>#N/A</v>
      </c>
    </row>
    <row r="122" spans="1:10" x14ac:dyDescent="0.25">
      <c r="A122" s="167"/>
      <c r="B122" s="44" t="str">
        <f>A122&amp;"-"&amp;IF(DAY(Variables!$A$2)&lt;10,0,"")&amp;DAY(Variables!$A$2)</f>
        <v>-08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2" s="31" t="e">
        <f>VLOOKUP(B122,'Train Runs'!$A$13:$A$99962,1,FALSE)</f>
        <v>#N/A</v>
      </c>
    </row>
    <row r="123" spans="1:10" x14ac:dyDescent="0.25">
      <c r="A123" s="167"/>
      <c r="B123" s="44" t="str">
        <f>A123&amp;"-"&amp;IF(DAY(Variables!$A$2)&lt;10,0,"")&amp;DAY(Variables!$A$2)</f>
        <v>-08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3" s="31" t="e">
        <f>VLOOKUP(B123,'Train Runs'!$A$13:$A$99962,1,FALSE)</f>
        <v>#N/A</v>
      </c>
    </row>
    <row r="124" spans="1:10" x14ac:dyDescent="0.25">
      <c r="A124" s="167"/>
      <c r="B124" s="44" t="str">
        <f>A124&amp;"-"&amp;IF(DAY(Variables!$A$2)&lt;10,0,"")&amp;DAY(Variables!$A$2)</f>
        <v>-08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4" s="31" t="e">
        <f>VLOOKUP(B124,'Train Runs'!$A$13:$A$99962,1,FALSE)</f>
        <v>#N/A</v>
      </c>
    </row>
    <row r="125" spans="1:10" x14ac:dyDescent="0.25">
      <c r="A125" s="167"/>
      <c r="B125" s="44" t="str">
        <f>A125&amp;"-"&amp;IF(DAY(Variables!$A$2)&lt;10,0,"")&amp;DAY(Variables!$A$2)</f>
        <v>-08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5" s="31" t="e">
        <f>VLOOKUP(B125,'Train Runs'!$A$13:$A$99962,1,FALSE)</f>
        <v>#N/A</v>
      </c>
    </row>
    <row r="126" spans="1:10" x14ac:dyDescent="0.25">
      <c r="A126" s="167"/>
      <c r="B126" s="44" t="str">
        <f>A126&amp;"-"&amp;IF(DAY(Variables!$A$2)&lt;10,0,"")&amp;DAY(Variables!$A$2)</f>
        <v>-08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6" s="31" t="e">
        <f>VLOOKUP(B126,'Train Runs'!$A$13:$A$99962,1,FALSE)</f>
        <v>#N/A</v>
      </c>
    </row>
    <row r="127" spans="1:10" x14ac:dyDescent="0.25">
      <c r="A127" s="167"/>
      <c r="B127" s="44" t="str">
        <f>A127&amp;"-"&amp;IF(DAY(Variables!$A$2)&lt;10,0,"")&amp;DAY(Variables!$A$2)</f>
        <v>-08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7" s="31" t="e">
        <f>VLOOKUP(B127,'Train Runs'!$A$13:$A$99962,1,FALSE)</f>
        <v>#N/A</v>
      </c>
    </row>
    <row r="128" spans="1:10" x14ac:dyDescent="0.25">
      <c r="A128" s="167"/>
      <c r="B128" s="44" t="str">
        <f>A128&amp;"-"&amp;IF(DAY(Variables!$A$2)&lt;10,0,"")&amp;DAY(Variables!$A$2)</f>
        <v>-08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8" s="31" t="e">
        <f>VLOOKUP(B128,'Train Runs'!$A$13:$A$99962,1,FALSE)</f>
        <v>#N/A</v>
      </c>
    </row>
    <row r="129" spans="1:10" x14ac:dyDescent="0.25">
      <c r="A129" s="167"/>
      <c r="B129" s="44" t="str">
        <f>A129&amp;"-"&amp;IF(DAY(Variables!$A$2)&lt;10,0,"")&amp;DAY(Variables!$A$2)</f>
        <v>-08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29" s="31" t="e">
        <f>VLOOKUP(B129,'Train Runs'!$A$13:$A$99962,1,FALSE)</f>
        <v>#N/A</v>
      </c>
    </row>
    <row r="130" spans="1:10" x14ac:dyDescent="0.25">
      <c r="A130" s="167"/>
      <c r="B130" s="44" t="str">
        <f>A130&amp;"-"&amp;IF(DAY(Variables!$A$2)&lt;10,0,"")&amp;DAY(Variables!$A$2)</f>
        <v>-08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0" s="31" t="e">
        <f>VLOOKUP(B130,'Train Runs'!$A$13:$A$99962,1,FALSE)</f>
        <v>#N/A</v>
      </c>
    </row>
    <row r="131" spans="1:10" x14ac:dyDescent="0.25">
      <c r="A131" s="167"/>
      <c r="B131" s="44" t="str">
        <f>A131&amp;"-"&amp;IF(DAY(Variables!$A$2)&lt;10,0,"")&amp;DAY(Variables!$A$2)</f>
        <v>-08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1" s="31" t="e">
        <f>VLOOKUP(B131,'Train Runs'!$A$13:$A$99962,1,FALSE)</f>
        <v>#N/A</v>
      </c>
    </row>
    <row r="132" spans="1:10" x14ac:dyDescent="0.25">
      <c r="A132" s="167"/>
      <c r="B132" s="44" t="str">
        <f>A132&amp;"-"&amp;IF(DAY(Variables!$A$2)&lt;10,0,"")&amp;DAY(Variables!$A$2)</f>
        <v>-08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2" s="31" t="e">
        <f>VLOOKUP(B132,'Train Runs'!$A$13:$A$99962,1,FALSE)</f>
        <v>#N/A</v>
      </c>
    </row>
    <row r="133" spans="1:10" x14ac:dyDescent="0.25">
      <c r="A133" s="167"/>
      <c r="B133" s="44" t="str">
        <f>A133&amp;"-"&amp;IF(DAY(Variables!$A$2)&lt;10,0,"")&amp;DAY(Variables!$A$2)</f>
        <v>-08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3" s="31" t="e">
        <f>VLOOKUP(B133,'Train Runs'!$A$13:$A$99962,1,FALSE)</f>
        <v>#N/A</v>
      </c>
    </row>
    <row r="134" spans="1:10" x14ac:dyDescent="0.25">
      <c r="A134" s="167"/>
      <c r="B134" s="44" t="str">
        <f>A134&amp;"-"&amp;IF(DAY(Variables!$A$2)&lt;10,0,"")&amp;DAY(Variables!$A$2)</f>
        <v>-08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4" s="31" t="e">
        <f>VLOOKUP(B134,'Train Runs'!$A$13:$A$99962,1,FALSE)</f>
        <v>#N/A</v>
      </c>
    </row>
    <row r="135" spans="1:10" x14ac:dyDescent="0.25">
      <c r="A135" s="167"/>
      <c r="B135" s="44" t="str">
        <f>A135&amp;"-"&amp;IF(DAY(Variables!$A$2)&lt;10,0,"")&amp;DAY(Variables!$A$2)</f>
        <v>-08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5" s="31" t="e">
        <f>VLOOKUP(B135,'Train Runs'!$A$13:$A$99962,1,FALSE)</f>
        <v>#N/A</v>
      </c>
    </row>
    <row r="136" spans="1:10" x14ac:dyDescent="0.25">
      <c r="A136" s="167"/>
      <c r="B136" s="44" t="str">
        <f>A136&amp;"-"&amp;IF(DAY(Variables!$A$2)&lt;10,0,"")&amp;DAY(Variables!$A$2)</f>
        <v>-08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6" s="31" t="e">
        <f>VLOOKUP(B136,'Train Runs'!$A$13:$A$99962,1,FALSE)</f>
        <v>#N/A</v>
      </c>
    </row>
    <row r="137" spans="1:10" x14ac:dyDescent="0.25">
      <c r="A137" s="167"/>
      <c r="B137" s="44" t="str">
        <f>A137&amp;"-"&amp;IF(DAY(Variables!$A$2)&lt;10,0,"")&amp;DAY(Variables!$A$2)</f>
        <v>-08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7" s="31" t="e">
        <f>VLOOKUP(B137,'Train Runs'!$A$13:$A$99962,1,FALSE)</f>
        <v>#N/A</v>
      </c>
    </row>
    <row r="138" spans="1:10" x14ac:dyDescent="0.25">
      <c r="A138" s="167"/>
      <c r="B138" s="44" t="str">
        <f>A138&amp;"-"&amp;IF(DAY(Variables!$A$2)&lt;10,0,"")&amp;DAY(Variables!$A$2)</f>
        <v>-08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8" s="31" t="e">
        <f>VLOOKUP(B138,'Train Runs'!$A$13:$A$99962,1,FALSE)</f>
        <v>#N/A</v>
      </c>
    </row>
    <row r="139" spans="1:10" x14ac:dyDescent="0.25">
      <c r="A139" s="167"/>
      <c r="B139" s="44" t="str">
        <f>A139&amp;"-"&amp;IF(DAY(Variables!$A$2)&lt;10,0,"")&amp;DAY(Variables!$A$2)</f>
        <v>-08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39" s="31" t="e">
        <f>VLOOKUP(B139,'Train Runs'!$A$13:$A$99962,1,FALSE)</f>
        <v>#N/A</v>
      </c>
    </row>
    <row r="140" spans="1:10" x14ac:dyDescent="0.25">
      <c r="A140" s="167"/>
      <c r="B140" s="44" t="str">
        <f>A140&amp;"-"&amp;IF(DAY(Variables!$A$2)&lt;10,0,"")&amp;DAY(Variables!$A$2)</f>
        <v>-08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0" s="31" t="e">
        <f>VLOOKUP(B140,'Train Runs'!$A$13:$A$99962,1,FALSE)</f>
        <v>#N/A</v>
      </c>
    </row>
    <row r="141" spans="1:10" x14ac:dyDescent="0.25">
      <c r="A141" s="167"/>
      <c r="B141" s="44" t="str">
        <f>A141&amp;"-"&amp;IF(DAY(Variables!$A$2)&lt;10,0,"")&amp;DAY(Variables!$A$2)</f>
        <v>-08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1" s="31" t="e">
        <f>VLOOKUP(B141,'Train Runs'!$A$13:$A$99962,1,FALSE)</f>
        <v>#N/A</v>
      </c>
    </row>
    <row r="142" spans="1:10" x14ac:dyDescent="0.25">
      <c r="A142" s="167"/>
      <c r="B142" s="44" t="str">
        <f>A142&amp;"-"&amp;IF(DAY(Variables!$A$2)&lt;10,0,"")&amp;DAY(Variables!$A$2)</f>
        <v>-08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2" s="31" t="e">
        <f>VLOOKUP(B142,'Train Runs'!$A$13:$A$99962,1,FALSE)</f>
        <v>#N/A</v>
      </c>
    </row>
    <row r="143" spans="1:10" x14ac:dyDescent="0.25">
      <c r="A143" s="167"/>
      <c r="B143" s="44" t="str">
        <f>A143&amp;"-"&amp;IF(DAY(Variables!$A$2)&lt;10,0,"")&amp;DAY(Variables!$A$2)</f>
        <v>-08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3" s="31" t="e">
        <f>VLOOKUP(B143,'Train Runs'!$A$13:$A$99962,1,FALSE)</f>
        <v>#N/A</v>
      </c>
    </row>
    <row r="144" spans="1:10" x14ac:dyDescent="0.25">
      <c r="A144" s="167"/>
      <c r="B144" s="44" t="str">
        <f>A144&amp;"-"&amp;IF(DAY(Variables!$A$2)&lt;10,0,"")&amp;DAY(Variables!$A$2)</f>
        <v>-08</v>
      </c>
      <c r="C144" s="154"/>
      <c r="D144" s="159"/>
      <c r="E144" s="31"/>
      <c r="F144" s="22" t="e">
        <f>VLOOKUP(B144,'Trips&amp;Operators'!$C$2:$E$10000,3,FALSE)</f>
        <v>#N/A</v>
      </c>
      <c r="G144" s="22" t="e">
        <f>VLOOKUP(B144,'Trips&amp;Operators'!$C$1:$F$10000,4,FALSE)</f>
        <v>#N/A</v>
      </c>
      <c r="H144" s="30" t="e">
        <f>VLOOKUP(B144,'Trips&amp;Operators'!$C$1:$H$10000,5,FALSE)</f>
        <v>#N/A</v>
      </c>
      <c r="I144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4" s="31" t="e">
        <f>VLOOKUP(B144,'Train Runs'!$A$13:$A$99962,1,FALSE)</f>
        <v>#N/A</v>
      </c>
    </row>
    <row r="145" spans="1:10" x14ac:dyDescent="0.25">
      <c r="A145" s="167"/>
      <c r="B145" s="44" t="str">
        <f>A145&amp;"-"&amp;IF(DAY(Variables!$A$2)&lt;10,0,"")&amp;DAY(Variables!$A$2)</f>
        <v>-08</v>
      </c>
      <c r="C145" s="154"/>
      <c r="D145" s="159"/>
      <c r="E145" s="31"/>
      <c r="F145" s="22" t="e">
        <f>VLOOKUP(B145,'Trips&amp;Operators'!$C$2:$E$10000,3,FALSE)</f>
        <v>#N/A</v>
      </c>
      <c r="G145" s="22" t="e">
        <f>VLOOKUP(B145,'Trips&amp;Operators'!$C$1:$F$10000,4,FALSE)</f>
        <v>#N/A</v>
      </c>
      <c r="H145" s="30" t="e">
        <f>VLOOKUP(B145,'Trips&amp;Operators'!$C$1:$H$10000,5,FALSE)</f>
        <v>#N/A</v>
      </c>
      <c r="I145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5" s="31" t="e">
        <f>VLOOKUP(B145,'Train Runs'!$A$13:$A$99962,1,FALSE)</f>
        <v>#N/A</v>
      </c>
    </row>
    <row r="146" spans="1:10" x14ac:dyDescent="0.25">
      <c r="A146" s="167"/>
      <c r="B146" s="44" t="str">
        <f>A146&amp;"-"&amp;IF(DAY(Variables!$A$2)&lt;10,0,"")&amp;DAY(Variables!$A$2)</f>
        <v>-08</v>
      </c>
      <c r="C146" s="154"/>
      <c r="D146" s="159"/>
      <c r="E146" s="31"/>
      <c r="F146" s="22" t="e">
        <f>VLOOKUP(B146,'Trips&amp;Operators'!$C$2:$E$10000,3,FALSE)</f>
        <v>#N/A</v>
      </c>
      <c r="G146" s="22" t="e">
        <f>VLOOKUP(B146,'Trips&amp;Operators'!$C$1:$F$10000,4,FALSE)</f>
        <v>#N/A</v>
      </c>
      <c r="H146" s="30" t="e">
        <f>VLOOKUP(B146,'Trips&amp;Operators'!$C$1:$H$10000,5,FALSE)</f>
        <v>#N/A</v>
      </c>
      <c r="I146" s="47" t="str">
        <f t="shared" si="4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146" s="31" t="e">
        <f>VLOOKUP(B146,'Train Runs'!$A$13:$A$99962,1,FALSE)</f>
        <v>#N/A</v>
      </c>
    </row>
  </sheetData>
  <autoFilter ref="A2:J146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240</v>
      </c>
      <c r="G1" s="8" t="s">
        <v>239</v>
      </c>
    </row>
    <row r="2" spans="1:7" x14ac:dyDescent="0.25">
      <c r="A2" s="8">
        <v>42743.045798611114</v>
      </c>
      <c r="B2" s="21" t="s">
        <v>225</v>
      </c>
      <c r="C2" s="21" t="s">
        <v>432</v>
      </c>
      <c r="D2" s="160">
        <v>2270000</v>
      </c>
      <c r="E2" s="21" t="s">
        <v>279</v>
      </c>
      <c r="F2" s="21" t="s">
        <v>280</v>
      </c>
      <c r="G2" s="8" t="str">
        <f>E2&amp;" "&amp;F2</f>
        <v>BROWN JACOB</v>
      </c>
    </row>
    <row r="3" spans="1:7" x14ac:dyDescent="0.25">
      <c r="A3" s="8">
        <v>42743.072048611109</v>
      </c>
      <c r="B3" s="21" t="s">
        <v>292</v>
      </c>
      <c r="C3" s="21" t="s">
        <v>433</v>
      </c>
      <c r="D3" s="160">
        <v>2220000</v>
      </c>
      <c r="E3" s="21" t="s">
        <v>277</v>
      </c>
      <c r="F3" s="21" t="s">
        <v>278</v>
      </c>
      <c r="G3" s="8" t="str">
        <f t="shared" ref="G3:G66" si="0">E3&amp;" "&amp;F3</f>
        <v>HILLS DUSTIN</v>
      </c>
    </row>
    <row r="4" spans="1:7" x14ac:dyDescent="0.25">
      <c r="A4" s="8">
        <v>42743.087569444448</v>
      </c>
      <c r="B4" s="21" t="s">
        <v>227</v>
      </c>
      <c r="C4" s="21" t="s">
        <v>434</v>
      </c>
      <c r="D4" s="160">
        <v>2220000</v>
      </c>
      <c r="E4" s="21" t="s">
        <v>277</v>
      </c>
      <c r="F4" s="21" t="s">
        <v>278</v>
      </c>
      <c r="G4" s="8" t="str">
        <f t="shared" si="0"/>
        <v>HILLS DUSTIN</v>
      </c>
    </row>
    <row r="5" spans="1:7" x14ac:dyDescent="0.25">
      <c r="A5" s="8">
        <v>42743.08865740741</v>
      </c>
      <c r="B5" s="21" t="s">
        <v>227</v>
      </c>
      <c r="C5" s="21" t="s">
        <v>434</v>
      </c>
      <c r="D5" s="160">
        <v>2220000</v>
      </c>
      <c r="E5" s="21" t="s">
        <v>277</v>
      </c>
      <c r="F5" s="21" t="s">
        <v>278</v>
      </c>
      <c r="G5" s="8" t="str">
        <f t="shared" si="0"/>
        <v>HILLS DUSTIN</v>
      </c>
    </row>
    <row r="6" spans="1:7" x14ac:dyDescent="0.25">
      <c r="A6" s="8">
        <v>42743.09652777778</v>
      </c>
      <c r="B6" s="21" t="s">
        <v>227</v>
      </c>
      <c r="C6" s="21" t="s">
        <v>434</v>
      </c>
      <c r="D6" s="160">
        <v>2220000</v>
      </c>
      <c r="E6" s="21" t="s">
        <v>277</v>
      </c>
      <c r="F6" s="21" t="s">
        <v>278</v>
      </c>
      <c r="G6" s="8" t="str">
        <f t="shared" si="0"/>
        <v>HILLS DUSTIN</v>
      </c>
    </row>
    <row r="7" spans="1:7" x14ac:dyDescent="0.25">
      <c r="A7" s="8">
        <v>42743.102453703701</v>
      </c>
      <c r="B7" s="21" t="s">
        <v>292</v>
      </c>
      <c r="C7" s="21" t="s">
        <v>433</v>
      </c>
      <c r="D7" s="160">
        <v>2220000</v>
      </c>
      <c r="E7" s="21" t="s">
        <v>277</v>
      </c>
      <c r="F7" s="21" t="s">
        <v>278</v>
      </c>
      <c r="G7" s="8" t="str">
        <f t="shared" si="0"/>
        <v>HILLS DUSTIN</v>
      </c>
    </row>
    <row r="8" spans="1:7" x14ac:dyDescent="0.25">
      <c r="A8" s="8">
        <v>42743.106412037036</v>
      </c>
      <c r="B8" s="21" t="s">
        <v>227</v>
      </c>
      <c r="C8" s="21" t="s">
        <v>434</v>
      </c>
      <c r="D8" s="160">
        <v>2220000</v>
      </c>
      <c r="E8" s="21" t="s">
        <v>277</v>
      </c>
      <c r="F8" s="21" t="s">
        <v>278</v>
      </c>
      <c r="G8" s="8" t="str">
        <f t="shared" si="0"/>
        <v>HILLS DUSTIN</v>
      </c>
    </row>
    <row r="9" spans="1:7" ht="15.75" thickBot="1" x14ac:dyDescent="0.3">
      <c r="A9" s="25">
        <v>42743.12431712963</v>
      </c>
      <c r="B9" s="21" t="s">
        <v>365</v>
      </c>
      <c r="C9" s="21" t="s">
        <v>435</v>
      </c>
      <c r="D9" s="160">
        <v>2110000</v>
      </c>
      <c r="E9" s="21" t="s">
        <v>261</v>
      </c>
      <c r="F9" s="21" t="s">
        <v>262</v>
      </c>
      <c r="G9" s="8" t="str">
        <f t="shared" si="0"/>
        <v>OUN ZACK</v>
      </c>
    </row>
    <row r="10" spans="1:7" x14ac:dyDescent="0.25">
      <c r="A10" s="8">
        <v>42743.137129629627</v>
      </c>
      <c r="B10" s="21" t="s">
        <v>210</v>
      </c>
      <c r="C10" s="21" t="s">
        <v>436</v>
      </c>
      <c r="D10" s="160">
        <v>2110000</v>
      </c>
      <c r="E10" s="21" t="s">
        <v>261</v>
      </c>
      <c r="F10" s="21" t="s">
        <v>262</v>
      </c>
      <c r="G10" s="8" t="str">
        <f t="shared" si="0"/>
        <v>OUN ZACK</v>
      </c>
    </row>
    <row r="11" spans="1:7" x14ac:dyDescent="0.25">
      <c r="A11" s="8">
        <v>42743.140590277777</v>
      </c>
      <c r="B11" s="21" t="s">
        <v>307</v>
      </c>
      <c r="C11" s="21" t="s">
        <v>437</v>
      </c>
      <c r="D11" s="160">
        <v>2010000</v>
      </c>
      <c r="E11" s="21" t="s">
        <v>438</v>
      </c>
      <c r="F11" s="21" t="s">
        <v>439</v>
      </c>
      <c r="G11" s="8" t="str">
        <f t="shared" si="0"/>
        <v>MAELZER KURT</v>
      </c>
    </row>
    <row r="12" spans="1:7" x14ac:dyDescent="0.25">
      <c r="A12" s="8">
        <v>42743.153368055559</v>
      </c>
      <c r="B12" s="21" t="s">
        <v>289</v>
      </c>
      <c r="C12" s="21" t="s">
        <v>410</v>
      </c>
      <c r="D12" s="160">
        <v>2010000</v>
      </c>
      <c r="E12" s="21" t="s">
        <v>438</v>
      </c>
      <c r="F12" s="21" t="s">
        <v>439</v>
      </c>
      <c r="G12" s="8" t="str">
        <f t="shared" si="0"/>
        <v>MAELZER KURT</v>
      </c>
    </row>
    <row r="13" spans="1:7" x14ac:dyDescent="0.25">
      <c r="A13" s="8">
        <v>42743.165613425925</v>
      </c>
      <c r="B13" s="21" t="s">
        <v>365</v>
      </c>
      <c r="C13" s="21" t="s">
        <v>440</v>
      </c>
      <c r="D13" s="160">
        <v>2110000</v>
      </c>
      <c r="E13" s="21" t="s">
        <v>261</v>
      </c>
      <c r="F13" s="21" t="s">
        <v>262</v>
      </c>
      <c r="G13" s="8" t="str">
        <f t="shared" si="0"/>
        <v>OUN ZACK</v>
      </c>
    </row>
    <row r="14" spans="1:7" x14ac:dyDescent="0.25">
      <c r="A14" s="8">
        <v>42743.167199074072</v>
      </c>
      <c r="B14" s="21" t="s">
        <v>376</v>
      </c>
      <c r="C14" s="21" t="s">
        <v>441</v>
      </c>
      <c r="D14" s="160">
        <v>2100000</v>
      </c>
      <c r="E14" s="21" t="s">
        <v>339</v>
      </c>
      <c r="F14" s="21" t="s">
        <v>340</v>
      </c>
      <c r="G14" s="8" t="str">
        <f t="shared" si="0"/>
        <v>ISHMAEL JOSEPH</v>
      </c>
    </row>
    <row r="15" spans="1:7" x14ac:dyDescent="0.25">
      <c r="A15" s="8">
        <v>42743.17328703704</v>
      </c>
      <c r="B15" s="21" t="s">
        <v>205</v>
      </c>
      <c r="C15" s="21" t="s">
        <v>442</v>
      </c>
      <c r="D15" s="160">
        <v>1990000</v>
      </c>
      <c r="E15" s="21" t="s">
        <v>443</v>
      </c>
      <c r="F15" s="21" t="s">
        <v>444</v>
      </c>
      <c r="G15" s="8" t="str">
        <f t="shared" si="0"/>
        <v>DAVIS WENDY</v>
      </c>
    </row>
    <row r="16" spans="1:7" x14ac:dyDescent="0.25">
      <c r="A16" s="8">
        <v>42743.177777777775</v>
      </c>
      <c r="B16" s="21" t="s">
        <v>250</v>
      </c>
      <c r="C16" s="21" t="s">
        <v>445</v>
      </c>
      <c r="D16" s="160">
        <v>2140000</v>
      </c>
      <c r="E16" s="21" t="s">
        <v>367</v>
      </c>
      <c r="F16" s="21" t="s">
        <v>368</v>
      </c>
      <c r="G16" s="8" t="str">
        <f t="shared" si="0"/>
        <v>ROBINSON KADDIBA</v>
      </c>
    </row>
    <row r="17" spans="1:7" x14ac:dyDescent="0.25">
      <c r="A17" s="8">
        <v>42743.183807870373</v>
      </c>
      <c r="B17" s="21" t="s">
        <v>204</v>
      </c>
      <c r="C17" s="21" t="s">
        <v>446</v>
      </c>
      <c r="D17" s="160">
        <v>1990000</v>
      </c>
      <c r="E17" s="21" t="s">
        <v>443</v>
      </c>
      <c r="F17" s="21" t="s">
        <v>444</v>
      </c>
      <c r="G17" s="8" t="str">
        <f t="shared" si="0"/>
        <v>DAVIS WENDY</v>
      </c>
    </row>
    <row r="18" spans="1:7" x14ac:dyDescent="0.25">
      <c r="A18" s="8">
        <v>42743.194097222222</v>
      </c>
      <c r="B18" s="21" t="s">
        <v>222</v>
      </c>
      <c r="C18" s="21" t="s">
        <v>447</v>
      </c>
      <c r="D18" s="160">
        <v>2140000</v>
      </c>
      <c r="E18" s="21" t="s">
        <v>367</v>
      </c>
      <c r="F18" s="21" t="s">
        <v>368</v>
      </c>
      <c r="G18" s="8" t="str">
        <f t="shared" si="0"/>
        <v>ROBINSON KADDIBA</v>
      </c>
    </row>
    <row r="19" spans="1:7" x14ac:dyDescent="0.25">
      <c r="A19" s="8">
        <v>42743.208553240744</v>
      </c>
      <c r="B19" s="21" t="s">
        <v>321</v>
      </c>
      <c r="C19" s="21" t="s">
        <v>448</v>
      </c>
      <c r="D19" s="160">
        <v>2040000</v>
      </c>
      <c r="E19" s="21" t="s">
        <v>449</v>
      </c>
      <c r="F19" s="21" t="s">
        <v>450</v>
      </c>
      <c r="G19" s="8" t="str">
        <f t="shared" si="0"/>
        <v>MOSES BRADLEY</v>
      </c>
    </row>
    <row r="20" spans="1:7" x14ac:dyDescent="0.25">
      <c r="A20" s="8">
        <v>42743.211041666669</v>
      </c>
      <c r="B20" s="21" t="s">
        <v>321</v>
      </c>
      <c r="C20" s="21" t="s">
        <v>448</v>
      </c>
      <c r="D20" s="160">
        <v>2040000</v>
      </c>
      <c r="E20" s="21" t="s">
        <v>449</v>
      </c>
      <c r="F20" s="21" t="s">
        <v>450</v>
      </c>
      <c r="G20" s="8" t="str">
        <f t="shared" si="0"/>
        <v>MOSES BRADLEY</v>
      </c>
    </row>
    <row r="21" spans="1:7" x14ac:dyDescent="0.25">
      <c r="A21" s="8">
        <v>42743.214814814812</v>
      </c>
      <c r="B21" s="21" t="s">
        <v>210</v>
      </c>
      <c r="C21" s="21" t="s">
        <v>451</v>
      </c>
      <c r="D21" s="160">
        <v>1100000</v>
      </c>
      <c r="E21" s="21" t="s">
        <v>452</v>
      </c>
      <c r="F21" s="21" t="s">
        <v>453</v>
      </c>
      <c r="G21" s="8" t="str">
        <f t="shared" si="0"/>
        <v>GEBRETEKLE DAGNEW</v>
      </c>
    </row>
    <row r="22" spans="1:7" x14ac:dyDescent="0.25">
      <c r="A22" s="27">
        <v>42743.216041666667</v>
      </c>
      <c r="B22" s="21" t="s">
        <v>369</v>
      </c>
      <c r="C22" s="21" t="s">
        <v>436</v>
      </c>
      <c r="D22" s="160">
        <v>2110000</v>
      </c>
      <c r="E22" s="21" t="s">
        <v>261</v>
      </c>
      <c r="F22" s="21" t="s">
        <v>262</v>
      </c>
      <c r="G22" s="8" t="str">
        <f t="shared" si="0"/>
        <v>OUN ZACK</v>
      </c>
    </row>
    <row r="23" spans="1:7" x14ac:dyDescent="0.25">
      <c r="A23" s="8">
        <v>42743.216064814813</v>
      </c>
      <c r="B23" s="21" t="s">
        <v>210</v>
      </c>
      <c r="C23" s="21" t="s">
        <v>451</v>
      </c>
      <c r="D23" s="160">
        <v>1100000</v>
      </c>
      <c r="E23" s="21" t="s">
        <v>452</v>
      </c>
      <c r="F23" s="21" t="s">
        <v>453</v>
      </c>
      <c r="G23" s="8" t="str">
        <f t="shared" si="0"/>
        <v>GEBRETEKLE DAGNEW</v>
      </c>
    </row>
    <row r="24" spans="1:7" x14ac:dyDescent="0.25">
      <c r="A24" s="8">
        <v>42743.216678240744</v>
      </c>
      <c r="B24" s="21" t="s">
        <v>369</v>
      </c>
      <c r="C24" s="21" t="s">
        <v>454</v>
      </c>
      <c r="D24" s="160">
        <v>2110000</v>
      </c>
      <c r="E24" s="21" t="s">
        <v>261</v>
      </c>
      <c r="F24" s="21" t="s">
        <v>262</v>
      </c>
      <c r="G24" s="8" t="str">
        <f t="shared" si="0"/>
        <v>OUN ZACK</v>
      </c>
    </row>
    <row r="25" spans="1:7" x14ac:dyDescent="0.25">
      <c r="A25" s="8">
        <v>42743.21802083333</v>
      </c>
      <c r="B25" s="21" t="s">
        <v>307</v>
      </c>
      <c r="C25" s="21" t="s">
        <v>411</v>
      </c>
      <c r="D25" s="160">
        <v>2010000</v>
      </c>
      <c r="E25" s="21" t="s">
        <v>438</v>
      </c>
      <c r="F25" s="21" t="s">
        <v>439</v>
      </c>
      <c r="G25" s="8" t="str">
        <f t="shared" si="0"/>
        <v>MAELZER KURT</v>
      </c>
    </row>
    <row r="26" spans="1:7" x14ac:dyDescent="0.25">
      <c r="A26" s="8">
        <v>42743.219340277778</v>
      </c>
      <c r="B26" s="21" t="s">
        <v>412</v>
      </c>
      <c r="C26" s="21" t="s">
        <v>413</v>
      </c>
      <c r="D26" s="160">
        <v>2100000</v>
      </c>
      <c r="E26" s="21" t="s">
        <v>339</v>
      </c>
      <c r="F26" s="21" t="s">
        <v>340</v>
      </c>
      <c r="G26" s="8" t="str">
        <f t="shared" si="0"/>
        <v>ISHMAEL JOSEPH</v>
      </c>
    </row>
    <row r="27" spans="1:7" x14ac:dyDescent="0.25">
      <c r="A27" s="8">
        <v>42743.22515046296</v>
      </c>
      <c r="B27" s="21" t="s">
        <v>259</v>
      </c>
      <c r="C27" s="21" t="s">
        <v>455</v>
      </c>
      <c r="D27" s="160">
        <v>1830000</v>
      </c>
      <c r="E27" s="21" t="s">
        <v>297</v>
      </c>
      <c r="F27" s="21" t="s">
        <v>298</v>
      </c>
      <c r="G27" s="8" t="str">
        <f t="shared" si="0"/>
        <v>YORK EDGAR</v>
      </c>
    </row>
    <row r="28" spans="1:7" x14ac:dyDescent="0.25">
      <c r="A28" s="8">
        <v>42743.226377314815</v>
      </c>
      <c r="B28" s="21" t="s">
        <v>369</v>
      </c>
      <c r="C28" s="21" t="s">
        <v>456</v>
      </c>
      <c r="D28" s="160">
        <v>2110000</v>
      </c>
      <c r="E28" s="21" t="s">
        <v>261</v>
      </c>
      <c r="F28" s="21" t="s">
        <v>262</v>
      </c>
      <c r="G28" s="8" t="str">
        <f t="shared" si="0"/>
        <v>OUN ZACK</v>
      </c>
    </row>
    <row r="29" spans="1:7" x14ac:dyDescent="0.25">
      <c r="A29" s="8">
        <v>42743.227569444447</v>
      </c>
      <c r="B29" s="21" t="s">
        <v>369</v>
      </c>
      <c r="C29" s="21" t="s">
        <v>456</v>
      </c>
      <c r="D29" s="160">
        <v>2110000</v>
      </c>
      <c r="E29" s="21" t="s">
        <v>261</v>
      </c>
      <c r="F29" s="21" t="s">
        <v>262</v>
      </c>
      <c r="G29" s="8" t="str">
        <f t="shared" si="0"/>
        <v>OUN ZACK</v>
      </c>
    </row>
    <row r="30" spans="1:7" x14ac:dyDescent="0.25">
      <c r="A30" s="8">
        <v>42743.233182870368</v>
      </c>
      <c r="B30" s="21" t="s">
        <v>260</v>
      </c>
      <c r="C30" s="21" t="s">
        <v>457</v>
      </c>
      <c r="D30" s="160">
        <v>1830000</v>
      </c>
      <c r="E30" s="21" t="s">
        <v>297</v>
      </c>
      <c r="F30" s="21" t="s">
        <v>298</v>
      </c>
      <c r="G30" s="8" t="str">
        <f t="shared" si="0"/>
        <v>YORK EDGAR</v>
      </c>
    </row>
    <row r="31" spans="1:7" x14ac:dyDescent="0.25">
      <c r="A31" s="8">
        <v>42743.2346875</v>
      </c>
      <c r="B31" s="21" t="s">
        <v>205</v>
      </c>
      <c r="C31" s="21" t="s">
        <v>458</v>
      </c>
      <c r="D31" s="160">
        <v>1990000</v>
      </c>
      <c r="E31" s="21" t="s">
        <v>443</v>
      </c>
      <c r="F31" s="21" t="s">
        <v>444</v>
      </c>
      <c r="G31" s="8" t="str">
        <f t="shared" si="0"/>
        <v>DAVIS WENDY</v>
      </c>
    </row>
    <row r="32" spans="1:7" x14ac:dyDescent="0.25">
      <c r="A32" s="8">
        <v>42743.23574074074</v>
      </c>
      <c r="B32" s="21" t="s">
        <v>205</v>
      </c>
      <c r="C32" s="21" t="s">
        <v>458</v>
      </c>
      <c r="D32" s="160">
        <v>1990000</v>
      </c>
      <c r="E32" s="21" t="s">
        <v>443</v>
      </c>
      <c r="F32" s="21" t="s">
        <v>444</v>
      </c>
      <c r="G32" s="8" t="str">
        <f t="shared" si="0"/>
        <v>DAVIS WENDY</v>
      </c>
    </row>
    <row r="33" spans="1:7" x14ac:dyDescent="0.25">
      <c r="A33" s="8">
        <v>42743.242199074077</v>
      </c>
      <c r="B33" s="21" t="s">
        <v>183</v>
      </c>
      <c r="C33" s="21" t="s">
        <v>459</v>
      </c>
      <c r="D33" s="160">
        <v>2040000</v>
      </c>
      <c r="E33" s="21" t="s">
        <v>449</v>
      </c>
      <c r="F33" s="21" t="s">
        <v>450</v>
      </c>
      <c r="G33" s="8" t="str">
        <f t="shared" si="0"/>
        <v>MOSES BRADLEY</v>
      </c>
    </row>
    <row r="34" spans="1:7" x14ac:dyDescent="0.25">
      <c r="A34" s="8">
        <v>42743.244930555556</v>
      </c>
      <c r="B34" s="21" t="s">
        <v>250</v>
      </c>
      <c r="C34" s="21" t="s">
        <v>460</v>
      </c>
      <c r="D34" s="160">
        <v>2140000</v>
      </c>
      <c r="E34" s="21" t="s">
        <v>367</v>
      </c>
      <c r="F34" s="21" t="s">
        <v>368</v>
      </c>
      <c r="G34" s="8" t="str">
        <f t="shared" si="0"/>
        <v>ROBINSON KADDIBA</v>
      </c>
    </row>
    <row r="35" spans="1:7" x14ac:dyDescent="0.25">
      <c r="A35" s="8">
        <v>42743.246215277781</v>
      </c>
      <c r="B35" s="21" t="s">
        <v>250</v>
      </c>
      <c r="C35" s="21" t="s">
        <v>460</v>
      </c>
      <c r="D35" s="160">
        <v>2140000</v>
      </c>
      <c r="E35" s="21" t="s">
        <v>367</v>
      </c>
      <c r="F35" s="21" t="s">
        <v>368</v>
      </c>
      <c r="G35" s="8" t="str">
        <f t="shared" si="0"/>
        <v>ROBINSON KADDIBA</v>
      </c>
    </row>
    <row r="36" spans="1:7" x14ac:dyDescent="0.25">
      <c r="A36" s="8">
        <v>42743.248888888891</v>
      </c>
      <c r="B36" s="21" t="s">
        <v>259</v>
      </c>
      <c r="C36" s="21" t="s">
        <v>461</v>
      </c>
      <c r="D36" s="160">
        <v>1830000</v>
      </c>
      <c r="E36" s="21" t="s">
        <v>297</v>
      </c>
      <c r="F36" s="21" t="s">
        <v>298</v>
      </c>
      <c r="G36" s="8" t="str">
        <f t="shared" si="0"/>
        <v>YORK EDGAR</v>
      </c>
    </row>
    <row r="37" spans="1:7" x14ac:dyDescent="0.25">
      <c r="A37" s="8">
        <v>42743.255613425928</v>
      </c>
      <c r="B37" s="21" t="s">
        <v>289</v>
      </c>
      <c r="C37" s="21" t="s">
        <v>462</v>
      </c>
      <c r="D37" s="160">
        <v>2020000</v>
      </c>
      <c r="E37" s="21" t="s">
        <v>370</v>
      </c>
      <c r="F37" s="21" t="s">
        <v>366</v>
      </c>
      <c r="G37" s="8" t="str">
        <f t="shared" si="0"/>
        <v>SHOOK JOHN</v>
      </c>
    </row>
    <row r="38" spans="1:7" x14ac:dyDescent="0.25">
      <c r="A38" s="8">
        <v>42743.259814814817</v>
      </c>
      <c r="B38" s="21" t="s">
        <v>338</v>
      </c>
      <c r="C38" s="21" t="s">
        <v>463</v>
      </c>
      <c r="D38" s="160">
        <v>1100000</v>
      </c>
      <c r="E38" s="21" t="s">
        <v>452</v>
      </c>
      <c r="F38" s="21" t="s">
        <v>453</v>
      </c>
      <c r="G38" s="8" t="str">
        <f t="shared" si="0"/>
        <v>GEBRETEKLE DAGNEW</v>
      </c>
    </row>
    <row r="39" spans="1:7" x14ac:dyDescent="0.25">
      <c r="A39" s="8">
        <v>42743.269016203703</v>
      </c>
      <c r="B39" s="21" t="s">
        <v>365</v>
      </c>
      <c r="C39" s="21" t="s">
        <v>464</v>
      </c>
      <c r="D39" s="160">
        <v>2110000</v>
      </c>
      <c r="E39" s="21" t="s">
        <v>261</v>
      </c>
      <c r="F39" s="21" t="s">
        <v>262</v>
      </c>
      <c r="G39" s="8" t="str">
        <f t="shared" si="0"/>
        <v>OUN ZACK</v>
      </c>
    </row>
    <row r="40" spans="1:7" x14ac:dyDescent="0.25">
      <c r="A40" s="8">
        <v>42743.269085648149</v>
      </c>
      <c r="B40" s="26" t="s">
        <v>376</v>
      </c>
      <c r="C40" s="21" t="s">
        <v>465</v>
      </c>
      <c r="D40" s="160">
        <v>2100000</v>
      </c>
      <c r="E40" s="21" t="s">
        <v>339</v>
      </c>
      <c r="F40" s="21" t="s">
        <v>340</v>
      </c>
      <c r="G40" s="8" t="str">
        <f t="shared" si="0"/>
        <v>ISHMAEL JOSEPH</v>
      </c>
    </row>
    <row r="41" spans="1:7" x14ac:dyDescent="0.25">
      <c r="A41" s="8">
        <v>42743.269652777781</v>
      </c>
      <c r="B41" s="21" t="s">
        <v>376</v>
      </c>
      <c r="C41" s="21" t="s">
        <v>465</v>
      </c>
      <c r="D41" s="160">
        <v>2100000</v>
      </c>
      <c r="E41" s="21" t="s">
        <v>339</v>
      </c>
      <c r="F41" s="21" t="s">
        <v>340</v>
      </c>
      <c r="G41" s="8" t="str">
        <f t="shared" si="0"/>
        <v>ISHMAEL JOSEPH</v>
      </c>
    </row>
    <row r="42" spans="1:7" x14ac:dyDescent="0.25">
      <c r="A42" s="8">
        <v>42743.270624999997</v>
      </c>
      <c r="B42" s="21" t="s">
        <v>376</v>
      </c>
      <c r="C42" s="21" t="s">
        <v>465</v>
      </c>
      <c r="D42" s="160">
        <v>2100000</v>
      </c>
      <c r="E42" s="21" t="s">
        <v>339</v>
      </c>
      <c r="F42" s="21" t="s">
        <v>340</v>
      </c>
      <c r="G42" s="8" t="str">
        <f t="shared" si="0"/>
        <v>ISHMAEL JOSEPH</v>
      </c>
    </row>
    <row r="43" spans="1:7" x14ac:dyDescent="0.25">
      <c r="A43" s="8">
        <v>42743.276296296295</v>
      </c>
      <c r="B43" s="21" t="s">
        <v>204</v>
      </c>
      <c r="C43" s="21" t="s">
        <v>466</v>
      </c>
      <c r="D43" s="160">
        <v>1990000</v>
      </c>
      <c r="E43" s="21" t="s">
        <v>443</v>
      </c>
      <c r="F43" s="21" t="s">
        <v>444</v>
      </c>
      <c r="G43" s="8" t="str">
        <f t="shared" si="0"/>
        <v>DAVIS WENDY</v>
      </c>
    </row>
    <row r="44" spans="1:7" x14ac:dyDescent="0.25">
      <c r="A44" s="8">
        <v>42743.276608796295</v>
      </c>
      <c r="B44" s="21" t="s">
        <v>260</v>
      </c>
      <c r="C44" s="21" t="s">
        <v>467</v>
      </c>
      <c r="D44" s="160">
        <v>1830000</v>
      </c>
      <c r="E44" s="21" t="s">
        <v>297</v>
      </c>
      <c r="F44" s="21" t="s">
        <v>298</v>
      </c>
      <c r="G44" s="8" t="str">
        <f t="shared" si="0"/>
        <v>YORK EDGAR</v>
      </c>
    </row>
    <row r="45" spans="1:7" x14ac:dyDescent="0.25">
      <c r="A45" s="8">
        <v>42743.277141203704</v>
      </c>
      <c r="B45" s="21" t="s">
        <v>204</v>
      </c>
      <c r="C45" s="21" t="s">
        <v>466</v>
      </c>
      <c r="D45" s="160">
        <v>1990000</v>
      </c>
      <c r="E45" s="21" t="s">
        <v>443</v>
      </c>
      <c r="F45" s="21" t="s">
        <v>444</v>
      </c>
      <c r="G45" s="8" t="str">
        <f t="shared" si="0"/>
        <v>DAVIS WENDY</v>
      </c>
    </row>
    <row r="46" spans="1:7" x14ac:dyDescent="0.25">
      <c r="A46" s="8">
        <v>42743.281157407408</v>
      </c>
      <c r="B46" s="21" t="s">
        <v>321</v>
      </c>
      <c r="C46" s="21" t="s">
        <v>468</v>
      </c>
      <c r="D46" s="160">
        <v>2040000</v>
      </c>
      <c r="E46" s="21" t="s">
        <v>449</v>
      </c>
      <c r="F46" s="21" t="s">
        <v>450</v>
      </c>
      <c r="G46" s="8" t="str">
        <f t="shared" si="0"/>
        <v>MOSES BRADLEY</v>
      </c>
    </row>
    <row r="47" spans="1:7" x14ac:dyDescent="0.25">
      <c r="A47" s="8">
        <v>42743.287974537037</v>
      </c>
      <c r="B47" s="21" t="s">
        <v>222</v>
      </c>
      <c r="C47" s="21" t="s">
        <v>469</v>
      </c>
      <c r="D47" s="160">
        <v>2140000</v>
      </c>
      <c r="E47" s="21" t="s">
        <v>367</v>
      </c>
      <c r="F47" s="21" t="s">
        <v>368</v>
      </c>
      <c r="G47" s="8" t="str">
        <f t="shared" si="0"/>
        <v>ROBINSON KADDIBA</v>
      </c>
    </row>
    <row r="48" spans="1:7" x14ac:dyDescent="0.25">
      <c r="A48" s="8">
        <v>42743.289351851854</v>
      </c>
      <c r="B48" s="21" t="s">
        <v>259</v>
      </c>
      <c r="C48" s="21" t="s">
        <v>470</v>
      </c>
      <c r="D48" s="160">
        <v>1830000</v>
      </c>
      <c r="E48" s="21" t="s">
        <v>297</v>
      </c>
      <c r="F48" s="21" t="s">
        <v>298</v>
      </c>
      <c r="G48" s="8" t="str">
        <f t="shared" si="0"/>
        <v>YORK EDGAR</v>
      </c>
    </row>
    <row r="49" spans="1:7" x14ac:dyDescent="0.25">
      <c r="A49" s="8">
        <v>42743.298460648148</v>
      </c>
      <c r="B49" s="21" t="s">
        <v>471</v>
      </c>
      <c r="C49" s="21" t="s">
        <v>472</v>
      </c>
      <c r="D49" s="160">
        <v>2020000</v>
      </c>
      <c r="E49" s="21" t="s">
        <v>370</v>
      </c>
      <c r="F49" s="21" t="s">
        <v>366</v>
      </c>
      <c r="G49" s="8" t="str">
        <f t="shared" si="0"/>
        <v>SHOOK JOHN</v>
      </c>
    </row>
    <row r="50" spans="1:7" x14ac:dyDescent="0.25">
      <c r="A50" s="8">
        <v>42743.300752314812</v>
      </c>
      <c r="B50" s="21" t="s">
        <v>283</v>
      </c>
      <c r="C50" s="21" t="s">
        <v>473</v>
      </c>
      <c r="D50" s="160">
        <v>1100000</v>
      </c>
      <c r="E50" s="21" t="s">
        <v>452</v>
      </c>
      <c r="F50" s="21" t="s">
        <v>453</v>
      </c>
      <c r="G50" s="8" t="str">
        <f t="shared" si="0"/>
        <v>GEBRETEKLE DAGNEW</v>
      </c>
    </row>
    <row r="51" spans="1:7" x14ac:dyDescent="0.25">
      <c r="A51" s="8">
        <v>42743.307743055557</v>
      </c>
      <c r="B51" s="21" t="s">
        <v>369</v>
      </c>
      <c r="C51" s="21" t="s">
        <v>474</v>
      </c>
      <c r="D51" s="160">
        <v>2110000</v>
      </c>
      <c r="E51" s="21" t="s">
        <v>261</v>
      </c>
      <c r="F51" s="21" t="s">
        <v>262</v>
      </c>
      <c r="G51" s="8" t="str">
        <f t="shared" si="0"/>
        <v>OUN ZACK</v>
      </c>
    </row>
    <row r="52" spans="1:7" x14ac:dyDescent="0.25">
      <c r="A52" s="8">
        <v>42743.30777777778</v>
      </c>
      <c r="B52" s="21" t="s">
        <v>371</v>
      </c>
      <c r="C52" s="21" t="s">
        <v>475</v>
      </c>
      <c r="D52" s="160">
        <v>2100000</v>
      </c>
      <c r="E52" s="21" t="s">
        <v>339</v>
      </c>
      <c r="F52" s="21" t="s">
        <v>340</v>
      </c>
      <c r="G52" s="8" t="str">
        <f t="shared" si="0"/>
        <v>ISHMAEL JOSEPH</v>
      </c>
    </row>
    <row r="53" spans="1:7" x14ac:dyDescent="0.25">
      <c r="A53" s="8">
        <v>42743.318958333337</v>
      </c>
      <c r="B53" s="21" t="s">
        <v>260</v>
      </c>
      <c r="C53" s="21" t="s">
        <v>476</v>
      </c>
      <c r="D53" s="160">
        <v>1830000</v>
      </c>
      <c r="E53" s="21" t="s">
        <v>297</v>
      </c>
      <c r="F53" s="21" t="s">
        <v>298</v>
      </c>
      <c r="G53" s="8" t="str">
        <f t="shared" si="0"/>
        <v>YORK EDGAR</v>
      </c>
    </row>
    <row r="54" spans="1:7" x14ac:dyDescent="0.25">
      <c r="A54" s="8">
        <v>42743.319120370368</v>
      </c>
      <c r="B54" s="21" t="s">
        <v>205</v>
      </c>
      <c r="C54" s="21" t="s">
        <v>477</v>
      </c>
      <c r="D54" s="160">
        <v>1990000</v>
      </c>
      <c r="E54" s="21" t="s">
        <v>443</v>
      </c>
      <c r="F54" s="21" t="s">
        <v>444</v>
      </c>
      <c r="G54" s="8" t="str">
        <f t="shared" si="0"/>
        <v>DAVIS WENDY</v>
      </c>
    </row>
    <row r="55" spans="1:7" x14ac:dyDescent="0.25">
      <c r="A55" s="8">
        <v>42743.32</v>
      </c>
      <c r="B55" s="21" t="s">
        <v>205</v>
      </c>
      <c r="C55" s="21" t="s">
        <v>477</v>
      </c>
      <c r="D55" s="160">
        <v>1990000</v>
      </c>
      <c r="E55" s="21" t="s">
        <v>443</v>
      </c>
      <c r="F55" s="21" t="s">
        <v>444</v>
      </c>
      <c r="G55" s="8" t="str">
        <f t="shared" si="0"/>
        <v>DAVIS WENDY</v>
      </c>
    </row>
    <row r="56" spans="1:7" x14ac:dyDescent="0.25">
      <c r="A56" s="8">
        <v>42743.320671296293</v>
      </c>
      <c r="B56" s="21" t="s">
        <v>205</v>
      </c>
      <c r="C56" s="21" t="s">
        <v>477</v>
      </c>
      <c r="D56" s="160">
        <v>1990000</v>
      </c>
      <c r="E56" s="21" t="s">
        <v>443</v>
      </c>
      <c r="F56" s="21" t="s">
        <v>444</v>
      </c>
      <c r="G56" s="8" t="str">
        <f t="shared" si="0"/>
        <v>DAVIS WENDY</v>
      </c>
    </row>
    <row r="57" spans="1:7" x14ac:dyDescent="0.25">
      <c r="A57" s="8">
        <v>42743.320787037039</v>
      </c>
      <c r="B57" s="21" t="s">
        <v>183</v>
      </c>
      <c r="C57" s="21" t="s">
        <v>478</v>
      </c>
      <c r="D57" s="160">
        <v>2040000</v>
      </c>
      <c r="E57" s="21" t="s">
        <v>449</v>
      </c>
      <c r="F57" s="21" t="s">
        <v>450</v>
      </c>
      <c r="G57" s="8" t="str">
        <f t="shared" si="0"/>
        <v>MOSES BRADLEY</v>
      </c>
    </row>
    <row r="58" spans="1:7" x14ac:dyDescent="0.25">
      <c r="A58" s="8">
        <v>42743.323761574073</v>
      </c>
      <c r="B58" s="21" t="s">
        <v>250</v>
      </c>
      <c r="C58" s="21" t="s">
        <v>479</v>
      </c>
      <c r="D58" s="160">
        <v>2140000</v>
      </c>
      <c r="E58" s="21" t="s">
        <v>367</v>
      </c>
      <c r="F58" s="21" t="s">
        <v>368</v>
      </c>
      <c r="G58" s="8" t="str">
        <f t="shared" si="0"/>
        <v>ROBINSON KADDIBA</v>
      </c>
    </row>
    <row r="59" spans="1:7" x14ac:dyDescent="0.25">
      <c r="A59" s="8">
        <v>42743.330972222226</v>
      </c>
      <c r="B59" s="21" t="s">
        <v>289</v>
      </c>
      <c r="C59" s="21" t="s">
        <v>480</v>
      </c>
      <c r="D59" s="160">
        <v>2010000</v>
      </c>
      <c r="E59" s="21" t="s">
        <v>438</v>
      </c>
      <c r="F59" s="21" t="s">
        <v>439</v>
      </c>
      <c r="G59" s="8" t="str">
        <f t="shared" si="0"/>
        <v>MAELZER KURT</v>
      </c>
    </row>
    <row r="60" spans="1:7" x14ac:dyDescent="0.25">
      <c r="A60" s="8">
        <v>42743.33189814815</v>
      </c>
      <c r="B60" s="21" t="s">
        <v>259</v>
      </c>
      <c r="C60" s="21" t="s">
        <v>481</v>
      </c>
      <c r="D60" s="160">
        <v>1830000</v>
      </c>
      <c r="E60" s="21" t="s">
        <v>297</v>
      </c>
      <c r="F60" s="21" t="s">
        <v>298</v>
      </c>
      <c r="G60" s="8" t="str">
        <f t="shared" si="0"/>
        <v>YORK EDGAR</v>
      </c>
    </row>
    <row r="61" spans="1:7" x14ac:dyDescent="0.25">
      <c r="A61" s="8">
        <v>42743.333703703705</v>
      </c>
      <c r="B61" s="21" t="s">
        <v>252</v>
      </c>
      <c r="C61" s="21" t="s">
        <v>482</v>
      </c>
      <c r="D61" s="160">
        <v>2090000</v>
      </c>
      <c r="E61" s="21" t="s">
        <v>483</v>
      </c>
      <c r="F61" s="21" t="s">
        <v>246</v>
      </c>
      <c r="G61" s="8" t="str">
        <f t="shared" si="0"/>
        <v>HAITHCOX MICHAEL</v>
      </c>
    </row>
    <row r="62" spans="1:7" x14ac:dyDescent="0.25">
      <c r="A62" s="8">
        <v>42743.335555555554</v>
      </c>
      <c r="B62" s="21" t="s">
        <v>252</v>
      </c>
      <c r="C62" s="21" t="s">
        <v>482</v>
      </c>
      <c r="D62" s="160">
        <v>2090000</v>
      </c>
      <c r="E62" s="21" t="s">
        <v>483</v>
      </c>
      <c r="F62" s="21" t="s">
        <v>246</v>
      </c>
      <c r="G62" s="8" t="str">
        <f t="shared" si="0"/>
        <v>HAITHCOX MICHAEL</v>
      </c>
    </row>
    <row r="63" spans="1:7" x14ac:dyDescent="0.25">
      <c r="A63" s="8">
        <v>42743.338495370372</v>
      </c>
      <c r="B63" s="21" t="s">
        <v>412</v>
      </c>
      <c r="C63" s="21" t="s">
        <v>484</v>
      </c>
      <c r="D63" s="160">
        <v>1100000</v>
      </c>
      <c r="E63" s="21" t="s">
        <v>452</v>
      </c>
      <c r="F63" s="21" t="s">
        <v>453</v>
      </c>
      <c r="G63" s="8" t="str">
        <f t="shared" si="0"/>
        <v>GEBRETEKLE DAGNEW</v>
      </c>
    </row>
    <row r="64" spans="1:7" x14ac:dyDescent="0.25">
      <c r="A64" s="27">
        <v>42743.339872685188</v>
      </c>
      <c r="B64" s="21" t="s">
        <v>412</v>
      </c>
      <c r="C64" s="21" t="s">
        <v>484</v>
      </c>
      <c r="D64" s="160">
        <v>1100000</v>
      </c>
      <c r="E64" s="21" t="s">
        <v>452</v>
      </c>
      <c r="F64" s="21" t="s">
        <v>453</v>
      </c>
      <c r="G64" s="8" t="str">
        <f t="shared" si="0"/>
        <v>GEBRETEKLE DAGNEW</v>
      </c>
    </row>
    <row r="65" spans="1:7" x14ac:dyDescent="0.25">
      <c r="A65" s="8">
        <v>42743.341041666667</v>
      </c>
      <c r="B65" s="21" t="s">
        <v>376</v>
      </c>
      <c r="C65" s="21" t="s">
        <v>485</v>
      </c>
      <c r="D65" s="160">
        <v>2100000</v>
      </c>
      <c r="E65" s="21" t="s">
        <v>339</v>
      </c>
      <c r="F65" s="21" t="s">
        <v>340</v>
      </c>
      <c r="G65" s="8" t="str">
        <f t="shared" si="0"/>
        <v>ISHMAEL JOSEPH</v>
      </c>
    </row>
    <row r="66" spans="1:7" x14ac:dyDescent="0.25">
      <c r="A66" s="8">
        <v>42743.341956018521</v>
      </c>
      <c r="B66" s="21" t="s">
        <v>376</v>
      </c>
      <c r="C66" s="21" t="s">
        <v>485</v>
      </c>
      <c r="D66" s="160">
        <v>2100000</v>
      </c>
      <c r="E66" s="21" t="s">
        <v>339</v>
      </c>
      <c r="F66" s="21" t="s">
        <v>340</v>
      </c>
      <c r="G66" s="8" t="str">
        <f t="shared" si="0"/>
        <v>ISHMAEL JOSEPH</v>
      </c>
    </row>
    <row r="67" spans="1:7" x14ac:dyDescent="0.25">
      <c r="A67" s="8">
        <v>42743.347939814812</v>
      </c>
      <c r="B67" s="21" t="s">
        <v>365</v>
      </c>
      <c r="C67" s="21" t="s">
        <v>486</v>
      </c>
      <c r="D67" s="160">
        <v>2110000</v>
      </c>
      <c r="E67" s="21" t="s">
        <v>261</v>
      </c>
      <c r="F67" s="21" t="s">
        <v>262</v>
      </c>
      <c r="G67" s="8" t="str">
        <f t="shared" ref="G67:G130" si="1">E67&amp;" "&amp;F67</f>
        <v>OUN ZACK</v>
      </c>
    </row>
    <row r="68" spans="1:7" x14ac:dyDescent="0.25">
      <c r="A68" s="8">
        <v>42743.350474537037</v>
      </c>
      <c r="B68" s="21" t="s">
        <v>210</v>
      </c>
      <c r="C68" s="21" t="s">
        <v>414</v>
      </c>
      <c r="D68" s="160">
        <v>2020000</v>
      </c>
      <c r="E68" s="21" t="s">
        <v>370</v>
      </c>
      <c r="F68" s="21" t="s">
        <v>366</v>
      </c>
      <c r="G68" s="8" t="str">
        <f t="shared" si="1"/>
        <v>SHOOK JOHN</v>
      </c>
    </row>
    <row r="69" spans="1:7" x14ac:dyDescent="0.25">
      <c r="A69" s="8">
        <v>42743.353356481479</v>
      </c>
      <c r="B69" s="21" t="s">
        <v>289</v>
      </c>
      <c r="C69" s="21" t="s">
        <v>480</v>
      </c>
      <c r="D69" s="160">
        <v>2010000</v>
      </c>
      <c r="E69" s="21" t="s">
        <v>438</v>
      </c>
      <c r="F69" s="21" t="s">
        <v>439</v>
      </c>
      <c r="G69" s="8" t="str">
        <f t="shared" si="1"/>
        <v>MAELZER KURT</v>
      </c>
    </row>
    <row r="70" spans="1:7" x14ac:dyDescent="0.25">
      <c r="A70" s="8">
        <v>42743.357546296298</v>
      </c>
      <c r="B70" s="21" t="s">
        <v>321</v>
      </c>
      <c r="C70" s="21" t="s">
        <v>487</v>
      </c>
      <c r="D70" s="160">
        <v>2040000</v>
      </c>
      <c r="E70" s="21" t="s">
        <v>449</v>
      </c>
      <c r="F70" s="21" t="s">
        <v>450</v>
      </c>
      <c r="G70" s="8" t="str">
        <f t="shared" si="1"/>
        <v>MOSES BRADLEY</v>
      </c>
    </row>
    <row r="71" spans="1:7" x14ac:dyDescent="0.25">
      <c r="A71" s="8">
        <v>42743.360578703701</v>
      </c>
      <c r="B71" s="21" t="s">
        <v>260</v>
      </c>
      <c r="C71" s="21" t="s">
        <v>488</v>
      </c>
      <c r="D71" s="160">
        <v>1830000</v>
      </c>
      <c r="E71" s="21" t="s">
        <v>297</v>
      </c>
      <c r="F71" s="21" t="s">
        <v>298</v>
      </c>
      <c r="G71" s="8" t="str">
        <f t="shared" si="1"/>
        <v>YORK EDGAR</v>
      </c>
    </row>
    <row r="72" spans="1:7" x14ac:dyDescent="0.25">
      <c r="A72" s="8">
        <v>42743.361481481479</v>
      </c>
      <c r="B72" s="21" t="s">
        <v>222</v>
      </c>
      <c r="C72" s="21" t="s">
        <v>489</v>
      </c>
      <c r="D72" s="160">
        <v>2140000</v>
      </c>
      <c r="E72" s="21" t="s">
        <v>367</v>
      </c>
      <c r="F72" s="21" t="s">
        <v>368</v>
      </c>
      <c r="G72" s="8" t="str">
        <f t="shared" si="1"/>
        <v>ROBINSON KADDIBA</v>
      </c>
    </row>
    <row r="73" spans="1:7" x14ac:dyDescent="0.25">
      <c r="A73" s="8">
        <v>42743.367060185185</v>
      </c>
      <c r="B73" s="21" t="s">
        <v>210</v>
      </c>
      <c r="C73" s="21" t="s">
        <v>414</v>
      </c>
      <c r="D73" s="160">
        <v>2020000</v>
      </c>
      <c r="E73" s="21" t="s">
        <v>370</v>
      </c>
      <c r="F73" s="21" t="s">
        <v>366</v>
      </c>
      <c r="G73" s="8" t="str">
        <f t="shared" si="1"/>
        <v>SHOOK JOHN</v>
      </c>
    </row>
    <row r="74" spans="1:7" x14ac:dyDescent="0.25">
      <c r="A74" s="8">
        <v>42743.370763888888</v>
      </c>
      <c r="B74" s="21" t="s">
        <v>210</v>
      </c>
      <c r="C74" s="21" t="s">
        <v>414</v>
      </c>
      <c r="D74" s="160">
        <v>2020000</v>
      </c>
      <c r="E74" s="21" t="s">
        <v>370</v>
      </c>
      <c r="F74" s="21" t="s">
        <v>366</v>
      </c>
      <c r="G74" s="8" t="str">
        <f t="shared" si="1"/>
        <v>SHOOK JOHN</v>
      </c>
    </row>
    <row r="75" spans="1:7" x14ac:dyDescent="0.25">
      <c r="A75" s="8">
        <v>42743.37091435185</v>
      </c>
      <c r="B75" s="21" t="s">
        <v>471</v>
      </c>
      <c r="C75" s="21" t="s">
        <v>490</v>
      </c>
      <c r="D75" s="160">
        <v>2010000</v>
      </c>
      <c r="E75" s="21" t="s">
        <v>438</v>
      </c>
      <c r="F75" s="21" t="s">
        <v>439</v>
      </c>
      <c r="G75" s="8" t="str">
        <f t="shared" si="1"/>
        <v>MAELZER KURT</v>
      </c>
    </row>
    <row r="76" spans="1:7" x14ac:dyDescent="0.25">
      <c r="A76" s="8">
        <v>42743.37462962963</v>
      </c>
      <c r="B76" s="21" t="s">
        <v>371</v>
      </c>
      <c r="C76" s="21" t="s">
        <v>491</v>
      </c>
      <c r="D76" s="160">
        <v>2100000</v>
      </c>
      <c r="E76" s="21" t="s">
        <v>339</v>
      </c>
      <c r="F76" s="21" t="s">
        <v>340</v>
      </c>
      <c r="G76" s="8" t="str">
        <f t="shared" si="1"/>
        <v>ISHMAEL JOSEPH</v>
      </c>
    </row>
    <row r="77" spans="1:7" x14ac:dyDescent="0.25">
      <c r="A77" s="8">
        <v>42743.375381944446</v>
      </c>
      <c r="B77" s="21" t="s">
        <v>283</v>
      </c>
      <c r="C77" s="21" t="s">
        <v>492</v>
      </c>
      <c r="D77" s="160">
        <v>1100000</v>
      </c>
      <c r="E77" s="21" t="s">
        <v>452</v>
      </c>
      <c r="F77" s="21" t="s">
        <v>453</v>
      </c>
      <c r="G77" s="8" t="str">
        <f t="shared" si="1"/>
        <v>GEBRETEKLE DAGNEW</v>
      </c>
    </row>
    <row r="78" spans="1:7" x14ac:dyDescent="0.25">
      <c r="A78" s="8">
        <v>42743.376435185186</v>
      </c>
      <c r="B78" s="21" t="s">
        <v>259</v>
      </c>
      <c r="C78" s="21" t="s">
        <v>493</v>
      </c>
      <c r="D78" s="160">
        <v>1830000</v>
      </c>
      <c r="E78" s="21" t="s">
        <v>297</v>
      </c>
      <c r="F78" s="21" t="s">
        <v>298</v>
      </c>
      <c r="G78" s="8" t="str">
        <f t="shared" si="1"/>
        <v>YORK EDGAR</v>
      </c>
    </row>
    <row r="79" spans="1:7" x14ac:dyDescent="0.25">
      <c r="A79" s="8">
        <v>42743.382743055554</v>
      </c>
      <c r="B79" s="21" t="s">
        <v>369</v>
      </c>
      <c r="C79" s="21" t="s">
        <v>494</v>
      </c>
      <c r="D79" s="160">
        <v>2110000</v>
      </c>
      <c r="E79" s="21" t="s">
        <v>261</v>
      </c>
      <c r="F79" s="21" t="s">
        <v>262</v>
      </c>
      <c r="G79" s="8" t="str">
        <f t="shared" si="1"/>
        <v>OUN ZACK</v>
      </c>
    </row>
    <row r="80" spans="1:7" x14ac:dyDescent="0.25">
      <c r="A80" s="8">
        <v>42743.392187500001</v>
      </c>
      <c r="B80" s="21" t="s">
        <v>183</v>
      </c>
      <c r="C80" s="21" t="s">
        <v>495</v>
      </c>
      <c r="D80" s="160">
        <v>2040000</v>
      </c>
      <c r="E80" s="21" t="s">
        <v>449</v>
      </c>
      <c r="F80" s="21" t="s">
        <v>450</v>
      </c>
      <c r="G80" s="8" t="str">
        <f t="shared" si="1"/>
        <v>MOSES BRADLEY</v>
      </c>
    </row>
    <row r="81" spans="1:7" x14ac:dyDescent="0.25">
      <c r="A81" s="8">
        <v>42743.398715277777</v>
      </c>
      <c r="B81" s="21" t="s">
        <v>204</v>
      </c>
      <c r="C81" s="21" t="s">
        <v>415</v>
      </c>
      <c r="D81" s="160">
        <v>1990000</v>
      </c>
      <c r="E81" s="21" t="s">
        <v>443</v>
      </c>
      <c r="F81" s="21" t="s">
        <v>444</v>
      </c>
      <c r="G81" s="8" t="str">
        <f t="shared" si="1"/>
        <v>DAVIS WENDY</v>
      </c>
    </row>
    <row r="82" spans="1:7" x14ac:dyDescent="0.25">
      <c r="A82" s="8">
        <v>42743.399004629631</v>
      </c>
      <c r="B82" s="21" t="s">
        <v>471</v>
      </c>
      <c r="C82" s="21" t="s">
        <v>490</v>
      </c>
      <c r="D82" s="160">
        <v>2010000</v>
      </c>
      <c r="E82" s="21" t="s">
        <v>438</v>
      </c>
      <c r="F82" s="21" t="s">
        <v>439</v>
      </c>
      <c r="G82" s="8" t="str">
        <f t="shared" si="1"/>
        <v>MAELZER KURT</v>
      </c>
    </row>
    <row r="83" spans="1:7" x14ac:dyDescent="0.25">
      <c r="A83" s="8">
        <v>42743.400601851848</v>
      </c>
      <c r="B83" s="21" t="s">
        <v>338</v>
      </c>
      <c r="C83" s="21" t="s">
        <v>496</v>
      </c>
      <c r="D83" s="160">
        <v>2020000</v>
      </c>
      <c r="E83" s="21" t="s">
        <v>370</v>
      </c>
      <c r="F83" s="21" t="s">
        <v>366</v>
      </c>
      <c r="G83" s="8" t="str">
        <f t="shared" si="1"/>
        <v>SHOOK JOHN</v>
      </c>
    </row>
    <row r="84" spans="1:7" x14ac:dyDescent="0.25">
      <c r="A84" s="8">
        <v>42743.401099537034</v>
      </c>
      <c r="B84" s="21" t="s">
        <v>260</v>
      </c>
      <c r="C84" s="21" t="s">
        <v>497</v>
      </c>
      <c r="D84" s="160">
        <v>1830000</v>
      </c>
      <c r="E84" s="21" t="s">
        <v>297</v>
      </c>
      <c r="F84" s="21" t="s">
        <v>298</v>
      </c>
      <c r="G84" s="8" t="str">
        <f t="shared" si="1"/>
        <v>YORK EDGAR</v>
      </c>
    </row>
    <row r="85" spans="1:7" x14ac:dyDescent="0.25">
      <c r="A85" s="8">
        <v>42743.401805555557</v>
      </c>
      <c r="B85" s="21" t="s">
        <v>338</v>
      </c>
      <c r="C85" s="21" t="s">
        <v>496</v>
      </c>
      <c r="D85" s="160">
        <v>2020000</v>
      </c>
      <c r="E85" s="21" t="s">
        <v>370</v>
      </c>
      <c r="F85" s="21" t="s">
        <v>366</v>
      </c>
      <c r="G85" s="8" t="str">
        <f t="shared" si="1"/>
        <v>SHOOK JOHN</v>
      </c>
    </row>
    <row r="86" spans="1:7" x14ac:dyDescent="0.25">
      <c r="A86" s="8">
        <v>42743.404849537037</v>
      </c>
      <c r="B86" s="21" t="s">
        <v>204</v>
      </c>
      <c r="C86" s="21" t="s">
        <v>415</v>
      </c>
      <c r="D86" s="160">
        <v>1990000</v>
      </c>
      <c r="E86" s="21" t="s">
        <v>443</v>
      </c>
      <c r="F86" s="21" t="s">
        <v>444</v>
      </c>
      <c r="G86" s="8" t="str">
        <f t="shared" si="1"/>
        <v>DAVIS WENDY</v>
      </c>
    </row>
    <row r="87" spans="1:7" x14ac:dyDescent="0.25">
      <c r="A87" s="8">
        <v>42743.405578703707</v>
      </c>
      <c r="B87" s="21" t="s">
        <v>204</v>
      </c>
      <c r="C87" s="21" t="s">
        <v>415</v>
      </c>
      <c r="D87" s="160">
        <v>1990000</v>
      </c>
      <c r="E87" s="21" t="s">
        <v>443</v>
      </c>
      <c r="F87" s="21" t="s">
        <v>444</v>
      </c>
      <c r="G87" s="8" t="str">
        <f t="shared" si="1"/>
        <v>DAVIS WENDY</v>
      </c>
    </row>
    <row r="88" spans="1:7" x14ac:dyDescent="0.25">
      <c r="A88" s="8">
        <v>42743.408449074072</v>
      </c>
      <c r="B88" s="21" t="s">
        <v>250</v>
      </c>
      <c r="C88" s="21" t="s">
        <v>498</v>
      </c>
      <c r="D88" s="160">
        <v>2140000</v>
      </c>
      <c r="E88" s="21" t="s">
        <v>367</v>
      </c>
      <c r="F88" s="21" t="s">
        <v>368</v>
      </c>
      <c r="G88" s="8" t="str">
        <f t="shared" si="1"/>
        <v>ROBINSON KADDIBA</v>
      </c>
    </row>
    <row r="89" spans="1:7" x14ac:dyDescent="0.25">
      <c r="A89" s="8">
        <v>42743.414166666669</v>
      </c>
      <c r="B89" s="21" t="s">
        <v>412</v>
      </c>
      <c r="C89" s="21" t="s">
        <v>499</v>
      </c>
      <c r="D89" s="160">
        <v>1100000</v>
      </c>
      <c r="E89" s="21" t="s">
        <v>452</v>
      </c>
      <c r="F89" s="21" t="s">
        <v>453</v>
      </c>
      <c r="G89" s="8" t="str">
        <f t="shared" si="1"/>
        <v>GEBRETEKLE DAGNEW</v>
      </c>
    </row>
    <row r="90" spans="1:7" x14ac:dyDescent="0.25">
      <c r="A90" s="8">
        <v>42743.414236111108</v>
      </c>
      <c r="B90" s="21" t="s">
        <v>338</v>
      </c>
      <c r="C90" s="21" t="s">
        <v>496</v>
      </c>
      <c r="D90" s="160">
        <v>2020000</v>
      </c>
      <c r="E90" s="21" t="s">
        <v>370</v>
      </c>
      <c r="F90" s="21" t="s">
        <v>366</v>
      </c>
      <c r="G90" s="8" t="str">
        <f t="shared" si="1"/>
        <v>SHOOK JOHN</v>
      </c>
    </row>
    <row r="91" spans="1:7" x14ac:dyDescent="0.25">
      <c r="A91" s="8">
        <v>42743.414456018516</v>
      </c>
      <c r="B91" s="21" t="s">
        <v>259</v>
      </c>
      <c r="C91" s="21" t="s">
        <v>500</v>
      </c>
      <c r="D91" s="160">
        <v>1830000</v>
      </c>
      <c r="E91" s="21" t="s">
        <v>297</v>
      </c>
      <c r="F91" s="21" t="s">
        <v>298</v>
      </c>
      <c r="G91" s="8" t="str">
        <f t="shared" si="1"/>
        <v>YORK EDGAR</v>
      </c>
    </row>
    <row r="92" spans="1:7" x14ac:dyDescent="0.25">
      <c r="A92" s="8">
        <v>42743.414594907408</v>
      </c>
      <c r="B92" s="21" t="s">
        <v>376</v>
      </c>
      <c r="C92" s="21" t="s">
        <v>501</v>
      </c>
      <c r="D92" s="160">
        <v>2100000</v>
      </c>
      <c r="E92" s="21" t="s">
        <v>339</v>
      </c>
      <c r="F92" s="21" t="s">
        <v>340</v>
      </c>
      <c r="G92" s="8" t="str">
        <f t="shared" si="1"/>
        <v>ISHMAEL JOSEPH</v>
      </c>
    </row>
    <row r="93" spans="1:7" x14ac:dyDescent="0.25">
      <c r="A93" s="8">
        <v>42743.419918981483</v>
      </c>
      <c r="B93" s="21" t="s">
        <v>212</v>
      </c>
      <c r="C93" s="21" t="s">
        <v>502</v>
      </c>
      <c r="D93" s="160">
        <v>2010000</v>
      </c>
      <c r="E93" s="21" t="s">
        <v>438</v>
      </c>
      <c r="F93" s="21" t="s">
        <v>439</v>
      </c>
      <c r="G93" s="8" t="str">
        <f t="shared" si="1"/>
        <v>MAELZER KURT</v>
      </c>
    </row>
    <row r="94" spans="1:7" x14ac:dyDescent="0.25">
      <c r="A94" s="8">
        <v>42743.421493055554</v>
      </c>
      <c r="B94" s="21" t="s">
        <v>365</v>
      </c>
      <c r="C94" s="21" t="s">
        <v>503</v>
      </c>
      <c r="D94" s="160">
        <v>2110000</v>
      </c>
      <c r="E94" s="21" t="s">
        <v>261</v>
      </c>
      <c r="F94" s="21" t="s">
        <v>262</v>
      </c>
      <c r="G94" s="8" t="str">
        <f t="shared" si="1"/>
        <v>OUN ZACK</v>
      </c>
    </row>
    <row r="95" spans="1:7" x14ac:dyDescent="0.25">
      <c r="A95" s="8">
        <v>42743.431875000002</v>
      </c>
      <c r="B95" s="21" t="s">
        <v>321</v>
      </c>
      <c r="C95" s="21" t="s">
        <v>504</v>
      </c>
      <c r="D95" s="160">
        <v>2040000</v>
      </c>
      <c r="E95" s="21" t="s">
        <v>449</v>
      </c>
      <c r="F95" s="21" t="s">
        <v>450</v>
      </c>
      <c r="G95" s="8" t="str">
        <f t="shared" si="1"/>
        <v>MOSES BRADLEY</v>
      </c>
    </row>
    <row r="96" spans="1:7" x14ac:dyDescent="0.25">
      <c r="A96" s="8">
        <v>42743.435497685183</v>
      </c>
      <c r="B96" s="21" t="s">
        <v>210</v>
      </c>
      <c r="C96" s="21" t="s">
        <v>505</v>
      </c>
      <c r="D96" s="160">
        <v>2470000</v>
      </c>
      <c r="E96" s="21" t="s">
        <v>506</v>
      </c>
      <c r="F96" s="21" t="s">
        <v>507</v>
      </c>
      <c r="G96" s="8" t="str">
        <f t="shared" si="1"/>
        <v>ROMERO CHAD</v>
      </c>
    </row>
    <row r="97" spans="1:7" x14ac:dyDescent="0.25">
      <c r="A97" s="8">
        <v>42743.435798611114</v>
      </c>
      <c r="B97" s="21" t="s">
        <v>295</v>
      </c>
      <c r="C97" s="21" t="s">
        <v>508</v>
      </c>
      <c r="D97" s="160">
        <v>2420000</v>
      </c>
      <c r="E97" s="21" t="s">
        <v>213</v>
      </c>
      <c r="F97" s="21" t="s">
        <v>509</v>
      </c>
      <c r="G97" s="8" t="str">
        <f t="shared" si="1"/>
        <v>HOLCOMB KAMDEN</v>
      </c>
    </row>
    <row r="98" spans="1:7" x14ac:dyDescent="0.25">
      <c r="A98" s="8">
        <v>42743.436631944445</v>
      </c>
      <c r="B98" s="21" t="s">
        <v>295</v>
      </c>
      <c r="C98" s="21" t="s">
        <v>508</v>
      </c>
      <c r="D98" s="160">
        <v>2420000</v>
      </c>
      <c r="E98" s="21" t="s">
        <v>213</v>
      </c>
      <c r="F98" s="21" t="s">
        <v>509</v>
      </c>
      <c r="G98" s="8" t="str">
        <f t="shared" si="1"/>
        <v>HOLCOMB KAMDEN</v>
      </c>
    </row>
    <row r="99" spans="1:7" x14ac:dyDescent="0.25">
      <c r="A99" s="8">
        <v>42743.440798611111</v>
      </c>
      <c r="B99" s="21" t="s">
        <v>205</v>
      </c>
      <c r="C99" s="21" t="s">
        <v>510</v>
      </c>
      <c r="D99" s="160">
        <v>1990000</v>
      </c>
      <c r="E99" s="21" t="s">
        <v>443</v>
      </c>
      <c r="F99" s="21" t="s">
        <v>444</v>
      </c>
      <c r="G99" s="8" t="str">
        <f t="shared" si="1"/>
        <v>DAVIS WENDY</v>
      </c>
    </row>
    <row r="100" spans="1:7" x14ac:dyDescent="0.25">
      <c r="A100" s="8">
        <v>42743.442731481482</v>
      </c>
      <c r="B100" s="21" t="s">
        <v>260</v>
      </c>
      <c r="C100" s="21" t="s">
        <v>511</v>
      </c>
      <c r="D100" s="160">
        <v>1830000</v>
      </c>
      <c r="E100" s="21" t="s">
        <v>297</v>
      </c>
      <c r="F100" s="21" t="s">
        <v>298</v>
      </c>
      <c r="G100" s="8" t="str">
        <f t="shared" si="1"/>
        <v>YORK EDGAR</v>
      </c>
    </row>
    <row r="101" spans="1:7" x14ac:dyDescent="0.25">
      <c r="A101" s="8">
        <v>42743.44363425926</v>
      </c>
      <c r="B101" s="21" t="s">
        <v>260</v>
      </c>
      <c r="C101" s="21" t="s">
        <v>512</v>
      </c>
      <c r="D101" s="160">
        <v>1830000</v>
      </c>
      <c r="E101" s="21" t="s">
        <v>297</v>
      </c>
      <c r="F101" s="21" t="s">
        <v>298</v>
      </c>
      <c r="G101" s="8" t="str">
        <f t="shared" si="1"/>
        <v>YORK EDGAR</v>
      </c>
    </row>
    <row r="102" spans="1:7" x14ac:dyDescent="0.25">
      <c r="A102" s="8">
        <v>42743.444212962961</v>
      </c>
      <c r="B102" s="21" t="s">
        <v>222</v>
      </c>
      <c r="C102" s="21" t="s">
        <v>513</v>
      </c>
      <c r="D102" s="160">
        <v>2140000</v>
      </c>
      <c r="E102" s="21" t="s">
        <v>367</v>
      </c>
      <c r="F102" s="21" t="s">
        <v>368</v>
      </c>
      <c r="G102" s="8" t="str">
        <f t="shared" si="1"/>
        <v>ROBINSON KADDIBA</v>
      </c>
    </row>
    <row r="103" spans="1:7" x14ac:dyDescent="0.25">
      <c r="A103" s="8">
        <v>42743.446574074071</v>
      </c>
      <c r="B103" s="21" t="s">
        <v>371</v>
      </c>
      <c r="C103" s="21" t="s">
        <v>514</v>
      </c>
      <c r="D103" s="160">
        <v>2100000</v>
      </c>
      <c r="E103" s="21" t="s">
        <v>339</v>
      </c>
      <c r="F103" s="21" t="s">
        <v>340</v>
      </c>
      <c r="G103" s="8" t="str">
        <f t="shared" si="1"/>
        <v>ISHMAEL JOSEPH</v>
      </c>
    </row>
    <row r="104" spans="1:7" x14ac:dyDescent="0.25">
      <c r="A104" s="8">
        <v>42743.455393518518</v>
      </c>
      <c r="B104" s="21" t="s">
        <v>369</v>
      </c>
      <c r="C104" s="21" t="s">
        <v>515</v>
      </c>
      <c r="D104" s="160">
        <v>880000</v>
      </c>
      <c r="E104" s="21" t="s">
        <v>516</v>
      </c>
      <c r="F104" s="21" t="s">
        <v>246</v>
      </c>
      <c r="G104" s="8" t="str">
        <f t="shared" si="1"/>
        <v>STEWART MICHAEL</v>
      </c>
    </row>
    <row r="105" spans="1:7" x14ac:dyDescent="0.25">
      <c r="A105" s="8">
        <v>42743.456238425926</v>
      </c>
      <c r="B105" s="21" t="s">
        <v>307</v>
      </c>
      <c r="C105" s="21" t="s">
        <v>416</v>
      </c>
      <c r="D105" s="160">
        <v>2010000</v>
      </c>
      <c r="E105" s="21" t="s">
        <v>438</v>
      </c>
      <c r="F105" s="21" t="s">
        <v>439</v>
      </c>
      <c r="G105" s="8" t="str">
        <f t="shared" si="1"/>
        <v>MAELZER KURT</v>
      </c>
    </row>
    <row r="106" spans="1:7" x14ac:dyDescent="0.25">
      <c r="A106" s="8">
        <v>42743.458726851852</v>
      </c>
      <c r="B106" s="21" t="s">
        <v>259</v>
      </c>
      <c r="C106" s="21" t="s">
        <v>511</v>
      </c>
      <c r="D106" s="160">
        <v>1830000</v>
      </c>
      <c r="E106" s="21" t="s">
        <v>297</v>
      </c>
      <c r="F106" s="21" t="s">
        <v>298</v>
      </c>
      <c r="G106" s="8" t="str">
        <f t="shared" si="1"/>
        <v>YORK EDGAR</v>
      </c>
    </row>
    <row r="107" spans="1:7" x14ac:dyDescent="0.25">
      <c r="A107" s="8">
        <v>42743.464699074073</v>
      </c>
      <c r="B107" s="21" t="s">
        <v>338</v>
      </c>
      <c r="C107" s="21" t="s">
        <v>517</v>
      </c>
      <c r="D107" s="160">
        <v>2470000</v>
      </c>
      <c r="E107" s="21" t="s">
        <v>506</v>
      </c>
      <c r="F107" s="21" t="s">
        <v>507</v>
      </c>
      <c r="G107" s="8" t="str">
        <f t="shared" si="1"/>
        <v>ROMERO CHAD</v>
      </c>
    </row>
    <row r="108" spans="1:7" x14ac:dyDescent="0.25">
      <c r="A108" s="8">
        <v>42743.465868055559</v>
      </c>
      <c r="B108" s="21" t="s">
        <v>338</v>
      </c>
      <c r="C108" s="21" t="s">
        <v>517</v>
      </c>
      <c r="D108" s="160">
        <v>2470000</v>
      </c>
      <c r="E108" s="21" t="s">
        <v>506</v>
      </c>
      <c r="F108" s="21" t="s">
        <v>507</v>
      </c>
      <c r="G108" s="8" t="str">
        <f t="shared" si="1"/>
        <v>ROMERO CHAD</v>
      </c>
    </row>
    <row r="109" spans="1:7" x14ac:dyDescent="0.25">
      <c r="A109" s="8">
        <v>42743.470231481479</v>
      </c>
      <c r="B109" s="21" t="s">
        <v>183</v>
      </c>
      <c r="C109" s="21" t="s">
        <v>518</v>
      </c>
      <c r="D109" s="160">
        <v>920000</v>
      </c>
      <c r="E109" s="21" t="s">
        <v>443</v>
      </c>
      <c r="F109" s="21" t="s">
        <v>246</v>
      </c>
      <c r="G109" s="8" t="str">
        <f t="shared" si="1"/>
        <v>DAVIS MICHAEL</v>
      </c>
    </row>
    <row r="110" spans="1:7" x14ac:dyDescent="0.25">
      <c r="A110" s="8">
        <v>42743.471168981479</v>
      </c>
      <c r="B110" s="21" t="s">
        <v>296</v>
      </c>
      <c r="C110" s="21" t="s">
        <v>519</v>
      </c>
      <c r="D110" s="160">
        <v>2110000</v>
      </c>
      <c r="E110" s="21" t="s">
        <v>261</v>
      </c>
      <c r="F110" s="21" t="s">
        <v>262</v>
      </c>
      <c r="G110" s="8" t="str">
        <f t="shared" si="1"/>
        <v>OUN ZACK</v>
      </c>
    </row>
    <row r="111" spans="1:7" x14ac:dyDescent="0.25">
      <c r="A111" s="8">
        <v>42743.473692129628</v>
      </c>
      <c r="B111" s="21" t="s">
        <v>338</v>
      </c>
      <c r="C111" s="21" t="s">
        <v>517</v>
      </c>
      <c r="D111" s="160">
        <v>2470000</v>
      </c>
      <c r="E111" s="21" t="s">
        <v>506</v>
      </c>
      <c r="F111" s="21" t="s">
        <v>507</v>
      </c>
      <c r="G111" s="8" t="str">
        <f t="shared" si="1"/>
        <v>ROMERO CHAD</v>
      </c>
    </row>
    <row r="112" spans="1:7" x14ac:dyDescent="0.25">
      <c r="A112" s="8">
        <v>42743.475462962961</v>
      </c>
      <c r="B112" s="21" t="s">
        <v>250</v>
      </c>
      <c r="C112" s="21" t="s">
        <v>520</v>
      </c>
      <c r="D112" s="160">
        <v>2140000</v>
      </c>
      <c r="E112" s="21" t="s">
        <v>367</v>
      </c>
      <c r="F112" s="21" t="s">
        <v>368</v>
      </c>
      <c r="G112" s="8" t="str">
        <f t="shared" si="1"/>
        <v>ROBINSON KADDIBA</v>
      </c>
    </row>
    <row r="113" spans="1:7" x14ac:dyDescent="0.25">
      <c r="A113" s="8">
        <v>42743.47587962963</v>
      </c>
      <c r="B113" s="21" t="s">
        <v>338</v>
      </c>
      <c r="C113" s="21" t="s">
        <v>517</v>
      </c>
      <c r="D113" s="160">
        <v>2470000</v>
      </c>
      <c r="E113" s="21" t="s">
        <v>506</v>
      </c>
      <c r="F113" s="21" t="s">
        <v>507</v>
      </c>
      <c r="G113" s="8" t="str">
        <f t="shared" si="1"/>
        <v>ROMERO CHAD</v>
      </c>
    </row>
    <row r="114" spans="1:7" x14ac:dyDescent="0.25">
      <c r="A114" s="8">
        <v>42743.4762962963</v>
      </c>
      <c r="B114" s="21" t="s">
        <v>204</v>
      </c>
      <c r="C114" s="21" t="s">
        <v>521</v>
      </c>
      <c r="D114" s="160">
        <v>1300000</v>
      </c>
      <c r="E114" s="21" t="s">
        <v>113</v>
      </c>
      <c r="F114" s="21" t="s">
        <v>522</v>
      </c>
      <c r="G114" s="8" t="str">
        <f t="shared" si="1"/>
        <v>LEVIN SCOTT</v>
      </c>
    </row>
    <row r="115" spans="1:7" x14ac:dyDescent="0.25">
      <c r="A115" s="8">
        <v>42743.478113425925</v>
      </c>
      <c r="B115" s="21" t="s">
        <v>316</v>
      </c>
      <c r="C115" s="21" t="s">
        <v>523</v>
      </c>
      <c r="D115" s="160">
        <v>2250000</v>
      </c>
      <c r="E115" s="21" t="s">
        <v>317</v>
      </c>
      <c r="F115" s="21" t="s">
        <v>318</v>
      </c>
      <c r="G115" s="8" t="str">
        <f t="shared" si="1"/>
        <v>CRAYTON QUNTRELL</v>
      </c>
    </row>
    <row r="116" spans="1:7" x14ac:dyDescent="0.25">
      <c r="A116" s="8">
        <v>42743.483900462961</v>
      </c>
      <c r="B116" s="21" t="s">
        <v>260</v>
      </c>
      <c r="C116" s="21" t="s">
        <v>524</v>
      </c>
      <c r="D116" s="160">
        <v>1830000</v>
      </c>
      <c r="E116" s="21" t="s">
        <v>297</v>
      </c>
      <c r="F116" s="21" t="s">
        <v>298</v>
      </c>
      <c r="G116" s="8" t="str">
        <f t="shared" si="1"/>
        <v>YORK EDGAR</v>
      </c>
    </row>
    <row r="117" spans="1:7" x14ac:dyDescent="0.25">
      <c r="A117" s="8">
        <v>42743.48673611111</v>
      </c>
      <c r="B117" s="21" t="s">
        <v>376</v>
      </c>
      <c r="C117" s="21" t="s">
        <v>525</v>
      </c>
      <c r="D117" s="160">
        <v>1770000</v>
      </c>
      <c r="E117" s="21" t="s">
        <v>343</v>
      </c>
      <c r="F117" s="21" t="s">
        <v>344</v>
      </c>
      <c r="G117" s="8" t="str">
        <f t="shared" si="1"/>
        <v>BRUDER RICHARD</v>
      </c>
    </row>
    <row r="118" spans="1:7" x14ac:dyDescent="0.25">
      <c r="A118" s="8">
        <v>42743.496412037035</v>
      </c>
      <c r="B118" s="21" t="s">
        <v>212</v>
      </c>
      <c r="C118" s="21" t="s">
        <v>526</v>
      </c>
      <c r="D118" s="160">
        <v>2250000</v>
      </c>
      <c r="E118" s="21" t="s">
        <v>317</v>
      </c>
      <c r="F118" s="21" t="s">
        <v>318</v>
      </c>
      <c r="G118" s="8" t="str">
        <f t="shared" si="1"/>
        <v>CRAYTON QUNTRELL</v>
      </c>
    </row>
    <row r="119" spans="1:7" x14ac:dyDescent="0.25">
      <c r="A119" s="8">
        <v>42743.496435185189</v>
      </c>
      <c r="B119" s="21" t="s">
        <v>365</v>
      </c>
      <c r="C119" s="21" t="s">
        <v>527</v>
      </c>
      <c r="D119" s="160">
        <v>880000</v>
      </c>
      <c r="E119" s="21" t="s">
        <v>516</v>
      </c>
      <c r="F119" s="21" t="s">
        <v>246</v>
      </c>
      <c r="G119" s="8" t="str">
        <f t="shared" si="1"/>
        <v>STEWART MICHAEL</v>
      </c>
    </row>
    <row r="120" spans="1:7" x14ac:dyDescent="0.25">
      <c r="A120" s="8">
        <v>42743.497604166667</v>
      </c>
      <c r="B120" s="21" t="s">
        <v>259</v>
      </c>
      <c r="C120" s="21" t="s">
        <v>528</v>
      </c>
      <c r="D120" s="160">
        <v>1830000</v>
      </c>
      <c r="E120" s="21" t="s">
        <v>297</v>
      </c>
      <c r="F120" s="21" t="s">
        <v>298</v>
      </c>
      <c r="G120" s="8" t="str">
        <f t="shared" si="1"/>
        <v>YORK EDGAR</v>
      </c>
    </row>
    <row r="121" spans="1:7" x14ac:dyDescent="0.25">
      <c r="A121" s="8">
        <v>42743.500081018516</v>
      </c>
      <c r="B121" s="21" t="s">
        <v>295</v>
      </c>
      <c r="C121" s="21" t="s">
        <v>529</v>
      </c>
      <c r="D121" s="160">
        <v>2030000</v>
      </c>
      <c r="E121" s="21" t="s">
        <v>372</v>
      </c>
      <c r="F121" s="21" t="s">
        <v>373</v>
      </c>
      <c r="G121" s="8" t="str">
        <f t="shared" si="1"/>
        <v>KILLION DAVID</v>
      </c>
    </row>
    <row r="122" spans="1:7" x14ac:dyDescent="0.25">
      <c r="A122" s="8">
        <v>42743.508020833331</v>
      </c>
      <c r="B122" s="26" t="s">
        <v>309</v>
      </c>
      <c r="C122" s="21" t="s">
        <v>530</v>
      </c>
      <c r="D122" s="160">
        <v>2010000</v>
      </c>
      <c r="E122" s="21" t="s">
        <v>438</v>
      </c>
      <c r="F122" s="21" t="s">
        <v>439</v>
      </c>
      <c r="G122" s="8" t="str">
        <f t="shared" si="1"/>
        <v>MAELZER KURT</v>
      </c>
    </row>
    <row r="123" spans="1:7" x14ac:dyDescent="0.25">
      <c r="A123" s="8">
        <v>42743.508287037039</v>
      </c>
      <c r="B123" s="21" t="s">
        <v>283</v>
      </c>
      <c r="C123" s="21" t="s">
        <v>417</v>
      </c>
      <c r="D123" s="160">
        <v>2470000</v>
      </c>
      <c r="E123" s="21" t="s">
        <v>506</v>
      </c>
      <c r="F123" s="21" t="s">
        <v>507</v>
      </c>
      <c r="G123" s="8" t="str">
        <f t="shared" si="1"/>
        <v>ROMERO CHAD</v>
      </c>
    </row>
    <row r="124" spans="1:7" x14ac:dyDescent="0.25">
      <c r="A124" s="8">
        <v>42743.517685185187</v>
      </c>
      <c r="B124" s="21" t="s">
        <v>222</v>
      </c>
      <c r="C124" s="21" t="s">
        <v>418</v>
      </c>
      <c r="D124" s="160">
        <v>2030000</v>
      </c>
      <c r="E124" s="21" t="s">
        <v>372</v>
      </c>
      <c r="F124" s="21" t="s">
        <v>373</v>
      </c>
      <c r="G124" s="8" t="str">
        <f t="shared" si="1"/>
        <v>KILLION DAVID</v>
      </c>
    </row>
    <row r="125" spans="1:7" x14ac:dyDescent="0.25">
      <c r="A125" s="8">
        <v>42743.522534722222</v>
      </c>
      <c r="B125" s="21" t="s">
        <v>306</v>
      </c>
      <c r="C125" s="21" t="s">
        <v>531</v>
      </c>
      <c r="D125" s="160">
        <v>2370000</v>
      </c>
      <c r="E125" s="21" t="s">
        <v>374</v>
      </c>
      <c r="F125" s="21" t="s">
        <v>375</v>
      </c>
      <c r="G125" s="8" t="str">
        <f t="shared" si="1"/>
        <v>DELGADO DIANAH</v>
      </c>
    </row>
    <row r="126" spans="1:7" x14ac:dyDescent="0.25">
      <c r="A126" s="8">
        <v>42743.524363425924</v>
      </c>
      <c r="B126" s="21" t="s">
        <v>296</v>
      </c>
      <c r="C126" s="21" t="s">
        <v>532</v>
      </c>
      <c r="D126" s="160">
        <v>2110000</v>
      </c>
      <c r="E126" s="21" t="s">
        <v>261</v>
      </c>
      <c r="F126" s="21" t="s">
        <v>262</v>
      </c>
      <c r="G126" s="8" t="str">
        <f t="shared" si="1"/>
        <v>OUN ZACK</v>
      </c>
    </row>
    <row r="127" spans="1:7" x14ac:dyDescent="0.25">
      <c r="A127" s="8">
        <v>42743.524918981479</v>
      </c>
      <c r="B127" s="21" t="s">
        <v>296</v>
      </c>
      <c r="C127" s="21" t="s">
        <v>532</v>
      </c>
      <c r="D127" s="160">
        <v>2110000</v>
      </c>
      <c r="E127" s="21" t="s">
        <v>261</v>
      </c>
      <c r="F127" s="21" t="s">
        <v>262</v>
      </c>
      <c r="G127" s="8" t="str">
        <f t="shared" si="1"/>
        <v>OUN ZACK</v>
      </c>
    </row>
    <row r="128" spans="1:7" x14ac:dyDescent="0.25">
      <c r="A128" s="8">
        <v>42743.526203703703</v>
      </c>
      <c r="B128" s="21" t="s">
        <v>260</v>
      </c>
      <c r="C128" s="21" t="s">
        <v>533</v>
      </c>
      <c r="D128" s="160">
        <v>1830000</v>
      </c>
      <c r="E128" s="21" t="s">
        <v>297</v>
      </c>
      <c r="F128" s="21" t="s">
        <v>298</v>
      </c>
      <c r="G128" s="8" t="str">
        <f t="shared" si="1"/>
        <v>YORK EDGAR</v>
      </c>
    </row>
    <row r="129" spans="1:7" x14ac:dyDescent="0.25">
      <c r="A129" s="8">
        <v>42743.535416666666</v>
      </c>
      <c r="B129" s="21" t="s">
        <v>205</v>
      </c>
      <c r="C129" s="21" t="s">
        <v>534</v>
      </c>
      <c r="D129" s="160">
        <v>1300000</v>
      </c>
      <c r="E129" s="21" t="s">
        <v>113</v>
      </c>
      <c r="F129" s="21" t="s">
        <v>522</v>
      </c>
      <c r="G129" s="8" t="str">
        <f t="shared" si="1"/>
        <v>LEVIN SCOTT</v>
      </c>
    </row>
    <row r="130" spans="1:7" x14ac:dyDescent="0.25">
      <c r="A130" s="8">
        <v>42743.538043981483</v>
      </c>
      <c r="B130" s="21" t="s">
        <v>210</v>
      </c>
      <c r="C130" s="21" t="s">
        <v>535</v>
      </c>
      <c r="D130" s="160">
        <v>2420000</v>
      </c>
      <c r="E130" s="21" t="s">
        <v>213</v>
      </c>
      <c r="F130" s="21" t="s">
        <v>509</v>
      </c>
      <c r="G130" s="8" t="str">
        <f t="shared" si="1"/>
        <v>HOLCOMB KAMDEN</v>
      </c>
    </row>
    <row r="131" spans="1:7" x14ac:dyDescent="0.25">
      <c r="A131" s="8">
        <v>42743.539236111108</v>
      </c>
      <c r="B131" s="21" t="s">
        <v>259</v>
      </c>
      <c r="C131" s="21" t="s">
        <v>536</v>
      </c>
      <c r="D131" s="160">
        <v>1830000</v>
      </c>
      <c r="E131" s="21" t="s">
        <v>297</v>
      </c>
      <c r="F131" s="21" t="s">
        <v>298</v>
      </c>
      <c r="G131" s="8" t="str">
        <f t="shared" ref="G131:G194" si="2">E131&amp;" "&amp;F131</f>
        <v>YORK EDGAR</v>
      </c>
    </row>
    <row r="132" spans="1:7" x14ac:dyDescent="0.25">
      <c r="A132" s="8">
        <v>42743.54383101852</v>
      </c>
      <c r="B132" s="21" t="s">
        <v>321</v>
      </c>
      <c r="C132" s="21" t="s">
        <v>419</v>
      </c>
      <c r="D132" s="160">
        <v>920000</v>
      </c>
      <c r="E132" s="21" t="s">
        <v>443</v>
      </c>
      <c r="F132" s="21" t="s">
        <v>246</v>
      </c>
      <c r="G132" s="8" t="str">
        <f t="shared" si="2"/>
        <v>DAVIS MICHAEL</v>
      </c>
    </row>
    <row r="133" spans="1:7" x14ac:dyDescent="0.25">
      <c r="A133" s="8">
        <v>42743.547372685185</v>
      </c>
      <c r="B133" s="21" t="s">
        <v>371</v>
      </c>
      <c r="C133" s="21" t="s">
        <v>537</v>
      </c>
      <c r="D133" s="160">
        <v>1770000</v>
      </c>
      <c r="E133" s="21" t="s">
        <v>343</v>
      </c>
      <c r="F133" s="21" t="s">
        <v>344</v>
      </c>
      <c r="G133" s="8" t="str">
        <f t="shared" si="2"/>
        <v>BRUDER RICHARD</v>
      </c>
    </row>
    <row r="134" spans="1:7" x14ac:dyDescent="0.25">
      <c r="A134" s="8">
        <v>42743.551261574074</v>
      </c>
      <c r="B134" s="21" t="s">
        <v>308</v>
      </c>
      <c r="C134" s="21" t="s">
        <v>538</v>
      </c>
      <c r="D134" s="160">
        <v>2370000</v>
      </c>
      <c r="E134" s="21" t="s">
        <v>374</v>
      </c>
      <c r="F134" s="21" t="s">
        <v>375</v>
      </c>
      <c r="G134" s="8" t="str">
        <f t="shared" si="2"/>
        <v>DELGADO DIANAH</v>
      </c>
    </row>
    <row r="135" spans="1:7" x14ac:dyDescent="0.25">
      <c r="A135" s="8">
        <v>42743.559131944443</v>
      </c>
      <c r="B135" s="21" t="s">
        <v>412</v>
      </c>
      <c r="C135" s="21" t="s">
        <v>539</v>
      </c>
      <c r="D135" s="160">
        <v>2470000</v>
      </c>
      <c r="E135" s="21" t="s">
        <v>506</v>
      </c>
      <c r="F135" s="21" t="s">
        <v>507</v>
      </c>
      <c r="G135" s="8" t="str">
        <f t="shared" si="2"/>
        <v>ROMERO CHAD</v>
      </c>
    </row>
    <row r="136" spans="1:7" x14ac:dyDescent="0.25">
      <c r="A136" s="8">
        <v>42743.566631944443</v>
      </c>
      <c r="B136" s="21" t="s">
        <v>250</v>
      </c>
      <c r="C136" s="21" t="s">
        <v>421</v>
      </c>
      <c r="D136" s="160">
        <v>2030000</v>
      </c>
      <c r="E136" s="21" t="s">
        <v>372</v>
      </c>
      <c r="F136" s="21" t="s">
        <v>373</v>
      </c>
      <c r="G136" s="8" t="str">
        <f t="shared" si="2"/>
        <v>KILLION DAVID</v>
      </c>
    </row>
    <row r="137" spans="1:7" x14ac:dyDescent="0.25">
      <c r="A137" s="8">
        <v>42743.567060185182</v>
      </c>
      <c r="B137" s="21" t="s">
        <v>260</v>
      </c>
      <c r="C137" s="21" t="s">
        <v>540</v>
      </c>
      <c r="D137" s="160">
        <v>1830000</v>
      </c>
      <c r="E137" s="21" t="s">
        <v>297</v>
      </c>
      <c r="F137" s="21" t="s">
        <v>298</v>
      </c>
      <c r="G137" s="8" t="str">
        <f t="shared" si="2"/>
        <v>YORK EDGAR</v>
      </c>
    </row>
    <row r="138" spans="1:7" x14ac:dyDescent="0.25">
      <c r="A138" s="8">
        <v>42743.569062499999</v>
      </c>
      <c r="B138" s="21" t="s">
        <v>204</v>
      </c>
      <c r="C138" s="21" t="s">
        <v>541</v>
      </c>
      <c r="D138" s="160">
        <v>1300000</v>
      </c>
      <c r="E138" s="21" t="s">
        <v>113</v>
      </c>
      <c r="F138" s="21" t="s">
        <v>522</v>
      </c>
      <c r="G138" s="8" t="str">
        <f t="shared" si="2"/>
        <v>LEVIN SCOTT</v>
      </c>
    </row>
    <row r="139" spans="1:7" x14ac:dyDescent="0.25">
      <c r="A139" s="8">
        <v>42743.578449074077</v>
      </c>
      <c r="B139" s="21" t="s">
        <v>338</v>
      </c>
      <c r="C139" s="21" t="s">
        <v>542</v>
      </c>
      <c r="D139" s="160">
        <v>2420000</v>
      </c>
      <c r="E139" s="21" t="s">
        <v>213</v>
      </c>
      <c r="F139" s="21" t="s">
        <v>509</v>
      </c>
      <c r="G139" s="8" t="str">
        <f t="shared" si="2"/>
        <v>HOLCOMB KAMDEN</v>
      </c>
    </row>
    <row r="140" spans="1:7" x14ac:dyDescent="0.25">
      <c r="A140" s="8">
        <v>42743.58865740741</v>
      </c>
      <c r="B140" s="21" t="s">
        <v>321</v>
      </c>
      <c r="C140" s="21" t="s">
        <v>419</v>
      </c>
      <c r="D140" s="160">
        <v>920000</v>
      </c>
      <c r="E140" s="21" t="s">
        <v>443</v>
      </c>
      <c r="F140" s="21" t="s">
        <v>246</v>
      </c>
      <c r="G140" s="8" t="str">
        <f t="shared" si="2"/>
        <v>DAVIS MICHAEL</v>
      </c>
    </row>
    <row r="141" spans="1:7" x14ac:dyDescent="0.25">
      <c r="A141" s="8">
        <v>42743.592314814814</v>
      </c>
      <c r="B141" s="21" t="s">
        <v>259</v>
      </c>
      <c r="C141" s="21" t="s">
        <v>543</v>
      </c>
      <c r="D141" s="160">
        <v>1540000</v>
      </c>
      <c r="E141" s="21" t="s">
        <v>341</v>
      </c>
      <c r="F141" s="21" t="s">
        <v>342</v>
      </c>
      <c r="G141" s="8" t="str">
        <f t="shared" si="2"/>
        <v>HELVIE ADAM</v>
      </c>
    </row>
    <row r="142" spans="1:7" x14ac:dyDescent="0.25">
      <c r="A142" s="8">
        <v>42743.592939814815</v>
      </c>
      <c r="B142" s="21" t="s">
        <v>183</v>
      </c>
      <c r="C142" s="21" t="s">
        <v>420</v>
      </c>
      <c r="D142" s="160">
        <v>920000</v>
      </c>
      <c r="E142" s="21" t="s">
        <v>443</v>
      </c>
      <c r="F142" s="21" t="s">
        <v>246</v>
      </c>
      <c r="G142" s="8" t="str">
        <f t="shared" si="2"/>
        <v>DAVIS MICHAEL</v>
      </c>
    </row>
    <row r="143" spans="1:7" x14ac:dyDescent="0.25">
      <c r="A143" s="8">
        <v>42743.600983796299</v>
      </c>
      <c r="B143" s="21" t="s">
        <v>306</v>
      </c>
      <c r="C143" s="21" t="s">
        <v>544</v>
      </c>
      <c r="D143" s="160">
        <v>2370000</v>
      </c>
      <c r="E143" s="21" t="s">
        <v>374</v>
      </c>
      <c r="F143" s="21" t="s">
        <v>375</v>
      </c>
      <c r="G143" s="8" t="str">
        <f t="shared" si="2"/>
        <v>DELGADO DIANAH</v>
      </c>
    </row>
    <row r="144" spans="1:7" x14ac:dyDescent="0.25">
      <c r="A144" s="8">
        <v>42743.603379629632</v>
      </c>
      <c r="B144" s="21" t="s">
        <v>369</v>
      </c>
      <c r="C144" s="21" t="s">
        <v>545</v>
      </c>
      <c r="D144" s="160">
        <v>880000</v>
      </c>
      <c r="E144" s="21" t="s">
        <v>516</v>
      </c>
      <c r="F144" s="21" t="s">
        <v>246</v>
      </c>
      <c r="G144" s="8" t="str">
        <f t="shared" si="2"/>
        <v>STEWART MICHAEL</v>
      </c>
    </row>
    <row r="145" spans="1:7" x14ac:dyDescent="0.25">
      <c r="A145" s="8">
        <v>42743.608344907407</v>
      </c>
      <c r="B145" s="21" t="s">
        <v>376</v>
      </c>
      <c r="C145" s="21" t="s">
        <v>546</v>
      </c>
      <c r="D145" s="160">
        <v>1770000</v>
      </c>
      <c r="E145" s="21" t="s">
        <v>343</v>
      </c>
      <c r="F145" s="21" t="s">
        <v>344</v>
      </c>
      <c r="G145" s="8" t="str">
        <f t="shared" si="2"/>
        <v>BRUDER RICHARD</v>
      </c>
    </row>
    <row r="146" spans="1:7" x14ac:dyDescent="0.25">
      <c r="A146" s="8">
        <v>42743.609976851854</v>
      </c>
      <c r="B146" s="21" t="s">
        <v>205</v>
      </c>
      <c r="C146" s="21" t="s">
        <v>422</v>
      </c>
      <c r="D146" s="160">
        <v>1300000</v>
      </c>
      <c r="E146" s="21" t="s">
        <v>113</v>
      </c>
      <c r="F146" s="21" t="s">
        <v>522</v>
      </c>
      <c r="G146" s="8" t="str">
        <f t="shared" si="2"/>
        <v>LEVIN SCOTT</v>
      </c>
    </row>
    <row r="147" spans="1:7" x14ac:dyDescent="0.25">
      <c r="A147" s="8">
        <v>42743.612337962964</v>
      </c>
      <c r="B147" s="21" t="s">
        <v>260</v>
      </c>
      <c r="C147" s="21" t="s">
        <v>547</v>
      </c>
      <c r="D147" s="160">
        <v>1540000</v>
      </c>
      <c r="E147" s="21" t="s">
        <v>341</v>
      </c>
      <c r="F147" s="21" t="s">
        <v>342</v>
      </c>
      <c r="G147" s="8" t="str">
        <f t="shared" si="2"/>
        <v>HELVIE ADAM</v>
      </c>
    </row>
    <row r="148" spans="1:7" x14ac:dyDescent="0.25">
      <c r="A148" s="8">
        <v>42743.616655092592</v>
      </c>
      <c r="B148" s="21" t="s">
        <v>212</v>
      </c>
      <c r="C148" s="21" t="s">
        <v>548</v>
      </c>
      <c r="D148" s="160">
        <v>2250000</v>
      </c>
      <c r="E148" s="21" t="s">
        <v>317</v>
      </c>
      <c r="F148" s="21" t="s">
        <v>318</v>
      </c>
      <c r="G148" s="8" t="str">
        <f t="shared" si="2"/>
        <v>CRAYTON QUNTRELL</v>
      </c>
    </row>
    <row r="149" spans="1:7" x14ac:dyDescent="0.25">
      <c r="A149" s="8">
        <v>42743.62190972222</v>
      </c>
      <c r="B149" s="21" t="s">
        <v>283</v>
      </c>
      <c r="C149" s="21" t="s">
        <v>549</v>
      </c>
      <c r="D149" s="160">
        <v>2030000</v>
      </c>
      <c r="E149" s="21" t="s">
        <v>372</v>
      </c>
      <c r="F149" s="21" t="s">
        <v>373</v>
      </c>
      <c r="G149" s="8" t="str">
        <f t="shared" si="2"/>
        <v>KILLION DAVID</v>
      </c>
    </row>
    <row r="150" spans="1:7" x14ac:dyDescent="0.25">
      <c r="A150" s="8">
        <v>42743.631956018522</v>
      </c>
      <c r="B150" s="21" t="s">
        <v>321</v>
      </c>
      <c r="C150" s="21" t="s">
        <v>423</v>
      </c>
      <c r="D150" s="160">
        <v>920000</v>
      </c>
      <c r="E150" s="21" t="s">
        <v>443</v>
      </c>
      <c r="F150" s="21" t="s">
        <v>246</v>
      </c>
      <c r="G150" s="8" t="str">
        <f t="shared" si="2"/>
        <v>DAVIS MICHAEL</v>
      </c>
    </row>
    <row r="151" spans="1:7" x14ac:dyDescent="0.25">
      <c r="A151" s="8">
        <v>42743.634699074071</v>
      </c>
      <c r="B151" s="21" t="s">
        <v>308</v>
      </c>
      <c r="C151" s="21" t="s">
        <v>550</v>
      </c>
      <c r="D151" s="160">
        <v>2470000</v>
      </c>
      <c r="E151" s="21" t="s">
        <v>506</v>
      </c>
      <c r="F151" s="21" t="s">
        <v>507</v>
      </c>
      <c r="G151" s="8" t="str">
        <f t="shared" si="2"/>
        <v>ROMERO CHAD</v>
      </c>
    </row>
    <row r="152" spans="1:7" x14ac:dyDescent="0.25">
      <c r="A152" s="8">
        <v>42743.637303240743</v>
      </c>
      <c r="B152" s="21" t="s">
        <v>259</v>
      </c>
      <c r="C152" s="21" t="s">
        <v>551</v>
      </c>
      <c r="D152" s="160">
        <v>1540000</v>
      </c>
      <c r="E152" s="21" t="s">
        <v>341</v>
      </c>
      <c r="F152" s="21" t="s">
        <v>342</v>
      </c>
      <c r="G152" s="8" t="str">
        <f t="shared" si="2"/>
        <v>HELVIE ADAM</v>
      </c>
    </row>
    <row r="153" spans="1:7" x14ac:dyDescent="0.25">
      <c r="A153" s="8">
        <v>42743.641087962962</v>
      </c>
      <c r="B153" s="21" t="s">
        <v>365</v>
      </c>
      <c r="C153" s="21" t="s">
        <v>552</v>
      </c>
      <c r="D153" s="160">
        <v>880000</v>
      </c>
      <c r="E153" s="21" t="s">
        <v>516</v>
      </c>
      <c r="F153" s="21" t="s">
        <v>246</v>
      </c>
      <c r="G153" s="8" t="str">
        <f t="shared" si="2"/>
        <v>STEWART MICHAEL</v>
      </c>
    </row>
    <row r="154" spans="1:7" x14ac:dyDescent="0.25">
      <c r="A154" s="8">
        <v>42743.649293981478</v>
      </c>
      <c r="B154" s="21" t="s">
        <v>371</v>
      </c>
      <c r="C154" s="21" t="s">
        <v>553</v>
      </c>
      <c r="D154" s="160">
        <v>1770000</v>
      </c>
      <c r="E154" s="21" t="s">
        <v>343</v>
      </c>
      <c r="F154" s="21" t="s">
        <v>344</v>
      </c>
      <c r="G154" s="8" t="str">
        <f t="shared" si="2"/>
        <v>BRUDER RICHARD</v>
      </c>
    </row>
    <row r="155" spans="1:7" x14ac:dyDescent="0.25">
      <c r="A155" s="8">
        <v>42743.651423611111</v>
      </c>
      <c r="B155" s="21" t="s">
        <v>260</v>
      </c>
      <c r="C155" s="21" t="s">
        <v>424</v>
      </c>
      <c r="D155" s="160">
        <v>1540000</v>
      </c>
      <c r="E155" s="21" t="s">
        <v>341</v>
      </c>
      <c r="F155" s="21" t="s">
        <v>342</v>
      </c>
      <c r="G155" s="8" t="str">
        <f t="shared" si="2"/>
        <v>HELVIE ADAM</v>
      </c>
    </row>
    <row r="156" spans="1:7" x14ac:dyDescent="0.25">
      <c r="A156" s="8">
        <v>42743.653020833335</v>
      </c>
      <c r="B156" s="21" t="s">
        <v>204</v>
      </c>
      <c r="C156" s="21" t="s">
        <v>554</v>
      </c>
      <c r="D156" s="160">
        <v>1300000</v>
      </c>
      <c r="E156" s="21" t="s">
        <v>113</v>
      </c>
      <c r="F156" s="21" t="s">
        <v>522</v>
      </c>
      <c r="G156" s="8" t="str">
        <f t="shared" si="2"/>
        <v>LEVIN SCOTT</v>
      </c>
    </row>
    <row r="157" spans="1:7" x14ac:dyDescent="0.25">
      <c r="A157" s="8">
        <v>42743.660046296296</v>
      </c>
      <c r="B157" s="21" t="s">
        <v>307</v>
      </c>
      <c r="C157" s="21" t="s">
        <v>555</v>
      </c>
      <c r="D157" s="160">
        <v>2250000</v>
      </c>
      <c r="E157" s="21" t="s">
        <v>317</v>
      </c>
      <c r="F157" s="21" t="s">
        <v>318</v>
      </c>
      <c r="G157" s="8" t="str">
        <f t="shared" si="2"/>
        <v>CRAYTON QUNTRELL</v>
      </c>
    </row>
    <row r="158" spans="1:7" x14ac:dyDescent="0.25">
      <c r="A158" s="8">
        <v>42743.668645833335</v>
      </c>
      <c r="B158" s="21" t="s">
        <v>412</v>
      </c>
      <c r="C158" s="21" t="s">
        <v>556</v>
      </c>
      <c r="D158" s="160">
        <v>2030000</v>
      </c>
      <c r="E158" s="21" t="s">
        <v>372</v>
      </c>
      <c r="F158" s="21" t="s">
        <v>373</v>
      </c>
      <c r="G158" s="8" t="str">
        <f t="shared" si="2"/>
        <v>KILLION DAVID</v>
      </c>
    </row>
    <row r="159" spans="1:7" x14ac:dyDescent="0.25">
      <c r="A159" s="8">
        <v>42743.670266203706</v>
      </c>
      <c r="B159" s="21" t="s">
        <v>412</v>
      </c>
      <c r="C159" s="21" t="s">
        <v>556</v>
      </c>
      <c r="D159" s="160">
        <v>2030000</v>
      </c>
      <c r="E159" s="21" t="s">
        <v>372</v>
      </c>
      <c r="F159" s="21" t="s">
        <v>373</v>
      </c>
      <c r="G159" s="8" t="str">
        <f t="shared" si="2"/>
        <v>KILLION DAVID</v>
      </c>
    </row>
    <row r="160" spans="1:7" x14ac:dyDescent="0.25">
      <c r="A160" s="8">
        <v>42743.67050925926</v>
      </c>
      <c r="B160" s="21" t="s">
        <v>183</v>
      </c>
      <c r="C160" s="21" t="s">
        <v>557</v>
      </c>
      <c r="D160" s="160">
        <v>920000</v>
      </c>
      <c r="E160" s="21" t="s">
        <v>443</v>
      </c>
      <c r="F160" s="21" t="s">
        <v>246</v>
      </c>
      <c r="G160" s="8" t="str">
        <f t="shared" si="2"/>
        <v>DAVIS MICHAEL</v>
      </c>
    </row>
    <row r="161" spans="1:7" x14ac:dyDescent="0.25">
      <c r="A161" s="8">
        <v>42743.673414351855</v>
      </c>
      <c r="B161" s="21" t="s">
        <v>369</v>
      </c>
      <c r="C161" s="21" t="s">
        <v>558</v>
      </c>
      <c r="D161" s="160">
        <v>880000</v>
      </c>
      <c r="E161" s="21" t="s">
        <v>516</v>
      </c>
      <c r="F161" s="21" t="s">
        <v>246</v>
      </c>
      <c r="G161" s="8" t="str">
        <f t="shared" si="2"/>
        <v>STEWART MICHAEL</v>
      </c>
    </row>
    <row r="162" spans="1:7" x14ac:dyDescent="0.25">
      <c r="A162" s="8">
        <v>42743.673587962963</v>
      </c>
      <c r="B162" s="21" t="s">
        <v>306</v>
      </c>
      <c r="C162" s="21" t="s">
        <v>559</v>
      </c>
      <c r="D162" s="160">
        <v>2470000</v>
      </c>
      <c r="E162" s="21" t="s">
        <v>506</v>
      </c>
      <c r="F162" s="21" t="s">
        <v>507</v>
      </c>
      <c r="G162" s="8" t="str">
        <f t="shared" si="2"/>
        <v>ROMERO CHAD</v>
      </c>
    </row>
    <row r="163" spans="1:7" x14ac:dyDescent="0.25">
      <c r="A163" s="8">
        <v>42743.678298611114</v>
      </c>
      <c r="B163" s="21" t="s">
        <v>259</v>
      </c>
      <c r="C163" s="21" t="s">
        <v>560</v>
      </c>
      <c r="D163" s="160">
        <v>1540000</v>
      </c>
      <c r="E163" s="21" t="s">
        <v>341</v>
      </c>
      <c r="F163" s="21" t="s">
        <v>342</v>
      </c>
      <c r="G163" s="8" t="str">
        <f t="shared" si="2"/>
        <v>HELVIE ADAM</v>
      </c>
    </row>
    <row r="164" spans="1:7" x14ac:dyDescent="0.25">
      <c r="A164" s="8">
        <v>42743.68472222222</v>
      </c>
      <c r="B164" s="21" t="s">
        <v>376</v>
      </c>
      <c r="C164" s="21" t="s">
        <v>561</v>
      </c>
      <c r="D164" s="160">
        <v>1770000</v>
      </c>
      <c r="E164" s="21" t="s">
        <v>343</v>
      </c>
      <c r="F164" s="21" t="s">
        <v>344</v>
      </c>
      <c r="G164" s="8" t="str">
        <f t="shared" si="2"/>
        <v>BRUDER RICHARD</v>
      </c>
    </row>
    <row r="165" spans="1:7" x14ac:dyDescent="0.25">
      <c r="A165" s="8">
        <v>42743.689432870371</v>
      </c>
      <c r="B165" s="21" t="s">
        <v>205</v>
      </c>
      <c r="C165" s="21" t="s">
        <v>562</v>
      </c>
      <c r="D165" s="160">
        <v>1300000</v>
      </c>
      <c r="E165" s="21" t="s">
        <v>113</v>
      </c>
      <c r="F165" s="21" t="s">
        <v>522</v>
      </c>
      <c r="G165" s="8" t="str">
        <f t="shared" si="2"/>
        <v>LEVIN SCOTT</v>
      </c>
    </row>
    <row r="166" spans="1:7" x14ac:dyDescent="0.25">
      <c r="A166" s="8">
        <v>42743.692777777775</v>
      </c>
      <c r="B166" s="21" t="s">
        <v>212</v>
      </c>
      <c r="C166" s="21" t="s">
        <v>563</v>
      </c>
      <c r="D166" s="160">
        <v>2250000</v>
      </c>
      <c r="E166" s="21" t="s">
        <v>317</v>
      </c>
      <c r="F166" s="21" t="s">
        <v>318</v>
      </c>
      <c r="G166" s="8" t="str">
        <f t="shared" si="2"/>
        <v>CRAYTON QUNTRELL</v>
      </c>
    </row>
    <row r="167" spans="1:7" x14ac:dyDescent="0.25">
      <c r="A167" s="8">
        <v>42743.69394675926</v>
      </c>
      <c r="B167" s="21" t="s">
        <v>260</v>
      </c>
      <c r="C167" s="21" t="s">
        <v>564</v>
      </c>
      <c r="D167" s="160">
        <v>1540000</v>
      </c>
      <c r="E167" s="21" t="s">
        <v>341</v>
      </c>
      <c r="F167" s="21" t="s">
        <v>342</v>
      </c>
      <c r="G167" s="8" t="str">
        <f t="shared" si="2"/>
        <v>HELVIE ADAM</v>
      </c>
    </row>
    <row r="168" spans="1:7" x14ac:dyDescent="0.25">
      <c r="A168" s="8">
        <v>42743.696134259262</v>
      </c>
      <c r="B168" s="21" t="s">
        <v>260</v>
      </c>
      <c r="C168" s="21" t="s">
        <v>564</v>
      </c>
      <c r="D168" s="160">
        <v>1540000</v>
      </c>
      <c r="E168" s="21" t="s">
        <v>341</v>
      </c>
      <c r="F168" s="21" t="s">
        <v>342</v>
      </c>
      <c r="G168" s="8" t="str">
        <f t="shared" si="2"/>
        <v>HELVIE ADAM</v>
      </c>
    </row>
    <row r="169" spans="1:7" x14ac:dyDescent="0.25">
      <c r="A169" s="8">
        <v>42743.704270833332</v>
      </c>
      <c r="B169" s="21" t="s">
        <v>321</v>
      </c>
      <c r="C169" s="21" t="s">
        <v>425</v>
      </c>
      <c r="D169" s="160">
        <v>920000</v>
      </c>
      <c r="E169" s="21" t="s">
        <v>443</v>
      </c>
      <c r="F169" s="21" t="s">
        <v>246</v>
      </c>
      <c r="G169" s="8" t="str">
        <f t="shared" si="2"/>
        <v>DAVIS MICHAEL</v>
      </c>
    </row>
    <row r="170" spans="1:7" x14ac:dyDescent="0.25">
      <c r="A170" s="8">
        <v>42743.706064814818</v>
      </c>
      <c r="B170" s="21" t="s">
        <v>283</v>
      </c>
      <c r="C170" s="21" t="s">
        <v>565</v>
      </c>
      <c r="D170" s="160">
        <v>2030000</v>
      </c>
      <c r="E170" s="21" t="s">
        <v>372</v>
      </c>
      <c r="F170" s="21" t="s">
        <v>373</v>
      </c>
      <c r="G170" s="8" t="str">
        <f t="shared" si="2"/>
        <v>KILLION DAVID</v>
      </c>
    </row>
    <row r="171" spans="1:7" x14ac:dyDescent="0.25">
      <c r="A171" s="8">
        <v>42743.710393518515</v>
      </c>
      <c r="B171" s="21" t="s">
        <v>295</v>
      </c>
      <c r="C171" s="21" t="s">
        <v>566</v>
      </c>
      <c r="D171" s="160">
        <v>1810000</v>
      </c>
      <c r="E171" s="21" t="s">
        <v>256</v>
      </c>
      <c r="F171" s="21" t="s">
        <v>238</v>
      </c>
      <c r="G171" s="8" t="str">
        <f t="shared" si="2"/>
        <v>NEWELL JAMES</v>
      </c>
    </row>
    <row r="172" spans="1:7" x14ac:dyDescent="0.25">
      <c r="A172" s="8">
        <v>42743.713692129626</v>
      </c>
      <c r="B172" s="21" t="s">
        <v>365</v>
      </c>
      <c r="C172" s="21" t="s">
        <v>567</v>
      </c>
      <c r="D172" s="160">
        <v>880000</v>
      </c>
      <c r="E172" s="21" t="s">
        <v>516</v>
      </c>
      <c r="F172" s="21" t="s">
        <v>246</v>
      </c>
      <c r="G172" s="8" t="str">
        <f t="shared" si="2"/>
        <v>STEWART MICHAEL</v>
      </c>
    </row>
    <row r="173" spans="1:7" x14ac:dyDescent="0.25">
      <c r="A173" s="8">
        <v>42743.716006944444</v>
      </c>
      <c r="B173" s="21" t="s">
        <v>308</v>
      </c>
      <c r="C173" s="21" t="s">
        <v>568</v>
      </c>
      <c r="D173" s="160">
        <v>1800000</v>
      </c>
      <c r="E173" s="21" t="s">
        <v>230</v>
      </c>
      <c r="F173" s="21" t="s">
        <v>241</v>
      </c>
      <c r="G173" s="8" t="str">
        <f t="shared" si="2"/>
        <v>CHANDLER KELVIN</v>
      </c>
    </row>
    <row r="174" spans="1:7" x14ac:dyDescent="0.25">
      <c r="A174" s="8">
        <v>42743.720057870371</v>
      </c>
      <c r="B174" s="21" t="s">
        <v>259</v>
      </c>
      <c r="C174" s="21" t="s">
        <v>569</v>
      </c>
      <c r="D174" s="160">
        <v>1540000</v>
      </c>
      <c r="E174" s="21" t="s">
        <v>341</v>
      </c>
      <c r="F174" s="21" t="s">
        <v>342</v>
      </c>
      <c r="G174" s="8" t="str">
        <f t="shared" si="2"/>
        <v>HELVIE ADAM</v>
      </c>
    </row>
    <row r="175" spans="1:7" x14ac:dyDescent="0.25">
      <c r="A175" s="8">
        <v>42743.721909722219</v>
      </c>
      <c r="B175" s="21" t="s">
        <v>371</v>
      </c>
      <c r="C175" s="21" t="s">
        <v>570</v>
      </c>
      <c r="D175" s="160">
        <v>1770000</v>
      </c>
      <c r="E175" s="21" t="s">
        <v>343</v>
      </c>
      <c r="F175" s="21" t="s">
        <v>344</v>
      </c>
      <c r="G175" s="8" t="str">
        <f t="shared" si="2"/>
        <v>BRUDER RICHARD</v>
      </c>
    </row>
    <row r="176" spans="1:7" x14ac:dyDescent="0.25">
      <c r="A176" s="8">
        <v>42743.725648148145</v>
      </c>
      <c r="B176" s="21" t="s">
        <v>204</v>
      </c>
      <c r="C176" s="21" t="s">
        <v>571</v>
      </c>
      <c r="D176" s="160">
        <v>2450000</v>
      </c>
      <c r="E176" s="21" t="s">
        <v>345</v>
      </c>
      <c r="F176" s="21" t="s">
        <v>346</v>
      </c>
      <c r="G176" s="8" t="str">
        <f t="shared" si="2"/>
        <v>NELSON ARIANE</v>
      </c>
    </row>
    <row r="177" spans="1:7" x14ac:dyDescent="0.25">
      <c r="A177" s="8">
        <v>42743.730706018519</v>
      </c>
      <c r="B177" s="21" t="s">
        <v>307</v>
      </c>
      <c r="C177" s="21" t="s">
        <v>572</v>
      </c>
      <c r="D177" s="160">
        <v>2250000</v>
      </c>
      <c r="E177" s="21" t="s">
        <v>317</v>
      </c>
      <c r="F177" s="21" t="s">
        <v>318</v>
      </c>
      <c r="G177" s="8" t="str">
        <f t="shared" si="2"/>
        <v>CRAYTON QUNTRELL</v>
      </c>
    </row>
    <row r="178" spans="1:7" x14ac:dyDescent="0.25">
      <c r="A178" s="8">
        <v>42743.731689814813</v>
      </c>
      <c r="B178" s="21" t="s">
        <v>210</v>
      </c>
      <c r="C178" s="21" t="s">
        <v>573</v>
      </c>
      <c r="D178" s="160">
        <v>1810000</v>
      </c>
      <c r="E178" s="21" t="s">
        <v>256</v>
      </c>
      <c r="F178" s="21" t="s">
        <v>238</v>
      </c>
      <c r="G178" s="8" t="str">
        <f t="shared" si="2"/>
        <v>NEWELL JAMES</v>
      </c>
    </row>
    <row r="179" spans="1:7" x14ac:dyDescent="0.25">
      <c r="A179" s="8">
        <v>42743.734768518516</v>
      </c>
      <c r="B179" s="21" t="s">
        <v>260</v>
      </c>
      <c r="C179" s="21" t="s">
        <v>574</v>
      </c>
      <c r="D179" s="160">
        <v>1540000</v>
      </c>
      <c r="E179" s="21" t="s">
        <v>341</v>
      </c>
      <c r="F179" s="21" t="s">
        <v>342</v>
      </c>
      <c r="G179" s="8" t="str">
        <f t="shared" si="2"/>
        <v>HELVIE ADAM</v>
      </c>
    </row>
    <row r="180" spans="1:7" x14ac:dyDescent="0.25">
      <c r="A180" s="8">
        <v>42743.742129629631</v>
      </c>
      <c r="B180" s="21" t="s">
        <v>412</v>
      </c>
      <c r="C180" s="21" t="s">
        <v>575</v>
      </c>
      <c r="D180" s="160">
        <v>2030000</v>
      </c>
      <c r="E180" s="21" t="s">
        <v>372</v>
      </c>
      <c r="F180" s="21" t="s">
        <v>373</v>
      </c>
      <c r="G180" s="8" t="str">
        <f t="shared" si="2"/>
        <v>KILLION DAVID</v>
      </c>
    </row>
    <row r="181" spans="1:7" x14ac:dyDescent="0.25">
      <c r="A181" s="8">
        <v>42743.745243055557</v>
      </c>
      <c r="B181" s="21" t="s">
        <v>316</v>
      </c>
      <c r="C181" s="21" t="s">
        <v>576</v>
      </c>
      <c r="D181" s="160">
        <v>2620000</v>
      </c>
      <c r="E181" s="21" t="s">
        <v>577</v>
      </c>
      <c r="F181" s="21" t="s">
        <v>578</v>
      </c>
      <c r="G181" s="8" t="str">
        <f t="shared" si="2"/>
        <v>PERKINS DARREN</v>
      </c>
    </row>
    <row r="182" spans="1:7" x14ac:dyDescent="0.25">
      <c r="A182" s="8">
        <v>42743.74628472222</v>
      </c>
      <c r="B182" s="21" t="s">
        <v>183</v>
      </c>
      <c r="C182" s="21" t="s">
        <v>579</v>
      </c>
      <c r="D182" s="160">
        <v>2420000</v>
      </c>
      <c r="E182" s="21" t="s">
        <v>213</v>
      </c>
      <c r="F182" s="21" t="s">
        <v>509</v>
      </c>
      <c r="G182" s="8" t="str">
        <f t="shared" si="2"/>
        <v>HOLCOMB KAMDEN</v>
      </c>
    </row>
    <row r="183" spans="1:7" x14ac:dyDescent="0.25">
      <c r="A183" s="8">
        <v>42743.749537037038</v>
      </c>
      <c r="B183" s="21" t="s">
        <v>369</v>
      </c>
      <c r="C183" s="21" t="s">
        <v>580</v>
      </c>
      <c r="D183" s="160">
        <v>2550000</v>
      </c>
      <c r="E183" s="21" t="s">
        <v>211</v>
      </c>
      <c r="F183" s="21" t="s">
        <v>377</v>
      </c>
      <c r="G183" s="8" t="str">
        <f t="shared" si="2"/>
        <v>BADERTSCHER DIANE</v>
      </c>
    </row>
    <row r="184" spans="1:7" x14ac:dyDescent="0.25">
      <c r="A184" s="8">
        <v>42743.755208333336</v>
      </c>
      <c r="B184" s="21" t="s">
        <v>296</v>
      </c>
      <c r="C184" s="21" t="s">
        <v>581</v>
      </c>
      <c r="D184" s="160">
        <v>920000</v>
      </c>
      <c r="E184" s="21" t="s">
        <v>443</v>
      </c>
      <c r="F184" s="21" t="s">
        <v>246</v>
      </c>
      <c r="G184" s="8" t="str">
        <f t="shared" si="2"/>
        <v>DAVIS MICHAEL</v>
      </c>
    </row>
    <row r="185" spans="1:7" x14ac:dyDescent="0.25">
      <c r="A185" s="8">
        <v>42743.756168981483</v>
      </c>
      <c r="B185" s="21" t="s">
        <v>306</v>
      </c>
      <c r="C185" s="21" t="s">
        <v>427</v>
      </c>
      <c r="D185" s="160">
        <v>1800000</v>
      </c>
      <c r="E185" s="21" t="s">
        <v>230</v>
      </c>
      <c r="F185" s="21" t="s">
        <v>241</v>
      </c>
      <c r="G185" s="8" t="str">
        <f t="shared" si="2"/>
        <v>CHANDLER KELVIN</v>
      </c>
    </row>
    <row r="186" spans="1:7" x14ac:dyDescent="0.25">
      <c r="A186" s="8">
        <v>42743.757256944446</v>
      </c>
      <c r="B186" s="21" t="s">
        <v>376</v>
      </c>
      <c r="C186" s="21" t="s">
        <v>582</v>
      </c>
      <c r="D186" s="160">
        <v>2620000</v>
      </c>
      <c r="E186" s="21" t="s">
        <v>577</v>
      </c>
      <c r="F186" s="21" t="s">
        <v>578</v>
      </c>
      <c r="G186" s="8" t="str">
        <f t="shared" si="2"/>
        <v>PERKINS DARREN</v>
      </c>
    </row>
    <row r="187" spans="1:7" x14ac:dyDescent="0.25">
      <c r="A187" s="8">
        <v>42743.758796296293</v>
      </c>
      <c r="B187" s="21" t="s">
        <v>208</v>
      </c>
      <c r="C187" s="21" t="s">
        <v>583</v>
      </c>
      <c r="D187" s="160">
        <v>2630000</v>
      </c>
      <c r="E187" s="21" t="s">
        <v>584</v>
      </c>
      <c r="F187" s="21" t="s">
        <v>585</v>
      </c>
      <c r="G187" s="8" t="str">
        <f t="shared" si="2"/>
        <v>SAFIEF AEIMEN</v>
      </c>
    </row>
    <row r="188" spans="1:7" x14ac:dyDescent="0.25">
      <c r="A188" s="8">
        <v>42743.761250000003</v>
      </c>
      <c r="B188" s="21" t="s">
        <v>309</v>
      </c>
      <c r="C188" s="21" t="s">
        <v>586</v>
      </c>
      <c r="D188" s="160">
        <v>1770000</v>
      </c>
      <c r="E188" s="21" t="s">
        <v>343</v>
      </c>
      <c r="F188" s="21" t="s">
        <v>344</v>
      </c>
      <c r="G188" s="8" t="str">
        <f t="shared" si="2"/>
        <v>BRUDER RICHARD</v>
      </c>
    </row>
    <row r="189" spans="1:7" x14ac:dyDescent="0.25">
      <c r="A189" s="8">
        <v>42743.762604166666</v>
      </c>
      <c r="B189" s="21" t="s">
        <v>259</v>
      </c>
      <c r="C189" s="21" t="s">
        <v>426</v>
      </c>
      <c r="D189" s="160">
        <v>1540000</v>
      </c>
      <c r="E189" s="21" t="s">
        <v>341</v>
      </c>
      <c r="F189" s="21" t="s">
        <v>342</v>
      </c>
      <c r="G189" s="8" t="str">
        <f t="shared" si="2"/>
        <v>HELVIE ADAM</v>
      </c>
    </row>
    <row r="190" spans="1:7" x14ac:dyDescent="0.25">
      <c r="A190" s="8">
        <v>42743.765902777777</v>
      </c>
      <c r="B190" s="21" t="s">
        <v>205</v>
      </c>
      <c r="C190" s="21" t="s">
        <v>587</v>
      </c>
      <c r="D190" s="160">
        <v>2450000</v>
      </c>
      <c r="E190" s="21" t="s">
        <v>345</v>
      </c>
      <c r="F190" s="21" t="s">
        <v>346</v>
      </c>
      <c r="G190" s="8" t="str">
        <f t="shared" si="2"/>
        <v>NELSON ARIANE</v>
      </c>
    </row>
    <row r="191" spans="1:7" x14ac:dyDescent="0.25">
      <c r="A191" s="8">
        <v>42743.770277777781</v>
      </c>
      <c r="B191" s="21" t="s">
        <v>212</v>
      </c>
      <c r="C191" s="21" t="s">
        <v>588</v>
      </c>
      <c r="D191" s="160">
        <v>2000000</v>
      </c>
      <c r="E191" s="21" t="s">
        <v>207</v>
      </c>
      <c r="F191" s="21" t="s">
        <v>238</v>
      </c>
      <c r="G191" s="8" t="str">
        <f t="shared" si="2"/>
        <v>STAMBAUGH JAMES</v>
      </c>
    </row>
    <row r="192" spans="1:7" x14ac:dyDescent="0.25">
      <c r="A192" s="8">
        <v>42743.773993055554</v>
      </c>
      <c r="B192" s="21" t="s">
        <v>338</v>
      </c>
      <c r="C192" s="21" t="s">
        <v>589</v>
      </c>
      <c r="D192" s="160">
        <v>1810000</v>
      </c>
      <c r="E192" s="21" t="s">
        <v>256</v>
      </c>
      <c r="F192" s="21" t="s">
        <v>238</v>
      </c>
      <c r="G192" s="8" t="str">
        <f t="shared" si="2"/>
        <v>NEWELL JAMES</v>
      </c>
    </row>
    <row r="193" spans="1:7" x14ac:dyDescent="0.25">
      <c r="A193" s="8">
        <v>42743.776585648149</v>
      </c>
      <c r="B193" s="21" t="s">
        <v>260</v>
      </c>
      <c r="C193" s="21" t="s">
        <v>590</v>
      </c>
      <c r="D193" s="160">
        <v>1540000</v>
      </c>
      <c r="E193" s="21" t="s">
        <v>341</v>
      </c>
      <c r="F193" s="21" t="s">
        <v>342</v>
      </c>
      <c r="G193" s="8" t="str">
        <f t="shared" si="2"/>
        <v>HELVIE ADAM</v>
      </c>
    </row>
    <row r="194" spans="1:7" x14ac:dyDescent="0.25">
      <c r="A194" s="8">
        <v>42743.778587962966</v>
      </c>
      <c r="B194" s="21" t="s">
        <v>283</v>
      </c>
      <c r="C194" s="21" t="s">
        <v>591</v>
      </c>
      <c r="D194" s="160">
        <v>2030000</v>
      </c>
      <c r="E194" s="21" t="s">
        <v>372</v>
      </c>
      <c r="F194" s="21" t="s">
        <v>373</v>
      </c>
      <c r="G194" s="8" t="str">
        <f t="shared" si="2"/>
        <v>KILLION DAVID</v>
      </c>
    </row>
    <row r="195" spans="1:7" x14ac:dyDescent="0.25">
      <c r="A195" s="8">
        <v>42743.783645833333</v>
      </c>
      <c r="B195" s="21" t="s">
        <v>365</v>
      </c>
      <c r="C195" s="21" t="s">
        <v>592</v>
      </c>
      <c r="D195" s="160">
        <v>2550000</v>
      </c>
      <c r="E195" s="21" t="s">
        <v>211</v>
      </c>
      <c r="F195" s="21" t="s">
        <v>377</v>
      </c>
      <c r="G195" s="8" t="str">
        <f t="shared" ref="G195:G258" si="3">E195&amp;" "&amp;F195</f>
        <v>BADERTSCHER DIANE</v>
      </c>
    </row>
    <row r="196" spans="1:7" x14ac:dyDescent="0.25">
      <c r="A196" s="8">
        <v>42743.788877314815</v>
      </c>
      <c r="B196" s="21" t="s">
        <v>308</v>
      </c>
      <c r="C196" s="21" t="s">
        <v>593</v>
      </c>
      <c r="D196" s="160">
        <v>1800000</v>
      </c>
      <c r="E196" s="21" t="s">
        <v>230</v>
      </c>
      <c r="F196" s="21" t="s">
        <v>241</v>
      </c>
      <c r="G196" s="8" t="str">
        <f t="shared" si="3"/>
        <v>CHANDLER KELVIN</v>
      </c>
    </row>
    <row r="197" spans="1:7" x14ac:dyDescent="0.25">
      <c r="A197" s="8">
        <v>42743.791574074072</v>
      </c>
      <c r="B197" s="21" t="s">
        <v>371</v>
      </c>
      <c r="C197" s="21" t="s">
        <v>594</v>
      </c>
      <c r="D197" s="160">
        <v>2620000</v>
      </c>
      <c r="E197" s="21" t="s">
        <v>577</v>
      </c>
      <c r="F197" s="21" t="s">
        <v>578</v>
      </c>
      <c r="G197" s="8" t="str">
        <f t="shared" si="3"/>
        <v>PERKINS DARREN</v>
      </c>
    </row>
    <row r="198" spans="1:7" x14ac:dyDescent="0.25">
      <c r="A198" s="8">
        <v>42743.799884259257</v>
      </c>
      <c r="B198" s="21" t="s">
        <v>204</v>
      </c>
      <c r="C198" s="21" t="s">
        <v>595</v>
      </c>
      <c r="D198" s="160">
        <v>2450000</v>
      </c>
      <c r="E198" s="21" t="s">
        <v>345</v>
      </c>
      <c r="F198" s="21" t="s">
        <v>346</v>
      </c>
      <c r="G198" s="8" t="str">
        <f t="shared" si="3"/>
        <v>NELSON ARIANE</v>
      </c>
    </row>
    <row r="199" spans="1:7" x14ac:dyDescent="0.25">
      <c r="A199" s="8">
        <v>42743.802349537036</v>
      </c>
      <c r="B199" s="21" t="s">
        <v>307</v>
      </c>
      <c r="C199" s="21" t="s">
        <v>596</v>
      </c>
      <c r="D199" s="160">
        <v>2000000</v>
      </c>
      <c r="E199" s="21" t="s">
        <v>207</v>
      </c>
      <c r="F199" s="21" t="s">
        <v>238</v>
      </c>
      <c r="G199" s="8" t="str">
        <f t="shared" si="3"/>
        <v>STAMBAUGH JAMES</v>
      </c>
    </row>
    <row r="200" spans="1:7" x14ac:dyDescent="0.25">
      <c r="A200" s="8">
        <v>42743.804097222222</v>
      </c>
      <c r="B200" s="21" t="s">
        <v>259</v>
      </c>
      <c r="C200" s="21" t="s">
        <v>597</v>
      </c>
      <c r="D200" s="160">
        <v>1540000</v>
      </c>
      <c r="E200" s="21" t="s">
        <v>341</v>
      </c>
      <c r="F200" s="21" t="s">
        <v>342</v>
      </c>
      <c r="G200" s="8" t="str">
        <f t="shared" si="3"/>
        <v>HELVIE ADAM</v>
      </c>
    </row>
    <row r="201" spans="1:7" x14ac:dyDescent="0.25">
      <c r="A201" s="8">
        <v>42743.807291666664</v>
      </c>
      <c r="B201" s="21" t="s">
        <v>210</v>
      </c>
      <c r="C201" s="21" t="s">
        <v>598</v>
      </c>
      <c r="D201" s="160">
        <v>1810000</v>
      </c>
      <c r="E201" s="21" t="s">
        <v>256</v>
      </c>
      <c r="F201" s="21" t="s">
        <v>238</v>
      </c>
      <c r="G201" s="8" t="str">
        <f t="shared" si="3"/>
        <v>NEWELL JAMES</v>
      </c>
    </row>
    <row r="202" spans="1:7" x14ac:dyDescent="0.25">
      <c r="A202" s="27">
        <v>42743.818680555552</v>
      </c>
      <c r="B202" s="21" t="s">
        <v>260</v>
      </c>
      <c r="C202" s="21" t="s">
        <v>599</v>
      </c>
      <c r="D202" s="160">
        <v>1540000</v>
      </c>
      <c r="E202" s="21" t="s">
        <v>341</v>
      </c>
      <c r="F202" s="21" t="s">
        <v>342</v>
      </c>
      <c r="G202" s="8" t="str">
        <f t="shared" si="3"/>
        <v>HELVIE ADAM</v>
      </c>
    </row>
    <row r="203" spans="1:7" x14ac:dyDescent="0.25">
      <c r="A203" s="8">
        <v>42743.824004629627</v>
      </c>
      <c r="B203" s="21" t="s">
        <v>369</v>
      </c>
      <c r="C203" s="21" t="s">
        <v>600</v>
      </c>
      <c r="D203" s="160">
        <v>2550000</v>
      </c>
      <c r="E203" s="21" t="s">
        <v>211</v>
      </c>
      <c r="F203" s="21" t="s">
        <v>377</v>
      </c>
      <c r="G203" s="8" t="str">
        <f t="shared" si="3"/>
        <v>BADERTSCHER DIANE</v>
      </c>
    </row>
    <row r="204" spans="1:7" x14ac:dyDescent="0.25">
      <c r="A204" s="8">
        <v>42743.82849537037</v>
      </c>
      <c r="B204" s="21" t="s">
        <v>376</v>
      </c>
      <c r="C204" s="21" t="s">
        <v>601</v>
      </c>
      <c r="D204" s="160">
        <v>2620000</v>
      </c>
      <c r="E204" s="21" t="s">
        <v>577</v>
      </c>
      <c r="F204" s="21" t="s">
        <v>578</v>
      </c>
      <c r="G204" s="8" t="str">
        <f t="shared" si="3"/>
        <v>PERKINS DARREN</v>
      </c>
    </row>
    <row r="205" spans="1:7" x14ac:dyDescent="0.25">
      <c r="A205" s="8">
        <v>42743.828935185185</v>
      </c>
      <c r="B205" s="21" t="s">
        <v>306</v>
      </c>
      <c r="C205" s="21" t="s">
        <v>602</v>
      </c>
      <c r="D205" s="160">
        <v>1800000</v>
      </c>
      <c r="E205" s="21" t="s">
        <v>230</v>
      </c>
      <c r="F205" s="21" t="s">
        <v>241</v>
      </c>
      <c r="G205" s="8" t="str">
        <f t="shared" si="3"/>
        <v>CHANDLER KELVIN</v>
      </c>
    </row>
    <row r="206" spans="1:7" x14ac:dyDescent="0.25">
      <c r="A206" s="8">
        <v>42743.842245370368</v>
      </c>
      <c r="B206" s="21" t="s">
        <v>338</v>
      </c>
      <c r="C206" s="21" t="s">
        <v>603</v>
      </c>
      <c r="D206" s="160">
        <v>1810000</v>
      </c>
      <c r="E206" s="21" t="s">
        <v>256</v>
      </c>
      <c r="F206" s="21" t="s">
        <v>238</v>
      </c>
      <c r="G206" s="8" t="str">
        <f t="shared" si="3"/>
        <v>NEWELL JAMES</v>
      </c>
    </row>
    <row r="207" spans="1:7" x14ac:dyDescent="0.25">
      <c r="A207" s="8">
        <v>42743.843078703707</v>
      </c>
      <c r="B207" s="21" t="s">
        <v>212</v>
      </c>
      <c r="C207" s="21" t="s">
        <v>604</v>
      </c>
      <c r="D207" s="160">
        <v>2560000</v>
      </c>
      <c r="E207" s="21" t="s">
        <v>378</v>
      </c>
      <c r="F207" s="21" t="s">
        <v>379</v>
      </c>
      <c r="G207" s="8" t="str">
        <f t="shared" si="3"/>
        <v>MACDONALD THOMAS</v>
      </c>
    </row>
    <row r="208" spans="1:7" x14ac:dyDescent="0.25">
      <c r="A208" s="8">
        <v>42743.845925925925</v>
      </c>
      <c r="B208" s="21" t="s">
        <v>259</v>
      </c>
      <c r="C208" s="21" t="s">
        <v>605</v>
      </c>
      <c r="D208" s="160">
        <v>1540000</v>
      </c>
      <c r="E208" s="21" t="s">
        <v>341</v>
      </c>
      <c r="F208" s="21" t="s">
        <v>342</v>
      </c>
      <c r="G208" s="8" t="str">
        <f t="shared" si="3"/>
        <v>HELVIE ADAM</v>
      </c>
    </row>
    <row r="209" spans="1:7" x14ac:dyDescent="0.25">
      <c r="A209" s="8">
        <v>42743.859270833331</v>
      </c>
      <c r="B209" s="21" t="s">
        <v>260</v>
      </c>
      <c r="C209" s="21" t="s">
        <v>606</v>
      </c>
      <c r="D209" s="160">
        <v>1540000</v>
      </c>
      <c r="E209" s="21" t="s">
        <v>341</v>
      </c>
      <c r="F209" s="21" t="s">
        <v>342</v>
      </c>
      <c r="G209" s="8" t="str">
        <f t="shared" si="3"/>
        <v>HELVIE ADAM</v>
      </c>
    </row>
    <row r="210" spans="1:7" x14ac:dyDescent="0.25">
      <c r="A210" s="8">
        <v>42743.867511574077</v>
      </c>
      <c r="B210" s="21" t="s">
        <v>371</v>
      </c>
      <c r="C210" s="21" t="s">
        <v>607</v>
      </c>
      <c r="D210" s="160">
        <v>2620000</v>
      </c>
      <c r="E210" s="21" t="s">
        <v>577</v>
      </c>
      <c r="F210" s="21" t="s">
        <v>578</v>
      </c>
      <c r="G210" s="8" t="str">
        <f t="shared" si="3"/>
        <v>PERKINS DARREN</v>
      </c>
    </row>
    <row r="211" spans="1:7" x14ac:dyDescent="0.25">
      <c r="A211" s="8">
        <v>42743.875381944446</v>
      </c>
      <c r="B211" s="21" t="s">
        <v>308</v>
      </c>
      <c r="C211" s="21" t="s">
        <v>608</v>
      </c>
      <c r="D211" s="160">
        <v>1800000</v>
      </c>
      <c r="E211" s="21" t="s">
        <v>230</v>
      </c>
      <c r="F211" s="21" t="s">
        <v>241</v>
      </c>
      <c r="G211" s="8" t="str">
        <f t="shared" si="3"/>
        <v>CHANDLER KELVIN</v>
      </c>
    </row>
    <row r="212" spans="1:7" x14ac:dyDescent="0.25">
      <c r="A212" s="8">
        <v>42743.880706018521</v>
      </c>
      <c r="B212" s="21" t="s">
        <v>210</v>
      </c>
      <c r="C212" s="21" t="s">
        <v>609</v>
      </c>
      <c r="D212" s="160">
        <v>1810000</v>
      </c>
      <c r="E212" s="21" t="s">
        <v>256</v>
      </c>
      <c r="F212" s="21" t="s">
        <v>238</v>
      </c>
      <c r="G212" s="8" t="str">
        <f t="shared" si="3"/>
        <v>NEWELL JAMES</v>
      </c>
    </row>
    <row r="213" spans="1:7" x14ac:dyDescent="0.25">
      <c r="A213" s="8">
        <v>42743.889189814814</v>
      </c>
      <c r="B213" s="21" t="s">
        <v>259</v>
      </c>
      <c r="C213" s="21" t="s">
        <v>610</v>
      </c>
      <c r="D213" s="160">
        <v>1540000</v>
      </c>
      <c r="E213" s="21" t="s">
        <v>341</v>
      </c>
      <c r="F213" s="21" t="s">
        <v>342</v>
      </c>
      <c r="G213" s="8" t="str">
        <f t="shared" si="3"/>
        <v>HELVIE ADAM</v>
      </c>
    </row>
    <row r="214" spans="1:7" x14ac:dyDescent="0.25">
      <c r="A214" s="8">
        <v>42743.889444444445</v>
      </c>
      <c r="B214" s="21" t="s">
        <v>307</v>
      </c>
      <c r="C214" s="21" t="s">
        <v>611</v>
      </c>
      <c r="D214" s="160">
        <v>2560000</v>
      </c>
      <c r="E214" s="21" t="s">
        <v>378</v>
      </c>
      <c r="F214" s="21" t="s">
        <v>379</v>
      </c>
      <c r="G214" s="8" t="str">
        <f t="shared" si="3"/>
        <v>MACDONALD THOMAS</v>
      </c>
    </row>
    <row r="215" spans="1:7" x14ac:dyDescent="0.25">
      <c r="A215" s="8">
        <v>42743.901226851849</v>
      </c>
      <c r="B215" s="21" t="s">
        <v>260</v>
      </c>
      <c r="C215" s="21" t="s">
        <v>612</v>
      </c>
      <c r="D215" s="160">
        <v>1540000</v>
      </c>
      <c r="E215" s="21" t="s">
        <v>341</v>
      </c>
      <c r="F215" s="21" t="s">
        <v>342</v>
      </c>
      <c r="G215" s="8" t="str">
        <f t="shared" si="3"/>
        <v>HELVIE ADAM</v>
      </c>
    </row>
    <row r="216" spans="1:7" x14ac:dyDescent="0.25">
      <c r="A216" s="8">
        <v>42743.904490740744</v>
      </c>
      <c r="B216" s="21" t="s">
        <v>376</v>
      </c>
      <c r="C216" s="21" t="s">
        <v>428</v>
      </c>
      <c r="D216" s="160">
        <v>2620000</v>
      </c>
      <c r="E216" s="21" t="s">
        <v>577</v>
      </c>
      <c r="F216" s="21" t="s">
        <v>578</v>
      </c>
      <c r="G216" s="8" t="str">
        <f t="shared" si="3"/>
        <v>PERKINS DARREN</v>
      </c>
    </row>
    <row r="217" spans="1:7" x14ac:dyDescent="0.25">
      <c r="A217" s="8">
        <v>42743.912523148145</v>
      </c>
      <c r="B217" s="21" t="s">
        <v>306</v>
      </c>
      <c r="C217" s="21" t="s">
        <v>613</v>
      </c>
      <c r="D217" s="160">
        <v>1800000</v>
      </c>
      <c r="E217" s="21" t="s">
        <v>230</v>
      </c>
      <c r="F217" s="21" t="s">
        <v>241</v>
      </c>
      <c r="G217" s="8" t="str">
        <f t="shared" si="3"/>
        <v>CHANDLER KELVIN</v>
      </c>
    </row>
    <row r="218" spans="1:7" x14ac:dyDescent="0.25">
      <c r="A218" s="8">
        <v>42743.928553240738</v>
      </c>
      <c r="B218" s="21" t="s">
        <v>259</v>
      </c>
      <c r="C218" s="21" t="s">
        <v>614</v>
      </c>
      <c r="D218" s="160">
        <v>1540000</v>
      </c>
      <c r="E218" s="21" t="s">
        <v>341</v>
      </c>
      <c r="F218" s="21" t="s">
        <v>342</v>
      </c>
      <c r="G218" s="8" t="str">
        <f t="shared" si="3"/>
        <v>HELVIE ADAM</v>
      </c>
    </row>
    <row r="219" spans="1:7" x14ac:dyDescent="0.25">
      <c r="A219" s="8">
        <v>42743.930613425924</v>
      </c>
      <c r="B219" s="21" t="s">
        <v>212</v>
      </c>
      <c r="C219" s="21" t="s">
        <v>429</v>
      </c>
      <c r="D219" s="160">
        <v>2000000</v>
      </c>
      <c r="E219" s="21" t="s">
        <v>207</v>
      </c>
      <c r="F219" s="21" t="s">
        <v>238</v>
      </c>
      <c r="G219" s="8" t="str">
        <f t="shared" si="3"/>
        <v>STAMBAUGH JAMES</v>
      </c>
    </row>
    <row r="220" spans="1:7" x14ac:dyDescent="0.25">
      <c r="A220" s="8">
        <v>42743.932337962964</v>
      </c>
      <c r="B220" s="21" t="s">
        <v>338</v>
      </c>
      <c r="C220" s="21" t="s">
        <v>615</v>
      </c>
      <c r="D220" s="160">
        <v>1810000</v>
      </c>
      <c r="E220" s="21" t="s">
        <v>256</v>
      </c>
      <c r="F220" s="21" t="s">
        <v>238</v>
      </c>
      <c r="G220" s="8" t="str">
        <f t="shared" si="3"/>
        <v>NEWELL JAMES</v>
      </c>
    </row>
    <row r="221" spans="1:7" x14ac:dyDescent="0.25">
      <c r="A221" s="8">
        <v>42743.942928240744</v>
      </c>
      <c r="B221" s="21" t="s">
        <v>260</v>
      </c>
      <c r="C221" s="21" t="s">
        <v>616</v>
      </c>
      <c r="D221" s="160">
        <v>1540000</v>
      </c>
      <c r="E221" s="21" t="s">
        <v>341</v>
      </c>
      <c r="F221" s="21" t="s">
        <v>342</v>
      </c>
      <c r="G221" s="8" t="str">
        <f t="shared" si="3"/>
        <v>HELVIE ADAM</v>
      </c>
    </row>
    <row r="222" spans="1:7" x14ac:dyDescent="0.25">
      <c r="A222" s="8">
        <v>42743.951111111113</v>
      </c>
      <c r="B222" s="21" t="s">
        <v>371</v>
      </c>
      <c r="C222" s="21" t="s">
        <v>430</v>
      </c>
      <c r="D222" s="160">
        <v>2620000</v>
      </c>
      <c r="E222" s="21" t="s">
        <v>577</v>
      </c>
      <c r="F222" s="21" t="s">
        <v>578</v>
      </c>
      <c r="G222" s="8" t="str">
        <f t="shared" si="3"/>
        <v>PERKINS DARREN</v>
      </c>
    </row>
    <row r="223" spans="1:7" x14ac:dyDescent="0.25">
      <c r="A223" s="8">
        <v>42743.956331018519</v>
      </c>
      <c r="B223" s="21" t="s">
        <v>308</v>
      </c>
      <c r="C223" s="21" t="s">
        <v>617</v>
      </c>
      <c r="D223" s="160">
        <v>1800000</v>
      </c>
      <c r="E223" s="21" t="s">
        <v>230</v>
      </c>
      <c r="F223" s="21" t="s">
        <v>241</v>
      </c>
      <c r="G223" s="8" t="str">
        <f t="shared" si="3"/>
        <v>CHANDLER KELVIN</v>
      </c>
    </row>
    <row r="224" spans="1:7" x14ac:dyDescent="0.25">
      <c r="A224" s="8">
        <v>42743.97457175926</v>
      </c>
      <c r="B224" t="s">
        <v>307</v>
      </c>
      <c r="C224" t="s">
        <v>618</v>
      </c>
      <c r="D224" s="160">
        <v>2000000</v>
      </c>
      <c r="E224" t="s">
        <v>207</v>
      </c>
      <c r="F224" s="21" t="s">
        <v>238</v>
      </c>
      <c r="G224" s="8" t="str">
        <f t="shared" si="3"/>
        <v>STAMBAUGH JAMES</v>
      </c>
    </row>
    <row r="225" spans="1:7" x14ac:dyDescent="0.25">
      <c r="A225" s="8">
        <v>42743.976909722223</v>
      </c>
      <c r="B225" t="s">
        <v>210</v>
      </c>
      <c r="C225" t="s">
        <v>619</v>
      </c>
      <c r="D225" s="160">
        <v>1810000</v>
      </c>
      <c r="E225" t="s">
        <v>256</v>
      </c>
      <c r="F225" s="21" t="s">
        <v>238</v>
      </c>
      <c r="G225" s="8" t="str">
        <f t="shared" si="3"/>
        <v>NEWELL JAMES</v>
      </c>
    </row>
    <row r="226" spans="1:7" x14ac:dyDescent="0.25">
      <c r="A226" s="8">
        <v>42743.995115740741</v>
      </c>
      <c r="B226" t="s">
        <v>306</v>
      </c>
      <c r="C226" t="s">
        <v>620</v>
      </c>
      <c r="D226" s="160">
        <v>1800000</v>
      </c>
      <c r="E226" t="s">
        <v>230</v>
      </c>
      <c r="F226" s="21" t="s">
        <v>241</v>
      </c>
      <c r="G226" s="8" t="str">
        <f t="shared" si="3"/>
        <v>CHANDLER KELVIN</v>
      </c>
    </row>
    <row r="227" spans="1:7" x14ac:dyDescent="0.25">
      <c r="A227" s="8">
        <v>42743.995300925926</v>
      </c>
      <c r="B227" t="s">
        <v>376</v>
      </c>
      <c r="C227" t="s">
        <v>621</v>
      </c>
      <c r="D227" s="160">
        <v>2620000</v>
      </c>
      <c r="E227" t="s">
        <v>577</v>
      </c>
      <c r="F227" s="21" t="s">
        <v>578</v>
      </c>
      <c r="G227" s="8" t="str">
        <f t="shared" si="3"/>
        <v>PERKINS DARREN</v>
      </c>
    </row>
    <row r="228" spans="1:7" x14ac:dyDescent="0.25">
      <c r="A228" s="8">
        <v>42744.00922453704</v>
      </c>
      <c r="B228" t="s">
        <v>212</v>
      </c>
      <c r="C228" t="s">
        <v>622</v>
      </c>
      <c r="D228" s="160">
        <v>2000000</v>
      </c>
      <c r="E228" t="s">
        <v>207</v>
      </c>
      <c r="F228" s="21" t="s">
        <v>238</v>
      </c>
      <c r="G228" s="8" t="str">
        <f t="shared" si="3"/>
        <v>STAMBAUGH JAMES</v>
      </c>
    </row>
    <row r="229" spans="1:7" x14ac:dyDescent="0.25">
      <c r="A229" s="8">
        <v>42744.010370370372</v>
      </c>
      <c r="B229" t="s">
        <v>338</v>
      </c>
      <c r="C229" t="s">
        <v>431</v>
      </c>
      <c r="D229" s="160">
        <v>1810000</v>
      </c>
      <c r="E229" t="s">
        <v>256</v>
      </c>
      <c r="F229" s="21" t="s">
        <v>238</v>
      </c>
      <c r="G229" s="8" t="str">
        <f t="shared" si="3"/>
        <v>NEWELL JAMES</v>
      </c>
    </row>
    <row r="230" spans="1:7" x14ac:dyDescent="0.25">
      <c r="A230" s="8">
        <v>42744.031712962962</v>
      </c>
      <c r="B230" t="s">
        <v>308</v>
      </c>
      <c r="C230" t="s">
        <v>623</v>
      </c>
      <c r="D230" s="160">
        <v>1800000</v>
      </c>
      <c r="E230" t="s">
        <v>230</v>
      </c>
      <c r="F230" s="21" t="s">
        <v>241</v>
      </c>
      <c r="G230" s="8" t="str">
        <f t="shared" si="3"/>
        <v>CHANDLER KELVIN</v>
      </c>
    </row>
    <row r="231" spans="1:7" x14ac:dyDescent="0.25">
      <c r="A231" s="8">
        <v>42744.033090277779</v>
      </c>
      <c r="B231" t="s">
        <v>371</v>
      </c>
      <c r="C231" t="s">
        <v>624</v>
      </c>
      <c r="D231" s="160">
        <v>2620000</v>
      </c>
      <c r="E231" t="s">
        <v>577</v>
      </c>
      <c r="F231" s="21" t="s">
        <v>578</v>
      </c>
      <c r="G231" s="8" t="str">
        <f t="shared" si="3"/>
        <v>PERKINS DARREN</v>
      </c>
    </row>
    <row r="232" spans="1:7" x14ac:dyDescent="0.25">
      <c r="A232" s="8">
        <v>42744.034016203703</v>
      </c>
      <c r="B232" t="s">
        <v>371</v>
      </c>
      <c r="C232" t="s">
        <v>624</v>
      </c>
      <c r="D232" s="160">
        <v>2620000</v>
      </c>
      <c r="E232" t="s">
        <v>577</v>
      </c>
      <c r="F232" s="21" t="s">
        <v>578</v>
      </c>
      <c r="G232" s="8" t="str">
        <f t="shared" si="3"/>
        <v>PERKINS DARREN</v>
      </c>
    </row>
    <row r="233" spans="1:7" x14ac:dyDescent="0.25">
      <c r="A233" s="8">
        <v>42744.034803240742</v>
      </c>
      <c r="B233" t="s">
        <v>371</v>
      </c>
      <c r="C233" t="s">
        <v>624</v>
      </c>
      <c r="D233" s="160">
        <v>2620000</v>
      </c>
      <c r="E233" t="s">
        <v>577</v>
      </c>
      <c r="F233" s="21" t="s">
        <v>578</v>
      </c>
      <c r="G233" s="8" t="str">
        <f t="shared" si="3"/>
        <v>PERKINS DARREN</v>
      </c>
    </row>
    <row r="234" spans="1:7" x14ac:dyDescent="0.25">
      <c r="A234" s="8">
        <v>42744.03738425926</v>
      </c>
      <c r="B234" t="s">
        <v>371</v>
      </c>
      <c r="C234" t="s">
        <v>624</v>
      </c>
      <c r="D234" s="160">
        <v>2620000</v>
      </c>
      <c r="E234" t="s">
        <v>577</v>
      </c>
      <c r="F234" s="21" t="s">
        <v>578</v>
      </c>
      <c r="G234" s="8" t="str">
        <f t="shared" si="3"/>
        <v>PERKINS DARREN</v>
      </c>
    </row>
    <row r="235" spans="1:7" x14ac:dyDescent="0.25">
      <c r="A235" s="8">
        <v>42744.047858796293</v>
      </c>
      <c r="B235" t="s">
        <v>338</v>
      </c>
      <c r="C235" t="s">
        <v>431</v>
      </c>
      <c r="D235" s="160">
        <v>1810000</v>
      </c>
      <c r="E235" t="s">
        <v>256</v>
      </c>
      <c r="F235" s="21" t="s">
        <v>238</v>
      </c>
      <c r="G235" s="8" t="str">
        <f t="shared" si="3"/>
        <v>NEWELL JAMES</v>
      </c>
    </row>
    <row r="236" spans="1:7" x14ac:dyDescent="0.25">
      <c r="A236" s="8">
        <v>42744.048796296294</v>
      </c>
      <c r="B236" t="s">
        <v>307</v>
      </c>
      <c r="C236" t="s">
        <v>625</v>
      </c>
      <c r="D236" s="160">
        <v>2000000</v>
      </c>
      <c r="E236" t="s">
        <v>207</v>
      </c>
      <c r="F236" s="21" t="s">
        <v>238</v>
      </c>
      <c r="G236" s="8" t="str">
        <f t="shared" si="3"/>
        <v>STAMBAUGH JAMES</v>
      </c>
    </row>
    <row r="237" spans="1:7" x14ac:dyDescent="0.25">
      <c r="A237" s="8">
        <v>42744.057627314818</v>
      </c>
      <c r="B237" t="s">
        <v>210</v>
      </c>
      <c r="C237" t="s">
        <v>626</v>
      </c>
      <c r="D237" s="160">
        <v>1810000</v>
      </c>
      <c r="E237" t="s">
        <v>256</v>
      </c>
      <c r="F237" s="21" t="s">
        <v>238</v>
      </c>
      <c r="G237" s="8" t="str">
        <f t="shared" si="3"/>
        <v>NEWELL JAMES</v>
      </c>
    </row>
    <row r="238" spans="1:7" x14ac:dyDescent="0.25">
      <c r="A238" s="8">
        <v>42744.071157407408</v>
      </c>
      <c r="B238" t="s">
        <v>376</v>
      </c>
      <c r="C238" t="s">
        <v>627</v>
      </c>
      <c r="D238" s="160">
        <v>2620000</v>
      </c>
      <c r="E238" t="s">
        <v>577</v>
      </c>
      <c r="F238" s="21" t="s">
        <v>578</v>
      </c>
      <c r="G238" s="8" t="str">
        <f t="shared" si="3"/>
        <v>PERKINS DARREN</v>
      </c>
    </row>
    <row r="239" spans="1:7" x14ac:dyDescent="0.25">
      <c r="A239" s="8">
        <v>42744.088402777779</v>
      </c>
      <c r="B239" t="s">
        <v>212</v>
      </c>
      <c r="C239" t="s">
        <v>628</v>
      </c>
      <c r="D239" s="160">
        <v>2000000</v>
      </c>
      <c r="E239" t="s">
        <v>207</v>
      </c>
      <c r="F239" s="21" t="s">
        <v>238</v>
      </c>
      <c r="G239" s="8" t="str">
        <f t="shared" si="3"/>
        <v>STAMBAUGH JAMES</v>
      </c>
    </row>
    <row r="240" spans="1:7" x14ac:dyDescent="0.25">
      <c r="A240" s="8">
        <v>42741.071840277778</v>
      </c>
      <c r="B240" t="s">
        <v>225</v>
      </c>
      <c r="C240" t="s">
        <v>380</v>
      </c>
      <c r="D240" s="160">
        <v>2270000</v>
      </c>
      <c r="E240" t="s">
        <v>279</v>
      </c>
      <c r="F240" s="21" t="s">
        <v>280</v>
      </c>
      <c r="G240" s="8" t="str">
        <f t="shared" si="3"/>
        <v>BROWN JACOB</v>
      </c>
    </row>
    <row r="241" spans="1:7" x14ac:dyDescent="0.25">
      <c r="A241" s="8">
        <v>42741.087812500002</v>
      </c>
      <c r="B241" t="s">
        <v>295</v>
      </c>
      <c r="C241" t="s">
        <v>381</v>
      </c>
      <c r="D241" s="160">
        <v>2560000</v>
      </c>
      <c r="E241" t="s">
        <v>378</v>
      </c>
      <c r="F241" s="21" t="s">
        <v>379</v>
      </c>
      <c r="G241" s="8" t="str">
        <f t="shared" si="3"/>
        <v>MACDONALD THOMAS</v>
      </c>
    </row>
    <row r="242" spans="1:7" x14ac:dyDescent="0.25">
      <c r="A242" s="8">
        <v>42741.089606481481</v>
      </c>
      <c r="B242" t="s">
        <v>212</v>
      </c>
      <c r="C242" t="s">
        <v>382</v>
      </c>
      <c r="D242" s="160">
        <v>2220000</v>
      </c>
      <c r="E242" t="s">
        <v>277</v>
      </c>
      <c r="F242" s="21" t="s">
        <v>278</v>
      </c>
      <c r="G242" s="8" t="str">
        <f t="shared" si="3"/>
        <v>HILLS DUSTIN</v>
      </c>
    </row>
    <row r="243" spans="1:7" x14ac:dyDescent="0.25">
      <c r="A243" s="8">
        <v>42741.092245370368</v>
      </c>
      <c r="B243" t="s">
        <v>212</v>
      </c>
      <c r="C243" t="s">
        <v>382</v>
      </c>
      <c r="D243" s="160">
        <v>2220000</v>
      </c>
      <c r="E243" t="s">
        <v>277</v>
      </c>
      <c r="F243" s="21" t="s">
        <v>278</v>
      </c>
      <c r="G243" s="8" t="str">
        <f t="shared" si="3"/>
        <v>HILLS DUSTIN</v>
      </c>
    </row>
    <row r="244" spans="1:7" x14ac:dyDescent="0.25">
      <c r="A244" s="8">
        <v>42740.089398148149</v>
      </c>
      <c r="B244" t="s">
        <v>296</v>
      </c>
      <c r="C244" t="s">
        <v>347</v>
      </c>
      <c r="D244" s="160">
        <v>2680000</v>
      </c>
      <c r="E244" t="s">
        <v>325</v>
      </c>
      <c r="F244" s="21" t="s">
        <v>326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283</v>
      </c>
      <c r="C245" t="s">
        <v>284</v>
      </c>
      <c r="D245" s="160">
        <v>2270000</v>
      </c>
      <c r="E245" t="s">
        <v>279</v>
      </c>
      <c r="F245" s="21" t="s">
        <v>280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260</v>
      </c>
      <c r="C246" t="s">
        <v>263</v>
      </c>
      <c r="D246" s="160">
        <v>2000000</v>
      </c>
      <c r="E246" t="s">
        <v>207</v>
      </c>
      <c r="F246" s="21" t="s">
        <v>238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252</v>
      </c>
      <c r="C247" t="s">
        <v>264</v>
      </c>
      <c r="D247" s="160">
        <v>1810000</v>
      </c>
      <c r="E247" t="s">
        <v>256</v>
      </c>
      <c r="F247" s="21" t="s">
        <v>238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222</v>
      </c>
      <c r="C248" t="s">
        <v>265</v>
      </c>
      <c r="D248" s="160">
        <v>2230000</v>
      </c>
      <c r="E248" t="s">
        <v>255</v>
      </c>
      <c r="F248" s="21" t="s">
        <v>246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266</v>
      </c>
      <c r="D249" s="160">
        <v>1800000</v>
      </c>
      <c r="E249" t="s">
        <v>230</v>
      </c>
      <c r="F249" s="21" t="s">
        <v>241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251</v>
      </c>
      <c r="C250" t="s">
        <v>267</v>
      </c>
      <c r="D250" s="160">
        <v>1810000</v>
      </c>
      <c r="E250" t="s">
        <v>256</v>
      </c>
      <c r="F250" s="21" t="s">
        <v>238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259</v>
      </c>
      <c r="C251" t="s">
        <v>268</v>
      </c>
      <c r="D251" s="160">
        <v>2000000</v>
      </c>
      <c r="E251" t="s">
        <v>207</v>
      </c>
      <c r="F251" s="21" t="s">
        <v>238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269</v>
      </c>
      <c r="D252" s="160">
        <v>1800000</v>
      </c>
      <c r="E252" t="s">
        <v>230</v>
      </c>
      <c r="F252" s="21" t="s">
        <v>241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250</v>
      </c>
      <c r="C253" t="s">
        <v>270</v>
      </c>
      <c r="D253" s="160">
        <v>2230000</v>
      </c>
      <c r="E253" t="s">
        <v>255</v>
      </c>
      <c r="F253" s="21" t="s">
        <v>246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252</v>
      </c>
      <c r="C254" t="s">
        <v>271</v>
      </c>
      <c r="D254" s="160">
        <v>1810000</v>
      </c>
      <c r="E254" t="s">
        <v>256</v>
      </c>
      <c r="F254" s="21" t="s">
        <v>238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260</v>
      </c>
      <c r="C255" t="s">
        <v>272</v>
      </c>
      <c r="D255" s="160">
        <v>2000000</v>
      </c>
      <c r="E255" t="s">
        <v>207</v>
      </c>
      <c r="F255" s="21" t="s">
        <v>238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273</v>
      </c>
      <c r="D256" s="160">
        <v>2230000</v>
      </c>
      <c r="E256" t="s">
        <v>255</v>
      </c>
      <c r="F256" s="21" t="s">
        <v>246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259</v>
      </c>
      <c r="C257" t="s">
        <v>274</v>
      </c>
      <c r="D257" s="160">
        <v>2000000</v>
      </c>
      <c r="E257" t="s">
        <v>207</v>
      </c>
      <c r="F257" s="21" t="s">
        <v>238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275</v>
      </c>
      <c r="D258" s="160">
        <v>2110000</v>
      </c>
      <c r="E258" t="s">
        <v>261</v>
      </c>
      <c r="F258" s="21" t="s">
        <v>262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275</v>
      </c>
      <c r="D259" s="160">
        <v>2110000</v>
      </c>
      <c r="E259" t="s">
        <v>261</v>
      </c>
      <c r="F259" s="21" t="s">
        <v>262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227</v>
      </c>
      <c r="C260" t="s">
        <v>233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232</v>
      </c>
      <c r="D261" s="160">
        <v>2530000</v>
      </c>
      <c r="E261" t="s">
        <v>231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234</v>
      </c>
      <c r="D262" s="160">
        <v>2600000</v>
      </c>
      <c r="E262" t="s">
        <v>228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327</v>
      </c>
      <c r="I1" s="175" t="s">
        <v>171</v>
      </c>
      <c r="J1" s="175" t="s">
        <v>172</v>
      </c>
      <c r="K1" s="175" t="s">
        <v>328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17.95</v>
      </c>
      <c r="B2" s="165">
        <v>0.61</v>
      </c>
      <c r="C2" s="165">
        <v>10.64</v>
      </c>
      <c r="D2" s="8">
        <v>42743</v>
      </c>
      <c r="E2" s="165">
        <v>0.73</v>
      </c>
      <c r="F2" s="165" t="s">
        <v>235</v>
      </c>
      <c r="G2" s="165">
        <v>289.57</v>
      </c>
      <c r="H2" s="165"/>
      <c r="I2" s="165">
        <v>0</v>
      </c>
      <c r="J2" s="165">
        <v>0</v>
      </c>
      <c r="K2" s="165"/>
      <c r="L2" s="165">
        <v>1025.71</v>
      </c>
      <c r="M2" s="165" t="s">
        <v>383</v>
      </c>
      <c r="N2" s="165">
        <v>17.95</v>
      </c>
      <c r="O2" s="165">
        <v>1483858800</v>
      </c>
      <c r="P2" s="165">
        <v>9.02</v>
      </c>
      <c r="Q2" s="165">
        <v>249</v>
      </c>
      <c r="R2" s="165">
        <v>1.87</v>
      </c>
    </row>
    <row r="3" spans="1:18" x14ac:dyDescent="0.25">
      <c r="A3" s="165">
        <v>18.690000000000001</v>
      </c>
      <c r="B3" s="165">
        <v>0.47</v>
      </c>
      <c r="C3" s="165">
        <v>11.08</v>
      </c>
      <c r="D3" s="8">
        <v>42743.041666666664</v>
      </c>
      <c r="E3" s="165">
        <v>0.72</v>
      </c>
      <c r="F3" s="165" t="s">
        <v>235</v>
      </c>
      <c r="G3" s="165">
        <v>286.79000000000002</v>
      </c>
      <c r="H3" s="165"/>
      <c r="I3" s="165">
        <v>0</v>
      </c>
      <c r="J3" s="165">
        <v>0</v>
      </c>
      <c r="K3" s="165"/>
      <c r="L3" s="165">
        <v>1024.3800000000001</v>
      </c>
      <c r="M3" s="165" t="s">
        <v>629</v>
      </c>
      <c r="N3" s="165">
        <v>18.690000000000001</v>
      </c>
      <c r="O3" s="165">
        <v>1483862400</v>
      </c>
      <c r="P3" s="165">
        <v>9.08</v>
      </c>
      <c r="Q3" s="165">
        <v>248</v>
      </c>
      <c r="R3" s="165">
        <v>2.83</v>
      </c>
    </row>
    <row r="4" spans="1:18" x14ac:dyDescent="0.25">
      <c r="A4" s="165">
        <v>19.62</v>
      </c>
      <c r="B4" s="165">
        <v>0.41</v>
      </c>
      <c r="C4" s="165">
        <v>11.85</v>
      </c>
      <c r="D4" s="8">
        <v>42743.083333333336</v>
      </c>
      <c r="E4" s="165">
        <v>0.71</v>
      </c>
      <c r="F4" s="165" t="s">
        <v>235</v>
      </c>
      <c r="G4" s="165">
        <v>284.01</v>
      </c>
      <c r="H4" s="165"/>
      <c r="I4" s="165">
        <v>0</v>
      </c>
      <c r="J4" s="165">
        <v>0</v>
      </c>
      <c r="K4" s="165"/>
      <c r="L4" s="165">
        <v>1023.17</v>
      </c>
      <c r="M4" s="165" t="s">
        <v>629</v>
      </c>
      <c r="N4" s="165">
        <v>19.62</v>
      </c>
      <c r="O4" s="165">
        <v>1483866000</v>
      </c>
      <c r="P4" s="165">
        <v>8.73</v>
      </c>
      <c r="Q4" s="165">
        <v>262</v>
      </c>
      <c r="R4" s="165">
        <v>2.88</v>
      </c>
    </row>
    <row r="5" spans="1:18" x14ac:dyDescent="0.25">
      <c r="A5" s="165">
        <v>21.6</v>
      </c>
      <c r="B5" s="165">
        <v>0.45</v>
      </c>
      <c r="C5" s="165">
        <v>13.39</v>
      </c>
      <c r="D5" s="8">
        <v>42743.125</v>
      </c>
      <c r="E5" s="165">
        <v>0.7</v>
      </c>
      <c r="F5" s="165" t="s">
        <v>235</v>
      </c>
      <c r="G5" s="165">
        <v>280.29000000000002</v>
      </c>
      <c r="H5" s="165"/>
      <c r="I5" s="165">
        <v>0</v>
      </c>
      <c r="J5" s="165">
        <v>0</v>
      </c>
      <c r="K5" s="165"/>
      <c r="L5" s="165">
        <v>1022.59</v>
      </c>
      <c r="M5" s="165" t="s">
        <v>629</v>
      </c>
      <c r="N5" s="165">
        <v>21.6</v>
      </c>
      <c r="O5" s="165">
        <v>1483869600</v>
      </c>
      <c r="P5" s="165">
        <v>8.4700000000000006</v>
      </c>
      <c r="Q5" s="165">
        <v>257</v>
      </c>
      <c r="R5" s="165">
        <v>2.82</v>
      </c>
    </row>
    <row r="6" spans="1:18" x14ac:dyDescent="0.25">
      <c r="A6" s="165">
        <v>18.45</v>
      </c>
      <c r="B6" s="165">
        <v>0.56999999999999995</v>
      </c>
      <c r="C6" s="165">
        <v>14.42</v>
      </c>
      <c r="D6" s="8">
        <v>42743.166666666664</v>
      </c>
      <c r="E6" s="165">
        <v>0.69</v>
      </c>
      <c r="F6" s="165" t="s">
        <v>235</v>
      </c>
      <c r="G6" s="165">
        <v>276.31</v>
      </c>
      <c r="H6" s="165"/>
      <c r="I6" s="165">
        <v>0</v>
      </c>
      <c r="J6" s="165">
        <v>0</v>
      </c>
      <c r="K6" s="165"/>
      <c r="L6" s="165">
        <v>1022.21</v>
      </c>
      <c r="M6" s="165" t="s">
        <v>629</v>
      </c>
      <c r="N6" s="165">
        <v>22.93</v>
      </c>
      <c r="O6" s="165">
        <v>1483873200</v>
      </c>
      <c r="P6" s="165">
        <v>8.5299999999999994</v>
      </c>
      <c r="Q6" s="165">
        <v>253</v>
      </c>
      <c r="R6" s="165">
        <v>3.39</v>
      </c>
    </row>
    <row r="7" spans="1:18" x14ac:dyDescent="0.25">
      <c r="A7" s="165">
        <v>19.420000000000002</v>
      </c>
      <c r="B7" s="165">
        <v>0.64</v>
      </c>
      <c r="C7" s="165">
        <v>14.26</v>
      </c>
      <c r="D7" s="8">
        <v>42743.208333333336</v>
      </c>
      <c r="E7" s="165">
        <v>0.65</v>
      </c>
      <c r="F7" s="165" t="s">
        <v>235</v>
      </c>
      <c r="G7" s="165">
        <v>273.16000000000003</v>
      </c>
      <c r="H7" s="165"/>
      <c r="I7" s="165">
        <v>0</v>
      </c>
      <c r="J7" s="165">
        <v>0</v>
      </c>
      <c r="K7" s="165"/>
      <c r="L7" s="165">
        <v>1022.02</v>
      </c>
      <c r="M7" s="165" t="s">
        <v>383</v>
      </c>
      <c r="N7" s="165">
        <v>24.2</v>
      </c>
      <c r="O7" s="165">
        <v>1483876800</v>
      </c>
      <c r="P7" s="165">
        <v>9.11</v>
      </c>
      <c r="Q7" s="165">
        <v>251</v>
      </c>
      <c r="R7" s="165">
        <v>3.73</v>
      </c>
    </row>
    <row r="8" spans="1:18" x14ac:dyDescent="0.25">
      <c r="A8" s="165">
        <v>19.66</v>
      </c>
      <c r="B8" s="165">
        <v>0.63</v>
      </c>
      <c r="C8" s="165">
        <v>15.42</v>
      </c>
      <c r="D8" s="8">
        <v>42743.25</v>
      </c>
      <c r="E8" s="165">
        <v>0.69</v>
      </c>
      <c r="F8" s="165" t="s">
        <v>235</v>
      </c>
      <c r="G8" s="165">
        <v>271.32</v>
      </c>
      <c r="H8" s="165"/>
      <c r="I8" s="165">
        <v>0</v>
      </c>
      <c r="J8" s="165">
        <v>0</v>
      </c>
      <c r="K8" s="165"/>
      <c r="L8" s="165">
        <v>1022.46</v>
      </c>
      <c r="M8" s="165" t="s">
        <v>383</v>
      </c>
      <c r="N8" s="165">
        <v>23.95</v>
      </c>
      <c r="O8" s="165">
        <v>1483880400</v>
      </c>
      <c r="P8" s="165">
        <v>8.9</v>
      </c>
      <c r="Q8" s="165">
        <v>244</v>
      </c>
      <c r="R8" s="165">
        <v>3.36</v>
      </c>
    </row>
    <row r="9" spans="1:18" x14ac:dyDescent="0.25">
      <c r="A9" s="165">
        <v>22.49</v>
      </c>
      <c r="B9" s="165">
        <v>0.53</v>
      </c>
      <c r="C9" s="165">
        <v>16.260000000000002</v>
      </c>
      <c r="D9" s="8">
        <v>42743.291666666664</v>
      </c>
      <c r="E9" s="165">
        <v>0.66</v>
      </c>
      <c r="F9" s="165" t="s">
        <v>235</v>
      </c>
      <c r="G9" s="165">
        <v>270.31</v>
      </c>
      <c r="H9" s="165"/>
      <c r="I9" s="165">
        <v>0</v>
      </c>
      <c r="J9" s="165">
        <v>0</v>
      </c>
      <c r="K9" s="165"/>
      <c r="L9" s="165">
        <v>1022.82</v>
      </c>
      <c r="M9" s="165" t="s">
        <v>629</v>
      </c>
      <c r="N9" s="165">
        <v>26.14</v>
      </c>
      <c r="O9" s="165">
        <v>1483884000</v>
      </c>
      <c r="P9" s="165">
        <v>8.41</v>
      </c>
      <c r="Q9" s="165">
        <v>244</v>
      </c>
      <c r="R9" s="165">
        <v>3.13</v>
      </c>
    </row>
    <row r="10" spans="1:18" x14ac:dyDescent="0.25">
      <c r="A10" s="165">
        <v>26.76</v>
      </c>
      <c r="B10" s="165">
        <v>0.51</v>
      </c>
      <c r="C10" s="165">
        <v>18.64</v>
      </c>
      <c r="D10" s="8">
        <v>42743.333333333336</v>
      </c>
      <c r="E10" s="165">
        <v>0.71</v>
      </c>
      <c r="F10" s="165" t="s">
        <v>630</v>
      </c>
      <c r="G10" s="165">
        <v>269.89</v>
      </c>
      <c r="H10" s="165"/>
      <c r="I10" s="165">
        <v>0</v>
      </c>
      <c r="J10" s="165">
        <v>0</v>
      </c>
      <c r="K10" s="165"/>
      <c r="L10" s="165">
        <v>1022.56</v>
      </c>
      <c r="M10" s="165" t="s">
        <v>629</v>
      </c>
      <c r="N10" s="165">
        <v>26.76</v>
      </c>
      <c r="O10" s="165">
        <v>1483887600</v>
      </c>
      <c r="P10" s="165">
        <v>8.17</v>
      </c>
      <c r="Q10" s="165">
        <v>225</v>
      </c>
      <c r="R10" s="165">
        <v>2.79</v>
      </c>
    </row>
    <row r="11" spans="1:18" x14ac:dyDescent="0.25">
      <c r="A11" s="165">
        <v>30.7</v>
      </c>
      <c r="B11" s="165">
        <v>0.57999999999999996</v>
      </c>
      <c r="C11" s="165">
        <v>22.11</v>
      </c>
      <c r="D11" s="8">
        <v>42743.375</v>
      </c>
      <c r="E11" s="165">
        <v>0.7</v>
      </c>
      <c r="F11" s="165" t="s">
        <v>630</v>
      </c>
      <c r="G11" s="165">
        <v>270.45999999999998</v>
      </c>
      <c r="H11" s="165"/>
      <c r="I11" s="165">
        <v>0</v>
      </c>
      <c r="J11" s="165">
        <v>0</v>
      </c>
      <c r="K11" s="165"/>
      <c r="L11" s="165">
        <v>1021.55</v>
      </c>
      <c r="M11" s="165" t="s">
        <v>629</v>
      </c>
      <c r="N11" s="165">
        <v>30.7</v>
      </c>
      <c r="O11" s="165">
        <v>1483891200</v>
      </c>
      <c r="P11" s="165">
        <v>8.06</v>
      </c>
      <c r="Q11" s="165">
        <v>201</v>
      </c>
      <c r="R11" s="165">
        <v>2.1800000000000002</v>
      </c>
    </row>
    <row r="12" spans="1:18" x14ac:dyDescent="0.25">
      <c r="A12" s="165">
        <v>36.74</v>
      </c>
      <c r="B12" s="165">
        <v>0.67</v>
      </c>
      <c r="C12" s="165">
        <v>26.89</v>
      </c>
      <c r="D12" s="8">
        <v>42743.416666666664</v>
      </c>
      <c r="E12" s="165">
        <v>0.67</v>
      </c>
      <c r="F12" s="165" t="s">
        <v>630</v>
      </c>
      <c r="G12" s="165">
        <v>271.62</v>
      </c>
      <c r="H12" s="165"/>
      <c r="I12" s="165">
        <v>0</v>
      </c>
      <c r="J12" s="165">
        <v>0</v>
      </c>
      <c r="K12" s="165"/>
      <c r="L12" s="165">
        <v>1019.97</v>
      </c>
      <c r="M12" s="165" t="s">
        <v>383</v>
      </c>
      <c r="N12" s="165">
        <v>36.74</v>
      </c>
      <c r="O12" s="165">
        <v>1483894800</v>
      </c>
      <c r="P12" s="165">
        <v>8.0399999999999991</v>
      </c>
      <c r="Q12" s="165">
        <v>226</v>
      </c>
      <c r="R12" s="165">
        <v>1.86</v>
      </c>
    </row>
    <row r="13" spans="1:18" x14ac:dyDescent="0.25">
      <c r="A13" s="165">
        <v>41.71</v>
      </c>
      <c r="B13" s="165">
        <v>0.72</v>
      </c>
      <c r="C13" s="165">
        <v>29.93</v>
      </c>
      <c r="D13" s="8">
        <v>42743.458333333336</v>
      </c>
      <c r="E13" s="165">
        <v>0.63</v>
      </c>
      <c r="F13" s="165" t="s">
        <v>630</v>
      </c>
      <c r="G13" s="165">
        <v>271.82</v>
      </c>
      <c r="H13" s="165"/>
      <c r="I13" s="165">
        <v>0</v>
      </c>
      <c r="J13" s="165">
        <v>0</v>
      </c>
      <c r="K13" s="165"/>
      <c r="L13" s="165">
        <v>1018.99</v>
      </c>
      <c r="M13" s="165" t="s">
        <v>383</v>
      </c>
      <c r="N13" s="165">
        <v>41.71</v>
      </c>
      <c r="O13" s="165">
        <v>1483898400</v>
      </c>
      <c r="P13" s="165">
        <v>8.11</v>
      </c>
      <c r="Q13" s="165">
        <v>275</v>
      </c>
      <c r="R13" s="165">
        <v>0.48</v>
      </c>
    </row>
    <row r="14" spans="1:18" x14ac:dyDescent="0.25">
      <c r="A14" s="165">
        <v>43.78</v>
      </c>
      <c r="B14" s="165">
        <v>0.66</v>
      </c>
      <c r="C14" s="165">
        <v>31.53</v>
      </c>
      <c r="D14" s="8">
        <v>42743.5</v>
      </c>
      <c r="E14" s="165">
        <v>0.62</v>
      </c>
      <c r="F14" s="165" t="s">
        <v>630</v>
      </c>
      <c r="G14" s="165">
        <v>270.47000000000003</v>
      </c>
      <c r="H14" s="165"/>
      <c r="I14" s="165">
        <v>0</v>
      </c>
      <c r="J14" s="165">
        <v>0</v>
      </c>
      <c r="K14" s="165"/>
      <c r="L14" s="165">
        <v>1018.52</v>
      </c>
      <c r="M14" s="165" t="s">
        <v>383</v>
      </c>
      <c r="N14" s="165">
        <v>43.78</v>
      </c>
      <c r="O14" s="165">
        <v>1483902000</v>
      </c>
      <c r="P14" s="165">
        <v>8.17</v>
      </c>
      <c r="Q14" s="165">
        <v>260</v>
      </c>
      <c r="R14" s="165">
        <v>0.84</v>
      </c>
    </row>
    <row r="15" spans="1:18" x14ac:dyDescent="0.25">
      <c r="A15" s="165">
        <v>45.93</v>
      </c>
      <c r="B15" s="165">
        <v>0.55000000000000004</v>
      </c>
      <c r="C15" s="165">
        <v>34.119999999999997</v>
      </c>
      <c r="D15" s="8">
        <v>42743.541666666664</v>
      </c>
      <c r="E15" s="165">
        <v>0.63</v>
      </c>
      <c r="F15" s="165" t="s">
        <v>630</v>
      </c>
      <c r="G15" s="165">
        <v>268.18</v>
      </c>
      <c r="H15" s="165"/>
      <c r="I15" s="165">
        <v>0</v>
      </c>
      <c r="J15" s="165">
        <v>0</v>
      </c>
      <c r="K15" s="165"/>
      <c r="L15" s="165">
        <v>1018.28</v>
      </c>
      <c r="M15" s="165" t="s">
        <v>629</v>
      </c>
      <c r="N15" s="165">
        <v>45.93</v>
      </c>
      <c r="O15" s="165">
        <v>1483905600</v>
      </c>
      <c r="P15" s="165">
        <v>8.2100000000000009</v>
      </c>
      <c r="Q15" s="165">
        <v>150</v>
      </c>
      <c r="R15" s="165">
        <v>1.49</v>
      </c>
    </row>
    <row r="16" spans="1:18" x14ac:dyDescent="0.25">
      <c r="A16" s="165">
        <v>46.67</v>
      </c>
      <c r="B16" s="165">
        <v>0.5</v>
      </c>
      <c r="C16" s="165">
        <v>34.6</v>
      </c>
      <c r="D16" s="8">
        <v>42743.583333333336</v>
      </c>
      <c r="E16" s="165">
        <v>0.63</v>
      </c>
      <c r="F16" s="165" t="s">
        <v>630</v>
      </c>
      <c r="G16" s="165">
        <v>265.20999999999998</v>
      </c>
      <c r="H16" s="165"/>
      <c r="I16" s="165">
        <v>0</v>
      </c>
      <c r="J16" s="165">
        <v>0</v>
      </c>
      <c r="K16" s="165"/>
      <c r="L16" s="165">
        <v>1018.04</v>
      </c>
      <c r="M16" s="165" t="s">
        <v>629</v>
      </c>
      <c r="N16" s="165">
        <v>46.67</v>
      </c>
      <c r="O16" s="165">
        <v>1483909200</v>
      </c>
      <c r="P16" s="165">
        <v>8.27</v>
      </c>
      <c r="Q16" s="165">
        <v>156</v>
      </c>
      <c r="R16" s="165">
        <v>0.86</v>
      </c>
    </row>
    <row r="17" spans="1:18" x14ac:dyDescent="0.25">
      <c r="A17" s="165">
        <v>45.92</v>
      </c>
      <c r="B17" s="165">
        <v>0.54</v>
      </c>
      <c r="C17" s="165">
        <v>33.74</v>
      </c>
      <c r="D17" s="8">
        <v>42743.625</v>
      </c>
      <c r="E17" s="165">
        <v>0.62</v>
      </c>
      <c r="F17" s="165" t="s">
        <v>630</v>
      </c>
      <c r="G17" s="165">
        <v>260.93</v>
      </c>
      <c r="H17" s="165"/>
      <c r="I17" s="165">
        <v>0</v>
      </c>
      <c r="J17" s="165">
        <v>0</v>
      </c>
      <c r="K17" s="165"/>
      <c r="L17" s="165">
        <v>1017.65</v>
      </c>
      <c r="M17" s="165" t="s">
        <v>629</v>
      </c>
      <c r="N17" s="165">
        <v>45.92</v>
      </c>
      <c r="O17" s="165">
        <v>1483912800</v>
      </c>
      <c r="P17" s="165">
        <v>8.36</v>
      </c>
      <c r="Q17" s="165">
        <v>142</v>
      </c>
      <c r="R17" s="165">
        <v>2.2000000000000002</v>
      </c>
    </row>
    <row r="18" spans="1:18" x14ac:dyDescent="0.25">
      <c r="A18" s="165">
        <v>45.14</v>
      </c>
      <c r="B18" s="165">
        <v>0.65</v>
      </c>
      <c r="C18" s="165">
        <v>32.42</v>
      </c>
      <c r="D18" s="8">
        <v>42743.666666666664</v>
      </c>
      <c r="E18" s="165">
        <v>0.61</v>
      </c>
      <c r="F18" s="165" t="s">
        <v>630</v>
      </c>
      <c r="G18" s="165">
        <v>255.96</v>
      </c>
      <c r="H18" s="165"/>
      <c r="I18" s="165">
        <v>0</v>
      </c>
      <c r="J18" s="165">
        <v>0</v>
      </c>
      <c r="K18" s="165"/>
      <c r="L18" s="165">
        <v>1017.26</v>
      </c>
      <c r="M18" s="165" t="s">
        <v>383</v>
      </c>
      <c r="N18" s="165">
        <v>45.14</v>
      </c>
      <c r="O18" s="165">
        <v>1483916400</v>
      </c>
      <c r="P18" s="165">
        <v>8.52</v>
      </c>
      <c r="Q18" s="165">
        <v>119</v>
      </c>
      <c r="R18" s="165">
        <v>2.15</v>
      </c>
    </row>
    <row r="19" spans="1:18" x14ac:dyDescent="0.25">
      <c r="A19" s="165">
        <v>42.54</v>
      </c>
      <c r="B19" s="165">
        <v>0.69</v>
      </c>
      <c r="C19" s="165">
        <v>30.27</v>
      </c>
      <c r="D19" s="8">
        <v>42743.708333333336</v>
      </c>
      <c r="E19" s="165">
        <v>0.62</v>
      </c>
      <c r="F19" s="165" t="s">
        <v>235</v>
      </c>
      <c r="G19" s="165">
        <v>252.5</v>
      </c>
      <c r="H19" s="165"/>
      <c r="I19" s="165">
        <v>0</v>
      </c>
      <c r="J19" s="165">
        <v>0</v>
      </c>
      <c r="K19" s="165"/>
      <c r="L19" s="165">
        <v>1017.07</v>
      </c>
      <c r="M19" s="165" t="s">
        <v>383</v>
      </c>
      <c r="N19" s="165">
        <v>42.54</v>
      </c>
      <c r="O19" s="165">
        <v>1483920000</v>
      </c>
      <c r="P19" s="165">
        <v>8.7799999999999994</v>
      </c>
      <c r="Q19" s="165">
        <v>126</v>
      </c>
      <c r="R19" s="165">
        <v>2.54</v>
      </c>
    </row>
    <row r="20" spans="1:18" x14ac:dyDescent="0.25">
      <c r="A20" s="165">
        <v>39.159999999999997</v>
      </c>
      <c r="B20" s="165">
        <v>0.59</v>
      </c>
      <c r="C20" s="165">
        <v>28.06</v>
      </c>
      <c r="D20" s="8">
        <v>42743.75</v>
      </c>
      <c r="E20" s="165">
        <v>0.64</v>
      </c>
      <c r="F20" s="165" t="s">
        <v>235</v>
      </c>
      <c r="G20" s="165">
        <v>251.69</v>
      </c>
      <c r="H20" s="165"/>
      <c r="I20" s="165">
        <v>0</v>
      </c>
      <c r="J20" s="165">
        <v>0</v>
      </c>
      <c r="K20" s="165"/>
      <c r="L20" s="165">
        <v>1017.13</v>
      </c>
      <c r="M20" s="165" t="s">
        <v>629</v>
      </c>
      <c r="N20" s="165">
        <v>39.159999999999997</v>
      </c>
      <c r="O20" s="165">
        <v>1483923600</v>
      </c>
      <c r="P20" s="165">
        <v>9.1300000000000008</v>
      </c>
      <c r="Q20" s="165">
        <v>169</v>
      </c>
      <c r="R20" s="165">
        <v>1.19</v>
      </c>
    </row>
    <row r="21" spans="1:18" x14ac:dyDescent="0.25">
      <c r="A21" s="165">
        <v>37.89</v>
      </c>
      <c r="B21" s="165">
        <v>0.42</v>
      </c>
      <c r="C21" s="165">
        <v>28.99</v>
      </c>
      <c r="D21" s="8">
        <v>42743.791666666664</v>
      </c>
      <c r="E21" s="165">
        <v>0.7</v>
      </c>
      <c r="F21" s="165" t="s">
        <v>235</v>
      </c>
      <c r="G21" s="165">
        <v>252.38</v>
      </c>
      <c r="H21" s="165"/>
      <c r="I21" s="165">
        <v>1.1999999999999999E-3</v>
      </c>
      <c r="J21" s="165">
        <v>0.02</v>
      </c>
      <c r="K21" s="165" t="s">
        <v>631</v>
      </c>
      <c r="L21" s="165">
        <v>1017.99</v>
      </c>
      <c r="M21" s="165" t="s">
        <v>629</v>
      </c>
      <c r="N21" s="165">
        <v>37.89</v>
      </c>
      <c r="O21" s="165">
        <v>1483927200</v>
      </c>
      <c r="P21" s="165">
        <v>9.5</v>
      </c>
      <c r="Q21" s="165">
        <v>211</v>
      </c>
      <c r="R21" s="165">
        <v>2.02</v>
      </c>
    </row>
    <row r="22" spans="1:18" x14ac:dyDescent="0.25">
      <c r="A22" s="165">
        <v>32.21</v>
      </c>
      <c r="B22" s="165">
        <v>0.34</v>
      </c>
      <c r="C22" s="165">
        <v>27.18</v>
      </c>
      <c r="D22" s="8">
        <v>42743.833333333336</v>
      </c>
      <c r="E22" s="165">
        <v>0.73</v>
      </c>
      <c r="F22" s="165" t="s">
        <v>235</v>
      </c>
      <c r="G22" s="165">
        <v>253.25</v>
      </c>
      <c r="H22" s="165">
        <v>8.9999999999999993E-3</v>
      </c>
      <c r="I22" s="165">
        <v>1.1999999999999999E-3</v>
      </c>
      <c r="J22" s="165">
        <v>0.02</v>
      </c>
      <c r="K22" s="165" t="s">
        <v>329</v>
      </c>
      <c r="L22" s="165">
        <v>1018.48</v>
      </c>
      <c r="M22" s="165" t="s">
        <v>629</v>
      </c>
      <c r="N22" s="165">
        <v>34.9</v>
      </c>
      <c r="O22" s="165">
        <v>1483930800</v>
      </c>
      <c r="P22" s="165">
        <v>9.17</v>
      </c>
      <c r="Q22" s="165">
        <v>215</v>
      </c>
      <c r="R22" s="165">
        <v>3.3</v>
      </c>
    </row>
    <row r="23" spans="1:18" x14ac:dyDescent="0.25">
      <c r="A23" s="165">
        <v>31.86</v>
      </c>
      <c r="B23" s="165">
        <v>0.42</v>
      </c>
      <c r="C23" s="165">
        <v>26.74</v>
      </c>
      <c r="D23" s="8">
        <v>42743.875</v>
      </c>
      <c r="E23" s="165">
        <v>0.72</v>
      </c>
      <c r="F23" s="165" t="s">
        <v>235</v>
      </c>
      <c r="G23" s="165">
        <v>254.12</v>
      </c>
      <c r="H23" s="165">
        <v>8.9999999999999993E-3</v>
      </c>
      <c r="I23" s="165">
        <v>1.1999999999999999E-3</v>
      </c>
      <c r="J23" s="165">
        <v>0.02</v>
      </c>
      <c r="K23" s="165" t="s">
        <v>329</v>
      </c>
      <c r="L23" s="165">
        <v>1017.53</v>
      </c>
      <c r="M23" s="165" t="s">
        <v>629</v>
      </c>
      <c r="N23" s="165">
        <v>34.97</v>
      </c>
      <c r="O23" s="165">
        <v>1483934400</v>
      </c>
      <c r="P23" s="165">
        <v>8.83</v>
      </c>
      <c r="Q23" s="165">
        <v>218</v>
      </c>
      <c r="R23" s="165">
        <v>3.67</v>
      </c>
    </row>
    <row r="24" spans="1:18" x14ac:dyDescent="0.25">
      <c r="A24" s="165">
        <v>32.97</v>
      </c>
      <c r="B24" s="165">
        <v>0.46</v>
      </c>
      <c r="C24" s="165">
        <v>26.54</v>
      </c>
      <c r="D24" s="8">
        <v>42743.916666666664</v>
      </c>
      <c r="E24" s="165">
        <v>0.7</v>
      </c>
      <c r="F24" s="165" t="s">
        <v>235</v>
      </c>
      <c r="G24" s="165">
        <v>255.18</v>
      </c>
      <c r="H24" s="165"/>
      <c r="I24" s="165">
        <v>8.9999999999999998E-4</v>
      </c>
      <c r="J24" s="165">
        <v>0.01</v>
      </c>
      <c r="K24" s="165" t="s">
        <v>631</v>
      </c>
      <c r="L24" s="165">
        <v>1015.92</v>
      </c>
      <c r="M24" s="165" t="s">
        <v>629</v>
      </c>
      <c r="N24" s="165">
        <v>35.31</v>
      </c>
      <c r="O24" s="165">
        <v>1483938000</v>
      </c>
      <c r="P24" s="165">
        <v>8.8699999999999992</v>
      </c>
      <c r="Q24" s="165">
        <v>204</v>
      </c>
      <c r="R24" s="165">
        <v>3.07</v>
      </c>
    </row>
    <row r="25" spans="1:18" x14ac:dyDescent="0.25">
      <c r="A25" s="165">
        <v>34.369999999999997</v>
      </c>
      <c r="B25" s="165">
        <v>0.56000000000000005</v>
      </c>
      <c r="C25" s="165">
        <v>25.26</v>
      </c>
      <c r="D25" s="8">
        <v>42743.958333333336</v>
      </c>
      <c r="E25" s="165">
        <v>0.69</v>
      </c>
      <c r="F25" s="165" t="s">
        <v>235</v>
      </c>
      <c r="G25" s="165">
        <v>255.64</v>
      </c>
      <c r="H25" s="165"/>
      <c r="I25" s="165">
        <v>0</v>
      </c>
      <c r="J25" s="165">
        <v>0</v>
      </c>
      <c r="K25" s="165"/>
      <c r="L25" s="165">
        <v>1014.53</v>
      </c>
      <c r="M25" s="165" t="s">
        <v>629</v>
      </c>
      <c r="N25" s="165">
        <v>34.369999999999997</v>
      </c>
      <c r="O25" s="165">
        <v>1483941600</v>
      </c>
      <c r="P25" s="165">
        <v>9.07</v>
      </c>
      <c r="Q25" s="165">
        <v>222</v>
      </c>
      <c r="R25" s="165">
        <v>2.58</v>
      </c>
    </row>
    <row r="26" spans="1:18" x14ac:dyDescent="0.25">
      <c r="A26" s="165">
        <v>34.56</v>
      </c>
      <c r="B26" s="165">
        <v>0.63</v>
      </c>
      <c r="C26" s="165">
        <v>24.32</v>
      </c>
      <c r="D26" s="8">
        <v>42744</v>
      </c>
      <c r="E26" s="165">
        <v>0.66</v>
      </c>
      <c r="F26" s="165" t="s">
        <v>235</v>
      </c>
      <c r="G26" s="165">
        <v>254.62</v>
      </c>
      <c r="H26" s="165">
        <v>6.0000000000000001E-3</v>
      </c>
      <c r="I26" s="165">
        <v>8.0000000000000004E-4</v>
      </c>
      <c r="J26" s="165">
        <v>0.01</v>
      </c>
      <c r="K26" s="165" t="s">
        <v>329</v>
      </c>
      <c r="L26" s="165">
        <v>1014.19</v>
      </c>
      <c r="M26" s="165" t="s">
        <v>383</v>
      </c>
      <c r="N26" s="165">
        <v>34.56</v>
      </c>
      <c r="O26" s="165">
        <v>1483945200</v>
      </c>
      <c r="P26" s="165">
        <v>9.31</v>
      </c>
      <c r="Q26" s="165">
        <v>236</v>
      </c>
      <c r="R26" s="165">
        <v>2.52</v>
      </c>
    </row>
    <row r="27" spans="1:18" x14ac:dyDescent="0.25">
      <c r="A27" s="165">
        <v>32.86</v>
      </c>
      <c r="B27" s="165">
        <v>0.44</v>
      </c>
      <c r="C27" s="165">
        <v>25.68</v>
      </c>
      <c r="D27" s="8">
        <v>42744.041666666664</v>
      </c>
      <c r="E27" s="165">
        <v>0.67</v>
      </c>
      <c r="F27" s="165" t="s">
        <v>235</v>
      </c>
      <c r="G27" s="165">
        <v>253.6</v>
      </c>
      <c r="H27" s="165"/>
      <c r="I27" s="165">
        <v>0</v>
      </c>
      <c r="J27" s="165">
        <v>0</v>
      </c>
      <c r="K27" s="165"/>
      <c r="L27" s="165">
        <v>1013.67</v>
      </c>
      <c r="M27" s="165" t="s">
        <v>629</v>
      </c>
      <c r="N27" s="165">
        <v>35.61</v>
      </c>
      <c r="O27" s="165">
        <v>1483948800</v>
      </c>
      <c r="P27" s="165">
        <v>9.23</v>
      </c>
      <c r="Q27" s="165">
        <v>244</v>
      </c>
      <c r="R27" s="165">
        <v>3.43</v>
      </c>
    </row>
    <row r="28" spans="1:18" x14ac:dyDescent="0.25">
      <c r="A28" s="165">
        <v>32.21</v>
      </c>
      <c r="B28" s="165">
        <v>0.41</v>
      </c>
      <c r="C28" s="165">
        <v>26.97</v>
      </c>
      <c r="D28" s="8">
        <v>42744.083333333336</v>
      </c>
      <c r="E28" s="165">
        <v>0.7</v>
      </c>
      <c r="F28" s="165" t="s">
        <v>235</v>
      </c>
      <c r="G28" s="165">
        <v>252.58</v>
      </c>
      <c r="H28" s="165"/>
      <c r="I28" s="165">
        <v>0</v>
      </c>
      <c r="J28" s="165">
        <v>0</v>
      </c>
      <c r="K28" s="165"/>
      <c r="L28" s="165">
        <v>1013.08</v>
      </c>
      <c r="M28" s="165" t="s">
        <v>629</v>
      </c>
      <c r="N28" s="165">
        <v>35.799999999999997</v>
      </c>
      <c r="O28" s="165">
        <v>1483952400</v>
      </c>
      <c r="P28" s="165">
        <v>8.2200000000000006</v>
      </c>
      <c r="Q28" s="165">
        <v>237</v>
      </c>
      <c r="R28" s="165">
        <v>4.25</v>
      </c>
    </row>
    <row r="29" spans="1:18" x14ac:dyDescent="0.25">
      <c r="A29" s="165">
        <v>33.270000000000003</v>
      </c>
      <c r="B29" s="165">
        <v>0.64</v>
      </c>
      <c r="C29" s="165">
        <v>28.13</v>
      </c>
      <c r="D29" s="8">
        <v>42744.125</v>
      </c>
      <c r="E29" s="165">
        <v>0.68</v>
      </c>
      <c r="F29" s="165" t="s">
        <v>235</v>
      </c>
      <c r="G29" s="165">
        <v>251.06</v>
      </c>
      <c r="H29" s="165"/>
      <c r="I29" s="165">
        <v>0</v>
      </c>
      <c r="J29" s="165">
        <v>0</v>
      </c>
      <c r="K29" s="165"/>
      <c r="L29" s="165">
        <v>1012.02</v>
      </c>
      <c r="M29" s="165" t="s">
        <v>383</v>
      </c>
      <c r="N29" s="165">
        <v>37.86</v>
      </c>
      <c r="O29" s="165">
        <v>1483956000</v>
      </c>
      <c r="P29" s="165">
        <v>8.84</v>
      </c>
      <c r="Q29" s="165">
        <v>239</v>
      </c>
      <c r="R29" s="165">
        <v>5.9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2"/>
  <sheetViews>
    <sheetView topLeftCell="A10" workbookViewId="0">
      <selection activeCell="F29" sqref="F29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42743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800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801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802</v>
      </c>
      <c r="J20" s="165" t="s">
        <v>87</v>
      </c>
      <c r="M20" s="165" t="s">
        <v>305</v>
      </c>
    </row>
    <row r="21" spans="3:13" x14ac:dyDescent="0.25">
      <c r="C21" t="s">
        <v>803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804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805</v>
      </c>
      <c r="J23" s="188" t="s">
        <v>95</v>
      </c>
      <c r="M23" s="165">
        <v>-7</v>
      </c>
    </row>
    <row r="24" spans="3:13" x14ac:dyDescent="0.25">
      <c r="C24" t="s">
        <v>806</v>
      </c>
      <c r="J24" s="165" t="s">
        <v>108</v>
      </c>
      <c r="M24" s="165" t="s">
        <v>110</v>
      </c>
    </row>
    <row r="25" spans="3:13" x14ac:dyDescent="0.25">
      <c r="C25" t="s">
        <v>807</v>
      </c>
      <c r="J25" s="165" t="s">
        <v>151</v>
      </c>
      <c r="M25" s="165" t="b">
        <v>1</v>
      </c>
    </row>
    <row r="26" spans="3:13" x14ac:dyDescent="0.25">
      <c r="C26" t="s">
        <v>808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C:\Users\stu\Documents\GitHub\eaglep3-reporting\EC\2017-01-08-refined-times.txt</v>
      </c>
    </row>
    <row r="27" spans="3:13" x14ac:dyDescent="0.25">
      <c r="C27" t="s">
        <v>809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C:\Users\stu\Documents\GitHub\eaglep3-reporting\EC\2017-01-08-Enforcements.txt</v>
      </c>
    </row>
    <row r="28" spans="3:13" x14ac:dyDescent="0.25">
      <c r="C28" t="s">
        <v>810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C:\Users\stu\Documents\GitHub\eaglep3-reporting\EC\2017-01-08-Runs-refined.txt</v>
      </c>
    </row>
    <row r="29" spans="3:13" x14ac:dyDescent="0.25">
      <c r="C29" t="s">
        <v>811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C:\Users\stu\Documents\GitHub\eaglep3-reporting\EC\2017-01-08-Trips.txt</v>
      </c>
    </row>
    <row r="30" spans="3:13" x14ac:dyDescent="0.25">
      <c r="C30" t="s">
        <v>812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C:\Users\stu\Documents\GitHub\eaglep3-reporting\EC\2017-01-08-Weather.txt</v>
      </c>
    </row>
    <row r="31" spans="3:13" x14ac:dyDescent="0.25">
      <c r="C31" t="s">
        <v>813</v>
      </c>
      <c r="J31" s="165" t="s">
        <v>303</v>
      </c>
      <c r="M31" s="165" t="s">
        <v>304</v>
      </c>
    </row>
    <row r="32" spans="3:13" x14ac:dyDescent="0.25">
      <c r="C32" t="s">
        <v>814</v>
      </c>
    </row>
    <row r="33" spans="3:3" x14ac:dyDescent="0.25">
      <c r="C33" t="s">
        <v>815</v>
      </c>
    </row>
    <row r="34" spans="3:3" x14ac:dyDescent="0.25">
      <c r="C34" t="s">
        <v>816</v>
      </c>
    </row>
    <row r="35" spans="3:3" x14ac:dyDescent="0.25">
      <c r="C35" t="s">
        <v>817</v>
      </c>
    </row>
    <row r="36" spans="3:3" x14ac:dyDescent="0.25">
      <c r="C36" t="s">
        <v>818</v>
      </c>
    </row>
    <row r="37" spans="3:3" x14ac:dyDescent="0.25">
      <c r="C37" t="s">
        <v>819</v>
      </c>
    </row>
    <row r="38" spans="3:3" x14ac:dyDescent="0.25">
      <c r="C38" t="s">
        <v>820</v>
      </c>
    </row>
    <row r="39" spans="3:3" x14ac:dyDescent="0.25">
      <c r="C39" t="s">
        <v>821</v>
      </c>
    </row>
    <row r="40" spans="3:3" x14ac:dyDescent="0.25">
      <c r="C40" t="s">
        <v>822</v>
      </c>
    </row>
    <row r="41" spans="3:3" x14ac:dyDescent="0.25">
      <c r="C41" t="s">
        <v>823</v>
      </c>
    </row>
    <row r="42" spans="3:3" x14ac:dyDescent="0.25">
      <c r="C42" t="s">
        <v>824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B18" sqref="B18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845</v>
      </c>
      <c r="B1" t="str">
        <f t="shared" ref="B1:B30" si="0">MID(A1,6,23)</f>
        <v>2017/01/08 12:57:49.964</v>
      </c>
      <c r="C1" t="e">
        <f>ABS(B1-#REF!)</f>
        <v>#REF!</v>
      </c>
    </row>
    <row r="2" spans="1:3" x14ac:dyDescent="0.25">
      <c r="A2" t="s">
        <v>846</v>
      </c>
      <c r="B2" s="21" t="str">
        <f t="shared" si="0"/>
        <v>2017/01/08 12:57:50.023</v>
      </c>
      <c r="C2">
        <f>ABS(B2-B1)</f>
        <v>6.8287044996395707E-7</v>
      </c>
    </row>
    <row r="3" spans="1:3" x14ac:dyDescent="0.25">
      <c r="A3" t="s">
        <v>847</v>
      </c>
      <c r="B3" s="21" t="str">
        <f t="shared" si="0"/>
        <v>2017/01/08 12:57:50.291</v>
      </c>
      <c r="C3" s="21">
        <f t="shared" ref="C3:C30" si="1">ABS(B3-B2)</f>
        <v>3.1018571462482214E-6</v>
      </c>
    </row>
    <row r="4" spans="1:3" x14ac:dyDescent="0.25">
      <c r="A4" t="s">
        <v>848</v>
      </c>
      <c r="B4" s="21" t="str">
        <f t="shared" si="0"/>
        <v>2017/01/08 13:08:29.576</v>
      </c>
      <c r="C4" s="21">
        <f t="shared" si="1"/>
        <v>7.399131944112014E-3</v>
      </c>
    </row>
    <row r="5" spans="1:3" x14ac:dyDescent="0.25">
      <c r="A5" t="s">
        <v>849</v>
      </c>
      <c r="B5" s="21" t="str">
        <f t="shared" si="0"/>
        <v>2017/01/08 13:08:30.140</v>
      </c>
      <c r="C5" s="21">
        <f t="shared" si="1"/>
        <v>6.5277781686745584E-6</v>
      </c>
    </row>
    <row r="6" spans="1:3" x14ac:dyDescent="0.25">
      <c r="A6" t="s">
        <v>850</v>
      </c>
      <c r="B6" s="21" t="str">
        <f t="shared" si="0"/>
        <v>2017/01/08 15:50:03.031</v>
      </c>
      <c r="C6" s="21">
        <f t="shared" si="1"/>
        <v>0.11218623842432862</v>
      </c>
    </row>
    <row r="7" spans="1:3" x14ac:dyDescent="0.25">
      <c r="A7" t="s">
        <v>851</v>
      </c>
      <c r="B7" s="21" t="str">
        <f t="shared" si="0"/>
        <v>2017/01/08 15:50:03.210</v>
      </c>
      <c r="C7" s="21">
        <f t="shared" si="1"/>
        <v>2.0717561710625887E-6</v>
      </c>
    </row>
    <row r="8" spans="1:3" x14ac:dyDescent="0.25">
      <c r="A8" t="s">
        <v>852</v>
      </c>
      <c r="B8" s="21" t="str">
        <f t="shared" si="0"/>
        <v>2017/01/08 15:50:03.893</v>
      </c>
      <c r="C8" s="21">
        <f t="shared" si="1"/>
        <v>7.9050951171666384E-6</v>
      </c>
    </row>
    <row r="9" spans="1:3" x14ac:dyDescent="0.25">
      <c r="A9" t="s">
        <v>853</v>
      </c>
      <c r="B9" s="21" t="str">
        <f t="shared" si="0"/>
        <v>2017/01/08 18:37:12.300</v>
      </c>
      <c r="C9" s="21">
        <f t="shared" si="1"/>
        <v>0.11606952546571847</v>
      </c>
    </row>
    <row r="10" spans="1:3" x14ac:dyDescent="0.25">
      <c r="A10" t="s">
        <v>854</v>
      </c>
      <c r="B10" s="21" t="str">
        <f t="shared" si="0"/>
        <v>2017/01/08 18:37:12.985</v>
      </c>
      <c r="C10" s="21">
        <f t="shared" si="1"/>
        <v>7.9282399383373559E-6</v>
      </c>
    </row>
    <row r="11" spans="1:3" x14ac:dyDescent="0.25">
      <c r="A11" t="s">
        <v>855</v>
      </c>
      <c r="B11" s="21" t="str">
        <f t="shared" si="0"/>
        <v>2017/01/08 18:37:13.035</v>
      </c>
      <c r="C11" s="21">
        <f t="shared" si="1"/>
        <v>5.7870056480169296E-7</v>
      </c>
    </row>
    <row r="12" spans="1:3" x14ac:dyDescent="0.25">
      <c r="A12" t="s">
        <v>856</v>
      </c>
      <c r="B12" s="21" t="str">
        <f t="shared" si="0"/>
        <v>2017/01/08 20:47:03.707</v>
      </c>
      <c r="C12" s="21">
        <f t="shared" si="1"/>
        <v>9.0169814815453719E-2</v>
      </c>
    </row>
    <row r="13" spans="1:3" x14ac:dyDescent="0.25">
      <c r="A13" t="s">
        <v>857</v>
      </c>
      <c r="B13" s="21" t="str">
        <f t="shared" si="0"/>
        <v>2017/01/08 20:47:03.833</v>
      </c>
      <c r="C13" s="21">
        <f t="shared" si="1"/>
        <v>1.4583347365260124E-6</v>
      </c>
    </row>
    <row r="14" spans="1:3" x14ac:dyDescent="0.25">
      <c r="A14" t="s">
        <v>858</v>
      </c>
      <c r="B14" s="21" t="str">
        <f t="shared" si="0"/>
        <v>2017/01/08 21:02:53.698</v>
      </c>
      <c r="C14" s="21">
        <f t="shared" si="1"/>
        <v>1.0993807867635041E-2</v>
      </c>
    </row>
    <row r="15" spans="1:3" x14ac:dyDescent="0.25">
      <c r="A15" t="s">
        <v>859</v>
      </c>
      <c r="B15" s="21" t="str">
        <f t="shared" si="0"/>
        <v>2017/01/08 21:02:53.828</v>
      </c>
      <c r="C15" s="21">
        <f t="shared" si="1"/>
        <v>1.5046316548250616E-6</v>
      </c>
    </row>
    <row r="16" spans="1:3" x14ac:dyDescent="0.25">
      <c r="A16" t="s">
        <v>860</v>
      </c>
      <c r="B16" s="21" t="str">
        <f t="shared" si="0"/>
        <v>2017/01/08 21:03:32.705</v>
      </c>
      <c r="C16" s="21">
        <f t="shared" si="1"/>
        <v>4.4996527867624536E-4</v>
      </c>
    </row>
    <row r="17" spans="1:3" x14ac:dyDescent="0.25">
      <c r="A17" t="s">
        <v>861</v>
      </c>
      <c r="B17" s="21" t="str">
        <f t="shared" si="0"/>
        <v>2017/01/08 21:03:32.827</v>
      </c>
      <c r="C17" s="21">
        <f t="shared" si="1"/>
        <v>1.4120378182269633E-6</v>
      </c>
    </row>
    <row r="18" spans="1:3" x14ac:dyDescent="0.25">
      <c r="A18" t="s">
        <v>862</v>
      </c>
      <c r="B18" s="21" t="str">
        <f t="shared" si="0"/>
        <v>2017/01/08 21:04:27.699</v>
      </c>
      <c r="C18" s="21">
        <f t="shared" si="1"/>
        <v>6.3509259052807465E-4</v>
      </c>
    </row>
    <row r="19" spans="1:3" x14ac:dyDescent="0.25">
      <c r="A19" t="s">
        <v>863</v>
      </c>
      <c r="B19" s="21" t="str">
        <f t="shared" si="0"/>
        <v>2017/01/08 21:31:05.978</v>
      </c>
      <c r="C19" s="21">
        <f t="shared" si="1"/>
        <v>1.8498599536542315E-2</v>
      </c>
    </row>
    <row r="20" spans="1:3" x14ac:dyDescent="0.25">
      <c r="A20" t="s">
        <v>864</v>
      </c>
      <c r="B20" s="21" t="str">
        <f t="shared" si="0"/>
        <v>2017/01/08 21:31:06.462</v>
      </c>
      <c r="C20" s="21">
        <f t="shared" si="1"/>
        <v>5.601854354608804E-6</v>
      </c>
    </row>
    <row r="21" spans="1:3" x14ac:dyDescent="0.25">
      <c r="A21" t="s">
        <v>865</v>
      </c>
      <c r="B21" s="21" t="str">
        <f t="shared" si="0"/>
        <v>2017/01/08 22:04:17.981</v>
      </c>
      <c r="C21" s="21">
        <f t="shared" si="1"/>
        <v>2.3049988427374046E-2</v>
      </c>
    </row>
    <row r="22" spans="1:3" x14ac:dyDescent="0.25">
      <c r="A22" t="s">
        <v>866</v>
      </c>
      <c r="B22" s="21" t="str">
        <f t="shared" si="0"/>
        <v>2017/01/08 22:04:18.448</v>
      </c>
      <c r="C22" s="21">
        <f t="shared" si="1"/>
        <v>5.4050906328484416E-6</v>
      </c>
    </row>
    <row r="23" spans="1:3" x14ac:dyDescent="0.25">
      <c r="A23" t="s">
        <v>867</v>
      </c>
      <c r="B23" s="21" t="str">
        <f t="shared" si="0"/>
        <v>2017/01/08 22:04:55.446</v>
      </c>
      <c r="C23" s="21">
        <f t="shared" si="1"/>
        <v>4.28217594162561E-4</v>
      </c>
    </row>
    <row r="24" spans="1:3" x14ac:dyDescent="0.25">
      <c r="A24" t="s">
        <v>868</v>
      </c>
      <c r="B24" s="21" t="str">
        <f t="shared" si="0"/>
        <v>2017/01/08 22:04:55.970</v>
      </c>
      <c r="C24" s="21">
        <f t="shared" si="1"/>
        <v>6.064808985684067E-6</v>
      </c>
    </row>
    <row r="25" spans="1:3" x14ac:dyDescent="0.25">
      <c r="A25" t="s">
        <v>869</v>
      </c>
      <c r="B25" s="21" t="str">
        <f t="shared" si="0"/>
        <v>2017/01/08 22:28:18.715</v>
      </c>
      <c r="C25" s="21">
        <f t="shared" si="1"/>
        <v>1.6235474540735595E-2</v>
      </c>
    </row>
    <row r="26" spans="1:3" x14ac:dyDescent="0.25">
      <c r="A26" t="s">
        <v>870</v>
      </c>
      <c r="B26" s="21" t="str">
        <f t="shared" si="0"/>
        <v>2017/01/08 22:28:19.841</v>
      </c>
      <c r="C26" s="21">
        <f t="shared" si="1"/>
        <v>1.3032404240220785E-5</v>
      </c>
    </row>
    <row r="27" spans="1:3" x14ac:dyDescent="0.25">
      <c r="A27" t="s">
        <v>871</v>
      </c>
      <c r="B27" s="21" t="str">
        <f t="shared" si="0"/>
        <v>2017/01/09 05:07:45.032</v>
      </c>
      <c r="C27" s="21">
        <f t="shared" si="1"/>
        <v>0.27737489583523711</v>
      </c>
    </row>
    <row r="28" spans="1:3" x14ac:dyDescent="0.25">
      <c r="A28" t="s">
        <v>872</v>
      </c>
      <c r="B28" s="21" t="str">
        <f t="shared" si="0"/>
        <v>2017/01/09 05:07:45.368</v>
      </c>
      <c r="C28" s="21">
        <f t="shared" si="1"/>
        <v>3.8888902054168284E-6</v>
      </c>
    </row>
    <row r="29" spans="1:3" x14ac:dyDescent="0.25">
      <c r="A29" t="s">
        <v>873</v>
      </c>
      <c r="B29" s="21" t="str">
        <f t="shared" si="0"/>
        <v>2017/01/09 05:24:13.038</v>
      </c>
      <c r="C29" s="21">
        <f t="shared" si="1"/>
        <v>1.1431365739554167E-2</v>
      </c>
    </row>
    <row r="30" spans="1:3" x14ac:dyDescent="0.25">
      <c r="A30" t="s">
        <v>874</v>
      </c>
      <c r="B30" s="21" t="str">
        <f t="shared" si="0"/>
        <v>2017/01/09 05:24:13.412</v>
      </c>
      <c r="C30" s="21">
        <f t="shared" si="1"/>
        <v>4.3287072912789881E-6</v>
      </c>
    </row>
    <row r="31" spans="1:3" x14ac:dyDescent="0.25">
      <c r="B31" s="21"/>
      <c r="C31" s="21"/>
    </row>
    <row r="32" spans="1:3" x14ac:dyDescent="0.25">
      <c r="B32" s="21"/>
      <c r="C32" s="21"/>
    </row>
    <row r="33" spans="2:3" x14ac:dyDescent="0.25">
      <c r="B33" s="21"/>
      <c r="C33" s="21"/>
    </row>
    <row r="34" spans="2:3" x14ac:dyDescent="0.25">
      <c r="B34" s="21"/>
      <c r="C34" s="21"/>
    </row>
    <row r="35" spans="2:3" x14ac:dyDescent="0.25">
      <c r="B35" s="21"/>
      <c r="C35" s="21"/>
    </row>
    <row r="36" spans="2:3" x14ac:dyDescent="0.25">
      <c r="B36" s="21"/>
      <c r="C36" s="21"/>
    </row>
    <row r="37" spans="2:3" x14ac:dyDescent="0.25">
      <c r="B37" s="21"/>
      <c r="C37" s="21"/>
    </row>
    <row r="38" spans="2:3" x14ac:dyDescent="0.25">
      <c r="B38" s="21"/>
      <c r="C38" s="21"/>
    </row>
    <row r="39" spans="2:3" x14ac:dyDescent="0.25">
      <c r="B39" s="21"/>
      <c r="C39" s="21"/>
    </row>
    <row r="40" spans="2:3" x14ac:dyDescent="0.25">
      <c r="B40" s="21"/>
      <c r="C40" s="21"/>
    </row>
    <row r="41" spans="2:3" x14ac:dyDescent="0.25">
      <c r="B41" s="21"/>
      <c r="C41" s="21"/>
    </row>
    <row r="42" spans="2:3" x14ac:dyDescent="0.25">
      <c r="B42" s="21"/>
      <c r="C42" s="21"/>
    </row>
    <row r="43" spans="2:3" x14ac:dyDescent="0.25">
      <c r="B43" s="21"/>
      <c r="C43" s="21"/>
    </row>
    <row r="44" spans="2:3" x14ac:dyDescent="0.25">
      <c r="B44" s="21"/>
      <c r="C44" s="21"/>
    </row>
    <row r="45" spans="2:3" x14ac:dyDescent="0.25">
      <c r="B45" s="21"/>
      <c r="C45" s="21"/>
    </row>
    <row r="46" spans="2:3" x14ac:dyDescent="0.25">
      <c r="B46" s="21"/>
      <c r="C46" s="21"/>
    </row>
    <row r="47" spans="2:3" x14ac:dyDescent="0.25">
      <c r="B47" s="21"/>
      <c r="C47" s="21"/>
    </row>
    <row r="48" spans="2:3" x14ac:dyDescent="0.25">
      <c r="B48" s="21"/>
      <c r="C48" s="21"/>
    </row>
    <row r="49" spans="2:3" x14ac:dyDescent="0.25">
      <c r="B49" s="21"/>
      <c r="C49" s="21"/>
    </row>
    <row r="50" spans="2:3" x14ac:dyDescent="0.25">
      <c r="B50" s="21"/>
      <c r="C50" s="21"/>
    </row>
    <row r="51" spans="2:3" x14ac:dyDescent="0.25">
      <c r="B51" s="21"/>
      <c r="C51" s="21"/>
    </row>
    <row r="52" spans="2:3" x14ac:dyDescent="0.25">
      <c r="B52" s="21"/>
      <c r="C52" s="21"/>
    </row>
    <row r="53" spans="2:3" x14ac:dyDescent="0.25">
      <c r="B53" s="21"/>
      <c r="C53" s="21"/>
    </row>
    <row r="54" spans="2:3" x14ac:dyDescent="0.25">
      <c r="B54" s="21"/>
      <c r="C54" s="21"/>
    </row>
    <row r="55" spans="2:3" x14ac:dyDescent="0.25">
      <c r="B55" s="21"/>
      <c r="C55" s="21"/>
    </row>
    <row r="56" spans="2:3" x14ac:dyDescent="0.25">
      <c r="B56" s="21"/>
      <c r="C56" s="21"/>
    </row>
    <row r="57" spans="2:3" x14ac:dyDescent="0.25">
      <c r="B57" s="21"/>
      <c r="C57" s="21"/>
    </row>
    <row r="58" spans="2:3" x14ac:dyDescent="0.25">
      <c r="B58" s="21"/>
      <c r="C58" s="21"/>
    </row>
    <row r="59" spans="2:3" x14ac:dyDescent="0.25">
      <c r="B59" s="21"/>
      <c r="C59" s="21"/>
    </row>
    <row r="60" spans="2:3" x14ac:dyDescent="0.25">
      <c r="B60" s="21"/>
      <c r="C60" s="21"/>
    </row>
    <row r="61" spans="2:3" x14ac:dyDescent="0.25">
      <c r="B61" s="21"/>
      <c r="C61" s="21"/>
    </row>
    <row r="62" spans="2:3" x14ac:dyDescent="0.25">
      <c r="B62" s="21"/>
      <c r="C62" s="21"/>
    </row>
    <row r="63" spans="2:3" x14ac:dyDescent="0.25">
      <c r="B63" s="21"/>
      <c r="C63" s="21"/>
    </row>
    <row r="64" spans="2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2017-01-10T16:48:39Z</dcterms:modified>
</cp:coreProperties>
</file>