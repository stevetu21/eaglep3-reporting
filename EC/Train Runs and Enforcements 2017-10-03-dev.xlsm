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Enforcements!$A$6:$AC$42</definedName>
    <definedName name="_xlnm._FilterDatabase" localSheetId="2" hidden="1">'Missing Trips'!$A$2:$J$26</definedName>
    <definedName name="_xlnm._FilterDatabase" localSheetId="0" hidden="1">'Train Runs'!$A$12:$AG$340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M26" i="5"/>
  <c r="P149" i="1" l="1"/>
  <c r="AA209" i="1" l="1"/>
  <c r="K209" i="1"/>
  <c r="M209" i="1"/>
  <c r="N209" i="1"/>
  <c r="AB209" i="1"/>
  <c r="AC209" i="1"/>
  <c r="AD209" i="1"/>
  <c r="AE209" i="1"/>
  <c r="AM209" i="1"/>
  <c r="K210" i="1"/>
  <c r="M210" i="1"/>
  <c r="N210" i="1" s="1"/>
  <c r="AA210" i="1"/>
  <c r="AB210" i="1"/>
  <c r="AC210" i="1"/>
  <c r="AD210" i="1"/>
  <c r="T210" i="1" s="1"/>
  <c r="AE210" i="1"/>
  <c r="AM210" i="1"/>
  <c r="K205" i="1"/>
  <c r="M205" i="1"/>
  <c r="N205" i="1" s="1"/>
  <c r="AA205" i="1"/>
  <c r="AB205" i="1"/>
  <c r="AC205" i="1"/>
  <c r="AD205" i="1"/>
  <c r="T205" i="1" s="1"/>
  <c r="AE205" i="1"/>
  <c r="AM205" i="1"/>
  <c r="K153" i="1"/>
  <c r="M153" i="1"/>
  <c r="N153" i="1" s="1"/>
  <c r="AA153" i="1"/>
  <c r="AB153" i="1"/>
  <c r="AC153" i="1"/>
  <c r="AD153" i="1"/>
  <c r="T153" i="1" s="1"/>
  <c r="AE153" i="1"/>
  <c r="AM153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P22" i="1" s="1"/>
  <c r="Y22" i="1"/>
  <c r="Z22" i="1"/>
  <c r="AB22" i="1"/>
  <c r="AC22" i="1"/>
  <c r="AD22" i="1"/>
  <c r="AE22" i="1"/>
  <c r="R18" i="3" s="1"/>
  <c r="AM22" i="1"/>
  <c r="K23" i="1"/>
  <c r="M23" i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R26" i="3" s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P30" i="1" s="1"/>
  <c r="Y30" i="1"/>
  <c r="Z30" i="1"/>
  <c r="AB30" i="1"/>
  <c r="AC30" i="1"/>
  <c r="AD30" i="1"/>
  <c r="AE30" i="1"/>
  <c r="AM30" i="1"/>
  <c r="K31" i="1"/>
  <c r="M31" i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R10" i="3" s="1"/>
  <c r="AM32" i="1"/>
  <c r="K33" i="1"/>
  <c r="M33" i="1"/>
  <c r="N33" i="1" s="1"/>
  <c r="Y33" i="1"/>
  <c r="Z33" i="1"/>
  <c r="AB33" i="1"/>
  <c r="AC33" i="1"/>
  <c r="AD33" i="1"/>
  <c r="AE33" i="1"/>
  <c r="R27" i="3" s="1"/>
  <c r="AM33" i="1"/>
  <c r="K34" i="1"/>
  <c r="M34" i="1"/>
  <c r="N34" i="1" s="1"/>
  <c r="Y34" i="1"/>
  <c r="Z34" i="1"/>
  <c r="AB34" i="1"/>
  <c r="AC34" i="1"/>
  <c r="AD34" i="1"/>
  <c r="AE34" i="1"/>
  <c r="R24" i="3" s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Y46" i="1"/>
  <c r="Z46" i="1"/>
  <c r="AB46" i="1"/>
  <c r="AC46" i="1"/>
  <c r="AD46" i="1"/>
  <c r="AE46" i="1"/>
  <c r="AM46" i="1"/>
  <c r="K47" i="1"/>
  <c r="M47" i="1"/>
  <c r="P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R28" i="3" s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T50" i="1" s="1"/>
  <c r="AE50" i="1"/>
  <c r="AM50" i="1"/>
  <c r="K51" i="1"/>
  <c r="M51" i="1"/>
  <c r="N51" i="1" s="1"/>
  <c r="Y51" i="1"/>
  <c r="Z51" i="1"/>
  <c r="AB51" i="1"/>
  <c r="AC51" i="1"/>
  <c r="AD51" i="1"/>
  <c r="AE51" i="1"/>
  <c r="R16" i="3" s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T53" i="1" s="1"/>
  <c r="AE53" i="1"/>
  <c r="AM53" i="1"/>
  <c r="K54" i="1"/>
  <c r="M54" i="1"/>
  <c r="Y54" i="1"/>
  <c r="Z54" i="1"/>
  <c r="AB54" i="1"/>
  <c r="AC54" i="1"/>
  <c r="AD54" i="1"/>
  <c r="T54" i="1" s="1"/>
  <c r="AE54" i="1"/>
  <c r="R13" i="3" s="1"/>
  <c r="AM54" i="1"/>
  <c r="K55" i="1"/>
  <c r="M55" i="1"/>
  <c r="P55" i="1" s="1"/>
  <c r="Y55" i="1"/>
  <c r="Z55" i="1"/>
  <c r="AB55" i="1"/>
  <c r="AC55" i="1"/>
  <c r="AD55" i="1"/>
  <c r="T55" i="1" s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R25" i="3" s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R7" i="3" s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R9" i="3" s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R20" i="3" s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AE95" i="1"/>
  <c r="R21" i="3" s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AE103" i="1"/>
  <c r="R14" i="3" s="1"/>
  <c r="AM103" i="1"/>
  <c r="K104" i="1"/>
  <c r="M104" i="1"/>
  <c r="N104" i="1" s="1"/>
  <c r="Y104" i="1"/>
  <c r="Z104" i="1"/>
  <c r="AB104" i="1"/>
  <c r="AC104" i="1"/>
  <c r="AD104" i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AE115" i="1"/>
  <c r="R30" i="3" s="1"/>
  <c r="AM115" i="1"/>
  <c r="K116" i="1"/>
  <c r="M116" i="1"/>
  <c r="N116" i="1" s="1"/>
  <c r="Y116" i="1"/>
  <c r="Z116" i="1"/>
  <c r="AB116" i="1"/>
  <c r="AC116" i="1"/>
  <c r="AD116" i="1"/>
  <c r="T116" i="1" s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8" i="1"/>
  <c r="M118" i="1"/>
  <c r="N118" i="1" s="1"/>
  <c r="Y118" i="1"/>
  <c r="Z118" i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T122" i="1" s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T124" i="1" s="1"/>
  <c r="AE124" i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B126" i="1"/>
  <c r="AC126" i="1"/>
  <c r="AD126" i="1"/>
  <c r="T126" i="1" s="1"/>
  <c r="AE126" i="1"/>
  <c r="AM126" i="1"/>
  <c r="K127" i="1"/>
  <c r="M127" i="1"/>
  <c r="N127" i="1" s="1"/>
  <c r="Y127" i="1"/>
  <c r="Z127" i="1"/>
  <c r="AB127" i="1"/>
  <c r="AC127" i="1"/>
  <c r="AD127" i="1"/>
  <c r="T127" i="1" s="1"/>
  <c r="AE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T129" i="1" s="1"/>
  <c r="AE129" i="1"/>
  <c r="AM129" i="1"/>
  <c r="K130" i="1"/>
  <c r="M130" i="1"/>
  <c r="N130" i="1" s="1"/>
  <c r="Y130" i="1"/>
  <c r="Z130" i="1"/>
  <c r="AB130" i="1"/>
  <c r="AC130" i="1"/>
  <c r="AD130" i="1"/>
  <c r="T130" i="1" s="1"/>
  <c r="AE130" i="1"/>
  <c r="AM130" i="1"/>
  <c r="K131" i="1"/>
  <c r="M131" i="1"/>
  <c r="N131" i="1" s="1"/>
  <c r="Y131" i="1"/>
  <c r="Z131" i="1"/>
  <c r="AB131" i="1"/>
  <c r="AC131" i="1"/>
  <c r="AD131" i="1"/>
  <c r="T131" i="1" s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AE147" i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Y149" i="1"/>
  <c r="Z149" i="1"/>
  <c r="AB149" i="1"/>
  <c r="AC149" i="1"/>
  <c r="AD149" i="1"/>
  <c r="AE149" i="1"/>
  <c r="R23" i="3" s="1"/>
  <c r="AM149" i="1"/>
  <c r="K150" i="1"/>
  <c r="M150" i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4" i="1"/>
  <c r="M154" i="1"/>
  <c r="N154" i="1" s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6" i="1"/>
  <c r="M156" i="1"/>
  <c r="N156" i="1" s="1"/>
  <c r="Y156" i="1"/>
  <c r="Z156" i="1"/>
  <c r="AB156" i="1"/>
  <c r="AC156" i="1"/>
  <c r="AD156" i="1"/>
  <c r="AE156" i="1"/>
  <c r="AM156" i="1"/>
  <c r="K157" i="1"/>
  <c r="M157" i="1"/>
  <c r="N157" i="1" s="1"/>
  <c r="Y157" i="1"/>
  <c r="Z157" i="1"/>
  <c r="AB157" i="1"/>
  <c r="AC157" i="1"/>
  <c r="AD157" i="1"/>
  <c r="AE157" i="1"/>
  <c r="AM157" i="1"/>
  <c r="K158" i="1"/>
  <c r="M158" i="1"/>
  <c r="N158" i="1" s="1"/>
  <c r="Y158" i="1"/>
  <c r="Z158" i="1"/>
  <c r="AB158" i="1"/>
  <c r="AC158" i="1"/>
  <c r="AD158" i="1"/>
  <c r="AE158" i="1"/>
  <c r="R19" i="3" s="1"/>
  <c r="AM158" i="1"/>
  <c r="K159" i="1"/>
  <c r="M159" i="1"/>
  <c r="N159" i="1" s="1"/>
  <c r="Y159" i="1"/>
  <c r="Z159" i="1"/>
  <c r="AB159" i="1"/>
  <c r="AC159" i="1"/>
  <c r="AD159" i="1"/>
  <c r="AE159" i="1"/>
  <c r="R17" i="3" s="1"/>
  <c r="AM159" i="1"/>
  <c r="K160" i="1"/>
  <c r="M160" i="1"/>
  <c r="N160" i="1" s="1"/>
  <c r="Y160" i="1"/>
  <c r="Z160" i="1"/>
  <c r="AB160" i="1"/>
  <c r="AC160" i="1"/>
  <c r="AD160" i="1"/>
  <c r="AE160" i="1"/>
  <c r="AM160" i="1"/>
  <c r="K161" i="1"/>
  <c r="M161" i="1"/>
  <c r="N161" i="1" s="1"/>
  <c r="Y161" i="1"/>
  <c r="Z161" i="1"/>
  <c r="AB161" i="1"/>
  <c r="AC161" i="1"/>
  <c r="AD161" i="1"/>
  <c r="AE161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N214" i="1" s="1"/>
  <c r="Y214" i="1"/>
  <c r="Z214" i="1"/>
  <c r="AB214" i="1"/>
  <c r="AC214" i="1"/>
  <c r="AD214" i="1"/>
  <c r="AE214" i="1"/>
  <c r="AM165" i="1"/>
  <c r="K215" i="1"/>
  <c r="M215" i="1"/>
  <c r="N215" i="1" s="1"/>
  <c r="Y215" i="1"/>
  <c r="Z215" i="1"/>
  <c r="AB215" i="1"/>
  <c r="AC215" i="1"/>
  <c r="AD215" i="1"/>
  <c r="AE215" i="1"/>
  <c r="AM166" i="1"/>
  <c r="K216" i="1"/>
  <c r="M216" i="1"/>
  <c r="N216" i="1" s="1"/>
  <c r="Y216" i="1"/>
  <c r="Z216" i="1"/>
  <c r="AB216" i="1"/>
  <c r="AC216" i="1"/>
  <c r="AD216" i="1"/>
  <c r="AE216" i="1"/>
  <c r="AM167" i="1"/>
  <c r="K217" i="1"/>
  <c r="M217" i="1"/>
  <c r="N217" i="1" s="1"/>
  <c r="Y217" i="1"/>
  <c r="Z217" i="1"/>
  <c r="AB217" i="1"/>
  <c r="AC217" i="1"/>
  <c r="AD217" i="1"/>
  <c r="AE217" i="1"/>
  <c r="AM168" i="1"/>
  <c r="K218" i="1"/>
  <c r="M218" i="1"/>
  <c r="N218" i="1" s="1"/>
  <c r="Y218" i="1"/>
  <c r="Z218" i="1"/>
  <c r="AB218" i="1"/>
  <c r="AC218" i="1"/>
  <c r="AD218" i="1"/>
  <c r="AE218" i="1"/>
  <c r="AM169" i="1"/>
  <c r="K219" i="1"/>
  <c r="M219" i="1"/>
  <c r="N219" i="1" s="1"/>
  <c r="Y219" i="1"/>
  <c r="Z219" i="1"/>
  <c r="AB219" i="1"/>
  <c r="AC219" i="1"/>
  <c r="AD219" i="1"/>
  <c r="AE219" i="1"/>
  <c r="AM170" i="1"/>
  <c r="K220" i="1"/>
  <c r="M220" i="1"/>
  <c r="N220" i="1" s="1"/>
  <c r="Y220" i="1"/>
  <c r="Z220" i="1"/>
  <c r="AB220" i="1"/>
  <c r="AC220" i="1"/>
  <c r="AD220" i="1"/>
  <c r="T220" i="1" s="1"/>
  <c r="AE220" i="1"/>
  <c r="AM171" i="1"/>
  <c r="K221" i="1"/>
  <c r="M221" i="1"/>
  <c r="N221" i="1" s="1"/>
  <c r="Y221" i="1"/>
  <c r="Z221" i="1"/>
  <c r="AB221" i="1"/>
  <c r="AC221" i="1"/>
  <c r="AD221" i="1"/>
  <c r="AE221" i="1"/>
  <c r="AM172" i="1"/>
  <c r="K222" i="1"/>
  <c r="M222" i="1"/>
  <c r="N222" i="1" s="1"/>
  <c r="Y222" i="1"/>
  <c r="Z222" i="1"/>
  <c r="AB222" i="1"/>
  <c r="AC222" i="1"/>
  <c r="AD222" i="1"/>
  <c r="T222" i="1" s="1"/>
  <c r="AE222" i="1"/>
  <c r="AM173" i="1"/>
  <c r="K223" i="1"/>
  <c r="M223" i="1"/>
  <c r="N223" i="1" s="1"/>
  <c r="Y223" i="1"/>
  <c r="Z223" i="1"/>
  <c r="AB223" i="1"/>
  <c r="AC223" i="1"/>
  <c r="AD223" i="1"/>
  <c r="AE223" i="1"/>
  <c r="AM174" i="1"/>
  <c r="K224" i="1"/>
  <c r="M224" i="1"/>
  <c r="N224" i="1" s="1"/>
  <c r="Y224" i="1"/>
  <c r="Z224" i="1"/>
  <c r="AB224" i="1"/>
  <c r="AC224" i="1"/>
  <c r="AD224" i="1"/>
  <c r="T224" i="1" s="1"/>
  <c r="AE224" i="1"/>
  <c r="AM175" i="1"/>
  <c r="K231" i="1"/>
  <c r="M231" i="1"/>
  <c r="N231" i="1" s="1"/>
  <c r="Y231" i="1"/>
  <c r="Z231" i="1"/>
  <c r="AB231" i="1"/>
  <c r="AC231" i="1"/>
  <c r="AD231" i="1"/>
  <c r="T231" i="1" s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AE233" i="1"/>
  <c r="AM178" i="1"/>
  <c r="K234" i="1"/>
  <c r="M234" i="1"/>
  <c r="N234" i="1" s="1"/>
  <c r="Y234" i="1"/>
  <c r="Z234" i="1"/>
  <c r="AB234" i="1"/>
  <c r="AC234" i="1"/>
  <c r="AD234" i="1"/>
  <c r="T234" i="1" s="1"/>
  <c r="AE234" i="1"/>
  <c r="AM179" i="1"/>
  <c r="K235" i="1"/>
  <c r="M235" i="1"/>
  <c r="N235" i="1" s="1"/>
  <c r="Y235" i="1"/>
  <c r="Z235" i="1"/>
  <c r="AB235" i="1"/>
  <c r="AC235" i="1"/>
  <c r="AD235" i="1"/>
  <c r="AE235" i="1"/>
  <c r="AM180" i="1"/>
  <c r="K236" i="1"/>
  <c r="M236" i="1"/>
  <c r="N236" i="1" s="1"/>
  <c r="Y236" i="1"/>
  <c r="Z236" i="1"/>
  <c r="AB236" i="1"/>
  <c r="AC236" i="1"/>
  <c r="AD236" i="1"/>
  <c r="T236" i="1" s="1"/>
  <c r="AE236" i="1"/>
  <c r="AM181" i="1"/>
  <c r="K237" i="1"/>
  <c r="M237" i="1"/>
  <c r="N237" i="1" s="1"/>
  <c r="Y237" i="1"/>
  <c r="Z237" i="1"/>
  <c r="AB237" i="1"/>
  <c r="AC237" i="1"/>
  <c r="AD237" i="1"/>
  <c r="AE237" i="1"/>
  <c r="AM182" i="1"/>
  <c r="K238" i="1"/>
  <c r="M238" i="1"/>
  <c r="N238" i="1" s="1"/>
  <c r="Y238" i="1"/>
  <c r="Z238" i="1"/>
  <c r="AB238" i="1"/>
  <c r="AC238" i="1"/>
  <c r="AD238" i="1"/>
  <c r="T238" i="1" s="1"/>
  <c r="AE238" i="1"/>
  <c r="R36" i="3" s="1"/>
  <c r="AM183" i="1"/>
  <c r="K239" i="1"/>
  <c r="M239" i="1"/>
  <c r="N239" i="1" s="1"/>
  <c r="Y239" i="1"/>
  <c r="Z239" i="1"/>
  <c r="AB239" i="1"/>
  <c r="AC239" i="1"/>
  <c r="AD239" i="1"/>
  <c r="AE239" i="1"/>
  <c r="AM184" i="1"/>
  <c r="K240" i="1"/>
  <c r="M240" i="1"/>
  <c r="N240" i="1" s="1"/>
  <c r="Y240" i="1"/>
  <c r="Z240" i="1"/>
  <c r="AB240" i="1"/>
  <c r="AC240" i="1"/>
  <c r="AD240" i="1"/>
  <c r="T240" i="1" s="1"/>
  <c r="AE240" i="1"/>
  <c r="AM185" i="1"/>
  <c r="K241" i="1"/>
  <c r="M241" i="1"/>
  <c r="N241" i="1" s="1"/>
  <c r="Y241" i="1"/>
  <c r="Z241" i="1"/>
  <c r="AB241" i="1"/>
  <c r="AC241" i="1"/>
  <c r="AD241" i="1"/>
  <c r="AE241" i="1"/>
  <c r="AM186" i="1"/>
  <c r="K242" i="1"/>
  <c r="M242" i="1"/>
  <c r="N242" i="1" s="1"/>
  <c r="Y242" i="1"/>
  <c r="Z242" i="1"/>
  <c r="AB242" i="1"/>
  <c r="AC242" i="1"/>
  <c r="AD242" i="1"/>
  <c r="T242" i="1" s="1"/>
  <c r="AE242" i="1"/>
  <c r="AM187" i="1"/>
  <c r="K243" i="1"/>
  <c r="M243" i="1"/>
  <c r="N243" i="1" s="1"/>
  <c r="Y243" i="1"/>
  <c r="Z243" i="1"/>
  <c r="AB243" i="1"/>
  <c r="AC243" i="1"/>
  <c r="AD243" i="1"/>
  <c r="T243" i="1" s="1"/>
  <c r="AE243" i="1"/>
  <c r="AM188" i="1"/>
  <c r="K244" i="1"/>
  <c r="M244" i="1"/>
  <c r="N244" i="1" s="1"/>
  <c r="Y244" i="1"/>
  <c r="Z244" i="1"/>
  <c r="AB244" i="1"/>
  <c r="AC244" i="1"/>
  <c r="AD244" i="1"/>
  <c r="AE244" i="1"/>
  <c r="AM189" i="1"/>
  <c r="K245" i="1"/>
  <c r="M245" i="1"/>
  <c r="N245" i="1" s="1"/>
  <c r="Y245" i="1"/>
  <c r="Z245" i="1"/>
  <c r="AB245" i="1"/>
  <c r="AC245" i="1"/>
  <c r="AD245" i="1"/>
  <c r="T245" i="1" s="1"/>
  <c r="AE245" i="1"/>
  <c r="AM190" i="1"/>
  <c r="K162" i="1"/>
  <c r="M162" i="1"/>
  <c r="N162" i="1" s="1"/>
  <c r="Y162" i="1"/>
  <c r="Z162" i="1"/>
  <c r="AB162" i="1"/>
  <c r="AC162" i="1"/>
  <c r="AD162" i="1"/>
  <c r="AE162" i="1"/>
  <c r="AM191" i="1"/>
  <c r="K163" i="1"/>
  <c r="M163" i="1"/>
  <c r="N163" i="1" s="1"/>
  <c r="Y163" i="1"/>
  <c r="Z163" i="1"/>
  <c r="AB163" i="1"/>
  <c r="AC163" i="1"/>
  <c r="AD163" i="1"/>
  <c r="T163" i="1" s="1"/>
  <c r="AE163" i="1"/>
  <c r="AM192" i="1"/>
  <c r="K164" i="1"/>
  <c r="M164" i="1"/>
  <c r="N164" i="1" s="1"/>
  <c r="Y164" i="1"/>
  <c r="Z164" i="1"/>
  <c r="AB164" i="1"/>
  <c r="AC164" i="1"/>
  <c r="AD164" i="1"/>
  <c r="AE164" i="1"/>
  <c r="AM193" i="1"/>
  <c r="K165" i="1"/>
  <c r="M165" i="1"/>
  <c r="N165" i="1" s="1"/>
  <c r="Y165" i="1"/>
  <c r="Z165" i="1"/>
  <c r="AB165" i="1"/>
  <c r="AC165" i="1"/>
  <c r="AD165" i="1"/>
  <c r="AE165" i="1"/>
  <c r="AM194" i="1"/>
  <c r="K166" i="1"/>
  <c r="M166" i="1"/>
  <c r="N166" i="1" s="1"/>
  <c r="Y166" i="1"/>
  <c r="Z166" i="1"/>
  <c r="AB166" i="1"/>
  <c r="AC166" i="1"/>
  <c r="AD166" i="1"/>
  <c r="T166" i="1" s="1"/>
  <c r="AE166" i="1"/>
  <c r="R32" i="3" s="1"/>
  <c r="AM195" i="1"/>
  <c r="K167" i="1"/>
  <c r="M167" i="1"/>
  <c r="N167" i="1" s="1"/>
  <c r="Y167" i="1"/>
  <c r="Z167" i="1"/>
  <c r="AB167" i="1"/>
  <c r="AC167" i="1"/>
  <c r="AD167" i="1"/>
  <c r="T167" i="1" s="1"/>
  <c r="AE167" i="1"/>
  <c r="AM196" i="1"/>
  <c r="K168" i="1"/>
  <c r="M168" i="1"/>
  <c r="N168" i="1" s="1"/>
  <c r="Y168" i="1"/>
  <c r="Z168" i="1"/>
  <c r="AB168" i="1"/>
  <c r="AC168" i="1"/>
  <c r="AD168" i="1"/>
  <c r="T168" i="1" s="1"/>
  <c r="AE168" i="1"/>
  <c r="AM197" i="1"/>
  <c r="K169" i="1"/>
  <c r="M169" i="1"/>
  <c r="N169" i="1" s="1"/>
  <c r="Y169" i="1"/>
  <c r="Z169" i="1"/>
  <c r="AB169" i="1"/>
  <c r="AC169" i="1"/>
  <c r="AD169" i="1"/>
  <c r="T169" i="1" s="1"/>
  <c r="AE169" i="1"/>
  <c r="AM198" i="1"/>
  <c r="K170" i="1"/>
  <c r="M170" i="1"/>
  <c r="N170" i="1" s="1"/>
  <c r="Y170" i="1"/>
  <c r="Z170" i="1"/>
  <c r="AB170" i="1"/>
  <c r="AC170" i="1"/>
  <c r="AD170" i="1"/>
  <c r="AE170" i="1"/>
  <c r="AM199" i="1"/>
  <c r="K171" i="1"/>
  <c r="M171" i="1"/>
  <c r="N171" i="1" s="1"/>
  <c r="Y171" i="1"/>
  <c r="Z171" i="1"/>
  <c r="AB171" i="1"/>
  <c r="AC171" i="1"/>
  <c r="AD171" i="1"/>
  <c r="T171" i="1" s="1"/>
  <c r="AE171" i="1"/>
  <c r="AM200" i="1"/>
  <c r="K172" i="1"/>
  <c r="M172" i="1"/>
  <c r="N172" i="1" s="1"/>
  <c r="Y172" i="1"/>
  <c r="Z172" i="1"/>
  <c r="AB172" i="1"/>
  <c r="AC172" i="1"/>
  <c r="AD172" i="1"/>
  <c r="AE172" i="1"/>
  <c r="AM201" i="1"/>
  <c r="K173" i="1"/>
  <c r="M173" i="1"/>
  <c r="N173" i="1" s="1"/>
  <c r="Y173" i="1"/>
  <c r="Z173" i="1"/>
  <c r="AB173" i="1"/>
  <c r="AC173" i="1"/>
  <c r="AD173" i="1"/>
  <c r="T173" i="1" s="1"/>
  <c r="AE173" i="1"/>
  <c r="AM202" i="1"/>
  <c r="K174" i="1"/>
  <c r="M174" i="1"/>
  <c r="N174" i="1" s="1"/>
  <c r="Y174" i="1"/>
  <c r="Z174" i="1"/>
  <c r="AB174" i="1"/>
  <c r="AC174" i="1"/>
  <c r="AD174" i="1"/>
  <c r="T174" i="1" s="1"/>
  <c r="AE174" i="1"/>
  <c r="AM203" i="1"/>
  <c r="K175" i="1"/>
  <c r="M175" i="1"/>
  <c r="N175" i="1" s="1"/>
  <c r="Y175" i="1"/>
  <c r="Z175" i="1"/>
  <c r="AB175" i="1"/>
  <c r="AC175" i="1"/>
  <c r="AD175" i="1"/>
  <c r="T175" i="1" s="1"/>
  <c r="AE175" i="1"/>
  <c r="AM204" i="1"/>
  <c r="K176" i="1"/>
  <c r="M176" i="1"/>
  <c r="N176" i="1" s="1"/>
  <c r="Y176" i="1"/>
  <c r="Z176" i="1"/>
  <c r="AB176" i="1"/>
  <c r="AC176" i="1"/>
  <c r="AD176" i="1"/>
  <c r="T176" i="1" s="1"/>
  <c r="AE176" i="1"/>
  <c r="AM206" i="1"/>
  <c r="K177" i="1"/>
  <c r="M177" i="1"/>
  <c r="N177" i="1" s="1"/>
  <c r="Y177" i="1"/>
  <c r="Z177" i="1"/>
  <c r="AB177" i="1"/>
  <c r="AC177" i="1"/>
  <c r="AD177" i="1"/>
  <c r="T177" i="1" s="1"/>
  <c r="AE177" i="1"/>
  <c r="AM207" i="1"/>
  <c r="K178" i="1"/>
  <c r="M178" i="1"/>
  <c r="N178" i="1" s="1"/>
  <c r="Y178" i="1"/>
  <c r="Z178" i="1"/>
  <c r="AB178" i="1"/>
  <c r="AC178" i="1"/>
  <c r="AD178" i="1"/>
  <c r="T178" i="1" s="1"/>
  <c r="AE178" i="1"/>
  <c r="AM208" i="1"/>
  <c r="K179" i="1"/>
  <c r="M179" i="1"/>
  <c r="N179" i="1" s="1"/>
  <c r="Y179" i="1"/>
  <c r="Z179" i="1"/>
  <c r="AB179" i="1"/>
  <c r="AC179" i="1"/>
  <c r="AD179" i="1"/>
  <c r="T179" i="1" s="1"/>
  <c r="AE179" i="1"/>
  <c r="AM211" i="1"/>
  <c r="K180" i="1"/>
  <c r="M180" i="1"/>
  <c r="N180" i="1" s="1"/>
  <c r="Y180" i="1"/>
  <c r="Z180" i="1"/>
  <c r="AB180" i="1"/>
  <c r="AC180" i="1"/>
  <c r="AD180" i="1"/>
  <c r="T180" i="1" s="1"/>
  <c r="AE180" i="1"/>
  <c r="AM212" i="1"/>
  <c r="K181" i="1"/>
  <c r="M181" i="1"/>
  <c r="N181" i="1" s="1"/>
  <c r="Y181" i="1"/>
  <c r="Z181" i="1"/>
  <c r="AB181" i="1"/>
  <c r="AC181" i="1"/>
  <c r="AD181" i="1"/>
  <c r="T181" i="1" s="1"/>
  <c r="AE181" i="1"/>
  <c r="AM213" i="1"/>
  <c r="K182" i="1"/>
  <c r="M182" i="1"/>
  <c r="N182" i="1" s="1"/>
  <c r="Y182" i="1"/>
  <c r="Z182" i="1"/>
  <c r="AB182" i="1"/>
  <c r="AC182" i="1"/>
  <c r="AD182" i="1"/>
  <c r="T182" i="1" s="1"/>
  <c r="AE182" i="1"/>
  <c r="AM214" i="1"/>
  <c r="K183" i="1"/>
  <c r="M183" i="1"/>
  <c r="N183" i="1" s="1"/>
  <c r="Y183" i="1"/>
  <c r="Z183" i="1"/>
  <c r="AB183" i="1"/>
  <c r="AC183" i="1"/>
  <c r="AD183" i="1"/>
  <c r="T183" i="1" s="1"/>
  <c r="AE183" i="1"/>
  <c r="AM215" i="1"/>
  <c r="K184" i="1"/>
  <c r="M184" i="1"/>
  <c r="N184" i="1" s="1"/>
  <c r="Y184" i="1"/>
  <c r="Z184" i="1"/>
  <c r="AB184" i="1"/>
  <c r="AC184" i="1"/>
  <c r="AD184" i="1"/>
  <c r="T184" i="1" s="1"/>
  <c r="AE184" i="1"/>
  <c r="AM216" i="1"/>
  <c r="K185" i="1"/>
  <c r="M185" i="1"/>
  <c r="N185" i="1" s="1"/>
  <c r="Y185" i="1"/>
  <c r="Z185" i="1"/>
  <c r="AB185" i="1"/>
  <c r="AC185" i="1"/>
  <c r="AD185" i="1"/>
  <c r="T185" i="1" s="1"/>
  <c r="AE185" i="1"/>
  <c r="AM217" i="1"/>
  <c r="K186" i="1"/>
  <c r="M186" i="1"/>
  <c r="N186" i="1" s="1"/>
  <c r="Y186" i="1"/>
  <c r="Z186" i="1"/>
  <c r="AB186" i="1"/>
  <c r="AC186" i="1"/>
  <c r="AD186" i="1"/>
  <c r="T186" i="1" s="1"/>
  <c r="AE186" i="1"/>
  <c r="AM218" i="1"/>
  <c r="K187" i="1"/>
  <c r="M187" i="1"/>
  <c r="N187" i="1" s="1"/>
  <c r="Y187" i="1"/>
  <c r="Z187" i="1"/>
  <c r="AB187" i="1"/>
  <c r="AC187" i="1"/>
  <c r="AD187" i="1"/>
  <c r="T187" i="1" s="1"/>
  <c r="AE187" i="1"/>
  <c r="AM219" i="1"/>
  <c r="K188" i="1"/>
  <c r="M188" i="1"/>
  <c r="N188" i="1" s="1"/>
  <c r="Y188" i="1"/>
  <c r="Z188" i="1"/>
  <c r="AB188" i="1"/>
  <c r="AC188" i="1"/>
  <c r="AD188" i="1"/>
  <c r="T188" i="1" s="1"/>
  <c r="AE188" i="1"/>
  <c r="R33" i="3" s="1"/>
  <c r="AM220" i="1"/>
  <c r="K189" i="1"/>
  <c r="M189" i="1"/>
  <c r="N189" i="1" s="1"/>
  <c r="Y189" i="1"/>
  <c r="Z189" i="1"/>
  <c r="AB189" i="1"/>
  <c r="AC189" i="1"/>
  <c r="AD189" i="1"/>
  <c r="T189" i="1" s="1"/>
  <c r="AE189" i="1"/>
  <c r="AM221" i="1"/>
  <c r="K190" i="1"/>
  <c r="M190" i="1"/>
  <c r="N190" i="1" s="1"/>
  <c r="Y190" i="1"/>
  <c r="Z190" i="1"/>
  <c r="AB190" i="1"/>
  <c r="AC190" i="1"/>
  <c r="AD190" i="1"/>
  <c r="T190" i="1" s="1"/>
  <c r="AE190" i="1"/>
  <c r="AM222" i="1"/>
  <c r="K191" i="1"/>
  <c r="M191" i="1"/>
  <c r="N191" i="1" s="1"/>
  <c r="Y191" i="1"/>
  <c r="Z191" i="1"/>
  <c r="AB191" i="1"/>
  <c r="AC191" i="1"/>
  <c r="AD191" i="1"/>
  <c r="T191" i="1" s="1"/>
  <c r="AE191" i="1"/>
  <c r="AM223" i="1"/>
  <c r="K192" i="1"/>
  <c r="M192" i="1"/>
  <c r="N192" i="1" s="1"/>
  <c r="Y192" i="1"/>
  <c r="Z192" i="1"/>
  <c r="AB192" i="1"/>
  <c r="AC192" i="1"/>
  <c r="AD192" i="1"/>
  <c r="T192" i="1" s="1"/>
  <c r="AE192" i="1"/>
  <c r="AM224" i="1"/>
  <c r="K193" i="1"/>
  <c r="M193" i="1"/>
  <c r="N193" i="1" s="1"/>
  <c r="Y193" i="1"/>
  <c r="Z193" i="1"/>
  <c r="AB193" i="1"/>
  <c r="AC193" i="1"/>
  <c r="AD193" i="1"/>
  <c r="T193" i="1" s="1"/>
  <c r="AE193" i="1"/>
  <c r="AM225" i="1"/>
  <c r="K194" i="1"/>
  <c r="M194" i="1"/>
  <c r="N194" i="1" s="1"/>
  <c r="Y194" i="1"/>
  <c r="Z194" i="1"/>
  <c r="AB194" i="1"/>
  <c r="AC194" i="1"/>
  <c r="AD194" i="1"/>
  <c r="T194" i="1" s="1"/>
  <c r="AE194" i="1"/>
  <c r="R31" i="3" s="1"/>
  <c r="AM226" i="1"/>
  <c r="K195" i="1"/>
  <c r="M195" i="1"/>
  <c r="N195" i="1" s="1"/>
  <c r="Y195" i="1"/>
  <c r="Z195" i="1"/>
  <c r="AB195" i="1"/>
  <c r="AC195" i="1"/>
  <c r="AD195" i="1"/>
  <c r="T195" i="1" s="1"/>
  <c r="AE195" i="1"/>
  <c r="AM227" i="1"/>
  <c r="K196" i="1"/>
  <c r="M196" i="1"/>
  <c r="N196" i="1" s="1"/>
  <c r="Y196" i="1"/>
  <c r="Z196" i="1"/>
  <c r="AB196" i="1"/>
  <c r="AC196" i="1"/>
  <c r="AD196" i="1"/>
  <c r="T196" i="1" s="1"/>
  <c r="AE196" i="1"/>
  <c r="AM228" i="1"/>
  <c r="K197" i="1"/>
  <c r="M197" i="1"/>
  <c r="N197" i="1" s="1"/>
  <c r="Y197" i="1"/>
  <c r="Z197" i="1"/>
  <c r="AB197" i="1"/>
  <c r="AC197" i="1"/>
  <c r="AD197" i="1"/>
  <c r="T197" i="1" s="1"/>
  <c r="AE197" i="1"/>
  <c r="R35" i="3" s="1"/>
  <c r="AM229" i="1"/>
  <c r="K198" i="1"/>
  <c r="M198" i="1"/>
  <c r="N198" i="1" s="1"/>
  <c r="Y198" i="1"/>
  <c r="Z198" i="1"/>
  <c r="AB198" i="1"/>
  <c r="AC198" i="1"/>
  <c r="AD198" i="1"/>
  <c r="T198" i="1" s="1"/>
  <c r="AE198" i="1"/>
  <c r="AM230" i="1"/>
  <c r="K199" i="1"/>
  <c r="M199" i="1"/>
  <c r="N199" i="1" s="1"/>
  <c r="Y199" i="1"/>
  <c r="Z199" i="1"/>
  <c r="AB199" i="1"/>
  <c r="AC199" i="1"/>
  <c r="AD199" i="1"/>
  <c r="AE199" i="1"/>
  <c r="AM231" i="1"/>
  <c r="K200" i="1"/>
  <c r="M200" i="1"/>
  <c r="N200" i="1" s="1"/>
  <c r="Y200" i="1"/>
  <c r="Z200" i="1"/>
  <c r="AB200" i="1"/>
  <c r="AC200" i="1"/>
  <c r="AD200" i="1"/>
  <c r="AE200" i="1"/>
  <c r="AM232" i="1"/>
  <c r="K201" i="1"/>
  <c r="M201" i="1"/>
  <c r="N201" i="1" s="1"/>
  <c r="Y201" i="1"/>
  <c r="Z201" i="1"/>
  <c r="AB201" i="1"/>
  <c r="AC201" i="1"/>
  <c r="AD201" i="1"/>
  <c r="AE201" i="1"/>
  <c r="AM233" i="1"/>
  <c r="K202" i="1"/>
  <c r="M202" i="1"/>
  <c r="N202" i="1" s="1"/>
  <c r="Y202" i="1"/>
  <c r="Z202" i="1"/>
  <c r="AB202" i="1"/>
  <c r="AC202" i="1"/>
  <c r="AD202" i="1"/>
  <c r="AE202" i="1"/>
  <c r="AM234" i="1"/>
  <c r="K203" i="1"/>
  <c r="M203" i="1"/>
  <c r="N203" i="1" s="1"/>
  <c r="Y203" i="1"/>
  <c r="Z203" i="1"/>
  <c r="AB203" i="1"/>
  <c r="AC203" i="1"/>
  <c r="AD203" i="1"/>
  <c r="AE203" i="1"/>
  <c r="AM235" i="1"/>
  <c r="K204" i="1"/>
  <c r="M204" i="1"/>
  <c r="N204" i="1" s="1"/>
  <c r="Y204" i="1"/>
  <c r="Z204" i="1"/>
  <c r="AB204" i="1"/>
  <c r="AC204" i="1"/>
  <c r="AD204" i="1"/>
  <c r="AE204" i="1"/>
  <c r="AM236" i="1"/>
  <c r="K206" i="1"/>
  <c r="M206" i="1"/>
  <c r="N206" i="1" s="1"/>
  <c r="Y206" i="1"/>
  <c r="Z206" i="1"/>
  <c r="AB206" i="1"/>
  <c r="AC206" i="1"/>
  <c r="AD206" i="1"/>
  <c r="X206" i="1" s="1"/>
  <c r="AE206" i="1"/>
  <c r="AM237" i="1"/>
  <c r="K207" i="1"/>
  <c r="M207" i="1"/>
  <c r="N207" i="1" s="1"/>
  <c r="Y207" i="1"/>
  <c r="Z207" i="1"/>
  <c r="AB207" i="1"/>
  <c r="AC207" i="1"/>
  <c r="AD207" i="1"/>
  <c r="AE207" i="1"/>
  <c r="AM238" i="1"/>
  <c r="K208" i="1"/>
  <c r="M208" i="1"/>
  <c r="N208" i="1" s="1"/>
  <c r="Y208" i="1"/>
  <c r="Z208" i="1"/>
  <c r="AB208" i="1"/>
  <c r="AC208" i="1"/>
  <c r="AD208" i="1"/>
  <c r="AE208" i="1"/>
  <c r="R34" i="3" s="1"/>
  <c r="AM239" i="1"/>
  <c r="K225" i="1"/>
  <c r="M225" i="1"/>
  <c r="N225" i="1" s="1"/>
  <c r="Y225" i="1"/>
  <c r="Z225" i="1"/>
  <c r="AB225" i="1"/>
  <c r="AC225" i="1"/>
  <c r="AD225" i="1"/>
  <c r="AE225" i="1"/>
  <c r="AM240" i="1"/>
  <c r="K226" i="1"/>
  <c r="M226" i="1"/>
  <c r="N226" i="1" s="1"/>
  <c r="Y226" i="1"/>
  <c r="Z226" i="1"/>
  <c r="AB226" i="1"/>
  <c r="AC226" i="1"/>
  <c r="AD226" i="1"/>
  <c r="AE226" i="1"/>
  <c r="AM241" i="1"/>
  <c r="K227" i="1"/>
  <c r="M227" i="1"/>
  <c r="N227" i="1" s="1"/>
  <c r="Y227" i="1"/>
  <c r="Z227" i="1"/>
  <c r="AB227" i="1"/>
  <c r="AC227" i="1"/>
  <c r="AD227" i="1"/>
  <c r="AE227" i="1"/>
  <c r="AM242" i="1"/>
  <c r="K228" i="1"/>
  <c r="M228" i="1"/>
  <c r="N228" i="1" s="1"/>
  <c r="Y228" i="1"/>
  <c r="Z228" i="1"/>
  <c r="AB228" i="1"/>
  <c r="AC228" i="1"/>
  <c r="AD228" i="1"/>
  <c r="AE228" i="1"/>
  <c r="AM243" i="1"/>
  <c r="K229" i="1"/>
  <c r="M229" i="1"/>
  <c r="N229" i="1" s="1"/>
  <c r="Y229" i="1"/>
  <c r="Z229" i="1"/>
  <c r="AB229" i="1"/>
  <c r="AC229" i="1"/>
  <c r="AD229" i="1"/>
  <c r="AE229" i="1"/>
  <c r="AM244" i="1"/>
  <c r="K230" i="1"/>
  <c r="M230" i="1"/>
  <c r="N230" i="1" s="1"/>
  <c r="Y230" i="1"/>
  <c r="Z230" i="1"/>
  <c r="AB230" i="1"/>
  <c r="AC230" i="1"/>
  <c r="AD230" i="1"/>
  <c r="AE230" i="1"/>
  <c r="AM245" i="1"/>
  <c r="M15" i="3"/>
  <c r="U15" i="3"/>
  <c r="X15" i="3"/>
  <c r="M18" i="3"/>
  <c r="U18" i="3"/>
  <c r="X18" i="3"/>
  <c r="M26" i="3"/>
  <c r="U26" i="3"/>
  <c r="X26" i="3"/>
  <c r="M27" i="3"/>
  <c r="U27" i="3"/>
  <c r="X27" i="3"/>
  <c r="M32" i="3"/>
  <c r="U32" i="3"/>
  <c r="X32" i="3"/>
  <c r="M10" i="3"/>
  <c r="U10" i="3"/>
  <c r="X10" i="3"/>
  <c r="M24" i="3"/>
  <c r="U24" i="3"/>
  <c r="X24" i="3"/>
  <c r="M11" i="3"/>
  <c r="U11" i="3"/>
  <c r="X11" i="3"/>
  <c r="M28" i="3"/>
  <c r="U28" i="3"/>
  <c r="X28" i="3"/>
  <c r="M13" i="3"/>
  <c r="U13" i="3"/>
  <c r="X13" i="3"/>
  <c r="M29" i="3"/>
  <c r="U29" i="3"/>
  <c r="X29" i="3"/>
  <c r="M16" i="3"/>
  <c r="U16" i="3"/>
  <c r="X16" i="3"/>
  <c r="M12" i="3"/>
  <c r="R12" i="3"/>
  <c r="U12" i="3"/>
  <c r="X12" i="3"/>
  <c r="M25" i="3"/>
  <c r="U25" i="3"/>
  <c r="X25" i="3"/>
  <c r="M8" i="3"/>
  <c r="U8" i="3"/>
  <c r="X8" i="3"/>
  <c r="M7" i="3"/>
  <c r="U7" i="3"/>
  <c r="X7" i="3"/>
  <c r="M9" i="3"/>
  <c r="U9" i="3"/>
  <c r="X9" i="3"/>
  <c r="M36" i="3"/>
  <c r="U36" i="3"/>
  <c r="X36" i="3"/>
  <c r="M20" i="3"/>
  <c r="U20" i="3"/>
  <c r="X20" i="3"/>
  <c r="M21" i="3"/>
  <c r="U21" i="3"/>
  <c r="X21" i="3"/>
  <c r="M14" i="3"/>
  <c r="U14" i="3"/>
  <c r="X14" i="3"/>
  <c r="M33" i="3"/>
  <c r="U33" i="3"/>
  <c r="X33" i="3"/>
  <c r="M30" i="3"/>
  <c r="U30" i="3"/>
  <c r="X30" i="3"/>
  <c r="M31" i="3"/>
  <c r="U31" i="3"/>
  <c r="X31" i="3"/>
  <c r="M35" i="3"/>
  <c r="U35" i="3"/>
  <c r="X35" i="3"/>
  <c r="M23" i="3"/>
  <c r="U23" i="3"/>
  <c r="X23" i="3"/>
  <c r="M34" i="3"/>
  <c r="U34" i="3"/>
  <c r="X34" i="3"/>
  <c r="M19" i="3"/>
  <c r="U19" i="3"/>
  <c r="X19" i="3"/>
  <c r="M17" i="3"/>
  <c r="U17" i="3"/>
  <c r="X17" i="3"/>
  <c r="AG210" i="1"/>
  <c r="AG28" i="1"/>
  <c r="AG15" i="1"/>
  <c r="AG39" i="1"/>
  <c r="AG36" i="1"/>
  <c r="AG100" i="1"/>
  <c r="AG116" i="1"/>
  <c r="AG67" i="1"/>
  <c r="AG70" i="1"/>
  <c r="AG138" i="1"/>
  <c r="AG159" i="1"/>
  <c r="AG224" i="1"/>
  <c r="AG162" i="1"/>
  <c r="AG76" i="1"/>
  <c r="AG229" i="1"/>
  <c r="AG52" i="1"/>
  <c r="AG48" i="1"/>
  <c r="AG118" i="1"/>
  <c r="AG148" i="1"/>
  <c r="AG56" i="1"/>
  <c r="AG22" i="1"/>
  <c r="AG16" i="1"/>
  <c r="AG61" i="1"/>
  <c r="AG109" i="1"/>
  <c r="AG125" i="1"/>
  <c r="AG85" i="1"/>
  <c r="AG131" i="1"/>
  <c r="AG147" i="1"/>
  <c r="AG213" i="1"/>
  <c r="AG235" i="1"/>
  <c r="AG167" i="1"/>
  <c r="AG84" i="1"/>
  <c r="AG195" i="1"/>
  <c r="AG225" i="1"/>
  <c r="AG102" i="1"/>
  <c r="AG87" i="1"/>
  <c r="AG161" i="1"/>
  <c r="AG92" i="1"/>
  <c r="AG26" i="1"/>
  <c r="AG25" i="1"/>
  <c r="AG95" i="1"/>
  <c r="AG111" i="1"/>
  <c r="AG63" i="1"/>
  <c r="AG89" i="1"/>
  <c r="AG133" i="1"/>
  <c r="AG149" i="1"/>
  <c r="AG215" i="1"/>
  <c r="AG237" i="1"/>
  <c r="AG169" i="1"/>
  <c r="AG174" i="1"/>
  <c r="AG201" i="1"/>
  <c r="AG204" i="1"/>
  <c r="AG170" i="1"/>
  <c r="AG197" i="1"/>
  <c r="AG122" i="1"/>
  <c r="AG144" i="1"/>
  <c r="AG240" i="1"/>
  <c r="AG199" i="1"/>
  <c r="W29" i="3"/>
  <c r="W14" i="3"/>
  <c r="W26" i="3"/>
  <c r="W31" i="3"/>
  <c r="W8" i="3"/>
  <c r="W7" i="3"/>
  <c r="W10" i="3"/>
  <c r="AG205" i="1"/>
  <c r="AG35" i="1"/>
  <c r="AG23" i="1"/>
  <c r="AG49" i="1"/>
  <c r="AG44" i="1"/>
  <c r="AG104" i="1"/>
  <c r="AG120" i="1"/>
  <c r="AG75" i="1"/>
  <c r="AG126" i="1"/>
  <c r="AG146" i="1"/>
  <c r="AG212" i="1"/>
  <c r="AG234" i="1"/>
  <c r="AG166" i="1"/>
  <c r="AG207" i="1"/>
  <c r="AG20" i="1"/>
  <c r="AG98" i="1"/>
  <c r="AG60" i="1"/>
  <c r="AG218" i="1"/>
  <c r="AG175" i="1"/>
  <c r="AG32" i="1"/>
  <c r="AG29" i="1"/>
  <c r="AG97" i="1"/>
  <c r="AG113" i="1"/>
  <c r="AG57" i="1"/>
  <c r="AG93" i="1"/>
  <c r="AG135" i="1"/>
  <c r="AG151" i="1"/>
  <c r="AG217" i="1"/>
  <c r="AG239" i="1"/>
  <c r="AG171" i="1"/>
  <c r="AG178" i="1"/>
  <c r="AG188" i="1"/>
  <c r="AG27" i="1"/>
  <c r="AG54" i="1"/>
  <c r="AG173" i="1"/>
  <c r="AG17" i="1"/>
  <c r="AG165" i="1"/>
  <c r="AG232" i="1"/>
  <c r="W36" i="3"/>
  <c r="AG14" i="1"/>
  <c r="AG124" i="1"/>
  <c r="AG216" i="1"/>
  <c r="AG203" i="1"/>
  <c r="AG198" i="1"/>
  <c r="AG121" i="1"/>
  <c r="AG160" i="1"/>
  <c r="AG45" i="1"/>
  <c r="AG208" i="1"/>
  <c r="AG99" i="1"/>
  <c r="AG137" i="1"/>
  <c r="AG80" i="1"/>
  <c r="AG230" i="1"/>
  <c r="AG227" i="1"/>
  <c r="W12" i="3"/>
  <c r="AG153" i="1"/>
  <c r="AG21" i="1"/>
  <c r="AG88" i="1"/>
  <c r="AG132" i="1"/>
  <c r="AG127" i="1"/>
  <c r="AG181" i="1"/>
  <c r="AG222" i="1"/>
  <c r="AG119" i="1"/>
  <c r="AG158" i="1"/>
  <c r="AG193" i="1"/>
  <c r="AG136" i="1"/>
  <c r="W32" i="3"/>
  <c r="W33" i="3"/>
  <c r="AG18" i="1"/>
  <c r="AG30" i="1"/>
  <c r="AG96" i="1"/>
  <c r="AG55" i="1"/>
  <c r="AG134" i="1"/>
  <c r="AG220" i="1"/>
  <c r="AG82" i="1"/>
  <c r="AG24" i="1"/>
  <c r="AG106" i="1"/>
  <c r="AG236" i="1"/>
  <c r="AG41" i="1"/>
  <c r="AG101" i="1"/>
  <c r="AG69" i="1"/>
  <c r="AG139" i="1"/>
  <c r="AG221" i="1"/>
  <c r="AG58" i="1"/>
  <c r="AG185" i="1"/>
  <c r="AG65" i="1"/>
  <c r="AG128" i="1"/>
  <c r="AG244" i="1"/>
  <c r="AG202" i="1"/>
  <c r="AG33" i="1"/>
  <c r="AG103" i="1"/>
  <c r="AG123" i="1"/>
  <c r="AG62" i="1"/>
  <c r="AG141" i="1"/>
  <c r="AG211" i="1"/>
  <c r="AG241" i="1"/>
  <c r="AG74" i="1"/>
  <c r="AG187" i="1"/>
  <c r="AG186" i="1"/>
  <c r="AG191" i="1"/>
  <c r="AG206" i="1"/>
  <c r="AG157" i="1"/>
  <c r="AG66" i="1"/>
  <c r="W28" i="3"/>
  <c r="W24" i="3"/>
  <c r="W19" i="3"/>
  <c r="W17" i="3"/>
  <c r="W9" i="3"/>
  <c r="W27" i="3"/>
  <c r="AG43" i="1"/>
  <c r="AG19" i="1"/>
  <c r="AG108" i="1"/>
  <c r="AG83" i="1"/>
  <c r="AG150" i="1"/>
  <c r="AG238" i="1"/>
  <c r="AG172" i="1"/>
  <c r="AG34" i="1"/>
  <c r="AG110" i="1"/>
  <c r="AG168" i="1"/>
  <c r="AG51" i="1"/>
  <c r="AG105" i="1"/>
  <c r="AG77" i="1"/>
  <c r="AG143" i="1"/>
  <c r="AG231" i="1"/>
  <c r="AG94" i="1"/>
  <c r="AG200" i="1"/>
  <c r="AG114" i="1"/>
  <c r="AG140" i="1"/>
  <c r="AG72" i="1"/>
  <c r="AG37" i="1"/>
  <c r="AG42" i="1"/>
  <c r="AG107" i="1"/>
  <c r="AG64" i="1"/>
  <c r="AG90" i="1"/>
  <c r="AG145" i="1"/>
  <c r="AG219" i="1"/>
  <c r="AG245" i="1"/>
  <c r="AG68" i="1"/>
  <c r="AG226" i="1"/>
  <c r="AG228" i="1"/>
  <c r="AG184" i="1"/>
  <c r="AG79" i="1"/>
  <c r="AG214" i="1"/>
  <c r="AG180" i="1"/>
  <c r="W25" i="3"/>
  <c r="W30" i="3"/>
  <c r="W35" i="3"/>
  <c r="W18" i="3"/>
  <c r="W23" i="3"/>
  <c r="W21" i="3"/>
  <c r="AG209" i="1"/>
  <c r="AG50" i="1"/>
  <c r="AG112" i="1"/>
  <c r="AG91" i="1"/>
  <c r="AG155" i="1"/>
  <c r="AG242" i="1"/>
  <c r="AG179" i="1"/>
  <c r="AG31" i="1"/>
  <c r="AG189" i="1"/>
  <c r="AG38" i="1"/>
  <c r="AG117" i="1"/>
  <c r="AG78" i="1"/>
  <c r="AG156" i="1"/>
  <c r="AG243" i="1"/>
  <c r="AG194" i="1"/>
  <c r="AG59" i="1"/>
  <c r="AG152" i="1"/>
  <c r="AG183" i="1"/>
  <c r="AG47" i="1"/>
  <c r="AG115" i="1"/>
  <c r="AG73" i="1"/>
  <c r="AG129" i="1"/>
  <c r="AG154" i="1"/>
  <c r="AG223" i="1"/>
  <c r="AG182" i="1"/>
  <c r="AG196" i="1"/>
  <c r="AG142" i="1"/>
  <c r="AG190" i="1"/>
  <c r="AG86" i="1"/>
  <c r="AG192" i="1"/>
  <c r="W34" i="3"/>
  <c r="W13" i="3"/>
  <c r="W16" i="3"/>
  <c r="W20" i="3"/>
  <c r="AG130" i="1"/>
  <c r="AG40" i="1"/>
  <c r="AG46" i="1"/>
  <c r="AG163" i="1"/>
  <c r="AG71" i="1"/>
  <c r="AG53" i="1"/>
  <c r="AG81" i="1"/>
  <c r="AG233" i="1"/>
  <c r="AG177" i="1"/>
  <c r="AG176" i="1"/>
  <c r="AG164" i="1"/>
  <c r="W11" i="3"/>
  <c r="W15" i="3"/>
  <c r="T209" i="1" l="1"/>
  <c r="X210" i="1"/>
  <c r="X170" i="1"/>
  <c r="AA148" i="1"/>
  <c r="AA238" i="1"/>
  <c r="AA234" i="1"/>
  <c r="AA224" i="1"/>
  <c r="W224" i="1" s="1"/>
  <c r="AA220" i="1"/>
  <c r="X154" i="1"/>
  <c r="AA133" i="1"/>
  <c r="AA129" i="1"/>
  <c r="AA117" i="1"/>
  <c r="AA89" i="1"/>
  <c r="AA228" i="1"/>
  <c r="X162" i="1"/>
  <c r="R15" i="3"/>
  <c r="AA226" i="1"/>
  <c r="AA164" i="1"/>
  <c r="X239" i="1"/>
  <c r="R11" i="3"/>
  <c r="X120" i="1"/>
  <c r="AA214" i="1"/>
  <c r="W214" i="1" s="1"/>
  <c r="AA161" i="1"/>
  <c r="AA152" i="1"/>
  <c r="AA145" i="1"/>
  <c r="AA188" i="1"/>
  <c r="AA237" i="1"/>
  <c r="AA215" i="1"/>
  <c r="AA211" i="1"/>
  <c r="W211" i="1" s="1"/>
  <c r="AA132" i="1"/>
  <c r="W132" i="1" s="1"/>
  <c r="AA128" i="1"/>
  <c r="AA91" i="1"/>
  <c r="AA79" i="1"/>
  <c r="W79" i="1" s="1"/>
  <c r="AA75" i="1"/>
  <c r="W75" i="1" s="1"/>
  <c r="AI210" i="1"/>
  <c r="U210" i="1"/>
  <c r="S210" i="1" s="1"/>
  <c r="AI209" i="1"/>
  <c r="U209" i="1"/>
  <c r="S209" i="1" s="1"/>
  <c r="W209" i="1"/>
  <c r="W210" i="1"/>
  <c r="X209" i="1"/>
  <c r="X167" i="1"/>
  <c r="X244" i="1"/>
  <c r="AA244" i="1"/>
  <c r="X233" i="1"/>
  <c r="X223" i="1"/>
  <c r="X219" i="1"/>
  <c r="AA136" i="1"/>
  <c r="AA118" i="1"/>
  <c r="AA93" i="1"/>
  <c r="W93" i="1" s="1"/>
  <c r="AA86" i="1"/>
  <c r="AA82" i="1"/>
  <c r="AA78" i="1"/>
  <c r="AA74" i="1"/>
  <c r="W74" i="1" s="1"/>
  <c r="AA195" i="1"/>
  <c r="AA196" i="1"/>
  <c r="AA191" i="1"/>
  <c r="W191" i="1" s="1"/>
  <c r="AA183" i="1"/>
  <c r="W183" i="1" s="1"/>
  <c r="AA179" i="1"/>
  <c r="AA175" i="1"/>
  <c r="X169" i="1"/>
  <c r="X243" i="1"/>
  <c r="X245" i="1"/>
  <c r="AA208" i="1"/>
  <c r="AA174" i="1"/>
  <c r="W174" i="1" s="1"/>
  <c r="AA169" i="1"/>
  <c r="W169" i="1" s="1"/>
  <c r="AA167" i="1"/>
  <c r="AA165" i="1"/>
  <c r="X241" i="1"/>
  <c r="AA236" i="1"/>
  <c r="W236" i="1" s="1"/>
  <c r="X235" i="1"/>
  <c r="AA232" i="1"/>
  <c r="AA222" i="1"/>
  <c r="W222" i="1" s="1"/>
  <c r="X221" i="1"/>
  <c r="AA218" i="1"/>
  <c r="AA149" i="1"/>
  <c r="AA144" i="1"/>
  <c r="AA124" i="1"/>
  <c r="W124" i="1" s="1"/>
  <c r="AA115" i="1"/>
  <c r="AA203" i="1"/>
  <c r="AA199" i="1"/>
  <c r="W199" i="1" s="1"/>
  <c r="AA193" i="1"/>
  <c r="W193" i="1" s="1"/>
  <c r="AA185" i="1"/>
  <c r="AA181" i="1"/>
  <c r="T244" i="1"/>
  <c r="U244" i="1" s="1"/>
  <c r="S244" i="1" s="1"/>
  <c r="AA154" i="1"/>
  <c r="W154" i="1" s="1"/>
  <c r="X117" i="1"/>
  <c r="X116" i="1"/>
  <c r="AA177" i="1"/>
  <c r="W177" i="1" s="1"/>
  <c r="X237" i="1"/>
  <c r="AA137" i="1"/>
  <c r="AA171" i="1"/>
  <c r="AA168" i="1"/>
  <c r="W168" i="1" s="1"/>
  <c r="AA166" i="1"/>
  <c r="W166" i="1" s="1"/>
  <c r="X165" i="1"/>
  <c r="AA245" i="1"/>
  <c r="AA243" i="1"/>
  <c r="W243" i="1" s="1"/>
  <c r="AA241" i="1"/>
  <c r="W241" i="1" s="1"/>
  <c r="AA240" i="1"/>
  <c r="AA216" i="1"/>
  <c r="AA213" i="1"/>
  <c r="W213" i="1" s="1"/>
  <c r="AA158" i="1"/>
  <c r="W158" i="1" s="1"/>
  <c r="AA157" i="1"/>
  <c r="AA156" i="1"/>
  <c r="AA150" i="1"/>
  <c r="W150" i="1" s="1"/>
  <c r="AA147" i="1"/>
  <c r="W147" i="1" s="1"/>
  <c r="AA141" i="1"/>
  <c r="AA140" i="1"/>
  <c r="AA139" i="1"/>
  <c r="W139" i="1" s="1"/>
  <c r="AA134" i="1"/>
  <c r="W134" i="1" s="1"/>
  <c r="AA131" i="1"/>
  <c r="AA120" i="1"/>
  <c r="AA119" i="1"/>
  <c r="W119" i="1" s="1"/>
  <c r="AA113" i="1"/>
  <c r="W113" i="1" s="1"/>
  <c r="AA88" i="1"/>
  <c r="AA84" i="1"/>
  <c r="AA80" i="1"/>
  <c r="W80" i="1" s="1"/>
  <c r="AA76" i="1"/>
  <c r="W76" i="1" s="1"/>
  <c r="X51" i="1"/>
  <c r="AA172" i="1"/>
  <c r="AA163" i="1"/>
  <c r="W163" i="1" s="1"/>
  <c r="AA242" i="1"/>
  <c r="W242" i="1" s="1"/>
  <c r="AA159" i="1"/>
  <c r="AA142" i="1"/>
  <c r="AA126" i="1"/>
  <c r="W126" i="1" s="1"/>
  <c r="AA114" i="1"/>
  <c r="W114" i="1" s="1"/>
  <c r="AA81" i="1"/>
  <c r="AA77" i="1"/>
  <c r="AA73" i="1"/>
  <c r="W73" i="1" s="1"/>
  <c r="U205" i="1"/>
  <c r="S205" i="1" s="1"/>
  <c r="AI205" i="1"/>
  <c r="W205" i="1"/>
  <c r="X205" i="1"/>
  <c r="R29" i="3"/>
  <c r="AI153" i="1"/>
  <c r="U153" i="1"/>
  <c r="S153" i="1" s="1"/>
  <c r="W153" i="1"/>
  <c r="X153" i="1"/>
  <c r="R8" i="3"/>
  <c r="AA230" i="1"/>
  <c r="AA229" i="1"/>
  <c r="AA201" i="1"/>
  <c r="W201" i="1" s="1"/>
  <c r="AA187" i="1"/>
  <c r="W187" i="1" s="1"/>
  <c r="AA186" i="1"/>
  <c r="AA182" i="1"/>
  <c r="AA178" i="1"/>
  <c r="W178" i="1" s="1"/>
  <c r="AA170" i="1"/>
  <c r="W170" i="1" s="1"/>
  <c r="AA162" i="1"/>
  <c r="AA235" i="1"/>
  <c r="AA231" i="1"/>
  <c r="W231" i="1" s="1"/>
  <c r="AA221" i="1"/>
  <c r="AA217" i="1"/>
  <c r="AA212" i="1"/>
  <c r="AA151" i="1"/>
  <c r="W151" i="1" s="1"/>
  <c r="AA146" i="1"/>
  <c r="W146" i="1" s="1"/>
  <c r="AA135" i="1"/>
  <c r="AA130" i="1"/>
  <c r="AA125" i="1"/>
  <c r="W125" i="1" s="1"/>
  <c r="AA122" i="1"/>
  <c r="W122" i="1" s="1"/>
  <c r="AA121" i="1"/>
  <c r="AA85" i="1"/>
  <c r="AA53" i="1"/>
  <c r="W53" i="1" s="1"/>
  <c r="AA49" i="1"/>
  <c r="W49" i="1" s="1"/>
  <c r="AA45" i="1"/>
  <c r="AA41" i="1"/>
  <c r="AA37" i="1"/>
  <c r="W37" i="1" s="1"/>
  <c r="AA46" i="1"/>
  <c r="W46" i="1" s="1"/>
  <c r="AA42" i="1"/>
  <c r="AA38" i="1"/>
  <c r="AA206" i="1"/>
  <c r="W206" i="1" s="1"/>
  <c r="AA204" i="1"/>
  <c r="W204" i="1" s="1"/>
  <c r="AA192" i="1"/>
  <c r="AA184" i="1"/>
  <c r="AA180" i="1"/>
  <c r="W180" i="1" s="1"/>
  <c r="AA176" i="1"/>
  <c r="W176" i="1" s="1"/>
  <c r="AA173" i="1"/>
  <c r="X168" i="1"/>
  <c r="AA239" i="1"/>
  <c r="W239" i="1" s="1"/>
  <c r="AA233" i="1"/>
  <c r="W233" i="1" s="1"/>
  <c r="AA223" i="1"/>
  <c r="AA219" i="1"/>
  <c r="AA160" i="1"/>
  <c r="W160" i="1" s="1"/>
  <c r="AA155" i="1"/>
  <c r="W155" i="1" s="1"/>
  <c r="AA143" i="1"/>
  <c r="AA138" i="1"/>
  <c r="AA127" i="1"/>
  <c r="X119" i="1"/>
  <c r="AA116" i="1"/>
  <c r="AA87" i="1"/>
  <c r="AA83" i="1"/>
  <c r="W83" i="1" s="1"/>
  <c r="X57" i="1"/>
  <c r="X55" i="1"/>
  <c r="AA47" i="1"/>
  <c r="AA43" i="1"/>
  <c r="AA39" i="1"/>
  <c r="W39" i="1" s="1"/>
  <c r="AA48" i="1"/>
  <c r="AA44" i="1"/>
  <c r="AA40" i="1"/>
  <c r="W40" i="1" s="1"/>
  <c r="AA225" i="1"/>
  <c r="W225" i="1" s="1"/>
  <c r="AA194" i="1"/>
  <c r="AA207" i="1"/>
  <c r="AA227" i="1"/>
  <c r="W227" i="1" s="1"/>
  <c r="AA202" i="1"/>
  <c r="W202" i="1" s="1"/>
  <c r="AA200" i="1"/>
  <c r="AA198" i="1"/>
  <c r="AA190" i="1"/>
  <c r="W190" i="1" s="1"/>
  <c r="X172" i="1"/>
  <c r="X171" i="1"/>
  <c r="T170" i="1"/>
  <c r="X164" i="1"/>
  <c r="X163" i="1"/>
  <c r="T162" i="1"/>
  <c r="T241" i="1"/>
  <c r="T239" i="1"/>
  <c r="U239" i="1" s="1"/>
  <c r="S239" i="1" s="1"/>
  <c r="T237" i="1"/>
  <c r="U237" i="1" s="1"/>
  <c r="S237" i="1" s="1"/>
  <c r="T235" i="1"/>
  <c r="T233" i="1"/>
  <c r="T223" i="1"/>
  <c r="U223" i="1" s="1"/>
  <c r="S223" i="1" s="1"/>
  <c r="T221" i="1"/>
  <c r="U221" i="1" s="1"/>
  <c r="S221" i="1" s="1"/>
  <c r="T219" i="1"/>
  <c r="X124" i="1"/>
  <c r="AA123" i="1"/>
  <c r="W123" i="1" s="1"/>
  <c r="X118" i="1"/>
  <c r="AA64" i="1"/>
  <c r="AA60" i="1"/>
  <c r="X58" i="1"/>
  <c r="X54" i="1"/>
  <c r="AA52" i="1"/>
  <c r="AA51" i="1"/>
  <c r="T51" i="1"/>
  <c r="U51" i="1" s="1"/>
  <c r="S51" i="1" s="1"/>
  <c r="X50" i="1"/>
  <c r="T165" i="1"/>
  <c r="X231" i="1"/>
  <c r="AA72" i="1"/>
  <c r="W72" i="1" s="1"/>
  <c r="AA71" i="1"/>
  <c r="AA70" i="1"/>
  <c r="AA69" i="1"/>
  <c r="AA68" i="1"/>
  <c r="W68" i="1" s="1"/>
  <c r="AA67" i="1"/>
  <c r="W67" i="1" s="1"/>
  <c r="AA66" i="1"/>
  <c r="AA62" i="1"/>
  <c r="X56" i="1"/>
  <c r="AA50" i="1"/>
  <c r="W50" i="1" s="1"/>
  <c r="AA197" i="1"/>
  <c r="AA189" i="1"/>
  <c r="T172" i="1"/>
  <c r="U172" i="1" s="1"/>
  <c r="S172" i="1" s="1"/>
  <c r="X166" i="1"/>
  <c r="T164" i="1"/>
  <c r="X242" i="1"/>
  <c r="X240" i="1"/>
  <c r="X238" i="1"/>
  <c r="X236" i="1"/>
  <c r="X234" i="1"/>
  <c r="X232" i="1"/>
  <c r="X224" i="1"/>
  <c r="X222" i="1"/>
  <c r="X220" i="1"/>
  <c r="X122" i="1"/>
  <c r="AA112" i="1"/>
  <c r="W112" i="1" s="1"/>
  <c r="AA111" i="1"/>
  <c r="AA110" i="1"/>
  <c r="AA109" i="1"/>
  <c r="W109" i="1" s="1"/>
  <c r="AA108" i="1"/>
  <c r="W108" i="1" s="1"/>
  <c r="AA107" i="1"/>
  <c r="AA106" i="1"/>
  <c r="AA105" i="1"/>
  <c r="W105" i="1" s="1"/>
  <c r="AA104" i="1"/>
  <c r="W104" i="1" s="1"/>
  <c r="AA103" i="1"/>
  <c r="AA102" i="1"/>
  <c r="AA101" i="1"/>
  <c r="W101" i="1" s="1"/>
  <c r="AA100" i="1"/>
  <c r="W100" i="1" s="1"/>
  <c r="AA99" i="1"/>
  <c r="AA98" i="1"/>
  <c r="AA97" i="1"/>
  <c r="W97" i="1" s="1"/>
  <c r="AA96" i="1"/>
  <c r="W96" i="1" s="1"/>
  <c r="AA95" i="1"/>
  <c r="AA94" i="1"/>
  <c r="AA92" i="1"/>
  <c r="W92" i="1" s="1"/>
  <c r="AA90" i="1"/>
  <c r="W90" i="1" s="1"/>
  <c r="AA36" i="1"/>
  <c r="AA35" i="1"/>
  <c r="AA19" i="1"/>
  <c r="AA15" i="1"/>
  <c r="W15" i="1" s="1"/>
  <c r="AI245" i="1"/>
  <c r="AI243" i="1"/>
  <c r="U198" i="1"/>
  <c r="S198" i="1" s="1"/>
  <c r="AI230" i="1"/>
  <c r="U194" i="1"/>
  <c r="S194" i="1" s="1"/>
  <c r="AI226" i="1"/>
  <c r="U190" i="1"/>
  <c r="S190" i="1" s="1"/>
  <c r="AI222" i="1"/>
  <c r="U186" i="1"/>
  <c r="S186" i="1" s="1"/>
  <c r="AI218" i="1"/>
  <c r="AI242" i="1"/>
  <c r="AI240" i="1"/>
  <c r="AI238" i="1"/>
  <c r="AI236" i="1"/>
  <c r="AI234" i="1"/>
  <c r="AI232" i="1"/>
  <c r="AI229" i="1"/>
  <c r="U197" i="1"/>
  <c r="S197" i="1" s="1"/>
  <c r="AI225" i="1"/>
  <c r="U193" i="1"/>
  <c r="S193" i="1" s="1"/>
  <c r="AI221" i="1"/>
  <c r="U189" i="1"/>
  <c r="S189" i="1" s="1"/>
  <c r="AI217" i="1"/>
  <c r="U185" i="1"/>
  <c r="S185" i="1" s="1"/>
  <c r="AI244" i="1"/>
  <c r="W196" i="1"/>
  <c r="U196" i="1"/>
  <c r="S196" i="1" s="1"/>
  <c r="AI228" i="1"/>
  <c r="W192" i="1"/>
  <c r="U192" i="1"/>
  <c r="S192" i="1" s="1"/>
  <c r="AI224" i="1"/>
  <c r="W188" i="1"/>
  <c r="U188" i="1"/>
  <c r="S188" i="1" s="1"/>
  <c r="AI220" i="1"/>
  <c r="W184" i="1"/>
  <c r="U184" i="1"/>
  <c r="S184" i="1" s="1"/>
  <c r="AI216" i="1"/>
  <c r="AI241" i="1"/>
  <c r="AI239" i="1"/>
  <c r="AI237" i="1"/>
  <c r="AI235" i="1"/>
  <c r="AI233" i="1"/>
  <c r="AI231" i="1"/>
  <c r="U195" i="1"/>
  <c r="S195" i="1" s="1"/>
  <c r="AI227" i="1"/>
  <c r="U191" i="1"/>
  <c r="S191" i="1" s="1"/>
  <c r="AI223" i="1"/>
  <c r="U187" i="1"/>
  <c r="S187" i="1" s="1"/>
  <c r="AI219" i="1"/>
  <c r="U183" i="1"/>
  <c r="S183" i="1" s="1"/>
  <c r="AI215" i="1"/>
  <c r="U181" i="1"/>
  <c r="S181" i="1" s="1"/>
  <c r="AI213" i="1"/>
  <c r="W181" i="1"/>
  <c r="U179" i="1"/>
  <c r="S179" i="1" s="1"/>
  <c r="W179" i="1"/>
  <c r="AI211" i="1"/>
  <c r="U177" i="1"/>
  <c r="S177" i="1" s="1"/>
  <c r="AI207" i="1"/>
  <c r="U175" i="1"/>
  <c r="S175" i="1" s="1"/>
  <c r="W175" i="1"/>
  <c r="AI204" i="1"/>
  <c r="U173" i="1"/>
  <c r="S173" i="1" s="1"/>
  <c r="AI202" i="1"/>
  <c r="W173" i="1"/>
  <c r="AI201" i="1"/>
  <c r="U182" i="1"/>
  <c r="S182" i="1" s="1"/>
  <c r="AI214" i="1"/>
  <c r="U180" i="1"/>
  <c r="S180" i="1" s="1"/>
  <c r="AI212" i="1"/>
  <c r="U178" i="1"/>
  <c r="S178" i="1" s="1"/>
  <c r="AI208" i="1"/>
  <c r="U176" i="1"/>
  <c r="S176" i="1" s="1"/>
  <c r="AI206" i="1"/>
  <c r="U174" i="1"/>
  <c r="S174" i="1" s="1"/>
  <c r="AI203" i="1"/>
  <c r="AI92" i="1"/>
  <c r="AI84" i="1"/>
  <c r="AI76" i="1"/>
  <c r="AI68" i="1"/>
  <c r="AI56" i="1"/>
  <c r="U56" i="1"/>
  <c r="S56" i="1" s="1"/>
  <c r="AI94" i="1"/>
  <c r="AI82" i="1"/>
  <c r="AI74" i="1"/>
  <c r="AI66" i="1"/>
  <c r="U66" i="1"/>
  <c r="S66" i="1" s="1"/>
  <c r="U58" i="1"/>
  <c r="S58" i="1" s="1"/>
  <c r="AI58" i="1"/>
  <c r="AI88" i="1"/>
  <c r="AI80" i="1"/>
  <c r="AI72" i="1"/>
  <c r="U171" i="1"/>
  <c r="S171" i="1" s="1"/>
  <c r="AI200" i="1"/>
  <c r="U170" i="1"/>
  <c r="S170" i="1" s="1"/>
  <c r="AI199" i="1"/>
  <c r="U169" i="1"/>
  <c r="S169" i="1" s="1"/>
  <c r="AI198" i="1"/>
  <c r="U168" i="1"/>
  <c r="S168" i="1" s="1"/>
  <c r="AI197" i="1"/>
  <c r="U167" i="1"/>
  <c r="S167" i="1" s="1"/>
  <c r="AI196" i="1"/>
  <c r="U166" i="1"/>
  <c r="S166" i="1" s="1"/>
  <c r="AI195" i="1"/>
  <c r="U165" i="1"/>
  <c r="S165" i="1" s="1"/>
  <c r="AI194" i="1"/>
  <c r="U164" i="1"/>
  <c r="S164" i="1" s="1"/>
  <c r="AI193" i="1"/>
  <c r="U163" i="1"/>
  <c r="S163" i="1" s="1"/>
  <c r="AI192" i="1"/>
  <c r="U162" i="1"/>
  <c r="S162" i="1" s="1"/>
  <c r="AI191" i="1"/>
  <c r="W162" i="1"/>
  <c r="U245" i="1"/>
  <c r="S245" i="1" s="1"/>
  <c r="AI190" i="1"/>
  <c r="AI189" i="1"/>
  <c r="U243" i="1"/>
  <c r="S243" i="1" s="1"/>
  <c r="AI188" i="1"/>
  <c r="U242" i="1"/>
  <c r="S242" i="1" s="1"/>
  <c r="AI187" i="1"/>
  <c r="U241" i="1"/>
  <c r="S241" i="1" s="1"/>
  <c r="AI186" i="1"/>
  <c r="U240" i="1"/>
  <c r="S240" i="1" s="1"/>
  <c r="AI185" i="1"/>
  <c r="W240" i="1"/>
  <c r="AI184" i="1"/>
  <c r="U238" i="1"/>
  <c r="S238" i="1" s="1"/>
  <c r="AI183" i="1"/>
  <c r="AI182" i="1"/>
  <c r="U236" i="1"/>
  <c r="S236" i="1" s="1"/>
  <c r="AI181" i="1"/>
  <c r="U235" i="1"/>
  <c r="S235" i="1" s="1"/>
  <c r="AI180" i="1"/>
  <c r="U234" i="1"/>
  <c r="S234" i="1" s="1"/>
  <c r="AI179" i="1"/>
  <c r="W234" i="1"/>
  <c r="U233" i="1"/>
  <c r="S233" i="1" s="1"/>
  <c r="AI178" i="1"/>
  <c r="U232" i="1"/>
  <c r="S232" i="1" s="1"/>
  <c r="AI177" i="1"/>
  <c r="U231" i="1"/>
  <c r="S231" i="1" s="1"/>
  <c r="AI176" i="1"/>
  <c r="U224" i="1"/>
  <c r="S224" i="1" s="1"/>
  <c r="AI175" i="1"/>
  <c r="AI174" i="1"/>
  <c r="U222" i="1"/>
  <c r="S222" i="1" s="1"/>
  <c r="AI173" i="1"/>
  <c r="AI172" i="1"/>
  <c r="U220" i="1"/>
  <c r="S220" i="1" s="1"/>
  <c r="AI171" i="1"/>
  <c r="U219" i="1"/>
  <c r="S219" i="1" s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U131" i="1"/>
  <c r="S131" i="1" s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AI90" i="1"/>
  <c r="AI86" i="1"/>
  <c r="AI78" i="1"/>
  <c r="AI70" i="1"/>
  <c r="AI62" i="1"/>
  <c r="U62" i="1"/>
  <c r="S62" i="1" s="1"/>
  <c r="AI54" i="1"/>
  <c r="U54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AI69" i="1"/>
  <c r="AI67" i="1"/>
  <c r="AI64" i="1"/>
  <c r="U64" i="1"/>
  <c r="S64" i="1" s="1"/>
  <c r="AI60" i="1"/>
  <c r="U60" i="1"/>
  <c r="S60" i="1" s="1"/>
  <c r="AI57" i="1"/>
  <c r="U57" i="1"/>
  <c r="S57" i="1" s="1"/>
  <c r="AI55" i="1"/>
  <c r="U55" i="1"/>
  <c r="S55" i="1" s="1"/>
  <c r="AI63" i="1"/>
  <c r="U63" i="1"/>
  <c r="S63" i="1" s="1"/>
  <c r="AI59" i="1"/>
  <c r="U59" i="1"/>
  <c r="S59" i="1" s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U116" i="1"/>
  <c r="S116" i="1" s="1"/>
  <c r="AI116" i="1"/>
  <c r="W115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65" i="1"/>
  <c r="U65" i="1"/>
  <c r="S65" i="1" s="1"/>
  <c r="AI61" i="1"/>
  <c r="U61" i="1"/>
  <c r="S61" i="1" s="1"/>
  <c r="AI21" i="1"/>
  <c r="U21" i="1"/>
  <c r="S21" i="1" s="1"/>
  <c r="AI17" i="1"/>
  <c r="U17" i="1"/>
  <c r="S17" i="1" s="1"/>
  <c r="AI48" i="1"/>
  <c r="AI46" i="1"/>
  <c r="AI44" i="1"/>
  <c r="AI42" i="1"/>
  <c r="AI40" i="1"/>
  <c r="AI38" i="1"/>
  <c r="AI36" i="1"/>
  <c r="AI33" i="1"/>
  <c r="AI31" i="1"/>
  <c r="AI29" i="1"/>
  <c r="AI27" i="1"/>
  <c r="AI25" i="1"/>
  <c r="AI23" i="1"/>
  <c r="AI20" i="1"/>
  <c r="U20" i="1"/>
  <c r="S20" i="1" s="1"/>
  <c r="AI16" i="1"/>
  <c r="U16" i="1"/>
  <c r="S16" i="1" s="1"/>
  <c r="AI19" i="1"/>
  <c r="U19" i="1"/>
  <c r="S19" i="1" s="1"/>
  <c r="AI15" i="1"/>
  <c r="U15" i="1"/>
  <c r="S15" i="1" s="1"/>
  <c r="U53" i="1"/>
  <c r="S53" i="1" s="1"/>
  <c r="AI53" i="1"/>
  <c r="AI52" i="1"/>
  <c r="AI51" i="1"/>
  <c r="U50" i="1"/>
  <c r="S50" i="1" s="1"/>
  <c r="AI50" i="1"/>
  <c r="AI49" i="1"/>
  <c r="AI47" i="1"/>
  <c r="W47" i="1"/>
  <c r="AI45" i="1"/>
  <c r="AI43" i="1"/>
  <c r="W43" i="1"/>
  <c r="AI41" i="1"/>
  <c r="AI39" i="1"/>
  <c r="AI37" i="1"/>
  <c r="AI35" i="1"/>
  <c r="W35" i="1"/>
  <c r="AI34" i="1"/>
  <c r="AI32" i="1"/>
  <c r="AI30" i="1"/>
  <c r="AI28" i="1"/>
  <c r="AI26" i="1"/>
  <c r="AI24" i="1"/>
  <c r="AI22" i="1"/>
  <c r="AI18" i="1"/>
  <c r="U18" i="1"/>
  <c r="S18" i="1" s="1"/>
  <c r="AI14" i="1"/>
  <c r="U14" i="1"/>
  <c r="S14" i="1" s="1"/>
  <c r="W228" i="1"/>
  <c r="W203" i="1"/>
  <c r="W189" i="1"/>
  <c r="W182" i="1"/>
  <c r="W172" i="1"/>
  <c r="W230" i="1"/>
  <c r="W200" i="1"/>
  <c r="W198" i="1"/>
  <c r="W229" i="1"/>
  <c r="W208" i="1"/>
  <c r="W244" i="1"/>
  <c r="W195" i="1"/>
  <c r="W185" i="1"/>
  <c r="W226" i="1"/>
  <c r="W207" i="1"/>
  <c r="W194" i="1"/>
  <c r="W186" i="1"/>
  <c r="W238" i="1"/>
  <c r="W232" i="1"/>
  <c r="W197" i="1"/>
  <c r="W164" i="1"/>
  <c r="T229" i="1"/>
  <c r="U229" i="1" s="1"/>
  <c r="S229" i="1" s="1"/>
  <c r="X229" i="1"/>
  <c r="T227" i="1"/>
  <c r="U227" i="1" s="1"/>
  <c r="S227" i="1" s="1"/>
  <c r="X227" i="1"/>
  <c r="T225" i="1"/>
  <c r="U225" i="1" s="1"/>
  <c r="S225" i="1" s="1"/>
  <c r="X225" i="1"/>
  <c r="T207" i="1"/>
  <c r="U207" i="1" s="1"/>
  <c r="S207" i="1" s="1"/>
  <c r="X207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W171" i="1"/>
  <c r="W167" i="1"/>
  <c r="W237" i="1"/>
  <c r="W223" i="1"/>
  <c r="W221" i="1"/>
  <c r="W219" i="1"/>
  <c r="W216" i="1"/>
  <c r="W212" i="1"/>
  <c r="W159" i="1"/>
  <c r="W142" i="1"/>
  <c r="W138" i="1"/>
  <c r="W130" i="1"/>
  <c r="W235" i="1"/>
  <c r="W215" i="1"/>
  <c r="W149" i="1"/>
  <c r="W145" i="1"/>
  <c r="W141" i="1"/>
  <c r="W137" i="1"/>
  <c r="W133" i="1"/>
  <c r="W129" i="1"/>
  <c r="T230" i="1"/>
  <c r="U230" i="1" s="1"/>
  <c r="S230" i="1" s="1"/>
  <c r="X230" i="1"/>
  <c r="T228" i="1"/>
  <c r="U228" i="1" s="1"/>
  <c r="S228" i="1" s="1"/>
  <c r="X228" i="1"/>
  <c r="T226" i="1"/>
  <c r="U226" i="1" s="1"/>
  <c r="S226" i="1" s="1"/>
  <c r="X226" i="1"/>
  <c r="T208" i="1"/>
  <c r="U208" i="1" s="1"/>
  <c r="S208" i="1" s="1"/>
  <c r="X208" i="1"/>
  <c r="T206" i="1"/>
  <c r="U206" i="1" s="1"/>
  <c r="S206" i="1" s="1"/>
  <c r="T203" i="1"/>
  <c r="U203" i="1" s="1"/>
  <c r="S203" i="1" s="1"/>
  <c r="X203" i="1"/>
  <c r="T201" i="1"/>
  <c r="U201" i="1" s="1"/>
  <c r="S201" i="1" s="1"/>
  <c r="X201" i="1"/>
  <c r="T199" i="1"/>
  <c r="U199" i="1" s="1"/>
  <c r="S199" i="1" s="1"/>
  <c r="X199" i="1"/>
  <c r="W165" i="1"/>
  <c r="W245" i="1"/>
  <c r="W220" i="1"/>
  <c r="W218" i="1"/>
  <c r="W161" i="1"/>
  <c r="W157" i="1"/>
  <c r="W152" i="1"/>
  <c r="W148" i="1"/>
  <c r="W144" i="1"/>
  <c r="W140" i="1"/>
  <c r="W136" i="1"/>
  <c r="W128" i="1"/>
  <c r="W217" i="1"/>
  <c r="W156" i="1"/>
  <c r="W143" i="1"/>
  <c r="W135" i="1"/>
  <c r="W131" i="1"/>
  <c r="W127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T152" i="1"/>
  <c r="U152" i="1" s="1"/>
  <c r="S152" i="1" s="1"/>
  <c r="X152" i="1"/>
  <c r="T151" i="1"/>
  <c r="U151" i="1" s="1"/>
  <c r="S151" i="1" s="1"/>
  <c r="X151" i="1"/>
  <c r="T150" i="1"/>
  <c r="U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X125" i="1"/>
  <c r="T125" i="1"/>
  <c r="U125" i="1" s="1"/>
  <c r="S125" i="1" s="1"/>
  <c r="W118" i="1"/>
  <c r="X123" i="1"/>
  <c r="T123" i="1"/>
  <c r="U123" i="1" s="1"/>
  <c r="S123" i="1" s="1"/>
  <c r="W121" i="1"/>
  <c r="W120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21" i="1"/>
  <c r="T121" i="1"/>
  <c r="U121" i="1" s="1"/>
  <c r="S121" i="1" s="1"/>
  <c r="W117" i="1"/>
  <c r="W116" i="1"/>
  <c r="X131" i="1"/>
  <c r="X130" i="1"/>
  <c r="X129" i="1"/>
  <c r="X128" i="1"/>
  <c r="X127" i="1"/>
  <c r="X12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W94" i="1"/>
  <c r="W91" i="1"/>
  <c r="W87" i="1"/>
  <c r="W71" i="1"/>
  <c r="W85" i="1"/>
  <c r="W77" i="1"/>
  <c r="W69" i="1"/>
  <c r="W64" i="1"/>
  <c r="T42" i="1"/>
  <c r="U42" i="1" s="1"/>
  <c r="S42" i="1" s="1"/>
  <c r="X42" i="1"/>
  <c r="T119" i="1"/>
  <c r="U119" i="1" s="1"/>
  <c r="S119" i="1" s="1"/>
  <c r="T117" i="1"/>
  <c r="U117" i="1" s="1"/>
  <c r="S117" i="1" s="1"/>
  <c r="W111" i="1"/>
  <c r="W110" i="1"/>
  <c r="W107" i="1"/>
  <c r="W106" i="1"/>
  <c r="W103" i="1"/>
  <c r="W102" i="1"/>
  <c r="W99" i="1"/>
  <c r="W98" i="1"/>
  <c r="W95" i="1"/>
  <c r="W89" i="1"/>
  <c r="W81" i="1"/>
  <c r="W60" i="1"/>
  <c r="W88" i="1"/>
  <c r="W86" i="1"/>
  <c r="W84" i="1"/>
  <c r="W82" i="1"/>
  <c r="W78" i="1"/>
  <c r="W70" i="1"/>
  <c r="W66" i="1"/>
  <c r="W62" i="1"/>
  <c r="T46" i="1"/>
  <c r="U46" i="1" s="1"/>
  <c r="X46" i="1"/>
  <c r="T38" i="1"/>
  <c r="U38" i="1" s="1"/>
  <c r="S38" i="1" s="1"/>
  <c r="X38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X68" i="1"/>
  <c r="AA65" i="1"/>
  <c r="W65" i="1" s="1"/>
  <c r="AA61" i="1"/>
  <c r="W61" i="1" s="1"/>
  <c r="W41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AA63" i="1"/>
  <c r="W63" i="1" s="1"/>
  <c r="AA59" i="1"/>
  <c r="W59" i="1" s="1"/>
  <c r="X52" i="1"/>
  <c r="T52" i="1"/>
  <c r="U52" i="1" s="1"/>
  <c r="S52" i="1" s="1"/>
  <c r="X53" i="1"/>
  <c r="W45" i="1"/>
  <c r="T27" i="1"/>
  <c r="U27" i="1" s="1"/>
  <c r="S27" i="1" s="1"/>
  <c r="X27" i="1"/>
  <c r="W52" i="1"/>
  <c r="W42" i="1"/>
  <c r="W38" i="1"/>
  <c r="T33" i="1"/>
  <c r="U33" i="1" s="1"/>
  <c r="S33" i="1" s="1"/>
  <c r="X33" i="1"/>
  <c r="T25" i="1"/>
  <c r="U25" i="1" s="1"/>
  <c r="S25" i="1" s="1"/>
  <c r="X25" i="1"/>
  <c r="W19" i="1"/>
  <c r="X66" i="1"/>
  <c r="X65" i="1"/>
  <c r="X64" i="1"/>
  <c r="X63" i="1"/>
  <c r="X62" i="1"/>
  <c r="X61" i="1"/>
  <c r="X60" i="1"/>
  <c r="X59" i="1"/>
  <c r="W51" i="1"/>
  <c r="W48" i="1"/>
  <c r="W44" i="1"/>
  <c r="W36" i="1"/>
  <c r="T29" i="1"/>
  <c r="U29" i="1" s="1"/>
  <c r="S29" i="1" s="1"/>
  <c r="X29" i="1"/>
  <c r="AA58" i="1"/>
  <c r="W58" i="1" s="1"/>
  <c r="AA57" i="1"/>
  <c r="W57" i="1" s="1"/>
  <c r="AA56" i="1"/>
  <c r="W56" i="1" s="1"/>
  <c r="AA55" i="1"/>
  <c r="W55" i="1" s="1"/>
  <c r="AA54" i="1"/>
  <c r="W54" i="1" s="1"/>
  <c r="T48" i="1"/>
  <c r="U48" i="1" s="1"/>
  <c r="S48" i="1" s="1"/>
  <c r="X48" i="1"/>
  <c r="T44" i="1"/>
  <c r="U44" i="1" s="1"/>
  <c r="S44" i="1" s="1"/>
  <c r="X44" i="1"/>
  <c r="T40" i="1"/>
  <c r="U40" i="1" s="1"/>
  <c r="S40" i="1" s="1"/>
  <c r="X40" i="1"/>
  <c r="T36" i="1"/>
  <c r="U36" i="1" s="1"/>
  <c r="S36" i="1" s="1"/>
  <c r="X36" i="1"/>
  <c r="T31" i="1"/>
  <c r="U31" i="1" s="1"/>
  <c r="X31" i="1"/>
  <c r="T23" i="1"/>
  <c r="U23" i="1" s="1"/>
  <c r="X23" i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8" i="1"/>
  <c r="W18" i="1" s="1"/>
  <c r="AA14" i="1"/>
  <c r="W14" i="1" s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X22" i="1"/>
  <c r="AA21" i="1"/>
  <c r="W21" i="1" s="1"/>
  <c r="AA17" i="1"/>
  <c r="W17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0" i="1"/>
  <c r="W20" i="1" s="1"/>
  <c r="AA16" i="1"/>
  <c r="W16" i="1" s="1"/>
  <c r="X21" i="1"/>
  <c r="X20" i="1"/>
  <c r="X19" i="1"/>
  <c r="X18" i="1"/>
  <c r="X17" i="1"/>
  <c r="X16" i="1"/>
  <c r="X15" i="1"/>
  <c r="Y19" i="3"/>
  <c r="Y21" i="3"/>
  <c r="Y7" i="3"/>
  <c r="Y16" i="3"/>
  <c r="Y11" i="3"/>
  <c r="Y27" i="3"/>
  <c r="Y15" i="3"/>
  <c r="Y34" i="3"/>
  <c r="Y26" i="3"/>
  <c r="Y33" i="3"/>
  <c r="Y36" i="3"/>
  <c r="Y25" i="3"/>
  <c r="Y13" i="3"/>
  <c r="Y10" i="3"/>
  <c r="Y18" i="3"/>
  <c r="Y31" i="3"/>
  <c r="Y30" i="3"/>
  <c r="Y20" i="3"/>
  <c r="Y8" i="3"/>
  <c r="Y29" i="3"/>
  <c r="Y24" i="3"/>
  <c r="Y23" i="3"/>
  <c r="Y17" i="3"/>
  <c r="Y35" i="3"/>
  <c r="Y14" i="3"/>
  <c r="Y9" i="3"/>
  <c r="Y12" i="3"/>
  <c r="Y28" i="3"/>
  <c r="Y32" i="3"/>
  <c r="R22" i="3"/>
  <c r="M22" i="3"/>
  <c r="U22" i="3"/>
  <c r="X22" i="3"/>
  <c r="W22" i="3"/>
  <c r="S22" i="1" l="1"/>
  <c r="S30" i="1"/>
  <c r="Y22" i="3"/>
  <c r="AH17" i="1" l="1"/>
  <c r="AH21" i="1"/>
  <c r="AH25" i="1"/>
  <c r="AH29" i="1"/>
  <c r="AH33" i="1"/>
  <c r="AH37" i="1"/>
  <c r="AH41" i="1"/>
  <c r="AH45" i="1"/>
  <c r="AH209" i="1"/>
  <c r="AH205" i="1"/>
  <c r="AH210" i="1"/>
  <c r="AH153" i="1"/>
  <c r="AH14" i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15" i="1"/>
  <c r="AH16" i="1"/>
  <c r="AH19" i="1"/>
  <c r="AH20" i="1"/>
  <c r="AH23" i="1"/>
  <c r="AH24" i="1"/>
  <c r="AH27" i="1"/>
  <c r="AH28" i="1"/>
  <c r="AH31" i="1"/>
  <c r="AH32" i="1"/>
  <c r="AH35" i="1"/>
  <c r="AH36" i="1"/>
  <c r="AH39" i="1"/>
  <c r="AH40" i="1"/>
  <c r="AH43" i="1"/>
  <c r="AH44" i="1"/>
  <c r="AH49" i="1"/>
  <c r="AH57" i="1"/>
  <c r="AH65" i="1"/>
  <c r="AH67" i="1"/>
  <c r="AH71" i="1"/>
  <c r="AH75" i="1"/>
  <c r="AH47" i="1"/>
  <c r="AH52" i="1"/>
  <c r="AH55" i="1"/>
  <c r="AH60" i="1"/>
  <c r="AH63" i="1"/>
  <c r="AH66" i="1"/>
  <c r="AH70" i="1"/>
  <c r="AH74" i="1"/>
  <c r="AH78" i="1"/>
  <c r="AH82" i="1"/>
  <c r="AH86" i="1"/>
  <c r="AH90" i="1"/>
  <c r="AH48" i="1"/>
  <c r="AH51" i="1"/>
  <c r="AH56" i="1"/>
  <c r="AH59" i="1"/>
  <c r="AH64" i="1"/>
  <c r="AH68" i="1"/>
  <c r="AH72" i="1"/>
  <c r="AH76" i="1"/>
  <c r="AH80" i="1"/>
  <c r="AH84" i="1"/>
  <c r="AH88" i="1"/>
  <c r="AH92" i="1"/>
  <c r="AH96" i="1"/>
  <c r="AH100" i="1"/>
  <c r="AH104" i="1"/>
  <c r="AH108" i="1"/>
  <c r="AH112" i="1"/>
  <c r="AH116" i="1"/>
  <c r="AH120" i="1"/>
  <c r="AH124" i="1"/>
  <c r="AH128" i="1"/>
  <c r="AH132" i="1"/>
  <c r="AH136" i="1"/>
  <c r="AH140" i="1"/>
  <c r="AH144" i="1"/>
  <c r="AH148" i="1"/>
  <c r="AH69" i="1"/>
  <c r="AH77" i="1"/>
  <c r="AH79" i="1"/>
  <c r="AH81" i="1"/>
  <c r="AH83" i="1"/>
  <c r="AH85" i="1"/>
  <c r="AH87" i="1"/>
  <c r="AH89" i="1"/>
  <c r="AH91" i="1"/>
  <c r="AH93" i="1"/>
  <c r="AH94" i="1"/>
  <c r="AH97" i="1"/>
  <c r="AH102" i="1"/>
  <c r="AH105" i="1"/>
  <c r="AH110" i="1"/>
  <c r="AH113" i="1"/>
  <c r="AH118" i="1"/>
  <c r="AH121" i="1"/>
  <c r="AH95" i="1"/>
  <c r="AH103" i="1"/>
  <c r="AH111" i="1"/>
  <c r="AH119" i="1"/>
  <c r="AH127" i="1"/>
  <c r="AH135" i="1"/>
  <c r="AH143" i="1"/>
  <c r="AH154" i="1"/>
  <c r="AH158" i="1"/>
  <c r="AH162" i="1"/>
  <c r="AH166" i="1"/>
  <c r="AH170" i="1"/>
  <c r="AH174" i="1"/>
  <c r="AH178" i="1"/>
  <c r="AH182" i="1"/>
  <c r="AH186" i="1"/>
  <c r="AH190" i="1"/>
  <c r="AH99" i="1"/>
  <c r="AH107" i="1"/>
  <c r="AH115" i="1"/>
  <c r="AH123" i="1"/>
  <c r="AH131" i="1"/>
  <c r="AH139" i="1"/>
  <c r="AH147" i="1"/>
  <c r="AH151" i="1"/>
  <c r="AH156" i="1"/>
  <c r="AH160" i="1"/>
  <c r="AH164" i="1"/>
  <c r="AH168" i="1"/>
  <c r="AH172" i="1"/>
  <c r="AH176" i="1"/>
  <c r="AH180" i="1"/>
  <c r="AH184" i="1"/>
  <c r="AH188" i="1"/>
  <c r="AH192" i="1"/>
  <c r="AH196" i="1"/>
  <c r="AH200" i="1"/>
  <c r="AH204" i="1"/>
  <c r="AH53" i="1"/>
  <c r="AH98" i="1"/>
  <c r="AH114" i="1"/>
  <c r="AH198" i="1"/>
  <c r="AH201" i="1"/>
  <c r="AH207" i="1"/>
  <c r="AH214" i="1"/>
  <c r="AH218" i="1"/>
  <c r="AH230" i="1"/>
  <c r="AH242" i="1"/>
  <c r="AH109" i="1"/>
  <c r="AH125" i="1"/>
  <c r="AH126" i="1"/>
  <c r="AH133" i="1"/>
  <c r="AH134" i="1"/>
  <c r="AH141" i="1"/>
  <c r="AH142" i="1"/>
  <c r="AH149" i="1"/>
  <c r="AH150" i="1"/>
  <c r="AH152" i="1"/>
  <c r="AH155" i="1"/>
  <c r="AH157" i="1"/>
  <c r="AH159" i="1"/>
  <c r="AH161" i="1"/>
  <c r="AH163" i="1"/>
  <c r="AH165" i="1"/>
  <c r="AH167" i="1"/>
  <c r="AH101" i="1"/>
  <c r="AH117" i="1"/>
  <c r="AH129" i="1"/>
  <c r="AH130" i="1"/>
  <c r="AH137" i="1"/>
  <c r="AH138" i="1"/>
  <c r="AH145" i="1"/>
  <c r="AH146" i="1"/>
  <c r="AH195" i="1"/>
  <c r="AH203" i="1"/>
  <c r="AH211" i="1"/>
  <c r="AH215" i="1"/>
  <c r="AH219" i="1"/>
  <c r="AH223" i="1"/>
  <c r="AH227" i="1"/>
  <c r="AH231" i="1"/>
  <c r="AH235" i="1"/>
  <c r="AH239" i="1"/>
  <c r="AH243" i="1"/>
  <c r="AH193" i="1"/>
  <c r="AH222" i="1"/>
  <c r="AH226" i="1"/>
  <c r="AH234" i="1"/>
  <c r="AH238" i="1"/>
  <c r="AH173" i="1"/>
  <c r="AH181" i="1"/>
  <c r="AH189" i="1"/>
  <c r="AH185" i="1"/>
  <c r="AH212" i="1"/>
  <c r="AH221" i="1"/>
  <c r="AH228" i="1"/>
  <c r="AH236" i="1"/>
  <c r="AH244" i="1"/>
  <c r="AH61" i="1"/>
  <c r="AH175" i="1"/>
  <c r="AH183" i="1"/>
  <c r="AH191" i="1"/>
  <c r="AH197" i="1"/>
  <c r="AH202" i="1"/>
  <c r="AH208" i="1"/>
  <c r="AH177" i="1"/>
  <c r="AH216" i="1"/>
  <c r="AH224" i="1"/>
  <c r="AH232" i="1"/>
  <c r="AH240" i="1"/>
  <c r="AH73" i="1"/>
  <c r="AH106" i="1"/>
  <c r="AH122" i="1"/>
  <c r="AH171" i="1"/>
  <c r="AH179" i="1"/>
  <c r="AH187" i="1"/>
  <c r="AH194" i="1"/>
  <c r="AH199" i="1"/>
  <c r="AH206" i="1"/>
  <c r="AH169" i="1"/>
  <c r="AH213" i="1"/>
  <c r="AH217" i="1"/>
  <c r="AH220" i="1"/>
  <c r="AH225" i="1"/>
  <c r="AH229" i="1"/>
  <c r="AH233" i="1"/>
  <c r="AH237" i="1"/>
  <c r="AH241" i="1"/>
  <c r="AH245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L224" i="1" s="1"/>
  <c r="G251" i="4"/>
  <c r="L218" i="1" s="1"/>
  <c r="G252" i="4"/>
  <c r="L161" i="1" s="1"/>
  <c r="G253" i="4"/>
  <c r="L220" i="1" s="1"/>
  <c r="G254" i="4"/>
  <c r="L222" i="1" s="1"/>
  <c r="G255" i="4"/>
  <c r="G256" i="4"/>
  <c r="G257" i="4"/>
  <c r="G258" i="4"/>
  <c r="G259" i="4"/>
  <c r="G260" i="4"/>
  <c r="G224" i="4" l="1"/>
  <c r="L207" i="1" s="1"/>
  <c r="G225" i="4"/>
  <c r="G226" i="4"/>
  <c r="L144" i="1" s="1"/>
  <c r="G227" i="4"/>
  <c r="L242" i="1" s="1"/>
  <c r="G228" i="4"/>
  <c r="G229" i="4"/>
  <c r="L206" i="1" s="1"/>
  <c r="G230" i="4"/>
  <c r="L147" i="1" s="1"/>
  <c r="G231" i="4"/>
  <c r="G232" i="4"/>
  <c r="L146" i="1" s="1"/>
  <c r="G233" i="4"/>
  <c r="G234" i="4"/>
  <c r="L209" i="1" s="1"/>
  <c r="G235" i="4"/>
  <c r="L148" i="1" s="1"/>
  <c r="G236" i="4"/>
  <c r="G237" i="4"/>
  <c r="G238" i="4"/>
  <c r="L152" i="1" s="1"/>
  <c r="G239" i="4"/>
  <c r="L151" i="1" s="1"/>
  <c r="G240" i="4"/>
  <c r="L154" i="1" s="1"/>
  <c r="G241" i="4"/>
  <c r="L210" i="1" s="1"/>
  <c r="G242" i="4"/>
  <c r="L156" i="1" s="1"/>
  <c r="G243" i="4"/>
  <c r="G244" i="4"/>
  <c r="L153" i="1" s="1"/>
  <c r="G245" i="4"/>
  <c r="L155" i="1" s="1"/>
  <c r="G246" i="4"/>
  <c r="G247" i="4"/>
  <c r="L157" i="1" s="1"/>
  <c r="G248" i="4"/>
  <c r="L160" i="1" s="1"/>
  <c r="G249" i="4"/>
  <c r="N19" i="3" l="1"/>
  <c r="L158" i="1"/>
  <c r="N17" i="3"/>
  <c r="L159" i="1"/>
  <c r="N34" i="3"/>
  <c r="L208" i="1"/>
  <c r="N23" i="3"/>
  <c r="L150" i="1"/>
  <c r="L149" i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O209" i="1" l="1"/>
  <c r="V210" i="1"/>
  <c r="AO205" i="1"/>
  <c r="V153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S27" i="3" s="1"/>
  <c r="AN35" i="1"/>
  <c r="AO36" i="1"/>
  <c r="V37" i="1"/>
  <c r="AN39" i="1"/>
  <c r="AO40" i="1"/>
  <c r="V41" i="1"/>
  <c r="AN43" i="1"/>
  <c r="AO44" i="1"/>
  <c r="V45" i="1"/>
  <c r="AN210" i="1"/>
  <c r="V209" i="1"/>
  <c r="AN209" i="1"/>
  <c r="AN205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S15" i="3" s="1"/>
  <c r="AN32" i="1"/>
  <c r="AO33" i="1"/>
  <c r="V34" i="1"/>
  <c r="S24" i="3" s="1"/>
  <c r="AN36" i="1"/>
  <c r="AO37" i="1"/>
  <c r="V38" i="1"/>
  <c r="AN40" i="1"/>
  <c r="AO41" i="1"/>
  <c r="V42" i="1"/>
  <c r="AN44" i="1"/>
  <c r="AO45" i="1"/>
  <c r="V46" i="1"/>
  <c r="AN48" i="1"/>
  <c r="AO49" i="1"/>
  <c r="V50" i="1"/>
  <c r="AN52" i="1"/>
  <c r="AO53" i="1"/>
  <c r="V54" i="1"/>
  <c r="AN56" i="1"/>
  <c r="AO57" i="1"/>
  <c r="V58" i="1"/>
  <c r="AN60" i="1"/>
  <c r="AO61" i="1"/>
  <c r="V62" i="1"/>
  <c r="AN64" i="1"/>
  <c r="AO65" i="1"/>
  <c r="V66" i="1"/>
  <c r="AO153" i="1"/>
  <c r="AN14" i="1"/>
  <c r="V15" i="1"/>
  <c r="AN17" i="1"/>
  <c r="AN18" i="1"/>
  <c r="V19" i="1"/>
  <c r="AN21" i="1"/>
  <c r="AN22" i="1"/>
  <c r="V23" i="1"/>
  <c r="AN25" i="1"/>
  <c r="AN26" i="1"/>
  <c r="V27" i="1"/>
  <c r="AN29" i="1"/>
  <c r="AN30" i="1"/>
  <c r="V31" i="1"/>
  <c r="AN33" i="1"/>
  <c r="AN34" i="1"/>
  <c r="V35" i="1"/>
  <c r="AN37" i="1"/>
  <c r="AN38" i="1"/>
  <c r="V39" i="1"/>
  <c r="AN41" i="1"/>
  <c r="AN42" i="1"/>
  <c r="V43" i="1"/>
  <c r="AN45" i="1"/>
  <c r="AN46" i="1"/>
  <c r="AO47" i="1"/>
  <c r="AN53" i="1"/>
  <c r="AN54" i="1"/>
  <c r="AO55" i="1"/>
  <c r="AN61" i="1"/>
  <c r="AN62" i="1"/>
  <c r="AO63" i="1"/>
  <c r="AO66" i="1"/>
  <c r="V67" i="1"/>
  <c r="AN69" i="1"/>
  <c r="AO70" i="1"/>
  <c r="V71" i="1"/>
  <c r="AN73" i="1"/>
  <c r="AO74" i="1"/>
  <c r="V75" i="1"/>
  <c r="AO14" i="1"/>
  <c r="V16" i="1"/>
  <c r="AO18" i="1"/>
  <c r="V20" i="1"/>
  <c r="AO22" i="1"/>
  <c r="V24" i="1"/>
  <c r="AO26" i="1"/>
  <c r="V28" i="1"/>
  <c r="S26" i="3" s="1"/>
  <c r="AO30" i="1"/>
  <c r="V32" i="1"/>
  <c r="S10" i="3" s="1"/>
  <c r="AO34" i="1"/>
  <c r="V36" i="1"/>
  <c r="AO38" i="1"/>
  <c r="V40" i="1"/>
  <c r="AO42" i="1"/>
  <c r="V44" i="1"/>
  <c r="AO46" i="1"/>
  <c r="V47" i="1"/>
  <c r="AO48" i="1"/>
  <c r="V49" i="1"/>
  <c r="AN51" i="1"/>
  <c r="V52" i="1"/>
  <c r="AO54" i="1"/>
  <c r="V55" i="1"/>
  <c r="AO56" i="1"/>
  <c r="V57" i="1"/>
  <c r="AN59" i="1"/>
  <c r="V60" i="1"/>
  <c r="S25" i="3" s="1"/>
  <c r="AO62" i="1"/>
  <c r="V63" i="1"/>
  <c r="AO64" i="1"/>
  <c r="V65" i="1"/>
  <c r="AN68" i="1"/>
  <c r="AO69" i="1"/>
  <c r="V70" i="1"/>
  <c r="AN72" i="1"/>
  <c r="AO73" i="1"/>
  <c r="V74" i="1"/>
  <c r="AN76" i="1"/>
  <c r="AO77" i="1"/>
  <c r="V78" i="1"/>
  <c r="AN80" i="1"/>
  <c r="AO81" i="1"/>
  <c r="V82" i="1"/>
  <c r="S20" i="3" s="1"/>
  <c r="AN84" i="1"/>
  <c r="AO85" i="1"/>
  <c r="V86" i="1"/>
  <c r="AN88" i="1"/>
  <c r="AO89" i="1"/>
  <c r="V90" i="1"/>
  <c r="AN92" i="1"/>
  <c r="AO93" i="1"/>
  <c r="V94" i="1"/>
  <c r="AO210" i="1"/>
  <c r="AN153" i="1"/>
  <c r="AN47" i="1"/>
  <c r="V48" i="1"/>
  <c r="AO50" i="1"/>
  <c r="V51" i="1"/>
  <c r="S16" i="3" s="1"/>
  <c r="AO52" i="1"/>
  <c r="V53" i="1"/>
  <c r="AN55" i="1"/>
  <c r="V56" i="1"/>
  <c r="AO58" i="1"/>
  <c r="V59" i="1"/>
  <c r="AO60" i="1"/>
  <c r="V61" i="1"/>
  <c r="S12" i="3" s="1"/>
  <c r="AN63" i="1"/>
  <c r="V64" i="1"/>
  <c r="AN66" i="1"/>
  <c r="AO67" i="1"/>
  <c r="V68" i="1"/>
  <c r="S9" i="3" s="1"/>
  <c r="AN70" i="1"/>
  <c r="AO71" i="1"/>
  <c r="V72" i="1"/>
  <c r="AN74" i="1"/>
  <c r="AO75" i="1"/>
  <c r="V76" i="1"/>
  <c r="AN78" i="1"/>
  <c r="AO79" i="1"/>
  <c r="V80" i="1"/>
  <c r="AN82" i="1"/>
  <c r="AO83" i="1"/>
  <c r="V84" i="1"/>
  <c r="AN86" i="1"/>
  <c r="AO87" i="1"/>
  <c r="V88" i="1"/>
  <c r="AN90" i="1"/>
  <c r="AO91" i="1"/>
  <c r="V92" i="1"/>
  <c r="AN94" i="1"/>
  <c r="AO95" i="1"/>
  <c r="V96" i="1"/>
  <c r="AN98" i="1"/>
  <c r="AO99" i="1"/>
  <c r="V100" i="1"/>
  <c r="AN102" i="1"/>
  <c r="AO103" i="1"/>
  <c r="V104" i="1"/>
  <c r="AN106" i="1"/>
  <c r="AO107" i="1"/>
  <c r="V108" i="1"/>
  <c r="AN110" i="1"/>
  <c r="AO111" i="1"/>
  <c r="V112" i="1"/>
  <c r="AN114" i="1"/>
  <c r="AO115" i="1"/>
  <c r="V116" i="1"/>
  <c r="AN118" i="1"/>
  <c r="AO119" i="1"/>
  <c r="V120" i="1"/>
  <c r="AN122" i="1"/>
  <c r="AO123" i="1"/>
  <c r="V124" i="1"/>
  <c r="AN126" i="1"/>
  <c r="AO127" i="1"/>
  <c r="V128" i="1"/>
  <c r="AN130" i="1"/>
  <c r="AO131" i="1"/>
  <c r="V132" i="1"/>
  <c r="AN134" i="1"/>
  <c r="AO135" i="1"/>
  <c r="V136" i="1"/>
  <c r="AN138" i="1"/>
  <c r="AO139" i="1"/>
  <c r="V140" i="1"/>
  <c r="AN142" i="1"/>
  <c r="AO143" i="1"/>
  <c r="V144" i="1"/>
  <c r="AN146" i="1"/>
  <c r="AO147" i="1"/>
  <c r="V148" i="1"/>
  <c r="V205" i="1"/>
  <c r="AO15" i="1"/>
  <c r="AO31" i="1"/>
  <c r="AO51" i="1"/>
  <c r="AO59" i="1"/>
  <c r="AO72" i="1"/>
  <c r="AO96" i="1"/>
  <c r="V97" i="1"/>
  <c r="AO98" i="1"/>
  <c r="V99" i="1"/>
  <c r="AN101" i="1"/>
  <c r="V102" i="1"/>
  <c r="AO104" i="1"/>
  <c r="V105" i="1"/>
  <c r="AO106" i="1"/>
  <c r="V107" i="1"/>
  <c r="AN109" i="1"/>
  <c r="V110" i="1"/>
  <c r="AO112" i="1"/>
  <c r="V113" i="1"/>
  <c r="AO114" i="1"/>
  <c r="V115" i="1"/>
  <c r="S30" i="3" s="1"/>
  <c r="AN117" i="1"/>
  <c r="V118" i="1"/>
  <c r="AO120" i="1"/>
  <c r="V121" i="1"/>
  <c r="AO122" i="1"/>
  <c r="V123" i="1"/>
  <c r="AO27" i="1"/>
  <c r="AO43" i="1"/>
  <c r="AN50" i="1"/>
  <c r="AN58" i="1"/>
  <c r="V69" i="1"/>
  <c r="AN71" i="1"/>
  <c r="V77" i="1"/>
  <c r="AO78" i="1"/>
  <c r="V79" i="1"/>
  <c r="AO80" i="1"/>
  <c r="V81" i="1"/>
  <c r="AO82" i="1"/>
  <c r="V83" i="1"/>
  <c r="AO84" i="1"/>
  <c r="V85" i="1"/>
  <c r="AO86" i="1"/>
  <c r="V87" i="1"/>
  <c r="AO88" i="1"/>
  <c r="V89" i="1"/>
  <c r="AO90" i="1"/>
  <c r="V91" i="1"/>
  <c r="AO92" i="1"/>
  <c r="V93" i="1"/>
  <c r="AN99" i="1"/>
  <c r="AN100" i="1"/>
  <c r="AO101" i="1"/>
  <c r="AN107" i="1"/>
  <c r="AN108" i="1"/>
  <c r="AO109" i="1"/>
  <c r="AN115" i="1"/>
  <c r="AN116" i="1"/>
  <c r="AO117" i="1"/>
  <c r="AN123" i="1"/>
  <c r="AN124" i="1"/>
  <c r="AO125" i="1"/>
  <c r="AN131" i="1"/>
  <c r="AN132" i="1"/>
  <c r="AO133" i="1"/>
  <c r="AN139" i="1"/>
  <c r="AN140" i="1"/>
  <c r="AO141" i="1"/>
  <c r="AN147" i="1"/>
  <c r="AN148" i="1"/>
  <c r="AO149" i="1"/>
  <c r="AN151" i="1"/>
  <c r="AO152" i="1"/>
  <c r="V154" i="1"/>
  <c r="AN156" i="1"/>
  <c r="AO157" i="1"/>
  <c r="V158" i="1"/>
  <c r="S19" i="3" s="1"/>
  <c r="AN160" i="1"/>
  <c r="AO161" i="1"/>
  <c r="V211" i="1"/>
  <c r="AN164" i="1"/>
  <c r="AO165" i="1"/>
  <c r="V215" i="1"/>
  <c r="AN168" i="1"/>
  <c r="AO169" i="1"/>
  <c r="V219" i="1"/>
  <c r="AN172" i="1"/>
  <c r="AO173" i="1"/>
  <c r="V223" i="1"/>
  <c r="AN176" i="1"/>
  <c r="AO177" i="1"/>
  <c r="V233" i="1"/>
  <c r="AN180" i="1"/>
  <c r="AO181" i="1"/>
  <c r="V237" i="1"/>
  <c r="AN184" i="1"/>
  <c r="AO185" i="1"/>
  <c r="V241" i="1"/>
  <c r="AN188" i="1"/>
  <c r="AO189" i="1"/>
  <c r="V245" i="1"/>
  <c r="AO19" i="1"/>
  <c r="AO35" i="1"/>
  <c r="AN49" i="1"/>
  <c r="AN57" i="1"/>
  <c r="AN65" i="1"/>
  <c r="AN67" i="1"/>
  <c r="V73" i="1"/>
  <c r="AN75" i="1"/>
  <c r="AN95" i="1"/>
  <c r="AN96" i="1"/>
  <c r="AO97" i="1"/>
  <c r="AN103" i="1"/>
  <c r="AN104" i="1"/>
  <c r="AO105" i="1"/>
  <c r="AN111" i="1"/>
  <c r="AN112" i="1"/>
  <c r="AO113" i="1"/>
  <c r="AN119" i="1"/>
  <c r="AN120" i="1"/>
  <c r="AO121" i="1"/>
  <c r="AN127" i="1"/>
  <c r="AN128" i="1"/>
  <c r="AO129" i="1"/>
  <c r="AN135" i="1"/>
  <c r="AN136" i="1"/>
  <c r="AO137" i="1"/>
  <c r="AN143" i="1"/>
  <c r="AN144" i="1"/>
  <c r="AO145" i="1"/>
  <c r="AO150" i="1"/>
  <c r="V151" i="1"/>
  <c r="AN154" i="1"/>
  <c r="AO155" i="1"/>
  <c r="V156" i="1"/>
  <c r="AN158" i="1"/>
  <c r="AO159" i="1"/>
  <c r="V160" i="1"/>
  <c r="AN162" i="1"/>
  <c r="AO163" i="1"/>
  <c r="V213" i="1"/>
  <c r="AN166" i="1"/>
  <c r="AO167" i="1"/>
  <c r="V217" i="1"/>
  <c r="AN170" i="1"/>
  <c r="AO171" i="1"/>
  <c r="V221" i="1"/>
  <c r="AN174" i="1"/>
  <c r="AO175" i="1"/>
  <c r="V231" i="1"/>
  <c r="AN178" i="1"/>
  <c r="AO179" i="1"/>
  <c r="V235" i="1"/>
  <c r="AN182" i="1"/>
  <c r="AO183" i="1"/>
  <c r="V239" i="1"/>
  <c r="AN186" i="1"/>
  <c r="AO187" i="1"/>
  <c r="V243" i="1"/>
  <c r="AN190" i="1"/>
  <c r="AO191" i="1"/>
  <c r="V163" i="1"/>
  <c r="AN194" i="1"/>
  <c r="AO195" i="1"/>
  <c r="V167" i="1"/>
  <c r="AN198" i="1"/>
  <c r="AO199" i="1"/>
  <c r="V171" i="1"/>
  <c r="AN202" i="1"/>
  <c r="AO203" i="1"/>
  <c r="V175" i="1"/>
  <c r="AN207" i="1"/>
  <c r="AO208" i="1"/>
  <c r="AO23" i="1"/>
  <c r="AO68" i="1"/>
  <c r="AO76" i="1"/>
  <c r="AN81" i="1"/>
  <c r="AN89" i="1"/>
  <c r="AO94" i="1"/>
  <c r="V101" i="1"/>
  <c r="AN105" i="1"/>
  <c r="AO110" i="1"/>
  <c r="V117" i="1"/>
  <c r="AN121" i="1"/>
  <c r="AO128" i="1"/>
  <c r="V129" i="1"/>
  <c r="V130" i="1"/>
  <c r="AO136" i="1"/>
  <c r="V137" i="1"/>
  <c r="V138" i="1"/>
  <c r="AO144" i="1"/>
  <c r="V145" i="1"/>
  <c r="V146" i="1"/>
  <c r="AO194" i="1"/>
  <c r="V166" i="1"/>
  <c r="S32" i="3" s="1"/>
  <c r="AN197" i="1"/>
  <c r="V169" i="1"/>
  <c r="AO200" i="1"/>
  <c r="V172" i="1"/>
  <c r="AN206" i="1"/>
  <c r="V177" i="1"/>
  <c r="AN212" i="1"/>
  <c r="AO213" i="1"/>
  <c r="V182" i="1"/>
  <c r="AN216" i="1"/>
  <c r="AO217" i="1"/>
  <c r="V186" i="1"/>
  <c r="AN228" i="1"/>
  <c r="AO229" i="1"/>
  <c r="V198" i="1"/>
  <c r="AN240" i="1"/>
  <c r="AO241" i="1"/>
  <c r="V227" i="1"/>
  <c r="AN79" i="1"/>
  <c r="AN87" i="1"/>
  <c r="V98" i="1"/>
  <c r="AO100" i="1"/>
  <c r="V103" i="1"/>
  <c r="S14" i="3" s="1"/>
  <c r="V114" i="1"/>
  <c r="AO116" i="1"/>
  <c r="V119" i="1"/>
  <c r="AN129" i="1"/>
  <c r="AO130" i="1"/>
  <c r="V131" i="1"/>
  <c r="AN137" i="1"/>
  <c r="AO138" i="1"/>
  <c r="V139" i="1"/>
  <c r="AN145" i="1"/>
  <c r="AO146" i="1"/>
  <c r="V147" i="1"/>
  <c r="AO39" i="1"/>
  <c r="AN83" i="1"/>
  <c r="AN91" i="1"/>
  <c r="V95" i="1"/>
  <c r="S21" i="3" s="1"/>
  <c r="V106" i="1"/>
  <c r="AO108" i="1"/>
  <c r="V111" i="1"/>
  <c r="V122" i="1"/>
  <c r="AO124" i="1"/>
  <c r="AN125" i="1"/>
  <c r="AO126" i="1"/>
  <c r="V127" i="1"/>
  <c r="AN133" i="1"/>
  <c r="AO134" i="1"/>
  <c r="V135" i="1"/>
  <c r="AN141" i="1"/>
  <c r="AO142" i="1"/>
  <c r="V143" i="1"/>
  <c r="AN149" i="1"/>
  <c r="AN150" i="1"/>
  <c r="AN152" i="1"/>
  <c r="AN155" i="1"/>
  <c r="AN157" i="1"/>
  <c r="AN159" i="1"/>
  <c r="AN161" i="1"/>
  <c r="AN163" i="1"/>
  <c r="AN165" i="1"/>
  <c r="AN167" i="1"/>
  <c r="AN169" i="1"/>
  <c r="AN171" i="1"/>
  <c r="AN173" i="1"/>
  <c r="AN175" i="1"/>
  <c r="AN177" i="1"/>
  <c r="AN179" i="1"/>
  <c r="AN181" i="1"/>
  <c r="AN183" i="1"/>
  <c r="AN185" i="1"/>
  <c r="AN187" i="1"/>
  <c r="AN189" i="1"/>
  <c r="AN191" i="1"/>
  <c r="AN192" i="1"/>
  <c r="AO193" i="1"/>
  <c r="AN199" i="1"/>
  <c r="AN200" i="1"/>
  <c r="AO201" i="1"/>
  <c r="AN208" i="1"/>
  <c r="V179" i="1"/>
  <c r="AN213" i="1"/>
  <c r="AO214" i="1"/>
  <c r="V183" i="1"/>
  <c r="AN217" i="1"/>
  <c r="AO218" i="1"/>
  <c r="V187" i="1"/>
  <c r="AN221" i="1"/>
  <c r="AO222" i="1"/>
  <c r="V191" i="1"/>
  <c r="AN225" i="1"/>
  <c r="AO226" i="1"/>
  <c r="V195" i="1"/>
  <c r="AN229" i="1"/>
  <c r="AO230" i="1"/>
  <c r="V199" i="1"/>
  <c r="AN233" i="1"/>
  <c r="AO234" i="1"/>
  <c r="V203" i="1"/>
  <c r="AN237" i="1"/>
  <c r="AO238" i="1"/>
  <c r="V208" i="1"/>
  <c r="S34" i="3" s="1"/>
  <c r="AN241" i="1"/>
  <c r="AO242" i="1"/>
  <c r="V228" i="1"/>
  <c r="AN245" i="1"/>
  <c r="V15" i="3"/>
  <c r="AE15" i="3" s="1"/>
  <c r="V18" i="3"/>
  <c r="AE18" i="3" s="1"/>
  <c r="V26" i="3"/>
  <c r="AE26" i="3" s="1"/>
  <c r="V27" i="3"/>
  <c r="AE27" i="3" s="1"/>
  <c r="V32" i="3"/>
  <c r="AE32" i="3" s="1"/>
  <c r="V10" i="3"/>
  <c r="AE10" i="3" s="1"/>
  <c r="V24" i="3"/>
  <c r="AE24" i="3" s="1"/>
  <c r="V11" i="3"/>
  <c r="AE11" i="3" s="1"/>
  <c r="V28" i="3"/>
  <c r="AE28" i="3" s="1"/>
  <c r="V13" i="3"/>
  <c r="AE13" i="3" s="1"/>
  <c r="V29" i="3"/>
  <c r="AE29" i="3" s="1"/>
  <c r="V16" i="3"/>
  <c r="AE16" i="3" s="1"/>
  <c r="AO192" i="1"/>
  <c r="V164" i="1"/>
  <c r="AO202" i="1"/>
  <c r="V174" i="1"/>
  <c r="AN220" i="1"/>
  <c r="AO221" i="1"/>
  <c r="V190" i="1"/>
  <c r="AN224" i="1"/>
  <c r="AO225" i="1"/>
  <c r="V194" i="1"/>
  <c r="S31" i="3" s="1"/>
  <c r="AN232" i="1"/>
  <c r="AO233" i="1"/>
  <c r="V202" i="1"/>
  <c r="AN236" i="1"/>
  <c r="AO237" i="1"/>
  <c r="V207" i="1"/>
  <c r="AN244" i="1"/>
  <c r="AO245" i="1"/>
  <c r="V12" i="3"/>
  <c r="AE12" i="3" s="1"/>
  <c r="V25" i="3"/>
  <c r="AE25" i="3" s="1"/>
  <c r="V8" i="3"/>
  <c r="AE8" i="3" s="1"/>
  <c r="V7" i="3"/>
  <c r="V9" i="3"/>
  <c r="AE9" i="3" s="1"/>
  <c r="V36" i="3"/>
  <c r="AE36" i="3" s="1"/>
  <c r="V20" i="3"/>
  <c r="AE20" i="3" s="1"/>
  <c r="V21" i="3"/>
  <c r="AE21" i="3" s="1"/>
  <c r="V14" i="3"/>
  <c r="AE14" i="3" s="1"/>
  <c r="V33" i="3"/>
  <c r="AE33" i="3" s="1"/>
  <c r="V30" i="3"/>
  <c r="AE30" i="3" s="1"/>
  <c r="V31" i="3"/>
  <c r="AE31" i="3" s="1"/>
  <c r="V35" i="3"/>
  <c r="AE35" i="3" s="1"/>
  <c r="V23" i="3"/>
  <c r="AE23" i="3" s="1"/>
  <c r="V34" i="3"/>
  <c r="AE34" i="3" s="1"/>
  <c r="V19" i="3"/>
  <c r="AE19" i="3" s="1"/>
  <c r="V17" i="3"/>
  <c r="AE17" i="3" s="1"/>
  <c r="AN93" i="1"/>
  <c r="AO151" i="1"/>
  <c r="AO154" i="1"/>
  <c r="AO156" i="1"/>
  <c r="AO158" i="1"/>
  <c r="AO160" i="1"/>
  <c r="AO162" i="1"/>
  <c r="AO164" i="1"/>
  <c r="AO166" i="1"/>
  <c r="AO168" i="1"/>
  <c r="V220" i="1"/>
  <c r="AO176" i="1"/>
  <c r="V234" i="1"/>
  <c r="AO184" i="1"/>
  <c r="V242" i="1"/>
  <c r="AN193" i="1"/>
  <c r="V170" i="1"/>
  <c r="AO204" i="1"/>
  <c r="AO212" i="1"/>
  <c r="AO216" i="1"/>
  <c r="AO220" i="1"/>
  <c r="AO224" i="1"/>
  <c r="AO228" i="1"/>
  <c r="AO232" i="1"/>
  <c r="AO236" i="1"/>
  <c r="AO244" i="1"/>
  <c r="V238" i="1"/>
  <c r="S36" i="3" s="1"/>
  <c r="AN211" i="1"/>
  <c r="V180" i="1"/>
  <c r="AN218" i="1"/>
  <c r="AN219" i="1"/>
  <c r="V188" i="1"/>
  <c r="S33" i="3" s="1"/>
  <c r="AN97" i="1"/>
  <c r="V109" i="1"/>
  <c r="AN113" i="1"/>
  <c r="V125" i="1"/>
  <c r="V133" i="1"/>
  <c r="V141" i="1"/>
  <c r="V149" i="1"/>
  <c r="S23" i="3" s="1"/>
  <c r="AO170" i="1"/>
  <c r="V222" i="1"/>
  <c r="AO178" i="1"/>
  <c r="V236" i="1"/>
  <c r="AO186" i="1"/>
  <c r="V244" i="1"/>
  <c r="AN196" i="1"/>
  <c r="V168" i="1"/>
  <c r="AO198" i="1"/>
  <c r="V173" i="1"/>
  <c r="AN203" i="1"/>
  <c r="AO206" i="1"/>
  <c r="AO132" i="1"/>
  <c r="AO140" i="1"/>
  <c r="AO172" i="1"/>
  <c r="V224" i="1"/>
  <c r="AN214" i="1"/>
  <c r="AN215" i="1"/>
  <c r="V184" i="1"/>
  <c r="AN222" i="1"/>
  <c r="AN223" i="1"/>
  <c r="V192" i="1"/>
  <c r="AN230" i="1"/>
  <c r="AN231" i="1"/>
  <c r="V200" i="1"/>
  <c r="AN238" i="1"/>
  <c r="AN239" i="1"/>
  <c r="V225" i="1"/>
  <c r="AN85" i="1"/>
  <c r="AO102" i="1"/>
  <c r="AO118" i="1"/>
  <c r="V126" i="1"/>
  <c r="V134" i="1"/>
  <c r="V142" i="1"/>
  <c r="V150" i="1"/>
  <c r="V152" i="1"/>
  <c r="V155" i="1"/>
  <c r="V157" i="1"/>
  <c r="V159" i="1"/>
  <c r="S17" i="3" s="1"/>
  <c r="V161" i="1"/>
  <c r="V212" i="1"/>
  <c r="V214" i="1"/>
  <c r="V216" i="1"/>
  <c r="V218" i="1"/>
  <c r="AO174" i="1"/>
  <c r="V232" i="1"/>
  <c r="AO182" i="1"/>
  <c r="V240" i="1"/>
  <c r="AO190" i="1"/>
  <c r="V165" i="1"/>
  <c r="AN195" i="1"/>
  <c r="AO197" i="1"/>
  <c r="AN204" i="1"/>
  <c r="V176" i="1"/>
  <c r="AO207" i="1"/>
  <c r="AO211" i="1"/>
  <c r="V181" i="1"/>
  <c r="AO215" i="1"/>
  <c r="V185" i="1"/>
  <c r="AO219" i="1"/>
  <c r="V189" i="1"/>
  <c r="AO223" i="1"/>
  <c r="V193" i="1"/>
  <c r="AO227" i="1"/>
  <c r="V197" i="1"/>
  <c r="S35" i="3" s="1"/>
  <c r="AO231" i="1"/>
  <c r="V201" i="1"/>
  <c r="AO235" i="1"/>
  <c r="V206" i="1"/>
  <c r="AO239" i="1"/>
  <c r="V226" i="1"/>
  <c r="AO243" i="1"/>
  <c r="V230" i="1"/>
  <c r="AO240" i="1"/>
  <c r="AN77" i="1"/>
  <c r="AO148" i="1"/>
  <c r="AO180" i="1"/>
  <c r="AO188" i="1"/>
  <c r="V162" i="1"/>
  <c r="AO196" i="1"/>
  <c r="AN201" i="1"/>
  <c r="V178" i="1"/>
  <c r="AN226" i="1"/>
  <c r="AN227" i="1"/>
  <c r="V196" i="1"/>
  <c r="AN234" i="1"/>
  <c r="AN235" i="1"/>
  <c r="V204" i="1"/>
  <c r="AN242" i="1"/>
  <c r="AN243" i="1"/>
  <c r="V229" i="1"/>
  <c r="AC29" i="3"/>
  <c r="AC33" i="3"/>
  <c r="AC8" i="3"/>
  <c r="AD28" i="3"/>
  <c r="AD36" i="3"/>
  <c r="AC30" i="3"/>
  <c r="AC17" i="3"/>
  <c r="AD23" i="3"/>
  <c r="AD16" i="3"/>
  <c r="AC7" i="3"/>
  <c r="V22" i="3"/>
  <c r="AE22" i="3" s="1"/>
  <c r="AC16" i="3"/>
  <c r="AD8" i="3"/>
  <c r="AD11" i="3"/>
  <c r="AD33" i="3"/>
  <c r="AC24" i="3"/>
  <c r="AC13" i="3"/>
  <c r="AC23" i="3"/>
  <c r="AC25" i="3"/>
  <c r="AD27" i="3"/>
  <c r="AC15" i="3"/>
  <c r="AD35" i="3"/>
  <c r="AD9" i="3"/>
  <c r="AD12" i="3"/>
  <c r="AC35" i="3"/>
  <c r="AD18" i="3"/>
  <c r="AC19" i="3"/>
  <c r="AC11" i="3"/>
  <c r="AC9" i="3"/>
  <c r="AD29" i="3"/>
  <c r="AD14" i="3"/>
  <c r="AC26" i="3"/>
  <c r="AC10" i="3"/>
  <c r="AC36" i="3"/>
  <c r="AD30" i="3"/>
  <c r="AD32" i="3"/>
  <c r="AC14" i="3"/>
  <c r="AD20" i="3"/>
  <c r="AC20" i="3"/>
  <c r="AC12" i="3"/>
  <c r="AD17" i="3"/>
  <c r="AC18" i="3"/>
  <c r="AD26" i="3"/>
  <c r="AD31" i="3"/>
  <c r="AC31" i="3"/>
  <c r="AD15" i="3"/>
  <c r="AD24" i="3"/>
  <c r="AC27" i="3"/>
  <c r="AD13" i="3"/>
  <c r="AD19" i="3"/>
  <c r="AC34" i="3"/>
  <c r="AC28" i="3"/>
  <c r="AD21" i="3"/>
  <c r="AC32" i="3"/>
  <c r="AD25" i="3"/>
  <c r="AD10" i="3"/>
  <c r="AD34" i="3"/>
  <c r="AC21" i="3"/>
  <c r="AD22" i="3"/>
  <c r="AC22" i="3"/>
  <c r="V13" i="1"/>
  <c r="AO13" i="1"/>
  <c r="AN13" i="1"/>
  <c r="AD7" i="3"/>
  <c r="S13" i="3" l="1"/>
  <c r="S29" i="3"/>
  <c r="S18" i="3"/>
  <c r="S22" i="3"/>
  <c r="S8" i="3"/>
  <c r="S7" i="3"/>
  <c r="S11" i="3"/>
  <c r="S28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211" i="1" s="1"/>
  <c r="G8" i="4"/>
  <c r="G9" i="4"/>
  <c r="G10" i="4"/>
  <c r="G11" i="4"/>
  <c r="G12" i="4"/>
  <c r="L231" i="1" s="1"/>
  <c r="G13" i="4"/>
  <c r="L213" i="1" s="1"/>
  <c r="G14" i="4"/>
  <c r="L15" i="1" s="1"/>
  <c r="G15" i="4"/>
  <c r="L14" i="1" s="1"/>
  <c r="G16" i="4"/>
  <c r="L215" i="1" s="1"/>
  <c r="G17" i="4"/>
  <c r="L217" i="1" s="1"/>
  <c r="G18" i="4"/>
  <c r="L17" i="1" s="1"/>
  <c r="G19" i="4"/>
  <c r="L219" i="1" s="1"/>
  <c r="G20" i="4"/>
  <c r="L19" i="1" s="1"/>
  <c r="G21" i="4"/>
  <c r="L16" i="1" s="1"/>
  <c r="G22" i="4"/>
  <c r="L21" i="1" s="1"/>
  <c r="G23" i="4"/>
  <c r="L221" i="1" s="1"/>
  <c r="G24" i="4"/>
  <c r="G25" i="4"/>
  <c r="L225" i="1" s="1"/>
  <c r="G26" i="4"/>
  <c r="G27" i="4"/>
  <c r="L24" i="1" s="1"/>
  <c r="G28" i="4"/>
  <c r="L26" i="1" s="1"/>
  <c r="G29" i="4"/>
  <c r="G30" i="4"/>
  <c r="L162" i="1" s="1"/>
  <c r="G31" i="4"/>
  <c r="L18" i="1" s="1"/>
  <c r="G32" i="4"/>
  <c r="L20" i="1" s="1"/>
  <c r="G33" i="4"/>
  <c r="L223" i="1" s="1"/>
  <c r="G34" i="4"/>
  <c r="G35" i="4"/>
  <c r="L163" i="1" s="1"/>
  <c r="G36" i="4"/>
  <c r="G37" i="4"/>
  <c r="G38" i="4"/>
  <c r="L25" i="1" s="1"/>
  <c r="G39" i="4"/>
  <c r="G40" i="4"/>
  <c r="L27" i="1" s="1"/>
  <c r="G41" i="4"/>
  <c r="G42" i="4"/>
  <c r="L164" i="1" s="1"/>
  <c r="G43" i="4"/>
  <c r="G44" i="4"/>
  <c r="G45" i="4"/>
  <c r="G46" i="4"/>
  <c r="L35" i="1" s="1"/>
  <c r="G47" i="4"/>
  <c r="L165" i="1" s="1"/>
  <c r="G48" i="4"/>
  <c r="G49" i="4"/>
  <c r="L29" i="1" s="1"/>
  <c r="G50" i="4"/>
  <c r="L37" i="1" s="1"/>
  <c r="G51" i="4"/>
  <c r="G52" i="4"/>
  <c r="L167" i="1" s="1"/>
  <c r="G53" i="4"/>
  <c r="L39" i="1" s="1"/>
  <c r="G54" i="4"/>
  <c r="G55" i="4"/>
  <c r="G56" i="4"/>
  <c r="G57" i="4"/>
  <c r="L41" i="1" s="1"/>
  <c r="G58" i="4"/>
  <c r="L36" i="1" s="1"/>
  <c r="G59" i="4"/>
  <c r="L168" i="1" s="1"/>
  <c r="G60" i="4"/>
  <c r="L169" i="1" s="1"/>
  <c r="G61" i="4"/>
  <c r="L43" i="1" s="1"/>
  <c r="G62" i="4"/>
  <c r="L38" i="1" s="1"/>
  <c r="G63" i="4"/>
  <c r="L170" i="1" s="1"/>
  <c r="G64" i="4"/>
  <c r="L45" i="1" s="1"/>
  <c r="G65" i="4"/>
  <c r="L171" i="1" s="1"/>
  <c r="G66" i="4"/>
  <c r="L40" i="1" s="1"/>
  <c r="G67" i="4"/>
  <c r="L42" i="1" s="1"/>
  <c r="G68" i="4"/>
  <c r="L48" i="1" s="1"/>
  <c r="G69" i="4"/>
  <c r="L50" i="1" s="1"/>
  <c r="G70" i="4"/>
  <c r="L172" i="1" s="1"/>
  <c r="G71" i="4"/>
  <c r="L173" i="1" s="1"/>
  <c r="G72" i="4"/>
  <c r="L44" i="1" s="1"/>
  <c r="G73" i="4"/>
  <c r="L52" i="1" s="1"/>
  <c r="G74" i="4"/>
  <c r="G75" i="4"/>
  <c r="G76" i="4"/>
  <c r="L174" i="1" s="1"/>
  <c r="G77" i="4"/>
  <c r="L228" i="1" s="1"/>
  <c r="G78" i="4"/>
  <c r="G79" i="4"/>
  <c r="G80" i="4"/>
  <c r="L49" i="1" s="1"/>
  <c r="G81" i="4"/>
  <c r="L57" i="1" s="1"/>
  <c r="G82" i="4"/>
  <c r="G83" i="4"/>
  <c r="G84" i="4"/>
  <c r="G85" i="4"/>
  <c r="L175" i="1" s="1"/>
  <c r="G86" i="4"/>
  <c r="L59" i="1" s="1"/>
  <c r="G87" i="4"/>
  <c r="L53" i="1" s="1"/>
  <c r="G88" i="4"/>
  <c r="G89" i="4"/>
  <c r="L56" i="1" s="1"/>
  <c r="G90" i="4"/>
  <c r="L58" i="1" s="1"/>
  <c r="G91" i="4"/>
  <c r="L176" i="1" s="1"/>
  <c r="G92" i="4"/>
  <c r="L63" i="1" s="1"/>
  <c r="G93" i="4"/>
  <c r="L65" i="1" s="1"/>
  <c r="G94" i="4"/>
  <c r="G95" i="4"/>
  <c r="L177" i="1" s="1"/>
  <c r="G96" i="4"/>
  <c r="L67" i="1" s="1"/>
  <c r="G97" i="4"/>
  <c r="L62" i="1" s="1"/>
  <c r="G98" i="4"/>
  <c r="L69" i="1" s="1"/>
  <c r="G99" i="4"/>
  <c r="L66" i="1" s="1"/>
  <c r="G100" i="4"/>
  <c r="L64" i="1" s="1"/>
  <c r="G101" i="4"/>
  <c r="L178" i="1" s="1"/>
  <c r="G102" i="4"/>
  <c r="L71" i="1" s="1"/>
  <c r="G103" i="4"/>
  <c r="G104" i="4"/>
  <c r="L73" i="1" s="1"/>
  <c r="G105" i="4"/>
  <c r="L235" i="1" s="1"/>
  <c r="G106" i="4"/>
  <c r="L75" i="1" s="1"/>
  <c r="G107" i="4"/>
  <c r="L179" i="1" s="1"/>
  <c r="G108" i="4"/>
  <c r="L70" i="1" s="1"/>
  <c r="G109" i="4"/>
  <c r="L72" i="1" s="1"/>
  <c r="G110" i="4"/>
  <c r="L77" i="1" s="1"/>
  <c r="G111" i="4"/>
  <c r="L79" i="1" s="1"/>
  <c r="G112" i="4"/>
  <c r="L180" i="1" s="1"/>
  <c r="G113" i="4"/>
  <c r="L236" i="1" s="1"/>
  <c r="G114" i="4"/>
  <c r="L81" i="1" s="1"/>
  <c r="G115" i="4"/>
  <c r="L74" i="1" s="1"/>
  <c r="G116" i="4"/>
  <c r="L237" i="1" s="1"/>
  <c r="G117" i="4"/>
  <c r="G118" i="4"/>
  <c r="L83" i="1" s="1"/>
  <c r="G119" i="4"/>
  <c r="L76" i="1" s="1"/>
  <c r="G120" i="4"/>
  <c r="L181" i="1" s="1"/>
  <c r="G121" i="4"/>
  <c r="L78" i="1" s="1"/>
  <c r="G122" i="4"/>
  <c r="L80" i="1" s="1"/>
  <c r="G123" i="4"/>
  <c r="L85" i="1" s="1"/>
  <c r="G124" i="4"/>
  <c r="G125" i="4"/>
  <c r="L182" i="1" s="1"/>
  <c r="G126" i="4"/>
  <c r="L87" i="1" s="1"/>
  <c r="G127" i="4"/>
  <c r="G128" i="4"/>
  <c r="G129" i="4"/>
  <c r="G130" i="4"/>
  <c r="L89" i="1" s="1"/>
  <c r="G131" i="4"/>
  <c r="G132" i="4"/>
  <c r="G133" i="4"/>
  <c r="L84" i="1" s="1"/>
  <c r="G134" i="4"/>
  <c r="G135" i="4"/>
  <c r="L91" i="1" s="1"/>
  <c r="G136" i="4"/>
  <c r="L183" i="1" s="1"/>
  <c r="G137" i="4"/>
  <c r="L86" i="1" s="1"/>
  <c r="G138" i="4"/>
  <c r="L93" i="1" s="1"/>
  <c r="G139" i="4"/>
  <c r="L88" i="1" s="1"/>
  <c r="G140" i="4"/>
  <c r="G141" i="4"/>
  <c r="L184" i="1" s="1"/>
  <c r="G142" i="4"/>
  <c r="L90" i="1" s="1"/>
  <c r="G143" i="4"/>
  <c r="L97" i="1" s="1"/>
  <c r="G144" i="4"/>
  <c r="L92" i="1" s="1"/>
  <c r="G145" i="4"/>
  <c r="L94" i="1" s="1"/>
  <c r="G146" i="4"/>
  <c r="L99" i="1" s="1"/>
  <c r="G147" i="4"/>
  <c r="L185" i="1" s="1"/>
  <c r="G148" i="4"/>
  <c r="L101" i="1" s="1"/>
  <c r="G149" i="4"/>
  <c r="L96" i="1" s="1"/>
  <c r="G150" i="4"/>
  <c r="G151" i="4"/>
  <c r="L186" i="1" s="1"/>
  <c r="G152" i="4"/>
  <c r="L98" i="1" s="1"/>
  <c r="G153" i="4"/>
  <c r="L105" i="1" s="1"/>
  <c r="G154" i="4"/>
  <c r="L100" i="1" s="1"/>
  <c r="G155" i="4"/>
  <c r="L107" i="1" s="1"/>
  <c r="G156" i="4"/>
  <c r="L187" i="1" s="1"/>
  <c r="G157" i="4"/>
  <c r="L109" i="1" s="1"/>
  <c r="G158" i="4"/>
  <c r="L102" i="1" s="1"/>
  <c r="G159" i="4"/>
  <c r="L229" i="1" s="1"/>
  <c r="G160" i="4"/>
  <c r="L104" i="1" s="1"/>
  <c r="G161" i="4"/>
  <c r="L111" i="1" s="1"/>
  <c r="G162" i="4"/>
  <c r="G163" i="4"/>
  <c r="L189" i="1" s="1"/>
  <c r="G164" i="4"/>
  <c r="L113" i="1" s="1"/>
  <c r="G165" i="4"/>
  <c r="L106" i="1" s="1"/>
  <c r="G166" i="4"/>
  <c r="L108" i="1" s="1"/>
  <c r="G167" i="4"/>
  <c r="G168" i="4"/>
  <c r="L110" i="1" s="1"/>
  <c r="G169" i="4"/>
  <c r="L191" i="1" s="1"/>
  <c r="G170" i="4"/>
  <c r="L117" i="1" s="1"/>
  <c r="G171" i="4"/>
  <c r="L190" i="1" s="1"/>
  <c r="G172" i="4"/>
  <c r="L112" i="1" s="1"/>
  <c r="G173" i="4"/>
  <c r="L119" i="1" s="1"/>
  <c r="G174" i="4"/>
  <c r="L114" i="1" s="1"/>
  <c r="G175" i="4"/>
  <c r="L244" i="1" s="1"/>
  <c r="G176" i="4"/>
  <c r="L193" i="1" s="1"/>
  <c r="G177" i="4"/>
  <c r="L192" i="1" s="1"/>
  <c r="G178" i="4"/>
  <c r="L121" i="1" s="1"/>
  <c r="G179" i="4"/>
  <c r="L116" i="1" s="1"/>
  <c r="G180" i="4"/>
  <c r="L123" i="1" s="1"/>
  <c r="G181" i="4"/>
  <c r="G182" i="4"/>
  <c r="L195" i="1" s="1"/>
  <c r="G183" i="4"/>
  <c r="L118" i="1" s="1"/>
  <c r="G184" i="4"/>
  <c r="L125" i="1" s="1"/>
  <c r="G185" i="4"/>
  <c r="L120" i="1" s="1"/>
  <c r="G186" i="4"/>
  <c r="L122" i="1" s="1"/>
  <c r="G187" i="4"/>
  <c r="L127" i="1" s="1"/>
  <c r="G188" i="4"/>
  <c r="L196" i="1" s="1"/>
  <c r="G189" i="4"/>
  <c r="L245" i="1" s="1"/>
  <c r="G190" i="4"/>
  <c r="G191" i="4"/>
  <c r="L129" i="1" s="1"/>
  <c r="G192" i="4"/>
  <c r="L243" i="1" s="1"/>
  <c r="G193" i="4"/>
  <c r="L124" i="1" s="1"/>
  <c r="G194" i="4"/>
  <c r="L131" i="1" s="1"/>
  <c r="G195" i="4"/>
  <c r="L126" i="1" s="1"/>
  <c r="G196" i="4"/>
  <c r="L198" i="1" s="1"/>
  <c r="G197" i="4"/>
  <c r="L199" i="1" s="1"/>
  <c r="G198" i="4"/>
  <c r="L133" i="1" s="1"/>
  <c r="G199" i="4"/>
  <c r="L128" i="1" s="1"/>
  <c r="G200" i="4"/>
  <c r="L135" i="1" s="1"/>
  <c r="G201" i="4"/>
  <c r="L200" i="1" s="1"/>
  <c r="G202" i="4"/>
  <c r="L201" i="1" s="1"/>
  <c r="G203" i="4"/>
  <c r="L212" i="1" s="1"/>
  <c r="G204" i="4"/>
  <c r="L130" i="1" s="1"/>
  <c r="G205" i="4"/>
  <c r="L132" i="1" s="1"/>
  <c r="G206" i="4"/>
  <c r="L137" i="1" s="1"/>
  <c r="G207" i="4"/>
  <c r="L134" i="1" s="1"/>
  <c r="G208" i="4"/>
  <c r="L230" i="1" s="1"/>
  <c r="G209" i="4"/>
  <c r="L202" i="1" s="1"/>
  <c r="G210" i="4"/>
  <c r="L203" i="1" s="1"/>
  <c r="G211" i="4"/>
  <c r="L214" i="1" s="1"/>
  <c r="G212" i="4"/>
  <c r="L139" i="1" s="1"/>
  <c r="G213" i="4"/>
  <c r="L136" i="1" s="1"/>
  <c r="G214" i="4"/>
  <c r="G215" i="4"/>
  <c r="L216" i="1" s="1"/>
  <c r="G216" i="4"/>
  <c r="L141" i="1" s="1"/>
  <c r="G217" i="4"/>
  <c r="L138" i="1" s="1"/>
  <c r="G218" i="4"/>
  <c r="L205" i="1" s="1"/>
  <c r="G219" i="4"/>
  <c r="L143" i="1" s="1"/>
  <c r="G220" i="4"/>
  <c r="L140" i="1" s="1"/>
  <c r="G221" i="4"/>
  <c r="L204" i="1" s="1"/>
  <c r="G222" i="4"/>
  <c r="G223" i="4"/>
  <c r="L142" i="1" s="1"/>
  <c r="G2" i="4"/>
  <c r="N20" i="3" l="1"/>
  <c r="L82" i="1"/>
  <c r="N36" i="3"/>
  <c r="L239" i="1"/>
  <c r="L238" i="1"/>
  <c r="L31" i="1"/>
  <c r="L30" i="1"/>
  <c r="N30" i="3"/>
  <c r="L115" i="1"/>
  <c r="N22" i="3"/>
  <c r="L145" i="1"/>
  <c r="N35" i="3"/>
  <c r="L197" i="1"/>
  <c r="N33" i="3"/>
  <c r="L188" i="1"/>
  <c r="N14" i="3"/>
  <c r="L103" i="1"/>
  <c r="N25" i="3"/>
  <c r="L60" i="1"/>
  <c r="N16" i="3"/>
  <c r="L51" i="1"/>
  <c r="L55" i="1"/>
  <c r="L54" i="1"/>
  <c r="N10" i="3"/>
  <c r="L32" i="1"/>
  <c r="N26" i="3"/>
  <c r="L28" i="1"/>
  <c r="L233" i="1"/>
  <c r="L234" i="1"/>
  <c r="L232" i="1"/>
  <c r="N31" i="3"/>
  <c r="L194" i="1"/>
  <c r="N27" i="3"/>
  <c r="L33" i="1"/>
  <c r="N21" i="3"/>
  <c r="L95" i="1"/>
  <c r="L241" i="1"/>
  <c r="L240" i="1"/>
  <c r="N12" i="3"/>
  <c r="L61" i="1"/>
  <c r="N18" i="3"/>
  <c r="L23" i="1"/>
  <c r="L22" i="1"/>
  <c r="N9" i="3"/>
  <c r="L68" i="1"/>
  <c r="L47" i="1"/>
  <c r="L46" i="1"/>
  <c r="N24" i="3"/>
  <c r="L34" i="1"/>
  <c r="N32" i="3"/>
  <c r="L166" i="1"/>
  <c r="L226" i="1"/>
  <c r="L227" i="1"/>
  <c r="N29" i="3"/>
  <c r="N13" i="3"/>
  <c r="N15" i="3"/>
  <c r="N7" i="3"/>
  <c r="N8" i="3"/>
  <c r="N11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21" i="3" l="1"/>
  <c r="AF209" i="1"/>
  <c r="AF205" i="1"/>
  <c r="AF16" i="1"/>
  <c r="AF20" i="1"/>
  <c r="AF24" i="1"/>
  <c r="AF28" i="1"/>
  <c r="AF32" i="1"/>
  <c r="AF36" i="1"/>
  <c r="AF40" i="1"/>
  <c r="AF44" i="1"/>
  <c r="AF17" i="1"/>
  <c r="AF21" i="1"/>
  <c r="AF25" i="1"/>
  <c r="AF29" i="1"/>
  <c r="AF33" i="1"/>
  <c r="AF37" i="1"/>
  <c r="AF41" i="1"/>
  <c r="AF45" i="1"/>
  <c r="AF49" i="1"/>
  <c r="AF53" i="1"/>
  <c r="AF57" i="1"/>
  <c r="AF61" i="1"/>
  <c r="AF65" i="1"/>
  <c r="AF47" i="1"/>
  <c r="AF50" i="1"/>
  <c r="AF52" i="1"/>
  <c r="AF55" i="1"/>
  <c r="AF58" i="1"/>
  <c r="AF60" i="1"/>
  <c r="AF63" i="1"/>
  <c r="AF66" i="1"/>
  <c r="AF70" i="1"/>
  <c r="AF74" i="1"/>
  <c r="AF210" i="1"/>
  <c r="AF153" i="1"/>
  <c r="AF69" i="1"/>
  <c r="AF73" i="1"/>
  <c r="AF77" i="1"/>
  <c r="AF81" i="1"/>
  <c r="AF85" i="1"/>
  <c r="AF89" i="1"/>
  <c r="AF93" i="1"/>
  <c r="AF15" i="1"/>
  <c r="AF19" i="1"/>
  <c r="AF23" i="1"/>
  <c r="AF27" i="1"/>
  <c r="AF31" i="1"/>
  <c r="AF35" i="1"/>
  <c r="AF39" i="1"/>
  <c r="AF43" i="1"/>
  <c r="AF67" i="1"/>
  <c r="AF71" i="1"/>
  <c r="AF75" i="1"/>
  <c r="AF79" i="1"/>
  <c r="AF83" i="1"/>
  <c r="AF87" i="1"/>
  <c r="AF91" i="1"/>
  <c r="AF95" i="1"/>
  <c r="AF99" i="1"/>
  <c r="AF103" i="1"/>
  <c r="AF107" i="1"/>
  <c r="AF111" i="1"/>
  <c r="AF115" i="1"/>
  <c r="AF119" i="1"/>
  <c r="AF123" i="1"/>
  <c r="AF127" i="1"/>
  <c r="AF131" i="1"/>
  <c r="AF135" i="1"/>
  <c r="AF139" i="1"/>
  <c r="AF143" i="1"/>
  <c r="AF147" i="1"/>
  <c r="AF18" i="1"/>
  <c r="AF34" i="1"/>
  <c r="AF48" i="1"/>
  <c r="AF56" i="1"/>
  <c r="AF64" i="1"/>
  <c r="AF68" i="1"/>
  <c r="AF76" i="1"/>
  <c r="AF14" i="1"/>
  <c r="AF30" i="1"/>
  <c r="AF46" i="1"/>
  <c r="AF54" i="1"/>
  <c r="AF62" i="1"/>
  <c r="AF96" i="1"/>
  <c r="AF98" i="1"/>
  <c r="AF101" i="1"/>
  <c r="AF104" i="1"/>
  <c r="AF106" i="1"/>
  <c r="AF109" i="1"/>
  <c r="AF112" i="1"/>
  <c r="AF114" i="1"/>
  <c r="AF117" i="1"/>
  <c r="AF120" i="1"/>
  <c r="AF122" i="1"/>
  <c r="AF125" i="1"/>
  <c r="AF128" i="1"/>
  <c r="AF130" i="1"/>
  <c r="AF133" i="1"/>
  <c r="AF136" i="1"/>
  <c r="AF138" i="1"/>
  <c r="AF141" i="1"/>
  <c r="AF144" i="1"/>
  <c r="AF146" i="1"/>
  <c r="AF149" i="1"/>
  <c r="AF152" i="1"/>
  <c r="AF157" i="1"/>
  <c r="AF161" i="1"/>
  <c r="AF214" i="1"/>
  <c r="AF218" i="1"/>
  <c r="AF222" i="1"/>
  <c r="AF232" i="1"/>
  <c r="AF236" i="1"/>
  <c r="AF240" i="1"/>
  <c r="AF244" i="1"/>
  <c r="AF22" i="1"/>
  <c r="AF38" i="1"/>
  <c r="AF78" i="1"/>
  <c r="AF80" i="1"/>
  <c r="AF82" i="1"/>
  <c r="AF84" i="1"/>
  <c r="AF86" i="1"/>
  <c r="AF88" i="1"/>
  <c r="AF90" i="1"/>
  <c r="AF92" i="1"/>
  <c r="AF94" i="1"/>
  <c r="AF97" i="1"/>
  <c r="AF100" i="1"/>
  <c r="AF102" i="1"/>
  <c r="AF105" i="1"/>
  <c r="AF108" i="1"/>
  <c r="AF110" i="1"/>
  <c r="AF113" i="1"/>
  <c r="AF116" i="1"/>
  <c r="AF118" i="1"/>
  <c r="AF121" i="1"/>
  <c r="AF124" i="1"/>
  <c r="AF126" i="1"/>
  <c r="AF129" i="1"/>
  <c r="AF132" i="1"/>
  <c r="AF134" i="1"/>
  <c r="AF137" i="1"/>
  <c r="AF140" i="1"/>
  <c r="AF142" i="1"/>
  <c r="AF145" i="1"/>
  <c r="AF148" i="1"/>
  <c r="AF150" i="1"/>
  <c r="AF155" i="1"/>
  <c r="AF159" i="1"/>
  <c r="AF212" i="1"/>
  <c r="AF216" i="1"/>
  <c r="AF220" i="1"/>
  <c r="AF224" i="1"/>
  <c r="AF234" i="1"/>
  <c r="AF238" i="1"/>
  <c r="AF242" i="1"/>
  <c r="AF162" i="1"/>
  <c r="AF166" i="1"/>
  <c r="AF170" i="1"/>
  <c r="AF174" i="1"/>
  <c r="AF178" i="1"/>
  <c r="AF26" i="1"/>
  <c r="AF72" i="1"/>
  <c r="AF151" i="1"/>
  <c r="AF154" i="1"/>
  <c r="AF156" i="1"/>
  <c r="AF158" i="1"/>
  <c r="AF160" i="1"/>
  <c r="AF211" i="1"/>
  <c r="AF215" i="1"/>
  <c r="AF221" i="1"/>
  <c r="AF233" i="1"/>
  <c r="AF243" i="1"/>
  <c r="AF245" i="1"/>
  <c r="AF181" i="1"/>
  <c r="AF185" i="1"/>
  <c r="AF197" i="1"/>
  <c r="AF226" i="1"/>
  <c r="AF51" i="1"/>
  <c r="AF42" i="1"/>
  <c r="AF59" i="1"/>
  <c r="AF164" i="1"/>
  <c r="AF167" i="1"/>
  <c r="AF169" i="1"/>
  <c r="AF172" i="1"/>
  <c r="AF175" i="1"/>
  <c r="AF177" i="1"/>
  <c r="AF182" i="1"/>
  <c r="AF186" i="1"/>
  <c r="AF190" i="1"/>
  <c r="AF194" i="1"/>
  <c r="AF198" i="1"/>
  <c r="AF202" i="1"/>
  <c r="AF207" i="1"/>
  <c r="AF227" i="1"/>
  <c r="AF213" i="1"/>
  <c r="AF217" i="1"/>
  <c r="AF219" i="1"/>
  <c r="AF223" i="1"/>
  <c r="AF231" i="1"/>
  <c r="AF235" i="1"/>
  <c r="AF237" i="1"/>
  <c r="AF239" i="1"/>
  <c r="AF241" i="1"/>
  <c r="AF189" i="1"/>
  <c r="AF193" i="1"/>
  <c r="AF201" i="1"/>
  <c r="AF206" i="1"/>
  <c r="AF230" i="1"/>
  <c r="AF163" i="1"/>
  <c r="AF168" i="1"/>
  <c r="AF173" i="1"/>
  <c r="AF179" i="1"/>
  <c r="AF183" i="1"/>
  <c r="AF187" i="1"/>
  <c r="AF191" i="1"/>
  <c r="AF195" i="1"/>
  <c r="AF199" i="1"/>
  <c r="AF203" i="1"/>
  <c r="AF228" i="1"/>
  <c r="AF184" i="1"/>
  <c r="AF192" i="1"/>
  <c r="AF200" i="1"/>
  <c r="AF225" i="1"/>
  <c r="AF229" i="1"/>
  <c r="AF208" i="1"/>
  <c r="AF180" i="1"/>
  <c r="AF188" i="1"/>
  <c r="AF196" i="1"/>
  <c r="AF204" i="1"/>
  <c r="AF165" i="1"/>
  <c r="AF171" i="1"/>
  <c r="AF176" i="1"/>
  <c r="T11" i="3"/>
  <c r="T19" i="3"/>
  <c r="T34" i="3"/>
  <c r="T10" i="3"/>
  <c r="T25" i="3"/>
  <c r="T23" i="3"/>
  <c r="T27" i="3"/>
  <c r="T20" i="3"/>
  <c r="T8" i="3"/>
  <c r="T13" i="3"/>
  <c r="T12" i="3"/>
  <c r="T15" i="3"/>
  <c r="T31" i="3"/>
  <c r="T17" i="3"/>
  <c r="T9" i="3"/>
  <c r="T16" i="3"/>
  <c r="T30" i="3"/>
  <c r="T7" i="3"/>
  <c r="T18" i="3"/>
  <c r="T36" i="3"/>
  <c r="T26" i="3"/>
  <c r="T14" i="3"/>
  <c r="T32" i="3"/>
  <c r="T33" i="3"/>
  <c r="T35" i="3"/>
  <c r="T28" i="3"/>
  <c r="T24" i="3"/>
  <c r="T29" i="3"/>
  <c r="T22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<sst xmlns="http://schemas.openxmlformats.org/spreadsheetml/2006/main" count="2732" uniqueCount="1025">
  <si>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</si>
  <si>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</si>
  <si>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</si>
  <si>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</si>
  <si>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</si>
  <si>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</si>
  <si>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</si>
  <si>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</si>
  <si>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</si>
  <si>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</si>
  <si>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</si>
  <si>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</si>
  <si>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</si>
  <si>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</si>
  <si>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</si>
  <si>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</si>
  <si>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</si>
  <si>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</si>
  <si>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</si>
  <si>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</si>
  <si>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</si>
  <si>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</si>
  <si>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</si>
  <si>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</si>
  <si>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</si>
  <si>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</si>
  <si>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</si>
  <si>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</si>
  <si>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</si>
  <si>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</si>
  <si>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</si>
  <si>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</si>
  <si>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</si>
  <si>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</si>
  <si>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</si>
  <si>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</si>
  <si>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</si>
  <si>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</si>
  <si>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</si>
  <si>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</si>
  <si>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</si>
  <si>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</si>
  <si>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</si>
  <si>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</si>
  <si>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</si>
  <si>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</si>
  <si>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</si>
  <si>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</si>
  <si>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</si>
  <si>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</si>
  <si>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</si>
  <si>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</si>
  <si>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</si>
  <si>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</si>
  <si>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</si>
  <si>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</si>
  <si>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</si>
  <si>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</si>
  <si>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</si>
  <si>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</si>
  <si>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</si>
  <si>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</si>
  <si>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</si>
  <si>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</si>
  <si>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</si>
  <si>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</si>
  <si>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</si>
  <si>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</si>
  <si>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</si>
  <si>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</si>
  <si>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</si>
  <si>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</si>
  <si>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</si>
  <si>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</si>
  <si>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</si>
  <si>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</si>
  <si>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</si>
  <si>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</si>
  <si>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</si>
  <si>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</si>
  <si>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</si>
  <si>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</si>
  <si>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</si>
  <si>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</si>
  <si>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</si>
  <si>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</si>
  <si>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</si>
  <si>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</si>
  <si>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</si>
  <si>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</si>
  <si>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</si>
  <si>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</si>
  <si>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</si>
  <si>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</si>
  <si>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</si>
  <si>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</si>
  <si>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</si>
  <si>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</si>
  <si>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</si>
  <si>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</si>
  <si>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</si>
  <si>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</si>
  <si>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</si>
  <si>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</si>
  <si>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</si>
  <si>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</si>
  <si>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</si>
  <si>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</si>
  <si>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</si>
  <si>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</si>
  <si>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</si>
  <si>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</si>
  <si>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</si>
  <si>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</si>
  <si>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</si>
  <si>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</si>
  <si>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</si>
  <si>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</si>
  <si>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</si>
  <si>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</si>
  <si>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</si>
  <si>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</si>
  <si>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</si>
  <si>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</si>
  <si>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</si>
  <si>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</si>
  <si>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</si>
  <si>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</si>
  <si>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</si>
  <si>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</si>
  <si>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</si>
  <si>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</si>
  <si>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</si>
  <si>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</si>
  <si>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</si>
  <si>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</si>
  <si>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</si>
  <si>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</si>
  <si>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</si>
  <si>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</si>
  <si>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</si>
  <si>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</si>
  <si>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</si>
  <si>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</si>
  <si>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</si>
  <si>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</si>
  <si>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</si>
  <si>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</si>
  <si>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</si>
  <si>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</si>
  <si>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</si>
  <si>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</si>
  <si>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</si>
  <si>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</si>
  <si>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</si>
  <si>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</si>
  <si>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</si>
  <si>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</si>
  <si>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</si>
  <si>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</si>
  <si>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</si>
  <si>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</si>
  <si>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</si>
  <si>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</si>
  <si>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</si>
  <si>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</si>
  <si>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</si>
  <si>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</si>
  <si>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</si>
  <si>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</si>
  <si>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</si>
  <si>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</si>
  <si>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</si>
  <si>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</si>
  <si>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</si>
  <si>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</si>
  <si>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</si>
  <si>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</si>
  <si>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</si>
  <si>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</si>
  <si>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</si>
  <si>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</si>
  <si>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</si>
  <si>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</si>
  <si>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</si>
  <si>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</si>
  <si>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</si>
  <si>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</si>
  <si>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</si>
  <si>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</si>
  <si>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</si>
  <si>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</si>
  <si>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</si>
  <si>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</si>
  <si>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</si>
  <si>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</si>
  <si>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</si>
  <si>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</si>
  <si>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</si>
  <si>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</si>
  <si>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</si>
  <si>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</si>
  <si>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</si>
  <si>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</si>
  <si>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</si>
  <si>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</si>
  <si>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</si>
  <si>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</si>
  <si>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</si>
  <si>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</si>
  <si>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</si>
  <si>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</si>
  <si>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</si>
  <si>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</si>
  <si>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</si>
  <si>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</si>
  <si>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</si>
  <si>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</si>
  <si>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</si>
  <si>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</si>
  <si>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</si>
  <si>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</si>
  <si>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</si>
  <si>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</si>
  <si>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</si>
  <si>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</si>
  <si>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</si>
  <si>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</si>
  <si>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</si>
  <si>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</si>
  <si>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</si>
  <si>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</si>
  <si>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</si>
  <si>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</si>
  <si>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</si>
  <si>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</si>
  <si>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</si>
  <si>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</si>
  <si>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</si>
  <si>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</si>
  <si>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</si>
  <si>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</si>
  <si>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</si>
  <si>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</si>
  <si>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</si>
  <si>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</si>
  <si>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</si>
  <si>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</si>
  <si>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</si>
  <si>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</si>
  <si>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</si>
  <si>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</si>
  <si>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</si>
  <si>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</si>
  <si>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</si>
  <si>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</si>
  <si>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</si>
  <si>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</si>
  <si>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</si>
  <si>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</si>
  <si>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</si>
  <si>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</si>
  <si>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</si>
  <si>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</si>
  <si>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</si>
  <si>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</si>
  <si>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</si>
  <si>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</si>
  <si>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</si>
  <si>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</si>
  <si>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</si>
  <si>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</si>
  <si>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</si>
  <si>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</si>
  <si>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</si>
  <si>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</si>
  <si>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</si>
  <si>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</si>
  <si>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</si>
  <si>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</si>
  <si>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</si>
  <si>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</si>
  <si>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</si>
  <si>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</si>
  <si>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</si>
  <si>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</si>
  <si>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</si>
  <si>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</si>
  <si>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</si>
  <si>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</si>
  <si>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</si>
  <si>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</si>
  <si>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</si>
  <si>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</si>
  <si>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</si>
  <si>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</si>
  <si>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</si>
  <si>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</si>
  <si>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</si>
  <si>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</si>
  <si>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</si>
  <si>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</si>
  <si>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</si>
  <si>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</si>
  <si>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</si>
  <si>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</si>
  <si>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</si>
  <si>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</si>
  <si>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</si>
  <si>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</si>
  <si>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</si>
  <si>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</si>
  <si>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</si>
  <si>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</si>
  <si>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</si>
  <si>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</si>
  <si>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</si>
  <si>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</si>
  <si>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</si>
  <si>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</si>
  <si>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</si>
  <si>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</si>
  <si>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</si>
  <si>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</si>
  <si>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</si>
  <si>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</si>
  <si>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</si>
  <si>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</si>
  <si>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</si>
  <si>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</si>
  <si>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</si>
  <si>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</si>
  <si>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</si>
  <si>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</si>
  <si>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</si>
  <si>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</si>
  <si>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</si>
  <si>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</si>
  <si>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</si>
  <si>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</si>
  <si>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</si>
  <si>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</si>
  <si>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</si>
  <si>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</si>
  <si>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</si>
  <si>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</si>
  <si>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</si>
  <si>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</si>
  <si>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</si>
  <si>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</si>
  <si>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</si>
  <si>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</si>
  <si>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</si>
  <si>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</si>
  <si>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</si>
  <si>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</si>
  <si>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</si>
  <si>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</si>
  <si>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</si>
  <si>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</si>
  <si>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</si>
  <si>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</si>
  <si>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</si>
  <si>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</si>
  <si>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</si>
  <si>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</si>
  <si>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</si>
  <si>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</si>
  <si>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</si>
  <si>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</si>
  <si>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</si>
  <si>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</si>
  <si>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</si>
  <si>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</si>
  <si>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</si>
  <si>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</si>
  <si>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</si>
  <si>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</si>
  <si>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</si>
  <si>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</si>
  <si>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</si>
  <si>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</si>
  <si>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</si>
  <si>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</si>
  <si>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</si>
  <si>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</si>
  <si>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</si>
  <si>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</si>
  <si>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</si>
  <si>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</si>
  <si>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</si>
  <si>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</si>
  <si>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rtdc.l.rtdc.4043:itc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</si>
  <si>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</si>
  <si>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</si>
  <si>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</si>
  <si>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</si>
  <si>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</si>
  <si>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</si>
  <si>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</si>
  <si>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rtdc.l.rtdc.4005:itc</t>
  </si>
  <si>
    <t>204:457</t>
  </si>
  <si>
    <t>Sat - Sun = 36 Trips</t>
  </si>
  <si>
    <t>"Summary View"</t>
  </si>
  <si>
    <t>rtdc.l.rtdc.4039:itc</t>
  </si>
  <si>
    <t>rtdc.l.rtdc.4010:itc</t>
  </si>
  <si>
    <t>rtdc.l.rtdc.4040:itc</t>
  </si>
  <si>
    <t>rtdc.l.rtdc.4044:itc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</si>
  <si>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</si>
  <si>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</si>
  <si>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</si>
  <si>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</si>
  <si>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</si>
  <si>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</si>
  <si>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</si>
  <si>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</si>
  <si>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</si>
  <si>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</si>
  <si>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</si>
  <si>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</si>
  <si>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</si>
  <si>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</si>
  <si>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</si>
  <si>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</si>
  <si>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rtdc.l.rtdc.4052:itc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</si>
  <si>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</si>
  <si>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</si>
  <si>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</si>
  <si>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</si>
  <si>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</si>
  <si>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</si>
  <si>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</si>
  <si>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</si>
  <si>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204:233309</t>
  </si>
  <si>
    <t>204:233000</t>
  </si>
  <si>
    <t>rtdc.l.rtdc.4050:itc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</si>
  <si>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</si>
  <si>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</si>
  <si>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</si>
  <si>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</si>
  <si>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</si>
  <si>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</si>
  <si>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</si>
  <si>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204:477</t>
  </si>
  <si>
    <t>204:444</t>
  </si>
  <si>
    <t>204:233291</t>
  </si>
  <si>
    <t>204:129</t>
  </si>
  <si>
    <t>ROBINSON</t>
  </si>
  <si>
    <t>KADDIBA</t>
  </si>
  <si>
    <t>Partly Cloudy</t>
  </si>
  <si>
    <t>204:233297</t>
  </si>
  <si>
    <t>204:438</t>
  </si>
  <si>
    <t>204:233311</t>
  </si>
  <si>
    <t>204:467</t>
  </si>
  <si>
    <t>204:232994</t>
  </si>
  <si>
    <t>rtdc.l.rtdc.4053:itc</t>
  </si>
  <si>
    <t>204:232991</t>
  </si>
  <si>
    <t>204:473</t>
  </si>
  <si>
    <t>204:233300</t>
  </si>
  <si>
    <t>204:233334</t>
  </si>
  <si>
    <t>204:449</t>
  </si>
  <si>
    <t>204:684</t>
  </si>
  <si>
    <t>rtdc.l.rtdc.4016:itc</t>
  </si>
  <si>
    <t>rtdc.l.rtdc.4062:itc</t>
  </si>
  <si>
    <t>rtdc.l.rtdc.4061:itc</t>
  </si>
  <si>
    <t>rtdc.l.rtdc.4059:itc</t>
  </si>
  <si>
    <t>311-28</t>
  </si>
  <si>
    <t>rtdc.l.rtdc.4055:itc</t>
  </si>
  <si>
    <t>rtdc.l.rtdc.4056:itc</t>
  </si>
  <si>
    <t>rtdc.l.rtdc.4060:itc</t>
  </si>
  <si>
    <t>WILLIAMS</t>
  </si>
  <si>
    <t>DONTE</t>
  </si>
  <si>
    <t>DAVID</t>
  </si>
  <si>
    <t>300-29</t>
  </si>
  <si>
    <t>204:233319</t>
  </si>
  <si>
    <t>204:233009</t>
  </si>
  <si>
    <t>204:233278</t>
  </si>
  <si>
    <t>204:233002</t>
  </si>
  <si>
    <t>204:480</t>
  </si>
  <si>
    <t>204:469</t>
  </si>
  <si>
    <t>204:167</t>
  </si>
  <si>
    <t>204:232979</t>
  </si>
  <si>
    <t>204:233015</t>
  </si>
  <si>
    <t>204:233019</t>
  </si>
  <si>
    <t>204:232992</t>
  </si>
  <si>
    <t>Wi-MAX data drop</t>
  </si>
  <si>
    <t>rtdc.l.rtdc.4041:itc</t>
  </si>
  <si>
    <t>RESPASS</t>
  </si>
  <si>
    <t>AARON</t>
  </si>
  <si>
    <t>MACDONALD</t>
  </si>
  <si>
    <t>THOMAS</t>
  </si>
  <si>
    <t>LAMAR</t>
  </si>
  <si>
    <t>NEKESHA</t>
  </si>
  <si>
    <t>MICHAEL</t>
  </si>
  <si>
    <t>SAFIEF</t>
  </si>
  <si>
    <t>AEIMEN</t>
  </si>
  <si>
    <t>GUZMAN</t>
  </si>
  <si>
    <t>DANNY</t>
  </si>
  <si>
    <t>GUNTHIER</t>
  </si>
  <si>
    <t>ERIC</t>
  </si>
  <si>
    <t>SMITH</t>
  </si>
  <si>
    <t>BARRON</t>
  </si>
  <si>
    <t>PERLA</t>
  </si>
  <si>
    <t>rtdc.l.rtdc.4008:itc</t>
  </si>
  <si>
    <t>204:233298</t>
  </si>
  <si>
    <t>204:475</t>
  </si>
  <si>
    <t>204:165</t>
  </si>
  <si>
    <t>204:233289</t>
  </si>
  <si>
    <t>204:232989</t>
  </si>
  <si>
    <t>204:232984</t>
  </si>
  <si>
    <t>204:233308</t>
  </si>
  <si>
    <t>204:232993</t>
  </si>
  <si>
    <t>204:130</t>
  </si>
  <si>
    <t>204:233302</t>
  </si>
  <si>
    <t>204:233315</t>
  </si>
  <si>
    <t>204:685</t>
  </si>
  <si>
    <t>204:974</t>
  </si>
  <si>
    <t>204:233010</t>
  </si>
  <si>
    <t>204:233340</t>
  </si>
  <si>
    <t>204:160</t>
  </si>
  <si>
    <t>242-02</t>
  </si>
  <si>
    <t>rtdc.l.rtdc.4019:itc</t>
  </si>
  <si>
    <t>THOMPSON</t>
  </si>
  <si>
    <t>LESTER</t>
  </si>
  <si>
    <t>rtdc.l.rtdc.4020:itc</t>
  </si>
  <si>
    <t>SPECTOR</t>
  </si>
  <si>
    <t>BONDS</t>
  </si>
  <si>
    <t>REYNALDO</t>
  </si>
  <si>
    <t>LALONDE</t>
  </si>
  <si>
    <t>GREGORY</t>
  </si>
  <si>
    <t>YANG</t>
  </si>
  <si>
    <t>JAN</t>
  </si>
  <si>
    <t>rtdc.l.rtdc.4002:itc</t>
  </si>
  <si>
    <t>YANAI</t>
  </si>
  <si>
    <t>IAN</t>
  </si>
  <si>
    <t>BIRENBAUM</t>
  </si>
  <si>
    <t>DAVIDSON</t>
  </si>
  <si>
    <t>LEVERE</t>
  </si>
  <si>
    <t>CRAIG</t>
  </si>
  <si>
    <t>LEVIN</t>
  </si>
  <si>
    <t>SCOTT</t>
  </si>
  <si>
    <t>SWANSON</t>
  </si>
  <si>
    <t>BRYCE</t>
  </si>
  <si>
    <t>307-02</t>
  </si>
  <si>
    <t>244-02</t>
  </si>
  <si>
    <t>309-02</t>
  </si>
  <si>
    <t>311-02</t>
  </si>
  <si>
    <t>300-03</t>
  </si>
  <si>
    <t>cloudy</t>
  </si>
  <si>
    <t>Overcast</t>
  </si>
  <si>
    <t>204:232978</t>
  </si>
  <si>
    <t>204:233295</t>
  </si>
  <si>
    <t>204:233325</t>
  </si>
  <si>
    <t>204:233276</t>
  </si>
  <si>
    <t>204:233287</t>
  </si>
  <si>
    <t>204:233282</t>
  </si>
  <si>
    <t>204:233337</t>
  </si>
  <si>
    <t>204:437</t>
  </si>
  <si>
    <t>204:233347</t>
  </si>
  <si>
    <t>204:233336</t>
  </si>
  <si>
    <t>204:233285</t>
  </si>
  <si>
    <t>204:233303</t>
  </si>
  <si>
    <t>204:136</t>
  </si>
  <si>
    <t>204:232980</t>
  </si>
  <si>
    <t>204:478</t>
  </si>
  <si>
    <t>204:233310</t>
  </si>
  <si>
    <t>204:233317</t>
  </si>
  <si>
    <t>204:170</t>
  </si>
  <si>
    <t>204:233001</t>
  </si>
  <si>
    <t>204:233008</t>
  </si>
  <si>
    <t>204:233028</t>
  </si>
  <si>
    <t>204:232985</t>
  </si>
  <si>
    <t>204:233331</t>
  </si>
  <si>
    <t>300:23304</t>
  </si>
  <si>
    <t>204:1154</t>
  </si>
  <si>
    <t>300:23297</t>
  </si>
  <si>
    <t>204:971</t>
  </si>
  <si>
    <t>300:58613</t>
  </si>
  <si>
    <t>204:986</t>
  </si>
  <si>
    <t>204:705</t>
  </si>
  <si>
    <t>204:983</t>
  </si>
  <si>
    <t>300:58619</t>
  </si>
  <si>
    <t>204:694</t>
  </si>
  <si>
    <t>300:58929</t>
  </si>
  <si>
    <t>204:958</t>
  </si>
  <si>
    <t>204:671</t>
  </si>
  <si>
    <t>204:953</t>
  </si>
  <si>
    <t>300:58623</t>
  </si>
  <si>
    <t>204:680</t>
  </si>
  <si>
    <t>300:58950</t>
  </si>
  <si>
    <t>300:58933</t>
  </si>
  <si>
    <t>300:58640</t>
  </si>
  <si>
    <t>204:677</t>
  </si>
  <si>
    <t>110-03</t>
  </si>
  <si>
    <t>rtdc.l.rtdc.4012:itc</t>
  </si>
  <si>
    <t>117-03</t>
  </si>
  <si>
    <t>115-03</t>
  </si>
  <si>
    <t>rtdc.l.rtdc.4032:itc</t>
  </si>
  <si>
    <t>119-03</t>
  </si>
  <si>
    <t>rtdc.l.rtdc.4007:itc</t>
  </si>
  <si>
    <t>804-03</t>
  </si>
  <si>
    <t>rtdc.l.rtdc.4011:itc</t>
  </si>
  <si>
    <t>118-03</t>
  </si>
  <si>
    <t>rtdc.l.rtdc.4031:itc</t>
  </si>
  <si>
    <t>120-03</t>
  </si>
  <si>
    <t>TEMPORARY SPEED RESTRICTION</t>
  </si>
  <si>
    <t>133-03</t>
  </si>
  <si>
    <t>139-03</t>
  </si>
  <si>
    <t>136-03</t>
  </si>
  <si>
    <t>145-03</t>
  </si>
  <si>
    <t>144-03</t>
  </si>
  <si>
    <t>148-03</t>
  </si>
  <si>
    <t>152-03</t>
  </si>
  <si>
    <t>57-03</t>
  </si>
  <si>
    <t>166-03</t>
  </si>
  <si>
    <t>179-03</t>
  </si>
  <si>
    <t>187-03</t>
  </si>
  <si>
    <t>826-03</t>
  </si>
  <si>
    <t>199-03</t>
  </si>
  <si>
    <t>832-03</t>
  </si>
  <si>
    <t>835-03</t>
  </si>
  <si>
    <t>233-03</t>
  </si>
  <si>
    <t>846-03</t>
  </si>
  <si>
    <t>241-03</t>
  </si>
  <si>
    <t>242-03</t>
  </si>
  <si>
    <t>51-03</t>
  </si>
  <si>
    <t>101-03</t>
  </si>
  <si>
    <t>50-03</t>
  </si>
  <si>
    <t>302-03</t>
  </si>
  <si>
    <t>103-03</t>
  </si>
  <si>
    <t>rtdc.l.rtdc.4049:itc</t>
  </si>
  <si>
    <t>102-03</t>
  </si>
  <si>
    <t>304-03</t>
  </si>
  <si>
    <t>306-03</t>
  </si>
  <si>
    <t>105-03</t>
  </si>
  <si>
    <t>308-03</t>
  </si>
  <si>
    <t>107-03</t>
  </si>
  <si>
    <t>104-03</t>
  </si>
  <si>
    <t>109-03</t>
  </si>
  <si>
    <t>310-03</t>
  </si>
  <si>
    <t>901-03</t>
  </si>
  <si>
    <t>111-03</t>
  </si>
  <si>
    <t>113-03</t>
  </si>
  <si>
    <t>800-03</t>
  </si>
  <si>
    <t>106-03</t>
  </si>
  <si>
    <t>108-03</t>
  </si>
  <si>
    <t>312-03</t>
  </si>
  <si>
    <t>801-03</t>
  </si>
  <si>
    <t>LANGERAK</t>
  </si>
  <si>
    <t>WILLIAM</t>
  </si>
  <si>
    <t>112-03</t>
  </si>
  <si>
    <t>rtdc.l.rtdc.4035:itc</t>
  </si>
  <si>
    <t>902-03</t>
  </si>
  <si>
    <t>FORTUNATO</t>
  </si>
  <si>
    <t>FRANK</t>
  </si>
  <si>
    <t>114-03</t>
  </si>
  <si>
    <t>802-03</t>
  </si>
  <si>
    <t>121-03</t>
  </si>
  <si>
    <t>ROMERO</t>
  </si>
  <si>
    <t>CHAD</t>
  </si>
  <si>
    <t>803-03</t>
  </si>
  <si>
    <t>116-03</t>
  </si>
  <si>
    <t>123-03</t>
  </si>
  <si>
    <t>805-03</t>
  </si>
  <si>
    <t>125-03</t>
  </si>
  <si>
    <t>127-03</t>
  </si>
  <si>
    <t>122-03</t>
  </si>
  <si>
    <t>806-03</t>
  </si>
  <si>
    <t>807-03</t>
  </si>
  <si>
    <t>129-03</t>
  </si>
  <si>
    <t>124-03</t>
  </si>
  <si>
    <t>808-03</t>
  </si>
  <si>
    <t>131-03</t>
  </si>
  <si>
    <t>809-03</t>
  </si>
  <si>
    <t>126-03</t>
  </si>
  <si>
    <t>128-03</t>
  </si>
  <si>
    <t>135-03</t>
  </si>
  <si>
    <t>810-03</t>
  </si>
  <si>
    <t>811-03</t>
  </si>
  <si>
    <t>130-03</t>
  </si>
  <si>
    <t>137-03</t>
  </si>
  <si>
    <t>132-03</t>
  </si>
  <si>
    <t>812-03</t>
  </si>
  <si>
    <t>903-03</t>
  </si>
  <si>
    <t>134-03</t>
  </si>
  <si>
    <t>141-03</t>
  </si>
  <si>
    <t>813-03</t>
  </si>
  <si>
    <t>143-03</t>
  </si>
  <si>
    <t>138-03</t>
  </si>
  <si>
    <t>140-03</t>
  </si>
  <si>
    <t>142-03</t>
  </si>
  <si>
    <t>814-03</t>
  </si>
  <si>
    <t>147-03</t>
  </si>
  <si>
    <t>149-03</t>
  </si>
  <si>
    <t>815-03</t>
  </si>
  <si>
    <t>151-03</t>
  </si>
  <si>
    <t>146-03</t>
  </si>
  <si>
    <t>153-03</t>
  </si>
  <si>
    <t>150-03</t>
  </si>
  <si>
    <t>816-03</t>
  </si>
  <si>
    <t>155-03</t>
  </si>
  <si>
    <t>157-03</t>
  </si>
  <si>
    <t>52-03</t>
  </si>
  <si>
    <t>MOSES</t>
  </si>
  <si>
    <t>BRADLEY</t>
  </si>
  <si>
    <t>159-03</t>
  </si>
  <si>
    <t>817-03</t>
  </si>
  <si>
    <t>154-03</t>
  </si>
  <si>
    <t>156-03</t>
  </si>
  <si>
    <t>161-03</t>
  </si>
  <si>
    <t>BRUDER</t>
  </si>
  <si>
    <t>RICHARD</t>
  </si>
  <si>
    <t>163-03</t>
  </si>
  <si>
    <t>818-03</t>
  </si>
  <si>
    <t>rtdc.l.rtdc.4036:itc</t>
  </si>
  <si>
    <t>53-03</t>
  </si>
  <si>
    <t>165-03</t>
  </si>
  <si>
    <t>158-03</t>
  </si>
  <si>
    <t>54-03</t>
  </si>
  <si>
    <t>NEWELL</t>
  </si>
  <si>
    <t>167-03</t>
  </si>
  <si>
    <t>160-03</t>
  </si>
  <si>
    <t>819-03</t>
  </si>
  <si>
    <t>162-03</t>
  </si>
  <si>
    <t>164-03</t>
  </si>
  <si>
    <t>169-03</t>
  </si>
  <si>
    <t>59-03</t>
  </si>
  <si>
    <t>DE LA ROSA</t>
  </si>
  <si>
    <t>ALEX</t>
  </si>
  <si>
    <t>820-03</t>
  </si>
  <si>
    <t>171-03</t>
  </si>
  <si>
    <t>173-03</t>
  </si>
  <si>
    <t>168-03</t>
  </si>
  <si>
    <t>175-03</t>
  </si>
  <si>
    <t>821-03</t>
  </si>
  <si>
    <t>170-03</t>
  </si>
  <si>
    <t>177-03</t>
  </si>
  <si>
    <t>172-03</t>
  </si>
  <si>
    <t>822-03</t>
  </si>
  <si>
    <t>174-03</t>
  </si>
  <si>
    <t>181-03</t>
  </si>
  <si>
    <t>176-03</t>
  </si>
  <si>
    <t>178-03</t>
  </si>
  <si>
    <t>183-03</t>
  </si>
  <si>
    <t>823-03</t>
  </si>
  <si>
    <t>185-03</t>
  </si>
  <si>
    <t>180-03</t>
  </si>
  <si>
    <t>824-03</t>
  </si>
  <si>
    <t>182-03</t>
  </si>
  <si>
    <t>189-03</t>
  </si>
  <si>
    <t>184-03</t>
  </si>
  <si>
    <t>191-03</t>
  </si>
  <si>
    <t>825-03</t>
  </si>
  <si>
    <t>193-03</t>
  </si>
  <si>
    <t>186-03</t>
  </si>
  <si>
    <t>904-03</t>
  </si>
  <si>
    <t>188-03</t>
  </si>
  <si>
    <t>195-03</t>
  </si>
  <si>
    <t>827-03</t>
  </si>
  <si>
    <t>197-03</t>
  </si>
  <si>
    <t>190-03</t>
  </si>
  <si>
    <t>192-03</t>
  </si>
  <si>
    <t>194-03</t>
  </si>
  <si>
    <t>829-03</t>
  </si>
  <si>
    <t>NELSON</t>
  </si>
  <si>
    <t>ARIANE</t>
  </si>
  <si>
    <t>201-03</t>
  </si>
  <si>
    <t>828-03</t>
  </si>
  <si>
    <t>196-03</t>
  </si>
  <si>
    <t>203-03</t>
  </si>
  <si>
    <t>198-03</t>
  </si>
  <si>
    <t>75-03</t>
  </si>
  <si>
    <t>831-03</t>
  </si>
  <si>
    <t>830-03</t>
  </si>
  <si>
    <t>205-03</t>
  </si>
  <si>
    <t>200-03</t>
  </si>
  <si>
    <t>207-03</t>
  </si>
  <si>
    <t>833-03</t>
  </si>
  <si>
    <t>202-03</t>
  </si>
  <si>
    <t>209-03</t>
  </si>
  <si>
    <t>BIRKHOLZ</t>
  </si>
  <si>
    <t>NADINE</t>
  </si>
  <si>
    <t>204-03</t>
  </si>
  <si>
    <t>206-03</t>
  </si>
  <si>
    <t>211-03</t>
  </si>
  <si>
    <t>834-03</t>
  </si>
  <si>
    <t>77-03</t>
  </si>
  <si>
    <t>213-03</t>
  </si>
  <si>
    <t>74-03</t>
  </si>
  <si>
    <t>208-03</t>
  </si>
  <si>
    <t>215-03</t>
  </si>
  <si>
    <t>210-03</t>
  </si>
  <si>
    <t>836-03</t>
  </si>
  <si>
    <t>837-03</t>
  </si>
  <si>
    <t>ZEWDU</t>
  </si>
  <si>
    <t>DEREJE</t>
  </si>
  <si>
    <t>217-03</t>
  </si>
  <si>
    <t>212-03</t>
  </si>
  <si>
    <t>219-03</t>
  </si>
  <si>
    <t>838-03</t>
  </si>
  <si>
    <t>839-03</t>
  </si>
  <si>
    <t>301-03</t>
  </si>
  <si>
    <t>214-03</t>
  </si>
  <si>
    <t>216-03</t>
  </si>
  <si>
    <t>221-03</t>
  </si>
  <si>
    <t>218-03</t>
  </si>
  <si>
    <t>906-03</t>
  </si>
  <si>
    <t>840-03</t>
  </si>
  <si>
    <t>841-03</t>
  </si>
  <si>
    <t>303-03</t>
  </si>
  <si>
    <t>223-03</t>
  </si>
  <si>
    <t>220-03</t>
  </si>
  <si>
    <t>305-03</t>
  </si>
  <si>
    <t>225-03</t>
  </si>
  <si>
    <t>222-03</t>
  </si>
  <si>
    <t>843-03</t>
  </si>
  <si>
    <t>227-03</t>
  </si>
  <si>
    <t>224-03</t>
  </si>
  <si>
    <t>842-03</t>
  </si>
  <si>
    <t>229-03</t>
  </si>
  <si>
    <t>226-03</t>
  </si>
  <si>
    <t>845-03</t>
  </si>
  <si>
    <t>228-03</t>
  </si>
  <si>
    <t>71-03</t>
  </si>
  <si>
    <t>844-03</t>
  </si>
  <si>
    <t>231-03</t>
  </si>
  <si>
    <t>230-03</t>
  </si>
  <si>
    <t>847-03</t>
  </si>
  <si>
    <t>232-03</t>
  </si>
  <si>
    <t>235-03</t>
  </si>
  <si>
    <t>234-03</t>
  </si>
  <si>
    <t>237-03</t>
  </si>
  <si>
    <t>849-03</t>
  </si>
  <si>
    <t>239-03</t>
  </si>
  <si>
    <t>908-03</t>
  </si>
  <si>
    <t>236-03</t>
  </si>
  <si>
    <t>238-03</t>
  </si>
  <si>
    <t>240-03</t>
  </si>
  <si>
    <t>243-03</t>
  </si>
  <si>
    <t>313-03</t>
  </si>
  <si>
    <t>307-03</t>
  </si>
  <si>
    <t>244-03</t>
  </si>
  <si>
    <t>309-03</t>
  </si>
  <si>
    <t>311-03</t>
  </si>
  <si>
    <t>clear-night</t>
  </si>
  <si>
    <t>Clear</t>
  </si>
  <si>
    <t>204:754</t>
  </si>
  <si>
    <t>204:232959</t>
  </si>
  <si>
    <t>204:233324</t>
  </si>
  <si>
    <t>204:233023</t>
  </si>
  <si>
    <t>204:119348</t>
  </si>
  <si>
    <t>204:36793</t>
  </si>
  <si>
    <t>204:233299</t>
  </si>
  <si>
    <t>204:64022</t>
  </si>
  <si>
    <t>204:86374</t>
  </si>
  <si>
    <t>204:233224</t>
  </si>
  <si>
    <t>204:232909</t>
  </si>
  <si>
    <t>204:233357</t>
  </si>
  <si>
    <t>204:233026</t>
  </si>
  <si>
    <t>204:232962</t>
  </si>
  <si>
    <t>204:232961</t>
  </si>
  <si>
    <t>204:232976</t>
  </si>
  <si>
    <t>204:416</t>
  </si>
  <si>
    <t>204:233318</t>
  </si>
  <si>
    <t>204:232983</t>
  </si>
  <si>
    <t>204:127861</t>
  </si>
  <si>
    <t>204:233351</t>
  </si>
  <si>
    <t>204:233030</t>
  </si>
  <si>
    <t>204:1496</t>
  </si>
  <si>
    <t>204:1934</t>
  </si>
  <si>
    <t>204:19133</t>
  </si>
  <si>
    <t>204:898</t>
  </si>
  <si>
    <t>204:427</t>
  </si>
  <si>
    <t>204:233330</t>
  </si>
  <si>
    <t>204:233007</t>
  </si>
  <si>
    <t>204:1473</t>
  </si>
  <si>
    <t>204:233339</t>
  </si>
  <si>
    <t>204:233286</t>
  </si>
  <si>
    <t>204:232990</t>
  </si>
  <si>
    <t>204:172</t>
  </si>
  <si>
    <t>204:233322</t>
  </si>
  <si>
    <t>204:233021</t>
  </si>
  <si>
    <t>204:233431</t>
  </si>
  <si>
    <t>204:233027</t>
  </si>
  <si>
    <t>204:127</t>
  </si>
  <si>
    <t>204:440</t>
  </si>
  <si>
    <t>204:233345</t>
  </si>
  <si>
    <t>204:233006</t>
  </si>
  <si>
    <t>204:232986</t>
  </si>
  <si>
    <t>204:233032</t>
  </si>
  <si>
    <t>204:233320</t>
  </si>
  <si>
    <t>204:233288</t>
  </si>
  <si>
    <t>204:232969</t>
  </si>
  <si>
    <t>204:233378</t>
  </si>
  <si>
    <t>204:233042</t>
  </si>
  <si>
    <t>204:180</t>
  </si>
  <si>
    <t>204:233387</t>
  </si>
  <si>
    <t>204:233043</t>
  </si>
  <si>
    <t>204:127906</t>
  </si>
  <si>
    <t>204:128275</t>
  </si>
  <si>
    <t>204:233370</t>
  </si>
  <si>
    <t>204:232963</t>
  </si>
  <si>
    <t>204:176</t>
  </si>
  <si>
    <t>204:489</t>
  </si>
  <si>
    <t>300:22529</t>
  </si>
  <si>
    <t>204:435</t>
  </si>
  <si>
    <t>300:23346</t>
  </si>
  <si>
    <t>300:23464</t>
  </si>
  <si>
    <t>300:23438</t>
  </si>
  <si>
    <t>300:23589</t>
  </si>
  <si>
    <t>300:23302</t>
  </si>
  <si>
    <t>300:23300</t>
  </si>
  <si>
    <t>204:482</t>
  </si>
  <si>
    <t>300:23690</t>
  </si>
  <si>
    <t>300:23571</t>
  </si>
  <si>
    <t>204:3237</t>
  </si>
  <si>
    <t>204:1181</t>
  </si>
  <si>
    <t>204:418</t>
  </si>
  <si>
    <t>204:3572</t>
  </si>
  <si>
    <t>204:320</t>
  </si>
  <si>
    <t>204:3532</t>
  </si>
  <si>
    <t>204:3212</t>
  </si>
  <si>
    <t>204:1158</t>
  </si>
  <si>
    <t>300:22113</t>
  </si>
  <si>
    <t>204:126</t>
  </si>
  <si>
    <t>204:433</t>
  </si>
  <si>
    <t>300:24290</t>
  </si>
  <si>
    <t>300:23286</t>
  </si>
  <si>
    <t>204:137</t>
  </si>
  <si>
    <t>204:1513</t>
  </si>
  <si>
    <t>204:1589</t>
  </si>
  <si>
    <t>204:1586</t>
  </si>
  <si>
    <t>204:2110</t>
  </si>
  <si>
    <t>300:5251</t>
  </si>
  <si>
    <t>204:1160</t>
  </si>
  <si>
    <t>300:5503</t>
  </si>
  <si>
    <t>300:5704</t>
  </si>
  <si>
    <t>300:23351</t>
  </si>
  <si>
    <t>204:2718</t>
  </si>
  <si>
    <t>204:1492</t>
  </si>
  <si>
    <t>300:23299</t>
  </si>
  <si>
    <t>204:1156</t>
  </si>
  <si>
    <t>204:985</t>
  </si>
  <si>
    <t>300:58937</t>
  </si>
  <si>
    <t>300:58632</t>
  </si>
  <si>
    <t>300:58967</t>
  </si>
  <si>
    <t>300:58645</t>
  </si>
  <si>
    <t>204:4565</t>
  </si>
  <si>
    <t>204:972</t>
  </si>
  <si>
    <t>300:58615</t>
  </si>
  <si>
    <t>204:699</t>
  </si>
  <si>
    <t>204:990</t>
  </si>
  <si>
    <t>300:58992</t>
  </si>
  <si>
    <t>300:58673</t>
  </si>
  <si>
    <t>300:58626</t>
  </si>
  <si>
    <t>204:678</t>
  </si>
  <si>
    <t>300:58666</t>
  </si>
  <si>
    <t>300:58986</t>
  </si>
  <si>
    <t>300:58664</t>
  </si>
  <si>
    <t>204:726</t>
  </si>
  <si>
    <t>204:1007</t>
  </si>
  <si>
    <t>300:58980</t>
  </si>
  <si>
    <t>300:58655</t>
  </si>
  <si>
    <t>204:733</t>
  </si>
  <si>
    <t>204:1011</t>
  </si>
  <si>
    <t>300:58999</t>
  </si>
  <si>
    <t>300:58679</t>
  </si>
  <si>
    <t>204:675</t>
  </si>
  <si>
    <t>300:58984</t>
  </si>
  <si>
    <t>300:58660</t>
  </si>
  <si>
    <t>204:708</t>
  </si>
  <si>
    <t>204:965</t>
  </si>
  <si>
    <t>204:4561</t>
  </si>
  <si>
    <t>300:58675</t>
  </si>
  <si>
    <t>204:703</t>
  </si>
  <si>
    <t>204:901</t>
  </si>
  <si>
    <t>300:58973</t>
  </si>
  <si>
    <t>204:978</t>
  </si>
  <si>
    <t>300:58948</t>
  </si>
  <si>
    <t>204:664</t>
  </si>
  <si>
    <t>300:58935</t>
  </si>
  <si>
    <t>300:58918</t>
  </si>
  <si>
    <t>300:58606</t>
  </si>
  <si>
    <t>204:993</t>
  </si>
  <si>
    <t>300:58670</t>
  </si>
  <si>
    <t>204:692</t>
  </si>
  <si>
    <t>300:58677</t>
  </si>
  <si>
    <t>204:731</t>
  </si>
  <si>
    <t>300:58982</t>
  </si>
  <si>
    <t>204:957</t>
  </si>
  <si>
    <t>204:1356</t>
  </si>
  <si>
    <t>300:29991</t>
  </si>
  <si>
    <t>300:23497</t>
  </si>
  <si>
    <t>300:24203</t>
  </si>
  <si>
    <t>300:23317</t>
  </si>
  <si>
    <t>300:58636</t>
  </si>
  <si>
    <t>300:28784</t>
  </si>
  <si>
    <t>start /low /b %USERPROFILE%\Documents\GitHub\eaglep3\Utilities\DownloadLogsFromS3.py --loco 4059 --day 2017-10-03</t>
  </si>
  <si>
    <t>start /low /b %USERPROFILE%\Documents\GitHub\eaglep3\Utilities\DownloadLogsFromS3.py --loco 4012 --day 2017-10-03</t>
  </si>
  <si>
    <t>start /low /b %USERPROFILE%\Documents\GitHub\eaglep3\Utilities\DownloadLogsFromS3.py --loco 4011 --day 2017-10-03</t>
  </si>
  <si>
    <t>start /low /b %USERPROFILE%\Documents\GitHub\eaglep3\Utilities\DownloadLogsFromS3.py --loco 4062 --day 2017-10-03</t>
  </si>
  <si>
    <t>start /low /b %USERPROFILE%\Documents\GitHub\eaglep3\Utilities\DownloadLogsFromS3.py --loco 4032 --day 2017-10-03</t>
  </si>
  <si>
    <t>start /low /b %USERPROFILE%\Documents\GitHub\eaglep3\Utilities\DownloadLogsFromS3.py --loco 4007 --day 2017-10-03</t>
  </si>
  <si>
    <t>start /low /b %USERPROFILE%\Documents\GitHub\eaglep3\Utilities\DownloadLogsFromS3.py --loco 4031 --day 2017-10-03</t>
  </si>
  <si>
    <t>start /low /b %USERPROFILE%\Documents\GitHub\eaglep3\Utilities\DownloadLogsFromS3.py --loco 4055 --day 2017-10-03</t>
  </si>
  <si>
    <t>start /low /b %USERPROFILE%\Documents\GitHub\eaglep3\Utilities\DownloadLogsFromS3.py --loco 4031 --day 2017-10-04</t>
  </si>
  <si>
    <t>start /low /b %USERPROFILE%\Documents\GitHub\eaglep3\Utilities\DownloadLogsFromS3.py --loco 4032 --day 2017-10-04</t>
  </si>
  <si>
    <t>start /low /b %USERPROFILE%\Documents\GitHub\eaglep3\Utilities\DownloadLogsFromS3.py --loco 4060 --day 2017-10-03</t>
  </si>
  <si>
    <t>start /low /b %USERPROFILE%\Documents\GitHub\eaglep3\Utilities\DownloadLogsFromS3.py --loco 4041 --day 2017-10-03</t>
  </si>
  <si>
    <t>start /low /b %USERPROFILE%\Documents\GitHub\eaglep3\Utilities\DownloadLogsFromS3.py --loco 4042 --day 2017-10-03</t>
  </si>
  <si>
    <t>start /low /b %USERPROFILE%\Documents\GitHub\eaglep3\Utilities\DownloadLogsFromS3.py --loco 4043 --day 2017-10-03</t>
  </si>
  <si>
    <t>start /low /b %USERPROFILE%\Documents\GitHub\eaglep3\Utilities\DownloadLogsFromS3.py --loco 4001 --day 2017-10-04</t>
  </si>
  <si>
    <t>start /low /b %USERPROFILE%\Documents\GitHub\eaglep3\Utilities\DownloadLogsFromS3.py --loco 4044 --day 2017-10-03</t>
  </si>
  <si>
    <t>Onboard en route failure</t>
  </si>
  <si>
    <t>Premature downgrade 40th 2N</t>
  </si>
  <si>
    <t>2017/10/03 22:21:30.366 40th 2N dropped from Proceed Cab to Stop while train was about 250 ft away.  Do logs indicate anything unusual at this time?</t>
  </si>
  <si>
    <t>DUS Main 3 Departure</t>
  </si>
  <si>
    <t>DUS Main 3 departure</t>
  </si>
  <si>
    <t>Poor GPS under Wewatta St. overpass</t>
  </si>
  <si>
    <t>Wi-MAX data drop, no enforcement</t>
  </si>
  <si>
    <t>No evidence of red fence in onboard logs</t>
  </si>
  <si>
    <t>Went active past Westminster 2S, Poor GPS under Wewatta St. overpass</t>
  </si>
  <si>
    <t>Not able to see Class 2 brake test info for both cars, power cycle solved issue</t>
  </si>
  <si>
    <t>Main 3 move, active crossing session, brakes applied as intended</t>
  </si>
  <si>
    <t>%REDMINEAPIKEY%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</si>
</sst>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3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0" xfId="0" applyNumberFormat="1"/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5" fillId="0" borderId="0" xfId="0" applyNumberFormat="1" applyFont="1"/>
    <xf numFmtId="169" fontId="9" fillId="0" borderId="0" xfId="0" applyNumberFormat="1" applyFont="1" applyBorder="1" applyAlignment="1">
      <alignment horizontal="center" vertical="center" wrapText="1"/>
    </xf>
    <xf numFmtId="169" fontId="0" fillId="0" borderId="0" xfId="0" applyNumberFormat="1" applyFill="1" applyAlignment="1">
      <alignment horizontal="left" wrapText="1"/>
    </xf>
    <xf numFmtId="169" fontId="5" fillId="0" borderId="0" xfId="0" applyNumberFormat="1" applyFont="1" applyFill="1"/>
    <xf numFmtId="169" fontId="9" fillId="8" borderId="0" xfId="0" applyNumberFormat="1" applyFont="1" applyFill="1" applyBorder="1" applyAlignment="1">
      <alignment horizontal="center" vertical="center" wrapText="1"/>
    </xf>
    <xf numFmtId="169" fontId="5" fillId="8" borderId="0" xfId="0" applyNumberFormat="1" applyFont="1" applyFill="1"/>
    <xf numFmtId="169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0" xfId="0" applyNumberFormat="1" applyBorder="1"/>
    <xf numFmtId="0" fontId="0" fillId="0" borderId="0" xfId="2" applyNumberFormat="1" applyFont="1" applyAlignment="1">
      <alignment horizontal="left"/>
    </xf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/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5" fillId="0" borderId="0" xfId="0" applyNumberFormat="1" applyFo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/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9" fillId="5" borderId="0" xfId="0" applyNumberFormat="1" applyFont="1" applyFill="1"/>
    <xf numFmtId="0" fontId="0" fillId="0" borderId="0" xfId="0" applyNumberFormat="1" applyFill="1"/>
    <xf numFmtId="0" fontId="9" fillId="7" borderId="0" xfId="0" applyNumberFormat="1" applyFont="1" applyFill="1"/>
    <xf numFmtId="0" fontId="9" fillId="9" borderId="0" xfId="0" applyNumberFormat="1" applyFont="1" applyFill="1"/>
    <xf numFmtId="0" fontId="6" fillId="0" borderId="0" xfId="0" applyNumberFormat="1" applyFont="1"/>
    <xf numFmtId="0" fontId="9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4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6" customWidth="1"/>
    <col min="19" max="19" width="6" style="200" customWidth="1"/>
    <col min="20" max="20" width="3.85546875" style="163" customWidth="1"/>
    <col min="21" max="21" width="5" style="190" customWidth="1"/>
    <col min="22" max="22" width="5.7109375" style="198" customWidth="1"/>
    <col min="23" max="23" width="3.85546875" style="193" customWidth="1"/>
    <col min="24" max="24" width="6.5703125" style="193" customWidth="1"/>
    <col min="25" max="25" width="8.85546875" style="193" customWidth="1"/>
    <col min="26" max="26" width="7.28515625" style="193" customWidth="1"/>
    <col min="27" max="27" width="9.140625" style="193"/>
    <col min="28" max="28" width="10.7109375" style="51" hidden="1" customWidth="1"/>
    <col min="29" max="29" width="9.42578125" style="49" hidden="1" customWidth="1"/>
    <col min="30" max="30" width="7.85546875" style="2" customWidth="1"/>
    <col min="31" max="31" width="4.5703125" style="72" customWidth="1"/>
    <col min="32" max="32" width="6.28515625" style="70" customWidth="1"/>
    <col min="33" max="33" width="3.7109375" style="163" customWidth="1"/>
    <col min="34" max="34" width="5" style="74" customWidth="1"/>
    <col min="35" max="35" width="5.7109375" style="87" customWidth="1"/>
    <col min="36" max="36" width="9.85546875" customWidth="1"/>
    <col min="37" max="37" width="5" customWidth="1"/>
    <col min="38" max="38" width="4.140625" customWidth="1"/>
    <col min="39" max="39" width="9.140625" style="138"/>
    <col min="41" max="41" width="3.7109375" style="163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4"/>
      <c r="M1" s="35"/>
      <c r="N1" s="36"/>
      <c r="O1" s="2"/>
      <c r="P1" s="2"/>
      <c r="R1" s="155" t="s">
        <v>103</v>
      </c>
      <c r="S1" s="119"/>
      <c r="T1" s="164"/>
      <c r="U1" s="186"/>
      <c r="V1" s="195"/>
      <c r="W1" s="186"/>
      <c r="X1" s="190"/>
      <c r="Y1" s="193"/>
      <c r="Z1" s="193"/>
      <c r="AA1" s="193"/>
      <c r="AB1" s="51"/>
      <c r="AC1" s="49"/>
      <c r="AD1" s="2"/>
      <c r="AE1" s="1"/>
      <c r="AF1" s="1"/>
      <c r="AG1" s="176"/>
      <c r="AH1" s="47"/>
      <c r="AI1" s="1"/>
      <c r="AM1" s="138"/>
      <c r="AO1" s="163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5">
        <f>Variables!$A$2</f>
        <v>43011</v>
      </c>
      <c r="J2" s="56"/>
      <c r="K2" s="57"/>
      <c r="L2" s="165"/>
      <c r="M2" s="58" t="s">
        <v>8</v>
      </c>
      <c r="N2" s="59"/>
      <c r="O2" s="60"/>
      <c r="P2" s="2"/>
      <c r="R2" s="55">
        <f>Variables!$A$2</f>
        <v>43011</v>
      </c>
      <c r="S2" s="207"/>
      <c r="T2" s="165"/>
      <c r="U2" s="187"/>
      <c r="V2" s="211" t="s">
        <v>8</v>
      </c>
      <c r="W2" s="212"/>
      <c r="X2" s="213"/>
      <c r="Y2" s="214"/>
      <c r="Z2" s="193"/>
      <c r="AA2" s="193"/>
      <c r="AB2" s="51"/>
      <c r="AC2" s="49"/>
      <c r="AD2" s="2"/>
      <c r="AE2" s="1"/>
      <c r="AF2" s="1"/>
      <c r="AG2" s="176"/>
      <c r="AH2" s="47"/>
      <c r="AI2" s="1"/>
      <c r="AM2" s="138"/>
      <c r="AO2" s="163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1" t="s">
        <v>10</v>
      </c>
      <c r="J3" s="62"/>
      <c r="K3" s="63"/>
      <c r="L3" s="166"/>
      <c r="M3" s="37" t="s">
        <v>11</v>
      </c>
      <c r="N3" s="38" t="s">
        <v>12</v>
      </c>
      <c r="O3" s="3" t="s">
        <v>13</v>
      </c>
      <c r="P3" s="2"/>
      <c r="R3" s="157" t="s">
        <v>10</v>
      </c>
      <c r="S3" s="208"/>
      <c r="T3" s="166"/>
      <c r="U3" s="188"/>
      <c r="V3" s="215" t="s">
        <v>11</v>
      </c>
      <c r="W3" s="216" t="s">
        <v>12</v>
      </c>
      <c r="X3" s="217" t="s">
        <v>13</v>
      </c>
      <c r="Y3" s="214"/>
      <c r="Z3" s="193"/>
      <c r="AA3" s="193"/>
      <c r="AB3" s="51"/>
      <c r="AC3" s="49"/>
      <c r="AD3" s="2"/>
      <c r="AE3" s="1"/>
      <c r="AF3" s="1"/>
      <c r="AG3" s="176"/>
      <c r="AH3" s="47"/>
      <c r="AI3" s="1"/>
      <c r="AM3" s="138"/>
      <c r="AO3" s="163"/>
    </row>
    <row r="4" spans="1:91" s="20" customFormat="1" ht="15.75" thickBot="1" x14ac:dyDescent="0.3">
      <c r="A4" s="34"/>
      <c r="B4" s="36"/>
      <c r="C4" s="27"/>
      <c r="D4" s="27"/>
      <c r="E4" s="33"/>
      <c r="F4" s="155"/>
      <c r="G4" s="36"/>
      <c r="H4" s="33"/>
      <c r="I4" s="64" t="s">
        <v>14</v>
      </c>
      <c r="J4" s="48">
        <f>SUM(J5:J7)</f>
        <v>144</v>
      </c>
      <c r="K4" s="39"/>
      <c r="L4" s="167"/>
      <c r="M4" s="40" t="s">
        <v>15</v>
      </c>
      <c r="N4" s="38" t="s">
        <v>15</v>
      </c>
      <c r="O4" s="3" t="s">
        <v>15</v>
      </c>
      <c r="P4" s="2"/>
      <c r="R4" s="158" t="s">
        <v>14</v>
      </c>
      <c r="S4" s="209">
        <f>SUM(S5:S7)</f>
        <v>49</v>
      </c>
      <c r="T4" s="167"/>
      <c r="U4" s="189"/>
      <c r="V4" s="215" t="s">
        <v>15</v>
      </c>
      <c r="W4" s="216" t="s">
        <v>15</v>
      </c>
      <c r="X4" s="217" t="s">
        <v>15</v>
      </c>
      <c r="Y4" s="214"/>
      <c r="Z4" s="193"/>
      <c r="AA4" s="193"/>
      <c r="AB4" s="51"/>
      <c r="AC4" s="49"/>
      <c r="AD4" s="2"/>
      <c r="AE4" s="1"/>
      <c r="AF4" s="1"/>
      <c r="AG4" s="176"/>
      <c r="AH4" s="47"/>
      <c r="AI4" s="1"/>
      <c r="AM4" s="138"/>
      <c r="AO4" s="163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4" t="s">
        <v>17</v>
      </c>
      <c r="J5" s="48">
        <f>COUNTIFS($N$13:$N$9388,"&gt;0",$AG$13:$AG$9388,I1)</f>
        <v>139</v>
      </c>
      <c r="K5" s="39"/>
      <c r="L5" s="167"/>
      <c r="M5" s="40">
        <f>AVERAGEIFS($N$13:$N$9388,$AG$13:$AG$9388,I1)</f>
        <v>37.30851318966095</v>
      </c>
      <c r="N5" s="38">
        <f t="array" ref="N5">MIN(IF($AG$13:$AG$9388=I1,IF(ISNUMBER($N$13:$N$9388),IF($N$13:$N$9388&gt;0,$N$13:$N$9388))))</f>
        <v>33.599999996367842</v>
      </c>
      <c r="O5" s="3">
        <f t="array" ref="O5">MAX(IF($AG$13:$AG$9388=I1,IF(ISNUMBER($N$13:$N$9388),IF($N$13:$N$9388&gt;0,$N$13:$N$9388))))</f>
        <v>45.450000000419095</v>
      </c>
      <c r="P5" s="2"/>
      <c r="R5" s="158" t="s">
        <v>17</v>
      </c>
      <c r="S5" s="209">
        <f>COUNTIFS($N$13:$N$9388,"&gt;0",$AG$13:$AG$9388,R1)</f>
        <v>49</v>
      </c>
      <c r="T5" s="167"/>
      <c r="U5" s="189"/>
      <c r="V5" s="215">
        <f>AVERAGEIFS($N$13:$N$9388,$AG$13:$AG$9388,R1)</f>
        <v>14.722789115989961</v>
      </c>
      <c r="W5" s="216">
        <f t="array" ref="W5">MIN(IF($AG$13:$AG$9388=R1,IF(ISNUMBER($N$13:$N$9388),IF($N$13:$N$9388&gt;0,$N$13:$N$9388))))</f>
        <v>10.016666661249474</v>
      </c>
      <c r="X5" s="217">
        <f t="array" ref="X5">MAX(IF($AG$13:$AG$9388=R1,IF(ISNUMBER($N$13:$N$9388),IF($N$13:$N$9388&gt;0,$N$13:$N$9388))))</f>
        <v>23.466666672611609</v>
      </c>
      <c r="Y5" s="214"/>
      <c r="Z5" s="193"/>
      <c r="AA5" s="193"/>
      <c r="AB5" s="51"/>
      <c r="AC5" s="49"/>
      <c r="AD5" s="2"/>
      <c r="AE5" s="1"/>
      <c r="AF5" s="1"/>
      <c r="AG5" s="176"/>
      <c r="AH5" s="47"/>
      <c r="AI5" s="1"/>
      <c r="AM5" s="138"/>
      <c r="AO5" s="163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5" t="s">
        <v>43</v>
      </c>
      <c r="J6" s="48">
        <f>COUNT($O$13:$O$163)</f>
        <v>0</v>
      </c>
      <c r="K6" s="39"/>
      <c r="L6" s="167"/>
      <c r="M6" s="40">
        <f>IFERROR(AVERAGE($O$13:$O$163),0)</f>
        <v>0</v>
      </c>
      <c r="N6" s="38">
        <f>MIN($O$13:$O$163)</f>
        <v>0</v>
      </c>
      <c r="O6" s="3">
        <f>MAX($O$13:$O$163)</f>
        <v>0</v>
      </c>
      <c r="P6" s="2"/>
      <c r="R6" s="159" t="s">
        <v>43</v>
      </c>
      <c r="S6" s="209">
        <f>COUNT($O$13:$O$163)</f>
        <v>0</v>
      </c>
      <c r="T6" s="167"/>
      <c r="U6" s="189"/>
      <c r="V6" s="215">
        <f>IFERROR(AVERAGE($O$13:$O$163),0)</f>
        <v>0</v>
      </c>
      <c r="W6" s="216">
        <f>MIN($O$13:$O$163)</f>
        <v>0</v>
      </c>
      <c r="X6" s="217">
        <f>MAX($O$13:$O$163)</f>
        <v>0</v>
      </c>
      <c r="Y6" s="214"/>
      <c r="Z6" s="193"/>
      <c r="AA6" s="193"/>
      <c r="AB6" s="51"/>
      <c r="AC6" s="49"/>
      <c r="AD6" s="2"/>
      <c r="AE6" s="1"/>
      <c r="AF6" s="1"/>
      <c r="AG6" s="176"/>
      <c r="AH6" s="47"/>
      <c r="AI6" s="1"/>
      <c r="AM6" s="138"/>
      <c r="AO6" s="163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6" t="s">
        <v>9</v>
      </c>
      <c r="J7" s="48">
        <f>COUNTIFS($P$13:$P$9388,"&gt;0",$AG$13:$AG$9388,I1)</f>
        <v>5</v>
      </c>
      <c r="K7" s="39"/>
      <c r="L7" s="167"/>
      <c r="M7" s="38" t="s">
        <v>15</v>
      </c>
      <c r="N7" s="38" t="s">
        <v>15</v>
      </c>
      <c r="O7" s="3" t="s">
        <v>15</v>
      </c>
      <c r="P7" s="2"/>
      <c r="R7" s="160" t="s">
        <v>9</v>
      </c>
      <c r="S7" s="209">
        <f>COUNTIFS($P$13:$P$9388,"&gt;0",$AG$13:$AG$9388,R1)</f>
        <v>0</v>
      </c>
      <c r="T7" s="167"/>
      <c r="U7" s="189"/>
      <c r="V7" s="215" t="s">
        <v>15</v>
      </c>
      <c r="W7" s="216" t="s">
        <v>15</v>
      </c>
      <c r="X7" s="217" t="s">
        <v>15</v>
      </c>
      <c r="Y7" s="214"/>
      <c r="Z7" s="193"/>
      <c r="AA7" s="193"/>
      <c r="AB7" s="51"/>
      <c r="AC7" s="49"/>
      <c r="AD7" s="2"/>
      <c r="AE7" s="1"/>
      <c r="AF7" s="1"/>
      <c r="AG7" s="176"/>
      <c r="AH7" s="47"/>
      <c r="AI7" s="1"/>
      <c r="AM7" s="138"/>
      <c r="AO7" s="163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4" t="s">
        <v>16</v>
      </c>
      <c r="J8" s="48">
        <f>J5</f>
        <v>139</v>
      </c>
      <c r="K8" s="39"/>
      <c r="L8" s="167"/>
      <c r="M8" s="40">
        <f>M5</f>
        <v>37.30851318966095</v>
      </c>
      <c r="N8" s="38">
        <f>N5</f>
        <v>33.599999996367842</v>
      </c>
      <c r="O8" s="3">
        <f>O5</f>
        <v>45.450000000419095</v>
      </c>
      <c r="P8" s="2"/>
      <c r="R8" s="158" t="s">
        <v>16</v>
      </c>
      <c r="S8" s="209">
        <f>S5</f>
        <v>49</v>
      </c>
      <c r="T8" s="167"/>
      <c r="U8" s="189"/>
      <c r="V8" s="215">
        <f>V5</f>
        <v>14.722789115989961</v>
      </c>
      <c r="W8" s="216">
        <f>W5</f>
        <v>10.016666661249474</v>
      </c>
      <c r="X8" s="217">
        <f>X5</f>
        <v>23.466666672611609</v>
      </c>
      <c r="Y8" s="214"/>
      <c r="Z8" s="193"/>
      <c r="AA8" s="193"/>
      <c r="AB8" s="51"/>
      <c r="AC8" s="49"/>
      <c r="AD8" s="2"/>
      <c r="AE8" s="1"/>
      <c r="AF8" s="1"/>
      <c r="AG8" s="176"/>
      <c r="AH8" s="47"/>
      <c r="AI8" s="1"/>
      <c r="AM8" s="138"/>
      <c r="AO8" s="163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4" t="s">
        <v>19</v>
      </c>
      <c r="J9" s="119">
        <f>J8/J4</f>
        <v>0.96527777777777779</v>
      </c>
      <c r="K9" s="41"/>
      <c r="L9" s="164"/>
      <c r="M9" s="67"/>
      <c r="N9" s="36"/>
      <c r="O9" s="68"/>
      <c r="P9" s="2"/>
      <c r="R9" s="158" t="s">
        <v>19</v>
      </c>
      <c r="S9" s="206">
        <f>S8/S4</f>
        <v>1</v>
      </c>
      <c r="T9" s="164"/>
      <c r="U9" s="186"/>
      <c r="V9" s="218"/>
      <c r="W9" s="219"/>
      <c r="X9" s="220"/>
      <c r="Y9" s="214"/>
      <c r="Z9" s="193"/>
      <c r="AA9" s="193"/>
      <c r="AB9" s="51"/>
      <c r="AC9" s="49"/>
      <c r="AD9" s="2"/>
      <c r="AE9" s="1"/>
      <c r="AF9" s="1"/>
      <c r="AG9" s="176"/>
      <c r="AH9" s="47"/>
      <c r="AI9" s="1"/>
      <c r="AM9" s="138"/>
      <c r="AO9" s="163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4"/>
      <c r="M10" s="35"/>
      <c r="N10" s="36"/>
      <c r="O10" s="2"/>
      <c r="P10" s="2"/>
      <c r="R10" s="156"/>
      <c r="S10" s="200"/>
      <c r="T10" s="163"/>
      <c r="U10" s="190"/>
      <c r="V10" s="196"/>
      <c r="W10" s="193"/>
      <c r="X10" s="193"/>
      <c r="Y10" s="193"/>
      <c r="Z10" s="193"/>
      <c r="AA10" s="193"/>
      <c r="AB10" s="51"/>
      <c r="AC10" s="49"/>
      <c r="AD10" s="2"/>
      <c r="AE10" s="1"/>
      <c r="AF10" s="1"/>
      <c r="AG10" s="176"/>
      <c r="AH10" s="47"/>
      <c r="AI10" s="1"/>
      <c r="AM10" s="138"/>
      <c r="AO10" s="163"/>
    </row>
    <row r="11" spans="1:91" ht="16.5" thickBot="1" x14ac:dyDescent="0.3">
      <c r="A11" s="233" t="str">
        <f>"Eagle P3 System Performance - "&amp;TEXT(Variables!A2,"yyyy-mm-dd")</f>
        <v>Eagle P3 System Performance - 2017-10-03</v>
      </c>
      <c r="B11" s="233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S11" s="200">
        <f>AVERAGE(S13:S113)</f>
        <v>0.99140893470790381</v>
      </c>
      <c r="V11" s="196"/>
      <c r="AE11" s="1"/>
      <c r="AF11" s="1"/>
      <c r="AG11" s="17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9" t="s">
        <v>54</v>
      </c>
      <c r="L12" s="17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1" t="s">
        <v>24</v>
      </c>
      <c r="S12" s="201" t="s">
        <v>63</v>
      </c>
      <c r="T12" s="168" t="s">
        <v>64</v>
      </c>
      <c r="U12" s="191" t="s">
        <v>65</v>
      </c>
      <c r="V12" s="197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2" t="s">
        <v>39</v>
      </c>
      <c r="AC12" s="50" t="s">
        <v>40</v>
      </c>
      <c r="AD12" s="173" t="s">
        <v>82</v>
      </c>
      <c r="AE12" s="73" t="s">
        <v>89</v>
      </c>
      <c r="AF12" s="71" t="s">
        <v>93</v>
      </c>
      <c r="AG12" s="172" t="s">
        <v>104</v>
      </c>
      <c r="AH12" s="75" t="s">
        <v>106</v>
      </c>
      <c r="AI12" s="91" t="s">
        <v>141</v>
      </c>
      <c r="AJ12" s="46" t="s">
        <v>142</v>
      </c>
      <c r="AK12" s="46" t="s">
        <v>115</v>
      </c>
      <c r="AL12" s="46" t="s">
        <v>143</v>
      </c>
      <c r="AM12" s="139" t="s">
        <v>189</v>
      </c>
      <c r="AN12" s="46" t="s">
        <v>331</v>
      </c>
      <c r="AO12" s="172" t="s">
        <v>403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626</v>
      </c>
      <c r="B13" s="7">
        <v>4050</v>
      </c>
      <c r="C13" s="21" t="s">
        <v>194</v>
      </c>
      <c r="D13" s="21" t="s">
        <v>846</v>
      </c>
      <c r="E13" s="13">
        <v>43011.124282407407</v>
      </c>
      <c r="F13" s="13">
        <v>43011.135601851849</v>
      </c>
      <c r="G13" s="7">
        <v>64</v>
      </c>
      <c r="H13" s="21" t="s">
        <v>553</v>
      </c>
      <c r="I13" s="13">
        <v>43011.159560185188</v>
      </c>
      <c r="J13" s="7">
        <v>0</v>
      </c>
      <c r="K13" s="85" t="str">
        <f t="shared" ref="K13:K44" si="0">IF(ISEVEN(B13),(B13-1)&amp;"/"&amp;B13,B13&amp;"/"&amp;(B13+1))</f>
        <v>4049/4050</v>
      </c>
      <c r="L13" s="179" t="str">
        <f>VLOOKUP(A13,'Trips&amp;Operators'!$C$1:$G$99911,5,FALSE)</f>
        <v>YORK EDGAR</v>
      </c>
      <c r="M13" s="6">
        <f t="shared" ref="M13:M44" si="1">I13-F13</f>
        <v>2.3958333338669036E-2</v>
      </c>
      <c r="N13" s="7">
        <f t="shared" ref="N13:N21" si="2">24*60*SUM($M13:$M13)</f>
        <v>34.500000007683411</v>
      </c>
      <c r="O13" s="7"/>
      <c r="P13" s="7"/>
      <c r="Q13" s="22"/>
      <c r="R13" s="162"/>
      <c r="S13" s="202">
        <f t="shared" ref="S13:S21" si="3">1/IF(AG13="EC",12,1)*SUM(U13:U13)</f>
        <v>1</v>
      </c>
      <c r="T13" s="169" t="str">
        <f t="shared" ref="T13:T44" si="4">IF(ISEVEN(LEFT(AD13,4)),"Southbound","NorthBound")</f>
        <v>NorthBound</v>
      </c>
      <c r="U13" s="22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-03T01:58:58-0600',mode:absolute,to:'2017-10-03T04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23" t="str">
        <f>IF(AA13&lt;VLOOKUP(AG13,Variables!$AC$3:$AD$8,2,FALSE),"Y","N")</f>
        <v>N</v>
      </c>
      <c r="X13" s="223" t="e">
        <f t="shared" ref="X13:X44" si="6">VALUE(LEFT(AD13,4))-VALUE(LEFT(AD12,4))</f>
        <v>#VALUE!</v>
      </c>
      <c r="Y13" s="223">
        <f t="shared" ref="Y13:Y44" si="7">RIGHT(D13,LEN(D13)-4)/10000</f>
        <v>7.5399999999999995E-2</v>
      </c>
      <c r="Z13" s="223">
        <f t="shared" ref="Z13:Z44" si="8">RIGHT(H13,LEN(H13)-4)/10000</f>
        <v>23.3276</v>
      </c>
      <c r="AA13" s="223">
        <f t="shared" ref="AA13:AA44" si="9">ABS(Z13-Y13)</f>
        <v>23.252200000000002</v>
      </c>
      <c r="AB13" s="224" t="e">
        <f>VLOOKUP(A13,Enforcements!$C$7:$K$11,8,0)</f>
        <v>#N/A</v>
      </c>
      <c r="AC13" s="224" t="e">
        <f>VLOOKUP(A13,Enforcements!$C$7:$E$11,3,0)</f>
        <v>#N/A</v>
      </c>
      <c r="AD13" s="225">
        <f t="shared" ref="AD13:AD44" si="10">VALUE(LEFT(A13,LEN(A13)-3))</f>
        <v>101</v>
      </c>
      <c r="AE13" s="22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13" s="227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/stypes="app*4050*20171003*" /stext=" 09:.+((SYSTEM_STATE.+slice.+state.+changed )|(ment ac)|(multiple cpu faults)|(system.+state.+changed )|(\[timeout)|(PRM\|1\|D)|(kpr)|(kdp)|(train st.+moving)|(\|lc)|(penalty))"</v>
      </c>
      <c r="AG13" s="228" t="str">
        <f t="shared" ref="AG13:AG44" si="13">DetSubdiv(A13)</f>
        <v>EC</v>
      </c>
      <c r="AH13" s="229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4050 --swversion DE.1.0.9.0 --startMP 204:754 --initTime 2017-10-03T02:58:58 --startdatetime 2017-10-03T03:15:16 --delay 64 --endMP 204:233276 --enddatetime 2017-10-03T03:49:46 --enforcementcount 0 &gt;&gt;%USERPROFILE%\Documents\GitHub\eaglep3-reporting\EC\2017-10-03-refined-times.txt</v>
      </c>
      <c r="AI13" s="23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{"issue":{"subject":"","project_id":79,"tracker_id":40,"status_id":1,"priority_id":2,"assigned_to_id":338,"start_date":"2017-10-03","description":"","custom_fields":[{"id":1,"name":"Subdivision","value":"EC"},{"id":4,"name":"Milepost","value":"23.3276"},{"id":17,"name":"Train ID","value":"101-03"},{"id":16,"name":"Locomotive ID","value":"4050"},{"id":130,"name":"Impact","value":""},{"id":150,"name":"Time of Event (Mountain Time)","value":"03:49:46"},{"id":151,"name":"Denver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10"/>
      <c r="AK13" s="225"/>
      <c r="AL13" s="225"/>
      <c r="AM13" s="231" t="str">
        <f t="shared" ref="AM13" si="16">"start /low /b "&amp;dls3logs&amp;" --loco "&amp;B13&amp;" --day "&amp;TEXT(F13,"YYYY-MM-DD")</f>
        <v>start /low /b %USERPROFILE%\Documents\GitHub\eaglep3\Utilities\DownloadLogsFromS3.py --loco 4050 --day 2017-10-03</v>
      </c>
      <c r="AN13" s="232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210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-03T01:58:58-0600',mode:absolute,to:'2017-10-03T04:49:46-0600'))&amp;_a=(columns:!('Message%20ID',Summary),filters:!(),index:'emp_*',interval:auto,query:(query_string:(analyze_wildcard:!t,query:'%22rtdc.l.rtdc.4050%22')),sort:!(Time.ISO8601,asc))</v>
      </c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  <c r="BI13" s="210"/>
      <c r="BJ13" s="210"/>
      <c r="BK13" s="210"/>
      <c r="BL13" s="210"/>
      <c r="BM13" s="210"/>
      <c r="BN13" s="210"/>
      <c r="BO13" s="210"/>
      <c r="BP13" s="210"/>
      <c r="BQ13" s="210"/>
      <c r="BR13" s="210"/>
      <c r="BS13" s="210"/>
      <c r="BT13" s="210"/>
      <c r="BU13" s="210"/>
      <c r="BV13" s="210"/>
      <c r="BW13" s="210"/>
      <c r="BX13" s="210"/>
      <c r="BY13" s="210"/>
      <c r="BZ13" s="210"/>
      <c r="CA13" s="210"/>
      <c r="CB13" s="210"/>
      <c r="CC13" s="210"/>
      <c r="CD13" s="210"/>
      <c r="CE13" s="210"/>
      <c r="CF13" s="210"/>
      <c r="CG13" s="210"/>
      <c r="CH13" s="210"/>
      <c r="CI13" s="210"/>
      <c r="CJ13" s="210"/>
      <c r="CK13" s="210"/>
      <c r="CL13" s="210"/>
      <c r="CM13" s="210"/>
    </row>
    <row r="14" spans="1:91" s="1" customFormat="1" x14ac:dyDescent="0.25">
      <c r="A14" s="32" t="s">
        <v>631</v>
      </c>
      <c r="B14" s="7">
        <v>4049</v>
      </c>
      <c r="C14" s="21" t="s">
        <v>194</v>
      </c>
      <c r="D14" s="21" t="s">
        <v>847</v>
      </c>
      <c r="E14" s="13">
        <v>43011.160567129627</v>
      </c>
      <c r="F14" s="13">
        <v>43011.175185185188</v>
      </c>
      <c r="G14" s="7">
        <v>60</v>
      </c>
      <c r="H14" s="21" t="s">
        <v>362</v>
      </c>
      <c r="I14" s="13">
        <v>43011.200555555559</v>
      </c>
      <c r="J14" s="7">
        <v>0</v>
      </c>
      <c r="K14" s="85" t="str">
        <f t="shared" si="0"/>
        <v>4049/4050</v>
      </c>
      <c r="L14" s="179" t="str">
        <f>VLOOKUP(A14,'Trips&amp;Operators'!$C$1:$G$99911,5,FALSE)</f>
        <v>YORK EDGAR</v>
      </c>
      <c r="M14" s="6">
        <f t="shared" si="1"/>
        <v>2.5370370371092577E-2</v>
      </c>
      <c r="N14" s="7">
        <f t="shared" si="2"/>
        <v>36.53333333437331</v>
      </c>
      <c r="O14" s="7"/>
      <c r="P14" s="7"/>
      <c r="Q14" s="22"/>
      <c r="R14" s="169"/>
      <c r="S14" s="202">
        <f t="shared" si="3"/>
        <v>1</v>
      </c>
      <c r="T14" s="169" t="str">
        <f t="shared" si="4"/>
        <v>Southbound</v>
      </c>
      <c r="U14" s="22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2" t="str">
        <f t="shared" si="5"/>
        <v>https://d0f6bd738d7f1b3e5a7ca70fe4ff75f0.us-east-1.aws.found.io/app/kibana#/discover/Steve-Slow-Train-Analysis-(2080s-and-2083s)?_g=(refreshInterval:(display:Off,pause:!f,section:0,value:0),time:(from:'2017-10-03T02:51:13-0600',mode:absolute,to:'2017-10-03T05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23" t="str">
        <f>IF(AA14&lt;VLOOKUP(AG14,Variables!$AC$3:$AD$8,2,FALSE),"Y","N")</f>
        <v>N</v>
      </c>
      <c r="X14" s="223">
        <f t="shared" si="6"/>
        <v>1</v>
      </c>
      <c r="Y14" s="223">
        <f t="shared" si="7"/>
        <v>23.2959</v>
      </c>
      <c r="Z14" s="223">
        <f t="shared" si="8"/>
        <v>1.5599999999999999E-2</v>
      </c>
      <c r="AA14" s="223">
        <f t="shared" si="9"/>
        <v>23.2803</v>
      </c>
      <c r="AB14" s="224" t="e">
        <f>VLOOKUP(A14,Enforcements!$C$7:$K$11,8,0)</f>
        <v>#N/A</v>
      </c>
      <c r="AC14" s="224" t="e">
        <f>VLOOKUP(A14,Enforcements!$C$7:$E$11,3,0)</f>
        <v>#N/A</v>
      </c>
      <c r="AD14" s="225">
        <f t="shared" si="10"/>
        <v>102</v>
      </c>
      <c r="AE14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4" s="227" t="str">
        <f t="shared" si="12"/>
        <v>"C:\Program Files (x86)\AstroGrep\AstroGrep.exe" /e /r /s /spath="%USERPROFILE%\AppData\Local\Temp\OnboardLogs" /stypes="app*4049*20171003*" /stext=" 10:.+((SYSTEM_STATE.+slice.+state.+changed )|(ment ac)|(multiple cpu faults)|(system.+state.+changed )|(\[timeout)|(PRM\|1\|D)|(kpr)|(kdp)|(train st.+moving)|(\|lc)|(penalty))"</v>
      </c>
      <c r="AG14" s="228" t="str">
        <f t="shared" si="13"/>
        <v>EC</v>
      </c>
      <c r="AH14" s="229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4049 --swversion DE.1.0.9.0 --startMP 204:232959 --initTime 2017-10-03T03:51:13 --startdatetime 2017-10-03T04:12:16 --delay 60 --endMP 204:156 --enddatetime 2017-10-03T04:48:48 --enforcementcount 0 &gt;&gt;%USERPROFILE%\Documents\GitHub\eaglep3-reporting\EC\2017-10-03-refined-times.txt</v>
      </c>
      <c r="AI14" s="230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{"issue":{"subject":"","project_id":79,"tracker_id":40,"status_id":1,"priority_id":2,"assigned_to_id":338,"start_date":"2017-10-03","description":"","custom_fields":[{"id":1,"name":"Subdivision","value":"EC"},{"id":4,"name":"Milepost","value":"0.0156"},{"id":17,"name":"Train ID","value":"102-03"},{"id":16,"name":"Locomotive ID","value":"4049"},{"id":130,"name":"Impact","value":""},{"id":150,"name":"Time of Event (Mountain Time)","value":"04:48:48"},{"id":151,"name":"Denver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10"/>
      <c r="AK14" s="225"/>
      <c r="AL14" s="225"/>
      <c r="AM14" s="231" t="str">
        <f t="shared" ref="AM14:AM77" si="21">"start /low /b "&amp;dls3logs&amp;" --loco "&amp;B14&amp;" --day "&amp;TEXT(F14,"YYYY-MM-DD")</f>
        <v>start /low /b %USERPROFILE%\Documents\GitHub\eaglep3\Utilities\DownloadLogsFromS3.py --loco 4049 --day 2017-10-03</v>
      </c>
      <c r="AN14" s="232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1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-03T02:51:13-0600',mode:absolute,to:'2017-10-03T05:48:48-0600'))&amp;_a=(columns:!('Message%20ID',Summary),filters:!(),index:'emp_*',interval:auto,query:(query_string:(analyze_wildcard:!t,query:'%22rtdc.l.rtdc.4049%22')),sort:!(Time.ISO8601,asc))</v>
      </c>
      <c r="AP14" s="210"/>
      <c r="AQ14" s="210"/>
      <c r="AR14" s="210"/>
      <c r="AS14" s="210"/>
      <c r="AT14" s="210"/>
      <c r="AU14" s="210"/>
      <c r="AV14" s="210"/>
      <c r="AW14" s="210"/>
      <c r="AX14" s="210"/>
      <c r="AY14" s="210"/>
      <c r="AZ14" s="210"/>
      <c r="BA14" s="210"/>
      <c r="BB14" s="210"/>
      <c r="BC14" s="210"/>
      <c r="BD14" s="210"/>
      <c r="BE14" s="210"/>
      <c r="BF14" s="210"/>
      <c r="BG14" s="210"/>
      <c r="BH14" s="210"/>
      <c r="BI14" s="210"/>
      <c r="BJ14" s="210"/>
      <c r="BK14" s="210"/>
      <c r="BL14" s="210"/>
      <c r="BM14" s="210"/>
      <c r="BN14" s="210"/>
      <c r="BO14" s="210"/>
      <c r="BP14" s="210"/>
      <c r="BQ14" s="210"/>
      <c r="BR14" s="210"/>
      <c r="BS14" s="210"/>
      <c r="BT14" s="210"/>
      <c r="BU14" s="210"/>
      <c r="BV14" s="210"/>
      <c r="BW14" s="210"/>
      <c r="BX14" s="210"/>
      <c r="BY14" s="210"/>
      <c r="BZ14" s="210"/>
      <c r="CA14" s="210"/>
      <c r="CB14" s="210"/>
      <c r="CC14" s="210"/>
      <c r="CD14" s="210"/>
      <c r="CE14" s="210"/>
      <c r="CF14" s="210"/>
      <c r="CG14" s="210"/>
      <c r="CH14" s="210"/>
      <c r="CI14" s="210"/>
      <c r="CJ14" s="210"/>
      <c r="CK14" s="210"/>
      <c r="CL14" s="210"/>
      <c r="CM14" s="210"/>
    </row>
    <row r="15" spans="1:91" s="1" customFormat="1" x14ac:dyDescent="0.25">
      <c r="A15" s="32" t="s">
        <v>629</v>
      </c>
      <c r="B15" s="7">
        <v>4042</v>
      </c>
      <c r="C15" s="21" t="s">
        <v>194</v>
      </c>
      <c r="D15" s="21" t="s">
        <v>389</v>
      </c>
      <c r="E15" s="13">
        <v>43011.149340277778</v>
      </c>
      <c r="F15" s="13">
        <v>43011.156435185185</v>
      </c>
      <c r="G15" s="7">
        <v>68</v>
      </c>
      <c r="H15" s="21" t="s">
        <v>382</v>
      </c>
      <c r="I15" s="13">
        <v>43011.181585648148</v>
      </c>
      <c r="J15" s="7">
        <v>0</v>
      </c>
      <c r="K15" s="85" t="str">
        <f t="shared" si="0"/>
        <v>4041/4042</v>
      </c>
      <c r="L15" s="179" t="str">
        <f>VLOOKUP(A15,'Trips&amp;Operators'!$C$1:$G$99911,5,FALSE)</f>
        <v>BONDS REYNALDO</v>
      </c>
      <c r="M15" s="6">
        <f t="shared" si="1"/>
        <v>2.5150462963210884E-2</v>
      </c>
      <c r="N15" s="7">
        <f t="shared" si="2"/>
        <v>36.216666667023674</v>
      </c>
      <c r="O15" s="7"/>
      <c r="P15" s="7"/>
      <c r="Q15" s="22"/>
      <c r="R15" s="169"/>
      <c r="S15" s="202">
        <f t="shared" si="3"/>
        <v>1</v>
      </c>
      <c r="T15" s="169" t="str">
        <f t="shared" si="4"/>
        <v>NorthBound</v>
      </c>
      <c r="U15" s="22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2" t="str">
        <f t="shared" si="5"/>
        <v>https://d0f6bd738d7f1b3e5a7ca70fe4ff75f0.us-east-1.aws.found.io/app/kibana#/discover/Steve-Slow-Train-Analysis-(2080s-and-2083s)?_g=(refreshInterval:(display:Off,pause:!f,section:0,value:0),time:(from:'2017-10-03T02:35:03-0600',mode:absolute,to:'2017-10-03T05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23" t="str">
        <f>IF(AA15&lt;VLOOKUP(AG15,Variables!$AC$3:$AD$8,2,FALSE),"Y","N")</f>
        <v>N</v>
      </c>
      <c r="X15" s="223">
        <f t="shared" si="6"/>
        <v>1</v>
      </c>
      <c r="Y15" s="223">
        <f t="shared" si="7"/>
        <v>4.6600000000000003E-2</v>
      </c>
      <c r="Z15" s="223">
        <f t="shared" si="8"/>
        <v>23.331199999999999</v>
      </c>
      <c r="AA15" s="223">
        <f t="shared" si="9"/>
        <v>23.284599999999998</v>
      </c>
      <c r="AB15" s="224" t="e">
        <f>VLOOKUP(A15,Enforcements!$C$7:$K$11,8,0)</f>
        <v>#N/A</v>
      </c>
      <c r="AC15" s="224" t="e">
        <f>VLOOKUP(A15,Enforcements!$C$7:$E$11,3,0)</f>
        <v>#N/A</v>
      </c>
      <c r="AD15" s="225">
        <f t="shared" si="10"/>
        <v>103</v>
      </c>
      <c r="AE15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5" s="227" t="str">
        <f t="shared" si="12"/>
        <v>"C:\Program Files (x86)\AstroGrep\AstroGrep.exe" /e /r /s /spath="%USERPROFILE%\AppData\Local\Temp\OnboardLogs" /stypes="app*4042*20171003*" /stext=" 10:.+((SYSTEM_STATE.+slice.+state.+changed )|(ment ac)|(multiple cpu faults)|(system.+state.+changed )|(\[timeout)|(PRM\|1\|D)|(kpr)|(kdp)|(train st.+moving)|(\|lc)|(penalty))"</v>
      </c>
      <c r="AG15" s="228" t="str">
        <f t="shared" si="13"/>
        <v>EC</v>
      </c>
      <c r="AH15" s="229" t="str">
        <f t="shared" si="19"/>
        <v>"%USERPROFILE%\Documents\GitHub\eaglep3\Utilities\RefineRTDCRunTimes.py" --tripid 103-03 --locoid 4042 --swversion DE.1.0.9.0 --startMP 204:466 --initTime 2017-10-03T03:35:03 --startdatetime 2017-10-03T03:45:16 --delay 68 --endMP 204:233312 --enddatetime 2017-10-03T04:21:29 --enforcementcount 0 &gt;&gt;%USERPROFILE%\Documents\GitHub\eaglep3-reporting\EC\2017-10-03-refined-times.txt</v>
      </c>
      <c r="AI1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{"issue":{"subject":"","project_id":79,"tracker_id":40,"status_id":1,"priority_id":2,"assigned_to_id":338,"start_date":"2017-10-03","description":"","custom_fields":[{"id":1,"name":"Subdivision","value":"EC"},{"id":4,"name":"Milepost","value":"23.3312"},{"id":17,"name":"Train ID","value":"103-03"},{"id":16,"name":"Locomotive ID","value":"4042"},{"id":130,"name":"Impact","value":""},{"id":150,"name":"Time of Event (Mountain Time)","value":"04:21:29"},{"id":151,"name":"Denver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10"/>
      <c r="AK15" s="225"/>
      <c r="AL15" s="225"/>
      <c r="AM15" s="231" t="str">
        <f t="shared" si="21"/>
        <v>start /low /b %USERPROFILE%\Documents\GitHub\eaglep3\Utilities\DownloadLogsFromS3.py --loco 4042 --day 2017-10-03</v>
      </c>
      <c r="AN1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10" t="str">
        <f t="shared" si="23"/>
        <v>https://d0f6bd738d7f1b3e5a7ca70fe4ff75f0.us-east-1.aws.found.io/app/kibana#/discover/Steve-Slow-Train-Analysis-(2080s-and-2083s)?_g=(refreshInterval:(display:Off,pause:!f,section:0,value:0),time:(from:'2017-10-03T02:35:03-0600',mode:absolute,to:'2017-10-03T05:21:29-0600'))&amp;_a=(columns:!('Message%20ID',Summary),filters:!(),index:'emp_*',interval:auto,query:(query_string:(analyze_wildcard:!t,query:'%22rtdc.l.rtdc.4042%22')),sort:!(Time.ISO8601,asc))</v>
      </c>
      <c r="AP15" s="210"/>
      <c r="AQ15" s="210"/>
      <c r="AR15" s="210"/>
      <c r="AS15" s="210"/>
      <c r="AT15" s="210"/>
      <c r="AU15" s="210"/>
      <c r="AV15" s="210"/>
      <c r="AW15" s="210"/>
      <c r="AX15" s="210"/>
      <c r="AY15" s="210"/>
      <c r="AZ15" s="210"/>
      <c r="BA15" s="210"/>
      <c r="BB15" s="210"/>
      <c r="BC15" s="210"/>
      <c r="BD15" s="210"/>
      <c r="BE15" s="210"/>
      <c r="BF15" s="210"/>
      <c r="BG15" s="210"/>
      <c r="BH15" s="210"/>
      <c r="BI15" s="210"/>
      <c r="BJ15" s="210"/>
      <c r="BK15" s="210"/>
      <c r="BL15" s="210"/>
      <c r="BM15" s="210"/>
      <c r="BN15" s="210"/>
      <c r="BO15" s="210"/>
      <c r="BP15" s="210"/>
      <c r="BQ15" s="210"/>
      <c r="BR15" s="210"/>
      <c r="BS15" s="210"/>
      <c r="BT15" s="210"/>
      <c r="BU15" s="210"/>
      <c r="BV15" s="210"/>
      <c r="BW15" s="210"/>
      <c r="BX15" s="210"/>
      <c r="BY15" s="210"/>
      <c r="BZ15" s="210"/>
      <c r="CA15" s="210"/>
      <c r="CB15" s="210"/>
      <c r="CC15" s="210"/>
      <c r="CD15" s="210"/>
      <c r="CE15" s="210"/>
      <c r="CF15" s="210"/>
      <c r="CG15" s="210"/>
      <c r="CH15" s="210"/>
      <c r="CI15" s="210"/>
      <c r="CJ15" s="210"/>
      <c r="CK15" s="210"/>
      <c r="CL15" s="210"/>
      <c r="CM15" s="210"/>
    </row>
    <row r="16" spans="1:91" s="1" customFormat="1" x14ac:dyDescent="0.25">
      <c r="A16" s="32" t="s">
        <v>637</v>
      </c>
      <c r="B16" s="7">
        <v>4041</v>
      </c>
      <c r="C16" s="21" t="s">
        <v>194</v>
      </c>
      <c r="D16" s="21" t="s">
        <v>454</v>
      </c>
      <c r="E16" s="13">
        <v>43011.191782407404</v>
      </c>
      <c r="F16" s="13">
        <v>43011.196006944447</v>
      </c>
      <c r="G16" s="7">
        <v>52</v>
      </c>
      <c r="H16" s="21" t="s">
        <v>335</v>
      </c>
      <c r="I16" s="13">
        <v>43011.222129629627</v>
      </c>
      <c r="J16" s="7">
        <v>0</v>
      </c>
      <c r="K16" s="85" t="str">
        <f t="shared" si="0"/>
        <v>4041/4042</v>
      </c>
      <c r="L16" s="179" t="str">
        <f>VLOOKUP(A16,'Trips&amp;Operators'!$C$1:$G$99911,5,FALSE)</f>
        <v>BONDS REYNALDO</v>
      </c>
      <c r="M16" s="6">
        <f t="shared" si="1"/>
        <v>2.6122685179871041E-2</v>
      </c>
      <c r="N16" s="7">
        <f t="shared" si="2"/>
        <v>37.6166666590143</v>
      </c>
      <c r="O16" s="7"/>
      <c r="P16" s="7"/>
      <c r="Q16" s="22"/>
      <c r="R16" s="169"/>
      <c r="S16" s="202">
        <f t="shared" si="3"/>
        <v>1</v>
      </c>
      <c r="T16" s="169" t="str">
        <f t="shared" si="4"/>
        <v>Southbound</v>
      </c>
      <c r="U16" s="22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2" t="str">
        <f t="shared" si="5"/>
        <v>https://d0f6bd738d7f1b3e5a7ca70fe4ff75f0.us-east-1.aws.found.io/app/kibana#/discover/Steve-Slow-Train-Analysis-(2080s-and-2083s)?_g=(refreshInterval:(display:Off,pause:!f,section:0,value:0),time:(from:'2017-10-03T03:36:10-0600',mode:absolute,to:'2017-10-03T06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23" t="str">
        <f>IF(AA16&lt;VLOOKUP(AG16,Variables!$AC$3:$AD$8,2,FALSE),"Y","N")</f>
        <v>N</v>
      </c>
      <c r="X16" s="223">
        <f t="shared" si="6"/>
        <v>1</v>
      </c>
      <c r="Y16" s="223">
        <f t="shared" si="7"/>
        <v>23.299399999999999</v>
      </c>
      <c r="Z16" s="223">
        <f t="shared" si="8"/>
        <v>1.4999999999999999E-2</v>
      </c>
      <c r="AA16" s="223">
        <f t="shared" si="9"/>
        <v>23.284399999999998</v>
      </c>
      <c r="AB16" s="224" t="e">
        <f>VLOOKUP(A16,Enforcements!$C$7:$K$11,8,0)</f>
        <v>#N/A</v>
      </c>
      <c r="AC16" s="224" t="e">
        <f>VLOOKUP(A16,Enforcements!$C$7:$E$11,3,0)</f>
        <v>#N/A</v>
      </c>
      <c r="AD16" s="225">
        <f t="shared" si="10"/>
        <v>104</v>
      </c>
      <c r="AE16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6" s="227" t="str">
        <f t="shared" si="12"/>
        <v>"C:\Program Files (x86)\AstroGrep\AstroGrep.exe" /e /r /s /spath="%USERPROFILE%\AppData\Local\Temp\OnboardLogs" /stypes="app*4041*20171003*" /stext=" 11:.+((SYSTEM_STATE.+slice.+state.+changed )|(ment ac)|(multiple cpu faults)|(system.+state.+changed )|(\[timeout)|(PRM\|1\|D)|(kpr)|(kdp)|(train st.+moving)|(\|lc)|(penalty))"</v>
      </c>
      <c r="AG16" s="228" t="str">
        <f t="shared" si="13"/>
        <v>EC</v>
      </c>
      <c r="AH16" s="229" t="str">
        <f t="shared" si="19"/>
        <v>"%USERPROFILE%\Documents\GitHub\eaglep3\Utilities\RefineRTDCRunTimes.py" --tripid 104-03 --locoid 4041 --swversion DE.1.0.9.0 --startMP 204:232994 --initTime 2017-10-03T04:36:10 --startdatetime 2017-10-03T04:42:15 --delay 52 --endMP 204:150 --enddatetime 2017-10-03T05:19:52 --enforcementcount 0 &gt;&gt;%USERPROFILE%\Documents\GitHub\eaglep3-reporting\EC\2017-10-03-refined-times.txt</v>
      </c>
      <c r="AI1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ID","value":"104-03"},{"id":16,"name":"Locomotive ID","value":"4041"},{"id":130,"name":"Impact","value":""},{"id":150,"name":"Time of Event (Mountain Time)","value":"05:19:52"},{"id":151,"name":"Denver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10"/>
      <c r="AK16" s="225"/>
      <c r="AL16" s="225"/>
      <c r="AM16" s="231" t="str">
        <f t="shared" si="21"/>
        <v>start /low /b %USERPROFILE%\Documents\GitHub\eaglep3\Utilities\DownloadLogsFromS3.py --loco 4041 --day 2017-10-03</v>
      </c>
      <c r="AN1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10" t="str">
        <f t="shared" si="23"/>
        <v>https://d0f6bd738d7f1b3e5a7ca70fe4ff75f0.us-east-1.aws.found.io/app/kibana#/discover/Steve-Slow-Train-Analysis-(2080s-and-2083s)?_g=(refreshInterval:(display:Off,pause:!f,section:0,value:0),time:(from:'2017-10-03T03:36:10-0600',mode:absolute,to:'2017-10-03T06:19:52-0600'))&amp;_a=(columns:!('Message%20ID',Summary),filters:!(),index:'emp_*',interval:auto,query:(query_string:(analyze_wildcard:!t,query:'%22rtdc.l.rtdc.4041%22')),sort:!(Time.ISO8601,asc))</v>
      </c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210"/>
      <c r="BJ16" s="210"/>
      <c r="BK16" s="210"/>
      <c r="BL16" s="210"/>
      <c r="BM16" s="210"/>
      <c r="BN16" s="210"/>
      <c r="BO16" s="210"/>
      <c r="BP16" s="210"/>
      <c r="BQ16" s="210"/>
      <c r="BR16" s="210"/>
      <c r="BS16" s="210"/>
      <c r="BT16" s="210"/>
      <c r="BU16" s="210"/>
      <c r="BV16" s="210"/>
      <c r="BW16" s="210"/>
      <c r="BX16" s="210"/>
      <c r="BY16" s="210"/>
      <c r="BZ16" s="210"/>
      <c r="CA16" s="210"/>
      <c r="CB16" s="210"/>
      <c r="CC16" s="210"/>
      <c r="CD16" s="210"/>
      <c r="CE16" s="210"/>
      <c r="CF16" s="210"/>
      <c r="CG16" s="210"/>
      <c r="CH16" s="210"/>
      <c r="CI16" s="210"/>
      <c r="CJ16" s="210"/>
      <c r="CK16" s="210"/>
      <c r="CL16" s="210"/>
      <c r="CM16" s="210"/>
    </row>
    <row r="17" spans="1:91" s="1" customFormat="1" x14ac:dyDescent="0.25">
      <c r="A17" s="32" t="s">
        <v>634</v>
      </c>
      <c r="B17" s="7">
        <v>4032</v>
      </c>
      <c r="C17" s="21" t="s">
        <v>194</v>
      </c>
      <c r="D17" s="21" t="s">
        <v>460</v>
      </c>
      <c r="E17" s="13">
        <v>43011.174733796295</v>
      </c>
      <c r="F17" s="13">
        <v>43011.177361111113</v>
      </c>
      <c r="G17" s="7">
        <v>66</v>
      </c>
      <c r="H17" s="21" t="s">
        <v>848</v>
      </c>
      <c r="I17" s="13">
        <v>43011.202951388892</v>
      </c>
      <c r="J17" s="7">
        <v>0</v>
      </c>
      <c r="K17" s="85" t="str">
        <f t="shared" si="0"/>
        <v>4031/4032</v>
      </c>
      <c r="L17" s="179" t="str">
        <f>VLOOKUP(A17,'Trips&amp;Operators'!$C$1:$G$99911,5,FALSE)</f>
        <v>THOMPSON LESTER</v>
      </c>
      <c r="M17" s="6">
        <f t="shared" si="1"/>
        <v>2.5590277778974269E-2</v>
      </c>
      <c r="N17" s="7">
        <f t="shared" si="2"/>
        <v>36.850000001722947</v>
      </c>
      <c r="O17" s="7"/>
      <c r="P17" s="7"/>
      <c r="Q17" s="22"/>
      <c r="R17" s="169"/>
      <c r="S17" s="202">
        <f t="shared" si="3"/>
        <v>1</v>
      </c>
      <c r="T17" s="169" t="str">
        <f t="shared" si="4"/>
        <v>NorthBound</v>
      </c>
      <c r="U17" s="22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2" t="str">
        <f t="shared" si="5"/>
        <v>https://d0f6bd738d7f1b3e5a7ca70fe4ff75f0.us-east-1.aws.found.io/app/kibana#/discover/Steve-Slow-Train-Analysis-(2080s-and-2083s)?_g=(refreshInterval:(display:Off,pause:!f,section:0,value:0),time:(from:'2017-10-03T03:11:37-0600',mode:absolute,to:'2017-10-03T05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23" t="str">
        <f>IF(AA17&lt;VLOOKUP(AG17,Variables!$AC$3:$AD$8,2,FALSE),"Y","N")</f>
        <v>N</v>
      </c>
      <c r="X17" s="223">
        <f t="shared" si="6"/>
        <v>1</v>
      </c>
      <c r="Y17" s="223">
        <f t="shared" si="7"/>
        <v>4.4900000000000002E-2</v>
      </c>
      <c r="Z17" s="223">
        <f t="shared" si="8"/>
        <v>23.3324</v>
      </c>
      <c r="AA17" s="223">
        <f t="shared" si="9"/>
        <v>23.287500000000001</v>
      </c>
      <c r="AB17" s="224" t="e">
        <f>VLOOKUP(A17,Enforcements!$C$7:$K$11,8,0)</f>
        <v>#N/A</v>
      </c>
      <c r="AC17" s="224" t="e">
        <f>VLOOKUP(A17,Enforcements!$C$7:$E$11,3,0)</f>
        <v>#N/A</v>
      </c>
      <c r="AD17" s="225">
        <f t="shared" si="10"/>
        <v>105</v>
      </c>
      <c r="AE17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7" s="227" t="str">
        <f t="shared" si="12"/>
        <v>"C:\Program Files (x86)\AstroGrep\AstroGrep.exe" /e /r /s /spath="%USERPROFILE%\AppData\Local\Temp\OnboardLogs" /stypes="app*4032*20171003*" /stext=" 10:.+((SYSTEM_STATE.+slice.+state.+changed )|(ment ac)|(multiple cpu faults)|(system.+state.+changed )|(\[timeout)|(PRM\|1\|D)|(kpr)|(kdp)|(train st.+moving)|(\|lc)|(penalty))"</v>
      </c>
      <c r="AG17" s="228" t="str">
        <f t="shared" si="13"/>
        <v>EC</v>
      </c>
      <c r="AH17" s="229" t="str">
        <f t="shared" si="19"/>
        <v>"%USERPROFILE%\Documents\GitHub\eaglep3\Utilities\RefineRTDCRunTimes.py" --tripid 105-03 --locoid 4032 --swversion DE.1.0.9.0 --startMP 204:449 --initTime 2017-10-03T04:11:37 --startdatetime 2017-10-03T04:15:24 --delay 66 --endMP 204:233324 --enddatetime 2017-10-03T04:52:15 --enforcementcount 0 &gt;&gt;%USERPROFILE%\Documents\GitHub\eaglep3-reporting\EC\2017-10-03-refined-times.txt</v>
      </c>
      <c r="AI1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{"issue":{"subject":"","project_id":79,"tracker_id":40,"status_id":1,"priority_id":2,"assigned_to_id":338,"start_date":"2017-10-03","description":"","custom_fields":[{"id":1,"name":"Subdivision","value":"EC"},{"id":4,"name":"Milepost","value":"23.3324"},{"id":17,"name":"Train ID","value":"105-03"},{"id":16,"name":"Locomotive ID","value":"4032"},{"id":130,"name":"Impact","value":""},{"id":150,"name":"Time of Event (Mountain Time)","value":"04:52:15"},{"id":151,"name":"Denver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10"/>
      <c r="AK17" s="225"/>
      <c r="AL17" s="225"/>
      <c r="AM17" s="231" t="str">
        <f t="shared" si="21"/>
        <v>start /low /b %USERPROFILE%\Documents\GitHub\eaglep3\Utilities\DownloadLogsFromS3.py --loco 4032 --day 2017-10-03</v>
      </c>
      <c r="AN1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10" t="str">
        <f t="shared" si="23"/>
        <v>https://d0f6bd738d7f1b3e5a7ca70fe4ff75f0.us-east-1.aws.found.io/app/kibana#/discover/Steve-Slow-Train-Analysis-(2080s-and-2083s)?_g=(refreshInterval:(display:Off,pause:!f,section:0,value:0),time:(from:'2017-10-03T03:11:37-0600',mode:absolute,to:'2017-10-03T05:52:15-0600'))&amp;_a=(columns:!('Message%20ID',Summary),filters:!(),index:'emp_*',interval:auto,query:(query_string:(analyze_wildcard:!t,query:'%22rtdc.l.rtdc.4032%22')),sort:!(Time.ISO8601,asc))</v>
      </c>
      <c r="AP17" s="210"/>
      <c r="AQ17" s="210"/>
      <c r="AR17" s="210"/>
      <c r="AS17" s="210"/>
      <c r="AT17" s="210"/>
      <c r="AU17" s="210"/>
      <c r="AV17" s="210"/>
      <c r="AW17" s="210"/>
      <c r="AX17" s="210"/>
      <c r="AY17" s="210"/>
      <c r="AZ17" s="210"/>
      <c r="BA17" s="210"/>
      <c r="BB17" s="210"/>
      <c r="BC17" s="210"/>
      <c r="BD17" s="210"/>
      <c r="BE17" s="210"/>
      <c r="BF17" s="210"/>
      <c r="BG17" s="210"/>
      <c r="BH17" s="210"/>
      <c r="BI17" s="210"/>
      <c r="BJ17" s="210"/>
      <c r="BK17" s="210"/>
      <c r="BL17" s="210"/>
      <c r="BM17" s="210"/>
      <c r="BN17" s="210"/>
      <c r="BO17" s="210"/>
      <c r="BP17" s="210"/>
      <c r="BQ17" s="210"/>
      <c r="BR17" s="210"/>
      <c r="BS17" s="210"/>
      <c r="BT17" s="210"/>
      <c r="BU17" s="210"/>
      <c r="BV17" s="210"/>
      <c r="BW17" s="210"/>
      <c r="BX17" s="210"/>
      <c r="BY17" s="210"/>
      <c r="BZ17" s="210"/>
      <c r="CA17" s="210"/>
      <c r="CB17" s="210"/>
      <c r="CC17" s="210"/>
      <c r="CD17" s="210"/>
      <c r="CE17" s="210"/>
      <c r="CF17" s="210"/>
      <c r="CG17" s="210"/>
      <c r="CH17" s="210"/>
      <c r="CI17" s="210"/>
      <c r="CJ17" s="210"/>
      <c r="CK17" s="210"/>
      <c r="CL17" s="210"/>
      <c r="CM17" s="210"/>
    </row>
    <row r="18" spans="1:91" s="1" customFormat="1" x14ac:dyDescent="0.25">
      <c r="A18" s="32" t="s">
        <v>644</v>
      </c>
      <c r="B18" s="7">
        <v>4031</v>
      </c>
      <c r="C18" s="21" t="s">
        <v>194</v>
      </c>
      <c r="D18" s="21" t="s">
        <v>397</v>
      </c>
      <c r="E18" s="13">
        <v>43011.215428240743</v>
      </c>
      <c r="F18" s="13">
        <v>43011.216944444444</v>
      </c>
      <c r="G18" s="7">
        <v>50</v>
      </c>
      <c r="H18" s="21" t="s">
        <v>339</v>
      </c>
      <c r="I18" s="13">
        <v>43011.243634259263</v>
      </c>
      <c r="J18" s="7">
        <v>0</v>
      </c>
      <c r="K18" s="85" t="str">
        <f t="shared" si="0"/>
        <v>4031/4032</v>
      </c>
      <c r="L18" s="179" t="str">
        <f>VLOOKUP(A18,'Trips&amp;Operators'!$C$1:$G$99911,5,FALSE)</f>
        <v>THOMPSON LESTER</v>
      </c>
      <c r="M18" s="6">
        <f t="shared" si="1"/>
        <v>2.6689814818382729E-2</v>
      </c>
      <c r="N18" s="7">
        <f t="shared" si="2"/>
        <v>38.43333333847113</v>
      </c>
      <c r="O18" s="7"/>
      <c r="P18" s="7"/>
      <c r="Q18" s="22"/>
      <c r="R18" s="169"/>
      <c r="S18" s="202">
        <f t="shared" si="3"/>
        <v>1</v>
      </c>
      <c r="T18" s="169" t="str">
        <f t="shared" si="4"/>
        <v>Southbound</v>
      </c>
      <c r="U18" s="22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2" t="str">
        <f t="shared" si="5"/>
        <v>https://d0f6bd738d7f1b3e5a7ca70fe4ff75f0.us-east-1.aws.found.io/app/kibana#/discover/Steve-Slow-Train-Analysis-(2080s-and-2083s)?_g=(refreshInterval:(display:Off,pause:!f,section:0,value:0),time:(from:'2017-10-03T04:10:13-0600',mode:absolute,to:'2017-10-03T06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23" t="str">
        <f>IF(AA18&lt;VLOOKUP(AG18,Variables!$AC$3:$AD$8,2,FALSE),"Y","N")</f>
        <v>N</v>
      </c>
      <c r="X18" s="223">
        <f t="shared" si="6"/>
        <v>1</v>
      </c>
      <c r="Y18" s="223">
        <f t="shared" si="7"/>
        <v>23.298200000000001</v>
      </c>
      <c r="Z18" s="223">
        <f t="shared" si="8"/>
        <v>1.41E-2</v>
      </c>
      <c r="AA18" s="223">
        <f t="shared" si="9"/>
        <v>23.284100000000002</v>
      </c>
      <c r="AB18" s="224" t="e">
        <f>VLOOKUP(A18,Enforcements!$C$7:$K$11,8,0)</f>
        <v>#N/A</v>
      </c>
      <c r="AC18" s="224" t="e">
        <f>VLOOKUP(A18,Enforcements!$C$7:$E$11,3,0)</f>
        <v>#N/A</v>
      </c>
      <c r="AD18" s="225">
        <f t="shared" si="10"/>
        <v>106</v>
      </c>
      <c r="AE18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8" s="227" t="str">
        <f t="shared" si="12"/>
        <v>"C:\Program Files (x86)\AstroGrep\AstroGrep.exe" /e /r /s /spath="%USERPROFILE%\AppData\Local\Temp\OnboardLogs" /stypes="app*4031*20171003*" /stext=" 11:.+((SYSTEM_STATE.+slice.+state.+changed )|(ment ac)|(multiple cpu faults)|(system.+state.+changed )|(\[timeout)|(PRM\|1\|D)|(kpr)|(kdp)|(train st.+moving)|(\|lc)|(penalty))"</v>
      </c>
      <c r="AG18" s="228" t="str">
        <f t="shared" si="13"/>
        <v>EC</v>
      </c>
      <c r="AH18" s="229" t="str">
        <f t="shared" si="19"/>
        <v>"%USERPROFILE%\Documents\GitHub\eaglep3\Utilities\RefineRTDCRunTimes.py" --tripid 106-03 --locoid 4031 --swversion DE.1.0.9.0 --startMP 204:232982 --initTime 2017-10-03T05:10:13 --startdatetime 2017-10-03T05:12:24 --delay 50 --endMP 204:141 --enddatetime 2017-10-03T05:50:50 --enforcementcount 0 &gt;&gt;%USERPROFILE%\Documents\GitHub\eaglep3-reporting\EC\2017-10-03-refined-times.txt</v>
      </c>
      <c r="AI1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{"issue":{"subject":"","project_id":79,"tracker_id":40,"status_id":1,"priority_id":2,"assigned_to_id":338,"start_date":"2017-10-03","description":"","custom_fields":[{"id":1,"name":"Subdivision","value":"EC"},{"id":4,"name":"Milepost","value":"0.0141"},{"id":17,"name":"Train ID","value":"106-03"},{"id":16,"name":"Locomotive ID","value":"4031"},{"id":130,"name":"Impact","value":""},{"id":150,"name":"Time of Event (Mountain Time)","value":"05:50:50"},{"id":151,"name":"Denver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10"/>
      <c r="AK18" s="225"/>
      <c r="AL18" s="225"/>
      <c r="AM18" s="231" t="str">
        <f t="shared" si="21"/>
        <v>start /low /b %USERPROFILE%\Documents\GitHub\eaglep3\Utilities\DownloadLogsFromS3.py --loco 4031 --day 2017-10-03</v>
      </c>
      <c r="AN1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10" t="str">
        <f t="shared" si="23"/>
        <v>https://d0f6bd738d7f1b3e5a7ca70fe4ff75f0.us-east-1.aws.found.io/app/kibana#/discover/Steve-Slow-Train-Analysis-(2080s-and-2083s)?_g=(refreshInterval:(display:Off,pause:!f,section:0,value:0),time:(from:'2017-10-03T04:10:13-0600',mode:absolute,to:'2017-10-03T06:50:50-0600'))&amp;_a=(columns:!('Message%20ID',Summary),filters:!(),index:'emp_*',interval:auto,query:(query_string:(analyze_wildcard:!t,query:'%22rtdc.l.rtdc.4031%22')),sort:!(Time.ISO8601,asc))</v>
      </c>
      <c r="AP18" s="210"/>
      <c r="AQ18" s="210"/>
      <c r="AR18" s="210"/>
      <c r="AS18" s="210"/>
      <c r="AT18" s="210"/>
      <c r="AU18" s="210"/>
      <c r="AV18" s="210"/>
      <c r="AW18" s="210"/>
      <c r="AX18" s="210"/>
      <c r="AY18" s="210"/>
      <c r="AZ18" s="210"/>
      <c r="BA18" s="210"/>
      <c r="BB18" s="210"/>
      <c r="BC18" s="210"/>
      <c r="BD18" s="210"/>
      <c r="BE18" s="210"/>
      <c r="BF18" s="210"/>
      <c r="BG18" s="210"/>
      <c r="BH18" s="210"/>
      <c r="BI18" s="210"/>
      <c r="BJ18" s="210"/>
      <c r="BK18" s="210"/>
      <c r="BL18" s="210"/>
      <c r="BM18" s="210"/>
      <c r="BN18" s="210"/>
      <c r="BO18" s="210"/>
      <c r="BP18" s="210"/>
      <c r="BQ18" s="210"/>
      <c r="BR18" s="210"/>
      <c r="BS18" s="210"/>
      <c r="BT18" s="210"/>
      <c r="BU18" s="210"/>
      <c r="BV18" s="210"/>
      <c r="BW18" s="210"/>
      <c r="BX18" s="210"/>
      <c r="BY18" s="210"/>
      <c r="BZ18" s="210"/>
      <c r="CA18" s="210"/>
      <c r="CB18" s="210"/>
      <c r="CC18" s="210"/>
      <c r="CD18" s="210"/>
      <c r="CE18" s="210"/>
      <c r="CF18" s="210"/>
      <c r="CG18" s="210"/>
      <c r="CH18" s="210"/>
      <c r="CI18" s="210"/>
      <c r="CJ18" s="210"/>
      <c r="CK18" s="210"/>
      <c r="CL18" s="210"/>
      <c r="CM18" s="210"/>
    </row>
    <row r="19" spans="1:91" s="1" customFormat="1" x14ac:dyDescent="0.25">
      <c r="A19" s="32" t="s">
        <v>636</v>
      </c>
      <c r="B19" s="7">
        <v>4056</v>
      </c>
      <c r="C19" s="21" t="s">
        <v>194</v>
      </c>
      <c r="D19" s="21" t="s">
        <v>359</v>
      </c>
      <c r="E19" s="13">
        <v>43011.183715277781</v>
      </c>
      <c r="F19" s="13">
        <v>43011.187731481485</v>
      </c>
      <c r="G19" s="7">
        <v>61</v>
      </c>
      <c r="H19" s="21" t="s">
        <v>559</v>
      </c>
      <c r="I19" s="13">
        <v>43011.211724537039</v>
      </c>
      <c r="J19" s="7">
        <v>0</v>
      </c>
      <c r="K19" s="85" t="str">
        <f t="shared" si="0"/>
        <v>4055/4056</v>
      </c>
      <c r="L19" s="179" t="str">
        <f>VLOOKUP(A19,'Trips&amp;Operators'!$C$1:$G$99911,5,FALSE)</f>
        <v>LALONDE GREGORY</v>
      </c>
      <c r="M19" s="6">
        <f t="shared" si="1"/>
        <v>2.3993055554456078E-2</v>
      </c>
      <c r="N19" s="7">
        <f t="shared" si="2"/>
        <v>34.549999998416752</v>
      </c>
      <c r="O19" s="7"/>
      <c r="P19" s="7"/>
      <c r="Q19" s="22"/>
      <c r="R19" s="169"/>
      <c r="S19" s="202">
        <f t="shared" si="3"/>
        <v>1</v>
      </c>
      <c r="T19" s="169" t="str">
        <f t="shared" si="4"/>
        <v>NorthBound</v>
      </c>
      <c r="U19" s="22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2" t="str">
        <f t="shared" si="5"/>
        <v>https://d0f6bd738d7f1b3e5a7ca70fe4ff75f0.us-east-1.aws.found.io/app/kibana#/discover/Steve-Slow-Train-Analysis-(2080s-and-2083s)?_g=(refreshInterval:(display:Off,pause:!f,section:0,value:0),time:(from:'2017-10-03T03:24:33-0600',mode:absolute,to:'2017-10-03T06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23" t="str">
        <f>IF(AA19&lt;VLOOKUP(AG19,Variables!$AC$3:$AD$8,2,FALSE),"Y","N")</f>
        <v>N</v>
      </c>
      <c r="X19" s="223">
        <f t="shared" si="6"/>
        <v>1</v>
      </c>
      <c r="Y19" s="223">
        <f t="shared" si="7"/>
        <v>4.6399999999999997E-2</v>
      </c>
      <c r="Z19" s="223">
        <f t="shared" si="8"/>
        <v>23.333600000000001</v>
      </c>
      <c r="AA19" s="223">
        <f t="shared" si="9"/>
        <v>23.287200000000002</v>
      </c>
      <c r="AB19" s="224" t="e">
        <f>VLOOKUP(A19,Enforcements!$C$7:$K$11,8,0)</f>
        <v>#N/A</v>
      </c>
      <c r="AC19" s="224" t="e">
        <f>VLOOKUP(A19,Enforcements!$C$7:$E$11,3,0)</f>
        <v>#N/A</v>
      </c>
      <c r="AD19" s="225">
        <f t="shared" si="10"/>
        <v>107</v>
      </c>
      <c r="AE19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9" s="227" t="str">
        <f t="shared" si="12"/>
        <v>"C:\Program Files (x86)\AstroGrep\AstroGrep.exe" /e /r /s /spath="%USERPROFILE%\AppData\Local\Temp\OnboardLogs" /stypes="app*4056*20171003*" /stext=" 11:.+((SYSTEM_STATE.+slice.+state.+changed )|(ment ac)|(multiple cpu faults)|(system.+state.+changed )|(\[timeout)|(PRM\|1\|D)|(kpr)|(kdp)|(train st.+moving)|(\|lc)|(penalty))"</v>
      </c>
      <c r="AG19" s="228" t="str">
        <f t="shared" si="13"/>
        <v>EC</v>
      </c>
      <c r="AH19" s="229" t="str">
        <f t="shared" si="19"/>
        <v>"%USERPROFILE%\Documents\GitHub\eaglep3\Utilities\RefineRTDCRunTimes.py" --tripid 107-03 --locoid 4056 --swversion DE.1.0.9.0 --startMP 204:464 --initTime 2017-10-03T04:24:33 --startdatetime 2017-10-03T04:30:20 --delay 61 --endMP 204:233336 --enddatetime 2017-10-03T05:04:53 --enforcementcount 0 &gt;&gt;%USERPROFILE%\Documents\GitHub\eaglep3-reporting\EC\2017-10-03-refined-times.txt</v>
      </c>
      <c r="AI1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{"issue":{"subject":"","project_id":79,"tracker_id":40,"status_id":1,"priority_id":2,"assigned_to_id":338,"start_date":"2017-10-03","description":"","custom_fields":[{"id":1,"name":"Subdivision","value":"EC"},{"id":4,"name":"Milepost","value":"23.3336"},{"id":17,"name":"Train ID","value":"107-03"},{"id":16,"name":"Locomotive ID","value":"4056"},{"id":130,"name":"Impact","value":""},{"id":150,"name":"Time of Event (Mountain Time)","value":"05:04:53"},{"id":151,"name":"Denver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10"/>
      <c r="AK19" s="225"/>
      <c r="AL19" s="225"/>
      <c r="AM19" s="231" t="str">
        <f t="shared" si="21"/>
        <v>start /low /b %USERPROFILE%\Documents\GitHub\eaglep3\Utilities\DownloadLogsFromS3.py --loco 4056 --day 2017-10-03</v>
      </c>
      <c r="AN1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10" t="str">
        <f t="shared" si="23"/>
        <v>https://d0f6bd738d7f1b3e5a7ca70fe4ff75f0.us-east-1.aws.found.io/app/kibana#/discover/Steve-Slow-Train-Analysis-(2080s-and-2083s)?_g=(refreshInterval:(display:Off,pause:!f,section:0,value:0),time:(from:'2017-10-03T03:24:33-0600',mode:absolute,to:'2017-10-03T06:04:53-0600'))&amp;_a=(columns:!('Message%20ID',Summary),filters:!(),index:'emp_*',interval:auto,query:(query_string:(analyze_wildcard:!t,query:'%22rtdc.l.rtdc.4056%22')),sort:!(Time.ISO8601,asc))</v>
      </c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  <c r="AZ19" s="210"/>
      <c r="BA19" s="210"/>
      <c r="BB19" s="210"/>
      <c r="BC19" s="210"/>
      <c r="BD19" s="210"/>
      <c r="BE19" s="210"/>
      <c r="BF19" s="210"/>
      <c r="BG19" s="210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210"/>
      <c r="BT19" s="210"/>
      <c r="BU19" s="210"/>
      <c r="BV19" s="210"/>
      <c r="BW19" s="210"/>
      <c r="BX19" s="210"/>
      <c r="BY19" s="210"/>
      <c r="BZ19" s="210"/>
      <c r="CA19" s="210"/>
      <c r="CB19" s="210"/>
      <c r="CC19" s="210"/>
      <c r="CD19" s="210"/>
      <c r="CE19" s="210"/>
      <c r="CF19" s="210"/>
      <c r="CG19" s="210"/>
      <c r="CH19" s="210"/>
      <c r="CI19" s="210"/>
      <c r="CJ19" s="210"/>
      <c r="CK19" s="210"/>
      <c r="CL19" s="210"/>
      <c r="CM19" s="210"/>
    </row>
    <row r="20" spans="1:91" s="1" customFormat="1" x14ac:dyDescent="0.25">
      <c r="A20" s="32" t="s">
        <v>645</v>
      </c>
      <c r="B20" s="7">
        <v>4055</v>
      </c>
      <c r="C20" s="21" t="s">
        <v>194</v>
      </c>
      <c r="D20" s="21" t="s">
        <v>849</v>
      </c>
      <c r="E20" s="13">
        <v>43011.215682870374</v>
      </c>
      <c r="F20" s="13">
        <v>43011.227303240739</v>
      </c>
      <c r="G20" s="7">
        <v>60</v>
      </c>
      <c r="H20" s="21" t="s">
        <v>366</v>
      </c>
      <c r="I20" s="13">
        <v>43011.252500000002</v>
      </c>
      <c r="J20" s="7">
        <v>0</v>
      </c>
      <c r="K20" s="85" t="str">
        <f t="shared" si="0"/>
        <v>4055/4056</v>
      </c>
      <c r="L20" s="179" t="str">
        <f>VLOOKUP(A20,'Trips&amp;Operators'!$C$1:$G$99911,5,FALSE)</f>
        <v>LALONDE GREGORY</v>
      </c>
      <c r="M20" s="6">
        <f t="shared" si="1"/>
        <v>2.5196759263053536E-2</v>
      </c>
      <c r="N20" s="7">
        <f t="shared" si="2"/>
        <v>36.283333338797092</v>
      </c>
      <c r="O20" s="7"/>
      <c r="P20" s="7"/>
      <c r="Q20" s="22"/>
      <c r="R20" s="169"/>
      <c r="S20" s="202">
        <f t="shared" si="3"/>
        <v>1</v>
      </c>
      <c r="T20" s="169" t="str">
        <f t="shared" si="4"/>
        <v>Southbound</v>
      </c>
      <c r="U20" s="22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2" t="str">
        <f t="shared" si="5"/>
        <v>https://d0f6bd738d7f1b3e5a7ca70fe4ff75f0.us-east-1.aws.found.io/app/kibana#/discover/Steve-Slow-Train-Analysis-(2080s-and-2083s)?_g=(refreshInterval:(display:Off,pause:!f,section:0,value:0),time:(from:'2017-10-03T04:10:35-0600',mode:absolute,to:'2017-10-03T07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23" t="str">
        <f>IF(AA20&lt;VLOOKUP(AG20,Variables!$AC$3:$AD$8,2,FALSE),"Y","N")</f>
        <v>N</v>
      </c>
      <c r="X20" s="223">
        <f t="shared" si="6"/>
        <v>1</v>
      </c>
      <c r="Y20" s="223">
        <f t="shared" si="7"/>
        <v>23.302299999999999</v>
      </c>
      <c r="Z20" s="223">
        <f t="shared" si="8"/>
        <v>1.61E-2</v>
      </c>
      <c r="AA20" s="223">
        <f t="shared" si="9"/>
        <v>23.286199999999997</v>
      </c>
      <c r="AB20" s="224" t="e">
        <f>VLOOKUP(A20,Enforcements!$C$7:$K$11,8,0)</f>
        <v>#N/A</v>
      </c>
      <c r="AC20" s="224" t="e">
        <f>VLOOKUP(A20,Enforcements!$C$7:$E$11,3,0)</f>
        <v>#N/A</v>
      </c>
      <c r="AD20" s="225">
        <f t="shared" si="10"/>
        <v>108</v>
      </c>
      <c r="AE20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20" s="227" t="str">
        <f t="shared" si="12"/>
        <v>"C:\Program Files (x86)\AstroGrep\AstroGrep.exe" /e /r /s /spath="%USERPROFILE%\AppData\Local\Temp\OnboardLogs" /stypes="app*4055*20171003*" /stext=" 12:.+((SYSTEM_STATE.+slice.+state.+changed )|(ment ac)|(multiple cpu faults)|(system.+state.+changed )|(\[timeout)|(PRM\|1\|D)|(kpr)|(kdp)|(train st.+moving)|(\|lc)|(penalty))"</v>
      </c>
      <c r="AG20" s="228" t="str">
        <f t="shared" si="13"/>
        <v>EC</v>
      </c>
      <c r="AH20" s="229" t="str">
        <f t="shared" si="19"/>
        <v>"%USERPROFILE%\Documents\GitHub\eaglep3\Utilities\RefineRTDCRunTimes.py" --tripid 108-03 --locoid 4055 --swversion DE.1.0.9.0 --startMP 204:233023 --initTime 2017-10-03T05:10:35 --startdatetime 2017-10-03T05:27:19 --delay 60 --endMP 204:161 --enddatetime 2017-10-03T06:03:36 --enforcementcount 0 &gt;&gt;%USERPROFILE%\Documents\GitHub\eaglep3-reporting\EC\2017-10-03-refined-times.txt</v>
      </c>
      <c r="AI2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ID","value":"108-03"},{"id":16,"name":"Locomotive ID","value":"4055"},{"id":130,"name":"Impact","value":""},{"id":150,"name":"Time of Event (Mountain Time)","value":"06:03:36"},{"id":151,"name":"Denver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10"/>
      <c r="AK20" s="225"/>
      <c r="AL20" s="225"/>
      <c r="AM20" s="231" t="str">
        <f t="shared" si="21"/>
        <v>start /low /b %USERPROFILE%\Documents\GitHub\eaglep3\Utilities\DownloadLogsFromS3.py --loco 4055 --day 2017-10-03</v>
      </c>
      <c r="AN2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10" t="str">
        <f t="shared" si="23"/>
        <v>https://d0f6bd738d7f1b3e5a7ca70fe4ff75f0.us-east-1.aws.found.io/app/kibana#/discover/Steve-Slow-Train-Analysis-(2080s-and-2083s)?_g=(refreshInterval:(display:Off,pause:!f,section:0,value:0),time:(from:'2017-10-03T04:10:35-0600',mode:absolute,to:'2017-10-03T07:03:36-0600'))&amp;_a=(columns:!('Message%20ID',Summary),filters:!(),index:'emp_*',interval:auto,query:(query_string:(analyze_wildcard:!t,query:'%22rtdc.l.rtdc.4055%22')),sort:!(Time.ISO8601,asc))</v>
      </c>
      <c r="AP20" s="210"/>
      <c r="AQ20" s="210"/>
      <c r="AR20" s="210"/>
      <c r="AS20" s="210"/>
      <c r="AT20" s="210"/>
      <c r="AU20" s="210"/>
      <c r="AV20" s="210"/>
      <c r="AW20" s="210"/>
      <c r="AX20" s="210"/>
      <c r="AY20" s="210"/>
      <c r="AZ20" s="210"/>
      <c r="BA20" s="210"/>
      <c r="BB20" s="210"/>
      <c r="BC20" s="210"/>
      <c r="BD20" s="210"/>
      <c r="BE20" s="210"/>
      <c r="BF20" s="210"/>
      <c r="BG20" s="210"/>
      <c r="BH20" s="210"/>
      <c r="BI20" s="210"/>
      <c r="BJ20" s="210"/>
      <c r="BK20" s="210"/>
      <c r="BL20" s="210"/>
      <c r="BM20" s="210"/>
      <c r="BN20" s="210"/>
      <c r="BO20" s="210"/>
      <c r="BP20" s="210"/>
      <c r="BQ20" s="210"/>
      <c r="BR20" s="210"/>
      <c r="BS20" s="210"/>
      <c r="BT20" s="210"/>
      <c r="BU20" s="210"/>
      <c r="BV20" s="210"/>
      <c r="BW20" s="210"/>
      <c r="BX20" s="210"/>
      <c r="BY20" s="210"/>
      <c r="BZ20" s="210"/>
      <c r="CA20" s="210"/>
      <c r="CB20" s="210"/>
      <c r="CC20" s="210"/>
      <c r="CD20" s="210"/>
      <c r="CE20" s="210"/>
      <c r="CF20" s="210"/>
      <c r="CG20" s="210"/>
      <c r="CH20" s="210"/>
      <c r="CI20" s="210"/>
      <c r="CJ20" s="210"/>
      <c r="CK20" s="210"/>
      <c r="CL20" s="210"/>
      <c r="CM20" s="210"/>
    </row>
    <row r="21" spans="1:91" s="1" customFormat="1" x14ac:dyDescent="0.25">
      <c r="A21" s="32" t="s">
        <v>638</v>
      </c>
      <c r="B21" s="7">
        <v>4060</v>
      </c>
      <c r="C21" s="21" t="s">
        <v>194</v>
      </c>
      <c r="D21" s="21" t="s">
        <v>401</v>
      </c>
      <c r="E21" s="13">
        <v>43011.19358796296</v>
      </c>
      <c r="F21" s="13">
        <v>43011.198101851849</v>
      </c>
      <c r="G21" s="7">
        <v>94</v>
      </c>
      <c r="H21" s="21" t="s">
        <v>382</v>
      </c>
      <c r="I21" s="13">
        <v>43011.223553240743</v>
      </c>
      <c r="J21" s="7">
        <v>0</v>
      </c>
      <c r="K21" s="85" t="str">
        <f t="shared" si="0"/>
        <v>4059/4060</v>
      </c>
      <c r="L21" s="179" t="str">
        <f>VLOOKUP(A21,'Trips&amp;Operators'!$C$1:$G$99911,5,FALSE)</f>
        <v>LAMAR NEKESHA</v>
      </c>
      <c r="M21" s="6">
        <f t="shared" si="1"/>
        <v>2.5451388893998228E-2</v>
      </c>
      <c r="N21" s="7">
        <f t="shared" si="2"/>
        <v>36.650000007357448</v>
      </c>
      <c r="O21" s="7"/>
      <c r="P21" s="7"/>
      <c r="Q21" s="22"/>
      <c r="R21" s="169"/>
      <c r="S21" s="202">
        <f t="shared" si="3"/>
        <v>1</v>
      </c>
      <c r="T21" s="169" t="str">
        <f t="shared" si="4"/>
        <v>NorthBound</v>
      </c>
      <c r="U21" s="22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2" t="str">
        <f t="shared" si="5"/>
        <v>https://d0f6bd738d7f1b3e5a7ca70fe4ff75f0.us-east-1.aws.found.io/app/kibana#/discover/Steve-Slow-Train-Analysis-(2080s-and-2083s)?_g=(refreshInterval:(display:Off,pause:!f,section:0,value:0),time:(from:'2017-10-03T03:38:46-0600',mode:absolute,to:'2017-10-03T06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23" t="str">
        <f>IF(AA21&lt;VLOOKUP(AG21,Variables!$AC$3:$AD$8,2,FALSE),"Y","N")</f>
        <v>N</v>
      </c>
      <c r="X21" s="223">
        <f t="shared" si="6"/>
        <v>1</v>
      </c>
      <c r="Y21" s="223">
        <f t="shared" si="7"/>
        <v>4.5699999999999998E-2</v>
      </c>
      <c r="Z21" s="223">
        <f t="shared" si="8"/>
        <v>23.331199999999999</v>
      </c>
      <c r="AA21" s="223">
        <f t="shared" si="9"/>
        <v>23.285499999999999</v>
      </c>
      <c r="AB21" s="224" t="e">
        <f>VLOOKUP(A21,Enforcements!$C$7:$K$11,8,0)</f>
        <v>#N/A</v>
      </c>
      <c r="AC21" s="224" t="e">
        <f>VLOOKUP(A21,Enforcements!$C$7:$E$11,3,0)</f>
        <v>#N/A</v>
      </c>
      <c r="AD21" s="225">
        <f t="shared" si="10"/>
        <v>109</v>
      </c>
      <c r="AE21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21" s="227" t="str">
        <f t="shared" si="12"/>
        <v>"C:\Program Files (x86)\AstroGrep\AstroGrep.exe" /e /r /s /spath="%USERPROFILE%\AppData\Local\Temp\OnboardLogs" /stypes="app*4060*20171003*" /stext=" 11:.+((SYSTEM_STATE.+slice.+state.+changed )|(ment ac)|(multiple cpu faults)|(system.+state.+changed )|(\[timeout)|(PRM\|1\|D)|(kpr)|(kdp)|(train st.+moving)|(\|lc)|(penalty))"</v>
      </c>
      <c r="AG21" s="228" t="str">
        <f t="shared" si="13"/>
        <v>EC</v>
      </c>
      <c r="AH21" s="229" t="str">
        <f t="shared" si="19"/>
        <v>"%USERPROFILE%\Documents\GitHub\eaglep3\Utilities\RefineRTDCRunTimes.py" --tripid 109-03 --locoid 4060 --swversion DE.1.0.9.0 --startMP 204:457 --initTime 2017-10-03T04:38:46 --startdatetime 2017-10-03T04:45:16 --delay 94 --endMP 204:233312 --enddatetime 2017-10-03T05:21:55 --enforcementcount 0 &gt;&gt;%USERPROFILE%\Documents\GitHub\eaglep3-reporting\EC\2017-10-03-refined-times.txt</v>
      </c>
      <c r="AI2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{"issue":{"subject":"","project_id":79,"tracker_id":40,"status_id":1,"priority_id":2,"assigned_to_id":338,"start_date":"2017-10-03","description":"","custom_fields":[{"id":1,"name":"Subdivision","value":"EC"},{"id":4,"name":"Milepost","value":"23.3312"},{"id":17,"name":"Train ID","value":"109-03"},{"id":16,"name":"Locomotive ID","value":"4060"},{"id":130,"name":"Impact","value":""},{"id":150,"name":"Time of Event (Mountain Time)","value":"05:21:55"},{"id":151,"name":"Denver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10"/>
      <c r="AK21" s="225"/>
      <c r="AL21" s="225"/>
      <c r="AM21" s="231" t="str">
        <f t="shared" si="21"/>
        <v>start /low /b %USERPROFILE%\Documents\GitHub\eaglep3\Utilities\DownloadLogsFromS3.py --loco 4060 --day 2017-10-03</v>
      </c>
      <c r="AN2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10" t="str">
        <f t="shared" si="23"/>
        <v>https://d0f6bd738d7f1b3e5a7ca70fe4ff75f0.us-east-1.aws.found.io/app/kibana#/discover/Steve-Slow-Train-Analysis-(2080s-and-2083s)?_g=(refreshInterval:(display:Off,pause:!f,section:0,value:0),time:(from:'2017-10-03T03:38:46-0600',mode:absolute,to:'2017-10-03T06:21:55-0600'))&amp;_a=(columns:!('Message%20ID',Summary),filters:!(),index:'emp_*',interval:auto,query:(query_string:(analyze_wildcard:!t,query:'%22rtdc.l.rtdc.4060%22')),sort:!(Time.ISO8601,asc))</v>
      </c>
      <c r="AP21" s="210"/>
      <c r="AQ21" s="210"/>
      <c r="AR21" s="210"/>
      <c r="AS21" s="210"/>
      <c r="AT21" s="210"/>
      <c r="AU21" s="210"/>
      <c r="AV21" s="210"/>
      <c r="AW21" s="210"/>
      <c r="AX21" s="210"/>
      <c r="AY21" s="210"/>
      <c r="AZ21" s="210"/>
      <c r="BA21" s="210"/>
      <c r="BB21" s="210"/>
      <c r="BC21" s="210"/>
      <c r="BD21" s="210"/>
      <c r="BE21" s="210"/>
      <c r="BF21" s="210"/>
      <c r="BG21" s="210"/>
      <c r="BH21" s="210"/>
      <c r="BI21" s="210"/>
      <c r="BJ21" s="210"/>
      <c r="BK21" s="210"/>
      <c r="BL21" s="210"/>
      <c r="BM21" s="210"/>
      <c r="BN21" s="210"/>
      <c r="BO21" s="210"/>
      <c r="BP21" s="210"/>
      <c r="BQ21" s="210"/>
      <c r="BR21" s="210"/>
      <c r="BS21" s="210"/>
      <c r="BT21" s="210"/>
      <c r="BU21" s="210"/>
      <c r="BV21" s="210"/>
      <c r="BW21" s="210"/>
      <c r="BX21" s="210"/>
      <c r="BY21" s="210"/>
      <c r="BZ21" s="210"/>
      <c r="CA21" s="210"/>
      <c r="CB21" s="210"/>
      <c r="CC21" s="210"/>
      <c r="CD21" s="210"/>
      <c r="CE21" s="210"/>
      <c r="CF21" s="210"/>
      <c r="CG21" s="210"/>
      <c r="CH21" s="210"/>
      <c r="CI21" s="210"/>
      <c r="CJ21" s="210"/>
      <c r="CK21" s="210"/>
      <c r="CL21" s="210"/>
      <c r="CM21" s="210"/>
    </row>
    <row r="22" spans="1:91" s="1" customFormat="1" x14ac:dyDescent="0.25">
      <c r="A22" s="32" t="s">
        <v>593</v>
      </c>
      <c r="B22" s="7">
        <v>4059</v>
      </c>
      <c r="C22" s="21" t="s">
        <v>194</v>
      </c>
      <c r="D22" s="21" t="s">
        <v>384</v>
      </c>
      <c r="E22" s="13">
        <v>43011.235219907408</v>
      </c>
      <c r="F22" s="13">
        <v>43011.262511574074</v>
      </c>
      <c r="G22" s="7">
        <v>61</v>
      </c>
      <c r="H22" s="21" t="s">
        <v>850</v>
      </c>
      <c r="I22" s="13">
        <v>43011.269537037035</v>
      </c>
      <c r="J22" s="7">
        <v>0</v>
      </c>
      <c r="K22" s="85" t="str">
        <f t="shared" si="0"/>
        <v>4059/4060</v>
      </c>
      <c r="L22" s="179" t="str">
        <f>VLOOKUP(A22,'Trips&amp;Operators'!$C$1:$G$99911,5,FALSE)</f>
        <v>LAMAR NEKESHA</v>
      </c>
      <c r="M22" s="6">
        <f t="shared" si="1"/>
        <v>7.025462960882578E-3</v>
      </c>
      <c r="N22" s="7"/>
      <c r="O22" s="7"/>
      <c r="P22" s="7">
        <f>24*60*SUM($M22:$M22)</f>
        <v>10.116666663670912</v>
      </c>
      <c r="Q22" s="22"/>
      <c r="R22" s="169" t="s">
        <v>485</v>
      </c>
      <c r="S22" s="202">
        <f>1/IF(AG22="EC",12,1)*SUM(U22:U23)</f>
        <v>0.25</v>
      </c>
      <c r="T22" s="169" t="str">
        <f t="shared" si="4"/>
        <v>Southbound</v>
      </c>
      <c r="U22" s="22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222" t="str">
        <f t="shared" si="5"/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23" t="str">
        <f>IF(AA22&lt;VLOOKUP(AG22,Variables!$AC$3:$AD$8,2,FALSE),"Y","N")</f>
        <v>Y</v>
      </c>
      <c r="X22" s="223">
        <f t="shared" si="6"/>
        <v>1</v>
      </c>
      <c r="Y22" s="223">
        <f t="shared" si="7"/>
        <v>23.299800000000001</v>
      </c>
      <c r="Z22" s="223">
        <f t="shared" si="8"/>
        <v>11.934799999999999</v>
      </c>
      <c r="AA22" s="223">
        <f t="shared" si="9"/>
        <v>11.365000000000002</v>
      </c>
      <c r="AB22" s="224" t="e">
        <f>VLOOKUP(A22,Enforcements!$C$7:$K$11,8,0)</f>
        <v>#N/A</v>
      </c>
      <c r="AC22" s="224" t="e">
        <f>VLOOKUP(A22,Enforcements!$C$7:$E$11,3,0)</f>
        <v>#N/A</v>
      </c>
      <c r="AD22" s="225">
        <f t="shared" si="10"/>
        <v>110</v>
      </c>
      <c r="AE22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22" s="227" t="str">
        <f t="shared" si="12"/>
        <v>"C:\Program Files (x86)\AstroGrep\AstroGrep.exe" /e /r /s /spath="%USERPROFILE%\AppData\Local\Temp\OnboardLogs" /stypes="app*4059*20171003*" /stext=" 12:.+((SYSTEM_STATE.+slice.+state.+changed )|(ment ac)|(multiple cpu faults)|(system.+state.+changed )|(\[timeout)|(PRM\|1\|D)|(kpr)|(kdp)|(train st.+moving)|(\|lc)|(penalty))"</v>
      </c>
      <c r="AG22" s="228" t="str">
        <f t="shared" si="13"/>
        <v>EC</v>
      </c>
      <c r="AH22" s="229" t="str">
        <f t="shared" si="19"/>
        <v>"%USERPROFILE%\Documents\GitHub\eaglep3\Utilities\RefineRTDCRunTimes.py" --tripid 110-03 --locoid 4059 --swversion DE.1.0.9.0 --startMP 204:232998 --initTime 2017-10-03T05:38:43 --startdatetime 2017-10-03T06:18:01 --delay 61 --endMP 204:119348 --enddatetime 2017-10-03T06:28:08 --enforcementcount 0 &gt;&gt;%USERPROFILE%\Documents\GitHub\eaglep3-reporting\EC\2017-10-03-refined-times.txt</v>
      </c>
      <c r="AI22" s="230" t="str">
        <f t="shared" si="20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drop","project_id":79,"tracker_id":40,"status_id":1,"priority_id":2,"assigned_to_id":338,"start_date":"2017-10-03","description":"","custom_fields":[{"id":1,"name":"Subdivision","value":"EC"},{"id":4,"name":"Milepost","value":"11.9348"},{"id":17,"name":"Train ID","value":"110-03"},{"id":16,"name":"Locomotive ID","value":"4059"},{"id":130,"name":"Impact","value":""},{"id":150,"name":"Time of Event (Mountain Time)","value":"06:28:08"},{"id":151,"name":"Denver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10"/>
      <c r="AK22" s="225"/>
      <c r="AL22" s="225"/>
      <c r="AM22" s="231" t="str">
        <f t="shared" si="21"/>
        <v>start /low /b %USERPROFILE%\Documents\GitHub\eaglep3\Utilities\DownloadLogsFromS3.py --loco 4059 --day 2017-10-03</v>
      </c>
      <c r="AN22" s="232" t="str">
        <f t="shared" si="22"/>
        <v>echo {"issue":{"subject":"Wi-MAX data drop","project_id":30,"tracker_id":4,"status_id":1,"priority_id":1,"assigned_to_id":10,"start_date":"2017-10-03","description":"","custom_fields":[{"id":30,"name":"Category","value":"Issue"},{"id":3,"name":"Functional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10" t="str">
        <f t="shared" si="23"/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Message%20ID',Summary),filters:!(),index:'emp_*',interval:auto,query:(query_string:(analyze_wildcard:!t,query:'%22rtdc.l.rtdc.4059%22')),sort:!(Time.ISO8601,asc))</v>
      </c>
      <c r="AP22" s="210"/>
      <c r="AQ22" s="210"/>
      <c r="AR22" s="210"/>
      <c r="AS22" s="210"/>
      <c r="AT22" s="210"/>
      <c r="AU22" s="210"/>
      <c r="AV22" s="210"/>
      <c r="AW22" s="210"/>
      <c r="AX22" s="210"/>
      <c r="AY22" s="210"/>
      <c r="AZ22" s="210"/>
      <c r="BA22" s="210"/>
      <c r="BB22" s="210"/>
      <c r="BC22" s="210"/>
      <c r="BD22" s="210"/>
      <c r="BE22" s="210"/>
      <c r="BF22" s="210"/>
      <c r="BG22" s="210"/>
      <c r="BH22" s="210"/>
      <c r="BI22" s="210"/>
      <c r="BJ22" s="210"/>
      <c r="BK22" s="210"/>
      <c r="BL22" s="210"/>
      <c r="BM22" s="210"/>
      <c r="BN22" s="210"/>
      <c r="BO22" s="210"/>
      <c r="BP22" s="210"/>
      <c r="BQ22" s="210"/>
      <c r="BR22" s="210"/>
      <c r="BS22" s="210"/>
      <c r="BT22" s="210"/>
      <c r="BU22" s="210"/>
      <c r="BV22" s="210"/>
      <c r="BW22" s="210"/>
      <c r="BX22" s="210"/>
      <c r="BY22" s="210"/>
      <c r="BZ22" s="210"/>
      <c r="CA22" s="210"/>
      <c r="CB22" s="210"/>
      <c r="CC22" s="210"/>
      <c r="CD22" s="210"/>
      <c r="CE22" s="210"/>
      <c r="CF22" s="210"/>
      <c r="CG22" s="210"/>
      <c r="CH22" s="210"/>
      <c r="CI22" s="210"/>
      <c r="CJ22" s="210"/>
      <c r="CK22" s="210"/>
      <c r="CL22" s="210"/>
      <c r="CM22" s="210"/>
    </row>
    <row r="23" spans="1:91" s="1" customFormat="1" x14ac:dyDescent="0.25">
      <c r="A23" s="32" t="s">
        <v>593</v>
      </c>
      <c r="B23" s="7">
        <v>4059</v>
      </c>
      <c r="C23" s="21" t="s">
        <v>194</v>
      </c>
      <c r="D23" s="21" t="s">
        <v>851</v>
      </c>
      <c r="E23" s="13">
        <v>43011.261076388888</v>
      </c>
      <c r="F23" s="13">
        <v>43011.262511574074</v>
      </c>
      <c r="G23" s="7">
        <v>40</v>
      </c>
      <c r="H23" s="21" t="s">
        <v>519</v>
      </c>
      <c r="I23" s="13">
        <v>43011.269537037035</v>
      </c>
      <c r="J23" s="7">
        <v>0</v>
      </c>
      <c r="K23" s="85" t="str">
        <f t="shared" si="0"/>
        <v>4059/4060</v>
      </c>
      <c r="L23" s="179" t="str">
        <f>VLOOKUP(A23,'Trips&amp;Operators'!$C$1:$G$99911,5,FALSE)</f>
        <v>LAMAR NEKESHA</v>
      </c>
      <c r="M23" s="6">
        <f t="shared" si="1"/>
        <v>7.025462960882578E-3</v>
      </c>
      <c r="N23" s="7"/>
      <c r="O23" s="7"/>
      <c r="P23" s="7"/>
      <c r="Q23" s="22"/>
      <c r="R23" s="169"/>
      <c r="S23" s="202"/>
      <c r="T23" s="169" t="str">
        <f t="shared" si="4"/>
        <v>Southbound</v>
      </c>
      <c r="U23" s="22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3</v>
      </c>
      <c r="V23" s="222" t="str">
        <f t="shared" si="5"/>
        <v>https://d0f6bd738d7f1b3e5a7ca70fe4ff75f0.us-east-1.aws.found.io/app/kibana#/discover/Steve-Slow-Train-Analysis-(2080s-and-2083s)?_g=(refreshInterval:(display:Off,pause:!f,section:0,value:0),time:(from:'2017-10-03T05:15:57-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" s="223" t="str">
        <f>IF(AA23&lt;VLOOKUP(AG23,Variables!$AC$3:$AD$8,2,FALSE),"Y","N")</f>
        <v>Y</v>
      </c>
      <c r="X23" s="223">
        <f t="shared" si="6"/>
        <v>0</v>
      </c>
      <c r="Y23" s="223">
        <f t="shared" si="7"/>
        <v>3.6793</v>
      </c>
      <c r="Z23" s="223">
        <f t="shared" si="8"/>
        <v>1.6E-2</v>
      </c>
      <c r="AA23" s="223">
        <f t="shared" si="9"/>
        <v>3.6633</v>
      </c>
      <c r="AB23" s="224" t="e">
        <f>VLOOKUP(A23,Enforcements!$C$7:$K$11,8,0)</f>
        <v>#N/A</v>
      </c>
      <c r="AC23" s="224" t="e">
        <f>VLOOKUP(A23,Enforcements!$C$7:$E$11,3,0)</f>
        <v>#N/A</v>
      </c>
      <c r="AD23" s="225">
        <f t="shared" si="10"/>
        <v>110</v>
      </c>
      <c r="AE23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23" s="227" t="str">
        <f t="shared" si="12"/>
        <v>"C:\Program Files (x86)\AstroGrep\AstroGrep.exe" /e /r /s /spath="%USERPROFILE%\AppData\Local\Temp\OnboardLogs" /stypes="app*4059*20171003*" /stext=" 12:.+((SYSTEM_STATE.+slice.+state.+changed )|(ment ac)|(multiple cpu faults)|(system.+state.+changed )|(\[timeout)|(PRM\|1\|D)|(kpr)|(kdp)|(train st.+moving)|(\|lc)|(penalty))"</v>
      </c>
      <c r="AG23" s="228" t="str">
        <f t="shared" si="13"/>
        <v>EC</v>
      </c>
      <c r="AH23" s="229" t="str">
        <f t="shared" si="19"/>
        <v>"%USERPROFILE%\Documents\GitHub\eaglep3\Utilities\RefineRTDCRunTimes.py" --tripid 110-03 --locoid 4059 --swversion DE.1.0.9.0 --startMP 204:36793 --initTime 2017-10-03T06:15:57 --startdatetime 2017-10-03T06:18:01 --delay 40 --endMP 204:160 --enddatetime 2017-10-03T06:28:08 --enforcementcount 0 &gt;&gt;%USERPROFILE%\Documents\GitHub\eaglep3-reporting\EC\2017-10-03-refined-times.txt</v>
      </c>
      <c r="AI2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ID","value":"110-03"},{"id":16,"name":"Locomotive ID","value":"4059"},{"id":130,"name":"Impact","value":""},{"id":150,"name":"Time of Event (Mountain Time)","value":"06:28:08"},{"id":151,"name":"Denver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10"/>
      <c r="AK23" s="225"/>
      <c r="AL23" s="225"/>
      <c r="AM23" s="231" t="str">
        <f t="shared" si="21"/>
        <v>start /low /b %USERPROFILE%\Documents\GitHub\eaglep3\Utilities\DownloadLogsFromS3.py --loco 4059 --day 2017-10-03</v>
      </c>
      <c r="AN2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10" t="str">
        <f t="shared" si="23"/>
        <v>https://d0f6bd738d7f1b3e5a7ca70fe4ff75f0.us-east-1.aws.found.io/app/kibana#/discover/Steve-Slow-Train-Analysis-(2080s-and-2083s)?_g=(refreshInterval:(display:Off,pause:!f,section:0,value:0),time:(from:'2017-10-03T05:15:57-0600',mode:absolute,to:'2017-10-03T07:28:08-0600'))&amp;_a=(columns:!('Message%20ID',Summary),filters:!(),index:'emp_*',interval:auto,query:(query_string:(analyze_wildcard:!t,query:'%22rtdc.l.rtdc.4059%22')),sort:!(Time.ISO8601,asc))</v>
      </c>
      <c r="AP23" s="210"/>
      <c r="AQ23" s="210"/>
      <c r="AR23" s="210"/>
      <c r="AS23" s="210"/>
      <c r="AT23" s="210"/>
      <c r="AU23" s="210"/>
      <c r="AV23" s="210"/>
      <c r="AW23" s="210"/>
      <c r="AX23" s="210"/>
      <c r="AY23" s="210"/>
      <c r="AZ23" s="210"/>
      <c r="BA23" s="210"/>
      <c r="BB23" s="210"/>
      <c r="BC23" s="210"/>
      <c r="BD23" s="210"/>
      <c r="BE23" s="210"/>
      <c r="BF23" s="210"/>
      <c r="BG23" s="210"/>
      <c r="BH23" s="210"/>
      <c r="BI23" s="210"/>
      <c r="BJ23" s="210"/>
      <c r="BK23" s="210"/>
      <c r="BL23" s="210"/>
      <c r="BM23" s="210"/>
      <c r="BN23" s="210"/>
      <c r="BO23" s="210"/>
      <c r="BP23" s="210"/>
      <c r="BQ23" s="210"/>
      <c r="BR23" s="210"/>
      <c r="BS23" s="210"/>
      <c r="BT23" s="210"/>
      <c r="BU23" s="210"/>
      <c r="BV23" s="210"/>
      <c r="BW23" s="210"/>
      <c r="BX23" s="210"/>
      <c r="BY23" s="210"/>
      <c r="BZ23" s="210"/>
      <c r="CA23" s="210"/>
      <c r="CB23" s="210"/>
      <c r="CC23" s="210"/>
      <c r="CD23" s="210"/>
      <c r="CE23" s="210"/>
      <c r="CF23" s="210"/>
      <c r="CG23" s="210"/>
      <c r="CH23" s="210"/>
      <c r="CI23" s="210"/>
      <c r="CJ23" s="210"/>
      <c r="CK23" s="210"/>
      <c r="CL23" s="210"/>
      <c r="CM23" s="210"/>
    </row>
    <row r="24" spans="1:91" s="1" customFormat="1" x14ac:dyDescent="0.25">
      <c r="A24" s="32" t="s">
        <v>641</v>
      </c>
      <c r="B24" s="7">
        <v>4050</v>
      </c>
      <c r="C24" s="21" t="s">
        <v>194</v>
      </c>
      <c r="D24" s="21" t="s">
        <v>381</v>
      </c>
      <c r="E24" s="13">
        <v>43011.202094907407</v>
      </c>
      <c r="F24" s="13">
        <v>43011.208518518521</v>
      </c>
      <c r="G24" s="7">
        <v>51</v>
      </c>
      <c r="H24" s="21" t="s">
        <v>554</v>
      </c>
      <c r="I24" s="13">
        <v>43011.233402777776</v>
      </c>
      <c r="J24" s="7">
        <v>0</v>
      </c>
      <c r="K24" s="85" t="str">
        <f t="shared" si="0"/>
        <v>4049/4050</v>
      </c>
      <c r="L24" s="179" t="str">
        <f>VLOOKUP(A24,'Trips&amp;Operators'!$C$1:$G$99911,5,FALSE)</f>
        <v>YORK EDGAR</v>
      </c>
      <c r="M24" s="6">
        <f t="shared" si="1"/>
        <v>2.488425925548654E-2</v>
      </c>
      <c r="N24" s="7">
        <f t="shared" ref="N24:N29" si="24">24*60*SUM($M24:$M24)</f>
        <v>35.833333327900618</v>
      </c>
      <c r="O24" s="7"/>
      <c r="P24" s="7"/>
      <c r="Q24" s="22"/>
      <c r="R24" s="169" t="s">
        <v>1019</v>
      </c>
      <c r="S24" s="202">
        <f t="shared" ref="S24:S29" si="25">1/IF(AG24="EC",12,1)*SUM(U24:U24)</f>
        <v>1</v>
      </c>
      <c r="T24" s="169" t="str">
        <f t="shared" si="4"/>
        <v>NorthBound</v>
      </c>
      <c r="U24" s="22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2" t="str">
        <f t="shared" si="5"/>
        <v>https://d0f6bd738d7f1b3e5a7ca70fe4ff75f0.us-east-1.aws.found.io/app/kibana#/discover/Steve-Slow-Train-Analysis-(2080s-and-2083s)?_g=(refreshInterval:(display:Off,pause:!f,section:0,value:0),time:(from:'2017-10-03T03:51:01-0600',mode:absolute,to:'2017-10-03T06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" s="223" t="str">
        <f>IF(AA24&lt;VLOOKUP(AG24,Variables!$AC$3:$AD$8,2,FALSE),"Y","N")</f>
        <v>N</v>
      </c>
      <c r="X24" s="223">
        <f t="shared" si="6"/>
        <v>1</v>
      </c>
      <c r="Y24" s="223">
        <f t="shared" si="7"/>
        <v>4.5100000000000001E-2</v>
      </c>
      <c r="Z24" s="223">
        <f t="shared" si="8"/>
        <v>23.328700000000001</v>
      </c>
      <c r="AA24" s="223">
        <f t="shared" si="9"/>
        <v>23.2836</v>
      </c>
      <c r="AB24" s="224" t="e">
        <f>VLOOKUP(A24,Enforcements!$C$7:$K$11,8,0)</f>
        <v>#N/A</v>
      </c>
      <c r="AC24" s="224" t="e">
        <f>VLOOKUP(A24,Enforcements!$C$7:$E$11,3,0)</f>
        <v>#N/A</v>
      </c>
      <c r="AD24" s="225">
        <f t="shared" si="10"/>
        <v>111</v>
      </c>
      <c r="AE24" s="226" t="str">
        <f t="shared" si="11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24" s="227" t="str">
        <f t="shared" si="12"/>
        <v>"C:\Program Files (x86)\AstroGrep\AstroGrep.exe" /e /r /s /spath="%USERPROFILE%\AppData\Local\Temp\OnboardLogs" /stypes="app*4050*20171003*" /stext=" 11:.+((SYSTEM_STATE.+slice.+state.+changed )|(ment ac)|(multiple cpu faults)|(system.+state.+changed )|(\[timeout)|(PRM\|1\|D)|(kpr)|(kdp)|(train st.+moving)|(\|lc)|(penalty))"</v>
      </c>
      <c r="AG24" s="228" t="str">
        <f t="shared" si="13"/>
        <v>EC</v>
      </c>
      <c r="AH24" s="229" t="str">
        <f t="shared" si="19"/>
        <v>"%USERPROFILE%\Documents\GitHub\eaglep3\Utilities\RefineRTDCRunTimes.py" --tripid 111-03 --locoid 4050 --swversion DE.1.0.9.0 --startMP 204:451 --initTime 2017-10-03T04:51:01 --startdatetime 2017-10-03T05:00:16 --delay 51 --endMP 204:233287 --enddatetime 2017-10-03T05:36:06 --enforcementcount 0 &gt;&gt;%USERPROFILE%\Documents\GitHub\eaglep3-reporting\EC\2017-10-03-refined-times.txt</v>
      </c>
      <c r="AI24" s="230" t="str">
        <f t="shared" si="20"/>
        <v>echo {"issue":{"subject":"Wi-MAX data drop, no enforcement","project_id":79,"tracker_id":40,"status_id":1,"priority_id":2,"assigned_to_id":338,"start_date":"2017-10-03","description":"","custom_fields":[{"id":1,"name":"Subdivision","value":"EC"},{"id":4,"name":"Milepost","value":"23.3287"},{"id":17,"name":"Train ID","value":"111-03"},{"id":16,"name":"Locomotive ID","value":"4050"},{"id":130,"name":"Impact","value":""},{"id":150,"name":"Time of Event (Mountain Time)","value":"05:36:06"},{"id":151,"name":"Denver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10"/>
      <c r="AK24" s="225"/>
      <c r="AL24" s="225"/>
      <c r="AM24" s="231" t="str">
        <f t="shared" si="21"/>
        <v>start /low /b %USERPROFILE%\Documents\GitHub\eaglep3\Utilities\DownloadLogsFromS3.py --loco 4050 --day 2017-10-03</v>
      </c>
      <c r="AN24" s="232" t="str">
        <f t="shared" si="22"/>
        <v>echo {"issue":{"subject":"Wi-MAX data drop, no enforcement","project_id":30,"tracker_id":4,"status_id":1,"priority_id":1,"assigned_to_id":10,"start_date":"2017-10-03","description":"","custom_fields":[{"id":30,"name":"Category","value":"Issue"},{"id":3,"name":"Functional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10" t="str">
        <f t="shared" si="23"/>
        <v>https://d0f6bd738d7f1b3e5a7ca70fe4ff75f0.us-east-1.aws.found.io/app/kibana#/discover/Steve-Slow-Train-Analysis-(2080s-and-2083s)?_g=(refreshInterval:(display:Off,pause:!f,section:0,value:0),time:(from:'2017-10-03T03:51:01-0600',mode:absolute,to:'2017-10-03T06:36:06-0600'))&amp;_a=(columns:!('Message%20ID',Summary),filters:!(),index:'emp_*',interval:auto,query:(query_string:(analyze_wildcard:!t,query:'%22rtdc.l.rtdc.4050%22')),sort:!(Time.ISO8601,asc))</v>
      </c>
      <c r="AP24" s="210"/>
      <c r="AQ24" s="210"/>
      <c r="AR24" s="210"/>
      <c r="AS24" s="210"/>
      <c r="AT24" s="210"/>
      <c r="AU24" s="210"/>
      <c r="AV24" s="210"/>
      <c r="AW24" s="210"/>
      <c r="AX24" s="210"/>
      <c r="AY24" s="210"/>
      <c r="AZ24" s="210"/>
      <c r="BA24" s="210"/>
      <c r="BB24" s="210"/>
      <c r="BC24" s="210"/>
      <c r="BD24" s="210"/>
      <c r="BE24" s="210"/>
      <c r="BF24" s="210"/>
      <c r="BG24" s="210"/>
      <c r="BH24" s="210"/>
      <c r="BI24" s="210"/>
      <c r="BJ24" s="210"/>
      <c r="BK24" s="210"/>
      <c r="BL24" s="210"/>
      <c r="BM24" s="210"/>
      <c r="BN24" s="210"/>
      <c r="BO24" s="210"/>
      <c r="BP24" s="210"/>
      <c r="BQ24" s="210"/>
      <c r="BR24" s="210"/>
      <c r="BS24" s="210"/>
      <c r="BT24" s="210"/>
      <c r="BU24" s="210"/>
      <c r="BV24" s="210"/>
      <c r="BW24" s="210"/>
      <c r="BX24" s="210"/>
      <c r="BY24" s="210"/>
      <c r="BZ24" s="210"/>
      <c r="CA24" s="210"/>
      <c r="CB24" s="210"/>
      <c r="CC24" s="210"/>
      <c r="CD24" s="210"/>
      <c r="CE24" s="210"/>
      <c r="CF24" s="210"/>
      <c r="CG24" s="210"/>
      <c r="CH24" s="210"/>
      <c r="CI24" s="210"/>
      <c r="CJ24" s="210"/>
      <c r="CK24" s="210"/>
      <c r="CL24" s="210"/>
      <c r="CM24" s="210"/>
    </row>
    <row r="25" spans="1:91" s="1" customFormat="1" x14ac:dyDescent="0.25">
      <c r="A25" s="32" t="s">
        <v>650</v>
      </c>
      <c r="B25" s="7">
        <v>4049</v>
      </c>
      <c r="C25" s="21" t="s">
        <v>194</v>
      </c>
      <c r="D25" s="21" t="s">
        <v>481</v>
      </c>
      <c r="E25" s="13">
        <v>43011.237071759257</v>
      </c>
      <c r="F25" s="13">
        <v>43011.249236111114</v>
      </c>
      <c r="G25" s="7">
        <v>75</v>
      </c>
      <c r="H25" s="21" t="s">
        <v>519</v>
      </c>
      <c r="I25" s="13">
        <v>43011.274780092594</v>
      </c>
      <c r="J25" s="7">
        <v>0</v>
      </c>
      <c r="K25" s="85" t="str">
        <f t="shared" si="0"/>
        <v>4049/4050</v>
      </c>
      <c r="L25" s="179" t="str">
        <f>VLOOKUP(A25,'Trips&amp;Operators'!$C$1:$G$99911,5,FALSE)</f>
        <v>YORK EDGAR</v>
      </c>
      <c r="M25" s="6">
        <f t="shared" si="1"/>
        <v>2.5543981479131617E-2</v>
      </c>
      <c r="N25" s="7">
        <f t="shared" si="24"/>
        <v>36.783333329949528</v>
      </c>
      <c r="O25" s="7"/>
      <c r="P25" s="7"/>
      <c r="Q25" s="22"/>
      <c r="R25" s="169" t="s">
        <v>1022</v>
      </c>
      <c r="S25" s="202">
        <f t="shared" si="25"/>
        <v>1</v>
      </c>
      <c r="T25" s="169" t="str">
        <f t="shared" si="4"/>
        <v>Southbound</v>
      </c>
      <c r="U25" s="22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2" t="str">
        <f t="shared" si="5"/>
        <v>https://d0f6bd738d7f1b3e5a7ca70fe4ff75f0.us-east-1.aws.found.io/app/kibana#/discover/Steve-Slow-Train-Analysis-(2080s-and-2083s)?_g=(refreshInterval:(display:Off,pause:!f,section:0,value:0),time:(from:'2017-10-03T04:41:23-0600',mode:absolute,to:'2017-10-03T07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" s="223" t="str">
        <f>IF(AA25&lt;VLOOKUP(AG25,Variables!$AC$3:$AD$8,2,FALSE),"Y","N")</f>
        <v>N</v>
      </c>
      <c r="X25" s="223">
        <f t="shared" si="6"/>
        <v>1</v>
      </c>
      <c r="Y25" s="223">
        <f t="shared" si="7"/>
        <v>23.297899999999998</v>
      </c>
      <c r="Z25" s="223">
        <f t="shared" si="8"/>
        <v>1.6E-2</v>
      </c>
      <c r="AA25" s="223">
        <f t="shared" si="9"/>
        <v>23.2819</v>
      </c>
      <c r="AB25" s="224" t="e">
        <f>VLOOKUP(A25,Enforcements!$C$7:$K$11,8,0)</f>
        <v>#N/A</v>
      </c>
      <c r="AC25" s="224" t="e">
        <f>VLOOKUP(A25,Enforcements!$C$7:$E$11,3,0)</f>
        <v>#N/A</v>
      </c>
      <c r="AD25" s="225">
        <f t="shared" si="10"/>
        <v>112</v>
      </c>
      <c r="AE25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25" s="227" t="str">
        <f t="shared" si="12"/>
        <v>"C:\Program Files (x86)\AstroGrep\AstroGrep.exe" /e /r /s /spath="%USERPROFILE%\AppData\Local\Temp\OnboardLogs" /stypes="app*4049*20171003*" /stext=" 12:.+((SYSTEM_STATE.+slice.+state.+changed )|(ment ac)|(multiple cpu faults)|(system.+state.+changed )|(\[timeout)|(PRM\|1\|D)|(kpr)|(kdp)|(train st.+moving)|(\|lc)|(penalty))"</v>
      </c>
      <c r="AG25" s="228" t="str">
        <f t="shared" si="13"/>
        <v>EC</v>
      </c>
      <c r="AH25" s="229" t="str">
        <f t="shared" si="19"/>
        <v>"%USERPROFILE%\Documents\GitHub\eaglep3\Utilities\RefineRTDCRunTimes.py" --tripid 112-03 --locoid 4049 --swversion DE.1.0.9.0 --startMP 204:232979 --initTime 2017-10-03T05:41:23 --startdatetime 2017-10-03T05:58:54 --delay 75 --endMP 204:160 --enddatetime 2017-10-03T06:35:41 --enforcementcount 0 &gt;&gt;%USERPROFILE%\Documents\GitHub\eaglep3-reporting\EC\2017-10-03-refined-times.txt</v>
      </c>
      <c r="AI25" s="230" t="str">
        <f t="shared" si="20"/>
        <v>echo {"issue":{"subject":"Not able to see Class 2 brake test info for both cars, power cycle solved issue","project_id":79,"tracker_id":40,"status_id":1,"priority_id":2,"assigned_to_id":338,"start_date":"2017-10-03","description":"","custom_fields":[{"id":1,"name":"Subdivision","value":"EC"},{"id":4,"name":"Milepost","value":"0.016"},{"id":17,"name":"Train ID","value":"112-03"},{"id":16,"name":"Locomotive ID","value":"4049"},{"id":130,"name":"Impact","value":""},{"id":150,"name":"Time of Event (Mountain Time)","value":"06:35:41"},{"id":151,"name":"Denver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10"/>
      <c r="AK25" s="225"/>
      <c r="AL25" s="225"/>
      <c r="AM25" s="231" t="str">
        <f t="shared" si="21"/>
        <v>start /low /b %USERPROFILE%\Documents\GitHub\eaglep3\Utilities\DownloadLogsFromS3.py --loco 4049 --day 2017-10-03</v>
      </c>
      <c r="AN25" s="232" t="str">
        <f t="shared" si="22"/>
        <v>echo {"issue":{"subject":"Not able to see Class 2 brake test info for both cars, power cycle solved issue","project_id":30,"tracker_id":4,"status_id":1,"priority_id":1,"assigned_to_id":10,"start_date":"2017-10-03","description":"","custom_fields":[{"id":30,"name":"Category","value":"Issue"},{"id":3,"name":"Functional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10" t="str">
        <f t="shared" si="23"/>
        <v>https://d0f6bd738d7f1b3e5a7ca70fe4ff75f0.us-east-1.aws.found.io/app/kibana#/discover/Steve-Slow-Train-Analysis-(2080s-and-2083s)?_g=(refreshInterval:(display:Off,pause:!f,section:0,value:0),time:(from:'2017-10-03T04:41:23-0600',mode:absolute,to:'2017-10-03T07:35:41-0600'))&amp;_a=(columns:!('Message%20ID',Summary),filters:!(),index:'emp_*',interval:auto,query:(query_string:(analyze_wildcard:!t,query:'%22rtdc.l.rtdc.4049%22')),sort:!(Time.ISO8601,asc))</v>
      </c>
      <c r="AP25" s="210"/>
      <c r="AQ25" s="210"/>
      <c r="AR25" s="210"/>
      <c r="AS25" s="210"/>
      <c r="AT25" s="210"/>
      <c r="AU25" s="210"/>
      <c r="AV25" s="210"/>
      <c r="AW25" s="210"/>
      <c r="AX25" s="210"/>
      <c r="AY25" s="210"/>
      <c r="AZ25" s="210"/>
      <c r="BA25" s="210"/>
      <c r="BB25" s="210"/>
      <c r="BC25" s="210"/>
      <c r="BD25" s="210"/>
      <c r="BE25" s="210"/>
      <c r="BF25" s="210"/>
      <c r="BG25" s="210"/>
      <c r="BH25" s="210"/>
      <c r="BI25" s="210"/>
      <c r="BJ25" s="210"/>
      <c r="BK25" s="210"/>
      <c r="BL25" s="210"/>
      <c r="BM25" s="210"/>
      <c r="BN25" s="210"/>
      <c r="BO25" s="210"/>
      <c r="BP25" s="210"/>
      <c r="BQ25" s="210"/>
      <c r="BR25" s="210"/>
      <c r="BS25" s="210"/>
      <c r="BT25" s="210"/>
      <c r="BU25" s="210"/>
      <c r="BV25" s="210"/>
      <c r="BW25" s="210"/>
      <c r="BX25" s="210"/>
      <c r="BY25" s="210"/>
      <c r="BZ25" s="210"/>
      <c r="CA25" s="210"/>
      <c r="CB25" s="210"/>
      <c r="CC25" s="210"/>
      <c r="CD25" s="210"/>
      <c r="CE25" s="210"/>
      <c r="CF25" s="210"/>
      <c r="CG25" s="210"/>
      <c r="CH25" s="210"/>
      <c r="CI25" s="210"/>
      <c r="CJ25" s="210"/>
      <c r="CK25" s="210"/>
      <c r="CL25" s="210"/>
      <c r="CM25" s="210"/>
    </row>
    <row r="26" spans="1:91" s="1" customFormat="1" x14ac:dyDescent="0.25">
      <c r="A26" s="32" t="s">
        <v>642</v>
      </c>
      <c r="B26" s="7">
        <v>4020</v>
      </c>
      <c r="C26" s="21" t="s">
        <v>194</v>
      </c>
      <c r="D26" s="21" t="s">
        <v>453</v>
      </c>
      <c r="E26" s="13">
        <v>43011.207106481481</v>
      </c>
      <c r="F26" s="13">
        <v>43011.218912037039</v>
      </c>
      <c r="G26" s="7">
        <v>82</v>
      </c>
      <c r="H26" s="21" t="s">
        <v>852</v>
      </c>
      <c r="I26" s="13">
        <v>43011.244212962964</v>
      </c>
      <c r="J26" s="7">
        <v>0</v>
      </c>
      <c r="K26" s="85" t="str">
        <f t="shared" si="0"/>
        <v>4019/4020</v>
      </c>
      <c r="L26" s="179" t="str">
        <f>VLOOKUP(A26,'Trips&amp;Operators'!$C$1:$G$99911,5,FALSE)</f>
        <v>YANAI IAN</v>
      </c>
      <c r="M26" s="6">
        <f t="shared" si="1"/>
        <v>2.5300925924966577E-2</v>
      </c>
      <c r="N26" s="7">
        <f t="shared" si="24"/>
        <v>36.433333331951872</v>
      </c>
      <c r="O26" s="7"/>
      <c r="P26" s="7"/>
      <c r="Q26" s="22"/>
      <c r="R26" s="169"/>
      <c r="S26" s="202">
        <f t="shared" si="25"/>
        <v>1</v>
      </c>
      <c r="T26" s="169" t="str">
        <f t="shared" si="4"/>
        <v>NorthBound</v>
      </c>
      <c r="U26" s="22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2" t="str">
        <f t="shared" si="5"/>
        <v>https://d0f6bd738d7f1b3e5a7ca70fe4ff75f0.us-east-1.aws.found.io/app/kibana#/discover/Steve-Slow-Train-Analysis-(2080s-and-2083s)?_g=(refreshInterval:(display:Off,pause:!f,section:0,value:0),time:(from:'2017-10-03T03:58:14-0600',mode:absolute,to:'2017-10-03T06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6" s="223" t="str">
        <f>IF(AA26&lt;VLOOKUP(AG26,Variables!$AC$3:$AD$8,2,FALSE),"Y","N")</f>
        <v>N</v>
      </c>
      <c r="X26" s="223">
        <f t="shared" si="6"/>
        <v>1</v>
      </c>
      <c r="Y26" s="223">
        <f t="shared" si="7"/>
        <v>4.6699999999999998E-2</v>
      </c>
      <c r="Z26" s="223">
        <f t="shared" si="8"/>
        <v>23.329899999999999</v>
      </c>
      <c r="AA26" s="223">
        <f t="shared" si="9"/>
        <v>23.283199999999997</v>
      </c>
      <c r="AB26" s="224" t="e">
        <f>VLOOKUP(A26,Enforcements!$C$7:$K$11,8,0)</f>
        <v>#N/A</v>
      </c>
      <c r="AC26" s="224" t="e">
        <f>VLOOKUP(A26,Enforcements!$C$7:$E$11,3,0)</f>
        <v>#N/A</v>
      </c>
      <c r="AD26" s="225">
        <f t="shared" si="10"/>
        <v>113</v>
      </c>
      <c r="AE26" s="226" t="str">
        <f t="shared" si="11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26" s="227" t="str">
        <f t="shared" si="12"/>
        <v>"C:\Program Files (x86)\AstroGrep\AstroGrep.exe" /e /r /s /spath="%USERPROFILE%\AppData\Local\Temp\OnboardLogs" /stypes="app*4020*20171003*" /stext=" 11:.+((SYSTEM_STATE.+slice.+state.+changed )|(ment ac)|(multiple cpu faults)|(system.+state.+changed )|(\[timeout)|(PRM\|1\|D)|(kpr)|(kdp)|(train st.+moving)|(\|lc)|(penalty))"</v>
      </c>
      <c r="AG26" s="228" t="str">
        <f t="shared" si="13"/>
        <v>EC</v>
      </c>
      <c r="AH26" s="229" t="str">
        <f t="shared" si="19"/>
        <v>"%USERPROFILE%\Documents\GitHub\eaglep3\Utilities\RefineRTDCRunTimes.py" --tripid 113-03 --locoid 4020 --swversion DE.1.0.9.0 --startMP 204:467 --initTime 2017-10-03T04:58:14 --startdatetime 2017-10-03T05:15:14 --delay 82 --endMP 204:233299 --enddatetime 2017-10-03T05:51:40 --enforcementcount 0 &gt;&gt;%USERPROFILE%\Documents\GitHub\eaglep3-reporting\EC\2017-10-03-refined-times.txt</v>
      </c>
      <c r="AI2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ID","value":"113-03"},{"id":16,"name":"Locomotive ID","value":"4020"},{"id":130,"name":"Impact","value":""},{"id":150,"name":"Time of Event (Mountain Time)","value":"05:51:40"},{"id":151,"name":"Denver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10"/>
      <c r="AK26" s="225"/>
      <c r="AL26" s="225"/>
      <c r="AM26" s="231" t="str">
        <f t="shared" si="21"/>
        <v>start /low /b %USERPROFILE%\Documents\GitHub\eaglep3\Utilities\DownloadLogsFromS3.py --loco 4020 --day 2017-10-03</v>
      </c>
      <c r="AN2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10" t="str">
        <f t="shared" si="23"/>
        <v>https://d0f6bd738d7f1b3e5a7ca70fe4ff75f0.us-east-1.aws.found.io/app/kibana#/discover/Steve-Slow-Train-Analysis-(2080s-and-2083s)?_g=(refreshInterval:(display:Off,pause:!f,section:0,value:0),time:(from:'2017-10-03T03:58:14-0600',mode:absolute,to:'2017-10-03T06:51:40-0600'))&amp;_a=(columns:!('Message%20ID',Summary),filters:!(),index:'emp_*',interval:auto,query:(query_string:(analyze_wildcard:!t,query:'%22rtdc.l.rtdc.4020%22')),sort:!(Time.ISO8601,asc))</v>
      </c>
      <c r="AP26" s="210"/>
      <c r="AQ26" s="210"/>
      <c r="AR26" s="210"/>
      <c r="AS26" s="210"/>
      <c r="AT26" s="210"/>
      <c r="AU26" s="210"/>
      <c r="AV26" s="210"/>
      <c r="AW26" s="210"/>
      <c r="AX26" s="210"/>
      <c r="AY26" s="210"/>
      <c r="AZ26" s="210"/>
      <c r="BA26" s="210"/>
      <c r="BB26" s="210"/>
      <c r="BC26" s="210"/>
      <c r="BD26" s="210"/>
      <c r="BE26" s="210"/>
      <c r="BF26" s="210"/>
      <c r="BG26" s="210"/>
      <c r="BH26" s="210"/>
      <c r="BI26" s="210"/>
      <c r="BJ26" s="210"/>
      <c r="BK26" s="210"/>
      <c r="BL26" s="210"/>
      <c r="BM26" s="210"/>
      <c r="BN26" s="210"/>
      <c r="BO26" s="210"/>
      <c r="BP26" s="210"/>
      <c r="BQ26" s="210"/>
      <c r="BR26" s="210"/>
      <c r="BS26" s="210"/>
      <c r="BT26" s="210"/>
      <c r="BU26" s="210"/>
      <c r="BV26" s="210"/>
      <c r="BW26" s="210"/>
      <c r="BX26" s="210"/>
      <c r="BY26" s="210"/>
      <c r="BZ26" s="210"/>
      <c r="CA26" s="210"/>
      <c r="CB26" s="210"/>
      <c r="CC26" s="210"/>
      <c r="CD26" s="210"/>
      <c r="CE26" s="210"/>
      <c r="CF26" s="210"/>
      <c r="CG26" s="210"/>
      <c r="CH26" s="210"/>
      <c r="CI26" s="210"/>
      <c r="CJ26" s="210"/>
      <c r="CK26" s="210"/>
      <c r="CL26" s="210"/>
      <c r="CM26" s="210"/>
    </row>
    <row r="27" spans="1:91" s="1" customFormat="1" x14ac:dyDescent="0.25">
      <c r="A27" s="32" t="s">
        <v>655</v>
      </c>
      <c r="B27" s="7">
        <v>4019</v>
      </c>
      <c r="C27" s="21" t="s">
        <v>194</v>
      </c>
      <c r="D27" s="21" t="s">
        <v>441</v>
      </c>
      <c r="E27" s="13">
        <v>43011.245555555557</v>
      </c>
      <c r="F27" s="13">
        <v>43011.258530092593</v>
      </c>
      <c r="G27" s="7">
        <v>54</v>
      </c>
      <c r="H27" s="21" t="s">
        <v>336</v>
      </c>
      <c r="I27" s="13">
        <v>43011.285682870373</v>
      </c>
      <c r="J27" s="7">
        <v>0</v>
      </c>
      <c r="K27" s="85" t="str">
        <f t="shared" si="0"/>
        <v>4019/4020</v>
      </c>
      <c r="L27" s="179" t="str">
        <f>VLOOKUP(A27,'Trips&amp;Operators'!$C$1:$G$99911,5,FALSE)</f>
        <v>YANAI IAN</v>
      </c>
      <c r="M27" s="6">
        <f t="shared" si="1"/>
        <v>2.715277778042946E-2</v>
      </c>
      <c r="N27" s="7">
        <f t="shared" si="24"/>
        <v>39.100000003818423</v>
      </c>
      <c r="O27" s="7"/>
      <c r="P27" s="7"/>
      <c r="Q27" s="22"/>
      <c r="R27" s="169"/>
      <c r="S27" s="202">
        <f t="shared" si="25"/>
        <v>1</v>
      </c>
      <c r="T27" s="169" t="str">
        <f t="shared" si="4"/>
        <v>Southbound</v>
      </c>
      <c r="U27" s="22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2" t="str">
        <f t="shared" si="5"/>
        <v>https://d0f6bd738d7f1b3e5a7ca70fe4ff75f0.us-east-1.aws.found.io/app/kibana#/discover/Steve-Slow-Train-Analysis-(2080s-and-2083s)?_g=(refreshInterval:(display:Off,pause:!f,section:0,value:0),time:(from:'2017-10-03T04:53:36-0600',mode:absolute,to:'2017-10-03T07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7" s="223" t="str">
        <f>IF(AA27&lt;VLOOKUP(AG27,Variables!$AC$3:$AD$8,2,FALSE),"Y","N")</f>
        <v>N</v>
      </c>
      <c r="X27" s="223">
        <f t="shared" si="6"/>
        <v>1</v>
      </c>
      <c r="Y27" s="223">
        <f t="shared" si="7"/>
        <v>23.2971</v>
      </c>
      <c r="Z27" s="223">
        <f t="shared" si="8"/>
        <v>1.49E-2</v>
      </c>
      <c r="AA27" s="223">
        <f t="shared" si="9"/>
        <v>23.2822</v>
      </c>
      <c r="AB27" s="224" t="e">
        <f>VLOOKUP(A27,Enforcements!$C$7:$K$11,8,0)</f>
        <v>#N/A</v>
      </c>
      <c r="AC27" s="224" t="e">
        <f>VLOOKUP(A27,Enforcements!$C$7:$E$11,3,0)</f>
        <v>#N/A</v>
      </c>
      <c r="AD27" s="225">
        <f t="shared" si="10"/>
        <v>114</v>
      </c>
      <c r="AE27" s="226" t="str">
        <f t="shared" si="11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27" s="227" t="str">
        <f t="shared" si="12"/>
        <v>"C:\Program Files (x86)\AstroGrep\AstroGrep.exe" /e /r /s /spath="%USERPROFILE%\AppData\Local\Temp\OnboardLogs" /stypes="app*4019*20171003*" /stext=" 12:.+((SYSTEM_STATE.+slice.+state.+changed )|(ment ac)|(multiple cpu faults)|(system.+state.+changed )|(\[timeout)|(PRM\|1\|D)|(kpr)|(kdp)|(train st.+moving)|(\|lc)|(penalty))"</v>
      </c>
      <c r="AG27" s="228" t="str">
        <f t="shared" si="13"/>
        <v>EC</v>
      </c>
      <c r="AH27" s="229" t="str">
        <f t="shared" si="19"/>
        <v>"%USERPROFILE%\Documents\GitHub\eaglep3\Utilities\RefineRTDCRunTimes.py" --tripid 114-03 --locoid 4019 --swversion DE.1.0.9.0 --startMP 204:232971 --initTime 2017-10-03T05:53:36 --startdatetime 2017-10-03T06:12:17 --delay 54 --endMP 204:149 --enddatetime 2017-10-03T06:51:23 --enforcementcount 0 &gt;&gt;%USERPROFILE%\Documents\GitHub\eaglep3-reporting\EC\2017-10-03-refined-times.txt</v>
      </c>
      <c r="AI2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ID","value":"114-03"},{"id":16,"name":"Locomotive ID","value":"4019"},{"id":130,"name":"Impact","value":""},{"id":150,"name":"Time of Event (Mountain Time)","value":"06:51:23"},{"id":151,"name":"Denver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10"/>
      <c r="AK27" s="225"/>
      <c r="AL27" s="225"/>
      <c r="AM27" s="231" t="str">
        <f t="shared" si="21"/>
        <v>start /low /b %USERPROFILE%\Documents\GitHub\eaglep3\Utilities\DownloadLogsFromS3.py --loco 4019 --day 2017-10-03</v>
      </c>
      <c r="AN2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10" t="str">
        <f t="shared" si="23"/>
        <v>https://d0f6bd738d7f1b3e5a7ca70fe4ff75f0.us-east-1.aws.found.io/app/kibana#/discover/Steve-Slow-Train-Analysis-(2080s-and-2083s)?_g=(refreshInterval:(display:Off,pause:!f,section:0,value:0),time:(from:'2017-10-03T04:53:36-0600',mode:absolute,to:'2017-10-03T07:51:23-0600'))&amp;_a=(columns:!('Message%20ID',Summary),filters:!(),index:'emp_*',interval:auto,query:(query_string:(analyze_wildcard:!t,query:'%22rtdc.l.rtdc.4019%22')),sort:!(Time.ISO8601,asc))</v>
      </c>
      <c r="AP27" s="210"/>
      <c r="AQ27" s="210"/>
      <c r="AR27" s="210"/>
      <c r="AS27" s="210"/>
      <c r="AT27" s="210"/>
      <c r="AU27" s="210"/>
      <c r="AV27" s="210"/>
      <c r="AW27" s="210"/>
      <c r="AX27" s="210"/>
      <c r="AY27" s="210"/>
      <c r="AZ27" s="210"/>
      <c r="BA27" s="210"/>
      <c r="BB27" s="210"/>
      <c r="BC27" s="210"/>
      <c r="BD27" s="210"/>
      <c r="BE27" s="210"/>
      <c r="BF27" s="210"/>
      <c r="BG27" s="210"/>
      <c r="BH27" s="210"/>
      <c r="BI27" s="210"/>
      <c r="BJ27" s="210"/>
      <c r="BK27" s="210"/>
      <c r="BL27" s="210"/>
      <c r="BM27" s="210"/>
      <c r="BN27" s="210"/>
      <c r="BO27" s="210"/>
      <c r="BP27" s="210"/>
      <c r="BQ27" s="210"/>
      <c r="BR27" s="210"/>
      <c r="BS27" s="210"/>
      <c r="BT27" s="210"/>
      <c r="BU27" s="210"/>
      <c r="BV27" s="210"/>
      <c r="BW27" s="210"/>
      <c r="BX27" s="210"/>
      <c r="BY27" s="210"/>
      <c r="BZ27" s="210"/>
      <c r="CA27" s="210"/>
      <c r="CB27" s="210"/>
      <c r="CC27" s="210"/>
      <c r="CD27" s="210"/>
      <c r="CE27" s="210"/>
      <c r="CF27" s="210"/>
      <c r="CG27" s="210"/>
      <c r="CH27" s="210"/>
      <c r="CI27" s="210"/>
      <c r="CJ27" s="210"/>
      <c r="CK27" s="210"/>
      <c r="CL27" s="210"/>
      <c r="CM27" s="210"/>
    </row>
    <row r="28" spans="1:91" s="1" customFormat="1" x14ac:dyDescent="0.25">
      <c r="A28" s="32" t="s">
        <v>596</v>
      </c>
      <c r="B28" s="7">
        <v>4042</v>
      </c>
      <c r="C28" s="21" t="s">
        <v>194</v>
      </c>
      <c r="D28" s="21" t="s">
        <v>557</v>
      </c>
      <c r="E28" s="13">
        <v>43011.226412037038</v>
      </c>
      <c r="F28" s="13">
        <v>43011.229571759257</v>
      </c>
      <c r="G28" s="7">
        <v>55</v>
      </c>
      <c r="H28" s="21" t="s">
        <v>554</v>
      </c>
      <c r="I28" s="13">
        <v>43011.254907407405</v>
      </c>
      <c r="J28" s="7">
        <v>0</v>
      </c>
      <c r="K28" s="85" t="str">
        <f t="shared" si="0"/>
        <v>4041/4042</v>
      </c>
      <c r="L28" s="179" t="str">
        <f>VLOOKUP(A28,'Trips&amp;Operators'!$C$1:$G$99911,5,FALSE)</f>
        <v>BONDS REYNALDO</v>
      </c>
      <c r="M28" s="6">
        <f t="shared" si="1"/>
        <v>2.5335648148029577E-2</v>
      </c>
      <c r="N28" s="7">
        <f t="shared" si="24"/>
        <v>36.483333333162591</v>
      </c>
      <c r="O28" s="7"/>
      <c r="P28" s="7"/>
      <c r="Q28" s="22"/>
      <c r="R28" s="169"/>
      <c r="S28" s="202">
        <f t="shared" si="25"/>
        <v>1</v>
      </c>
      <c r="T28" s="169" t="str">
        <f t="shared" si="4"/>
        <v>NorthBound</v>
      </c>
      <c r="U28" s="22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2" t="str">
        <f t="shared" si="5"/>
        <v>https://d0f6bd738d7f1b3e5a7ca70fe4ff75f0.us-east-1.aws.found.io/app/kibana#/discover/Steve-Slow-Train-Analysis-(2080s-and-2083s)?_g=(refreshInterval:(display:Off,pause:!f,section:0,value:0),time:(from:'2017-10-03T04:26:02-0600',mode:absolute,to:'2017-10-03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8" s="223" t="str">
        <f>IF(AA28&lt;VLOOKUP(AG28,Variables!$AC$3:$AD$8,2,FALSE),"Y","N")</f>
        <v>N</v>
      </c>
      <c r="X28" s="223">
        <f t="shared" si="6"/>
        <v>1</v>
      </c>
      <c r="Y28" s="223">
        <f t="shared" si="7"/>
        <v>4.3700000000000003E-2</v>
      </c>
      <c r="Z28" s="223">
        <f t="shared" si="8"/>
        <v>23.328700000000001</v>
      </c>
      <c r="AA28" s="223">
        <f t="shared" si="9"/>
        <v>23.285</v>
      </c>
      <c r="AB28" s="224" t="e">
        <f>VLOOKUP(A28,Enforcements!$C$7:$K$11,8,0)</f>
        <v>#N/A</v>
      </c>
      <c r="AC28" s="224" t="e">
        <f>VLOOKUP(A28,Enforcements!$C$7:$E$11,3,0)</f>
        <v>#N/A</v>
      </c>
      <c r="AD28" s="225">
        <f t="shared" si="10"/>
        <v>115</v>
      </c>
      <c r="AE28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28" s="227" t="str">
        <f t="shared" si="12"/>
        <v>"C:\Program Files (x86)\AstroGrep\AstroGrep.exe" /e /r /s /spath="%USERPROFILE%\AppData\Local\Temp\OnboardLogs" /stypes="app*4042*20171003*" /stext=" 12:.+((SYSTEM_STATE.+slice.+state.+changed )|(ment ac)|(multiple cpu faults)|(system.+state.+changed )|(\[timeout)|(PRM\|1\|D)|(kpr)|(kdp)|(train st.+moving)|(\|lc)|(penalty))"</v>
      </c>
      <c r="AG28" s="228" t="str">
        <f t="shared" si="13"/>
        <v>EC</v>
      </c>
      <c r="AH28" s="229" t="str">
        <f t="shared" si="19"/>
        <v>"%USERPROFILE%\Documents\GitHub\eaglep3\Utilities\RefineRTDCRunTimes.py" --tripid 115-03 --locoid 4042 --swversion DE.1.0.9.0 --startMP 204:437 --initTime 2017-10-03T05:26:02 --startdatetime 2017-10-03T05:30:35 --delay 55 --endMP 204:233287 --enddatetime 2017-10-03T06:07:04 --enforcementcount 0 &gt;&gt;%USERPROFILE%\Documents\GitHub\eaglep3-reporting\EC\2017-10-03-refined-times.txt</v>
      </c>
      <c r="AI2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{"issue":{"subject":"","project_id":79,"tracker_id":40,"status_id":1,"priority_id":2,"assigned_to_id":338,"start_date":"2017-10-03","description":"","custom_fields":[{"id":1,"name":"Subdivision","value":"EC"},{"id":4,"name":"Milepost","value":"23.3287"},{"id":17,"name":"Train ID","value":"115-03"},{"id":16,"name":"Locomotive ID","value":"4042"},{"id":130,"name":"Impact","value":""},{"id":150,"name":"Time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10"/>
      <c r="AK28" s="225"/>
      <c r="AL28" s="225"/>
      <c r="AM28" s="231" t="str">
        <f t="shared" si="21"/>
        <v>start /low /b %USERPROFILE%\Documents\GitHub\eaglep3\Utilities\DownloadLogsFromS3.py --loco 4042 --day 2017-10-03</v>
      </c>
      <c r="AN2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10" t="str">
        <f t="shared" si="23"/>
        <v>https://d0f6bd738d7f1b3e5a7ca70fe4ff75f0.us-east-1.aws.found.io/app/kibana#/discover/Steve-Slow-Train-Analysis-(2080s-and-2083s)?_g=(refreshInterval:(display:Off,pause:!f,section:0,value:0),time:(from:'2017-10-03T04:26:02-0600',mode:absolute,to:'2017-10-03T07:07:04-0600'))&amp;_a=(columns:!('Message%20ID',Summary),filters:!(),index:'emp_*',interval:auto,query:(query_string:(analyze_wildcard:!t,query:'%22rtdc.l.rtdc.4042%22')),sort:!(Time.ISO8601,asc))</v>
      </c>
      <c r="AP28" s="210"/>
      <c r="AQ28" s="210"/>
      <c r="AR28" s="210"/>
      <c r="AS28" s="210"/>
      <c r="AT28" s="210"/>
      <c r="AU28" s="210"/>
      <c r="AV28" s="210"/>
      <c r="AW28" s="210"/>
      <c r="AX28" s="210"/>
      <c r="AY28" s="210"/>
      <c r="AZ28" s="210"/>
      <c r="BA28" s="210"/>
      <c r="BB28" s="210"/>
      <c r="BC28" s="210"/>
      <c r="BD28" s="210"/>
      <c r="BE28" s="210"/>
      <c r="BF28" s="210"/>
      <c r="BG28" s="210"/>
      <c r="BH28" s="210"/>
      <c r="BI28" s="210"/>
      <c r="BJ28" s="210"/>
      <c r="BK28" s="210"/>
      <c r="BL28" s="210"/>
      <c r="BM28" s="210"/>
      <c r="BN28" s="210"/>
      <c r="BO28" s="210"/>
      <c r="BP28" s="210"/>
      <c r="BQ28" s="210"/>
      <c r="BR28" s="210"/>
      <c r="BS28" s="210"/>
      <c r="BT28" s="210"/>
      <c r="BU28" s="210"/>
      <c r="BV28" s="210"/>
      <c r="BW28" s="210"/>
      <c r="BX28" s="210"/>
      <c r="BY28" s="210"/>
      <c r="BZ28" s="210"/>
      <c r="CA28" s="210"/>
      <c r="CB28" s="210"/>
      <c r="CC28" s="210"/>
      <c r="CD28" s="210"/>
      <c r="CE28" s="210"/>
      <c r="CF28" s="210"/>
      <c r="CG28" s="210"/>
      <c r="CH28" s="210"/>
      <c r="CI28" s="210"/>
      <c r="CJ28" s="210"/>
      <c r="CK28" s="210"/>
      <c r="CL28" s="210"/>
      <c r="CM28" s="210"/>
    </row>
    <row r="29" spans="1:91" s="1" customFormat="1" x14ac:dyDescent="0.25">
      <c r="A29" s="32" t="s">
        <v>661</v>
      </c>
      <c r="B29" s="7">
        <v>4041</v>
      </c>
      <c r="C29" s="21" t="s">
        <v>194</v>
      </c>
      <c r="D29" s="21" t="s">
        <v>365</v>
      </c>
      <c r="E29" s="13">
        <v>43011.266331018516</v>
      </c>
      <c r="F29" s="13">
        <v>43011.268935185188</v>
      </c>
      <c r="G29" s="7">
        <v>49</v>
      </c>
      <c r="H29" s="21" t="s">
        <v>446</v>
      </c>
      <c r="I29" s="13">
        <v>43011.294710648152</v>
      </c>
      <c r="J29" s="7">
        <v>0</v>
      </c>
      <c r="K29" s="85" t="str">
        <f t="shared" si="0"/>
        <v>4041/4042</v>
      </c>
      <c r="L29" s="179" t="str">
        <f>VLOOKUP(A29,'Trips&amp;Operators'!$C$1:$G$99911,5,FALSE)</f>
        <v>BONDS REYNALDO</v>
      </c>
      <c r="M29" s="6">
        <f t="shared" si="1"/>
        <v>2.5775462963792961E-2</v>
      </c>
      <c r="N29" s="7">
        <f t="shared" si="24"/>
        <v>37.116666667861864</v>
      </c>
      <c r="O29" s="7"/>
      <c r="P29" s="7"/>
      <c r="Q29" s="22"/>
      <c r="R29" s="169"/>
      <c r="S29" s="202">
        <f t="shared" si="25"/>
        <v>1</v>
      </c>
      <c r="T29" s="169" t="str">
        <f t="shared" si="4"/>
        <v>Southbound</v>
      </c>
      <c r="U29" s="22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2" t="str">
        <f t="shared" si="5"/>
        <v>https://d0f6bd738d7f1b3e5a7ca70fe4ff75f0.us-east-1.aws.found.io/app/kibana#/discover/Steve-Slow-Train-Analysis-(2080s-and-2083s)?_g=(refreshInterval:(display:Off,pause:!f,section:0,value:0),time:(from:'2017-10-03T05:23:31-0600',mode:absolute,to:'2017-10-03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9" s="223" t="str">
        <f>IF(AA29&lt;VLOOKUP(AG29,Variables!$AC$3:$AD$8,2,FALSE),"Y","N")</f>
        <v>N</v>
      </c>
      <c r="X29" s="223">
        <f t="shared" si="6"/>
        <v>1</v>
      </c>
      <c r="Y29" s="223">
        <f t="shared" si="7"/>
        <v>23.297699999999999</v>
      </c>
      <c r="Z29" s="223">
        <f t="shared" si="8"/>
        <v>1.29E-2</v>
      </c>
      <c r="AA29" s="223">
        <f t="shared" si="9"/>
        <v>23.284800000000001</v>
      </c>
      <c r="AB29" s="224" t="e">
        <f>VLOOKUP(A29,Enforcements!$C$7:$K$11,8,0)</f>
        <v>#N/A</v>
      </c>
      <c r="AC29" s="224" t="e">
        <f>VLOOKUP(A29,Enforcements!$C$7:$E$11,3,0)</f>
        <v>#N/A</v>
      </c>
      <c r="AD29" s="225">
        <f t="shared" si="10"/>
        <v>116</v>
      </c>
      <c r="AE29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29" s="227" t="str">
        <f t="shared" si="12"/>
        <v>"C:\Program Files (x86)\AstroGrep\AstroGrep.exe" /e /r /s /spath="%USERPROFILE%\AppData\Local\Temp\OnboardLogs" /stypes="app*4041*20171003*" /stext=" 13:.+((SYSTEM_STATE.+slice.+state.+changed )|(ment ac)|(multiple cpu faults)|(system.+state.+changed )|(\[timeout)|(PRM\|1\|D)|(kpr)|(kdp)|(train st.+moving)|(\|lc)|(penalty))"</v>
      </c>
      <c r="AG29" s="228" t="str">
        <f t="shared" si="13"/>
        <v>EC</v>
      </c>
      <c r="AH29" s="229" t="str">
        <f t="shared" si="19"/>
        <v>"%USERPROFILE%\Documents\GitHub\eaglep3\Utilities\RefineRTDCRunTimes.py" --tripid 116-03 --locoid 4041 --swversion DE.1.0.9.0 --startMP 204:232977 --initTime 2017-10-03T06:23:31 --startdatetime 2017-10-03T06:27:16 --delay 49 --endMP 204:129 --enddatetime 2017-10-03T07:04:23 --enforcementcount 0 &gt;&gt;%USERPROFILE%\Documents\GitHub\eaglep3-reporting\EC\2017-10-03-refined-times.txt</v>
      </c>
      <c r="AI2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{"issue":{"subject":"","project_id":79,"tracker_id":40,"status_id":1,"priority_id":2,"assigned_to_id":338,"start_date":"2017-10-03","description":"","custom_fields":[{"id":1,"name":"Subdivision","value":"EC"},{"id":4,"name":"Milepost","value":"0.0129"},{"id":17,"name":"Train ID","value":"116-03"},{"id":16,"name":"Locomotive ID","value":"4041"},{"id":130,"name":"Impact","value":""},{"id":150,"name":"Time of Event (Mountain Time)","value":"07:04:23"},{"id":151,"name":"Denver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10"/>
      <c r="AK29" s="225"/>
      <c r="AL29" s="225"/>
      <c r="AM29" s="231" t="str">
        <f t="shared" si="21"/>
        <v>start /low /b %USERPROFILE%\Documents\GitHub\eaglep3\Utilities\DownloadLogsFromS3.py --loco 4041 --day 2017-10-03</v>
      </c>
      <c r="AN2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10" t="str">
        <f t="shared" si="23"/>
        <v>https://d0f6bd738d7f1b3e5a7ca70fe4ff75f0.us-east-1.aws.found.io/app/kibana#/discover/Steve-Slow-Train-Analysis-(2080s-and-2083s)?_g=(refreshInterval:(display:Off,pause:!f,section:0,value:0),time:(from:'2017-10-03T05:23:31-0600',mode:absolute,to:'2017-10-03T08:04:23-0600'))&amp;_a=(columns:!('Message%20ID',Summary),filters:!(),index:'emp_*',interval:auto,query:(query_string:(analyze_wildcard:!t,query:'%22rtdc.l.rtdc.4041%22')),sort:!(Time.ISO8601,asc))</v>
      </c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  <c r="AZ29" s="210"/>
      <c r="BA29" s="210"/>
      <c r="BB29" s="210"/>
      <c r="BC29" s="210"/>
      <c r="BD29" s="210"/>
      <c r="BE29" s="210"/>
      <c r="BF29" s="210"/>
      <c r="BG29" s="210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10"/>
      <c r="BW29" s="210"/>
      <c r="BX29" s="210"/>
      <c r="BY29" s="210"/>
      <c r="BZ29" s="210"/>
      <c r="CA29" s="210"/>
      <c r="CB29" s="210"/>
      <c r="CC29" s="210"/>
      <c r="CD29" s="210"/>
      <c r="CE29" s="210"/>
      <c r="CF29" s="210"/>
      <c r="CG29" s="210"/>
      <c r="CH29" s="210"/>
      <c r="CI29" s="210"/>
      <c r="CJ29" s="210"/>
      <c r="CK29" s="210"/>
      <c r="CL29" s="210"/>
      <c r="CM29" s="210"/>
    </row>
    <row r="30" spans="1:91" s="1" customFormat="1" x14ac:dyDescent="0.25">
      <c r="A30" s="32" t="s">
        <v>595</v>
      </c>
      <c r="B30" s="7">
        <v>4012</v>
      </c>
      <c r="C30" s="21" t="s">
        <v>194</v>
      </c>
      <c r="D30" s="21" t="s">
        <v>338</v>
      </c>
      <c r="E30" s="13">
        <v>43011.235497685186</v>
      </c>
      <c r="F30" s="13">
        <v>43011.254155092596</v>
      </c>
      <c r="G30" s="7">
        <v>136</v>
      </c>
      <c r="H30" s="21" t="s">
        <v>853</v>
      </c>
      <c r="I30" s="13">
        <v>43011.267395833333</v>
      </c>
      <c r="J30" s="7">
        <v>0</v>
      </c>
      <c r="K30" s="85" t="str">
        <f t="shared" si="0"/>
        <v>4011/4012</v>
      </c>
      <c r="L30" s="179" t="str">
        <f>VLOOKUP(A30,'Trips&amp;Operators'!$C$1:$G$99911,5,FALSE)</f>
        <v>MACDONALD THOMAS</v>
      </c>
      <c r="M30" s="6">
        <f t="shared" si="1"/>
        <v>1.3240740736364387E-2</v>
      </c>
      <c r="N30" s="7"/>
      <c r="O30" s="7"/>
      <c r="P30" s="7">
        <f>24*60*SUM($M30:$M30)</f>
        <v>19.066666660364717</v>
      </c>
      <c r="Q30" s="22"/>
      <c r="R30" s="169" t="s">
        <v>485</v>
      </c>
      <c r="S30" s="202">
        <f>1/IF(AG30="EC",12,1)*SUM(U30:U31)</f>
        <v>0.91666666666666663</v>
      </c>
      <c r="T30" s="169" t="str">
        <f t="shared" si="4"/>
        <v>NorthBound</v>
      </c>
      <c r="U30" s="22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9</v>
      </c>
      <c r="V30" s="222" t="str">
        <f t="shared" si="5"/>
        <v>https://d0f6bd738d7f1b3e5a7ca70fe4ff75f0.us-east-1.aws.found.io/app/kibana#/discover/Steve-Slow-Train-Analysis-(2080s-and-2083s)?_g=(refreshInterval:(display:Off,pause:!f,section:0,value:0),time:(from:'2017-10-03T04:39:07-0600',mode:absolute,to:'2017-10-03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223" t="str">
        <f>IF(AA30&lt;VLOOKUP(AG30,Variables!$AC$3:$AD$8,2,FALSE),"Y","N")</f>
        <v>Y</v>
      </c>
      <c r="X30" s="223">
        <f t="shared" si="6"/>
        <v>1</v>
      </c>
      <c r="Y30" s="223">
        <f t="shared" si="7"/>
        <v>4.53E-2</v>
      </c>
      <c r="Z30" s="223">
        <f t="shared" si="8"/>
        <v>6.4021999999999997</v>
      </c>
      <c r="AA30" s="223">
        <f t="shared" si="9"/>
        <v>6.3568999999999996</v>
      </c>
      <c r="AB30" s="224" t="e">
        <f>VLOOKUP(A30,Enforcements!$C$7:$K$11,8,0)</f>
        <v>#N/A</v>
      </c>
      <c r="AC30" s="224" t="e">
        <f>VLOOKUP(A30,Enforcements!$C$7:$E$11,3,0)</f>
        <v>#N/A</v>
      </c>
      <c r="AD30" s="225">
        <f t="shared" si="10"/>
        <v>117</v>
      </c>
      <c r="AE30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30" s="227" t="str">
        <f t="shared" si="12"/>
        <v>"C:\Program Files (x86)\AstroGrep\AstroGrep.exe" /e /r /s /spath="%USERPROFILE%\AppData\Local\Temp\OnboardLogs" /stypes="app*4012*20171003*" /stext=" 12:.+((SYSTEM_STATE.+slice.+state.+changed )|(ment ac)|(multiple cpu faults)|(system.+state.+changed )|(\[timeout)|(PRM\|1\|D)|(kpr)|(kdp)|(train st.+moving)|(\|lc)|(penalty))"</v>
      </c>
      <c r="AG30" s="228" t="str">
        <f t="shared" si="13"/>
        <v>EC</v>
      </c>
      <c r="AH30" s="229" t="str">
        <f t="shared" si="19"/>
        <v>"%USERPROFILE%\Documents\GitHub\eaglep3\Utilities\RefineRTDCRunTimes.py" --tripid 117-03 --locoid 4012 --swversion DE.1.0.9.0 --startMP 204:453 --initTime 2017-10-03T05:39:07 --startdatetime 2017-10-03T06:05:59 --delay 136 --endMP 204:64022 --enddatetime 2017-10-03T06:25:03 --enforcementcount 0 &gt;&gt;%USERPROFILE%\Documents\GitHub\eaglep3-reporting\EC\2017-10-03-refined-times.txt</v>
      </c>
      <c r="AI30" s="230" t="str">
        <f t="shared" si="20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drop","project_id":79,"tracker_id":40,"status_id":1,"priority_id":2,"assigned_to_id":338,"start_date":"2017-10-03","description":"","custom_fields":[{"id":1,"name":"Subdivision","value":"EC"},{"id":4,"name":"Milepost","value":"6.4022"},{"id":17,"name":"Train ID","value":"117-03"},{"id":16,"name":"Locomotive ID","value":"4012"},{"id":130,"name":"Impact","value":""},{"id":150,"name":"Time of Event (Mountain Time)","value":"06:25:03"},{"id":151,"name":"Denver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10"/>
      <c r="AK30" s="225"/>
      <c r="AL30" s="225"/>
      <c r="AM30" s="231" t="str">
        <f t="shared" si="21"/>
        <v>start /low /b %USERPROFILE%\Documents\GitHub\eaglep3\Utilities\DownloadLogsFromS3.py --loco 4012 --day 2017-10-03</v>
      </c>
      <c r="AN30" s="232" t="str">
        <f t="shared" si="22"/>
        <v>echo {"issue":{"subject":"Wi-MAX data drop","project_id":30,"tracker_id":4,"status_id":1,"priority_id":1,"assigned_to_id":10,"start_date":"2017-10-03","description":"","custom_fields":[{"id":30,"name":"Category","value":"Issue"},{"id":3,"name":"Functional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10" t="str">
        <f t="shared" si="23"/>
        <v>https://d0f6bd738d7f1b3e5a7ca70fe4ff75f0.us-east-1.aws.found.io/app/kibana#/discover/Steve-Slow-Train-Analysis-(2080s-and-2083s)?_g=(refreshInterval:(display:Off,pause:!f,section:0,value:0),time:(from:'2017-10-03T04:39:07-0600',mode:absolute,to:'2017-10-03T07:25:03-0600'))&amp;_a=(columns:!('Message%20ID',Summary),filters:!(),index:'emp_*',interval:auto,query:(query_string:(analyze_wildcard:!t,query:'%22rtdc.l.rtdc.4012%22')),sort:!(Time.ISO8601,asc))</v>
      </c>
      <c r="AP30" s="210"/>
      <c r="AQ30" s="210"/>
      <c r="AR30" s="210"/>
      <c r="AS30" s="210"/>
      <c r="AT30" s="210"/>
      <c r="AU30" s="210"/>
      <c r="AV30" s="210"/>
      <c r="AW30" s="210"/>
      <c r="AX30" s="210"/>
      <c r="AY30" s="210"/>
      <c r="AZ30" s="210"/>
      <c r="BA30" s="210"/>
      <c r="BB30" s="210"/>
      <c r="BC30" s="210"/>
      <c r="BD30" s="210"/>
      <c r="BE30" s="210"/>
      <c r="BF30" s="210"/>
      <c r="BG30" s="210"/>
      <c r="BH30" s="210"/>
      <c r="BI30" s="210"/>
      <c r="BJ30" s="210"/>
      <c r="BK30" s="210"/>
      <c r="BL30" s="210"/>
      <c r="BM30" s="210"/>
      <c r="BN30" s="210"/>
      <c r="BO30" s="210"/>
      <c r="BP30" s="210"/>
      <c r="BQ30" s="210"/>
      <c r="BR30" s="210"/>
      <c r="BS30" s="210"/>
      <c r="BT30" s="210"/>
      <c r="BU30" s="210"/>
      <c r="BV30" s="210"/>
      <c r="BW30" s="210"/>
      <c r="BX30" s="210"/>
      <c r="BY30" s="210"/>
      <c r="BZ30" s="210"/>
      <c r="CA30" s="210"/>
      <c r="CB30" s="210"/>
      <c r="CC30" s="210"/>
      <c r="CD30" s="210"/>
      <c r="CE30" s="210"/>
      <c r="CF30" s="210"/>
      <c r="CG30" s="210"/>
      <c r="CH30" s="210"/>
      <c r="CI30" s="210"/>
      <c r="CJ30" s="210"/>
      <c r="CK30" s="210"/>
      <c r="CL30" s="210"/>
      <c r="CM30" s="210"/>
    </row>
    <row r="31" spans="1:91" s="1" customFormat="1" x14ac:dyDescent="0.25">
      <c r="A31" s="32" t="s">
        <v>595</v>
      </c>
      <c r="B31" s="7">
        <v>4012</v>
      </c>
      <c r="C31" s="21" t="s">
        <v>194</v>
      </c>
      <c r="D31" s="21" t="s">
        <v>854</v>
      </c>
      <c r="E31" s="13">
        <v>43011.25335648148</v>
      </c>
      <c r="F31" s="13">
        <v>43011.254155092596</v>
      </c>
      <c r="G31" s="7">
        <v>37</v>
      </c>
      <c r="H31" s="21" t="s">
        <v>855</v>
      </c>
      <c r="I31" s="13">
        <v>43011.267395833333</v>
      </c>
      <c r="J31" s="7">
        <v>0</v>
      </c>
      <c r="K31" s="85" t="str">
        <f t="shared" si="0"/>
        <v>4011/4012</v>
      </c>
      <c r="L31" s="179" t="str">
        <f>VLOOKUP(A31,'Trips&amp;Operators'!$C$1:$G$99911,5,FALSE)</f>
        <v>MACDONALD THOMAS</v>
      </c>
      <c r="M31" s="6">
        <f t="shared" si="1"/>
        <v>1.3240740736364387E-2</v>
      </c>
      <c r="N31" s="7"/>
      <c r="O31" s="7"/>
      <c r="P31" s="7"/>
      <c r="Q31" s="22"/>
      <c r="R31" s="169"/>
      <c r="S31" s="202"/>
      <c r="T31" s="169" t="str">
        <f t="shared" si="4"/>
        <v>NorthBound</v>
      </c>
      <c r="U31" s="22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2</v>
      </c>
      <c r="V31" s="222" t="str">
        <f t="shared" si="5"/>
        <v>https://d0f6bd738d7f1b3e5a7ca70fe4ff75f0.us-east-1.aws.found.io/app/kibana#/discover/Steve-Slow-Train-Analysis-(2080s-and-2083s)?_g=(refreshInterval:(display:Off,pause:!f,section:0,value:0),time:(from:'2017-10-03T05:04:50-0600',mode:absolute,to:'2017-10-03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23" t="str">
        <f>IF(AA31&lt;VLOOKUP(AG31,Variables!$AC$3:$AD$8,2,FALSE),"Y","N")</f>
        <v>Y</v>
      </c>
      <c r="X31" s="223">
        <f t="shared" si="6"/>
        <v>0</v>
      </c>
      <c r="Y31" s="223">
        <f t="shared" si="7"/>
        <v>8.6373999999999995</v>
      </c>
      <c r="Z31" s="223">
        <f t="shared" si="8"/>
        <v>23.322399999999998</v>
      </c>
      <c r="AA31" s="223">
        <f t="shared" si="9"/>
        <v>14.684999999999999</v>
      </c>
      <c r="AB31" s="224" t="e">
        <f>VLOOKUP(A31,Enforcements!$C$7:$K$11,8,0)</f>
        <v>#N/A</v>
      </c>
      <c r="AC31" s="224" t="e">
        <f>VLOOKUP(A31,Enforcements!$C$7:$E$11,3,0)</f>
        <v>#N/A</v>
      </c>
      <c r="AD31" s="225">
        <f t="shared" si="10"/>
        <v>117</v>
      </c>
      <c r="AE31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31" s="227" t="str">
        <f t="shared" si="12"/>
        <v>"C:\Program Files (x86)\AstroGrep\AstroGrep.exe" /e /r /s /spath="%USERPROFILE%\AppData\Local\Temp\OnboardLogs" /stypes="app*4012*20171003*" /stext=" 12:.+((SYSTEM_STATE.+slice.+state.+changed )|(ment ac)|(multiple cpu faults)|(system.+state.+changed )|(\[timeout)|(PRM\|1\|D)|(kpr)|(kdp)|(train st.+moving)|(\|lc)|(penalty))"</v>
      </c>
      <c r="AG31" s="228" t="str">
        <f t="shared" si="13"/>
        <v>EC</v>
      </c>
      <c r="AH31" s="229" t="str">
        <f t="shared" si="19"/>
        <v>"%USERPROFILE%\Documents\GitHub\eaglep3\Utilities\RefineRTDCRunTimes.py" --tripid 117-03 --locoid 4012 --swversion DE.1.0.9.0 --startMP 204:86374 --initTime 2017-10-03T06:04:50 --startdatetime 2017-10-03T06:05:59 --delay 37 --endMP 204:233224 --enddatetime 2017-10-03T06:25:03 --enforcementcount 0 &gt;&gt;%USERPROFILE%\Documents\GitHub\eaglep3-reporting\EC\2017-10-03-refined-times.txt</v>
      </c>
      <c r="AI3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{"issue":{"subject":"","project_id":79,"tracker_id":40,"status_id":1,"priority_id":2,"assigned_to_id":338,"start_date":"2017-10-03","description":"","custom_fields":[{"id":1,"name":"Subdivision","value":"EC"},{"id":4,"name":"Milepost","value":"23.3224"},{"id":17,"name":"Train ID","value":"117-03"},{"id":16,"name":"Locomotive ID","value":"4012"},{"id":130,"name":"Impact","value":""},{"id":150,"name":"Time of Event (Mountain Time)","value":"06:25:03"},{"id":151,"name":"Denver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10"/>
      <c r="AK31" s="225"/>
      <c r="AL31" s="225"/>
      <c r="AM31" s="231" t="str">
        <f t="shared" si="21"/>
        <v>start /low /b %USERPROFILE%\Documents\GitHub\eaglep3\Utilities\DownloadLogsFromS3.py --loco 4012 --day 2017-10-03</v>
      </c>
      <c r="AN3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10" t="str">
        <f t="shared" si="23"/>
        <v>https://d0f6bd738d7f1b3e5a7ca70fe4ff75f0.us-east-1.aws.found.io/app/kibana#/discover/Steve-Slow-Train-Analysis-(2080s-and-2083s)?_g=(refreshInterval:(display:Off,pause:!f,section:0,value:0),time:(from:'2017-10-03T05:04:50-0600',mode:absolute,to:'2017-10-03T07:25:03-0600'))&amp;_a=(columns:!('Message%20ID',Summary),filters:!(),index:'emp_*',interval:auto,query:(query_string:(analyze_wildcard:!t,query:'%22rtdc.l.rtdc.4012%22')),sort:!(Time.ISO8601,asc))</v>
      </c>
      <c r="AP31" s="210"/>
      <c r="AQ31" s="210"/>
      <c r="AR31" s="210"/>
      <c r="AS31" s="210"/>
      <c r="AT31" s="210"/>
      <c r="AU31" s="210"/>
      <c r="AV31" s="210"/>
      <c r="AW31" s="210"/>
      <c r="AX31" s="210"/>
      <c r="AY31" s="210"/>
      <c r="AZ31" s="210"/>
      <c r="BA31" s="210"/>
      <c r="BB31" s="210"/>
      <c r="BC31" s="210"/>
      <c r="BD31" s="210"/>
      <c r="BE31" s="210"/>
      <c r="BF31" s="210"/>
      <c r="BG31" s="210"/>
      <c r="BH31" s="210"/>
      <c r="BI31" s="210"/>
      <c r="BJ31" s="210"/>
      <c r="BK31" s="210"/>
      <c r="BL31" s="210"/>
      <c r="BM31" s="210"/>
      <c r="BN31" s="210"/>
      <c r="BO31" s="210"/>
      <c r="BP31" s="210"/>
      <c r="BQ31" s="210"/>
      <c r="BR31" s="210"/>
      <c r="BS31" s="210"/>
      <c r="BT31" s="210"/>
      <c r="BU31" s="210"/>
      <c r="BV31" s="210"/>
      <c r="BW31" s="210"/>
      <c r="BX31" s="210"/>
      <c r="BY31" s="210"/>
      <c r="BZ31" s="210"/>
      <c r="CA31" s="210"/>
      <c r="CB31" s="210"/>
      <c r="CC31" s="210"/>
      <c r="CD31" s="210"/>
      <c r="CE31" s="210"/>
      <c r="CF31" s="210"/>
      <c r="CG31" s="210"/>
      <c r="CH31" s="210"/>
      <c r="CI31" s="210"/>
      <c r="CJ31" s="210"/>
      <c r="CK31" s="210"/>
      <c r="CL31" s="210"/>
      <c r="CM31" s="210"/>
    </row>
    <row r="32" spans="1:91" s="1" customFormat="1" x14ac:dyDescent="0.25">
      <c r="A32" s="32" t="s">
        <v>602</v>
      </c>
      <c r="B32" s="7">
        <v>4011</v>
      </c>
      <c r="C32" s="21" t="s">
        <v>194</v>
      </c>
      <c r="D32" s="21" t="s">
        <v>856</v>
      </c>
      <c r="E32" s="13">
        <v>43011.276516203703</v>
      </c>
      <c r="F32" s="13">
        <v>43011.279479166667</v>
      </c>
      <c r="G32" s="7">
        <v>55</v>
      </c>
      <c r="H32" s="21" t="s">
        <v>335</v>
      </c>
      <c r="I32" s="13">
        <v>43011.306550925925</v>
      </c>
      <c r="J32" s="7">
        <v>0</v>
      </c>
      <c r="K32" s="85" t="str">
        <f t="shared" si="0"/>
        <v>4011/4012</v>
      </c>
      <c r="L32" s="179" t="str">
        <f>VLOOKUP(A32,'Trips&amp;Operators'!$C$1:$G$99911,5,FALSE)</f>
        <v>MACDONALD THOMAS</v>
      </c>
      <c r="M32" s="6">
        <f t="shared" si="1"/>
        <v>2.7071759257523809E-2</v>
      </c>
      <c r="N32" s="7">
        <f t="shared" ref="N32:N45" si="26">24*60*SUM($M32:$M32)</f>
        <v>38.983333330834284</v>
      </c>
      <c r="O32" s="7"/>
      <c r="P32" s="7"/>
      <c r="Q32" s="22"/>
      <c r="R32" s="169"/>
      <c r="S32" s="202">
        <f t="shared" ref="S32:S45" si="27">1/IF(AG32="EC",12,1)*SUM(U32:U32)</f>
        <v>1</v>
      </c>
      <c r="T32" s="169" t="str">
        <f t="shared" si="4"/>
        <v>Southbound</v>
      </c>
      <c r="U32" s="22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2" t="str">
        <f t="shared" si="5"/>
        <v>https://d0f6bd738d7f1b3e5a7ca70fe4ff75f0.us-east-1.aws.found.io/app/kibana#/discover/Steve-Slow-Train-Analysis-(2080s-and-2083s)?_g=(refreshInterval:(display:Off,pause:!f,section:0,value:0),time:(from:'2017-10-03T05:38:11-0600',mode:absolute,to:'2017-10-03T08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23" t="str">
        <f>IF(AA32&lt;VLOOKUP(AG32,Variables!$AC$3:$AD$8,2,FALSE),"Y","N")</f>
        <v>N</v>
      </c>
      <c r="X32" s="223">
        <f t="shared" si="6"/>
        <v>1</v>
      </c>
      <c r="Y32" s="223">
        <f t="shared" si="7"/>
        <v>23.290900000000001</v>
      </c>
      <c r="Z32" s="223">
        <f t="shared" si="8"/>
        <v>1.4999999999999999E-2</v>
      </c>
      <c r="AA32" s="223">
        <f t="shared" si="9"/>
        <v>23.2759</v>
      </c>
      <c r="AB32" s="224" t="str">
        <f>VLOOKUP(A32,Enforcements!$C$7:$K$11,8,0)</f>
        <v>Speed (6)</v>
      </c>
      <c r="AC32" s="224" t="str">
        <f>VLOOKUP(A32,Enforcements!$C$7:$E$11,3,0)</f>
        <v>PERMANENT SPEED RESTRICTION</v>
      </c>
      <c r="AD32" s="225">
        <f t="shared" si="10"/>
        <v>118</v>
      </c>
      <c r="AE32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32" s="227" t="str">
        <f t="shared" si="12"/>
        <v>"C:\Program Files (x86)\AstroGrep\AstroGrep.exe" /e /r /s /spath="%USERPROFILE%\AppData\Local\Temp\OnboardLogs" /stypes="app*4011*20171003*" /stext=" 13:.+((SYSTEM_STATE.+slice.+state.+changed )|(ment ac)|(multiple cpu faults)|(system.+state.+changed )|(\[timeout)|(PRM\|1\|D)|(kpr)|(kdp)|(train st.+moving)|(\|lc)|(penalty))"</v>
      </c>
      <c r="AG32" s="228" t="str">
        <f t="shared" si="13"/>
        <v>EC</v>
      </c>
      <c r="AH32" s="229" t="str">
        <f t="shared" si="19"/>
        <v>"%USERPROFILE%\Documents\GitHub\eaglep3\Utilities\RefineRTDCRunTimes.py" --tripid 118-03 --locoid 4011 --swversion DE.1.0.9.0 --startMP 204:232909 --initTime 2017-10-03T06:38:11 --startdatetime 2017-10-03T06:42:27 --delay 55 --endMP 204:150 --enddatetime 2017-10-03T07:21:26 --enforcementcount 0 &gt;&gt;%USERPROFILE%\Documents\GitHub\eaglep3-reporting\EC\2017-10-03-refined-times.txt</v>
      </c>
      <c r="AI3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ID","value":"118-03"},{"id":16,"name":"Locomotive ID","value":"4011"},{"id":130,"name":"Impact","value":""},{"id":150,"name":"Time of Event (Mountain Time)","value":"07:21:26"},{"id":151,"name":"Denver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10"/>
      <c r="AK32" s="225"/>
      <c r="AL32" s="225"/>
      <c r="AM32" s="231" t="str">
        <f t="shared" si="21"/>
        <v>start /low /b %USERPROFILE%\Documents\GitHub\eaglep3\Utilities\DownloadLogsFromS3.py --loco 4011 --day 2017-10-03</v>
      </c>
      <c r="AN3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10" t="str">
        <f t="shared" si="23"/>
        <v>https://d0f6bd738d7f1b3e5a7ca70fe4ff75f0.us-east-1.aws.found.io/app/kibana#/discover/Steve-Slow-Train-Analysis-(2080s-and-2083s)?_g=(refreshInterval:(display:Off,pause:!f,section:0,value:0),time:(from:'2017-10-03T05:38:11-0600',mode:absolute,to:'2017-10-03T08:21:26-0600'))&amp;_a=(columns:!('Message%20ID',Summary),filters:!(),index:'emp_*',interval:auto,query:(query_string:(analyze_wildcard:!t,query:'%22rtdc.l.rtdc.4011%22')),sort:!(Time.ISO8601,asc))</v>
      </c>
      <c r="AP32" s="210"/>
      <c r="AQ32" s="210"/>
      <c r="AR32" s="210"/>
      <c r="AS32" s="210"/>
      <c r="AT32" s="210"/>
      <c r="AU32" s="210"/>
      <c r="AV32" s="210"/>
      <c r="AW32" s="210"/>
      <c r="AX32" s="210"/>
      <c r="AY32" s="210"/>
      <c r="AZ32" s="210"/>
      <c r="BA32" s="210"/>
      <c r="BB32" s="210"/>
      <c r="BC32" s="210"/>
      <c r="BD32" s="210"/>
      <c r="BE32" s="210"/>
      <c r="BF32" s="210"/>
      <c r="BG32" s="210"/>
      <c r="BH32" s="210"/>
      <c r="BI32" s="210"/>
      <c r="BJ32" s="210"/>
      <c r="BK32" s="210"/>
      <c r="BL32" s="210"/>
      <c r="BM32" s="210"/>
      <c r="BN32" s="210"/>
      <c r="BO32" s="210"/>
      <c r="BP32" s="210"/>
      <c r="BQ32" s="210"/>
      <c r="BR32" s="210"/>
      <c r="BS32" s="210"/>
      <c r="BT32" s="210"/>
      <c r="BU32" s="210"/>
      <c r="BV32" s="210"/>
      <c r="BW32" s="210"/>
      <c r="BX32" s="210"/>
      <c r="BY32" s="210"/>
      <c r="BZ32" s="210"/>
      <c r="CA32" s="210"/>
      <c r="CB32" s="210"/>
      <c r="CC32" s="210"/>
      <c r="CD32" s="210"/>
      <c r="CE32" s="210"/>
      <c r="CF32" s="210"/>
      <c r="CG32" s="210"/>
      <c r="CH32" s="210"/>
      <c r="CI32" s="210"/>
      <c r="CJ32" s="210"/>
      <c r="CK32" s="210"/>
      <c r="CL32" s="210"/>
      <c r="CM32" s="210"/>
    </row>
    <row r="33" spans="1:91" s="1" customFormat="1" x14ac:dyDescent="0.25">
      <c r="A33" s="32" t="s">
        <v>598</v>
      </c>
      <c r="B33" s="7">
        <v>4032</v>
      </c>
      <c r="C33" s="21" t="s">
        <v>194</v>
      </c>
      <c r="D33" s="21" t="s">
        <v>359</v>
      </c>
      <c r="E33" s="13">
        <v>43011.246574074074</v>
      </c>
      <c r="F33" s="13">
        <v>43011.250138888892</v>
      </c>
      <c r="G33" s="7">
        <v>59</v>
      </c>
      <c r="H33" s="21" t="s">
        <v>513</v>
      </c>
      <c r="I33" s="13">
        <v>43011.274247685185</v>
      </c>
      <c r="J33" s="7">
        <v>0</v>
      </c>
      <c r="K33" s="85" t="str">
        <f t="shared" si="0"/>
        <v>4031/4032</v>
      </c>
      <c r="L33" s="179" t="str">
        <f>VLOOKUP(A33,'Trips&amp;Operators'!$C$1:$G$99911,5,FALSE)</f>
        <v>BIRENBAUM THOMAS</v>
      </c>
      <c r="M33" s="6">
        <f t="shared" si="1"/>
        <v>2.4108796293148771E-2</v>
      </c>
      <c r="N33" s="7">
        <f t="shared" si="26"/>
        <v>34.71666666213423</v>
      </c>
      <c r="O33" s="7"/>
      <c r="P33" s="7"/>
      <c r="Q33" s="22"/>
      <c r="R33" s="169"/>
      <c r="S33" s="202">
        <f t="shared" si="27"/>
        <v>1</v>
      </c>
      <c r="T33" s="169" t="str">
        <f t="shared" si="4"/>
        <v>NorthBound</v>
      </c>
      <c r="U33" s="22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2" t="str">
        <f t="shared" si="5"/>
        <v>https://d0f6bd738d7f1b3e5a7ca70fe4ff75f0.us-east-1.aws.found.io/app/kibana#/discover/Steve-Slow-Train-Analysis-(2080s-and-2083s)?_g=(refreshInterval:(display:Off,pause:!f,section:0,value:0),time:(from:'2017-10-03T04:55:04-0600',mode:absolute,to:'2017-10-03T07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23" t="str">
        <f>IF(AA33&lt;VLOOKUP(AG33,Variables!$AC$3:$AD$8,2,FALSE),"Y","N")</f>
        <v>N</v>
      </c>
      <c r="X33" s="223">
        <f t="shared" si="6"/>
        <v>1</v>
      </c>
      <c r="Y33" s="223">
        <f t="shared" si="7"/>
        <v>4.6399999999999997E-2</v>
      </c>
      <c r="Z33" s="223">
        <f t="shared" si="8"/>
        <v>23.330200000000001</v>
      </c>
      <c r="AA33" s="223">
        <f t="shared" si="9"/>
        <v>23.283800000000003</v>
      </c>
      <c r="AB33" s="224" t="e">
        <f>VLOOKUP(A33,Enforcements!$C$7:$K$11,8,0)</f>
        <v>#N/A</v>
      </c>
      <c r="AC33" s="224" t="e">
        <f>VLOOKUP(A33,Enforcements!$C$7:$E$11,3,0)</f>
        <v>#N/A</v>
      </c>
      <c r="AD33" s="225">
        <f t="shared" si="10"/>
        <v>119</v>
      </c>
      <c r="AE33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33" s="227" t="str">
        <f t="shared" si="12"/>
        <v>"C:\Program Files (x86)\AstroGrep\AstroGrep.exe" /e /r /s /spath="%USERPROFILE%\AppData\Local\Temp\OnboardLogs" /stypes="app*4032*20171003*" /stext=" 12:.+((SYSTEM_STATE.+slice.+state.+changed )|(ment ac)|(multiple cpu faults)|(system.+state.+changed )|(\[timeout)|(PRM\|1\|D)|(kpr)|(kdp)|(train st.+moving)|(\|lc)|(penalty))"</v>
      </c>
      <c r="AG33" s="228" t="str">
        <f t="shared" si="13"/>
        <v>EC</v>
      </c>
      <c r="AH33" s="229" t="str">
        <f t="shared" si="19"/>
        <v>"%USERPROFILE%\Documents\GitHub\eaglep3\Utilities\RefineRTDCRunTimes.py" --tripid 119-03 --locoid 4032 --swversion DE.1.0.9.0 --startMP 204:464 --initTime 2017-10-03T05:55:04 --startdatetime 2017-10-03T06:00:12 --delay 59 --endMP 204:233302 --enddatetime 2017-10-03T06:34:55 --enforcementcount 0 &gt;&gt;%USERPROFILE%\Documents\GitHub\eaglep3-reporting\EC\2017-10-03-refined-times.txt</v>
      </c>
      <c r="AI3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{"issue":{"subject":"","project_id":79,"tracker_id":40,"status_id":1,"priority_id":2,"assigned_to_id":338,"start_date":"2017-10-03","description":"","custom_fields":[{"id":1,"name":"Subdivision","value":"EC"},{"id":4,"name":"Milepost","value":"23.3302"},{"id":17,"name":"Train ID","value":"119-03"},{"id":16,"name":"Locomotive ID","value":"4032"},{"id":130,"name":"Impact","value":""},{"id":150,"name":"Time of Event (Mountain Time)","value":"06:34:55"},{"id":151,"name":"Denver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10"/>
      <c r="AK33" s="225"/>
      <c r="AL33" s="225"/>
      <c r="AM33" s="231" t="str">
        <f t="shared" si="21"/>
        <v>start /low /b %USERPROFILE%\Documents\GitHub\eaglep3\Utilities\DownloadLogsFromS3.py --loco 4032 --day 2017-10-03</v>
      </c>
      <c r="AN3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10" t="str">
        <f t="shared" si="23"/>
        <v>https://d0f6bd738d7f1b3e5a7ca70fe4ff75f0.us-east-1.aws.found.io/app/kibana#/discover/Steve-Slow-Train-Analysis-(2080s-and-2083s)?_g=(refreshInterval:(display:Off,pause:!f,section:0,value:0),time:(from:'2017-10-03T04:55:04-0600',mode:absolute,to:'2017-10-03T07:34:55-0600'))&amp;_a=(columns:!('Message%20ID',Summary),filters:!(),index:'emp_*',interval:auto,query:(query_string:(analyze_wildcard:!t,query:'%22rtdc.l.rtdc.4032%22')),sort:!(Time.ISO8601,asc))</v>
      </c>
      <c r="AP33" s="210"/>
      <c r="AQ33" s="210"/>
      <c r="AR33" s="210"/>
      <c r="AS33" s="210"/>
      <c r="AT33" s="210"/>
      <c r="AU33" s="210"/>
      <c r="AV33" s="210"/>
      <c r="AW33" s="210"/>
      <c r="AX33" s="210"/>
      <c r="AY33" s="210"/>
      <c r="AZ33" s="210"/>
      <c r="BA33" s="210"/>
      <c r="BB33" s="210"/>
      <c r="BC33" s="210"/>
      <c r="BD33" s="210"/>
      <c r="BE33" s="210"/>
      <c r="BF33" s="210"/>
      <c r="BG33" s="210"/>
      <c r="BH33" s="210"/>
      <c r="BI33" s="210"/>
      <c r="BJ33" s="210"/>
      <c r="BK33" s="210"/>
      <c r="BL33" s="210"/>
      <c r="BM33" s="210"/>
      <c r="BN33" s="210"/>
      <c r="BO33" s="210"/>
      <c r="BP33" s="210"/>
      <c r="BQ33" s="210"/>
      <c r="BR33" s="210"/>
      <c r="BS33" s="210"/>
      <c r="BT33" s="210"/>
      <c r="BU33" s="210"/>
      <c r="BV33" s="210"/>
      <c r="BW33" s="210"/>
      <c r="BX33" s="210"/>
      <c r="BY33" s="210"/>
      <c r="BZ33" s="210"/>
      <c r="CA33" s="210"/>
      <c r="CB33" s="210"/>
      <c r="CC33" s="210"/>
      <c r="CD33" s="210"/>
      <c r="CE33" s="210"/>
      <c r="CF33" s="210"/>
      <c r="CG33" s="210"/>
      <c r="CH33" s="210"/>
      <c r="CI33" s="210"/>
      <c r="CJ33" s="210"/>
      <c r="CK33" s="210"/>
      <c r="CL33" s="210"/>
      <c r="CM33" s="210"/>
    </row>
    <row r="34" spans="1:91" s="1" customFormat="1" x14ac:dyDescent="0.25">
      <c r="A34" s="32" t="s">
        <v>604</v>
      </c>
      <c r="B34" s="7">
        <v>4031</v>
      </c>
      <c r="C34" s="21" t="s">
        <v>194</v>
      </c>
      <c r="D34" s="21" t="s">
        <v>388</v>
      </c>
      <c r="E34" s="13">
        <v>43011.277129629627</v>
      </c>
      <c r="F34" s="13">
        <v>43011.289733796293</v>
      </c>
      <c r="G34" s="7">
        <v>57</v>
      </c>
      <c r="H34" s="21" t="s">
        <v>380</v>
      </c>
      <c r="I34" s="13">
        <v>43011.319768518515</v>
      </c>
      <c r="J34" s="7">
        <v>0</v>
      </c>
      <c r="K34" s="85" t="str">
        <f t="shared" si="0"/>
        <v>4031/4032</v>
      </c>
      <c r="L34" s="179" t="str">
        <f>VLOOKUP(A34,'Trips&amp;Operators'!$C$1:$G$99911,5,FALSE)</f>
        <v>BIRENBAUM THOMAS</v>
      </c>
      <c r="M34" s="6">
        <f t="shared" si="1"/>
        <v>3.0034722221898846E-2</v>
      </c>
      <c r="N34" s="7">
        <f t="shared" si="26"/>
        <v>43.249999999534339</v>
      </c>
      <c r="O34" s="7"/>
      <c r="P34" s="7"/>
      <c r="Q34" s="22"/>
      <c r="R34" s="169"/>
      <c r="S34" s="202">
        <f t="shared" si="27"/>
        <v>1</v>
      </c>
      <c r="T34" s="169" t="str">
        <f t="shared" si="4"/>
        <v>Southbound</v>
      </c>
      <c r="U34" s="22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2" t="str">
        <f t="shared" si="5"/>
        <v>https://d0f6bd738d7f1b3e5a7ca70fe4ff75f0.us-east-1.aws.found.io/app/kibana#/discover/Steve-Slow-Train-Analysis-(2080s-and-2083s)?_g=(refreshInterval:(display:Off,pause:!f,section:0,value:0),time:(from:'2017-10-03T05:39:04-0600',mode:absolute,to:'2017-10-03T08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23" t="str">
        <f>IF(AA34&lt;VLOOKUP(AG34,Variables!$AC$3:$AD$8,2,FALSE),"Y","N")</f>
        <v>N</v>
      </c>
      <c r="X34" s="223">
        <f t="shared" si="6"/>
        <v>1</v>
      </c>
      <c r="Y34" s="223">
        <f t="shared" si="7"/>
        <v>23.298100000000002</v>
      </c>
      <c r="Z34" s="223">
        <f t="shared" si="8"/>
        <v>1.6299999999999999E-2</v>
      </c>
      <c r="AA34" s="223">
        <f t="shared" si="9"/>
        <v>23.2818</v>
      </c>
      <c r="AB34" s="224" t="e">
        <f>VLOOKUP(A34,Enforcements!$C$7:$K$11,8,0)</f>
        <v>#N/A</v>
      </c>
      <c r="AC34" s="224" t="e">
        <f>VLOOKUP(A34,Enforcements!$C$7:$E$11,3,0)</f>
        <v>#N/A</v>
      </c>
      <c r="AD34" s="225">
        <f t="shared" si="10"/>
        <v>120</v>
      </c>
      <c r="AE34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34" s="227" t="str">
        <f t="shared" si="12"/>
        <v>"C:\Program Files (x86)\AstroGrep\AstroGrep.exe" /e /r /s /spath="%USERPROFILE%\AppData\Local\Temp\OnboardLogs" /stypes="app*4031*20171003*" /stext=" 13:.+((SYSTEM_STATE.+slice.+state.+changed )|(ment ac)|(multiple cpu faults)|(system.+state.+changed )|(\[timeout)|(PRM\|1\|D)|(kpr)|(kdp)|(train st.+moving)|(\|lc)|(penalty))"</v>
      </c>
      <c r="AG34" s="228" t="str">
        <f t="shared" si="13"/>
        <v>EC</v>
      </c>
      <c r="AH34" s="229" t="str">
        <f t="shared" si="19"/>
        <v>"%USERPROFILE%\Documents\GitHub\eaglep3\Utilities\RefineRTDCRunTimes.py" --tripid 120-03 --locoid 4031 --swversion DE.1.0.9.0 --startMP 204:232981 --initTime 2017-10-03T06:39:04 --startdatetime 2017-10-03T06:57:13 --delay 57 --endMP 204:163 --enddatetime 2017-10-03T07:40:28 --enforcementcount 0 &gt;&gt;%USERPROFILE%\Documents\GitHub\eaglep3-reporting\EC\2017-10-03-refined-times.txt</v>
      </c>
      <c r="AI3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{"issue":{"subject":"","project_id":79,"tracker_id":40,"status_id":1,"priority_id":2,"assigned_to_id":338,"start_date":"2017-10-03","description":"","custom_fields":[{"id":1,"name":"Subdivision","value":"EC"},{"id":4,"name":"Milepost","value":"0.0163"},{"id":17,"name":"Train ID","value":"120-03"},{"id":16,"name":"Locomotive ID","value":"4031"},{"id":130,"name":"Impact","value":""},{"id":150,"name":"Time of Event (Mountain Time)","value":"07:40:28"},{"id":151,"name":"Denver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10"/>
      <c r="AK34" s="225"/>
      <c r="AL34" s="225"/>
      <c r="AM34" s="231" t="str">
        <f t="shared" si="21"/>
        <v>start /low /b %USERPROFILE%\Documents\GitHub\eaglep3\Utilities\DownloadLogsFromS3.py --loco 4031 --day 2017-10-03</v>
      </c>
      <c r="AN3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10" t="str">
        <f t="shared" si="23"/>
        <v>https://d0f6bd738d7f1b3e5a7ca70fe4ff75f0.us-east-1.aws.found.io/app/kibana#/discover/Steve-Slow-Train-Analysis-(2080s-and-2083s)?_g=(refreshInterval:(display:Off,pause:!f,section:0,value:0),time:(from:'2017-10-03T05:39:04-0600',mode:absolute,to:'2017-10-03T08:40:28-0600'))&amp;_a=(columns:!('Message%20ID',Summary),filters:!(),index:'emp_*',interval:auto,query:(query_string:(analyze_wildcard:!t,query:'%22rtdc.l.rtdc.4031%22')),sort:!(Time.ISO8601,asc))</v>
      </c>
      <c r="AP34" s="210"/>
      <c r="AQ34" s="210"/>
      <c r="AR34" s="210"/>
      <c r="AS34" s="210"/>
      <c r="AT34" s="210"/>
      <c r="AU34" s="210"/>
      <c r="AV34" s="210"/>
      <c r="AW34" s="210"/>
      <c r="AX34" s="210"/>
      <c r="AY34" s="210"/>
      <c r="AZ34" s="210"/>
      <c r="BA34" s="210"/>
      <c r="BB34" s="210"/>
      <c r="BC34" s="210"/>
      <c r="BD34" s="210"/>
      <c r="BE34" s="210"/>
      <c r="BF34" s="210"/>
      <c r="BG34" s="210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210"/>
      <c r="BT34" s="210"/>
      <c r="BU34" s="210"/>
      <c r="BV34" s="210"/>
      <c r="BW34" s="210"/>
      <c r="BX34" s="210"/>
      <c r="BY34" s="210"/>
      <c r="BZ34" s="210"/>
      <c r="CA34" s="210"/>
      <c r="CB34" s="210"/>
      <c r="CC34" s="210"/>
      <c r="CD34" s="210"/>
      <c r="CE34" s="210"/>
      <c r="CF34" s="210"/>
      <c r="CG34" s="210"/>
      <c r="CH34" s="210"/>
      <c r="CI34" s="210"/>
      <c r="CJ34" s="210"/>
      <c r="CK34" s="210"/>
      <c r="CL34" s="210"/>
      <c r="CM34" s="210"/>
    </row>
    <row r="35" spans="1:91" s="1" customFormat="1" x14ac:dyDescent="0.25">
      <c r="A35" s="32" t="s">
        <v>657</v>
      </c>
      <c r="B35" s="7">
        <v>4056</v>
      </c>
      <c r="C35" s="21" t="s">
        <v>194</v>
      </c>
      <c r="D35" s="21" t="s">
        <v>444</v>
      </c>
      <c r="E35" s="13">
        <v>43011.255115740743</v>
      </c>
      <c r="F35" s="13">
        <v>43011.26059027778</v>
      </c>
      <c r="G35" s="7">
        <v>90</v>
      </c>
      <c r="H35" s="21" t="s">
        <v>857</v>
      </c>
      <c r="I35" s="13">
        <v>43011.28466435185</v>
      </c>
      <c r="J35" s="7">
        <v>0</v>
      </c>
      <c r="K35" s="85" t="str">
        <f t="shared" si="0"/>
        <v>4055/4056</v>
      </c>
      <c r="L35" s="179" t="str">
        <f>VLOOKUP(A35,'Trips&amp;Operators'!$C$1:$G$99911,5,FALSE)</f>
        <v>ROMERO CHAD</v>
      </c>
      <c r="M35" s="6">
        <f t="shared" si="1"/>
        <v>2.4074074070085771E-2</v>
      </c>
      <c r="N35" s="7">
        <f t="shared" si="26"/>
        <v>34.666666660923511</v>
      </c>
      <c r="O35" s="7"/>
      <c r="P35" s="7"/>
      <c r="Q35" s="22"/>
      <c r="R35" s="169"/>
      <c r="S35" s="202">
        <f t="shared" si="27"/>
        <v>1</v>
      </c>
      <c r="T35" s="169" t="str">
        <f t="shared" si="4"/>
        <v>NorthBound</v>
      </c>
      <c r="U35" s="22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2" t="str">
        <f t="shared" si="5"/>
        <v>https://d0f6bd738d7f1b3e5a7ca70fe4ff75f0.us-east-1.aws.found.io/app/kibana#/discover/Steve-Slow-Train-Analysis-(2080s-and-2083s)?_g=(refreshInterval:(display:Off,pause:!f,section:0,value:0),time:(from:'2017-10-03T05:07:22-0600',mode:absolute,to:'2017-10-03T07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23" t="str">
        <f>IF(AA35&lt;VLOOKUP(AG35,Variables!$AC$3:$AD$8,2,FALSE),"Y","N")</f>
        <v>N</v>
      </c>
      <c r="X35" s="223">
        <f t="shared" si="6"/>
        <v>1</v>
      </c>
      <c r="Y35" s="223">
        <f t="shared" si="7"/>
        <v>4.4400000000000002E-2</v>
      </c>
      <c r="Z35" s="223">
        <f t="shared" si="8"/>
        <v>23.335699999999999</v>
      </c>
      <c r="AA35" s="223">
        <f t="shared" si="9"/>
        <v>23.2913</v>
      </c>
      <c r="AB35" s="224" t="e">
        <f>VLOOKUP(A35,Enforcements!$C$7:$K$11,8,0)</f>
        <v>#N/A</v>
      </c>
      <c r="AC35" s="224" t="e">
        <f>VLOOKUP(A35,Enforcements!$C$7:$E$11,3,0)</f>
        <v>#N/A</v>
      </c>
      <c r="AD35" s="225">
        <f t="shared" si="10"/>
        <v>121</v>
      </c>
      <c r="AE35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35" s="227" t="str">
        <f t="shared" si="12"/>
        <v>"C:\Program Files (x86)\AstroGrep\AstroGrep.exe" /e /r /s /spath="%USERPROFILE%\AppData\Local\Temp\OnboardLogs" /stypes="app*4056*20171003*" /stext=" 12:.+((SYSTEM_STATE.+slice.+state.+changed )|(ment ac)|(multiple cpu faults)|(system.+state.+changed )|(\[timeout)|(PRM\|1\|D)|(kpr)|(kdp)|(train st.+moving)|(\|lc)|(penalty))"</v>
      </c>
      <c r="AG35" s="228" t="str">
        <f t="shared" si="13"/>
        <v>EC</v>
      </c>
      <c r="AH35" s="229" t="str">
        <f t="shared" si="19"/>
        <v>"%USERPROFILE%\Documents\GitHub\eaglep3\Utilities\RefineRTDCRunTimes.py" --tripid 121-03 --locoid 4056 --swversion DE.1.0.9.0 --startMP 204:444 --initTime 2017-10-03T06:07:22 --startdatetime 2017-10-03T06:15:15 --delay 90 --endMP 204:233357 --enddatetime 2017-10-03T06:49:55 --enforcementcount 0 &gt;&gt;%USERPROFILE%\Documents\GitHub\eaglep3-reporting\EC\2017-10-03-refined-times.txt</v>
      </c>
      <c r="AI3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{"issue":{"subject":"","project_id":79,"tracker_id":40,"status_id":1,"priority_id":2,"assigned_to_id":338,"start_date":"2017-10-03","description":"","custom_fields":[{"id":1,"name":"Subdivision","value":"EC"},{"id":4,"name":"Milepost","value":"23.3357"},{"id":17,"name":"Train ID","value":"121-03"},{"id":16,"name":"Locomotive ID","value":"4056"},{"id":130,"name":"Impact","value":""},{"id":150,"name":"Time of Event (Mountain Time)","value":"06:49:55"},{"id":151,"name":"Denver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10"/>
      <c r="AK35" s="225"/>
      <c r="AL35" s="225"/>
      <c r="AM35" s="231" t="str">
        <f t="shared" si="21"/>
        <v>start /low /b %USERPROFILE%\Documents\GitHub\eaglep3\Utilities\DownloadLogsFromS3.py --loco 4056 --day 2017-10-03</v>
      </c>
      <c r="AN3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10" t="str">
        <f t="shared" si="23"/>
        <v>https://d0f6bd738d7f1b3e5a7ca70fe4ff75f0.us-east-1.aws.found.io/app/kibana#/discover/Steve-Slow-Train-Analysis-(2080s-and-2083s)?_g=(refreshInterval:(display:Off,pause:!f,section:0,value:0),time:(from:'2017-10-03T05:07:22-0600',mode:absolute,to:'2017-10-03T07:49:55-0600'))&amp;_a=(columns:!('Message%20ID',Summary),filters:!(),index:'emp_*',interval:auto,query:(query_string:(analyze_wildcard:!t,query:'%22rtdc.l.rtdc.4056%22')),sort:!(Time.ISO8601,asc))</v>
      </c>
      <c r="AP35" s="210"/>
      <c r="AQ35" s="210"/>
      <c r="AR35" s="210"/>
      <c r="AS35" s="210"/>
      <c r="AT35" s="210"/>
      <c r="AU35" s="210"/>
      <c r="AV35" s="210"/>
      <c r="AW35" s="210"/>
      <c r="AX35" s="210"/>
      <c r="AY35" s="210"/>
      <c r="AZ35" s="210"/>
      <c r="BA35" s="210"/>
      <c r="BB35" s="210"/>
      <c r="BC35" s="210"/>
      <c r="BD35" s="210"/>
      <c r="BE35" s="210"/>
      <c r="BF35" s="210"/>
      <c r="BG35" s="210"/>
      <c r="BH35" s="210"/>
      <c r="BI35" s="210"/>
      <c r="BJ35" s="210"/>
      <c r="BK35" s="210"/>
      <c r="BL35" s="210"/>
      <c r="BM35" s="210"/>
      <c r="BN35" s="210"/>
      <c r="BO35" s="210"/>
      <c r="BP35" s="210"/>
      <c r="BQ35" s="210"/>
      <c r="BR35" s="210"/>
      <c r="BS35" s="210"/>
      <c r="BT35" s="210"/>
      <c r="BU35" s="210"/>
      <c r="BV35" s="210"/>
      <c r="BW35" s="210"/>
      <c r="BX35" s="210"/>
      <c r="BY35" s="210"/>
      <c r="BZ35" s="210"/>
      <c r="CA35" s="210"/>
      <c r="CB35" s="210"/>
      <c r="CC35" s="210"/>
      <c r="CD35" s="210"/>
      <c r="CE35" s="210"/>
      <c r="CF35" s="210"/>
      <c r="CG35" s="210"/>
      <c r="CH35" s="210"/>
      <c r="CI35" s="210"/>
      <c r="CJ35" s="210"/>
      <c r="CK35" s="210"/>
      <c r="CL35" s="210"/>
      <c r="CM35" s="210"/>
    </row>
    <row r="36" spans="1:91" s="1" customFormat="1" x14ac:dyDescent="0.25">
      <c r="A36" s="32" t="s">
        <v>666</v>
      </c>
      <c r="B36" s="7">
        <v>4055</v>
      </c>
      <c r="C36" s="21" t="s">
        <v>194</v>
      </c>
      <c r="D36" s="21" t="s">
        <v>858</v>
      </c>
      <c r="E36" s="13">
        <v>43011.28634259259</v>
      </c>
      <c r="F36" s="13">
        <v>43011.300208333334</v>
      </c>
      <c r="G36" s="7">
        <v>147</v>
      </c>
      <c r="H36" s="21" t="s">
        <v>360</v>
      </c>
      <c r="I36" s="13">
        <v>43011.327789351853</v>
      </c>
      <c r="J36" s="7">
        <v>0</v>
      </c>
      <c r="K36" s="85" t="str">
        <f t="shared" si="0"/>
        <v>4055/4056</v>
      </c>
      <c r="L36" s="179" t="str">
        <f>VLOOKUP(A36,'Trips&amp;Operators'!$C$1:$G$99911,5,FALSE)</f>
        <v>ROMERO CHAD</v>
      </c>
      <c r="M36" s="6">
        <f t="shared" si="1"/>
        <v>2.7581018519413192E-2</v>
      </c>
      <c r="N36" s="7">
        <f t="shared" si="26"/>
        <v>39.716666667954996</v>
      </c>
      <c r="O36" s="7"/>
      <c r="P36" s="7"/>
      <c r="Q36" s="22"/>
      <c r="R36" s="169"/>
      <c r="S36" s="202">
        <f t="shared" si="27"/>
        <v>1</v>
      </c>
      <c r="T36" s="169" t="str">
        <f t="shared" si="4"/>
        <v>Southbound</v>
      </c>
      <c r="U36" s="22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2" t="str">
        <f t="shared" si="5"/>
        <v>https://d0f6bd738d7f1b3e5a7ca70fe4ff75f0.us-east-1.aws.found.io/app/kibana#/discover/Steve-Slow-Train-Analysis-(2080s-and-2083s)?_g=(refreshInterval:(display:Off,pause:!f,section:0,value:0),time:(from:'2017-10-03T05:52:20-0600',mode:absolute,to:'2017-10-03T08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23" t="str">
        <f>IF(AA36&lt;VLOOKUP(AG36,Variables!$AC$3:$AD$8,2,FALSE),"Y","N")</f>
        <v>N</v>
      </c>
      <c r="X36" s="223">
        <f t="shared" si="6"/>
        <v>1</v>
      </c>
      <c r="Y36" s="223">
        <f t="shared" si="7"/>
        <v>23.302600000000002</v>
      </c>
      <c r="Z36" s="223">
        <f t="shared" si="8"/>
        <v>1.4500000000000001E-2</v>
      </c>
      <c r="AA36" s="223">
        <f t="shared" si="9"/>
        <v>23.2881</v>
      </c>
      <c r="AB36" s="224" t="e">
        <f>VLOOKUP(A36,Enforcements!$C$7:$K$11,8,0)</f>
        <v>#N/A</v>
      </c>
      <c r="AC36" s="224" t="e">
        <f>VLOOKUP(A36,Enforcements!$C$7:$E$11,3,0)</f>
        <v>#N/A</v>
      </c>
      <c r="AD36" s="225">
        <f t="shared" si="10"/>
        <v>122</v>
      </c>
      <c r="AE36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36" s="227" t="str">
        <f t="shared" si="12"/>
        <v>"C:\Program Files (x86)\AstroGrep\AstroGrep.exe" /e /r /s /spath="%USERPROFILE%\AppData\Local\Temp\OnboardLogs" /stypes="app*4055*20171003*" /stext=" 13:.+((SYSTEM_STATE.+slice.+state.+changed )|(ment ac)|(multiple cpu faults)|(system.+state.+changed )|(\[timeout)|(PRM\|1\|D)|(kpr)|(kdp)|(train st.+moving)|(\|lc)|(penalty))"</v>
      </c>
      <c r="AG36" s="228" t="str">
        <f t="shared" si="13"/>
        <v>EC</v>
      </c>
      <c r="AH36" s="229" t="str">
        <f t="shared" si="19"/>
        <v>"%USERPROFILE%\Documents\GitHub\eaglep3\Utilities\RefineRTDCRunTimes.py" --tripid 122-03 --locoid 4055 --swversion DE.1.0.9.0 --startMP 204:233026 --initTime 2017-10-03T06:52:20 --startdatetime 2017-10-03T07:12:18 --delay 147 --endMP 204:145 --enddatetime 2017-10-03T07:52:01 --enforcementcount 0 &gt;&gt;%USERPROFILE%\Documents\GitHub\eaglep3-reporting\EC\2017-10-03-refined-times.txt</v>
      </c>
      <c r="AI3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{"issue":{"subject":"","project_id":79,"tracker_id":40,"status_id":1,"priority_id":2,"assigned_to_id":338,"start_date":"2017-10-03","description":"","custom_fields":[{"id":1,"name":"Subdivision","value":"EC"},{"id":4,"name":"Milepost","value":"0.0145"},{"id":17,"name":"Train ID","value":"122-03"},{"id":16,"name":"Locomotive ID","value":"4055"},{"id":130,"name":"Impact","value":""},{"id":150,"name":"Time of Event (Mountain Time)","value":"07:52:01"},{"id":151,"name":"Denver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10"/>
      <c r="AK36" s="225"/>
      <c r="AL36" s="225"/>
      <c r="AM36" s="231" t="str">
        <f t="shared" si="21"/>
        <v>start /low /b %USERPROFILE%\Documents\GitHub\eaglep3\Utilities\DownloadLogsFromS3.py --loco 4055 --day 2017-10-03</v>
      </c>
      <c r="AN3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10" t="str">
        <f t="shared" si="23"/>
        <v>https://d0f6bd738d7f1b3e5a7ca70fe4ff75f0.us-east-1.aws.found.io/app/kibana#/discover/Steve-Slow-Train-Analysis-(2080s-and-2083s)?_g=(refreshInterval:(display:Off,pause:!f,section:0,value:0),time:(from:'2017-10-03T05:52:20-0600',mode:absolute,to:'2017-10-03T08:52:01-0600'))&amp;_a=(columns:!('Message%20ID',Summary),filters:!(),index:'emp_*',interval:auto,query:(query_string:(analyze_wildcard:!t,query:'%22rtdc.l.rtdc.4055%22')),sort:!(Time.ISO8601,asc))</v>
      </c>
      <c r="AP36" s="210"/>
      <c r="AQ36" s="210"/>
      <c r="AR36" s="210"/>
      <c r="AS36" s="210"/>
      <c r="AT36" s="210"/>
      <c r="AU36" s="210"/>
      <c r="AV36" s="210"/>
      <c r="AW36" s="210"/>
      <c r="AX36" s="210"/>
      <c r="AY36" s="210"/>
      <c r="AZ36" s="210"/>
      <c r="BA36" s="210"/>
      <c r="BB36" s="210"/>
      <c r="BC36" s="210"/>
      <c r="BD36" s="210"/>
      <c r="BE36" s="210"/>
      <c r="BF36" s="210"/>
      <c r="BG36" s="210"/>
      <c r="BH36" s="210"/>
      <c r="BI36" s="210"/>
      <c r="BJ36" s="210"/>
      <c r="BK36" s="210"/>
      <c r="BL36" s="210"/>
      <c r="BM36" s="210"/>
      <c r="BN36" s="210"/>
      <c r="BO36" s="210"/>
      <c r="BP36" s="210"/>
      <c r="BQ36" s="210"/>
      <c r="BR36" s="210"/>
      <c r="BS36" s="210"/>
      <c r="BT36" s="210"/>
      <c r="BU36" s="210"/>
      <c r="BV36" s="210"/>
      <c r="BW36" s="210"/>
      <c r="BX36" s="210"/>
      <c r="BY36" s="210"/>
      <c r="BZ36" s="210"/>
      <c r="CA36" s="210"/>
      <c r="CB36" s="210"/>
      <c r="CC36" s="210"/>
      <c r="CD36" s="210"/>
      <c r="CE36" s="210"/>
      <c r="CF36" s="210"/>
      <c r="CG36" s="210"/>
      <c r="CH36" s="210"/>
      <c r="CI36" s="210"/>
      <c r="CJ36" s="210"/>
      <c r="CK36" s="210"/>
      <c r="CL36" s="210"/>
      <c r="CM36" s="210"/>
    </row>
    <row r="37" spans="1:91" s="1" customFormat="1" x14ac:dyDescent="0.25">
      <c r="A37" s="32" t="s">
        <v>662</v>
      </c>
      <c r="B37" s="7">
        <v>4060</v>
      </c>
      <c r="C37" s="21" t="s">
        <v>194</v>
      </c>
      <c r="D37" s="21" t="s">
        <v>401</v>
      </c>
      <c r="E37" s="13">
        <v>43011.270821759259</v>
      </c>
      <c r="F37" s="13">
        <v>43011.272731481484</v>
      </c>
      <c r="G37" s="7">
        <v>103</v>
      </c>
      <c r="H37" s="21" t="s">
        <v>476</v>
      </c>
      <c r="I37" s="13">
        <v>43011.297511574077</v>
      </c>
      <c r="J37" s="7">
        <v>0</v>
      </c>
      <c r="K37" s="85" t="str">
        <f t="shared" si="0"/>
        <v>4059/4060</v>
      </c>
      <c r="L37" s="179" t="str">
        <f>VLOOKUP(A37,'Trips&amp;Operators'!$C$1:$G$99911,5,FALSE)</f>
        <v>LAMAR NEKESHA</v>
      </c>
      <c r="M37" s="6">
        <f t="shared" si="1"/>
        <v>2.4780092593573499E-2</v>
      </c>
      <c r="N37" s="7">
        <f t="shared" si="26"/>
        <v>35.683333334745839</v>
      </c>
      <c r="O37" s="7"/>
      <c r="P37" s="7"/>
      <c r="Q37" s="22"/>
      <c r="R37" s="169"/>
      <c r="S37" s="202">
        <f t="shared" si="27"/>
        <v>1</v>
      </c>
      <c r="T37" s="169" t="str">
        <f t="shared" si="4"/>
        <v>NorthBound</v>
      </c>
      <c r="U37" s="22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2" t="str">
        <f t="shared" si="5"/>
        <v>https://d0f6bd738d7f1b3e5a7ca70fe4ff75f0.us-east-1.aws.found.io/app/kibana#/discover/Steve-Slow-Train-Analysis-(2080s-and-2083s)?_g=(refreshInterval:(display:Off,pause:!f,section:0,value:0),time:(from:'2017-10-03T05:29:59-0600',mode:absolute,to:'2017-10-03T08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23" t="str">
        <f>IF(AA37&lt;VLOOKUP(AG37,Variables!$AC$3:$AD$8,2,FALSE),"Y","N")</f>
        <v>N</v>
      </c>
      <c r="X37" s="223">
        <f t="shared" si="6"/>
        <v>1</v>
      </c>
      <c r="Y37" s="223">
        <f t="shared" si="7"/>
        <v>4.5699999999999998E-2</v>
      </c>
      <c r="Z37" s="223">
        <f t="shared" si="8"/>
        <v>23.3278</v>
      </c>
      <c r="AA37" s="223">
        <f t="shared" si="9"/>
        <v>23.2821</v>
      </c>
      <c r="AB37" s="224" t="e">
        <f>VLOOKUP(A37,Enforcements!$C$7:$K$11,8,0)</f>
        <v>#N/A</v>
      </c>
      <c r="AC37" s="224" t="e">
        <f>VLOOKUP(A37,Enforcements!$C$7:$E$11,3,0)</f>
        <v>#N/A</v>
      </c>
      <c r="AD37" s="225">
        <f t="shared" si="10"/>
        <v>123</v>
      </c>
      <c r="AE37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37" s="227" t="str">
        <f t="shared" si="12"/>
        <v>"C:\Program Files (x86)\AstroGrep\AstroGrep.exe" /e /r /s /spath="%USERPROFILE%\AppData\Local\Temp\OnboardLogs" /stypes="app*4060*20171003*" /stext=" 13:.+((SYSTEM_STATE.+slice.+state.+changed )|(ment ac)|(multiple cpu faults)|(system.+state.+changed )|(\[timeout)|(PRM\|1\|D)|(kpr)|(kdp)|(train st.+moving)|(\|lc)|(penalty))"</v>
      </c>
      <c r="AG37" s="228" t="str">
        <f t="shared" si="13"/>
        <v>EC</v>
      </c>
      <c r="AH37" s="229" t="str">
        <f t="shared" si="19"/>
        <v>"%USERPROFILE%\Documents\GitHub\eaglep3\Utilities\RefineRTDCRunTimes.py" --tripid 123-03 --locoid 4060 --swversion DE.1.0.9.0 --startMP 204:457 --initTime 2017-10-03T06:29:59 --startdatetime 2017-10-03T06:32:44 --delay 103 --endMP 204:233278 --enddatetime 2017-10-03T07:08:25 --enforcementcount 0 &gt;&gt;%USERPROFILE%\Documents\GitHub\eaglep3-reporting\EC\2017-10-03-refined-times.txt</v>
      </c>
      <c r="AI3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{"issue":{"subject":"","project_id":79,"tracker_id":40,"status_id":1,"priority_id":2,"assigned_to_id":338,"start_date":"2017-10-03","description":"","custom_fields":[{"id":1,"name":"Subdivision","value":"EC"},{"id":4,"name":"Milepost","value":"23.3278"},{"id":17,"name":"Train ID","value":"123-03"},{"id":16,"name":"Locomotive ID","value":"4060"},{"id":130,"name":"Impact","value":""},{"id":150,"name":"Time of Event (Mountain Time)","value":"07:08:25"},{"id":151,"name":"Denver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10"/>
      <c r="AK37" s="225"/>
      <c r="AL37" s="225"/>
      <c r="AM37" s="231" t="str">
        <f t="shared" si="21"/>
        <v>start /low /b %USERPROFILE%\Documents\GitHub\eaglep3\Utilities\DownloadLogsFromS3.py --loco 4060 --day 2017-10-03</v>
      </c>
      <c r="AN3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10" t="str">
        <f t="shared" si="23"/>
        <v>https://d0f6bd738d7f1b3e5a7ca70fe4ff75f0.us-east-1.aws.found.io/app/kibana#/discover/Steve-Slow-Train-Analysis-(2080s-and-2083s)?_g=(refreshInterval:(display:Off,pause:!f,section:0,value:0),time:(from:'2017-10-03T05:29:59-0600',mode:absolute,to:'2017-10-03T08:08:25-0600'))&amp;_a=(columns:!('Message%20ID',Summary),filters:!(),index:'emp_*',interval:auto,query:(query_string:(analyze_wildcard:!t,query:'%22rtdc.l.rtdc.4060%22')),sort:!(Time.ISO8601,asc))</v>
      </c>
      <c r="AP37" s="210"/>
      <c r="AQ37" s="210"/>
      <c r="AR37" s="210"/>
      <c r="AS37" s="210"/>
      <c r="AT37" s="210"/>
      <c r="AU37" s="210"/>
      <c r="AV37" s="210"/>
      <c r="AW37" s="210"/>
      <c r="AX37" s="210"/>
      <c r="AY37" s="210"/>
      <c r="AZ37" s="210"/>
      <c r="BA37" s="210"/>
      <c r="BB37" s="210"/>
      <c r="BC37" s="210"/>
      <c r="BD37" s="210"/>
      <c r="BE37" s="210"/>
      <c r="BF37" s="210"/>
      <c r="BG37" s="210"/>
      <c r="BH37" s="210"/>
      <c r="BI37" s="210"/>
      <c r="BJ37" s="210"/>
      <c r="BK37" s="210"/>
      <c r="BL37" s="210"/>
      <c r="BM37" s="210"/>
      <c r="BN37" s="210"/>
      <c r="BO37" s="210"/>
      <c r="BP37" s="210"/>
      <c r="BQ37" s="210"/>
      <c r="BR37" s="210"/>
      <c r="BS37" s="210"/>
      <c r="BT37" s="210"/>
      <c r="BU37" s="210"/>
      <c r="BV37" s="210"/>
      <c r="BW37" s="210"/>
      <c r="BX37" s="210"/>
      <c r="BY37" s="210"/>
      <c r="BZ37" s="210"/>
      <c r="CA37" s="210"/>
      <c r="CB37" s="210"/>
      <c r="CC37" s="210"/>
      <c r="CD37" s="210"/>
      <c r="CE37" s="210"/>
      <c r="CF37" s="210"/>
      <c r="CG37" s="210"/>
      <c r="CH37" s="210"/>
      <c r="CI37" s="210"/>
      <c r="CJ37" s="210"/>
      <c r="CK37" s="210"/>
      <c r="CL37" s="210"/>
      <c r="CM37" s="210"/>
    </row>
    <row r="38" spans="1:91" s="1" customFormat="1" x14ac:dyDescent="0.25">
      <c r="A38" s="32" t="s">
        <v>670</v>
      </c>
      <c r="B38" s="7">
        <v>4059</v>
      </c>
      <c r="C38" s="21" t="s">
        <v>194</v>
      </c>
      <c r="D38" s="21" t="s">
        <v>859</v>
      </c>
      <c r="E38" s="13">
        <v>43011.306770833333</v>
      </c>
      <c r="F38" s="13">
        <v>43011.310601851852</v>
      </c>
      <c r="G38" s="7">
        <v>100</v>
      </c>
      <c r="H38" s="21" t="s">
        <v>340</v>
      </c>
      <c r="I38" s="13">
        <v>43011.336875000001</v>
      </c>
      <c r="J38" s="7">
        <v>0</v>
      </c>
      <c r="K38" s="85" t="str">
        <f t="shared" si="0"/>
        <v>4059/4060</v>
      </c>
      <c r="L38" s="179" t="str">
        <f>VLOOKUP(A38,'Trips&amp;Operators'!$C$1:$G$99911,5,FALSE)</f>
        <v>LAMAR NEKESHA</v>
      </c>
      <c r="M38" s="6">
        <f t="shared" si="1"/>
        <v>2.6273148148902692E-2</v>
      </c>
      <c r="N38" s="7">
        <f t="shared" si="26"/>
        <v>37.833333334419876</v>
      </c>
      <c r="O38" s="7"/>
      <c r="P38" s="7"/>
      <c r="Q38" s="22"/>
      <c r="R38" s="169"/>
      <c r="S38" s="202">
        <f t="shared" si="27"/>
        <v>1</v>
      </c>
      <c r="T38" s="169" t="str">
        <f t="shared" si="4"/>
        <v>Southbound</v>
      </c>
      <c r="U38" s="22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2" t="str">
        <f t="shared" si="5"/>
        <v>https://d0f6bd738d7f1b3e5a7ca70fe4ff75f0.us-east-1.aws.found.io/app/kibana#/discover/Steve-Slow-Train-Analysis-(2080s-and-2083s)?_g=(refreshInterval:(display:Off,pause:!f,section:0,value:0),time:(from:'2017-10-03T06:21:45-0600',mode:absolute,to:'2017-10-03T09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23" t="str">
        <f>IF(AA38&lt;VLOOKUP(AG38,Variables!$AC$3:$AD$8,2,FALSE),"Y","N")</f>
        <v>N</v>
      </c>
      <c r="X38" s="223">
        <f t="shared" si="6"/>
        <v>1</v>
      </c>
      <c r="Y38" s="223">
        <f t="shared" si="7"/>
        <v>23.296199999999999</v>
      </c>
      <c r="Z38" s="223">
        <f t="shared" si="8"/>
        <v>1.47E-2</v>
      </c>
      <c r="AA38" s="223">
        <f t="shared" si="9"/>
        <v>23.281499999999998</v>
      </c>
      <c r="AB38" s="224" t="e">
        <f>VLOOKUP(A38,Enforcements!$C$7:$K$11,8,0)</f>
        <v>#N/A</v>
      </c>
      <c r="AC38" s="224" t="e">
        <f>VLOOKUP(A38,Enforcements!$C$7:$E$11,3,0)</f>
        <v>#N/A</v>
      </c>
      <c r="AD38" s="225">
        <f t="shared" si="10"/>
        <v>124</v>
      </c>
      <c r="AE38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38" s="227" t="str">
        <f t="shared" si="12"/>
        <v>"C:\Program Files (x86)\AstroGrep\AstroGrep.exe" /e /r /s /spath="%USERPROFILE%\AppData\Local\Temp\OnboardLogs" /stypes="app*4059*20171003*" /stext=" 14:.+((SYSTEM_STATE.+slice.+state.+changed )|(ment ac)|(multiple cpu faults)|(system.+state.+changed )|(\[timeout)|(PRM\|1\|D)|(kpr)|(kdp)|(train st.+moving)|(\|lc)|(penalty))"</v>
      </c>
      <c r="AG38" s="228" t="str">
        <f t="shared" si="13"/>
        <v>EC</v>
      </c>
      <c r="AH38" s="229" t="str">
        <f t="shared" si="19"/>
        <v>"%USERPROFILE%\Documents\GitHub\eaglep3\Utilities\RefineRTDCRunTimes.py" --tripid 124-03 --locoid 4059 --swversion DE.1.0.9.0 --startMP 204:232962 --initTime 2017-10-03T07:21:45 --startdatetime 2017-10-03T07:27:16 --delay 100 --endMP 204:147 --enddatetime 2017-10-03T08:05:06 --enforcementcount 0 &gt;&gt;%USERPROFILE%\Documents\GitHub\eaglep3-reporting\EC\2017-10-03-refined-times.txt</v>
      </c>
      <c r="AI3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ID","value":"124-03"},{"id":16,"name":"Locomotive ID","value":"4059"},{"id":130,"name":"Impact","value":""},{"id":150,"name":"Time of Event (Mountain Time)","value":"08:05:06"},{"id":151,"name":"Denver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10"/>
      <c r="AK38" s="225"/>
      <c r="AL38" s="225"/>
      <c r="AM38" s="231" t="str">
        <f t="shared" si="21"/>
        <v>start /low /b %USERPROFILE%\Documents\GitHub\eaglep3\Utilities\DownloadLogsFromS3.py --loco 4059 --day 2017-10-03</v>
      </c>
      <c r="AN3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10" t="str">
        <f t="shared" si="23"/>
        <v>https://d0f6bd738d7f1b3e5a7ca70fe4ff75f0.us-east-1.aws.found.io/app/kibana#/discover/Steve-Slow-Train-Analysis-(2080s-and-2083s)?_g=(refreshInterval:(display:Off,pause:!f,section:0,value:0),time:(from:'2017-10-03T06:21:45-0600',mode:absolute,to:'2017-10-03T09:05:06-0600'))&amp;_a=(columns:!('Message%20ID',Summary),filters:!(),index:'emp_*',interval:auto,query:(query_string:(analyze_wildcard:!t,query:'%22rtdc.l.rtdc.4059%22')),sort:!(Time.ISO8601,asc))</v>
      </c>
      <c r="AP38" s="210"/>
      <c r="AQ38" s="210"/>
      <c r="AR38" s="210"/>
      <c r="AS38" s="210"/>
      <c r="AT38" s="210"/>
      <c r="AU38" s="210"/>
      <c r="AV38" s="210"/>
      <c r="AW38" s="210"/>
      <c r="AX38" s="210"/>
      <c r="AY38" s="210"/>
      <c r="AZ38" s="210"/>
      <c r="BA38" s="210"/>
      <c r="BB38" s="210"/>
      <c r="BC38" s="210"/>
      <c r="BD38" s="210"/>
      <c r="BE38" s="210"/>
      <c r="BF38" s="210"/>
      <c r="BG38" s="210"/>
      <c r="BH38" s="210"/>
      <c r="BI38" s="210"/>
      <c r="BJ38" s="210"/>
      <c r="BK38" s="210"/>
      <c r="BL38" s="210"/>
      <c r="BM38" s="210"/>
      <c r="BN38" s="210"/>
      <c r="BO38" s="210"/>
      <c r="BP38" s="210"/>
      <c r="BQ38" s="210"/>
      <c r="BR38" s="210"/>
      <c r="BS38" s="210"/>
      <c r="BT38" s="210"/>
      <c r="BU38" s="210"/>
      <c r="BV38" s="210"/>
      <c r="BW38" s="210"/>
      <c r="BX38" s="210"/>
      <c r="BY38" s="210"/>
      <c r="BZ38" s="210"/>
      <c r="CA38" s="210"/>
      <c r="CB38" s="210"/>
      <c r="CC38" s="210"/>
      <c r="CD38" s="210"/>
      <c r="CE38" s="210"/>
      <c r="CF38" s="210"/>
      <c r="CG38" s="210"/>
      <c r="CH38" s="210"/>
      <c r="CI38" s="210"/>
      <c r="CJ38" s="210"/>
      <c r="CK38" s="210"/>
      <c r="CL38" s="210"/>
      <c r="CM38" s="210"/>
    </row>
    <row r="39" spans="1:91" s="1" customFormat="1" x14ac:dyDescent="0.25">
      <c r="A39" s="32" t="s">
        <v>664</v>
      </c>
      <c r="B39" s="7">
        <v>4050</v>
      </c>
      <c r="C39" s="21" t="s">
        <v>194</v>
      </c>
      <c r="D39" s="21" t="s">
        <v>346</v>
      </c>
      <c r="E39" s="13">
        <v>43011.28193287037</v>
      </c>
      <c r="F39" s="13">
        <v>43011.282962962963</v>
      </c>
      <c r="G39" s="7">
        <v>43</v>
      </c>
      <c r="H39" s="21" t="s">
        <v>445</v>
      </c>
      <c r="I39" s="13">
        <v>43011.308993055558</v>
      </c>
      <c r="J39" s="7">
        <v>0</v>
      </c>
      <c r="K39" s="85" t="str">
        <f t="shared" si="0"/>
        <v>4049/4050</v>
      </c>
      <c r="L39" s="179" t="str">
        <f>VLOOKUP(A39,'Trips&amp;Operators'!$C$1:$G$99911,5,FALSE)</f>
        <v>YORK EDGAR</v>
      </c>
      <c r="M39" s="6">
        <f t="shared" si="1"/>
        <v>2.6030092594737653E-2</v>
      </c>
      <c r="N39" s="7">
        <f t="shared" si="26"/>
        <v>37.48333333642222</v>
      </c>
      <c r="O39" s="7"/>
      <c r="P39" s="7"/>
      <c r="Q39" s="22"/>
      <c r="R39" s="169" t="s">
        <v>1022</v>
      </c>
      <c r="S39" s="202">
        <f t="shared" si="27"/>
        <v>1</v>
      </c>
      <c r="T39" s="169" t="str">
        <f t="shared" si="4"/>
        <v>NorthBound</v>
      </c>
      <c r="U39" s="22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2" t="str">
        <f t="shared" si="5"/>
        <v>https://d0f6bd738d7f1b3e5a7ca70fe4ff75f0.us-east-1.aws.found.io/app/kibana#/discover/Steve-Slow-Train-Analysis-(2080s-and-2083s)?_g=(refreshInterval:(display:Off,pause:!f,section:0,value:0),time:(from:'2017-10-03T05:45:59-0600',mode:absolute,to:'2017-10-03T08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23" t="str">
        <f>IF(AA39&lt;VLOOKUP(AG39,Variables!$AC$3:$AD$8,2,FALSE),"Y","N")</f>
        <v>N</v>
      </c>
      <c r="X39" s="223">
        <f t="shared" si="6"/>
        <v>1</v>
      </c>
      <c r="Y39" s="223">
        <f t="shared" si="7"/>
        <v>4.5499999999999999E-2</v>
      </c>
      <c r="Z39" s="223">
        <f t="shared" si="8"/>
        <v>23.3291</v>
      </c>
      <c r="AA39" s="223">
        <f t="shared" si="9"/>
        <v>23.2836</v>
      </c>
      <c r="AB39" s="224" t="e">
        <f>VLOOKUP(A39,Enforcements!$C$7:$K$11,8,0)</f>
        <v>#N/A</v>
      </c>
      <c r="AC39" s="224" t="e">
        <f>VLOOKUP(A39,Enforcements!$C$7:$E$11,3,0)</f>
        <v>#N/A</v>
      </c>
      <c r="AD39" s="225">
        <f t="shared" si="10"/>
        <v>125</v>
      </c>
      <c r="AE39" s="226" t="str">
        <f t="shared" si="11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39" s="227" t="str">
        <f t="shared" si="12"/>
        <v>"C:\Program Files (x86)\AstroGrep\AstroGrep.exe" /e /r /s /spath="%USERPROFILE%\AppData\Local\Temp\OnboardLogs" /stypes="app*4050*20171003*" /stext=" 13:.+((SYSTEM_STATE.+slice.+state.+changed )|(ment ac)|(multiple cpu faults)|(system.+state.+changed )|(\[timeout)|(PRM\|1\|D)|(kpr)|(kdp)|(train st.+moving)|(\|lc)|(penalty))"</v>
      </c>
      <c r="AG39" s="228" t="str">
        <f t="shared" si="13"/>
        <v>EC</v>
      </c>
      <c r="AH39" s="229" t="str">
        <f t="shared" si="19"/>
        <v>"%USERPROFILE%\Documents\GitHub\eaglep3\Utilities\RefineRTDCRunTimes.py" --tripid 125-03 --locoid 4050 --swversion DE.1.0.9.0 --startMP 204:455 --initTime 2017-10-03T06:45:59 --startdatetime 2017-10-03T06:47:28 --delay 43 --endMP 204:233291 --enddatetime 2017-10-03T07:24:57 --enforcementcount 0 &gt;&gt;%USERPROFILE%\Documents\GitHub\eaglep3-reporting\EC\2017-10-03-refined-times.txt</v>
      </c>
      <c r="AI39" s="230" t="str">
        <f t="shared" si="20"/>
        <v>echo {"issue":{"subject":"Not able to see Class 2 brake test info for both cars, power cycle solved issue","project_id":79,"tracker_id":40,"status_id":1,"priority_id":2,"assigned_to_id":338,"start_date":"2017-10-03","description":"","custom_fields":[{"id":1,"name":"Subdivision","value":"EC"},{"id":4,"name":"Milepost","value":"23.3291"},{"id":17,"name":"Train ID","value":"125-03"},{"id":16,"name":"Locomotive ID","value":"4050"},{"id":130,"name":"Impact","value":""},{"id":150,"name":"Time of Event (Mountain Time)","value":"07:24:57"},{"id":151,"name":"Denver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10"/>
      <c r="AK39" s="225"/>
      <c r="AL39" s="225"/>
      <c r="AM39" s="231" t="str">
        <f t="shared" si="21"/>
        <v>start /low /b %USERPROFILE%\Documents\GitHub\eaglep3\Utilities\DownloadLogsFromS3.py --loco 4050 --day 2017-10-03</v>
      </c>
      <c r="AN39" s="232" t="str">
        <f t="shared" si="22"/>
        <v>echo {"issue":{"subject":"Not able to see Class 2 brake test info for both cars, power cycle solved issue","project_id":30,"tracker_id":4,"status_id":1,"priority_id":1,"assigned_to_id":10,"start_date":"2017-10-03","description":"","custom_fields":[{"id":30,"name":"Category","value":"Issue"},{"id":3,"name":"Functional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10" t="str">
        <f t="shared" si="23"/>
        <v>https://d0f6bd738d7f1b3e5a7ca70fe4ff75f0.us-east-1.aws.found.io/app/kibana#/discover/Steve-Slow-Train-Analysis-(2080s-and-2083s)?_g=(refreshInterval:(display:Off,pause:!f,section:0,value:0),time:(from:'2017-10-03T05:45:59-0600',mode:absolute,to:'2017-10-03T08:24:57-0600'))&amp;_a=(columns:!('Message%20ID',Summary),filters:!(),index:'emp_*',interval:auto,query:(query_string:(analyze_wildcard:!t,query:'%22rtdc.l.rtdc.4050%22')),sort:!(Time.ISO8601,asc))</v>
      </c>
      <c r="AP39" s="210"/>
      <c r="AQ39" s="210"/>
      <c r="AR39" s="210"/>
      <c r="AS39" s="210"/>
      <c r="AT39" s="210"/>
      <c r="AU39" s="210"/>
      <c r="AV39" s="210"/>
      <c r="AW39" s="210"/>
      <c r="AX39" s="210"/>
      <c r="AY39" s="210"/>
      <c r="AZ39" s="210"/>
      <c r="BA39" s="210"/>
      <c r="BB39" s="210"/>
      <c r="BC39" s="210"/>
      <c r="BD39" s="210"/>
      <c r="BE39" s="210"/>
      <c r="BF39" s="210"/>
      <c r="BG39" s="210"/>
      <c r="BH39" s="210"/>
      <c r="BI39" s="210"/>
      <c r="BJ39" s="210"/>
      <c r="BK39" s="210"/>
      <c r="BL39" s="210"/>
      <c r="BM39" s="210"/>
      <c r="BN39" s="210"/>
      <c r="BO39" s="210"/>
      <c r="BP39" s="210"/>
      <c r="BQ39" s="210"/>
      <c r="BR39" s="210"/>
      <c r="BS39" s="210"/>
      <c r="BT39" s="210"/>
      <c r="BU39" s="210"/>
      <c r="BV39" s="210"/>
      <c r="BW39" s="210"/>
      <c r="BX39" s="210"/>
      <c r="BY39" s="210"/>
      <c r="BZ39" s="210"/>
      <c r="CA39" s="210"/>
      <c r="CB39" s="210"/>
      <c r="CC39" s="210"/>
      <c r="CD39" s="210"/>
      <c r="CE39" s="210"/>
      <c r="CF39" s="210"/>
      <c r="CG39" s="210"/>
      <c r="CH39" s="210"/>
      <c r="CI39" s="210"/>
      <c r="CJ39" s="210"/>
      <c r="CK39" s="210"/>
      <c r="CL39" s="210"/>
      <c r="CM39" s="210"/>
    </row>
    <row r="40" spans="1:91" s="1" customFormat="1" x14ac:dyDescent="0.25">
      <c r="A40" s="32" t="s">
        <v>674</v>
      </c>
      <c r="B40" s="7">
        <v>4049</v>
      </c>
      <c r="C40" s="21" t="s">
        <v>194</v>
      </c>
      <c r="D40" s="21" t="s">
        <v>860</v>
      </c>
      <c r="E40" s="13">
        <v>43011.317928240744</v>
      </c>
      <c r="F40" s="13">
        <v>43011.321342592593</v>
      </c>
      <c r="G40" s="7">
        <v>42</v>
      </c>
      <c r="H40" s="21" t="s">
        <v>335</v>
      </c>
      <c r="I40" s="13">
        <v>43011.352905092594</v>
      </c>
      <c r="J40" s="7">
        <v>0</v>
      </c>
      <c r="K40" s="85" t="str">
        <f t="shared" si="0"/>
        <v>4049/4050</v>
      </c>
      <c r="L40" s="179" t="str">
        <f>VLOOKUP(A40,'Trips&amp;Operators'!$C$1:$G$99911,5,FALSE)</f>
        <v>YORK EDGAR</v>
      </c>
      <c r="M40" s="6">
        <f t="shared" si="1"/>
        <v>3.1562500000291038E-2</v>
      </c>
      <c r="N40" s="7">
        <f t="shared" si="26"/>
        <v>45.450000000419095</v>
      </c>
      <c r="O40" s="7"/>
      <c r="P40" s="7"/>
      <c r="Q40" s="22"/>
      <c r="R40" s="169"/>
      <c r="S40" s="202">
        <f t="shared" si="27"/>
        <v>1</v>
      </c>
      <c r="T40" s="169" t="str">
        <f t="shared" si="4"/>
        <v>Southbound</v>
      </c>
      <c r="U40" s="22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2" t="str">
        <f t="shared" si="5"/>
        <v>https://d0f6bd738d7f1b3e5a7ca70fe4ff75f0.us-east-1.aws.found.io/app/kibana#/discover/Steve-Slow-Train-Analysis-(2080s-and-2083s)?_g=(refreshInterval:(display:Off,pause:!f,section:0,value:0),time:(from:'2017-10-03T06:37:49-0600',mode:absolute,to:'2017-10-03T09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23" t="str">
        <f>IF(AA40&lt;VLOOKUP(AG40,Variables!$AC$3:$AD$8,2,FALSE),"Y","N")</f>
        <v>N</v>
      </c>
      <c r="X40" s="223">
        <f t="shared" si="6"/>
        <v>1</v>
      </c>
      <c r="Y40" s="223">
        <f t="shared" si="7"/>
        <v>23.296099999999999</v>
      </c>
      <c r="Z40" s="223">
        <f t="shared" si="8"/>
        <v>1.4999999999999999E-2</v>
      </c>
      <c r="AA40" s="223">
        <f t="shared" si="9"/>
        <v>23.281099999999999</v>
      </c>
      <c r="AB40" s="224" t="e">
        <f>VLOOKUP(A40,Enforcements!$C$7:$K$11,8,0)</f>
        <v>#N/A</v>
      </c>
      <c r="AC40" s="224" t="e">
        <f>VLOOKUP(A40,Enforcements!$C$7:$E$11,3,0)</f>
        <v>#N/A</v>
      </c>
      <c r="AD40" s="225">
        <f t="shared" si="10"/>
        <v>126</v>
      </c>
      <c r="AE40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40" s="227" t="str">
        <f t="shared" si="12"/>
        <v>"C:\Program Files (x86)\AstroGrep\AstroGrep.exe" /e /r /s /spath="%USERPROFILE%\AppData\Local\Temp\OnboardLogs" /stypes="app*4049*20171003*" /stext=" 14:.+((SYSTEM_STATE.+slice.+state.+changed )|(ment ac)|(multiple cpu faults)|(system.+state.+changed )|(\[timeout)|(PRM\|1\|D)|(kpr)|(kdp)|(train st.+moving)|(\|lc)|(penalty))"</v>
      </c>
      <c r="AG40" s="228" t="str">
        <f t="shared" si="13"/>
        <v>EC</v>
      </c>
      <c r="AH40" s="229" t="str">
        <f t="shared" si="19"/>
        <v>"%USERPROFILE%\Documents\GitHub\eaglep3\Utilities\RefineRTDCRunTimes.py" --tripid 126-03 --locoid 4049 --swversion DE.1.0.9.0 --startMP 204:232961 --initTime 2017-10-03T07:37:49 --startdatetime 2017-10-03T07:42:44 --delay 42 --endMP 204:150 --enddatetime 2017-10-03T08:28:11 --enforcementcount 0 &gt;&gt;%USERPROFILE%\Documents\GitHub\eaglep3-reporting\EC\2017-10-03-refined-times.txt</v>
      </c>
      <c r="AI4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ID","value":"126-03"},{"id":16,"name":"Locomotive ID","value":"4049"},{"id":130,"name":"Impact","value":""},{"id":150,"name":"Time of Event (Mountain Time)","value":"08:28:11"},{"id":151,"name":"Denver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10"/>
      <c r="AK40" s="225"/>
      <c r="AL40" s="225"/>
      <c r="AM40" s="231" t="str">
        <f t="shared" si="21"/>
        <v>start /low /b %USERPROFILE%\Documents\GitHub\eaglep3\Utilities\DownloadLogsFromS3.py --loco 4049 --day 2017-10-03</v>
      </c>
      <c r="AN4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10" t="str">
        <f t="shared" si="23"/>
        <v>https://d0f6bd738d7f1b3e5a7ca70fe4ff75f0.us-east-1.aws.found.io/app/kibana#/discover/Steve-Slow-Train-Analysis-(2080s-and-2083s)?_g=(refreshInterval:(display:Off,pause:!f,section:0,value:0),time:(from:'2017-10-03T06:37:49-0600',mode:absolute,to:'2017-10-03T09:28:11-0600'))&amp;_a=(columns:!('Message%20ID',Summary),filters:!(),index:'emp_*',interval:auto,query:(query_string:(analyze_wildcard:!t,query:'%22rtdc.l.rtdc.4049%22')),sort:!(Time.ISO8601,asc))</v>
      </c>
      <c r="AP40" s="210"/>
      <c r="AQ40" s="210"/>
      <c r="AR40" s="210"/>
      <c r="AS40" s="210"/>
      <c r="AT40" s="210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  <c r="CC40" s="210"/>
      <c r="CD40" s="210"/>
      <c r="CE40" s="210"/>
      <c r="CF40" s="210"/>
      <c r="CG40" s="210"/>
      <c r="CH40" s="210"/>
      <c r="CI40" s="210"/>
      <c r="CJ40" s="210"/>
      <c r="CK40" s="210"/>
      <c r="CL40" s="210"/>
      <c r="CM40" s="210"/>
    </row>
    <row r="41" spans="1:91" s="1" customFormat="1" x14ac:dyDescent="0.25">
      <c r="A41" s="32" t="s">
        <v>665</v>
      </c>
      <c r="B41" s="7">
        <v>4020</v>
      </c>
      <c r="C41" s="21" t="s">
        <v>194</v>
      </c>
      <c r="D41" s="21" t="s">
        <v>460</v>
      </c>
      <c r="E41" s="13">
        <v>43011.28702546296</v>
      </c>
      <c r="F41" s="13">
        <v>43011.291817129626</v>
      </c>
      <c r="G41" s="7">
        <v>71</v>
      </c>
      <c r="H41" s="21" t="s">
        <v>450</v>
      </c>
      <c r="I41" s="13">
        <v>43011.317187499997</v>
      </c>
      <c r="J41" s="7">
        <v>0</v>
      </c>
      <c r="K41" s="85" t="str">
        <f t="shared" si="0"/>
        <v>4019/4020</v>
      </c>
      <c r="L41" s="179" t="str">
        <f>VLOOKUP(A41,'Trips&amp;Operators'!$C$1:$G$99911,5,FALSE)</f>
        <v>YANAI IAN</v>
      </c>
      <c r="M41" s="6">
        <f t="shared" si="1"/>
        <v>2.5370370371092577E-2</v>
      </c>
      <c r="N41" s="7">
        <f t="shared" si="26"/>
        <v>36.53333333437331</v>
      </c>
      <c r="O41" s="7"/>
      <c r="P41" s="7"/>
      <c r="Q41" s="22"/>
      <c r="R41" s="169"/>
      <c r="S41" s="202">
        <f t="shared" si="27"/>
        <v>1</v>
      </c>
      <c r="T41" s="169" t="str">
        <f t="shared" si="4"/>
        <v>NorthBound</v>
      </c>
      <c r="U41" s="22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2" t="str">
        <f t="shared" si="5"/>
        <v>https://d0f6bd738d7f1b3e5a7ca70fe4ff75f0.us-east-1.aws.found.io/app/kibana#/discover/Steve-Slow-Train-Analysis-(2080s-and-2083s)?_g=(refreshInterval:(display:Off,pause:!f,section:0,value:0),time:(from:'2017-10-03T05:53:19-0600',mode:absolute,to:'2017-10-03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23" t="str">
        <f>IF(AA41&lt;VLOOKUP(AG41,Variables!$AC$3:$AD$8,2,FALSE),"Y","N")</f>
        <v>N</v>
      </c>
      <c r="X41" s="223">
        <f t="shared" si="6"/>
        <v>1</v>
      </c>
      <c r="Y41" s="223">
        <f t="shared" si="7"/>
        <v>4.4900000000000002E-2</v>
      </c>
      <c r="Z41" s="223">
        <f t="shared" si="8"/>
        <v>23.329699999999999</v>
      </c>
      <c r="AA41" s="223">
        <f t="shared" si="9"/>
        <v>23.284800000000001</v>
      </c>
      <c r="AB41" s="224" t="e">
        <f>VLOOKUP(A41,Enforcements!$C$7:$K$11,8,0)</f>
        <v>#N/A</v>
      </c>
      <c r="AC41" s="224" t="e">
        <f>VLOOKUP(A41,Enforcements!$C$7:$E$11,3,0)</f>
        <v>#N/A</v>
      </c>
      <c r="AD41" s="225">
        <f t="shared" si="10"/>
        <v>127</v>
      </c>
      <c r="AE41" s="226" t="str">
        <f t="shared" si="11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41" s="227" t="str">
        <f t="shared" si="12"/>
        <v>"C:\Program Files (x86)\AstroGrep\AstroGrep.exe" /e /r /s /spath="%USERPROFILE%\AppData\Local\Temp\OnboardLogs" /stypes="app*4020*20171003*" /stext=" 13:.+((SYSTEM_STATE.+slice.+state.+changed )|(ment ac)|(multiple cpu faults)|(system.+state.+changed )|(\[timeout)|(PRM\|1\|D)|(kpr)|(kdp)|(train st.+moving)|(\|lc)|(penalty))"</v>
      </c>
      <c r="AG41" s="228" t="str">
        <f t="shared" si="13"/>
        <v>EC</v>
      </c>
      <c r="AH41" s="229" t="str">
        <f t="shared" si="19"/>
        <v>"%USERPROFILE%\Documents\GitHub\eaglep3\Utilities\RefineRTDCRunTimes.py" --tripid 127-03 --locoid 4020 --swversion DE.1.0.9.0 --startMP 204:449 --initTime 2017-10-03T06:53:19 --startdatetime 2017-10-03T07:00:13 --delay 71 --endMP 204:233297 --enddatetime 2017-10-03T07:36:45 --enforcementcount 0 &gt;&gt;%USERPROFILE%\Documents\GitHub\eaglep3-reporting\EC\2017-10-03-refined-times.txt</v>
      </c>
      <c r="AI4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{"issue":{"subject":"","project_id":79,"tracker_id":40,"status_id":1,"priority_id":2,"assigned_to_id":338,"start_date":"2017-10-03","description":"","custom_fields":[{"id":1,"name":"Subdivision","value":"EC"},{"id":4,"name":"Milepost","value":"23.3297"},{"id":17,"name":"Train ID","value":"127-03"},{"id":16,"name":"Locomotive ID","value":"4020"},{"id":130,"name":"Impact","value":""},{"id":150,"name":"Time of Event (Mountain Time)","value":"07:36:45"},{"id":151,"name":"Denver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10"/>
      <c r="AK41" s="225"/>
      <c r="AL41" s="225"/>
      <c r="AM41" s="231" t="str">
        <f t="shared" si="21"/>
        <v>start /low /b %USERPROFILE%\Documents\GitHub\eaglep3\Utilities\DownloadLogsFromS3.py --loco 4020 --day 2017-10-03</v>
      </c>
      <c r="AN4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10" t="str">
        <f t="shared" si="23"/>
        <v>https://d0f6bd738d7f1b3e5a7ca70fe4ff75f0.us-east-1.aws.found.io/app/kibana#/discover/Steve-Slow-Train-Analysis-(2080s-and-2083s)?_g=(refreshInterval:(display:Off,pause:!f,section:0,value:0),time:(from:'2017-10-03T05:53:19-0600',mode:absolute,to:'2017-10-03T08:36:45-0600'))&amp;_a=(columns:!('Message%20ID',Summary),filters:!(),index:'emp_*',interval:auto,query:(query_string:(analyze_wildcard:!t,query:'%22rtdc.l.rtdc.4020%22')),sort:!(Time.ISO8601,asc))</v>
      </c>
      <c r="AP41" s="210"/>
      <c r="AQ41" s="210"/>
      <c r="AR41" s="210"/>
      <c r="AS41" s="210"/>
      <c r="AT41" s="210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  <c r="CC41" s="210"/>
      <c r="CD41" s="210"/>
      <c r="CE41" s="210"/>
      <c r="CF41" s="210"/>
      <c r="CG41" s="210"/>
      <c r="CH41" s="210"/>
      <c r="CI41" s="210"/>
      <c r="CJ41" s="210"/>
      <c r="CK41" s="210"/>
      <c r="CL41" s="210"/>
      <c r="CM41" s="210"/>
    </row>
    <row r="42" spans="1:91" s="1" customFormat="1" x14ac:dyDescent="0.25">
      <c r="A42" s="32" t="s">
        <v>675</v>
      </c>
      <c r="B42" s="7">
        <v>4019</v>
      </c>
      <c r="C42" s="21" t="s">
        <v>194</v>
      </c>
      <c r="D42" s="21" t="s">
        <v>861</v>
      </c>
      <c r="E42" s="13">
        <v>43011.318368055552</v>
      </c>
      <c r="F42" s="13">
        <v>43011.331435185188</v>
      </c>
      <c r="G42" s="7">
        <v>58</v>
      </c>
      <c r="H42" s="21" t="s">
        <v>340</v>
      </c>
      <c r="I42" s="13">
        <v>43011.360150462962</v>
      </c>
      <c r="J42" s="7">
        <v>0</v>
      </c>
      <c r="K42" s="85" t="str">
        <f t="shared" si="0"/>
        <v>4019/4020</v>
      </c>
      <c r="L42" s="179" t="str">
        <f>VLOOKUP(A42,'Trips&amp;Operators'!$C$1:$G$99911,5,FALSE)</f>
        <v>YANAI IAN</v>
      </c>
      <c r="M42" s="6">
        <f t="shared" si="1"/>
        <v>2.8715277774608694E-2</v>
      </c>
      <c r="N42" s="7">
        <f t="shared" si="26"/>
        <v>41.349999995436519</v>
      </c>
      <c r="O42" s="7"/>
      <c r="P42" s="7"/>
      <c r="Q42" s="22"/>
      <c r="R42" s="169"/>
      <c r="S42" s="202">
        <f t="shared" si="27"/>
        <v>1</v>
      </c>
      <c r="T42" s="169" t="str">
        <f t="shared" si="4"/>
        <v>Southbound</v>
      </c>
      <c r="U42" s="22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2" t="str">
        <f t="shared" si="5"/>
        <v>https://d0f6bd738d7f1b3e5a7ca70fe4ff75f0.us-east-1.aws.found.io/app/kibana#/discover/Steve-Slow-Train-Analysis-(2080s-and-2083s)?_g=(refreshInterval:(display:Off,pause:!f,section:0,value:0),time:(from:'2017-10-03T06:38:27-0600',mode:absolute,to:'2017-10-03T09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23" t="str">
        <f>IF(AA42&lt;VLOOKUP(AG42,Variables!$AC$3:$AD$8,2,FALSE),"Y","N")</f>
        <v>N</v>
      </c>
      <c r="X42" s="223">
        <f t="shared" si="6"/>
        <v>1</v>
      </c>
      <c r="Y42" s="223">
        <f t="shared" si="7"/>
        <v>23.297599999999999</v>
      </c>
      <c r="Z42" s="223">
        <f t="shared" si="8"/>
        <v>1.47E-2</v>
      </c>
      <c r="AA42" s="223">
        <f t="shared" si="9"/>
        <v>23.282899999999998</v>
      </c>
      <c r="AB42" s="224" t="e">
        <f>VLOOKUP(A42,Enforcements!$C$7:$K$11,8,0)</f>
        <v>#N/A</v>
      </c>
      <c r="AC42" s="224" t="e">
        <f>VLOOKUP(A42,Enforcements!$C$7:$E$11,3,0)</f>
        <v>#N/A</v>
      </c>
      <c r="AD42" s="225">
        <f t="shared" si="10"/>
        <v>128</v>
      </c>
      <c r="AE42" s="226" t="str">
        <f t="shared" si="11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42" s="227" t="str">
        <f t="shared" si="12"/>
        <v>"C:\Program Files (x86)\AstroGrep\AstroGrep.exe" /e /r /s /spath="%USERPROFILE%\AppData\Local\Temp\OnboardLogs" /stypes="app*4019*20171003*" /stext=" 14:.+((SYSTEM_STATE.+slice.+state.+changed )|(ment ac)|(multiple cpu faults)|(system.+state.+changed )|(\[timeout)|(PRM\|1\|D)|(kpr)|(kdp)|(train st.+moving)|(\|lc)|(penalty))"</v>
      </c>
      <c r="AG42" s="228" t="str">
        <f t="shared" si="13"/>
        <v>EC</v>
      </c>
      <c r="AH42" s="229" t="str">
        <f t="shared" si="19"/>
        <v>"%USERPROFILE%\Documents\GitHub\eaglep3\Utilities\RefineRTDCRunTimes.py" --tripid 128-03 --locoid 4019 --swversion DE.1.0.9.0 --startMP 204:232976 --initTime 2017-10-03T07:38:27 --startdatetime 2017-10-03T07:57:16 --delay 58 --endMP 204:147 --enddatetime 2017-10-03T08:38:37 --enforcementcount 0 &gt;&gt;%USERPROFILE%\Documents\GitHub\eaglep3-reporting\EC\2017-10-03-refined-times.txt</v>
      </c>
      <c r="AI4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ID","value":"128-03"},{"id":16,"name":"Locomotive ID","value":"4019"},{"id":130,"name":"Impact","value":""},{"id":150,"name":"Time of Event (Mountain Time)","value":"08:38:37"},{"id":151,"name":"Denver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10"/>
      <c r="AK42" s="225"/>
      <c r="AL42" s="225"/>
      <c r="AM42" s="231" t="str">
        <f t="shared" si="21"/>
        <v>start /low /b %USERPROFILE%\Documents\GitHub\eaglep3\Utilities\DownloadLogsFromS3.py --loco 4019 --day 2017-10-03</v>
      </c>
      <c r="AN4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10" t="str">
        <f t="shared" si="23"/>
        <v>https://d0f6bd738d7f1b3e5a7ca70fe4ff75f0.us-east-1.aws.found.io/app/kibana#/discover/Steve-Slow-Train-Analysis-(2080s-and-2083s)?_g=(refreshInterval:(display:Off,pause:!f,section:0,value:0),time:(from:'2017-10-03T06:38:27-0600',mode:absolute,to:'2017-10-03T09:38:37-0600'))&amp;_a=(columns:!('Message%20ID',Summary),filters:!(),index:'emp_*',interval:auto,query:(query_string:(analyze_wildcard:!t,query:'%22rtdc.l.rtdc.4019%22')),sort:!(Time.ISO8601,asc))</v>
      </c>
      <c r="AP42" s="210"/>
      <c r="AQ42" s="210"/>
      <c r="AR42" s="210"/>
      <c r="AS42" s="210"/>
      <c r="AT42" s="210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  <c r="CC42" s="210"/>
      <c r="CD42" s="210"/>
      <c r="CE42" s="210"/>
      <c r="CF42" s="210"/>
      <c r="CG42" s="210"/>
      <c r="CH42" s="210"/>
      <c r="CI42" s="210"/>
      <c r="CJ42" s="210"/>
      <c r="CK42" s="210"/>
      <c r="CL42" s="210"/>
      <c r="CM42" s="210"/>
    </row>
    <row r="43" spans="1:91" s="1" customFormat="1" x14ac:dyDescent="0.25">
      <c r="A43" s="32" t="s">
        <v>669</v>
      </c>
      <c r="B43" s="7">
        <v>4042</v>
      </c>
      <c r="C43" s="21" t="s">
        <v>194</v>
      </c>
      <c r="D43" s="21" t="s">
        <v>862</v>
      </c>
      <c r="E43" s="13">
        <v>43011.296770833331</v>
      </c>
      <c r="F43" s="13">
        <v>43011.302303240744</v>
      </c>
      <c r="G43" s="7">
        <v>65</v>
      </c>
      <c r="H43" s="21" t="s">
        <v>863</v>
      </c>
      <c r="I43" s="13">
        <v>43011.327025462961</v>
      </c>
      <c r="J43" s="7">
        <v>0</v>
      </c>
      <c r="K43" s="85" t="str">
        <f t="shared" si="0"/>
        <v>4041/4042</v>
      </c>
      <c r="L43" s="179" t="str">
        <f>VLOOKUP(A43,'Trips&amp;Operators'!$C$1:$G$99911,5,FALSE)</f>
        <v>BONDS REYNALDO</v>
      </c>
      <c r="M43" s="6">
        <f t="shared" si="1"/>
        <v>2.4722222216951195E-2</v>
      </c>
      <c r="N43" s="7">
        <f t="shared" si="26"/>
        <v>35.599999992409721</v>
      </c>
      <c r="O43" s="7"/>
      <c r="P43" s="7"/>
      <c r="Q43" s="22"/>
      <c r="R43" s="169"/>
      <c r="S43" s="202">
        <f t="shared" si="27"/>
        <v>1</v>
      </c>
      <c r="T43" s="169" t="str">
        <f t="shared" si="4"/>
        <v>NorthBound</v>
      </c>
      <c r="U43" s="22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2" t="str">
        <f t="shared" si="5"/>
        <v>https://d0f6bd738d7f1b3e5a7ca70fe4ff75f0.us-east-1.aws.found.io/app/kibana#/discover/Steve-Slow-Train-Analysis-(2080s-and-2083s)?_g=(refreshInterval:(display:Off,pause:!f,section:0,value:0),time:(from:'2017-10-03T06:07:21-0600',mode:absolute,to:'2017-10-03T08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223" t="str">
        <f>IF(AA43&lt;VLOOKUP(AG43,Variables!$AC$3:$AD$8,2,FALSE),"Y","N")</f>
        <v>N</v>
      </c>
      <c r="X43" s="223">
        <f t="shared" si="6"/>
        <v>1</v>
      </c>
      <c r="Y43" s="223">
        <f t="shared" si="7"/>
        <v>4.1599999999999998E-2</v>
      </c>
      <c r="Z43" s="223">
        <f t="shared" si="8"/>
        <v>23.331800000000001</v>
      </c>
      <c r="AA43" s="223">
        <f t="shared" si="9"/>
        <v>23.290200000000002</v>
      </c>
      <c r="AB43" s="224" t="e">
        <f>VLOOKUP(A43,Enforcements!$C$7:$K$11,8,0)</f>
        <v>#N/A</v>
      </c>
      <c r="AC43" s="224" t="e">
        <f>VLOOKUP(A43,Enforcements!$C$7:$E$11,3,0)</f>
        <v>#N/A</v>
      </c>
      <c r="AD43" s="225">
        <f t="shared" si="10"/>
        <v>129</v>
      </c>
      <c r="AE43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43" s="227" t="str">
        <f t="shared" si="12"/>
        <v>"C:\Program Files (x86)\AstroGrep\AstroGrep.exe" /e /r /s /spath="%USERPROFILE%\AppData\Local\Temp\OnboardLogs" /stypes="app*4042*20171003*" /stext=" 13:.+((SYSTEM_STATE.+slice.+state.+changed )|(ment ac)|(multiple cpu faults)|(system.+state.+changed )|(\[timeout)|(PRM\|1\|D)|(kpr)|(kdp)|(train st.+moving)|(\|lc)|(penalty))"</v>
      </c>
      <c r="AG43" s="228" t="str">
        <f t="shared" si="13"/>
        <v>EC</v>
      </c>
      <c r="AH43" s="229" t="str">
        <f t="shared" si="19"/>
        <v>"%USERPROFILE%\Documents\GitHub\eaglep3\Utilities\RefineRTDCRunTimes.py" --tripid 129-03 --locoid 4042 --swversion DE.1.0.9.0 --startMP 204:416 --initTime 2017-10-03T07:07:21 --startdatetime 2017-10-03T07:15:19 --delay 65 --endMP 204:233318 --enddatetime 2017-10-03T07:50:55 --enforcementcount 0 &gt;&gt;%USERPROFILE%\Documents\GitHub\eaglep3-reporting\EC\2017-10-03-refined-times.txt</v>
      </c>
      <c r="AI4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{"issue":{"subject":"","project_id":79,"tracker_id":40,"status_id":1,"priority_id":2,"assigned_to_id":338,"start_date":"2017-10-03","description":"","custom_fields":[{"id":1,"name":"Subdivision","value":"EC"},{"id":4,"name":"Milepost","value":"23.3318"},{"id":17,"name":"Train ID","value":"129-03"},{"id":16,"name":"Locomotive ID","value":"4042"},{"id":130,"name":"Impact","value":""},{"id":150,"name":"Time of Event (Mountain Time)","value":"07:50:55"},{"id":151,"name":"Denver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10"/>
      <c r="AK43" s="225"/>
      <c r="AL43" s="225"/>
      <c r="AM43" s="231" t="str">
        <f t="shared" si="21"/>
        <v>start /low /b %USERPROFILE%\Documents\GitHub\eaglep3\Utilities\DownloadLogsFromS3.py --loco 4042 --day 2017-10-03</v>
      </c>
      <c r="AN4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10" t="str">
        <f t="shared" si="23"/>
        <v>https://d0f6bd738d7f1b3e5a7ca70fe4ff75f0.us-east-1.aws.found.io/app/kibana#/discover/Steve-Slow-Train-Analysis-(2080s-and-2083s)?_g=(refreshInterval:(display:Off,pause:!f,section:0,value:0),time:(from:'2017-10-03T06:07:21-0600',mode:absolute,to:'2017-10-03T08:50:55-0600'))&amp;_a=(columns:!('Message%20ID',Summary),filters:!(),index:'emp_*',interval:auto,query:(query_string:(analyze_wildcard:!t,query:'%22rtdc.l.rtdc.4042%22')),sort:!(Time.ISO8601,asc))</v>
      </c>
      <c r="AP43" s="210"/>
      <c r="AQ43" s="210"/>
      <c r="AR43" s="210"/>
      <c r="AS43" s="210"/>
      <c r="AT43" s="210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0"/>
      <c r="BW43" s="210"/>
      <c r="BX43" s="210"/>
      <c r="BY43" s="210"/>
      <c r="BZ43" s="210"/>
      <c r="CA43" s="210"/>
      <c r="CB43" s="210"/>
      <c r="CC43" s="210"/>
      <c r="CD43" s="210"/>
      <c r="CE43" s="210"/>
      <c r="CF43" s="210"/>
      <c r="CG43" s="210"/>
      <c r="CH43" s="210"/>
      <c r="CI43" s="210"/>
      <c r="CJ43" s="210"/>
      <c r="CK43" s="210"/>
      <c r="CL43" s="210"/>
      <c r="CM43" s="210"/>
    </row>
    <row r="44" spans="1:91" s="1" customFormat="1" x14ac:dyDescent="0.25">
      <c r="A44" s="32" t="s">
        <v>679</v>
      </c>
      <c r="B44" s="7">
        <v>4041</v>
      </c>
      <c r="C44" s="21" t="s">
        <v>194</v>
      </c>
      <c r="D44" s="21" t="s">
        <v>482</v>
      </c>
      <c r="E44" s="13">
        <v>43011.338460648149</v>
      </c>
      <c r="F44" s="13">
        <v>43011.341898148145</v>
      </c>
      <c r="G44" s="7">
        <v>50</v>
      </c>
      <c r="H44" s="21" t="s">
        <v>356</v>
      </c>
      <c r="I44" s="13">
        <v>43011.37195601852</v>
      </c>
      <c r="J44" s="7">
        <v>0</v>
      </c>
      <c r="K44" s="85" t="str">
        <f t="shared" si="0"/>
        <v>4041/4042</v>
      </c>
      <c r="L44" s="179" t="str">
        <f>VLOOKUP(A44,'Trips&amp;Operators'!$C$1:$G$99911,5,FALSE)</f>
        <v>BONDS REYNALDO</v>
      </c>
      <c r="M44" s="6">
        <f t="shared" si="1"/>
        <v>3.0057870375458151E-2</v>
      </c>
      <c r="N44" s="7">
        <f t="shared" si="26"/>
        <v>43.283333340659738</v>
      </c>
      <c r="O44" s="7"/>
      <c r="P44" s="7"/>
      <c r="Q44" s="22"/>
      <c r="R44" s="169"/>
      <c r="S44" s="202">
        <f t="shared" si="27"/>
        <v>1</v>
      </c>
      <c r="T44" s="169" t="str">
        <f t="shared" si="4"/>
        <v>Southbound</v>
      </c>
      <c r="U44" s="22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2" t="str">
        <f t="shared" si="5"/>
        <v>https://d0f6bd738d7f1b3e5a7ca70fe4ff75f0.us-east-1.aws.found.io/app/kibana#/discover/Steve-Slow-Train-Analysis-(2080s-and-2083s)?_g=(refreshInterval:(display:Off,pause:!f,section:0,value:0),time:(from:'2017-10-03T07:07:23-0600',mode:absolute,to:'2017-10-03T09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223" t="str">
        <f>IF(AA44&lt;VLOOKUP(AG44,Variables!$AC$3:$AD$8,2,FALSE),"Y","N")</f>
        <v>N</v>
      </c>
      <c r="X44" s="223">
        <f t="shared" si="6"/>
        <v>1</v>
      </c>
      <c r="Y44" s="223">
        <f t="shared" si="7"/>
        <v>23.301500000000001</v>
      </c>
      <c r="Z44" s="223">
        <f t="shared" si="8"/>
        <v>1.52E-2</v>
      </c>
      <c r="AA44" s="223">
        <f t="shared" si="9"/>
        <v>23.286300000000001</v>
      </c>
      <c r="AB44" s="224" t="e">
        <f>VLOOKUP(A44,Enforcements!$C$7:$K$11,8,0)</f>
        <v>#N/A</v>
      </c>
      <c r="AC44" s="224" t="e">
        <f>VLOOKUP(A44,Enforcements!$C$7:$E$11,3,0)</f>
        <v>#N/A</v>
      </c>
      <c r="AD44" s="225">
        <f t="shared" si="10"/>
        <v>130</v>
      </c>
      <c r="AE44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44" s="227" t="str">
        <f t="shared" si="12"/>
        <v>"C:\Program Files (x86)\AstroGrep\AstroGrep.exe" /e /r /s /spath="%USERPROFILE%\AppData\Local\Temp\OnboardLogs" /stypes="app*4041*20171003*" /stext=" 14:.+((SYSTEM_STATE.+slice.+state.+changed )|(ment ac)|(multiple cpu faults)|(system.+state.+changed )|(\[timeout)|(PRM\|1\|D)|(kpr)|(kdp)|(train st.+moving)|(\|lc)|(penalty))"</v>
      </c>
      <c r="AG44" s="228" t="str">
        <f t="shared" si="13"/>
        <v>EC</v>
      </c>
      <c r="AH44" s="229" t="str">
        <f t="shared" si="19"/>
        <v>"%USERPROFILE%\Documents\GitHub\eaglep3\Utilities\RefineRTDCRunTimes.py" --tripid 130-03 --locoid 4041 --swversion DE.1.0.9.0 --startMP 204:233015 --initTime 2017-10-03T08:07:23 --startdatetime 2017-10-03T08:12:20 --delay 50 --endMP 204:152 --enddatetime 2017-10-03T08:55:37 --enforcementcount 0 &gt;&gt;%USERPROFILE%\Documents\GitHub\eaglep3-reporting\EC\2017-10-03-refined-times.txt</v>
      </c>
      <c r="AI4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{"issue":{"subject":"","project_id":79,"tracker_id":40,"status_id":1,"priority_id":2,"assigned_to_id":338,"start_date":"2017-10-03","description":"","custom_fields":[{"id":1,"name":"Subdivision","value":"EC"},{"id":4,"name":"Milepost","value":"0.0152"},{"id":17,"name":"Train ID","value":"130-03"},{"id":16,"name":"Locomotive ID","value":"4041"},{"id":130,"name":"Impact","value":""},{"id":150,"name":"Time of Event (Mountain Time)","value":"08:55:37"},{"id":151,"name":"Denver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10"/>
      <c r="AK44" s="225"/>
      <c r="AL44" s="225"/>
      <c r="AM44" s="231" t="str">
        <f t="shared" si="21"/>
        <v>start /low /b %USERPROFILE%\Documents\GitHub\eaglep3\Utilities\DownloadLogsFromS3.py --loco 4041 --day 2017-10-03</v>
      </c>
      <c r="AN4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10" t="str">
        <f t="shared" si="23"/>
        <v>https://d0f6bd738d7f1b3e5a7ca70fe4ff75f0.us-east-1.aws.found.io/app/kibana#/discover/Steve-Slow-Train-Analysis-(2080s-and-2083s)?_g=(refreshInterval:(display:Off,pause:!f,section:0,value:0),time:(from:'2017-10-03T07:07:23-0600',mode:absolute,to:'2017-10-03T09:55:37-0600'))&amp;_a=(columns:!('Message%20ID',Summary),filters:!(),index:'emp_*',interval:auto,query:(query_string:(analyze_wildcard:!t,query:'%22rtdc.l.rtdc.4041%22')),sort:!(Time.ISO8601,asc))</v>
      </c>
      <c r="AP44" s="210"/>
      <c r="AQ44" s="210"/>
      <c r="AR44" s="210"/>
      <c r="AS44" s="210"/>
      <c r="AT44" s="210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0"/>
      <c r="BW44" s="210"/>
      <c r="BX44" s="210"/>
      <c r="BY44" s="210"/>
      <c r="BZ44" s="210"/>
      <c r="CA44" s="210"/>
      <c r="CB44" s="210"/>
      <c r="CC44" s="210"/>
      <c r="CD44" s="210"/>
      <c r="CE44" s="210"/>
      <c r="CF44" s="210"/>
      <c r="CG44" s="210"/>
      <c r="CH44" s="210"/>
      <c r="CI44" s="210"/>
      <c r="CJ44" s="210"/>
      <c r="CK44" s="210"/>
      <c r="CL44" s="210"/>
      <c r="CM44" s="210"/>
    </row>
    <row r="45" spans="1:91" s="1" customFormat="1" x14ac:dyDescent="0.25">
      <c r="A45" s="32" t="s">
        <v>672</v>
      </c>
      <c r="B45" s="7">
        <v>4012</v>
      </c>
      <c r="C45" s="21" t="s">
        <v>194</v>
      </c>
      <c r="D45" s="21" t="s">
        <v>367</v>
      </c>
      <c r="E45" s="13">
        <v>43011.310555555552</v>
      </c>
      <c r="F45" s="13">
        <v>43011.313125000001</v>
      </c>
      <c r="G45" s="7">
        <v>72</v>
      </c>
      <c r="H45" s="21" t="s">
        <v>565</v>
      </c>
      <c r="I45" s="13">
        <v>43011.337523148148</v>
      </c>
      <c r="J45" s="7">
        <v>0</v>
      </c>
      <c r="K45" s="85" t="str">
        <f t="shared" ref="K45:K76" si="28">IF(ISEVEN(B45),(B45-1)&amp;"/"&amp;B45,B45&amp;"/"&amp;(B45+1))</f>
        <v>4011/4012</v>
      </c>
      <c r="L45" s="179" t="str">
        <f>VLOOKUP(A45,'Trips&amp;Operators'!$C$1:$G$99911,5,FALSE)</f>
        <v>MACDONALD THOMAS</v>
      </c>
      <c r="M45" s="6">
        <f t="shared" ref="M45:M76" si="29">I45-F45</f>
        <v>2.4398148147156462E-2</v>
      </c>
      <c r="N45" s="7">
        <f t="shared" si="26"/>
        <v>35.133333331905305</v>
      </c>
      <c r="O45" s="7"/>
      <c r="P45" s="7"/>
      <c r="Q45" s="22"/>
      <c r="R45" s="169"/>
      <c r="S45" s="202">
        <f t="shared" si="27"/>
        <v>1</v>
      </c>
      <c r="T45" s="169" t="str">
        <f t="shared" ref="T45:T76" si="30">IF(ISEVEN(LEFT(AD45,4)),"Southbound","NorthBound")</f>
        <v>NorthBound</v>
      </c>
      <c r="U45" s="22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2" t="str">
        <f t="shared" si="5"/>
        <v>https://d0f6bd738d7f1b3e5a7ca70fe4ff75f0.us-east-1.aws.found.io/app/kibana#/discover/Steve-Slow-Train-Analysis-(2080s-and-2083s)?_g=(refreshInterval:(display:Off,pause:!f,section:0,value:0),time:(from:'2017-10-03T06:27:12-0600',mode:absolute,to:'2017-10-03T09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23" t="str">
        <f>IF(AA45&lt;VLOOKUP(AG45,Variables!$AC$3:$AD$8,2,FALSE),"Y","N")</f>
        <v>N</v>
      </c>
      <c r="X45" s="223">
        <f t="shared" ref="X45:X76" si="31">VALUE(LEFT(AD45,4))-VALUE(LEFT(AD44,4))</f>
        <v>1</v>
      </c>
      <c r="Y45" s="223">
        <f t="shared" ref="Y45:Y76" si="32">RIGHT(D45,LEN(D45)-4)/10000</f>
        <v>4.4200000000000003E-2</v>
      </c>
      <c r="Z45" s="223">
        <f t="shared" ref="Z45:Z76" si="33">RIGHT(H45,LEN(H45)-4)/10000</f>
        <v>23.331</v>
      </c>
      <c r="AA45" s="223">
        <f t="shared" ref="AA45:AA76" si="34">ABS(Z45-Y45)</f>
        <v>23.286799999999999</v>
      </c>
      <c r="AB45" s="224" t="e">
        <f>VLOOKUP(A45,Enforcements!$C$7:$K$11,8,0)</f>
        <v>#N/A</v>
      </c>
      <c r="AC45" s="224" t="e">
        <f>VLOOKUP(A45,Enforcements!$C$7:$E$11,3,0)</f>
        <v>#N/A</v>
      </c>
      <c r="AD45" s="225">
        <f t="shared" ref="AD45:AD76" si="35">VALUE(LEFT(A45,LEN(A45)-3))</f>
        <v>131</v>
      </c>
      <c r="AE45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45" s="227" t="str">
        <f t="shared" si="12"/>
        <v>"C:\Program Files (x86)\AstroGrep\AstroGrep.exe" /e /r /s /spath="%USERPROFILE%\AppData\Local\Temp\OnboardLogs" /stypes="app*4012*20171003*" /stext=" 14:.+((SYSTEM_STATE.+slice.+state.+changed )|(ment ac)|(multiple cpu faults)|(system.+state.+changed )|(\[timeout)|(PRM\|1\|D)|(kpr)|(kdp)|(train st.+moving)|(\|lc)|(penalty))"</v>
      </c>
      <c r="AG45" s="228" t="str">
        <f t="shared" ref="AG45:AG76" si="36">DetSubdiv(A45)</f>
        <v>EC</v>
      </c>
      <c r="AH45" s="229" t="str">
        <f t="shared" si="19"/>
        <v>"%USERPROFILE%\Documents\GitHub\eaglep3\Utilities\RefineRTDCRunTimes.py" --tripid 131-03 --locoid 4012 --swversion DE.1.0.9.0 --startMP 204:442 --initTime 2017-10-03T07:27:12 --startdatetime 2017-10-03T07:30:54 --delay 72 --endMP 204:233310 --enddatetime 2017-10-03T08:06:02 --enforcementcount 0 &gt;&gt;%USERPROFILE%\Documents\GitHub\eaglep3-reporting\EC\2017-10-03-refined-times.txt</v>
      </c>
      <c r="AI4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{"issue":{"subject":"","project_id":79,"tracker_id":40,"status_id":1,"priority_id":2,"assigned_to_id":338,"start_date":"2017-10-03","description":"","custom_fields":[{"id":1,"name":"Subdivision","value":"EC"},{"id":4,"name":"Milepost","value":"23.331"},{"id":17,"name":"Train ID","value":"131-03"},{"id":16,"name":"Locomotive ID","value":"4012"},{"id":130,"name":"Impact","value":""},{"id":150,"name":"Time of Event (Mountain Time)","value":"08:06:02"},{"id":151,"name":"Denver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10"/>
      <c r="AK45" s="225"/>
      <c r="AL45" s="225"/>
      <c r="AM45" s="231" t="str">
        <f t="shared" si="21"/>
        <v>start /low /b %USERPROFILE%\Documents\GitHub\eaglep3\Utilities\DownloadLogsFromS3.py --loco 4012 --day 2017-10-03</v>
      </c>
      <c r="AN4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10" t="str">
        <f t="shared" si="23"/>
        <v>https://d0f6bd738d7f1b3e5a7ca70fe4ff75f0.us-east-1.aws.found.io/app/kibana#/discover/Steve-Slow-Train-Analysis-(2080s-and-2083s)?_g=(refreshInterval:(display:Off,pause:!f,section:0,value:0),time:(from:'2017-10-03T06:27:12-0600',mode:absolute,to:'2017-10-03T09:06:02-0600'))&amp;_a=(columns:!('Message%20ID',Summary),filters:!(),index:'emp_*',interval:auto,query:(query_string:(analyze_wildcard:!t,query:'%22rtdc.l.rtdc.4012%22')),sort:!(Time.ISO8601,asc))</v>
      </c>
      <c r="AP45" s="210"/>
      <c r="AQ45" s="210"/>
      <c r="AR45" s="210"/>
      <c r="AS45" s="210"/>
      <c r="AT45" s="210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0"/>
      <c r="BW45" s="210"/>
      <c r="BX45" s="210"/>
      <c r="BY45" s="210"/>
      <c r="BZ45" s="210"/>
      <c r="CA45" s="210"/>
      <c r="CB45" s="210"/>
      <c r="CC45" s="210"/>
      <c r="CD45" s="210"/>
      <c r="CE45" s="210"/>
      <c r="CF45" s="210"/>
      <c r="CG45" s="210"/>
      <c r="CH45" s="210"/>
      <c r="CI45" s="210"/>
      <c r="CJ45" s="210"/>
      <c r="CK45" s="210"/>
      <c r="CL45" s="210"/>
      <c r="CM45" s="210"/>
    </row>
    <row r="46" spans="1:91" s="1" customFormat="1" x14ac:dyDescent="0.25">
      <c r="A46" s="32" t="s">
        <v>681</v>
      </c>
      <c r="B46" s="7">
        <v>4011</v>
      </c>
      <c r="C46" s="21" t="s">
        <v>194</v>
      </c>
      <c r="D46" s="21" t="s">
        <v>864</v>
      </c>
      <c r="E46" s="13">
        <v>43011.350844907407</v>
      </c>
      <c r="F46" s="13">
        <v>43011.364861111113</v>
      </c>
      <c r="G46" s="7">
        <v>57</v>
      </c>
      <c r="H46" s="21" t="s">
        <v>864</v>
      </c>
      <c r="I46" s="13">
        <v>43011.381493055553</v>
      </c>
      <c r="J46" s="7">
        <v>0</v>
      </c>
      <c r="K46" s="85" t="str">
        <f t="shared" si="28"/>
        <v>4011/4012</v>
      </c>
      <c r="L46" s="179" t="str">
        <f>VLOOKUP(A46,'Trips&amp;Operators'!$C$1:$G$99911,5,FALSE)</f>
        <v>MACDONALD THOMAS</v>
      </c>
      <c r="M46" s="6">
        <f t="shared" si="29"/>
        <v>1.6631944439723156E-2</v>
      </c>
      <c r="N46" s="7"/>
      <c r="O46" s="7"/>
      <c r="P46" s="7"/>
      <c r="Q46" s="22"/>
      <c r="R46" s="169"/>
      <c r="S46" s="202"/>
      <c r="T46" s="169" t="str">
        <f t="shared" si="30"/>
        <v>Southbound</v>
      </c>
      <c r="U46" s="22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222" t="str">
        <f t="shared" si="5"/>
        <v>https://d0f6bd738d7f1b3e5a7ca70fe4ff75f0.us-east-1.aws.found.io/app/kibana#/discover/Steve-Slow-Train-Analysis-(2080s-and-2083s)?_g=(refreshInterval:(display:Off,pause:!f,section:0,value:0),time:(from:'2017-10-03T07:25:13-0600',mode:absolute,to:'2017-10-03T10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23" t="str">
        <f>IF(AA46&lt;VLOOKUP(AG46,Variables!$AC$3:$AD$8,2,FALSE),"Y","N")</f>
        <v>Y</v>
      </c>
      <c r="X46" s="223">
        <f t="shared" si="31"/>
        <v>1</v>
      </c>
      <c r="Y46" s="223">
        <f t="shared" si="32"/>
        <v>23.298300000000001</v>
      </c>
      <c r="Z46" s="223">
        <f t="shared" si="33"/>
        <v>23.298300000000001</v>
      </c>
      <c r="AA46" s="223">
        <f t="shared" si="34"/>
        <v>0</v>
      </c>
      <c r="AB46" s="224" t="e">
        <f>VLOOKUP(A46,Enforcements!$C$7:$K$11,8,0)</f>
        <v>#N/A</v>
      </c>
      <c r="AC46" s="224" t="e">
        <f>VLOOKUP(A46,Enforcements!$C$7:$E$11,3,0)</f>
        <v>#N/A</v>
      </c>
      <c r="AD46" s="225">
        <f t="shared" si="35"/>
        <v>132</v>
      </c>
      <c r="AE46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46" s="227" t="str">
        <f t="shared" si="12"/>
        <v>"C:\Program Files (x86)\AstroGrep\AstroGrep.exe" /e /r /s /spath="%USERPROFILE%\AppData\Local\Temp\OnboardLogs" /stypes="app*4011*20171003*" /stext=" 15:.+((SYSTEM_STATE.+slice.+state.+changed )|(ment ac)|(multiple cpu faults)|(system.+state.+changed )|(\[timeout)|(PRM\|1\|D)|(kpr)|(kdp)|(train st.+moving)|(\|lc)|(penalty))"</v>
      </c>
      <c r="AG46" s="228" t="str">
        <f t="shared" si="36"/>
        <v>EC</v>
      </c>
      <c r="AH46" s="229" t="str">
        <f t="shared" si="19"/>
        <v>"%USERPROFILE%\Documents\GitHub\eaglep3\Utilities\RefineRTDCRunTimes.py" --tripid 132-03 --locoid 4011 --swversion DE.1.0.9.0 --startMP 204:232983 --initTime 2017-10-03T08:25:13 --startdatetime 2017-10-03T08:45:24 --delay 57 --endMP 204:232983 --enddatetime 2017-10-03T09:09:21 --enforcementcount 0 &gt;&gt;%USERPROFILE%\Documents\GitHub\eaglep3-reporting\EC\2017-10-03-refined-times.txt</v>
      </c>
      <c r="AI4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{"issue":{"subject":"","project_id":79,"tracker_id":40,"status_id":1,"priority_id":2,"assigned_to_id":338,"start_date":"2017-10-03","description":"","custom_fields":[{"id":1,"name":"Subdivision","value":"EC"},{"id":4,"name":"Milepost","value":"23.2983"},{"id":17,"name":"Train ID","value":"132-03"},{"id":16,"name":"Locomotive ID","value":"4011"},{"id":130,"name":"Impact","value":""},{"id":150,"name":"Time of Event (Mountain Time)","value":"09:09:21"},{"id":151,"name":"Denver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10"/>
      <c r="AK46" s="225"/>
      <c r="AL46" s="225"/>
      <c r="AM46" s="231" t="str">
        <f t="shared" si="21"/>
        <v>start /low /b %USERPROFILE%\Documents\GitHub\eaglep3\Utilities\DownloadLogsFromS3.py --loco 4011 --day 2017-10-03</v>
      </c>
      <c r="AN4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10" t="str">
        <f t="shared" si="23"/>
        <v>https://d0f6bd738d7f1b3e5a7ca70fe4ff75f0.us-east-1.aws.found.io/app/kibana#/discover/Steve-Slow-Train-Analysis-(2080s-and-2083s)?_g=(refreshInterval:(display:Off,pause:!f,section:0,value:0),time:(from:'2017-10-03T07:25:13-0600',mode:absolute,to:'2017-10-03T10:09:21-0600'))&amp;_a=(columns:!('Message%20ID',Summary),filters:!(),index:'emp_*',interval:auto,query:(query_string:(analyze_wildcard:!t,query:'%22rtdc.l.rtdc.4011%22')),sort:!(Time.ISO8601,asc))</v>
      </c>
      <c r="AP46" s="210"/>
      <c r="AQ46" s="210"/>
      <c r="AR46" s="210"/>
      <c r="AS46" s="210"/>
      <c r="AT46" s="210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0"/>
      <c r="BW46" s="210"/>
      <c r="BX46" s="210"/>
      <c r="BY46" s="210"/>
      <c r="BZ46" s="210"/>
      <c r="CA46" s="210"/>
      <c r="CB46" s="210"/>
      <c r="CC46" s="210"/>
      <c r="CD46" s="210"/>
      <c r="CE46" s="210"/>
      <c r="CF46" s="210"/>
      <c r="CG46" s="210"/>
      <c r="CH46" s="210"/>
      <c r="CI46" s="210"/>
      <c r="CJ46" s="210"/>
      <c r="CK46" s="210"/>
      <c r="CL46" s="210"/>
      <c r="CM46" s="210"/>
    </row>
    <row r="47" spans="1:91" s="1" customFormat="1" x14ac:dyDescent="0.25">
      <c r="A47" s="32" t="s">
        <v>681</v>
      </c>
      <c r="B47" s="7">
        <v>4011</v>
      </c>
      <c r="C47" s="21" t="s">
        <v>194</v>
      </c>
      <c r="D47" s="21" t="s">
        <v>865</v>
      </c>
      <c r="E47" s="13">
        <v>43011.363611111112</v>
      </c>
      <c r="F47" s="13">
        <v>43011.364861111113</v>
      </c>
      <c r="G47" s="7">
        <v>65</v>
      </c>
      <c r="H47" s="21" t="s">
        <v>387</v>
      </c>
      <c r="I47" s="13">
        <v>43011.381493055553</v>
      </c>
      <c r="J47" s="7">
        <v>0</v>
      </c>
      <c r="K47" s="85" t="str">
        <f t="shared" si="28"/>
        <v>4011/4012</v>
      </c>
      <c r="L47" s="179" t="str">
        <f>VLOOKUP(A47,'Trips&amp;Operators'!$C$1:$G$99911,5,FALSE)</f>
        <v>MACDONALD THOMAS</v>
      </c>
      <c r="M47" s="6">
        <f t="shared" si="29"/>
        <v>1.6631944439723156E-2</v>
      </c>
      <c r="N47" s="7"/>
      <c r="O47" s="7"/>
      <c r="P47" s="7">
        <f>24*60*SUM($M47:$M47)</f>
        <v>23.949999993201345</v>
      </c>
      <c r="Q47" s="22"/>
      <c r="R47" s="169" t="s">
        <v>1013</v>
      </c>
      <c r="S47" s="202">
        <f t="shared" ref="S47:S53" si="37">1/IF(AG47="EC",12,1)*SUM(U47:U47)</f>
        <v>1</v>
      </c>
      <c r="T47" s="169" t="str">
        <f t="shared" si="30"/>
        <v>Southbound</v>
      </c>
      <c r="U47" s="22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2" t="str">
        <f t="shared" si="5"/>
        <v>https://d0f6bd738d7f1b3e5a7ca70fe4ff75f0.us-east-1.aws.found.io/app/kibana#/discover/Steve-Slow-Train-Analysis-(2080s-and-2083s)?_g=(refreshInterval:(display:Off,pause:!f,section:0,value:0),time:(from:'2017-10-03T07:43:36-0600',mode:absolute,to:'2017-10-03T10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223" t="str">
        <f>IF(AA47&lt;VLOOKUP(AG47,Variables!$AC$3:$AD$8,2,FALSE),"Y","N")</f>
        <v>Y</v>
      </c>
      <c r="X47" s="223">
        <f t="shared" si="31"/>
        <v>0</v>
      </c>
      <c r="Y47" s="223">
        <f t="shared" si="32"/>
        <v>12.786099999999999</v>
      </c>
      <c r="Z47" s="223">
        <f t="shared" si="33"/>
        <v>1.54E-2</v>
      </c>
      <c r="AA47" s="223">
        <f t="shared" si="34"/>
        <v>12.7707</v>
      </c>
      <c r="AB47" s="224" t="e">
        <f>VLOOKUP(A47,Enforcements!$C$7:$K$11,8,0)</f>
        <v>#N/A</v>
      </c>
      <c r="AC47" s="224" t="e">
        <f>VLOOKUP(A47,Enforcements!$C$7:$E$11,3,0)</f>
        <v>#N/A</v>
      </c>
      <c r="AD47" s="225">
        <f t="shared" si="35"/>
        <v>132</v>
      </c>
      <c r="AE47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47" s="227" t="str">
        <f t="shared" si="12"/>
        <v>"C:\Program Files (x86)\AstroGrep\AstroGrep.exe" /e /r /s /spath="%USERPROFILE%\AppData\Local\Temp\OnboardLogs" /stypes="app*4011*20171003*" /stext=" 15:.+((SYSTEM_STATE.+slice.+state.+changed )|(ment ac)|(multiple cpu faults)|(system.+state.+changed )|(\[timeout)|(PRM\|1\|D)|(kpr)|(kdp)|(train st.+moving)|(\|lc)|(penalty))"</v>
      </c>
      <c r="AG47" s="228" t="str">
        <f t="shared" si="36"/>
        <v>EC</v>
      </c>
      <c r="AH47" s="229" t="str">
        <f t="shared" si="19"/>
        <v>"%USERPROFILE%\Documents\GitHub\eaglep3\Utilities\RefineRTDCRunTimes.py" --tripid 132-03 --locoid 4011 --swversion DE.1.0.9.0 --startMP 204:127861 --initTime 2017-10-03T08:43:36 --startdatetime 2017-10-03T08:45:24 --delay 65 --endMP 204:154 --enddatetime 2017-10-03T09:09:21 --enforcementcount 0 &gt;&gt;%USERPROFILE%\Documents\GitHub\eaglep3-reporting\EC\2017-10-03-refined-times.txt</v>
      </c>
      <c r="AI47" s="230" t="str">
        <f t="shared" si="20"/>
        <v>echo {"issue":{"subject":"Onboard en route failure","project_id":79,"tracker_id":40,"status_id":1,"priority_id":2,"assigned_to_id":338,"start_date":"2017-10-03","description":"","custom_fields":[{"id":1,"name":"Subdivision","value":"EC"},{"id":4,"name":"Milepost","value":"0.0154"},{"id":17,"name":"Train ID","value":"132-03"},{"id":16,"name":"Locomotive ID","value":"4011"},{"id":130,"name":"Impact","value":""},{"id":150,"name":"Time of Event (Mountain Time)","value":"09:09:21"},{"id":151,"name":"Denver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10"/>
      <c r="AK47" s="225"/>
      <c r="AL47" s="225"/>
      <c r="AM47" s="231" t="str">
        <f t="shared" si="21"/>
        <v>start /low /b %USERPROFILE%\Documents\GitHub\eaglep3\Utilities\DownloadLogsFromS3.py --loco 4011 --day 2017-10-03</v>
      </c>
      <c r="AN47" s="232" t="str">
        <f t="shared" si="22"/>
        <v>echo {"issue":{"subject":"Onboard en route failure","project_id":30,"tracker_id":4,"status_id":1,"priority_id":1,"assigned_to_id":10,"start_date":"2017-10-03","description":"","custom_fields":[{"id":30,"name":"Category","value":"Issue"},{"id":3,"name":"Functional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10" t="str">
        <f t="shared" si="23"/>
        <v>https://d0f6bd738d7f1b3e5a7ca70fe4ff75f0.us-east-1.aws.found.io/app/kibana#/discover/Steve-Slow-Train-Analysis-(2080s-and-2083s)?_g=(refreshInterval:(display:Off,pause:!f,section:0,value:0),time:(from:'2017-10-03T07:43:36-0600',mode:absolute,to:'2017-10-03T10:09:21-0600'))&amp;_a=(columns:!('Message%20ID',Summary),filters:!(),index:'emp_*',interval:auto,query:(query_string:(analyze_wildcard:!t,query:'%22rtdc.l.rtdc.4011%22')),sort:!(Time.ISO8601,asc))</v>
      </c>
      <c r="AP47" s="210"/>
      <c r="AQ47" s="210"/>
      <c r="AR47" s="210"/>
      <c r="AS47" s="210"/>
      <c r="AT47" s="210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0"/>
      <c r="BW47" s="210"/>
      <c r="BX47" s="210"/>
      <c r="BY47" s="210"/>
      <c r="BZ47" s="210"/>
      <c r="CA47" s="210"/>
      <c r="CB47" s="210"/>
      <c r="CC47" s="210"/>
      <c r="CD47" s="210"/>
      <c r="CE47" s="210"/>
      <c r="CF47" s="210"/>
      <c r="CG47" s="210"/>
      <c r="CH47" s="210"/>
      <c r="CI47" s="210"/>
      <c r="CJ47" s="210"/>
      <c r="CK47" s="210"/>
      <c r="CL47" s="210"/>
      <c r="CM47" s="210"/>
    </row>
    <row r="48" spans="1:91" s="1" customFormat="1" x14ac:dyDescent="0.25">
      <c r="A48" s="32" t="s">
        <v>606</v>
      </c>
      <c r="B48" s="7">
        <v>4032</v>
      </c>
      <c r="C48" s="21" t="s">
        <v>194</v>
      </c>
      <c r="D48" s="21" t="s">
        <v>334</v>
      </c>
      <c r="E48" s="13">
        <v>43011.321805555555</v>
      </c>
      <c r="F48" s="13">
        <v>43011.323518518519</v>
      </c>
      <c r="G48" s="7">
        <v>70</v>
      </c>
      <c r="H48" s="21" t="s">
        <v>452</v>
      </c>
      <c r="I48" s="13">
        <v>43011.353067129632</v>
      </c>
      <c r="J48" s="7">
        <v>0</v>
      </c>
      <c r="K48" s="85" t="str">
        <f t="shared" si="28"/>
        <v>4031/4032</v>
      </c>
      <c r="L48" s="179" t="str">
        <f>VLOOKUP(A48,'Trips&amp;Operators'!$C$1:$G$99911,5,FALSE)</f>
        <v>THOMPSON LESTER</v>
      </c>
      <c r="M48" s="6">
        <f t="shared" si="29"/>
        <v>2.9548611113568768E-2</v>
      </c>
      <c r="N48" s="7">
        <f t="shared" ref="N48:N53" si="38">24*60*SUM($M48:$M48)</f>
        <v>42.550000003539026</v>
      </c>
      <c r="O48" s="7"/>
      <c r="P48" s="7"/>
      <c r="Q48" s="22"/>
      <c r="R48" s="169"/>
      <c r="S48" s="202">
        <f t="shared" si="37"/>
        <v>1</v>
      </c>
      <c r="T48" s="169" t="str">
        <f t="shared" si="30"/>
        <v>NorthBound</v>
      </c>
      <c r="U48" s="22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2" t="str">
        <f t="shared" si="5"/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8" s="223" t="str">
        <f>IF(AA48&lt;VLOOKUP(AG48,Variables!$AC$3:$AD$8,2,FALSE),"Y","N")</f>
        <v>N</v>
      </c>
      <c r="X48" s="223">
        <f t="shared" si="31"/>
        <v>1</v>
      </c>
      <c r="Y48" s="223">
        <f t="shared" si="32"/>
        <v>4.4600000000000001E-2</v>
      </c>
      <c r="Z48" s="223">
        <f t="shared" si="33"/>
        <v>23.331099999999999</v>
      </c>
      <c r="AA48" s="223">
        <f t="shared" si="34"/>
        <v>23.2865</v>
      </c>
      <c r="AB48" s="224" t="str">
        <f>VLOOKUP(A48,Enforcements!$C$7:$K$11,8,0)</f>
        <v>Speed (6)</v>
      </c>
      <c r="AC48" s="224" t="str">
        <f>VLOOKUP(A48,Enforcements!$C$7:$E$11,3,0)</f>
        <v>PERMANENT SPEED RESTRICTION</v>
      </c>
      <c r="AD48" s="225">
        <f t="shared" si="35"/>
        <v>133</v>
      </c>
      <c r="AE48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48" s="227" t="str">
        <f t="shared" si="12"/>
        <v>"C:\Program Files (x86)\AstroGrep\AstroGrep.exe" /e /r /s /spath="%USERPROFILE%\AppData\Local\Temp\OnboardLogs" /stypes="app*4032*20171003*" /stext=" 14:.+((SYSTEM_STATE.+slice.+state.+changed )|(ment ac)|(multiple cpu faults)|(system.+state.+changed )|(\[timeout)|(PRM\|1\|D)|(kpr)|(kdp)|(train st.+moving)|(\|lc)|(penalty))"</v>
      </c>
      <c r="AG48" s="228" t="str">
        <f t="shared" si="36"/>
        <v>EC</v>
      </c>
      <c r="AH48" s="229" t="str">
        <f t="shared" si="19"/>
        <v>"%USERPROFILE%\Documents\GitHub\eaglep3\Utilities\RefineRTDCRunTimes.py" --tripid 133-03 --locoid 4032 --swversion DE.1.0.9.0 --startMP 204:446 --initTime 2017-10-03T07:43:24 --startdatetime 2017-10-03T07:45:52 --delay 70 --endMP 204:233311 --enddatetime 2017-10-03T08:28:25 --enforcementcount 0 &gt;&gt;%USERPROFILE%\Documents\GitHub\eaglep3-reporting\EC\2017-10-03-refined-times.txt</v>
      </c>
      <c r="AI4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{"issue":{"subject":"","project_id":79,"tracker_id":40,"status_id":1,"priority_id":2,"assigned_to_id":338,"start_date":"2017-10-03","description":"","custom_fields":[{"id":1,"name":"Subdivision","value":"EC"},{"id":4,"name":"Milepost","value":"23.3311"},{"id":17,"name":"Train ID","value":"133-03"},{"id":16,"name":"Locomotive ID","value":"4032"},{"id":130,"name":"Impact","value":""},{"id":150,"name":"Time of Event (Mountain Time)","value":"08:28:25"},{"id":151,"name":"Denver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10"/>
      <c r="AK48" s="225"/>
      <c r="AL48" s="225"/>
      <c r="AM48" s="231" t="str">
        <f t="shared" si="21"/>
        <v>start /low /b %USERPROFILE%\Documents\GitHub\eaglep3\Utilities\DownloadLogsFromS3.py --loco 4032 --day 2017-10-03</v>
      </c>
      <c r="AN4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10" t="str">
        <f t="shared" si="23"/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Message%20ID',Summary),filters:!(),index:'emp_*',interval:auto,query:(query_string:(analyze_wildcard:!t,query:'%22rtdc.l.rtdc.4032%22')),sort:!(Time.ISO8601,asc))</v>
      </c>
      <c r="AP48" s="210"/>
      <c r="AQ48" s="210"/>
      <c r="AR48" s="210"/>
      <c r="AS48" s="210"/>
      <c r="AT48" s="210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0"/>
      <c r="BW48" s="210"/>
      <c r="BX48" s="210"/>
      <c r="BY48" s="210"/>
      <c r="BZ48" s="210"/>
      <c r="CA48" s="210"/>
      <c r="CB48" s="210"/>
      <c r="CC48" s="210"/>
      <c r="CD48" s="210"/>
      <c r="CE48" s="210"/>
      <c r="CF48" s="210"/>
      <c r="CG48" s="210"/>
      <c r="CH48" s="210"/>
      <c r="CI48" s="210"/>
      <c r="CJ48" s="210"/>
      <c r="CK48" s="210"/>
      <c r="CL48" s="210"/>
      <c r="CM48" s="210"/>
    </row>
    <row r="49" spans="1:91" s="1" customFormat="1" x14ac:dyDescent="0.25">
      <c r="A49" s="32" t="s">
        <v>684</v>
      </c>
      <c r="B49" s="7">
        <v>4031</v>
      </c>
      <c r="C49" s="21" t="s">
        <v>194</v>
      </c>
      <c r="D49" s="21" t="s">
        <v>397</v>
      </c>
      <c r="E49" s="13">
        <v>43011.360682870371</v>
      </c>
      <c r="F49" s="13">
        <v>43011.362719907411</v>
      </c>
      <c r="G49" s="7">
        <v>62</v>
      </c>
      <c r="H49" s="21" t="s">
        <v>446</v>
      </c>
      <c r="I49" s="13">
        <v>43011.390810185185</v>
      </c>
      <c r="J49" s="7">
        <v>0</v>
      </c>
      <c r="K49" s="85" t="str">
        <f t="shared" si="28"/>
        <v>4031/4032</v>
      </c>
      <c r="L49" s="179" t="str">
        <f>VLOOKUP(A49,'Trips&amp;Operators'!$C$1:$G$99911,5,FALSE)</f>
        <v>THOMPSON LESTER</v>
      </c>
      <c r="M49" s="6">
        <f t="shared" si="29"/>
        <v>2.8090277774026617E-2</v>
      </c>
      <c r="N49" s="7">
        <f t="shared" si="38"/>
        <v>40.449999994598329</v>
      </c>
      <c r="O49" s="7"/>
      <c r="P49" s="7"/>
      <c r="Q49" s="22"/>
      <c r="R49" s="169"/>
      <c r="S49" s="202">
        <f t="shared" si="37"/>
        <v>1</v>
      </c>
      <c r="T49" s="169" t="str">
        <f t="shared" si="30"/>
        <v>Southbound</v>
      </c>
      <c r="U49" s="22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2" t="str">
        <f t="shared" si="5"/>
        <v>https://d0f6bd738d7f1b3e5a7ca70fe4ff75f0.us-east-1.aws.found.io/app/kibana#/discover/Steve-Slow-Train-Analysis-(2080s-and-2083s)?_g=(refreshInterval:(display:Off,pause:!f,section:0,value:0),time:(from:'2017-10-03T07:39:23-0600',mode:absolute,to:'2017-10-03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223" t="str">
        <f>IF(AA49&lt;VLOOKUP(AG49,Variables!$AC$3:$AD$8,2,FALSE),"Y","N")</f>
        <v>N</v>
      </c>
      <c r="X49" s="223">
        <f t="shared" si="31"/>
        <v>1</v>
      </c>
      <c r="Y49" s="223">
        <f t="shared" si="32"/>
        <v>23.298200000000001</v>
      </c>
      <c r="Z49" s="223">
        <f t="shared" si="33"/>
        <v>1.29E-2</v>
      </c>
      <c r="AA49" s="223">
        <f t="shared" si="34"/>
        <v>23.285300000000003</v>
      </c>
      <c r="AB49" s="224" t="e">
        <f>VLOOKUP(A49,Enforcements!$C$7:$K$11,8,0)</f>
        <v>#N/A</v>
      </c>
      <c r="AC49" s="224" t="e">
        <f>VLOOKUP(A49,Enforcements!$C$7:$E$11,3,0)</f>
        <v>#N/A</v>
      </c>
      <c r="AD49" s="225">
        <f t="shared" si="35"/>
        <v>134</v>
      </c>
      <c r="AE49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49" s="227" t="str">
        <f t="shared" si="12"/>
        <v>"C:\Program Files (x86)\AstroGrep\AstroGrep.exe" /e /r /s /spath="%USERPROFILE%\AppData\Local\Temp\OnboardLogs" /stypes="app*4031*20171003*" /stext=" 15:.+((SYSTEM_STATE.+slice.+state.+changed )|(ment ac)|(multiple cpu faults)|(system.+state.+changed )|(\[timeout)|(PRM\|1\|D)|(kpr)|(kdp)|(train st.+moving)|(\|lc)|(penalty))"</v>
      </c>
      <c r="AG49" s="228" t="str">
        <f t="shared" si="36"/>
        <v>EC</v>
      </c>
      <c r="AH49" s="229" t="str">
        <f t="shared" si="19"/>
        <v>"%USERPROFILE%\Documents\GitHub\eaglep3\Utilities\RefineRTDCRunTimes.py" --tripid 134-03 --locoid 4031 --swversion DE.1.0.9.0 --startMP 204:232982 --initTime 2017-10-03T08:39:23 --startdatetime 2017-10-03T08:42:19 --delay 62 --endMP 204:129 --enddatetime 2017-10-03T09:22:46 --enforcementcount 0 &gt;&gt;%USERPROFILE%\Documents\GitHub\eaglep3-reporting\EC\2017-10-03-refined-times.txt</v>
      </c>
      <c r="AI4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{"issue":{"subject":"","project_id":79,"tracker_id":40,"status_id":1,"priority_id":2,"assigned_to_id":338,"start_date":"2017-10-03","description":"","custom_fields":[{"id":1,"name":"Subdivision","value":"EC"},{"id":4,"name":"Milepost","value":"0.0129"},{"id":17,"name":"Train ID","value":"134-03"},{"id":16,"name":"Locomotive ID","value":"4031"},{"id":130,"name":"Impact","value":""},{"id":150,"name":"Time of Event (Mountain Time)","value":"09:22:46"},{"id":151,"name":"Denver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10"/>
      <c r="AK49" s="225"/>
      <c r="AL49" s="225"/>
      <c r="AM49" s="231" t="str">
        <f t="shared" si="21"/>
        <v>start /low /b %USERPROFILE%\Documents\GitHub\eaglep3\Utilities\DownloadLogsFromS3.py --loco 4031 --day 2017-10-03</v>
      </c>
      <c r="AN4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10" t="str">
        <f t="shared" si="23"/>
        <v>https://d0f6bd738d7f1b3e5a7ca70fe4ff75f0.us-east-1.aws.found.io/app/kibana#/discover/Steve-Slow-Train-Analysis-(2080s-and-2083s)?_g=(refreshInterval:(display:Off,pause:!f,section:0,value:0),time:(from:'2017-10-03T07:39:23-0600',mode:absolute,to:'2017-10-03T10:22:46-0600'))&amp;_a=(columns:!('Message%20ID',Summary),filters:!(),index:'emp_*',interval:auto,query:(query_string:(analyze_wildcard:!t,query:'%22rtdc.l.rtdc.4031%22')),sort:!(Time.ISO8601,asc))</v>
      </c>
      <c r="AP49" s="210"/>
      <c r="AQ49" s="210"/>
      <c r="AR49" s="210"/>
      <c r="AS49" s="210"/>
      <c r="AT49" s="210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0"/>
      <c r="BW49" s="210"/>
      <c r="BX49" s="210"/>
      <c r="BY49" s="210"/>
      <c r="BZ49" s="210"/>
      <c r="CA49" s="210"/>
      <c r="CB49" s="210"/>
      <c r="CC49" s="210"/>
      <c r="CD49" s="210"/>
      <c r="CE49" s="210"/>
      <c r="CF49" s="210"/>
      <c r="CG49" s="210"/>
      <c r="CH49" s="210"/>
      <c r="CI49" s="210"/>
      <c r="CJ49" s="210"/>
      <c r="CK49" s="210"/>
      <c r="CL49" s="210"/>
      <c r="CM49" s="210"/>
    </row>
    <row r="50" spans="1:91" s="1" customFormat="1" x14ac:dyDescent="0.25">
      <c r="A50" s="32" t="s">
        <v>676</v>
      </c>
      <c r="B50" s="7">
        <v>4056</v>
      </c>
      <c r="C50" s="21" t="s">
        <v>194</v>
      </c>
      <c r="D50" s="21" t="s">
        <v>346</v>
      </c>
      <c r="E50" s="13">
        <v>43011.329201388886</v>
      </c>
      <c r="F50" s="13">
        <v>43011.33353009259</v>
      </c>
      <c r="G50" s="7">
        <v>98</v>
      </c>
      <c r="H50" s="21" t="s">
        <v>866</v>
      </c>
      <c r="I50" s="13">
        <v>43011.360277777778</v>
      </c>
      <c r="J50" s="7">
        <v>0</v>
      </c>
      <c r="K50" s="85" t="str">
        <f t="shared" si="28"/>
        <v>4055/4056</v>
      </c>
      <c r="L50" s="179" t="str">
        <f>VLOOKUP(A50,'Trips&amp;Operators'!$C$1:$G$99911,5,FALSE)</f>
        <v>LALONDE GREGORY</v>
      </c>
      <c r="M50" s="6">
        <f t="shared" si="29"/>
        <v>2.6747685187729076E-2</v>
      </c>
      <c r="N50" s="7">
        <f t="shared" si="38"/>
        <v>38.516666670329869</v>
      </c>
      <c r="O50" s="7"/>
      <c r="P50" s="7"/>
      <c r="Q50" s="22"/>
      <c r="R50" s="169"/>
      <c r="S50" s="202">
        <f t="shared" si="37"/>
        <v>1</v>
      </c>
      <c r="T50" s="169" t="str">
        <f t="shared" si="30"/>
        <v>NorthBound</v>
      </c>
      <c r="U50" s="22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2" t="str">
        <f t="shared" si="5"/>
        <v>https://d0f6bd738d7f1b3e5a7ca70fe4ff75f0.us-east-1.aws.found.io/app/kibana#/discover/Steve-Slow-Train-Analysis-(2080s-and-2083s)?_g=(refreshInterval:(display:Off,pause:!f,section:0,value:0),time:(from:'2017-10-03T06:54:03-0600',mode:absolute,to:'2017-10-03T09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0" s="223" t="str">
        <f>IF(AA50&lt;VLOOKUP(AG50,Variables!$AC$3:$AD$8,2,FALSE),"Y","N")</f>
        <v>N</v>
      </c>
      <c r="X50" s="223">
        <f t="shared" si="31"/>
        <v>1</v>
      </c>
      <c r="Y50" s="223">
        <f t="shared" si="32"/>
        <v>4.5499999999999999E-2</v>
      </c>
      <c r="Z50" s="223">
        <f t="shared" si="33"/>
        <v>23.335100000000001</v>
      </c>
      <c r="AA50" s="223">
        <f t="shared" si="34"/>
        <v>23.2896</v>
      </c>
      <c r="AB50" s="224" t="e">
        <f>VLOOKUP(A50,Enforcements!$C$7:$K$11,8,0)</f>
        <v>#N/A</v>
      </c>
      <c r="AC50" s="224" t="e">
        <f>VLOOKUP(A50,Enforcements!$C$7:$E$11,3,0)</f>
        <v>#N/A</v>
      </c>
      <c r="AD50" s="225">
        <f t="shared" si="35"/>
        <v>135</v>
      </c>
      <c r="AE50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50" s="227" t="str">
        <f t="shared" si="12"/>
        <v>"C:\Program Files (x86)\AstroGrep\AstroGrep.exe" /e /r /s /spath="%USERPROFILE%\AppData\Local\Temp\OnboardLogs" /stypes="app*4056*20171003*" /stext=" 14:.+((SYSTEM_STATE.+slice.+state.+changed )|(ment ac)|(multiple cpu faults)|(system.+state.+changed )|(\[timeout)|(PRM\|1\|D)|(kpr)|(kdp)|(train st.+moving)|(\|lc)|(penalty))"</v>
      </c>
      <c r="AG50" s="228" t="str">
        <f t="shared" si="36"/>
        <v>EC</v>
      </c>
      <c r="AH50" s="229" t="str">
        <f t="shared" si="19"/>
        <v>"%USERPROFILE%\Documents\GitHub\eaglep3\Utilities\RefineRTDCRunTimes.py" --tripid 135-03 --locoid 4056 --swversion DE.1.0.9.0 --startMP 204:455 --initTime 2017-10-03T07:54:03 --startdatetime 2017-10-03T08:00:17 --delay 98 --endMP 204:233351 --enddatetime 2017-10-03T08:38:48 --enforcementcount 0 &gt;&gt;%USERPROFILE%\Documents\GitHub\eaglep3-reporting\EC\2017-10-03-refined-times.txt</v>
      </c>
      <c r="AI5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{"issue":{"subject":"","project_id":79,"tracker_id":40,"status_id":1,"priority_id":2,"assigned_to_id":338,"start_date":"2017-10-03","description":"","custom_fields":[{"id":1,"name":"Subdivision","value":"EC"},{"id":4,"name":"Milepost","value":"23.3351"},{"id":17,"name":"Train ID","value":"135-03"},{"id":16,"name":"Locomotive ID","value":"4056"},{"id":130,"name":"Impact","value":""},{"id":150,"name":"Time of Event (Mountain Time)","value":"08:38:48"},{"id":151,"name":"Denver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10"/>
      <c r="AK50" s="225"/>
      <c r="AL50" s="225"/>
      <c r="AM50" s="231" t="str">
        <f t="shared" si="21"/>
        <v>start /low /b %USERPROFILE%\Documents\GitHub\eaglep3\Utilities\DownloadLogsFromS3.py --loco 4056 --day 2017-10-03</v>
      </c>
      <c r="AN5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10" t="str">
        <f t="shared" si="23"/>
        <v>https://d0f6bd738d7f1b3e5a7ca70fe4ff75f0.us-east-1.aws.found.io/app/kibana#/discover/Steve-Slow-Train-Analysis-(2080s-and-2083s)?_g=(refreshInterval:(display:Off,pause:!f,section:0,value:0),time:(from:'2017-10-03T06:54:03-0600',mode:absolute,to:'2017-10-03T09:38:48-0600'))&amp;_a=(columns:!('Message%20ID',Summary),filters:!(),index:'emp_*',interval:auto,query:(query_string:(analyze_wildcard:!t,query:'%22rtdc.l.rtdc.4056%22')),sort:!(Time.ISO8601,asc))</v>
      </c>
      <c r="AP50" s="210"/>
      <c r="AQ50" s="210"/>
      <c r="AR50" s="210"/>
      <c r="AS50" s="210"/>
      <c r="AT50" s="210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0"/>
      <c r="BW50" s="210"/>
      <c r="BX50" s="210"/>
      <c r="BY50" s="210"/>
      <c r="BZ50" s="210"/>
      <c r="CA50" s="210"/>
      <c r="CB50" s="210"/>
      <c r="CC50" s="210"/>
      <c r="CD50" s="210"/>
      <c r="CE50" s="210"/>
      <c r="CF50" s="210"/>
      <c r="CG50" s="210"/>
      <c r="CH50" s="210"/>
      <c r="CI50" s="210"/>
      <c r="CJ50" s="210"/>
      <c r="CK50" s="210"/>
      <c r="CL50" s="210"/>
      <c r="CM50" s="210"/>
    </row>
    <row r="51" spans="1:91" s="1" customFormat="1" x14ac:dyDescent="0.25">
      <c r="A51" s="32" t="s">
        <v>608</v>
      </c>
      <c r="B51" s="7">
        <v>4055</v>
      </c>
      <c r="C51" s="21" t="s">
        <v>194</v>
      </c>
      <c r="D51" s="21" t="s">
        <v>867</v>
      </c>
      <c r="E51" s="13">
        <v>43011.361493055556</v>
      </c>
      <c r="F51" s="13">
        <v>43011.373090277775</v>
      </c>
      <c r="G51" s="7">
        <v>64</v>
      </c>
      <c r="H51" s="21" t="s">
        <v>362</v>
      </c>
      <c r="I51" s="13">
        <v>43011.404247685183</v>
      </c>
      <c r="J51" s="7">
        <v>0</v>
      </c>
      <c r="K51" s="85" t="str">
        <f t="shared" si="28"/>
        <v>4055/4056</v>
      </c>
      <c r="L51" s="179" t="str">
        <f>VLOOKUP(A51,'Trips&amp;Operators'!$C$1:$G$99911,5,FALSE)</f>
        <v>LALONDE GREGORY</v>
      </c>
      <c r="M51" s="6">
        <f t="shared" si="29"/>
        <v>3.1157407407590654E-2</v>
      </c>
      <c r="N51" s="7">
        <f t="shared" si="38"/>
        <v>44.866666666930541</v>
      </c>
      <c r="O51" s="7"/>
      <c r="P51" s="7"/>
      <c r="Q51" s="22"/>
      <c r="R51" s="169"/>
      <c r="S51" s="202">
        <f t="shared" si="37"/>
        <v>1</v>
      </c>
      <c r="T51" s="169" t="str">
        <f t="shared" si="30"/>
        <v>Southbound</v>
      </c>
      <c r="U51" s="22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2" t="str">
        <f t="shared" si="5"/>
        <v>https://d0f6bd738d7f1b3e5a7ca70fe4ff75f0.us-east-1.aws.found.io/app/kibana#/discover/Steve-Slow-Train-Analysis-(2080s-and-2083s)?_g=(refreshInterval:(display:Off,pause:!f,section:0,value:0),time:(from:'2017-10-03T07:40:33-0600',mode:absolute,to:'2017-10-03T10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1" s="223" t="str">
        <f>IF(AA51&lt;VLOOKUP(AG51,Variables!$AC$3:$AD$8,2,FALSE),"Y","N")</f>
        <v>N</v>
      </c>
      <c r="X51" s="223">
        <f t="shared" si="31"/>
        <v>1</v>
      </c>
      <c r="Y51" s="223">
        <f t="shared" si="32"/>
        <v>23.303000000000001</v>
      </c>
      <c r="Z51" s="223">
        <f t="shared" si="33"/>
        <v>1.5599999999999999E-2</v>
      </c>
      <c r="AA51" s="223">
        <f t="shared" si="34"/>
        <v>23.287400000000002</v>
      </c>
      <c r="AB51" s="224" t="e">
        <f>VLOOKUP(A51,Enforcements!$C$7:$K$11,8,0)</f>
        <v>#N/A</v>
      </c>
      <c r="AC51" s="224" t="e">
        <f>VLOOKUP(A51,Enforcements!$C$7:$E$11,3,0)</f>
        <v>#N/A</v>
      </c>
      <c r="AD51" s="225">
        <f t="shared" si="35"/>
        <v>136</v>
      </c>
      <c r="AE51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51" s="227" t="str">
        <f t="shared" si="12"/>
        <v>"C:\Program Files (x86)\AstroGrep\AstroGrep.exe" /e /r /s /spath="%USERPROFILE%\AppData\Local\Temp\OnboardLogs" /stypes="app*4055*20171003*" /stext=" 15:.+((SYSTEM_STATE.+slice.+state.+changed )|(ment ac)|(multiple cpu faults)|(system.+state.+changed )|(\[timeout)|(PRM\|1\|D)|(kpr)|(kdp)|(train st.+moving)|(\|lc)|(penalty))"</v>
      </c>
      <c r="AG51" s="228" t="str">
        <f t="shared" si="36"/>
        <v>EC</v>
      </c>
      <c r="AH51" s="229" t="str">
        <f t="shared" si="19"/>
        <v>"%USERPROFILE%\Documents\GitHub\eaglep3\Utilities\RefineRTDCRunTimes.py" --tripid 136-03 --locoid 4055 --swversion DE.1.0.9.0 --startMP 204:233030 --initTime 2017-10-03T08:40:33 --startdatetime 2017-10-03T08:57:15 --delay 64 --endMP 204:156 --enddatetime 2017-10-03T09:42:07 --enforcementcount 0 &gt;&gt;%USERPROFILE%\Documents\GitHub\eaglep3-reporting\EC\2017-10-03-refined-times.txt</v>
      </c>
      <c r="AI5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{"issue":{"subject":"","project_id":79,"tracker_id":40,"status_id":1,"priority_id":2,"assigned_to_id":338,"start_date":"2017-10-03","description":"","custom_fields":[{"id":1,"name":"Subdivision","value":"EC"},{"id":4,"name":"Milepost","value":"0.0156"},{"id":17,"name":"Train ID","value":"136-03"},{"id":16,"name":"Locomotive ID","value":"4055"},{"id":130,"name":"Impact","value":""},{"id":150,"name":"Time of Event (Mountain Time)","value":"09:42:07"},{"id":151,"name":"Denver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10"/>
      <c r="AK51" s="225"/>
      <c r="AL51" s="225"/>
      <c r="AM51" s="231" t="str">
        <f t="shared" si="21"/>
        <v>start /low /b %USERPROFILE%\Documents\GitHub\eaglep3\Utilities\DownloadLogsFromS3.py --loco 4055 --day 2017-10-03</v>
      </c>
      <c r="AN5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15:42:07"},{"id":29,"name":"Sharepoint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10" t="str">
        <f t="shared" si="23"/>
        <v>https://d0f6bd738d7f1b3e5a7ca70fe4ff75f0.us-east-1.aws.found.io/app/kibana#/discover/Steve-Slow-Train-Analysis-(2080s-and-2083s)?_g=(refreshInterval:(display:Off,pause:!f,section:0,value:0),time:(from:'2017-10-03T07:40:33-0600',mode:absolute,to:'2017-10-03T10:42:07-0600'))&amp;_a=(columns:!('Message%20ID',Summary),filters:!(),index:'emp_*',interval:auto,query:(query_string:(analyze_wildcard:!t,query:'%22rtdc.l.rtdc.4055%22')),sort:!(Time.ISO8601,asc))</v>
      </c>
      <c r="AP51" s="210"/>
      <c r="AQ51" s="210"/>
      <c r="AR51" s="210"/>
      <c r="AS51" s="210"/>
      <c r="AT51" s="210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0"/>
      <c r="BW51" s="210"/>
      <c r="BX51" s="210"/>
      <c r="BY51" s="210"/>
      <c r="BZ51" s="210"/>
      <c r="CA51" s="210"/>
      <c r="CB51" s="210"/>
      <c r="CC51" s="210"/>
      <c r="CD51" s="210"/>
      <c r="CE51" s="210"/>
      <c r="CF51" s="210"/>
      <c r="CG51" s="210"/>
      <c r="CH51" s="210"/>
      <c r="CI51" s="210"/>
      <c r="CJ51" s="210"/>
      <c r="CK51" s="210"/>
      <c r="CL51" s="210"/>
      <c r="CM51" s="210"/>
    </row>
    <row r="52" spans="1:91" s="1" customFormat="1" x14ac:dyDescent="0.25">
      <c r="A52" s="32" t="s">
        <v>680</v>
      </c>
      <c r="B52" s="7">
        <v>4060</v>
      </c>
      <c r="C52" s="21" t="s">
        <v>194</v>
      </c>
      <c r="D52" s="21" t="s">
        <v>359</v>
      </c>
      <c r="E52" s="13">
        <v>43011.340729166666</v>
      </c>
      <c r="F52" s="13">
        <v>43011.343923611108</v>
      </c>
      <c r="G52" s="7">
        <v>69</v>
      </c>
      <c r="H52" s="21" t="s">
        <v>433</v>
      </c>
      <c r="I52" s="13">
        <v>43011.369606481479</v>
      </c>
      <c r="J52" s="7">
        <v>0</v>
      </c>
      <c r="K52" s="85" t="str">
        <f t="shared" si="28"/>
        <v>4059/4060</v>
      </c>
      <c r="L52" s="179" t="str">
        <f>VLOOKUP(A52,'Trips&amp;Operators'!$C$1:$G$99911,5,FALSE)</f>
        <v>LAMAR NEKESHA</v>
      </c>
      <c r="M52" s="6">
        <f t="shared" si="29"/>
        <v>2.5682870371383615E-2</v>
      </c>
      <c r="N52" s="7">
        <f t="shared" si="38"/>
        <v>36.983333334792405</v>
      </c>
      <c r="O52" s="7"/>
      <c r="P52" s="7"/>
      <c r="Q52" s="22"/>
      <c r="R52" s="169"/>
      <c r="S52" s="202">
        <f t="shared" si="37"/>
        <v>1</v>
      </c>
      <c r="T52" s="169" t="str">
        <f t="shared" si="30"/>
        <v>NorthBound</v>
      </c>
      <c r="U52" s="22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2" t="str">
        <f t="shared" si="5"/>
        <v>https://d0f6bd738d7f1b3e5a7ca70fe4ff75f0.us-east-1.aws.found.io/app/kibana#/discover/Steve-Slow-Train-Analysis-(2080s-and-2083s)?_g=(refreshInterval:(display:Off,pause:!f,section:0,value:0),time:(from:'2017-10-03T07:10:39-0600',mode:absolute,to:'2017-10-03T09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2" s="223" t="str">
        <f>IF(AA52&lt;VLOOKUP(AG52,Variables!$AC$3:$AD$8,2,FALSE),"Y","N")</f>
        <v>N</v>
      </c>
      <c r="X52" s="223">
        <f t="shared" si="31"/>
        <v>1</v>
      </c>
      <c r="Y52" s="223">
        <f t="shared" si="32"/>
        <v>4.6399999999999997E-2</v>
      </c>
      <c r="Z52" s="223">
        <f t="shared" si="33"/>
        <v>23.3309</v>
      </c>
      <c r="AA52" s="223">
        <f t="shared" si="34"/>
        <v>23.284500000000001</v>
      </c>
      <c r="AB52" s="224" t="e">
        <f>VLOOKUP(A52,Enforcements!$C$7:$K$11,8,0)</f>
        <v>#N/A</v>
      </c>
      <c r="AC52" s="224" t="e">
        <f>VLOOKUP(A52,Enforcements!$C$7:$E$11,3,0)</f>
        <v>#N/A</v>
      </c>
      <c r="AD52" s="225">
        <f t="shared" si="35"/>
        <v>137</v>
      </c>
      <c r="AE52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52" s="227" t="str">
        <f t="shared" si="12"/>
        <v>"C:\Program Files (x86)\AstroGrep\AstroGrep.exe" /e /r /s /spath="%USERPROFILE%\AppData\Local\Temp\OnboardLogs" /stypes="app*4060*20171003*" /stext=" 14:.+((SYSTEM_STATE.+slice.+state.+changed )|(ment ac)|(multiple cpu faults)|(system.+state.+changed )|(\[timeout)|(PRM\|1\|D)|(kpr)|(kdp)|(train st.+moving)|(\|lc)|(penalty))"</v>
      </c>
      <c r="AG52" s="228" t="str">
        <f t="shared" si="36"/>
        <v>EC</v>
      </c>
      <c r="AH52" s="229" t="str">
        <f t="shared" si="19"/>
        <v>"%USERPROFILE%\Documents\GitHub\eaglep3\Utilities\RefineRTDCRunTimes.py" --tripid 137-03 --locoid 4060 --swversion DE.1.0.9.0 --startMP 204:464 --initTime 2017-10-03T08:10:39 --startdatetime 2017-10-03T08:15:15 --delay 69 --endMP 204:233309 --enddatetime 2017-10-03T08:52:14 --enforcementcount 0 &gt;&gt;%USERPROFILE%\Documents\GitHub\eaglep3-reporting\EC\2017-10-03-refined-times.txt</v>
      </c>
      <c r="AI5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{"issue":{"subject":"","project_id":79,"tracker_id":40,"status_id":1,"priority_id":2,"assigned_to_id":338,"start_date":"2017-10-03","description":"","custom_fields":[{"id":1,"name":"Subdivision","value":"EC"},{"id":4,"name":"Milepost","value":"23.3309"},{"id":17,"name":"Train ID","value":"137-03"},{"id":16,"name":"Locomotive ID","value":"4060"},{"id":130,"name":"Impact","value":""},{"id":150,"name":"Time of Event (Mountain Time)","value":"08:52:14"},{"id":151,"name":"Denver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10"/>
      <c r="AK52" s="225"/>
      <c r="AL52" s="225"/>
      <c r="AM52" s="231" t="str">
        <f t="shared" si="21"/>
        <v>start /low /b %USERPROFILE%\Documents\GitHub\eaglep3\Utilities\DownloadLogsFromS3.py --loco 4060 --day 2017-10-03</v>
      </c>
      <c r="AN5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10" t="str">
        <f t="shared" si="23"/>
        <v>https://d0f6bd738d7f1b3e5a7ca70fe4ff75f0.us-east-1.aws.found.io/app/kibana#/discover/Steve-Slow-Train-Analysis-(2080s-and-2083s)?_g=(refreshInterval:(display:Off,pause:!f,section:0,value:0),time:(from:'2017-10-03T07:10:39-0600',mode:absolute,to:'2017-10-03T09:52:14-0600'))&amp;_a=(columns:!('Message%20ID',Summary),filters:!(),index:'emp_*',interval:auto,query:(query_string:(analyze_wildcard:!t,query:'%22rtdc.l.rtdc.4060%22')),sort:!(Time.ISO8601,asc))</v>
      </c>
      <c r="AP52" s="210"/>
      <c r="AQ52" s="210"/>
      <c r="AR52" s="210"/>
      <c r="AS52" s="210"/>
      <c r="AT52" s="210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0"/>
      <c r="BW52" s="210"/>
      <c r="BX52" s="210"/>
      <c r="BY52" s="210"/>
      <c r="BZ52" s="210"/>
      <c r="CA52" s="210"/>
      <c r="CB52" s="210"/>
      <c r="CC52" s="210"/>
      <c r="CD52" s="210"/>
      <c r="CE52" s="210"/>
      <c r="CF52" s="210"/>
      <c r="CG52" s="210"/>
      <c r="CH52" s="210"/>
      <c r="CI52" s="210"/>
      <c r="CJ52" s="210"/>
      <c r="CK52" s="210"/>
      <c r="CL52" s="210"/>
      <c r="CM52" s="210"/>
    </row>
    <row r="53" spans="1:91" s="1" customFormat="1" x14ac:dyDescent="0.25">
      <c r="A53" s="32" t="s">
        <v>688</v>
      </c>
      <c r="B53" s="7">
        <v>4059</v>
      </c>
      <c r="C53" s="21" t="s">
        <v>194</v>
      </c>
      <c r="D53" s="21" t="s">
        <v>454</v>
      </c>
      <c r="E53" s="13">
        <v>43011.381932870368</v>
      </c>
      <c r="F53" s="13">
        <v>43011.383657407408</v>
      </c>
      <c r="G53" s="7">
        <v>84</v>
      </c>
      <c r="H53" s="21" t="s">
        <v>366</v>
      </c>
      <c r="I53" s="13">
        <v>43011.411724537036</v>
      </c>
      <c r="J53" s="7">
        <v>0</v>
      </c>
      <c r="K53" s="85" t="str">
        <f t="shared" si="28"/>
        <v>4059/4060</v>
      </c>
      <c r="L53" s="179" t="str">
        <f>VLOOKUP(A53,'Trips&amp;Operators'!$C$1:$G$99911,5,FALSE)</f>
        <v>LAMAR NEKESHA</v>
      </c>
      <c r="M53" s="6">
        <f t="shared" si="29"/>
        <v>2.806712962774327E-2</v>
      </c>
      <c r="N53" s="7">
        <f t="shared" si="38"/>
        <v>40.416666663950309</v>
      </c>
      <c r="O53" s="7"/>
      <c r="P53" s="7"/>
      <c r="Q53" s="22"/>
      <c r="R53" s="169"/>
      <c r="S53" s="202">
        <f t="shared" si="37"/>
        <v>1</v>
      </c>
      <c r="T53" s="169" t="str">
        <f t="shared" si="30"/>
        <v>Southbound</v>
      </c>
      <c r="U53" s="22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22" t="str">
        <f t="shared" si="5"/>
        <v>https://d0f6bd738d7f1b3e5a7ca70fe4ff75f0.us-east-1.aws.found.io/app/kibana#/discover/Steve-Slow-Train-Analysis-(2080s-and-2083s)?_g=(refreshInterval:(display:Off,pause:!f,section:0,value:0),time:(from:'2017-10-03T08:09:59-0600',mode:absolute,to:'2017-10-03T10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3" s="223" t="str">
        <f>IF(AA53&lt;VLOOKUP(AG53,Variables!$AC$3:$AD$8,2,FALSE),"Y","N")</f>
        <v>N</v>
      </c>
      <c r="X53" s="223">
        <f t="shared" si="31"/>
        <v>1</v>
      </c>
      <c r="Y53" s="223">
        <f t="shared" si="32"/>
        <v>23.299399999999999</v>
      </c>
      <c r="Z53" s="223">
        <f t="shared" si="33"/>
        <v>1.61E-2</v>
      </c>
      <c r="AA53" s="223">
        <f t="shared" si="34"/>
        <v>23.283299999999997</v>
      </c>
      <c r="AB53" s="224" t="e">
        <f>VLOOKUP(A53,Enforcements!$C$7:$K$11,8,0)</f>
        <v>#N/A</v>
      </c>
      <c r="AC53" s="224" t="e">
        <f>VLOOKUP(A53,Enforcements!$C$7:$E$11,3,0)</f>
        <v>#N/A</v>
      </c>
      <c r="AD53" s="225">
        <f t="shared" si="35"/>
        <v>138</v>
      </c>
      <c r="AE53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53" s="227" t="str">
        <f t="shared" si="12"/>
        <v>"C:\Program Files (x86)\AstroGrep\AstroGrep.exe" /e /r /s /spath="%USERPROFILE%\AppData\Local\Temp\OnboardLogs" /stypes="app*4059*20171003*" /stext=" 15:.+((SYSTEM_STATE.+slice.+state.+changed )|(ment ac)|(multiple cpu faults)|(system.+state.+changed )|(\[timeout)|(PRM\|1\|D)|(kpr)|(kdp)|(train st.+moving)|(\|lc)|(penalty))"</v>
      </c>
      <c r="AG53" s="228" t="str">
        <f t="shared" si="36"/>
        <v>EC</v>
      </c>
      <c r="AH53" s="229" t="str">
        <f t="shared" si="19"/>
        <v>"%USERPROFILE%\Documents\GitHub\eaglep3\Utilities\RefineRTDCRunTimes.py" --tripid 138-03 --locoid 4059 --swversion DE.1.0.9.0 --startMP 204:232994 --initTime 2017-10-03T09:09:59 --startdatetime 2017-10-03T09:12:28 --delay 84 --endMP 204:161 --enddatetime 2017-10-03T09:52:53 --enforcementcount 0 &gt;&gt;%USERPROFILE%\Documents\GitHub\eaglep3-reporting\EC\2017-10-03-refined-times.txt</v>
      </c>
      <c r="AI5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ID","value":"138-03"},{"id":16,"name":"Locomotive ID","value":"4059"},{"id":130,"name":"Impact","value":""},{"id":150,"name":"Time of Event (Mountain Time)","value":"09:52:53"},{"id":151,"name":"Denver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10"/>
      <c r="AK53" s="225"/>
      <c r="AL53" s="225"/>
      <c r="AM53" s="231" t="str">
        <f t="shared" si="21"/>
        <v>start /low /b %USERPROFILE%\Documents\GitHub\eaglep3\Utilities\DownloadLogsFromS3.py --loco 4059 --day 2017-10-03</v>
      </c>
      <c r="AN5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10" t="str">
        <f t="shared" si="23"/>
        <v>https://d0f6bd738d7f1b3e5a7ca70fe4ff75f0.us-east-1.aws.found.io/app/kibana#/discover/Steve-Slow-Train-Analysis-(2080s-and-2083s)?_g=(refreshInterval:(display:Off,pause:!f,section:0,value:0),time:(from:'2017-10-03T08:09:59-0600',mode:absolute,to:'2017-10-03T10:52:53-0600'))&amp;_a=(columns:!('Message%20ID',Summary),filters:!(),index:'emp_*',interval:auto,query:(query_string:(analyze_wildcard:!t,query:'%22rtdc.l.rtdc.4059%22')),sort:!(Time.ISO8601,asc))</v>
      </c>
      <c r="AP53" s="210"/>
      <c r="AQ53" s="210"/>
      <c r="AR53" s="210"/>
      <c r="AS53" s="210"/>
      <c r="AT53" s="210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0"/>
      <c r="BW53" s="210"/>
      <c r="BX53" s="210"/>
      <c r="BY53" s="210"/>
      <c r="BZ53" s="210"/>
      <c r="CA53" s="210"/>
      <c r="CB53" s="210"/>
      <c r="CC53" s="210"/>
      <c r="CD53" s="210"/>
      <c r="CE53" s="210"/>
      <c r="CF53" s="210"/>
      <c r="CG53" s="210"/>
      <c r="CH53" s="210"/>
      <c r="CI53" s="210"/>
      <c r="CJ53" s="210"/>
      <c r="CK53" s="210"/>
      <c r="CL53" s="210"/>
      <c r="CM53" s="210"/>
    </row>
    <row r="54" spans="1:91" s="1" customFormat="1" x14ac:dyDescent="0.25">
      <c r="A54" s="32" t="s">
        <v>607</v>
      </c>
      <c r="B54" s="7">
        <v>4062</v>
      </c>
      <c r="C54" s="21" t="s">
        <v>194</v>
      </c>
      <c r="D54" s="21" t="s">
        <v>868</v>
      </c>
      <c r="E54" s="13">
        <v>43011.341296296298</v>
      </c>
      <c r="F54" s="13">
        <v>43011.358715277776</v>
      </c>
      <c r="G54" s="7">
        <v>134</v>
      </c>
      <c r="H54" s="21" t="s">
        <v>869</v>
      </c>
      <c r="I54" s="13">
        <v>43011.369444444441</v>
      </c>
      <c r="J54" s="7">
        <v>0</v>
      </c>
      <c r="K54" s="85" t="str">
        <f t="shared" si="28"/>
        <v>4061/4062</v>
      </c>
      <c r="L54" s="179" t="str">
        <f>VLOOKUP(A54,'Trips&amp;Operators'!$C$1:$G$99911,5,FALSE)</f>
        <v>SPECTOR MICHAEL</v>
      </c>
      <c r="M54" s="6">
        <f t="shared" si="29"/>
        <v>1.0729166664532386E-2</v>
      </c>
      <c r="N54" s="7"/>
      <c r="O54" s="7"/>
      <c r="P54" s="7"/>
      <c r="Q54" s="22"/>
      <c r="R54" s="169"/>
      <c r="S54" s="202"/>
      <c r="T54" s="169" t="str">
        <f t="shared" si="30"/>
        <v>NorthBound</v>
      </c>
      <c r="U54" s="22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222" t="str">
        <f t="shared" si="5"/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4" s="223" t="str">
        <f>IF(AA54&lt;VLOOKUP(AG54,Variables!$AC$3:$AD$8,2,FALSE),"Y","N")</f>
        <v>Y</v>
      </c>
      <c r="X54" s="223">
        <f t="shared" si="31"/>
        <v>1</v>
      </c>
      <c r="Y54" s="223">
        <f t="shared" si="32"/>
        <v>0.14960000000000001</v>
      </c>
      <c r="Z54" s="223">
        <f t="shared" si="33"/>
        <v>0.19339999999999999</v>
      </c>
      <c r="AA54" s="223">
        <f t="shared" si="34"/>
        <v>4.3799999999999978E-2</v>
      </c>
      <c r="AB54" s="224" t="e">
        <f>VLOOKUP(A54,Enforcements!$C$7:$K$11,8,0)</f>
        <v>#N/A</v>
      </c>
      <c r="AC54" s="224" t="e">
        <f>VLOOKUP(A54,Enforcements!$C$7:$E$11,3,0)</f>
        <v>#N/A</v>
      </c>
      <c r="AD54" s="225">
        <f t="shared" si="35"/>
        <v>139</v>
      </c>
      <c r="AE54" s="226" t="str">
        <f t="shared" si="11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54" s="227" t="str">
        <f t="shared" si="12"/>
        <v>"C:\Program Files (x86)\AstroGrep\AstroGrep.exe" /e /r /s /spath="%USERPROFILE%\AppData\Local\Temp\OnboardLogs" /stypes="app*4062*20171003*" /stext=" 14:.+((SYSTEM_STATE.+slice.+state.+changed )|(ment ac)|(multiple cpu faults)|(system.+state.+changed )|(\[timeout)|(PRM\|1\|D)|(kpr)|(kdp)|(train st.+moving)|(\|lc)|(penalty))"</v>
      </c>
      <c r="AG54" s="228" t="str">
        <f t="shared" si="36"/>
        <v>EC</v>
      </c>
      <c r="AH54" s="229" t="str">
        <f t="shared" si="19"/>
        <v>"%USERPROFILE%\Documents\GitHub\eaglep3\Utilities\RefineRTDCRunTimes.py" --tripid 139-03 --locoid 4062 --swversion DE.1.0.9.0 --startMP 204:1496 --initTime 2017-10-03T08:11:28 --startdatetime 2017-10-03T08:36:33 --delay 134 --endMP 204:1934 --enddatetime 2017-10-03T08:52:00 --enforcementcount 0 &gt;&gt;%USERPROFILE%\Documents\GitHub\eaglep3-reporting\EC\2017-10-03-refined-times.txt</v>
      </c>
      <c r="AI5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{"issue":{"subject":"","project_id":79,"tracker_id":40,"status_id":1,"priority_id":2,"assigned_to_id":338,"start_date":"2017-10-03","description":"","custom_fields":[{"id":1,"name":"Subdivision","value":"EC"},{"id":4,"name":"Milepost","value":"0.1934"},{"id":17,"name":"Train ID","value":"139-03"},{"id":16,"name":"Locomotive ID","value":"4062"},{"id":130,"name":"Impact","value":""},{"id":150,"name":"Time of Event (Mountain Time)","value":"08:52:00"},{"id":151,"name":"Denver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10"/>
      <c r="AK54" s="225"/>
      <c r="AL54" s="225"/>
      <c r="AM54" s="231" t="str">
        <f t="shared" si="21"/>
        <v>start /low /b %USERPROFILE%\Documents\GitHub\eaglep3\Utilities\DownloadLogsFromS3.py --loco 4062 --day 2017-10-03</v>
      </c>
      <c r="AN5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10" t="str">
        <f t="shared" si="23"/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Message%20ID',Summary),filters:!(),index:'emp_*',interval:auto,query:(query_string:(analyze_wildcard:!t,query:'%22rtdc.l.rtdc.4062%22')),sort:!(Time.ISO8601,asc))</v>
      </c>
      <c r="AP54" s="210"/>
      <c r="AQ54" s="210"/>
      <c r="AR54" s="210"/>
      <c r="AS54" s="210"/>
      <c r="AT54" s="210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0"/>
      <c r="BW54" s="210"/>
      <c r="BX54" s="210"/>
      <c r="BY54" s="210"/>
      <c r="BZ54" s="210"/>
      <c r="CA54" s="210"/>
      <c r="CB54" s="210"/>
      <c r="CC54" s="210"/>
      <c r="CD54" s="210"/>
      <c r="CE54" s="210"/>
      <c r="CF54" s="210"/>
      <c r="CG54" s="210"/>
      <c r="CH54" s="210"/>
      <c r="CI54" s="210"/>
      <c r="CJ54" s="210"/>
      <c r="CK54" s="210"/>
      <c r="CL54" s="210"/>
      <c r="CM54" s="210"/>
    </row>
    <row r="55" spans="1:91" s="1" customFormat="1" x14ac:dyDescent="0.25">
      <c r="A55" s="32" t="s">
        <v>607</v>
      </c>
      <c r="B55" s="7">
        <v>4062</v>
      </c>
      <c r="C55" s="21" t="s">
        <v>194</v>
      </c>
      <c r="D55" s="21" t="s">
        <v>870</v>
      </c>
      <c r="E55" s="13">
        <v>43011.357685185183</v>
      </c>
      <c r="F55" s="13">
        <v>43011.358715277776</v>
      </c>
      <c r="G55" s="7">
        <v>39</v>
      </c>
      <c r="H55" s="21" t="s">
        <v>474</v>
      </c>
      <c r="I55" s="13">
        <v>43011.369444444441</v>
      </c>
      <c r="J55" s="7">
        <v>0</v>
      </c>
      <c r="K55" s="85" t="str">
        <f t="shared" si="28"/>
        <v>4061/4062</v>
      </c>
      <c r="L55" s="179" t="str">
        <f>VLOOKUP(A55,'Trips&amp;Operators'!$C$1:$G$99911,5,FALSE)</f>
        <v>SPECTOR MICHAEL</v>
      </c>
      <c r="M55" s="6">
        <f t="shared" si="29"/>
        <v>1.0729166664532386E-2</v>
      </c>
      <c r="N55" s="7"/>
      <c r="O55" s="7"/>
      <c r="P55" s="7">
        <f>24*60*SUM($M55:$M55)</f>
        <v>15.449999996926636</v>
      </c>
      <c r="Q55" s="22"/>
      <c r="R55" s="169" t="s">
        <v>1017</v>
      </c>
      <c r="S55" s="202">
        <f t="shared" ref="S55:S86" si="39">1/IF(AG55="EC",12,1)*SUM(U55:U55)</f>
        <v>1</v>
      </c>
      <c r="T55" s="169" t="str">
        <f t="shared" si="30"/>
        <v>NorthBound</v>
      </c>
      <c r="U55" s="22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2" t="str">
        <f t="shared" si="5"/>
        <v>https://d0f6bd738d7f1b3e5a7ca70fe4ff75f0.us-east-1.aws.found.io/app/kibana#/discover/Steve-Slow-Train-Analysis-(2080s-and-2083s)?_g=(refreshInterval:(display:Off,pause:!f,section:0,value:0),time:(from:'2017-10-03T07:35:04-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5" s="223" t="str">
        <f>IF(AA55&lt;VLOOKUP(AG55,Variables!$AC$3:$AD$8,2,FALSE),"Y","N")</f>
        <v>Y</v>
      </c>
      <c r="X55" s="223">
        <f t="shared" si="31"/>
        <v>0</v>
      </c>
      <c r="Y55" s="223">
        <f t="shared" si="32"/>
        <v>1.9133</v>
      </c>
      <c r="Z55" s="223">
        <f t="shared" si="33"/>
        <v>23.331900000000001</v>
      </c>
      <c r="AA55" s="223">
        <f t="shared" si="34"/>
        <v>21.418600000000001</v>
      </c>
      <c r="AB55" s="224" t="e">
        <f>VLOOKUP(A55,Enforcements!$C$7:$K$11,8,0)</f>
        <v>#N/A</v>
      </c>
      <c r="AC55" s="224" t="e">
        <f>VLOOKUP(A55,Enforcements!$C$7:$E$11,3,0)</f>
        <v>#N/A</v>
      </c>
      <c r="AD55" s="225">
        <f t="shared" si="35"/>
        <v>139</v>
      </c>
      <c r="AE55" s="226" t="str">
        <f t="shared" si="11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55" s="227" t="str">
        <f t="shared" si="12"/>
        <v>"C:\Program Files (x86)\AstroGrep\AstroGrep.exe" /e /r /s /spath="%USERPROFILE%\AppData\Local\Temp\OnboardLogs" /stypes="app*4062*20171003*" /stext=" 14:.+((SYSTEM_STATE.+slice.+state.+changed )|(ment ac)|(multiple cpu faults)|(system.+state.+changed )|(\[timeout)|(PRM\|1\|D)|(kpr)|(kdp)|(train st.+moving)|(\|lc)|(penalty))"</v>
      </c>
      <c r="AG55" s="228" t="str">
        <f t="shared" si="36"/>
        <v>EC</v>
      </c>
      <c r="AH55" s="229" t="str">
        <f t="shared" si="19"/>
        <v>"%USERPROFILE%\Documents\GitHub\eaglep3\Utilities\RefineRTDCRunTimes.py" --tripid 139-03 --locoid 4062 --swversion DE.1.0.9.0 --startMP 204:19133 --initTime 2017-10-03T08:35:04 --startdatetime 2017-10-03T08:36:33 --delay 39 --endMP 204:233319 --enddatetime 2017-10-03T08:52:00 --enforcementcount 0 &gt;&gt;%USERPROFILE%\Documents\GitHub\eaglep3-reporting\EC\2017-10-03-refined-times.txt</v>
      </c>
      <c r="AI55" s="230" t="str">
        <f t="shared" si="20"/>
        <v>echo {"issue":{"subject":"DUS Main 3 departure","project_id":79,"tracker_id":40,"status_id":1,"priority_id":2,"assigned_to_id":338,"start_date":"2017-10-03","description":"","custom_fields":[{"id":1,"name":"Subdivision","value":"EC"},{"id":4,"name":"Milepost","value":"23.3319"},{"id":17,"name":"Train ID","value":"139-03"},{"id":16,"name":"Locomotive ID","value":"4062"},{"id":130,"name":"Impact","value":""},{"id":150,"name":"Time of Event (Mountain Time)","value":"08:52:00"},{"id":151,"name":"Denver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10"/>
      <c r="AK55" s="225"/>
      <c r="AL55" s="225"/>
      <c r="AM55" s="231" t="str">
        <f t="shared" si="21"/>
        <v>start /low /b %USERPROFILE%\Documents\GitHub\eaglep3\Utilities\DownloadLogsFromS3.py --loco 4062 --day 2017-10-03</v>
      </c>
      <c r="AN55" s="232" t="str">
        <f t="shared" si="22"/>
        <v>echo {"issue":{"subject":"DUS Main 3 departure","project_id":30,"tracker_id":4,"status_id":1,"priority_id":1,"assigned_to_id":10,"start_date":"2017-10-03","description":"","custom_fields":[{"id":30,"name":"Category","value":"Issue"},{"id":3,"name":"Functional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10" t="str">
        <f t="shared" si="23"/>
        <v>https://d0f6bd738d7f1b3e5a7ca70fe4ff75f0.us-east-1.aws.found.io/app/kibana#/discover/Steve-Slow-Train-Analysis-(2080s-and-2083s)?_g=(refreshInterval:(display:Off,pause:!f,section:0,value:0),time:(from:'2017-10-03T07:35:04-0600',mode:absolute,to:'2017-10-03T09:52:00-0600'))&amp;_a=(columns:!('Message%20ID',Summary),filters:!(),index:'emp_*',interval:auto,query:(query_string:(analyze_wildcard:!t,query:'%22rtdc.l.rtdc.4062%22')),sort:!(Time.ISO8601,asc))</v>
      </c>
      <c r="AP55" s="210"/>
      <c r="AQ55" s="210"/>
      <c r="AR55" s="210"/>
      <c r="AS55" s="210"/>
      <c r="AT55" s="210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0"/>
      <c r="BW55" s="210"/>
      <c r="BX55" s="210"/>
      <c r="BY55" s="210"/>
      <c r="BZ55" s="210"/>
      <c r="CA55" s="210"/>
      <c r="CB55" s="210"/>
      <c r="CC55" s="210"/>
      <c r="CD55" s="210"/>
      <c r="CE55" s="210"/>
      <c r="CF55" s="210"/>
      <c r="CG55" s="210"/>
      <c r="CH55" s="210"/>
      <c r="CI55" s="210"/>
      <c r="CJ55" s="210"/>
      <c r="CK55" s="210"/>
      <c r="CL55" s="210"/>
      <c r="CM55" s="210"/>
    </row>
    <row r="56" spans="1:91" s="1" customFormat="1" x14ac:dyDescent="0.25">
      <c r="A56" s="32" t="s">
        <v>689</v>
      </c>
      <c r="B56" s="7">
        <v>4061</v>
      </c>
      <c r="C56" s="21" t="s">
        <v>194</v>
      </c>
      <c r="D56" s="21" t="s">
        <v>456</v>
      </c>
      <c r="E56" s="13">
        <v>43011.388159722221</v>
      </c>
      <c r="F56" s="13">
        <v>43011.394270833334</v>
      </c>
      <c r="G56" s="7">
        <v>95</v>
      </c>
      <c r="H56" s="21" t="s">
        <v>360</v>
      </c>
      <c r="I56" s="13">
        <v>43011.421261574076</v>
      </c>
      <c r="J56" s="7">
        <v>0</v>
      </c>
      <c r="K56" s="85" t="str">
        <f t="shared" si="28"/>
        <v>4061/4062</v>
      </c>
      <c r="L56" s="179" t="str">
        <f>VLOOKUP(A56,'Trips&amp;Operators'!$C$1:$G$99911,5,FALSE)</f>
        <v>SPECTOR MICHAEL</v>
      </c>
      <c r="M56" s="6">
        <f t="shared" si="29"/>
        <v>2.6990740741894115E-2</v>
      </c>
      <c r="N56" s="7">
        <f t="shared" ref="N56:N87" si="40">24*60*SUM($M56:$M56)</f>
        <v>38.866666668327525</v>
      </c>
      <c r="O56" s="7"/>
      <c r="P56" s="7"/>
      <c r="Q56" s="22"/>
      <c r="R56" s="169"/>
      <c r="S56" s="202">
        <f t="shared" si="39"/>
        <v>1</v>
      </c>
      <c r="T56" s="169" t="str">
        <f t="shared" si="30"/>
        <v>Southbound</v>
      </c>
      <c r="U56" s="22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2" t="str">
        <f t="shared" si="5"/>
        <v>https://d0f6bd738d7f1b3e5a7ca70fe4ff75f0.us-east-1.aws.found.io/app/kibana#/discover/Steve-Slow-Train-Analysis-(2080s-and-2083s)?_g=(refreshInterval:(display:Off,pause:!f,section:0,value:0),time:(from:'2017-10-03T08:18:57-0600',mode:absolute,to:'2017-10-03T11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6" s="223" t="str">
        <f>IF(AA56&lt;VLOOKUP(AG56,Variables!$AC$3:$AD$8,2,FALSE),"Y","N")</f>
        <v>N</v>
      </c>
      <c r="X56" s="223">
        <f t="shared" si="31"/>
        <v>1</v>
      </c>
      <c r="Y56" s="223">
        <f t="shared" si="32"/>
        <v>23.299099999999999</v>
      </c>
      <c r="Z56" s="223">
        <f t="shared" si="33"/>
        <v>1.4500000000000001E-2</v>
      </c>
      <c r="AA56" s="223">
        <f t="shared" si="34"/>
        <v>23.284599999999998</v>
      </c>
      <c r="AB56" s="224" t="e">
        <f>VLOOKUP(A56,Enforcements!$C$7:$K$11,8,0)</f>
        <v>#N/A</v>
      </c>
      <c r="AC56" s="224" t="e">
        <f>VLOOKUP(A56,Enforcements!$C$7:$E$11,3,0)</f>
        <v>#N/A</v>
      </c>
      <c r="AD56" s="225">
        <f t="shared" si="35"/>
        <v>140</v>
      </c>
      <c r="AE56" s="226" t="str">
        <f t="shared" si="11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56" s="227" t="str">
        <f t="shared" si="12"/>
        <v>"C:\Program Files (x86)\AstroGrep\AstroGrep.exe" /e /r /s /spath="%USERPROFILE%\AppData\Local\Temp\OnboardLogs" /stypes="app*4061*20171003*" /stext=" 16:.+((SYSTEM_STATE.+slice.+state.+changed )|(ment ac)|(multiple cpu faults)|(system.+state.+changed )|(\[timeout)|(PRM\|1\|D)|(kpr)|(kdp)|(train st.+moving)|(\|lc)|(penalty))"</v>
      </c>
      <c r="AG56" s="228" t="str">
        <f t="shared" si="36"/>
        <v>EC</v>
      </c>
      <c r="AH56" s="229" t="str">
        <f t="shared" si="19"/>
        <v>"%USERPROFILE%\Documents\GitHub\eaglep3\Utilities\RefineRTDCRunTimes.py" --tripid 140-03 --locoid 4061 --swversion DE.1.0.9.0 --startMP 204:232991 --initTime 2017-10-03T09:18:57 --startdatetime 2017-10-03T09:27:45 --delay 95 --endMP 204:145 --enddatetime 2017-10-03T10:06:37 --enforcementcount 0 &gt;&gt;%USERPROFILE%\Documents\GitHub\eaglep3-reporting\EC\2017-10-03-refined-times.txt</v>
      </c>
      <c r="AI5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{"issue":{"subject":"","project_id":79,"tracker_id":40,"status_id":1,"priority_id":2,"assigned_to_id":338,"start_date":"2017-10-03","description":"","custom_fields":[{"id":1,"name":"Subdivision","value":"EC"},{"id":4,"name":"Milepost","value":"0.0145"},{"id":17,"name":"Train ID","value":"140-03"},{"id":16,"name":"Locomotive ID","value":"4061"},{"id":130,"name":"Impact","value":""},{"id":150,"name":"Time of Event (Mountain Time)","value":"10:06:37"},{"id":151,"name":"Denver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10"/>
      <c r="AK56" s="225"/>
      <c r="AL56" s="225"/>
      <c r="AM56" s="231" t="str">
        <f t="shared" si="21"/>
        <v>start /low /b %USERPROFILE%\Documents\GitHub\eaglep3\Utilities\DownloadLogsFromS3.py --loco 4061 --day 2017-10-03</v>
      </c>
      <c r="AN5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10" t="str">
        <f t="shared" si="23"/>
        <v>https://d0f6bd738d7f1b3e5a7ca70fe4ff75f0.us-east-1.aws.found.io/app/kibana#/discover/Steve-Slow-Train-Analysis-(2080s-and-2083s)?_g=(refreshInterval:(display:Off,pause:!f,section:0,value:0),time:(from:'2017-10-03T08:18:57-0600',mode:absolute,to:'2017-10-03T11:06:37-0600'))&amp;_a=(columns:!('Message%20ID',Summary),filters:!(),index:'emp_*',interval:auto,query:(query_string:(analyze_wildcard:!t,query:'%22rtdc.l.rtdc.4061%22')),sort:!(Time.ISO8601,asc))</v>
      </c>
      <c r="AP56" s="210"/>
      <c r="AQ56" s="210"/>
      <c r="AR56" s="210"/>
      <c r="AS56" s="210"/>
      <c r="AT56" s="210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0"/>
      <c r="BW56" s="210"/>
      <c r="BX56" s="210"/>
      <c r="BY56" s="210"/>
      <c r="BZ56" s="210"/>
      <c r="CA56" s="210"/>
      <c r="CB56" s="210"/>
      <c r="CC56" s="210"/>
      <c r="CD56" s="210"/>
      <c r="CE56" s="210"/>
      <c r="CF56" s="210"/>
      <c r="CG56" s="210"/>
      <c r="CH56" s="210"/>
      <c r="CI56" s="210"/>
      <c r="CJ56" s="210"/>
      <c r="CK56" s="210"/>
      <c r="CL56" s="210"/>
      <c r="CM56" s="210"/>
    </row>
    <row r="57" spans="1:91" s="1" customFormat="1" x14ac:dyDescent="0.25">
      <c r="A57" s="32" t="s">
        <v>685</v>
      </c>
      <c r="B57" s="7">
        <v>4020</v>
      </c>
      <c r="C57" s="21" t="s">
        <v>194</v>
      </c>
      <c r="D57" s="21" t="s">
        <v>505</v>
      </c>
      <c r="E57" s="13">
        <v>43011.361388888887</v>
      </c>
      <c r="F57" s="13">
        <v>43011.364733796298</v>
      </c>
      <c r="G57" s="7">
        <v>68</v>
      </c>
      <c r="H57" s="21" t="s">
        <v>553</v>
      </c>
      <c r="I57" s="13">
        <v>43011.390509259261</v>
      </c>
      <c r="J57" s="7">
        <v>0</v>
      </c>
      <c r="K57" s="85" t="str">
        <f t="shared" si="28"/>
        <v>4019/4020</v>
      </c>
      <c r="L57" s="179" t="str">
        <f>VLOOKUP(A57,'Trips&amp;Operators'!$C$1:$G$99911,5,FALSE)</f>
        <v>YANAI IAN</v>
      </c>
      <c r="M57" s="6">
        <f t="shared" si="29"/>
        <v>2.5775462963792961E-2</v>
      </c>
      <c r="N57" s="7">
        <f t="shared" si="40"/>
        <v>37.116666667861864</v>
      </c>
      <c r="O57" s="7"/>
      <c r="P57" s="7"/>
      <c r="Q57" s="22"/>
      <c r="R57" s="169"/>
      <c r="S57" s="202">
        <f t="shared" si="39"/>
        <v>1</v>
      </c>
      <c r="T57" s="169" t="str">
        <f t="shared" si="30"/>
        <v>NorthBound</v>
      </c>
      <c r="U57" s="22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2" t="str">
        <f t="shared" si="5"/>
        <v>https://d0f6bd738d7f1b3e5a7ca70fe4ff75f0.us-east-1.aws.found.io/app/kibana#/discover/Steve-Slow-Train-Analysis-(2080s-and-2083s)?_g=(refreshInterval:(display:Off,pause:!f,section:0,value:0),time:(from:'2017-10-03T07:40:24-0600',mode:absolute,to:'2017-10-03T10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23" t="str">
        <f>IF(AA57&lt;VLOOKUP(AG57,Variables!$AC$3:$AD$8,2,FALSE),"Y","N")</f>
        <v>N</v>
      </c>
      <c r="X57" s="223">
        <f t="shared" si="31"/>
        <v>1</v>
      </c>
      <c r="Y57" s="223">
        <f t="shared" si="32"/>
        <v>4.7500000000000001E-2</v>
      </c>
      <c r="Z57" s="223">
        <f t="shared" si="33"/>
        <v>23.3276</v>
      </c>
      <c r="AA57" s="223">
        <f t="shared" si="34"/>
        <v>23.280100000000001</v>
      </c>
      <c r="AB57" s="224" t="e">
        <f>VLOOKUP(A57,Enforcements!$C$7:$K$11,8,0)</f>
        <v>#N/A</v>
      </c>
      <c r="AC57" s="224" t="e">
        <f>VLOOKUP(A57,Enforcements!$C$7:$E$11,3,0)</f>
        <v>#N/A</v>
      </c>
      <c r="AD57" s="225">
        <f t="shared" si="35"/>
        <v>141</v>
      </c>
      <c r="AE57" s="226" t="str">
        <f t="shared" si="11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57" s="227" t="str">
        <f t="shared" si="12"/>
        <v>"C:\Program Files (x86)\AstroGrep\AstroGrep.exe" /e /r /s /spath="%USERPROFILE%\AppData\Local\Temp\OnboardLogs" /stypes="app*4020*20171003*" /stext=" 15:.+((SYSTEM_STATE.+slice.+state.+changed )|(ment ac)|(multiple cpu faults)|(system.+state.+changed )|(\[timeout)|(PRM\|1\|D)|(kpr)|(kdp)|(train st.+moving)|(\|lc)|(penalty))"</v>
      </c>
      <c r="AG57" s="228" t="str">
        <f t="shared" si="36"/>
        <v>EC</v>
      </c>
      <c r="AH57" s="229" t="str">
        <f t="shared" si="19"/>
        <v>"%USERPROFILE%\Documents\GitHub\eaglep3\Utilities\RefineRTDCRunTimes.py" --tripid 141-03 --locoid 4020 --swversion DE.1.0.9.0 --startMP 204:475 --initTime 2017-10-03T08:40:24 --startdatetime 2017-10-03T08:45:13 --delay 68 --endMP 204:233276 --enddatetime 2017-10-03T09:22:20 --enforcementcount 0 &gt;&gt;%USERPROFILE%\Documents\GitHub\eaglep3-reporting\EC\2017-10-03-refined-times.txt</v>
      </c>
      <c r="AI5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{"issue":{"subject":"","project_id":79,"tracker_id":40,"status_id":1,"priority_id":2,"assigned_to_id":338,"start_date":"2017-10-03","description":"","custom_fields":[{"id":1,"name":"Subdivision","value":"EC"},{"id":4,"name":"Milepost","value":"23.3276"},{"id":17,"name":"Train ID","value":"141-03"},{"id":16,"name":"Locomotive ID","value":"4020"},{"id":130,"name":"Impact","value":""},{"id":150,"name":"Time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10"/>
      <c r="AK57" s="225"/>
      <c r="AL57" s="225"/>
      <c r="AM57" s="231" t="str">
        <f t="shared" si="21"/>
        <v>start /low /b %USERPROFILE%\Documents\GitHub\eaglep3\Utilities\DownloadLogsFromS3.py --loco 4020 --day 2017-10-03</v>
      </c>
      <c r="AN5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10" t="str">
        <f t="shared" si="23"/>
        <v>https://d0f6bd738d7f1b3e5a7ca70fe4ff75f0.us-east-1.aws.found.io/app/kibana#/discover/Steve-Slow-Train-Analysis-(2080s-and-2083s)?_g=(refreshInterval:(display:Off,pause:!f,section:0,value:0),time:(from:'2017-10-03T07:40:24-0600',mode:absolute,to:'2017-10-03T10:22:20-0600'))&amp;_a=(columns:!('Message%20ID',Summary),filters:!(),index:'emp_*',interval:auto,query:(query_string:(analyze_wildcard:!t,query:'%22rtdc.l.rtdc.4020%22')),sort:!(Time.ISO8601,asc))</v>
      </c>
      <c r="AP57" s="210"/>
      <c r="AQ57" s="210"/>
      <c r="AR57" s="210"/>
      <c r="AS57" s="210"/>
      <c r="AT57" s="210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0"/>
      <c r="BW57" s="210"/>
      <c r="BX57" s="210"/>
      <c r="BY57" s="210"/>
      <c r="BZ57" s="210"/>
      <c r="CA57" s="210"/>
      <c r="CB57" s="210"/>
      <c r="CC57" s="210"/>
      <c r="CD57" s="210"/>
      <c r="CE57" s="210"/>
      <c r="CF57" s="210"/>
      <c r="CG57" s="210"/>
      <c r="CH57" s="210"/>
      <c r="CI57" s="210"/>
      <c r="CJ57" s="210"/>
      <c r="CK57" s="210"/>
      <c r="CL57" s="210"/>
      <c r="CM57" s="210"/>
    </row>
    <row r="58" spans="1:91" s="1" customFormat="1" x14ac:dyDescent="0.25">
      <c r="A58" s="32" t="s">
        <v>690</v>
      </c>
      <c r="B58" s="7">
        <v>4019</v>
      </c>
      <c r="C58" s="21" t="s">
        <v>194</v>
      </c>
      <c r="D58" s="21" t="s">
        <v>847</v>
      </c>
      <c r="E58" s="13">
        <v>43011.392384259256</v>
      </c>
      <c r="F58" s="13">
        <v>43011.404328703706</v>
      </c>
      <c r="G58" s="7">
        <v>46</v>
      </c>
      <c r="H58" s="21" t="s">
        <v>871</v>
      </c>
      <c r="I58" s="13">
        <v>43011.430543981478</v>
      </c>
      <c r="J58" s="7">
        <v>0</v>
      </c>
      <c r="K58" s="85" t="str">
        <f t="shared" si="28"/>
        <v>4019/4020</v>
      </c>
      <c r="L58" s="179" t="str">
        <f>VLOOKUP(A58,'Trips&amp;Operators'!$C$1:$G$99911,5,FALSE)</f>
        <v>YANAI IAN</v>
      </c>
      <c r="M58" s="6">
        <f t="shared" si="29"/>
        <v>2.6215277772280388E-2</v>
      </c>
      <c r="N58" s="7">
        <f t="shared" si="40"/>
        <v>37.749999992083758</v>
      </c>
      <c r="O58" s="7"/>
      <c r="P58" s="7"/>
      <c r="Q58" s="22"/>
      <c r="R58" s="169"/>
      <c r="S58" s="202">
        <f t="shared" si="39"/>
        <v>1</v>
      </c>
      <c r="T58" s="169" t="str">
        <f t="shared" si="30"/>
        <v>Southbound</v>
      </c>
      <c r="U58" s="22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2" t="str">
        <f t="shared" si="5"/>
        <v>https://d0f6bd738d7f1b3e5a7ca70fe4ff75f0.us-east-1.aws.found.io/app/kibana#/discover/Steve-Slow-Train-Analysis-(2080s-and-2083s)?_g=(refreshInterval:(display:Off,pause:!f,section:0,value:0),time:(from:'2017-10-03T08:25:02-0600',mode:absolute,to:'2017-10-03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23" t="str">
        <f>IF(AA58&lt;VLOOKUP(AG58,Variables!$AC$3:$AD$8,2,FALSE),"Y","N")</f>
        <v>N</v>
      </c>
      <c r="X58" s="223">
        <f t="shared" si="31"/>
        <v>1</v>
      </c>
      <c r="Y58" s="223">
        <f t="shared" si="32"/>
        <v>23.2959</v>
      </c>
      <c r="Z58" s="223">
        <f t="shared" si="33"/>
        <v>8.9800000000000005E-2</v>
      </c>
      <c r="AA58" s="223">
        <f t="shared" si="34"/>
        <v>23.206099999999999</v>
      </c>
      <c r="AB58" s="224" t="e">
        <f>VLOOKUP(A58,Enforcements!$C$7:$K$11,8,0)</f>
        <v>#N/A</v>
      </c>
      <c r="AC58" s="224" t="e">
        <f>VLOOKUP(A58,Enforcements!$C$7:$E$11,3,0)</f>
        <v>#N/A</v>
      </c>
      <c r="AD58" s="225">
        <f t="shared" si="35"/>
        <v>142</v>
      </c>
      <c r="AE58" s="226" t="str">
        <f t="shared" si="11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58" s="227" t="str">
        <f t="shared" si="12"/>
        <v>"C:\Program Files (x86)\AstroGrep\AstroGrep.exe" /e /r /s /spath="%USERPROFILE%\AppData\Local\Temp\OnboardLogs" /stypes="app*4019*20171003*" /stext=" 16:.+((SYSTEM_STATE.+slice.+state.+changed )|(ment ac)|(multiple cpu faults)|(system.+state.+changed )|(\[timeout)|(PRM\|1\|D)|(kpr)|(kdp)|(train st.+moving)|(\|lc)|(penalty))"</v>
      </c>
      <c r="AG58" s="228" t="str">
        <f t="shared" si="36"/>
        <v>EC</v>
      </c>
      <c r="AH58" s="229" t="str">
        <f t="shared" si="19"/>
        <v>"%USERPROFILE%\Documents\GitHub\eaglep3\Utilities\RefineRTDCRunTimes.py" --tripid 142-03 --locoid 4019 --swversion DE.1.0.9.0 --startMP 204:232959 --initTime 2017-10-03T09:25:02 --startdatetime 2017-10-03T09:42:14 --delay 46 --endMP 204:898 --enddatetime 2017-10-03T10:19:59 --enforcementcount 0 &gt;&gt;%USERPROFILE%\Documents\GitHub\eaglep3-reporting\EC\2017-10-03-refined-times.txt</v>
      </c>
      <c r="AI5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{"issue":{"subject":"","project_id":79,"tracker_id":40,"status_id":1,"priority_id":2,"assigned_to_id":338,"start_date":"2017-10-03","description":"","custom_fields":[{"id":1,"name":"Subdivision","value":"EC"},{"id":4,"name":"Milepost","value":"0.0898"},{"id":17,"name":"Train ID","value":"142-03"},{"id":16,"name":"Locomotive ID","value":"4019"},{"id":130,"name":"Impact","value":""},{"id":150,"name":"Time of Event (Mountain Time)","value":"10:19:59"},{"id":151,"name":"Denver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10"/>
      <c r="AK58" s="225"/>
      <c r="AL58" s="225"/>
      <c r="AM58" s="231" t="str">
        <f t="shared" si="21"/>
        <v>start /low /b %USERPROFILE%\Documents\GitHub\eaglep3\Utilities\DownloadLogsFromS3.py --loco 4019 --day 2017-10-03</v>
      </c>
      <c r="AN5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10" t="str">
        <f t="shared" si="23"/>
        <v>https://d0f6bd738d7f1b3e5a7ca70fe4ff75f0.us-east-1.aws.found.io/app/kibana#/discover/Steve-Slow-Train-Analysis-(2080s-and-2083s)?_g=(refreshInterval:(display:Off,pause:!f,section:0,value:0),time:(from:'2017-10-03T08:25:02-0600',mode:absolute,to:'2017-10-03T11:19:59-0600'))&amp;_a=(columns:!('Message%20ID',Summary),filters:!(),index:'emp_*',interval:auto,query:(query_string:(analyze_wildcard:!t,query:'%22rtdc.l.rtdc.4019%22')),sort:!(Time.ISO8601,asc))</v>
      </c>
      <c r="AP58" s="210"/>
      <c r="AQ58" s="210"/>
      <c r="AR58" s="210"/>
      <c r="AS58" s="210"/>
      <c r="AT58" s="210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0"/>
      <c r="BW58" s="210"/>
      <c r="BX58" s="210"/>
      <c r="BY58" s="210"/>
      <c r="BZ58" s="210"/>
      <c r="CA58" s="210"/>
      <c r="CB58" s="210"/>
      <c r="CC58" s="210"/>
      <c r="CD58" s="210"/>
      <c r="CE58" s="210"/>
      <c r="CF58" s="210"/>
      <c r="CG58" s="210"/>
      <c r="CH58" s="210"/>
      <c r="CI58" s="210"/>
      <c r="CJ58" s="210"/>
      <c r="CK58" s="210"/>
      <c r="CL58" s="210"/>
      <c r="CM58" s="210"/>
    </row>
    <row r="59" spans="1:91" s="1" customFormat="1" x14ac:dyDescent="0.25">
      <c r="A59" s="32" t="s">
        <v>687</v>
      </c>
      <c r="B59" s="7">
        <v>4042</v>
      </c>
      <c r="C59" s="21" t="s">
        <v>194</v>
      </c>
      <c r="D59" s="21" t="s">
        <v>346</v>
      </c>
      <c r="E59" s="13">
        <v>43011.373530092591</v>
      </c>
      <c r="F59" s="13">
        <v>43011.375277777777</v>
      </c>
      <c r="G59" s="7">
        <v>47</v>
      </c>
      <c r="H59" s="21" t="s">
        <v>458</v>
      </c>
      <c r="I59" s="13">
        <v>43011.40115740741</v>
      </c>
      <c r="J59" s="7">
        <v>0</v>
      </c>
      <c r="K59" s="85" t="str">
        <f t="shared" si="28"/>
        <v>4041/4042</v>
      </c>
      <c r="L59" s="179" t="str">
        <f>VLOOKUP(A59,'Trips&amp;Operators'!$C$1:$G$99911,5,FALSE)</f>
        <v>BONDS REYNALDO</v>
      </c>
      <c r="M59" s="6">
        <f t="shared" si="29"/>
        <v>2.587962963298196E-2</v>
      </c>
      <c r="N59" s="7">
        <f t="shared" si="40"/>
        <v>37.266666671494022</v>
      </c>
      <c r="O59" s="7"/>
      <c r="P59" s="7"/>
      <c r="Q59" s="22"/>
      <c r="R59" s="169"/>
      <c r="S59" s="202">
        <f t="shared" si="39"/>
        <v>1</v>
      </c>
      <c r="T59" s="169" t="str">
        <f t="shared" si="30"/>
        <v>NorthBound</v>
      </c>
      <c r="U59" s="22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2" t="str">
        <f t="shared" si="5"/>
        <v>https://d0f6bd738d7f1b3e5a7ca70fe4ff75f0.us-east-1.aws.found.io/app/kibana#/discover/Steve-Slow-Train-Analysis-(2080s-and-2083s)?_g=(refreshInterval:(display:Off,pause:!f,section:0,value:0),time:(from:'2017-10-03T07:57:53-0600',mode:absolute,to:'2017-10-03T10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9" s="223" t="str">
        <f>IF(AA59&lt;VLOOKUP(AG59,Variables!$AC$3:$AD$8,2,FALSE),"Y","N")</f>
        <v>N</v>
      </c>
      <c r="X59" s="223">
        <f t="shared" si="31"/>
        <v>1</v>
      </c>
      <c r="Y59" s="223">
        <f t="shared" si="32"/>
        <v>4.5499999999999999E-2</v>
      </c>
      <c r="Z59" s="223">
        <f t="shared" si="33"/>
        <v>23.33</v>
      </c>
      <c r="AA59" s="223">
        <f t="shared" si="34"/>
        <v>23.284499999999998</v>
      </c>
      <c r="AB59" s="224" t="e">
        <f>VLOOKUP(A59,Enforcements!$C$7:$K$11,8,0)</f>
        <v>#N/A</v>
      </c>
      <c r="AC59" s="224" t="e">
        <f>VLOOKUP(A59,Enforcements!$C$7:$E$11,3,0)</f>
        <v>#N/A</v>
      </c>
      <c r="AD59" s="225">
        <f t="shared" si="35"/>
        <v>143</v>
      </c>
      <c r="AE59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59" s="227" t="str">
        <f t="shared" si="12"/>
        <v>"C:\Program Files (x86)\AstroGrep\AstroGrep.exe" /e /r /s /spath="%USERPROFILE%\AppData\Local\Temp\OnboardLogs" /stypes="app*4042*20171003*" /stext=" 15:.+((SYSTEM_STATE.+slice.+state.+changed )|(ment ac)|(multiple cpu faults)|(system.+state.+changed )|(\[timeout)|(PRM\|1\|D)|(kpr)|(kdp)|(train st.+moving)|(\|lc)|(penalty))"</v>
      </c>
      <c r="AG59" s="228" t="str">
        <f t="shared" si="36"/>
        <v>EC</v>
      </c>
      <c r="AH59" s="229" t="str">
        <f t="shared" si="19"/>
        <v>"%USERPROFILE%\Documents\GitHub\eaglep3\Utilities\RefineRTDCRunTimes.py" --tripid 143-03 --locoid 4042 --swversion DE.1.0.9.0 --startMP 204:455 --initTime 2017-10-03T08:57:53 --startdatetime 2017-10-03T09:00:24 --delay 47 --endMP 204:233300 --enddatetime 2017-10-03T09:37:40 --enforcementcount 0 &gt;&gt;%USERPROFILE%\Documents\GitHub\eaglep3-reporting\EC\2017-10-03-refined-times.txt</v>
      </c>
      <c r="AI5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{"issue":{"subject":"","project_id":79,"tracker_id":40,"status_id":1,"priority_id":2,"assigned_to_id":338,"start_date":"2017-10-03","description":"","custom_fields":[{"id":1,"name":"Subdivision","value":"EC"},{"id":4,"name":"Milepost","value":"23.33"},{"id":17,"name":"Train ID","value":"143-03"},{"id":16,"name":"Locomotive ID","value":"4042"},{"id":130,"name":"Impact","value":""},{"id":150,"name":"Time of Event (Mountain Time)","value":"09:37:40"},{"id":151,"name":"Denver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10"/>
      <c r="AK59" s="225"/>
      <c r="AL59" s="225"/>
      <c r="AM59" s="231" t="str">
        <f t="shared" si="21"/>
        <v>start /low /b %USERPROFILE%\Documents\GitHub\eaglep3\Utilities\DownloadLogsFromS3.py --loco 4042 --day 2017-10-03</v>
      </c>
      <c r="AN5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10" t="str">
        <f t="shared" si="23"/>
        <v>https://d0f6bd738d7f1b3e5a7ca70fe4ff75f0.us-east-1.aws.found.io/app/kibana#/discover/Steve-Slow-Train-Analysis-(2080s-and-2083s)?_g=(refreshInterval:(display:Off,pause:!f,section:0,value:0),time:(from:'2017-10-03T07:57:53-0600',mode:absolute,to:'2017-10-03T10:37:40-0600'))&amp;_a=(columns:!('Message%20ID',Summary),filters:!(),index:'emp_*',interval:auto,query:(query_string:(analyze_wildcard:!t,query:'%22rtdc.l.rtdc.4042%22')),sort:!(Time.ISO8601,asc))</v>
      </c>
      <c r="AP59" s="210"/>
      <c r="AQ59" s="210"/>
      <c r="AR59" s="210"/>
      <c r="AS59" s="210"/>
      <c r="AT59" s="210"/>
      <c r="AU59" s="210"/>
      <c r="AV59" s="210"/>
      <c r="AW59" s="210"/>
      <c r="AX59" s="210"/>
      <c r="AY59" s="210"/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210"/>
      <c r="BT59" s="210"/>
      <c r="BU59" s="210"/>
      <c r="BV59" s="210"/>
      <c r="BW59" s="210"/>
      <c r="BX59" s="210"/>
      <c r="BY59" s="210"/>
      <c r="BZ59" s="210"/>
      <c r="CA59" s="210"/>
      <c r="CB59" s="210"/>
      <c r="CC59" s="210"/>
      <c r="CD59" s="210"/>
      <c r="CE59" s="210"/>
      <c r="CF59" s="210"/>
      <c r="CG59" s="210"/>
      <c r="CH59" s="210"/>
      <c r="CI59" s="210"/>
      <c r="CJ59" s="210"/>
      <c r="CK59" s="210"/>
      <c r="CL59" s="210"/>
      <c r="CM59" s="210"/>
    </row>
    <row r="60" spans="1:91" s="1" customFormat="1" x14ac:dyDescent="0.25">
      <c r="A60" s="32" t="s">
        <v>610</v>
      </c>
      <c r="B60" s="7">
        <v>4041</v>
      </c>
      <c r="C60" s="21" t="s">
        <v>194</v>
      </c>
      <c r="D60" s="21" t="s">
        <v>477</v>
      </c>
      <c r="E60" s="13">
        <v>43011.410891203705</v>
      </c>
      <c r="F60" s="13">
        <v>43011.414768518516</v>
      </c>
      <c r="G60" s="7">
        <v>53</v>
      </c>
      <c r="H60" s="21" t="s">
        <v>360</v>
      </c>
      <c r="I60" s="13">
        <v>43011.440405092595</v>
      </c>
      <c r="J60" s="7">
        <v>0</v>
      </c>
      <c r="K60" s="85" t="str">
        <f t="shared" si="28"/>
        <v>4041/4042</v>
      </c>
      <c r="L60" s="179" t="str">
        <f>VLOOKUP(A60,'Trips&amp;Operators'!$C$1:$G$99911,5,FALSE)</f>
        <v>BONDS REYNALDO</v>
      </c>
      <c r="M60" s="6">
        <f t="shared" si="29"/>
        <v>2.5636574078816921E-2</v>
      </c>
      <c r="N60" s="7">
        <f t="shared" si="40"/>
        <v>36.916666673496366</v>
      </c>
      <c r="O60" s="7"/>
      <c r="P60" s="7"/>
      <c r="Q60" s="22"/>
      <c r="R60" s="169"/>
      <c r="S60" s="202">
        <f t="shared" si="39"/>
        <v>1</v>
      </c>
      <c r="T60" s="169" t="str">
        <f t="shared" si="30"/>
        <v>Southbound</v>
      </c>
      <c r="U60" s="22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2" t="str">
        <f t="shared" si="5"/>
        <v>https://d0f6bd738d7f1b3e5a7ca70fe4ff75f0.us-east-1.aws.found.io/app/kibana#/discover/Steve-Slow-Train-Analysis-(2080s-and-2083s)?_g=(refreshInterval:(display:Off,pause:!f,section:0,value:0),time:(from:'2017-10-03T08:51:41-0600',mode:absolute,to:'2017-10-03T11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0" s="223" t="str">
        <f>IF(AA60&lt;VLOOKUP(AG60,Variables!$AC$3:$AD$8,2,FALSE),"Y","N")</f>
        <v>N</v>
      </c>
      <c r="X60" s="223">
        <f t="shared" si="31"/>
        <v>1</v>
      </c>
      <c r="Y60" s="223">
        <f t="shared" si="32"/>
        <v>23.3002</v>
      </c>
      <c r="Z60" s="223">
        <f t="shared" si="33"/>
        <v>1.4500000000000001E-2</v>
      </c>
      <c r="AA60" s="223">
        <f t="shared" si="34"/>
        <v>23.285699999999999</v>
      </c>
      <c r="AB60" s="224" t="e">
        <f>VLOOKUP(A60,Enforcements!$C$7:$K$11,8,0)</f>
        <v>#N/A</v>
      </c>
      <c r="AC60" s="224" t="e">
        <f>VLOOKUP(A60,Enforcements!$C$7:$E$11,3,0)</f>
        <v>#N/A</v>
      </c>
      <c r="AD60" s="225">
        <f t="shared" si="35"/>
        <v>144</v>
      </c>
      <c r="AE60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60" s="227" t="str">
        <f t="shared" si="12"/>
        <v>"C:\Program Files (x86)\AstroGrep\AstroGrep.exe" /e /r /s /spath="%USERPROFILE%\AppData\Local\Temp\OnboardLogs" /stypes="app*4041*20171003*" /stext=" 16:.+((SYSTEM_STATE.+slice.+state.+changed )|(ment ac)|(multiple cpu faults)|(system.+state.+changed )|(\[timeout)|(PRM\|1\|D)|(kpr)|(kdp)|(train st.+moving)|(\|lc)|(penalty))"</v>
      </c>
      <c r="AG60" s="228" t="str">
        <f t="shared" si="36"/>
        <v>EC</v>
      </c>
      <c r="AH60" s="229" t="str">
        <f t="shared" si="19"/>
        <v>"%USERPROFILE%\Documents\GitHub\eaglep3\Utilities\RefineRTDCRunTimes.py" --tripid 144-03 --locoid 4041 --swversion DE.1.0.9.0 --startMP 204:233002 --initTime 2017-10-03T09:51:41 --startdatetime 2017-10-03T09:57:16 --delay 53 --endMP 204:145 --enddatetime 2017-10-03T10:34:11 --enforcementcount 0 &gt;&gt;%USERPROFILE%\Documents\GitHub\eaglep3-reporting\EC\2017-10-03-refined-times.txt</v>
      </c>
      <c r="AI6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{"issue":{"subject":"","project_id":79,"tracker_id":40,"status_id":1,"priority_id":2,"assigned_to_id":338,"start_date":"2017-10-03","description":"","custom_fields":[{"id":1,"name":"Subdivision","value":"EC"},{"id":4,"name":"Milepost","value":"0.0145"},{"id":17,"name":"Train ID","value":"144-03"},{"id":16,"name":"Locomotive ID","value":"4041"},{"id":130,"name":"Impact","value":""},{"id":150,"name":"Time of Event (Mountain Time)","value":"10:34:11"},{"id":151,"name":"Denver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10"/>
      <c r="AK60" s="225"/>
      <c r="AL60" s="225"/>
      <c r="AM60" s="231" t="str">
        <f t="shared" si="21"/>
        <v>start /low /b %USERPROFILE%\Documents\GitHub\eaglep3\Utilities\DownloadLogsFromS3.py --loco 4041 --day 2017-10-03</v>
      </c>
      <c r="AN6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10" t="str">
        <f t="shared" si="23"/>
        <v>https://d0f6bd738d7f1b3e5a7ca70fe4ff75f0.us-east-1.aws.found.io/app/kibana#/discover/Steve-Slow-Train-Analysis-(2080s-and-2083s)?_g=(refreshInterval:(display:Off,pause:!f,section:0,value:0),time:(from:'2017-10-03T08:51:41-0600',mode:absolute,to:'2017-10-03T11:34:11-0600'))&amp;_a=(columns:!('Message%20ID',Summary),filters:!(),index:'emp_*',interval:auto,query:(query_string:(analyze_wildcard:!t,query:'%22rtdc.l.rtdc.4041%22')),sort:!(Time.ISO8601,asc))</v>
      </c>
      <c r="AP60" s="210"/>
      <c r="AQ60" s="210"/>
      <c r="AR60" s="210"/>
      <c r="AS60" s="210"/>
      <c r="AT60" s="210"/>
      <c r="AU60" s="210"/>
      <c r="AV60" s="210"/>
      <c r="AW60" s="210"/>
      <c r="AX60" s="210"/>
      <c r="AY60" s="210"/>
      <c r="AZ60" s="210"/>
      <c r="BA60" s="210"/>
      <c r="BB60" s="210"/>
      <c r="BC60" s="210"/>
      <c r="BD60" s="210"/>
      <c r="BE60" s="210"/>
      <c r="BF60" s="210"/>
      <c r="BG60" s="210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210"/>
      <c r="BT60" s="210"/>
      <c r="BU60" s="210"/>
      <c r="BV60" s="210"/>
      <c r="BW60" s="210"/>
      <c r="BX60" s="210"/>
      <c r="BY60" s="210"/>
      <c r="BZ60" s="210"/>
      <c r="CA60" s="210"/>
      <c r="CB60" s="210"/>
      <c r="CC60" s="210"/>
      <c r="CD60" s="210"/>
      <c r="CE60" s="210"/>
      <c r="CF60" s="210"/>
      <c r="CG60" s="210"/>
      <c r="CH60" s="210"/>
      <c r="CI60" s="210"/>
      <c r="CJ60" s="210"/>
      <c r="CK60" s="210"/>
      <c r="CL60" s="210"/>
      <c r="CM60" s="210"/>
    </row>
    <row r="61" spans="1:91" s="1" customFormat="1" x14ac:dyDescent="0.25">
      <c r="A61" s="32" t="s">
        <v>609</v>
      </c>
      <c r="B61" s="7">
        <v>4012</v>
      </c>
      <c r="C61" s="21" t="s">
        <v>194</v>
      </c>
      <c r="D61" s="21" t="s">
        <v>478</v>
      </c>
      <c r="E61" s="13">
        <v>43011.384837962964</v>
      </c>
      <c r="F61" s="13">
        <v>43011.38622685185</v>
      </c>
      <c r="G61" s="7">
        <v>52</v>
      </c>
      <c r="H61" s="21" t="s">
        <v>445</v>
      </c>
      <c r="I61" s="13">
        <v>43011.410914351851</v>
      </c>
      <c r="J61" s="7">
        <v>0</v>
      </c>
      <c r="K61" s="85" t="str">
        <f t="shared" si="28"/>
        <v>4011/4012</v>
      </c>
      <c r="L61" s="179" t="str">
        <f>VLOOKUP(A61,'Trips&amp;Operators'!$C$1:$G$99911,5,FALSE)</f>
        <v>MACDONALD THOMAS</v>
      </c>
      <c r="M61" s="6">
        <f t="shared" si="29"/>
        <v>2.4687500001164153E-2</v>
      </c>
      <c r="N61" s="7">
        <f t="shared" si="40"/>
        <v>35.550000001676381</v>
      </c>
      <c r="O61" s="7"/>
      <c r="P61" s="7"/>
      <c r="Q61" s="22"/>
      <c r="R61" s="169"/>
      <c r="S61" s="202">
        <f t="shared" si="39"/>
        <v>1</v>
      </c>
      <c r="T61" s="169" t="str">
        <f t="shared" si="30"/>
        <v>NorthBound</v>
      </c>
      <c r="U61" s="22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2" t="str">
        <f t="shared" si="5"/>
        <v>https://d0f6bd738d7f1b3e5a7ca70fe4ff75f0.us-east-1.aws.found.io/app/kibana#/discover/Steve-Slow-Train-Analysis-(2080s-and-2083s)?_g=(refreshInterval:(display:Off,pause:!f,section:0,value:0),time:(from:'2017-10-03T08:14:10-0600',mode:absolute,to:'2017-10-03T10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223" t="str">
        <f>IF(AA61&lt;VLOOKUP(AG61,Variables!$AC$3:$AD$8,2,FALSE),"Y","N")</f>
        <v>N</v>
      </c>
      <c r="X61" s="223">
        <f t="shared" si="31"/>
        <v>1</v>
      </c>
      <c r="Y61" s="223">
        <f t="shared" si="32"/>
        <v>4.8000000000000001E-2</v>
      </c>
      <c r="Z61" s="223">
        <f t="shared" si="33"/>
        <v>23.3291</v>
      </c>
      <c r="AA61" s="223">
        <f t="shared" si="34"/>
        <v>23.281100000000002</v>
      </c>
      <c r="AB61" s="224" t="e">
        <f>VLOOKUP(A61,Enforcements!$C$7:$K$11,8,0)</f>
        <v>#N/A</v>
      </c>
      <c r="AC61" s="224" t="e">
        <f>VLOOKUP(A61,Enforcements!$C$7:$E$11,3,0)</f>
        <v>#N/A</v>
      </c>
      <c r="AD61" s="225">
        <f t="shared" si="35"/>
        <v>145</v>
      </c>
      <c r="AE61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61" s="227" t="str">
        <f t="shared" si="12"/>
        <v>"C:\Program Files (x86)\AstroGrep\AstroGrep.exe" /e /r /s /spath="%USERPROFILE%\AppData\Local\Temp\OnboardLogs" /stypes="app*4012*20171003*" /stext=" 15:.+((SYSTEM_STATE.+slice.+state.+changed )|(ment ac)|(multiple cpu faults)|(system.+state.+changed )|(\[timeout)|(PRM\|1\|D)|(kpr)|(kdp)|(train st.+moving)|(\|lc)|(penalty))"</v>
      </c>
      <c r="AG61" s="228" t="str">
        <f t="shared" si="36"/>
        <v>EC</v>
      </c>
      <c r="AH61" s="229" t="str">
        <f t="shared" si="19"/>
        <v>"%USERPROFILE%\Documents\GitHub\eaglep3\Utilities\RefineRTDCRunTimes.py" --tripid 145-03 --locoid 4012 --swversion DE.1.0.9.0 --startMP 204:480 --initTime 2017-10-03T09:14:10 --startdatetime 2017-10-03T09:16:10 --delay 52 --endMP 204:233291 --enddatetime 2017-10-03T09:51:43 --enforcementcount 0 &gt;&gt;%USERPROFILE%\Documents\GitHub\eaglep3-reporting\EC\2017-10-03-refined-times.txt</v>
      </c>
      <c r="AI6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{"issue":{"subject":"","project_id":79,"tracker_id":40,"status_id":1,"priority_id":2,"assigned_to_id":338,"start_date":"2017-10-03","description":"","custom_fields":[{"id":1,"name":"Subdivision","value":"EC"},{"id":4,"name":"Milepost","value":"23.3291"},{"id":17,"name":"Train ID","value":"145-03"},{"id":16,"name":"Locomotive ID","value":"4012"},{"id":130,"name":"Impact","value":""},{"id":150,"name":"Time of Event (Mountain Time)","value":"09:51:43"},{"id":151,"name":"Denver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10"/>
      <c r="AK61" s="225"/>
      <c r="AL61" s="225"/>
      <c r="AM61" s="231" t="str">
        <f t="shared" si="21"/>
        <v>start /low /b %USERPROFILE%\Documents\GitHub\eaglep3\Utilities\DownloadLogsFromS3.py --loco 4012 --day 2017-10-03</v>
      </c>
      <c r="AN6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10" t="str">
        <f t="shared" si="23"/>
        <v>https://d0f6bd738d7f1b3e5a7ca70fe4ff75f0.us-east-1.aws.found.io/app/kibana#/discover/Steve-Slow-Train-Analysis-(2080s-and-2083s)?_g=(refreshInterval:(display:Off,pause:!f,section:0,value:0),time:(from:'2017-10-03T08:14:10-0600',mode:absolute,to:'2017-10-03T10:51:43-0600'))&amp;_a=(columns:!('Message%20ID',Summary),filters:!(),index:'emp_*',interval:auto,query:(query_string:(analyze_wildcard:!t,query:'%22rtdc.l.rtdc.4012%22')),sort:!(Time.ISO8601,asc))</v>
      </c>
      <c r="AP61" s="210"/>
      <c r="AQ61" s="210"/>
      <c r="AR61" s="210"/>
      <c r="AS61" s="210"/>
      <c r="AT61" s="210"/>
      <c r="AU61" s="210"/>
      <c r="AV61" s="210"/>
      <c r="AW61" s="210"/>
      <c r="AX61" s="210"/>
      <c r="AY61" s="210"/>
      <c r="AZ61" s="210"/>
      <c r="BA61" s="210"/>
      <c r="BB61" s="210"/>
      <c r="BC61" s="210"/>
      <c r="BD61" s="210"/>
      <c r="BE61" s="210"/>
      <c r="BF61" s="210"/>
      <c r="BG61" s="210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210"/>
      <c r="BT61" s="210"/>
      <c r="BU61" s="210"/>
      <c r="BV61" s="210"/>
      <c r="BW61" s="210"/>
      <c r="BX61" s="210"/>
      <c r="BY61" s="210"/>
      <c r="BZ61" s="210"/>
      <c r="CA61" s="210"/>
      <c r="CB61" s="210"/>
      <c r="CC61" s="210"/>
      <c r="CD61" s="210"/>
      <c r="CE61" s="210"/>
      <c r="CF61" s="210"/>
      <c r="CG61" s="210"/>
      <c r="CH61" s="210"/>
      <c r="CI61" s="210"/>
      <c r="CJ61" s="210"/>
      <c r="CK61" s="210"/>
      <c r="CL61" s="210"/>
      <c r="CM61" s="210"/>
    </row>
    <row r="62" spans="1:91" s="1" customFormat="1" x14ac:dyDescent="0.25">
      <c r="A62" s="32" t="s">
        <v>696</v>
      </c>
      <c r="B62" s="7">
        <v>4011</v>
      </c>
      <c r="C62" s="21" t="s">
        <v>194</v>
      </c>
      <c r="D62" s="21" t="s">
        <v>397</v>
      </c>
      <c r="E62" s="13">
        <v>43011.422835648147</v>
      </c>
      <c r="F62" s="13">
        <v>43011.425497685188</v>
      </c>
      <c r="G62" s="7">
        <v>67</v>
      </c>
      <c r="H62" s="21" t="s">
        <v>366</v>
      </c>
      <c r="I62" s="13">
        <v>43011.451319444444</v>
      </c>
      <c r="J62" s="7">
        <v>0</v>
      </c>
      <c r="K62" s="85" t="str">
        <f t="shared" si="28"/>
        <v>4011/4012</v>
      </c>
      <c r="L62" s="179" t="str">
        <f>VLOOKUP(A62,'Trips&amp;Operators'!$C$1:$G$99911,5,FALSE)</f>
        <v>MACDONALD THOMAS</v>
      </c>
      <c r="M62" s="6">
        <f t="shared" si="29"/>
        <v>2.5821759256359655E-2</v>
      </c>
      <c r="N62" s="7">
        <f t="shared" si="40"/>
        <v>37.183333329157904</v>
      </c>
      <c r="O62" s="7"/>
      <c r="P62" s="7"/>
      <c r="Q62" s="22"/>
      <c r="R62" s="169"/>
      <c r="S62" s="202">
        <f t="shared" si="39"/>
        <v>1</v>
      </c>
      <c r="T62" s="169" t="str">
        <f t="shared" si="30"/>
        <v>Southbound</v>
      </c>
      <c r="U62" s="22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2" t="str">
        <f t="shared" si="5"/>
        <v>https://d0f6bd738d7f1b3e5a7ca70fe4ff75f0.us-east-1.aws.found.io/app/kibana#/discover/Steve-Slow-Train-Analysis-(2080s-and-2083s)?_g=(refreshInterval:(display:Off,pause:!f,section:0,value:0),time:(from:'2017-10-03T09:08:53-0600',mode:absolute,to:'2017-10-03T11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223" t="str">
        <f>IF(AA62&lt;VLOOKUP(AG62,Variables!$AC$3:$AD$8,2,FALSE),"Y","N")</f>
        <v>N</v>
      </c>
      <c r="X62" s="223">
        <f t="shared" si="31"/>
        <v>1</v>
      </c>
      <c r="Y62" s="223">
        <f t="shared" si="32"/>
        <v>23.298200000000001</v>
      </c>
      <c r="Z62" s="223">
        <f t="shared" si="33"/>
        <v>1.61E-2</v>
      </c>
      <c r="AA62" s="223">
        <f t="shared" si="34"/>
        <v>23.2821</v>
      </c>
      <c r="AB62" s="224" t="e">
        <f>VLOOKUP(A62,Enforcements!$C$7:$K$11,8,0)</f>
        <v>#N/A</v>
      </c>
      <c r="AC62" s="224" t="e">
        <f>VLOOKUP(A62,Enforcements!$C$7:$E$11,3,0)</f>
        <v>#N/A</v>
      </c>
      <c r="AD62" s="225">
        <f t="shared" si="35"/>
        <v>146</v>
      </c>
      <c r="AE62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62" s="227" t="str">
        <f t="shared" si="12"/>
        <v>"C:\Program Files (x86)\AstroGrep\AstroGrep.exe" /e /r /s /spath="%USERPROFILE%\AppData\Local\Temp\OnboardLogs" /stypes="app*4011*20171003*" /stext=" 16:.+((SYSTEM_STATE.+slice.+state.+changed )|(ment ac)|(multiple cpu faults)|(system.+state.+changed )|(\[timeout)|(PRM\|1\|D)|(kpr)|(kdp)|(train st.+moving)|(\|lc)|(penalty))"</v>
      </c>
      <c r="AG62" s="228" t="str">
        <f t="shared" si="36"/>
        <v>EC</v>
      </c>
      <c r="AH62" s="229" t="str">
        <f t="shared" si="19"/>
        <v>"%USERPROFILE%\Documents\GitHub\eaglep3\Utilities\RefineRTDCRunTimes.py" --tripid 146-03 --locoid 4011 --swversion DE.1.0.9.0 --startMP 204:232982 --initTime 2017-10-03T10:08:53 --startdatetime 2017-10-03T10:12:43 --delay 67 --endMP 204:161 --enddatetime 2017-10-03T10:49:54 --enforcementcount 0 &gt;&gt;%USERPROFILE%\Documents\GitHub\eaglep3-reporting\EC\2017-10-03-refined-times.txt</v>
      </c>
      <c r="AI6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ID","value":"146-03"},{"id":16,"name":"Locomotive ID","value":"4011"},{"id":130,"name":"Impact","value":""},{"id":150,"name":"Time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10"/>
      <c r="AK62" s="225"/>
      <c r="AL62" s="225"/>
      <c r="AM62" s="231" t="str">
        <f t="shared" si="21"/>
        <v>start /low /b %USERPROFILE%\Documents\GitHub\eaglep3\Utilities\DownloadLogsFromS3.py --loco 4011 --day 2017-10-03</v>
      </c>
      <c r="AN6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10" t="str">
        <f t="shared" si="23"/>
        <v>https://d0f6bd738d7f1b3e5a7ca70fe4ff75f0.us-east-1.aws.found.io/app/kibana#/discover/Steve-Slow-Train-Analysis-(2080s-and-2083s)?_g=(refreshInterval:(display:Off,pause:!f,section:0,value:0),time:(from:'2017-10-03T09:08:53-0600',mode:absolute,to:'2017-10-03T11:49:54-0600'))&amp;_a=(columns:!('Message%20ID',Summary),filters:!(),index:'emp_*',interval:auto,query:(query_string:(analyze_wildcard:!t,query:'%22rtdc.l.rtdc.4011%22')),sort:!(Time.ISO8601,asc))</v>
      </c>
      <c r="AP62" s="210"/>
      <c r="AQ62" s="210"/>
      <c r="AR62" s="210"/>
      <c r="AS62" s="210"/>
      <c r="AT62" s="210"/>
      <c r="AU62" s="210"/>
      <c r="AV62" s="210"/>
      <c r="AW62" s="210"/>
      <c r="AX62" s="210"/>
      <c r="AY62" s="210"/>
      <c r="AZ62" s="210"/>
      <c r="BA62" s="210"/>
      <c r="BB62" s="210"/>
      <c r="BC62" s="210"/>
      <c r="BD62" s="210"/>
      <c r="BE62" s="210"/>
      <c r="BF62" s="210"/>
      <c r="BG62" s="210"/>
      <c r="BH62" s="210"/>
      <c r="BI62" s="210"/>
      <c r="BJ62" s="210"/>
      <c r="BK62" s="210"/>
      <c r="BL62" s="210"/>
      <c r="BM62" s="210"/>
      <c r="BN62" s="210"/>
      <c r="BO62" s="210"/>
      <c r="BP62" s="210"/>
      <c r="BQ62" s="210"/>
      <c r="BR62" s="210"/>
      <c r="BS62" s="210"/>
      <c r="BT62" s="210"/>
      <c r="BU62" s="210"/>
      <c r="BV62" s="210"/>
      <c r="BW62" s="210"/>
      <c r="BX62" s="210"/>
      <c r="BY62" s="210"/>
      <c r="BZ62" s="210"/>
      <c r="CA62" s="210"/>
      <c r="CB62" s="210"/>
      <c r="CC62" s="210"/>
      <c r="CD62" s="210"/>
      <c r="CE62" s="210"/>
      <c r="CF62" s="210"/>
      <c r="CG62" s="210"/>
      <c r="CH62" s="210"/>
      <c r="CI62" s="210"/>
      <c r="CJ62" s="210"/>
      <c r="CK62" s="210"/>
      <c r="CL62" s="210"/>
      <c r="CM62" s="210"/>
    </row>
    <row r="63" spans="1:91" s="1" customFormat="1" x14ac:dyDescent="0.25">
      <c r="A63" s="32" t="s">
        <v>692</v>
      </c>
      <c r="B63" s="7">
        <v>4032</v>
      </c>
      <c r="C63" s="21" t="s">
        <v>194</v>
      </c>
      <c r="D63" s="21" t="s">
        <v>872</v>
      </c>
      <c r="E63" s="13">
        <v>43011.394814814812</v>
      </c>
      <c r="F63" s="13">
        <v>43011.396435185183</v>
      </c>
      <c r="G63" s="7">
        <v>50</v>
      </c>
      <c r="H63" s="21" t="s">
        <v>565</v>
      </c>
      <c r="I63" s="13">
        <v>43011.421469907407</v>
      </c>
      <c r="J63" s="7">
        <v>0</v>
      </c>
      <c r="K63" s="85" t="str">
        <f t="shared" si="28"/>
        <v>4031/4032</v>
      </c>
      <c r="L63" s="179" t="str">
        <f>VLOOKUP(A63,'Trips&amp;Operators'!$C$1:$G$99911,5,FALSE)</f>
        <v>THOMPSON LESTER</v>
      </c>
      <c r="M63" s="6">
        <f t="shared" si="29"/>
        <v>2.5034722224518191E-2</v>
      </c>
      <c r="N63" s="7">
        <f t="shared" si="40"/>
        <v>36.050000003306195</v>
      </c>
      <c r="O63" s="7"/>
      <c r="P63" s="7"/>
      <c r="Q63" s="22"/>
      <c r="R63" s="169"/>
      <c r="S63" s="202">
        <f t="shared" si="39"/>
        <v>1</v>
      </c>
      <c r="T63" s="169" t="str">
        <f t="shared" si="30"/>
        <v>NorthBound</v>
      </c>
      <c r="U63" s="22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2" t="str">
        <f t="shared" si="5"/>
        <v>https://d0f6bd738d7f1b3e5a7ca70fe4ff75f0.us-east-1.aws.found.io/app/kibana#/discover/Steve-Slow-Train-Analysis-(2080s-and-2083s)?_g=(refreshInterval:(display:Off,pause:!f,section:0,value:0),time:(from:'2017-10-03T08:28:32-0600',mode:absolute,to:'2017-10-03T11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223" t="str">
        <f>IF(AA63&lt;VLOOKUP(AG63,Variables!$AC$3:$AD$8,2,FALSE),"Y","N")</f>
        <v>N</v>
      </c>
      <c r="X63" s="223">
        <f t="shared" si="31"/>
        <v>1</v>
      </c>
      <c r="Y63" s="223">
        <f t="shared" si="32"/>
        <v>4.2700000000000002E-2</v>
      </c>
      <c r="Z63" s="223">
        <f t="shared" si="33"/>
        <v>23.331</v>
      </c>
      <c r="AA63" s="223">
        <f t="shared" si="34"/>
        <v>23.2883</v>
      </c>
      <c r="AB63" s="224" t="e">
        <f>VLOOKUP(A63,Enforcements!$C$7:$K$11,8,0)</f>
        <v>#N/A</v>
      </c>
      <c r="AC63" s="224" t="e">
        <f>VLOOKUP(A63,Enforcements!$C$7:$E$11,3,0)</f>
        <v>#N/A</v>
      </c>
      <c r="AD63" s="225">
        <f t="shared" si="35"/>
        <v>147</v>
      </c>
      <c r="AE63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63" s="227" t="str">
        <f t="shared" si="12"/>
        <v>"C:\Program Files (x86)\AstroGrep\AstroGrep.exe" /e /r /s /spath="%USERPROFILE%\AppData\Local\Temp\OnboardLogs" /stypes="app*4032*20171003*" /stext=" 16:.+((SYSTEM_STATE.+slice.+state.+changed )|(ment ac)|(multiple cpu faults)|(system.+state.+changed )|(\[timeout)|(PRM\|1\|D)|(kpr)|(kdp)|(train st.+moving)|(\|lc)|(penalty))"</v>
      </c>
      <c r="AG63" s="228" t="str">
        <f t="shared" si="36"/>
        <v>EC</v>
      </c>
      <c r="AH63" s="229" t="str">
        <f t="shared" si="19"/>
        <v>"%USERPROFILE%\Documents\GitHub\eaglep3\Utilities\RefineRTDCRunTimes.py" --tripid 147-03 --locoid 4032 --swversion DE.1.0.9.0 --startMP 204:427 --initTime 2017-10-03T09:28:32 --startdatetime 2017-10-03T09:30:52 --delay 50 --endMP 204:233310 --enddatetime 2017-10-03T10:06:55 --enforcementcount 0 &gt;&gt;%USERPROFILE%\Documents\GitHub\eaglep3-reporting\EC\2017-10-03-refined-times.txt</v>
      </c>
      <c r="AI6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{"issue":{"subject":"","project_id":79,"tracker_id":40,"status_id":1,"priority_id":2,"assigned_to_id":338,"start_date":"2017-10-03","description":"","custom_fields":[{"id":1,"name":"Subdivision","value":"EC"},{"id":4,"name":"Milepost","value":"23.331"},{"id":17,"name":"Train ID","value":"147-03"},{"id":16,"name":"Locomotive ID","value":"4032"},{"id":130,"name":"Impact","value":""},{"id":150,"name":"Time of Event (Mountain Time)","value":"10:06:55"},{"id":151,"name":"Denver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10"/>
      <c r="AK63" s="225"/>
      <c r="AL63" s="225"/>
      <c r="AM63" s="231" t="str">
        <f t="shared" si="21"/>
        <v>start /low /b %USERPROFILE%\Documents\GitHub\eaglep3\Utilities\DownloadLogsFromS3.py --loco 4032 --day 2017-10-03</v>
      </c>
      <c r="AN6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10" t="str">
        <f t="shared" si="23"/>
        <v>https://d0f6bd738d7f1b3e5a7ca70fe4ff75f0.us-east-1.aws.found.io/app/kibana#/discover/Steve-Slow-Train-Analysis-(2080s-and-2083s)?_g=(refreshInterval:(display:Off,pause:!f,section:0,value:0),time:(from:'2017-10-03T08:28:32-0600',mode:absolute,to:'2017-10-03T11:06:55-0600'))&amp;_a=(columns:!('Message%20ID',Summary),filters:!(),index:'emp_*',interval:auto,query:(query_string:(analyze_wildcard:!t,query:'%22rtdc.l.rtdc.4032%22')),sort:!(Time.ISO8601,asc))</v>
      </c>
      <c r="AP63" s="210"/>
      <c r="AQ63" s="210"/>
      <c r="AR63" s="210"/>
      <c r="AS63" s="210"/>
      <c r="AT63" s="210"/>
      <c r="AU63" s="210"/>
      <c r="AV63" s="210"/>
      <c r="AW63" s="210"/>
      <c r="AX63" s="210"/>
      <c r="AY63" s="210"/>
      <c r="AZ63" s="210"/>
      <c r="BA63" s="210"/>
      <c r="BB63" s="210"/>
      <c r="BC63" s="210"/>
      <c r="BD63" s="210"/>
      <c r="BE63" s="210"/>
      <c r="BF63" s="210"/>
      <c r="BG63" s="210"/>
      <c r="BH63" s="210"/>
      <c r="BI63" s="210"/>
      <c r="BJ63" s="210"/>
      <c r="BK63" s="210"/>
      <c r="BL63" s="210"/>
      <c r="BM63" s="210"/>
      <c r="BN63" s="210"/>
      <c r="BO63" s="210"/>
      <c r="BP63" s="210"/>
      <c r="BQ63" s="210"/>
      <c r="BR63" s="210"/>
      <c r="BS63" s="210"/>
      <c r="BT63" s="210"/>
      <c r="BU63" s="210"/>
      <c r="BV63" s="210"/>
      <c r="BW63" s="210"/>
      <c r="BX63" s="210"/>
      <c r="BY63" s="210"/>
      <c r="BZ63" s="210"/>
      <c r="CA63" s="210"/>
      <c r="CB63" s="210"/>
      <c r="CC63" s="210"/>
      <c r="CD63" s="210"/>
      <c r="CE63" s="210"/>
      <c r="CF63" s="210"/>
      <c r="CG63" s="210"/>
      <c r="CH63" s="210"/>
      <c r="CI63" s="210"/>
      <c r="CJ63" s="210"/>
      <c r="CK63" s="210"/>
      <c r="CL63" s="210"/>
      <c r="CM63" s="210"/>
    </row>
    <row r="64" spans="1:91" s="1" customFormat="1" x14ac:dyDescent="0.25">
      <c r="A64" s="32" t="s">
        <v>611</v>
      </c>
      <c r="B64" s="7">
        <v>4031</v>
      </c>
      <c r="C64" s="21" t="s">
        <v>194</v>
      </c>
      <c r="D64" s="21" t="s">
        <v>508</v>
      </c>
      <c r="E64" s="13">
        <v>43011.43409722222</v>
      </c>
      <c r="F64" s="13">
        <v>43011.435729166667</v>
      </c>
      <c r="G64" s="7">
        <v>51</v>
      </c>
      <c r="H64" s="21" t="s">
        <v>387</v>
      </c>
      <c r="I64" s="13">
        <v>43011.46361111111</v>
      </c>
      <c r="J64" s="7">
        <v>0</v>
      </c>
      <c r="K64" s="85" t="str">
        <f t="shared" si="28"/>
        <v>4031/4032</v>
      </c>
      <c r="L64" s="179" t="str">
        <f>VLOOKUP(A64,'Trips&amp;Operators'!$C$1:$G$99911,5,FALSE)</f>
        <v>THOMPSON LESTER</v>
      </c>
      <c r="M64" s="6">
        <f t="shared" si="29"/>
        <v>2.7881944442924578E-2</v>
      </c>
      <c r="N64" s="7">
        <f t="shared" si="40"/>
        <v>40.149999997811392</v>
      </c>
      <c r="O64" s="7"/>
      <c r="P64" s="7"/>
      <c r="Q64" s="22"/>
      <c r="R64" s="169"/>
      <c r="S64" s="202">
        <f t="shared" si="39"/>
        <v>1</v>
      </c>
      <c r="T64" s="169" t="str">
        <f t="shared" si="30"/>
        <v>Southbound</v>
      </c>
      <c r="U64" s="22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2" t="str">
        <f t="shared" si="5"/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223" t="str">
        <f>IF(AA64&lt;VLOOKUP(AG64,Variables!$AC$3:$AD$8,2,FALSE),"Y","N")</f>
        <v>N</v>
      </c>
      <c r="X64" s="223">
        <f t="shared" si="31"/>
        <v>1</v>
      </c>
      <c r="Y64" s="223">
        <f t="shared" si="32"/>
        <v>23.2989</v>
      </c>
      <c r="Z64" s="223">
        <f t="shared" si="33"/>
        <v>1.54E-2</v>
      </c>
      <c r="AA64" s="223">
        <f t="shared" si="34"/>
        <v>23.2835</v>
      </c>
      <c r="AB64" s="224" t="str">
        <f>VLOOKUP(A64,Enforcements!$C$7:$K$11,8,0)</f>
        <v>Bulletin (2)</v>
      </c>
      <c r="AC64" s="224" t="str">
        <f>VLOOKUP(A64,Enforcements!$C$7:$E$11,3,0)</f>
        <v>GRADE CROSSING</v>
      </c>
      <c r="AD64" s="225">
        <f t="shared" si="35"/>
        <v>148</v>
      </c>
      <c r="AE64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64" s="227" t="str">
        <f t="shared" si="12"/>
        <v>"C:\Program Files (x86)\AstroGrep\AstroGrep.exe" /e /r /s /spath="%USERPROFILE%\AppData\Local\Temp\OnboardLogs" /stypes="app*4031*20171003*" /stext=" 17:.+((SYSTEM_STATE.+slice.+state.+changed )|(ment ac)|(multiple cpu faults)|(system.+state.+changed )|(\[timeout)|(PRM\|1\|D)|(kpr)|(kdp)|(train st.+moving)|(\|lc)|(penalty))"</v>
      </c>
      <c r="AG64" s="228" t="str">
        <f t="shared" si="36"/>
        <v>EC</v>
      </c>
      <c r="AH64" s="229" t="str">
        <f t="shared" si="19"/>
        <v>"%USERPROFILE%\Documents\GitHub\eaglep3\Utilities\RefineRTDCRunTimes.py" --tripid 148-03 --locoid 4031 --swversion DE.1.0.9.0 --startMP 204:232989 --initTime 2017-10-03T10:25:06 --startdatetime 2017-10-03T10:27:27 --delay 51 --endMP 204:154 --enddatetime 2017-10-03T11:07:36 --enforcementcount 0 &gt;&gt;%USERPROFILE%\Documents\GitHub\eaglep3-reporting\EC\2017-10-03-refined-times.txt</v>
      </c>
      <c r="AI6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{"issue":{"subject":"","project_id":79,"tracker_id":40,"status_id":1,"priority_id":2,"assigned_to_id":338,"start_date":"2017-10-03","description":"","custom_fields":[{"id":1,"name":"Subdivision","value":"EC"},{"id":4,"name":"Milepost","value":"0.0154"},{"id":17,"name":"Train ID","value":"148-03"},{"id":16,"name":"Locomotive ID","value":"4031"},{"id":130,"name":"Impact","value":""},{"id":150,"name":"Time of Event (Mountain Time)","value":"11:07:36"},{"id":151,"name":"Denver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10"/>
      <c r="AK64" s="225"/>
      <c r="AL64" s="225"/>
      <c r="AM64" s="231" t="str">
        <f t="shared" si="21"/>
        <v>start /low /b %USERPROFILE%\Documents\GitHub\eaglep3\Utilities\DownloadLogsFromS3.py --loco 4031 --day 2017-10-03</v>
      </c>
      <c r="AN6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10" t="str">
        <f t="shared" si="23"/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Message%20ID',Summary),filters:!(),index:'emp_*',interval:auto,query:(query_string:(analyze_wildcard:!t,query:'%22rtdc.l.rtdc.4031%22')),sort:!(Time.ISO8601,asc))</v>
      </c>
      <c r="AP64" s="210"/>
      <c r="AQ64" s="210"/>
      <c r="AR64" s="210"/>
      <c r="AS64" s="210"/>
      <c r="AT64" s="210"/>
      <c r="AU64" s="210"/>
      <c r="AV64" s="210"/>
      <c r="AW64" s="210"/>
      <c r="AX64" s="210"/>
      <c r="AY64" s="210"/>
      <c r="AZ64" s="210"/>
      <c r="BA64" s="210"/>
      <c r="BB64" s="210"/>
      <c r="BC64" s="210"/>
      <c r="BD64" s="210"/>
      <c r="BE64" s="210"/>
      <c r="BF64" s="210"/>
      <c r="BG64" s="210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210"/>
      <c r="BT64" s="210"/>
      <c r="BU64" s="210"/>
      <c r="BV64" s="210"/>
      <c r="BW64" s="210"/>
      <c r="BX64" s="210"/>
      <c r="BY64" s="210"/>
      <c r="BZ64" s="210"/>
      <c r="CA64" s="210"/>
      <c r="CB64" s="210"/>
      <c r="CC64" s="210"/>
      <c r="CD64" s="210"/>
      <c r="CE64" s="210"/>
      <c r="CF64" s="210"/>
      <c r="CG64" s="210"/>
      <c r="CH64" s="210"/>
      <c r="CI64" s="210"/>
      <c r="CJ64" s="210"/>
      <c r="CK64" s="210"/>
      <c r="CL64" s="210"/>
      <c r="CM64" s="210"/>
    </row>
    <row r="65" spans="1:91" s="1" customFormat="1" x14ac:dyDescent="0.25">
      <c r="A65" s="32" t="s">
        <v>693</v>
      </c>
      <c r="B65" s="7">
        <v>4056</v>
      </c>
      <c r="C65" s="21" t="s">
        <v>194</v>
      </c>
      <c r="D65" s="21" t="s">
        <v>457</v>
      </c>
      <c r="E65" s="13">
        <v>43011.405370370368</v>
      </c>
      <c r="F65" s="13">
        <v>43011.406724537039</v>
      </c>
      <c r="G65" s="7">
        <v>51</v>
      </c>
      <c r="H65" s="21" t="s">
        <v>873</v>
      </c>
      <c r="I65" s="13">
        <v>43011.43005787037</v>
      </c>
      <c r="J65" s="7">
        <v>0</v>
      </c>
      <c r="K65" s="85" t="str">
        <f t="shared" si="28"/>
        <v>4055/4056</v>
      </c>
      <c r="L65" s="179" t="str">
        <f>VLOOKUP(A65,'Trips&amp;Operators'!$C$1:$G$99911,5,FALSE)</f>
        <v>LALONDE GREGORY</v>
      </c>
      <c r="M65" s="6">
        <f t="shared" si="29"/>
        <v>2.3333333330811001E-2</v>
      </c>
      <c r="N65" s="7">
        <f t="shared" si="40"/>
        <v>33.599999996367842</v>
      </c>
      <c r="O65" s="7"/>
      <c r="P65" s="7"/>
      <c r="Q65" s="22"/>
      <c r="R65" s="169"/>
      <c r="S65" s="202">
        <f t="shared" si="39"/>
        <v>1</v>
      </c>
      <c r="T65" s="169" t="str">
        <f t="shared" si="30"/>
        <v>NorthBound</v>
      </c>
      <c r="U65" s="22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2" t="str">
        <f t="shared" si="5"/>
        <v>https://d0f6bd738d7f1b3e5a7ca70fe4ff75f0.us-east-1.aws.found.io/app/kibana#/discover/Steve-Slow-Train-Analysis-(2080s-and-2083s)?_g=(refreshInterval:(display:Off,pause:!f,section:0,value:0),time:(from:'2017-10-03T08:43:44-0600',mode:absolute,to:'2017-10-03T11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223" t="str">
        <f>IF(AA65&lt;VLOOKUP(AG65,Variables!$AC$3:$AD$8,2,FALSE),"Y","N")</f>
        <v>N</v>
      </c>
      <c r="X65" s="223">
        <f t="shared" si="31"/>
        <v>1</v>
      </c>
      <c r="Y65" s="223">
        <f t="shared" si="32"/>
        <v>4.7300000000000002E-2</v>
      </c>
      <c r="Z65" s="223">
        <f t="shared" si="33"/>
        <v>23.332999999999998</v>
      </c>
      <c r="AA65" s="223">
        <f t="shared" si="34"/>
        <v>23.285699999999999</v>
      </c>
      <c r="AB65" s="224" t="e">
        <f>VLOOKUP(A65,Enforcements!$C$7:$K$11,8,0)</f>
        <v>#N/A</v>
      </c>
      <c r="AC65" s="224" t="e">
        <f>VLOOKUP(A65,Enforcements!$C$7:$E$11,3,0)</f>
        <v>#N/A</v>
      </c>
      <c r="AD65" s="225">
        <f t="shared" si="35"/>
        <v>149</v>
      </c>
      <c r="AE65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65" s="227" t="str">
        <f t="shared" si="12"/>
        <v>"C:\Program Files (x86)\AstroGrep\AstroGrep.exe" /e /r /s /spath="%USERPROFILE%\AppData\Local\Temp\OnboardLogs" /stypes="app*4056*20171003*" /stext=" 16:.+((SYSTEM_STATE.+slice.+state.+changed )|(ment ac)|(multiple cpu faults)|(system.+state.+changed )|(\[timeout)|(PRM\|1\|D)|(kpr)|(kdp)|(train st.+moving)|(\|lc)|(penalty))"</v>
      </c>
      <c r="AG65" s="228" t="str">
        <f t="shared" si="36"/>
        <v>EC</v>
      </c>
      <c r="AH65" s="229" t="str">
        <f t="shared" si="19"/>
        <v>"%USERPROFILE%\Documents\GitHub\eaglep3\Utilities\RefineRTDCRunTimes.py" --tripid 149-03 --locoid 4056 --swversion DE.1.0.9.0 --startMP 204:473 --initTime 2017-10-03T09:43:44 --startdatetime 2017-10-03T09:45:41 --delay 51 --endMP 204:233330 --enddatetime 2017-10-03T10:19:17 --enforcementcount 0 &gt;&gt;%USERPROFILE%\Documents\GitHub\eaglep3-reporting\EC\2017-10-03-refined-times.txt</v>
      </c>
      <c r="AI6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{"issue":{"subject":"","project_id":79,"tracker_id":40,"status_id":1,"priority_id":2,"assigned_to_id":338,"start_date":"2017-10-03","description":"","custom_fields":[{"id":1,"name":"Subdivision","value":"EC"},{"id":4,"name":"Milepost","value":"23.333"},{"id":17,"name":"Train ID","value":"149-03"},{"id":16,"name":"Locomotive ID","value":"4056"},{"id":130,"name":"Impact","value":""},{"id":150,"name":"Time of Event (Mountain Time)","value":"10:19:17"},{"id":151,"name":"Denver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10"/>
      <c r="AK65" s="225"/>
      <c r="AL65" s="225"/>
      <c r="AM65" s="231" t="str">
        <f t="shared" si="21"/>
        <v>start /low /b %USERPROFILE%\Documents\GitHub\eaglep3\Utilities\DownloadLogsFromS3.py --loco 4056 --day 2017-10-03</v>
      </c>
      <c r="AN6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10" t="str">
        <f t="shared" si="23"/>
        <v>https://d0f6bd738d7f1b3e5a7ca70fe4ff75f0.us-east-1.aws.found.io/app/kibana#/discover/Steve-Slow-Train-Analysis-(2080s-and-2083s)?_g=(refreshInterval:(display:Off,pause:!f,section:0,value:0),time:(from:'2017-10-03T08:43:44-0600',mode:absolute,to:'2017-10-03T11:19:17-0600'))&amp;_a=(columns:!('Message%20ID',Summary),filters:!(),index:'emp_*',interval:auto,query:(query_string:(analyze_wildcard:!t,query:'%22rtdc.l.rtdc.4056%22')),sort:!(Time.ISO8601,asc))</v>
      </c>
      <c r="AP65" s="210"/>
      <c r="AQ65" s="210"/>
      <c r="AR65" s="210"/>
      <c r="AS65" s="210"/>
      <c r="AT65" s="210"/>
      <c r="AU65" s="210"/>
      <c r="AV65" s="210"/>
      <c r="AW65" s="210"/>
      <c r="AX65" s="210"/>
      <c r="AY65" s="210"/>
      <c r="AZ65" s="210"/>
      <c r="BA65" s="210"/>
      <c r="BB65" s="210"/>
      <c r="BC65" s="210"/>
      <c r="BD65" s="210"/>
      <c r="BE65" s="210"/>
      <c r="BF65" s="210"/>
      <c r="BG65" s="210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210"/>
      <c r="BT65" s="210"/>
      <c r="BU65" s="210"/>
      <c r="BV65" s="210"/>
      <c r="BW65" s="210"/>
      <c r="BX65" s="210"/>
      <c r="BY65" s="210"/>
      <c r="BZ65" s="210"/>
      <c r="CA65" s="210"/>
      <c r="CB65" s="210"/>
      <c r="CC65" s="210"/>
      <c r="CD65" s="210"/>
      <c r="CE65" s="210"/>
      <c r="CF65" s="210"/>
      <c r="CG65" s="210"/>
      <c r="CH65" s="210"/>
      <c r="CI65" s="210"/>
      <c r="CJ65" s="210"/>
      <c r="CK65" s="210"/>
      <c r="CL65" s="210"/>
      <c r="CM65" s="210"/>
    </row>
    <row r="66" spans="1:91" s="1" customFormat="1" x14ac:dyDescent="0.25">
      <c r="A66" s="32" t="s">
        <v>698</v>
      </c>
      <c r="B66" s="7">
        <v>4055</v>
      </c>
      <c r="C66" s="21" t="s">
        <v>194</v>
      </c>
      <c r="D66" s="21" t="s">
        <v>874</v>
      </c>
      <c r="E66" s="13">
        <v>43011.431828703702</v>
      </c>
      <c r="F66" s="13">
        <v>43011.445983796293</v>
      </c>
      <c r="G66" s="7">
        <v>61</v>
      </c>
      <c r="H66" s="21" t="s">
        <v>335</v>
      </c>
      <c r="I66" s="13">
        <v>43011.47111111111</v>
      </c>
      <c r="J66" s="7">
        <v>0</v>
      </c>
      <c r="K66" s="85" t="str">
        <f t="shared" si="28"/>
        <v>4055/4056</v>
      </c>
      <c r="L66" s="179" t="str">
        <f>VLOOKUP(A66,'Trips&amp;Operators'!$C$1:$G$99911,5,FALSE)</f>
        <v>LALONDE GREGORY</v>
      </c>
      <c r="M66" s="6">
        <f t="shared" si="29"/>
        <v>2.5127314816927537E-2</v>
      </c>
      <c r="N66" s="7">
        <f t="shared" si="40"/>
        <v>36.183333336375654</v>
      </c>
      <c r="O66" s="7"/>
      <c r="P66" s="7"/>
      <c r="Q66" s="22"/>
      <c r="R66" s="169"/>
      <c r="S66" s="202">
        <f t="shared" si="39"/>
        <v>1</v>
      </c>
      <c r="T66" s="169" t="str">
        <f t="shared" si="30"/>
        <v>Southbound</v>
      </c>
      <c r="U66" s="22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2" t="str">
        <f t="shared" si="5"/>
        <v>https://d0f6bd738d7f1b3e5a7ca70fe4ff75f0.us-east-1.aws.found.io/app/kibana#/discover/Steve-Slow-Train-Analysis-(2080s-and-2083s)?_g=(refreshInterval:(display:Off,pause:!f,section:0,value:0),time:(from:'2017-10-03T09:21:50-0600',mode:absolute,to:'2017-10-03T12:18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223" t="str">
        <f>IF(AA66&lt;VLOOKUP(AG66,Variables!$AC$3:$AD$8,2,FALSE),"Y","N")</f>
        <v>N</v>
      </c>
      <c r="X66" s="223">
        <f t="shared" si="31"/>
        <v>1</v>
      </c>
      <c r="Y66" s="223">
        <f t="shared" si="32"/>
        <v>23.300699999999999</v>
      </c>
      <c r="Z66" s="223">
        <f t="shared" si="33"/>
        <v>1.4999999999999999E-2</v>
      </c>
      <c r="AA66" s="223">
        <f t="shared" si="34"/>
        <v>23.285699999999999</v>
      </c>
      <c r="AB66" s="224" t="e">
        <f>VLOOKUP(A66,Enforcements!$C$7:$K$11,8,0)</f>
        <v>#N/A</v>
      </c>
      <c r="AC66" s="224" t="e">
        <f>VLOOKUP(A66,Enforcements!$C$7:$E$11,3,0)</f>
        <v>#N/A</v>
      </c>
      <c r="AD66" s="225">
        <f t="shared" si="35"/>
        <v>150</v>
      </c>
      <c r="AE66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66" s="227" t="str">
        <f t="shared" si="12"/>
        <v>"C:\Program Files (x86)\AstroGrep\AstroGrep.exe" /e /r /s /spath="%USERPROFILE%\AppData\Local\Temp\OnboardLogs" /stypes="app*4055*20171003*" /stext=" 17:.+((SYSTEM_STATE.+slice.+state.+changed )|(ment ac)|(multiple cpu faults)|(system.+state.+changed )|(\[timeout)|(PRM\|1\|D)|(kpr)|(kdp)|(train st.+moving)|(\|lc)|(penalty))"</v>
      </c>
      <c r="AG66" s="228" t="str">
        <f t="shared" si="36"/>
        <v>EC</v>
      </c>
      <c r="AH66" s="229" t="str">
        <f t="shared" si="19"/>
        <v>"%USERPROFILE%\Documents\GitHub\eaglep3\Utilities\RefineRTDCRunTimes.py" --tripid 150-03 --locoid 4055 --swversion DE.1.0.9.0 --startMP 204:233007 --initTime 2017-10-03T10:21:50 --startdatetime 2017-10-03T10:42:13 --delay 61 --endMP 204:150 --enddatetime 2017-10-03T11:18:24 --enforcementcount 0 &gt;&gt;%USERPROFILE%\Documents\GitHub\eaglep3-reporting\EC\2017-10-03-refined-times.txt</v>
      </c>
      <c r="AI6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ID","value":"150-03"},{"id":16,"name":"Locomotive ID","value":"4055"},{"id":130,"name":"Impact","value":""},{"id":150,"name":"Time of Event (Mountain Time)","value":"11:18:24"},{"id":151,"name":"Denver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10"/>
      <c r="AK66" s="225"/>
      <c r="AL66" s="225"/>
      <c r="AM66" s="231" t="str">
        <f t="shared" si="21"/>
        <v>start /low /b %USERPROFILE%\Documents\GitHub\eaglep3\Utilities\DownloadLogsFromS3.py --loco 4055 --day 2017-10-03</v>
      </c>
      <c r="AN6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10" t="str">
        <f t="shared" si="23"/>
        <v>https://d0f6bd738d7f1b3e5a7ca70fe4ff75f0.us-east-1.aws.found.io/app/kibana#/discover/Steve-Slow-Train-Analysis-(2080s-and-2083s)?_g=(refreshInterval:(display:Off,pause:!f,section:0,value:0),time:(from:'2017-10-03T09:21:50-0600',mode:absolute,to:'2017-10-03T12:18:24-0600'))&amp;_a=(columns:!('Message%20ID',Summary),filters:!(),index:'emp_*',interval:auto,query:(query_string:(analyze_wildcard:!t,query:'%22rtdc.l.rtdc.4055%22')),sort:!(Time.ISO8601,asc))</v>
      </c>
      <c r="AP66" s="210"/>
      <c r="AQ66" s="210"/>
      <c r="AR66" s="210"/>
      <c r="AS66" s="210"/>
      <c r="AT66" s="210"/>
      <c r="AU66" s="210"/>
      <c r="AV66" s="210"/>
      <c r="AW66" s="210"/>
      <c r="AX66" s="210"/>
      <c r="AY66" s="210"/>
      <c r="AZ66" s="210"/>
      <c r="BA66" s="210"/>
      <c r="BB66" s="210"/>
      <c r="BC66" s="210"/>
      <c r="BD66" s="210"/>
      <c r="BE66" s="210"/>
      <c r="BF66" s="210"/>
      <c r="BG66" s="210"/>
      <c r="BH66" s="210"/>
      <c r="BI66" s="210"/>
      <c r="BJ66" s="210"/>
      <c r="BK66" s="210"/>
      <c r="BL66" s="210"/>
      <c r="BM66" s="210"/>
      <c r="BN66" s="210"/>
      <c r="BO66" s="210"/>
      <c r="BP66" s="210"/>
      <c r="BQ66" s="210"/>
      <c r="BR66" s="210"/>
      <c r="BS66" s="210"/>
      <c r="BT66" s="210"/>
      <c r="BU66" s="210"/>
      <c r="BV66" s="210"/>
      <c r="BW66" s="210"/>
      <c r="BX66" s="210"/>
      <c r="BY66" s="210"/>
      <c r="BZ66" s="210"/>
      <c r="CA66" s="210"/>
      <c r="CB66" s="210"/>
      <c r="CC66" s="210"/>
      <c r="CD66" s="210"/>
      <c r="CE66" s="210"/>
      <c r="CF66" s="210"/>
      <c r="CG66" s="210"/>
      <c r="CH66" s="210"/>
      <c r="CI66" s="210"/>
      <c r="CJ66" s="210"/>
      <c r="CK66" s="210"/>
      <c r="CL66" s="210"/>
      <c r="CM66" s="210"/>
    </row>
    <row r="67" spans="1:91" s="1" customFormat="1" x14ac:dyDescent="0.25">
      <c r="A67" s="32" t="s">
        <v>695</v>
      </c>
      <c r="B67" s="7">
        <v>4060</v>
      </c>
      <c r="C67" s="21" t="s">
        <v>194</v>
      </c>
      <c r="D67" s="21" t="s">
        <v>453</v>
      </c>
      <c r="E67" s="13">
        <v>43011.415891203702</v>
      </c>
      <c r="F67" s="13">
        <v>43011.417673611111</v>
      </c>
      <c r="G67" s="7">
        <v>59</v>
      </c>
      <c r="H67" s="21" t="s">
        <v>566</v>
      </c>
      <c r="I67" s="13">
        <v>43011.44189814815</v>
      </c>
      <c r="J67" s="7">
        <v>0</v>
      </c>
      <c r="K67" s="85" t="str">
        <f t="shared" si="28"/>
        <v>4059/4060</v>
      </c>
      <c r="L67" s="179" t="str">
        <f>VLOOKUP(A67,'Trips&amp;Operators'!$C$1:$G$99911,5,FALSE)</f>
        <v>BIRENBAUM THOMAS</v>
      </c>
      <c r="M67" s="6">
        <f t="shared" si="29"/>
        <v>2.4224537039117422E-2</v>
      </c>
      <c r="N67" s="7">
        <f t="shared" si="40"/>
        <v>34.883333336329088</v>
      </c>
      <c r="O67" s="7"/>
      <c r="P67" s="7"/>
      <c r="Q67" s="22"/>
      <c r="R67" s="169"/>
      <c r="S67" s="202">
        <f t="shared" si="39"/>
        <v>1</v>
      </c>
      <c r="T67" s="169" t="str">
        <f t="shared" si="30"/>
        <v>NorthBound</v>
      </c>
      <c r="U67" s="22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2" t="str">
        <f t="shared" si="5"/>
        <v>https://d0f6bd738d7f1b3e5a7ca70fe4ff75f0.us-east-1.aws.found.io/app/kibana#/discover/Steve-Slow-Train-Analysis-(2080s-and-2083s)?_g=(refreshInterval:(display:Off,pause:!f,section:0,value:0),time:(from:'2017-10-03T08:58:53-0600',mode:absolute,to:'2017-10-03T11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7" s="223" t="str">
        <f>IF(AA67&lt;VLOOKUP(AG67,Variables!$AC$3:$AD$8,2,FALSE),"Y","N")</f>
        <v>N</v>
      </c>
      <c r="X67" s="223">
        <f t="shared" si="31"/>
        <v>1</v>
      </c>
      <c r="Y67" s="223">
        <f t="shared" si="32"/>
        <v>4.6699999999999998E-2</v>
      </c>
      <c r="Z67" s="223">
        <f t="shared" si="33"/>
        <v>23.331700000000001</v>
      </c>
      <c r="AA67" s="223">
        <f t="shared" si="34"/>
        <v>23.285</v>
      </c>
      <c r="AB67" s="224" t="e">
        <f>VLOOKUP(A67,Enforcements!$C$7:$K$11,8,0)</f>
        <v>#N/A</v>
      </c>
      <c r="AC67" s="224" t="e">
        <f>VLOOKUP(A67,Enforcements!$C$7:$E$11,3,0)</f>
        <v>#N/A</v>
      </c>
      <c r="AD67" s="225">
        <f t="shared" si="35"/>
        <v>151</v>
      </c>
      <c r="AE67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67" s="227" t="str">
        <f t="shared" si="12"/>
        <v>"C:\Program Files (x86)\AstroGrep\AstroGrep.exe" /e /r /s /spath="%USERPROFILE%\AppData\Local\Temp\OnboardLogs" /stypes="app*4060*20171003*" /stext=" 16:.+((SYSTEM_STATE.+slice.+state.+changed )|(ment ac)|(multiple cpu faults)|(system.+state.+changed )|(\[timeout)|(PRM\|1\|D)|(kpr)|(kdp)|(train st.+moving)|(\|lc)|(penalty))"</v>
      </c>
      <c r="AG67" s="228" t="str">
        <f t="shared" si="36"/>
        <v>EC</v>
      </c>
      <c r="AH67" s="229" t="str">
        <f t="shared" si="19"/>
        <v>"%USERPROFILE%\Documents\GitHub\eaglep3\Utilities\RefineRTDCRunTimes.py" --tripid 151-03 --locoid 4060 --swversion DE.1.0.9.0 --startMP 204:467 --initTime 2017-10-03T09:58:53 --startdatetime 2017-10-03T10:01:27 --delay 59 --endMP 204:233317 --enddatetime 2017-10-03T10:36:20 --enforcementcount 0 &gt;&gt;%USERPROFILE%\Documents\GitHub\eaglep3-reporting\EC\2017-10-03-refined-times.txt</v>
      </c>
      <c r="AI6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{"issue":{"subject":"","project_id":79,"tracker_id":40,"status_id":1,"priority_id":2,"assigned_to_id":338,"start_date":"2017-10-03","description":"","custom_fields":[{"id":1,"name":"Subdivision","value":"EC"},{"id":4,"name":"Milepost","value":"23.3317"},{"id":17,"name":"Train ID","value":"151-03"},{"id":16,"name":"Locomotive ID","value":"4060"},{"id":130,"name":"Impact","value":""},{"id":150,"name":"Time of Event (Mountain Time)","value":"10:36:20"},{"id":151,"name":"Denver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10"/>
      <c r="AK67" s="225"/>
      <c r="AL67" s="225"/>
      <c r="AM67" s="231" t="str">
        <f t="shared" si="21"/>
        <v>start /low /b %USERPROFILE%\Documents\GitHub\eaglep3\Utilities\DownloadLogsFromS3.py --loco 4060 --day 2017-10-03</v>
      </c>
      <c r="AN6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10" t="str">
        <f t="shared" si="23"/>
        <v>https://d0f6bd738d7f1b3e5a7ca70fe4ff75f0.us-east-1.aws.found.io/app/kibana#/discover/Steve-Slow-Train-Analysis-(2080s-and-2083s)?_g=(refreshInterval:(display:Off,pause:!f,section:0,value:0),time:(from:'2017-10-03T08:58:53-0600',mode:absolute,to:'2017-10-03T11:36:20-0600'))&amp;_a=(columns:!('Message%20ID',Summary),filters:!(),index:'emp_*',interval:auto,query:(query_string:(analyze_wildcard:!t,query:'%22rtdc.l.rtdc.4060%22')),sort:!(Time.ISO8601,asc))</v>
      </c>
      <c r="AP67" s="210"/>
      <c r="AQ67" s="210"/>
      <c r="AR67" s="210"/>
      <c r="AS67" s="210"/>
      <c r="AT67" s="210"/>
      <c r="AU67" s="210"/>
      <c r="AV67" s="210"/>
      <c r="AW67" s="210"/>
      <c r="AX67" s="210"/>
      <c r="AY67" s="210"/>
      <c r="AZ67" s="210"/>
      <c r="BA67" s="210"/>
      <c r="BB67" s="210"/>
      <c r="BC67" s="210"/>
      <c r="BD67" s="210"/>
      <c r="BE67" s="210"/>
      <c r="BF67" s="210"/>
      <c r="BG67" s="210"/>
      <c r="BH67" s="210"/>
      <c r="BI67" s="210"/>
      <c r="BJ67" s="210"/>
      <c r="BK67" s="210"/>
      <c r="BL67" s="210"/>
      <c r="BM67" s="210"/>
      <c r="BN67" s="210"/>
      <c r="BO67" s="210"/>
      <c r="BP67" s="210"/>
      <c r="BQ67" s="210"/>
      <c r="BR67" s="210"/>
      <c r="BS67" s="210"/>
      <c r="BT67" s="210"/>
      <c r="BU67" s="210"/>
      <c r="BV67" s="210"/>
      <c r="BW67" s="210"/>
      <c r="BX67" s="210"/>
      <c r="BY67" s="210"/>
      <c r="BZ67" s="210"/>
      <c r="CA67" s="210"/>
      <c r="CB67" s="210"/>
      <c r="CC67" s="210"/>
      <c r="CD67" s="210"/>
      <c r="CE67" s="210"/>
      <c r="CF67" s="210"/>
      <c r="CG67" s="210"/>
      <c r="CH67" s="210"/>
      <c r="CI67" s="210"/>
      <c r="CJ67" s="210"/>
      <c r="CK67" s="210"/>
      <c r="CL67" s="210"/>
      <c r="CM67" s="210"/>
    </row>
    <row r="68" spans="1:91" s="1" customFormat="1" x14ac:dyDescent="0.25">
      <c r="A68" s="32" t="s">
        <v>612</v>
      </c>
      <c r="B68" s="7">
        <v>4059</v>
      </c>
      <c r="C68" s="21" t="s">
        <v>194</v>
      </c>
      <c r="D68" s="21" t="s">
        <v>569</v>
      </c>
      <c r="E68" s="13">
        <v>43011.443298611113</v>
      </c>
      <c r="F68" s="13">
        <v>43011.456412037034</v>
      </c>
      <c r="G68" s="7">
        <v>80</v>
      </c>
      <c r="H68" s="21" t="s">
        <v>512</v>
      </c>
      <c r="I68" s="13">
        <v>43011.481817129628</v>
      </c>
      <c r="J68" s="7">
        <v>0</v>
      </c>
      <c r="K68" s="85" t="str">
        <f t="shared" si="28"/>
        <v>4059/4060</v>
      </c>
      <c r="L68" s="179" t="str">
        <f>VLOOKUP(A68,'Trips&amp;Operators'!$C$1:$G$99911,5,FALSE)</f>
        <v>BIRENBAUM THOMAS</v>
      </c>
      <c r="M68" s="6">
        <f t="shared" si="29"/>
        <v>2.5405092594155576E-2</v>
      </c>
      <c r="N68" s="7">
        <f t="shared" si="40"/>
        <v>36.58333333558403</v>
      </c>
      <c r="O68" s="7"/>
      <c r="P68" s="7"/>
      <c r="Q68" s="22"/>
      <c r="R68" s="169"/>
      <c r="S68" s="202">
        <f t="shared" si="39"/>
        <v>1</v>
      </c>
      <c r="T68" s="169" t="str">
        <f t="shared" si="30"/>
        <v>Southbound</v>
      </c>
      <c r="U68" s="22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2" t="str">
        <f t="shared" si="5"/>
        <v>https://d0f6bd738d7f1b3e5a7ca70fe4ff75f0.us-east-1.aws.found.io/app/kibana#/discover/Steve-Slow-Train-Analysis-(2080s-and-2083s)?_g=(refreshInterval:(display:Off,pause:!f,section:0,value:0),time:(from:'2017-10-03T09:38:21-0600',mode:absolute,to:'2017-10-03T12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8" s="223" t="str">
        <f>IF(AA68&lt;VLOOKUP(AG68,Variables!$AC$3:$AD$8,2,FALSE),"Y","N")</f>
        <v>N</v>
      </c>
      <c r="X68" s="223">
        <f t="shared" si="31"/>
        <v>1</v>
      </c>
      <c r="Y68" s="223">
        <f t="shared" si="32"/>
        <v>23.300799999999999</v>
      </c>
      <c r="Z68" s="223">
        <f t="shared" si="33"/>
        <v>1.2999999999999999E-2</v>
      </c>
      <c r="AA68" s="223">
        <f t="shared" si="34"/>
        <v>23.287799999999997</v>
      </c>
      <c r="AB68" s="224" t="str">
        <f>VLOOKUP(A68,Enforcements!$C$7:$K$11,8,0)</f>
        <v>Bulletin (2)</v>
      </c>
      <c r="AC68" s="224" t="str">
        <f>VLOOKUP(A68,Enforcements!$C$7:$E$11,3,0)</f>
        <v>GRADE CROSSING</v>
      </c>
      <c r="AD68" s="225">
        <f t="shared" si="35"/>
        <v>152</v>
      </c>
      <c r="AE68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68" s="227" t="str">
        <f t="shared" si="12"/>
        <v>"C:\Program Files (x86)\AstroGrep\AstroGrep.exe" /e /r /s /spath="%USERPROFILE%\AppData\Local\Temp\OnboardLogs" /stypes="app*4059*20171003*" /stext=" 17:.+((SYSTEM_STATE.+slice.+state.+changed )|(ment ac)|(multiple cpu faults)|(system.+state.+changed )|(\[timeout)|(PRM\|1\|D)|(kpr)|(kdp)|(train st.+moving)|(\|lc)|(penalty))"</v>
      </c>
      <c r="AG68" s="228" t="str">
        <f t="shared" si="36"/>
        <v>EC</v>
      </c>
      <c r="AH68" s="229" t="str">
        <f t="shared" si="19"/>
        <v>"%USERPROFILE%\Documents\GitHub\eaglep3\Utilities\RefineRTDCRunTimes.py" --tripid 152-03 --locoid 4059 --swversion DE.1.0.9.0 --startMP 204:233008 --initTime 2017-10-03T10:38:21 --startdatetime 2017-10-03T10:57:14 --delay 80 --endMP 204:130 --enddatetime 2017-10-03T11:33:49 --enforcementcount 0 &gt;&gt;%USERPROFILE%\Documents\GitHub\eaglep3-reporting\EC\2017-10-03-refined-times.txt</v>
      </c>
      <c r="AI6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{"issue":{"subject":"","project_id":79,"tracker_id":40,"status_id":1,"priority_id":2,"assigned_to_id":338,"start_date":"2017-10-03","description":"","custom_fields":[{"id":1,"name":"Subdivision","value":"EC"},{"id":4,"name":"Milepost","value":"0.013"},{"id":17,"name":"Train ID","value":"152-03"},{"id":16,"name":"Locomotive ID","value":"4059"},{"id":130,"name":"Impact","value":""},{"id":150,"name":"Time of Event (Mountain Time)","value":"11:33:49"},{"id":151,"name":"Denver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10"/>
      <c r="AK68" s="225"/>
      <c r="AL68" s="225"/>
      <c r="AM68" s="231" t="str">
        <f t="shared" si="21"/>
        <v>start /low /b %USERPROFILE%\Documents\GitHub\eaglep3\Utilities\DownloadLogsFromS3.py --loco 4059 --day 2017-10-03</v>
      </c>
      <c r="AN6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10" t="str">
        <f t="shared" si="23"/>
        <v>https://d0f6bd738d7f1b3e5a7ca70fe4ff75f0.us-east-1.aws.found.io/app/kibana#/discover/Steve-Slow-Train-Analysis-(2080s-and-2083s)?_g=(refreshInterval:(display:Off,pause:!f,section:0,value:0),time:(from:'2017-10-03T09:38:21-0600',mode:absolute,to:'2017-10-03T12:33:49-0600'))&amp;_a=(columns:!('Message%20ID',Summary),filters:!(),index:'emp_*',interval:auto,query:(query_string:(analyze_wildcard:!t,query:'%22rtdc.l.rtdc.4059%22')),sort:!(Time.ISO8601,asc))</v>
      </c>
      <c r="AP68" s="210"/>
      <c r="AQ68" s="210"/>
      <c r="AR68" s="210"/>
      <c r="AS68" s="210"/>
      <c r="AT68" s="210"/>
      <c r="AU68" s="210"/>
      <c r="AV68" s="210"/>
      <c r="AW68" s="210"/>
      <c r="AX68" s="210"/>
      <c r="AY68" s="210"/>
      <c r="AZ68" s="210"/>
      <c r="BA68" s="210"/>
      <c r="BB68" s="210"/>
      <c r="BC68" s="210"/>
      <c r="BD68" s="210"/>
      <c r="BE68" s="210"/>
      <c r="BF68" s="210"/>
      <c r="BG68" s="210"/>
      <c r="BH68" s="210"/>
      <c r="BI68" s="210"/>
      <c r="BJ68" s="210"/>
      <c r="BK68" s="210"/>
      <c r="BL68" s="210"/>
      <c r="BM68" s="210"/>
      <c r="BN68" s="210"/>
      <c r="BO68" s="210"/>
      <c r="BP68" s="210"/>
      <c r="BQ68" s="210"/>
      <c r="BR68" s="210"/>
      <c r="BS68" s="210"/>
      <c r="BT68" s="210"/>
      <c r="BU68" s="210"/>
      <c r="BV68" s="210"/>
      <c r="BW68" s="210"/>
      <c r="BX68" s="210"/>
      <c r="BY68" s="210"/>
      <c r="BZ68" s="210"/>
      <c r="CA68" s="210"/>
      <c r="CB68" s="210"/>
      <c r="CC68" s="210"/>
      <c r="CD68" s="210"/>
      <c r="CE68" s="210"/>
      <c r="CF68" s="210"/>
      <c r="CG68" s="210"/>
      <c r="CH68" s="210"/>
      <c r="CI68" s="210"/>
      <c r="CJ68" s="210"/>
      <c r="CK68" s="210"/>
      <c r="CL68" s="210"/>
      <c r="CM68" s="210"/>
    </row>
    <row r="69" spans="1:91" s="1" customFormat="1" x14ac:dyDescent="0.25">
      <c r="A69" s="32" t="s">
        <v>697</v>
      </c>
      <c r="B69" s="7">
        <v>4062</v>
      </c>
      <c r="C69" s="21" t="s">
        <v>194</v>
      </c>
      <c r="D69" s="21" t="s">
        <v>369</v>
      </c>
      <c r="E69" s="13">
        <v>43011.423819444448</v>
      </c>
      <c r="F69" s="13">
        <v>43011.427384259259</v>
      </c>
      <c r="G69" s="7">
        <v>103</v>
      </c>
      <c r="H69" s="21" t="s">
        <v>852</v>
      </c>
      <c r="I69" s="13">
        <v>43011.451782407406</v>
      </c>
      <c r="J69" s="7">
        <v>0</v>
      </c>
      <c r="K69" s="85" t="str">
        <f t="shared" si="28"/>
        <v>4061/4062</v>
      </c>
      <c r="L69" s="179" t="str">
        <f>VLOOKUP(A69,'Trips&amp;Operators'!$C$1:$G$99911,5,FALSE)</f>
        <v>YANG JAN</v>
      </c>
      <c r="M69" s="6">
        <f t="shared" si="29"/>
        <v>2.4398148147156462E-2</v>
      </c>
      <c r="N69" s="7">
        <f t="shared" si="40"/>
        <v>35.133333331905305</v>
      </c>
      <c r="O69" s="7"/>
      <c r="P69" s="7"/>
      <c r="Q69" s="22"/>
      <c r="R69" s="169"/>
      <c r="S69" s="202">
        <f t="shared" si="39"/>
        <v>1</v>
      </c>
      <c r="T69" s="169" t="str">
        <f t="shared" si="30"/>
        <v>NorthBound</v>
      </c>
      <c r="U69" s="22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2" t="str">
        <f t="shared" si="5"/>
        <v>https://d0f6bd738d7f1b3e5a7ca70fe4ff75f0.us-east-1.aws.found.io/app/kibana#/discover/Steve-Slow-Train-Analysis-(2080s-and-2083s)?_g=(refreshInterval:(display:Off,pause:!f,section:0,value:0),time:(from:'2017-10-03T09:10:18-0600',mode:absolute,to:'2017-10-03T11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9" s="223" t="str">
        <f>IF(AA69&lt;VLOOKUP(AG69,Variables!$AC$3:$AD$8,2,FALSE),"Y","N")</f>
        <v>N</v>
      </c>
      <c r="X69" s="223">
        <f t="shared" si="31"/>
        <v>1</v>
      </c>
      <c r="Y69" s="223">
        <f t="shared" si="32"/>
        <v>4.5999999999999999E-2</v>
      </c>
      <c r="Z69" s="223">
        <f t="shared" si="33"/>
        <v>23.329899999999999</v>
      </c>
      <c r="AA69" s="223">
        <f t="shared" si="34"/>
        <v>23.283899999999999</v>
      </c>
      <c r="AB69" s="224" t="e">
        <f>VLOOKUP(A69,Enforcements!$C$7:$K$11,8,0)</f>
        <v>#N/A</v>
      </c>
      <c r="AC69" s="224" t="e">
        <f>VLOOKUP(A69,Enforcements!$C$7:$E$11,3,0)</f>
        <v>#N/A</v>
      </c>
      <c r="AD69" s="225">
        <f t="shared" si="35"/>
        <v>153</v>
      </c>
      <c r="AE69" s="226" t="str">
        <f t="shared" si="11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69" s="227" t="str">
        <f t="shared" si="12"/>
        <v>"C:\Program Files (x86)\AstroGrep\AstroGrep.exe" /e /r /s /spath="%USERPROFILE%\AppData\Local\Temp\OnboardLogs" /stypes="app*4062*20171003*" /stext=" 16:.+((SYSTEM_STATE.+slice.+state.+changed )|(ment ac)|(multiple cpu faults)|(system.+state.+changed )|(\[timeout)|(PRM\|1\|D)|(kpr)|(kdp)|(train st.+moving)|(\|lc)|(penalty))"</v>
      </c>
      <c r="AG69" s="228" t="str">
        <f t="shared" si="36"/>
        <v>EC</v>
      </c>
      <c r="AH69" s="229" t="str">
        <f t="shared" si="19"/>
        <v>"%USERPROFILE%\Documents\GitHub\eaglep3\Utilities\RefineRTDCRunTimes.py" --tripid 153-03 --locoid 4062 --swversion DE.1.0.9.0 --startMP 204:460 --initTime 2017-10-03T10:10:18 --startdatetime 2017-10-03T10:15:26 --delay 103 --endMP 204:233299 --enddatetime 2017-10-03T10:50:34 --enforcementcount 0 &gt;&gt;%USERPROFILE%\Documents\GitHub\eaglep3-reporting\EC\2017-10-03-refined-times.txt</v>
      </c>
      <c r="AI6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ID","value":"153-03"},{"id":16,"name":"Locomotive ID","value":"4062"},{"id":130,"name":"Impact","value":""},{"id":150,"name":"Time of Event (Mountain Time)","value":"10:50:34"},{"id":151,"name":"Denver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10"/>
      <c r="AK69" s="225"/>
      <c r="AL69" s="225"/>
      <c r="AM69" s="231" t="str">
        <f t="shared" si="21"/>
        <v>start /low /b %USERPROFILE%\Documents\GitHub\eaglep3\Utilities\DownloadLogsFromS3.py --loco 4062 --day 2017-10-03</v>
      </c>
      <c r="AN6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10" t="str">
        <f t="shared" si="23"/>
        <v>https://d0f6bd738d7f1b3e5a7ca70fe4ff75f0.us-east-1.aws.found.io/app/kibana#/discover/Steve-Slow-Train-Analysis-(2080s-and-2083s)?_g=(refreshInterval:(display:Off,pause:!f,section:0,value:0),time:(from:'2017-10-03T09:10:18-0600',mode:absolute,to:'2017-10-03T11:50:34-0600'))&amp;_a=(columns:!('Message%20ID',Summary),filters:!(),index:'emp_*',interval:auto,query:(query_string:(analyze_wildcard:!t,query:'%22rtdc.l.rtdc.4062%22')),sort:!(Time.ISO8601,asc))</v>
      </c>
      <c r="AP69" s="210"/>
      <c r="AQ69" s="210"/>
      <c r="AR69" s="210"/>
      <c r="AS69" s="210"/>
      <c r="AT69" s="210"/>
      <c r="AU69" s="210"/>
      <c r="AV69" s="210"/>
      <c r="AW69" s="210"/>
      <c r="AX69" s="210"/>
      <c r="AY69" s="210"/>
      <c r="AZ69" s="210"/>
      <c r="BA69" s="210"/>
      <c r="BB69" s="210"/>
      <c r="BC69" s="210"/>
      <c r="BD69" s="210"/>
      <c r="BE69" s="210"/>
      <c r="BF69" s="210"/>
      <c r="BG69" s="210"/>
      <c r="BH69" s="210"/>
      <c r="BI69" s="210"/>
      <c r="BJ69" s="210"/>
      <c r="BK69" s="210"/>
      <c r="BL69" s="210"/>
      <c r="BM69" s="210"/>
      <c r="BN69" s="210"/>
      <c r="BO69" s="210"/>
      <c r="BP69" s="210"/>
      <c r="BQ69" s="210"/>
      <c r="BR69" s="210"/>
      <c r="BS69" s="210"/>
      <c r="BT69" s="210"/>
      <c r="BU69" s="210"/>
      <c r="BV69" s="210"/>
      <c r="BW69" s="210"/>
      <c r="BX69" s="210"/>
      <c r="BY69" s="210"/>
      <c r="BZ69" s="210"/>
      <c r="CA69" s="210"/>
      <c r="CB69" s="210"/>
      <c r="CC69" s="210"/>
      <c r="CD69" s="210"/>
      <c r="CE69" s="210"/>
      <c r="CF69" s="210"/>
      <c r="CG69" s="210"/>
      <c r="CH69" s="210"/>
      <c r="CI69" s="210"/>
      <c r="CJ69" s="210"/>
      <c r="CK69" s="210"/>
      <c r="CL69" s="210"/>
      <c r="CM69" s="210"/>
    </row>
    <row r="70" spans="1:91" s="1" customFormat="1" x14ac:dyDescent="0.25">
      <c r="A70" s="32" t="s">
        <v>707</v>
      </c>
      <c r="B70" s="7">
        <v>4061</v>
      </c>
      <c r="C70" s="21" t="s">
        <v>194</v>
      </c>
      <c r="D70" s="21" t="s">
        <v>484</v>
      </c>
      <c r="E70" s="13">
        <v>43011.460405092592</v>
      </c>
      <c r="F70" s="13">
        <v>43011.466909722221</v>
      </c>
      <c r="G70" s="7">
        <v>78</v>
      </c>
      <c r="H70" s="21" t="s">
        <v>339</v>
      </c>
      <c r="I70" s="13">
        <v>43011.493368055555</v>
      </c>
      <c r="J70" s="7">
        <v>0</v>
      </c>
      <c r="K70" s="85" t="str">
        <f t="shared" si="28"/>
        <v>4061/4062</v>
      </c>
      <c r="L70" s="179" t="str">
        <f>VLOOKUP(A70,'Trips&amp;Operators'!$C$1:$G$99911,5,FALSE)</f>
        <v>YANG JAN</v>
      </c>
      <c r="M70" s="6">
        <f t="shared" si="29"/>
        <v>2.6458333333721384E-2</v>
      </c>
      <c r="N70" s="7">
        <f t="shared" si="40"/>
        <v>38.100000000558794</v>
      </c>
      <c r="O70" s="7"/>
      <c r="P70" s="7"/>
      <c r="Q70" s="22"/>
      <c r="R70" s="169"/>
      <c r="S70" s="202">
        <f t="shared" si="39"/>
        <v>1</v>
      </c>
      <c r="T70" s="169" t="str">
        <f t="shared" si="30"/>
        <v>Southbound</v>
      </c>
      <c r="U70" s="22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2" t="str">
        <f t="shared" si="5"/>
        <v>https://d0f6bd738d7f1b3e5a7ca70fe4ff75f0.us-east-1.aws.found.io/app/kibana#/discover/Steve-Slow-Train-Analysis-(2080s-and-2083s)?_g=(refreshInterval:(display:Off,pause:!f,section:0,value:0),time:(from:'2017-10-03T10:02:59-0600',mode:absolute,to:'2017-10-03T12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0" s="223" t="str">
        <f>IF(AA70&lt;VLOOKUP(AG70,Variables!$AC$3:$AD$8,2,FALSE),"Y","N")</f>
        <v>N</v>
      </c>
      <c r="X70" s="223">
        <f t="shared" si="31"/>
        <v>1</v>
      </c>
      <c r="Y70" s="223">
        <f t="shared" si="32"/>
        <v>23.299199999999999</v>
      </c>
      <c r="Z70" s="223">
        <f t="shared" si="33"/>
        <v>1.41E-2</v>
      </c>
      <c r="AA70" s="223">
        <f t="shared" si="34"/>
        <v>23.2851</v>
      </c>
      <c r="AB70" s="224" t="e">
        <f>VLOOKUP(A70,Enforcements!$C$7:$K$11,8,0)</f>
        <v>#N/A</v>
      </c>
      <c r="AC70" s="224" t="e">
        <f>VLOOKUP(A70,Enforcements!$C$7:$E$11,3,0)</f>
        <v>#N/A</v>
      </c>
      <c r="AD70" s="225">
        <f t="shared" si="35"/>
        <v>154</v>
      </c>
      <c r="AE70" s="226" t="str">
        <f t="shared" si="11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70" s="227" t="str">
        <f t="shared" si="12"/>
        <v>"C:\Program Files (x86)\AstroGrep\AstroGrep.exe" /e /r /s /spath="%USERPROFILE%\AppData\Local\Temp\OnboardLogs" /stypes="app*4061*20171003*" /stext=" 17:.+((SYSTEM_STATE.+slice.+state.+changed )|(ment ac)|(multiple cpu faults)|(system.+state.+changed )|(\[timeout)|(PRM\|1\|D)|(kpr)|(kdp)|(train st.+moving)|(\|lc)|(penalty))"</v>
      </c>
      <c r="AG70" s="228" t="str">
        <f t="shared" si="36"/>
        <v>EC</v>
      </c>
      <c r="AH70" s="229" t="str">
        <f t="shared" si="19"/>
        <v>"%USERPROFILE%\Documents\GitHub\eaglep3\Utilities\RefineRTDCRunTimes.py" --tripid 154-03 --locoid 4061 --swversion DE.1.0.9.0 --startMP 204:232992 --initTime 2017-10-03T11:02:59 --startdatetime 2017-10-03T11:12:21 --delay 78 --endMP 204:141 --enddatetime 2017-10-03T11:50:27 --enforcementcount 0 &gt;&gt;%USERPROFILE%\Documents\GitHub\eaglep3-reporting\EC\2017-10-03-refined-times.txt</v>
      </c>
      <c r="AI7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{"issue":{"subject":"","project_id":79,"tracker_id":40,"status_id":1,"priority_id":2,"assigned_to_id":338,"start_date":"2017-10-03","description":"","custom_fields":[{"id":1,"name":"Subdivision","value":"EC"},{"id":4,"name":"Milepost","value":"0.0141"},{"id":17,"name":"Train ID","value":"154-03"},{"id":16,"name":"Locomotive ID","value":"4061"},{"id":130,"name":"Impact","value":""},{"id":150,"name":"Time of Event (Mountain Time)","value":"11:50:27"},{"id":151,"name":"Denver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10"/>
      <c r="AK70" s="225"/>
      <c r="AL70" s="225"/>
      <c r="AM70" s="231" t="str">
        <f t="shared" si="21"/>
        <v>start /low /b %USERPROFILE%\Documents\GitHub\eaglep3\Utilities\DownloadLogsFromS3.py --loco 4061 --day 2017-10-03</v>
      </c>
      <c r="AN7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10" t="str">
        <f t="shared" si="23"/>
        <v>https://d0f6bd738d7f1b3e5a7ca70fe4ff75f0.us-east-1.aws.found.io/app/kibana#/discover/Steve-Slow-Train-Analysis-(2080s-and-2083s)?_g=(refreshInterval:(display:Off,pause:!f,section:0,value:0),time:(from:'2017-10-03T10:02:59-0600',mode:absolute,to:'2017-10-03T12:50:27-0600'))&amp;_a=(columns:!('Message%20ID',Summary),filters:!(),index:'emp_*',interval:auto,query:(query_string:(analyze_wildcard:!t,query:'%22rtdc.l.rtdc.4061%22')),sort:!(Time.ISO8601,asc))</v>
      </c>
      <c r="AP70" s="210"/>
      <c r="AQ70" s="210"/>
      <c r="AR70" s="210"/>
      <c r="AS70" s="210"/>
      <c r="AT70" s="210"/>
      <c r="AU70" s="210"/>
      <c r="AV70" s="210"/>
      <c r="AW70" s="210"/>
      <c r="AX70" s="210"/>
      <c r="AY70" s="210"/>
      <c r="AZ70" s="210"/>
      <c r="BA70" s="210"/>
      <c r="BB70" s="210"/>
      <c r="BC70" s="210"/>
      <c r="BD70" s="210"/>
      <c r="BE70" s="210"/>
      <c r="BF70" s="210"/>
      <c r="BG70" s="210"/>
      <c r="BH70" s="210"/>
      <c r="BI70" s="210"/>
      <c r="BJ70" s="210"/>
      <c r="BK70" s="210"/>
      <c r="BL70" s="210"/>
      <c r="BM70" s="210"/>
      <c r="BN70" s="210"/>
      <c r="BO70" s="210"/>
      <c r="BP70" s="210"/>
      <c r="BQ70" s="210"/>
      <c r="BR70" s="210"/>
      <c r="BS70" s="210"/>
      <c r="BT70" s="210"/>
      <c r="BU70" s="210"/>
      <c r="BV70" s="210"/>
      <c r="BW70" s="210"/>
      <c r="BX70" s="210"/>
      <c r="BY70" s="210"/>
      <c r="BZ70" s="210"/>
      <c r="CA70" s="210"/>
      <c r="CB70" s="210"/>
      <c r="CC70" s="210"/>
      <c r="CD70" s="210"/>
      <c r="CE70" s="210"/>
      <c r="CF70" s="210"/>
      <c r="CG70" s="210"/>
      <c r="CH70" s="210"/>
      <c r="CI70" s="210"/>
      <c r="CJ70" s="210"/>
      <c r="CK70" s="210"/>
      <c r="CL70" s="210"/>
      <c r="CM70" s="210"/>
    </row>
    <row r="71" spans="1:91" s="1" customFormat="1" x14ac:dyDescent="0.25">
      <c r="A71" s="32" t="s">
        <v>700</v>
      </c>
      <c r="B71" s="7">
        <v>4050</v>
      </c>
      <c r="C71" s="21" t="s">
        <v>194</v>
      </c>
      <c r="D71" s="21" t="s">
        <v>875</v>
      </c>
      <c r="E71" s="13">
        <v>43011.425740740742</v>
      </c>
      <c r="F71" s="13">
        <v>43011.4378125</v>
      </c>
      <c r="G71" s="7">
        <v>827</v>
      </c>
      <c r="H71" s="21" t="s">
        <v>510</v>
      </c>
      <c r="I71" s="13">
        <v>43011.462534722225</v>
      </c>
      <c r="J71" s="7">
        <v>0</v>
      </c>
      <c r="K71" s="85" t="str">
        <f t="shared" si="28"/>
        <v>4049/4050</v>
      </c>
      <c r="L71" s="179" t="str">
        <f>VLOOKUP(A71,'Trips&amp;Operators'!$C$1:$G$99911,5,FALSE)</f>
        <v>YANAI IAN</v>
      </c>
      <c r="M71" s="6">
        <f t="shared" si="29"/>
        <v>2.4722222224227153E-2</v>
      </c>
      <c r="N71" s="7">
        <f t="shared" si="40"/>
        <v>35.6000000028871</v>
      </c>
      <c r="O71" s="7"/>
      <c r="P71" s="7"/>
      <c r="Q71" s="22"/>
      <c r="R71" s="169"/>
      <c r="S71" s="202">
        <f t="shared" si="39"/>
        <v>1</v>
      </c>
      <c r="T71" s="169" t="str">
        <f t="shared" si="30"/>
        <v>NorthBound</v>
      </c>
      <c r="U71" s="22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2" t="str">
        <f t="shared" si="5"/>
        <v>https://d0f6bd738d7f1b3e5a7ca70fe4ff75f0.us-east-1.aws.found.io/app/kibana#/discover/Steve-Slow-Train-Analysis-(2080s-and-2083s)?_g=(refreshInterval:(display:Off,pause:!f,section:0,value:0),time:(from:'2017-10-03T09:13:04-0600',mode:absolute,to:'2017-10-03T12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1" s="223" t="str">
        <f>IF(AA71&lt;VLOOKUP(AG71,Variables!$AC$3:$AD$8,2,FALSE),"Y","N")</f>
        <v>N</v>
      </c>
      <c r="X71" s="223">
        <f t="shared" si="31"/>
        <v>1</v>
      </c>
      <c r="Y71" s="223">
        <f t="shared" si="32"/>
        <v>0.14729999999999999</v>
      </c>
      <c r="Z71" s="223">
        <f t="shared" si="33"/>
        <v>23.3308</v>
      </c>
      <c r="AA71" s="223">
        <f t="shared" si="34"/>
        <v>23.183499999999999</v>
      </c>
      <c r="AB71" s="224" t="e">
        <f>VLOOKUP(A71,Enforcements!$C$7:$K$11,8,0)</f>
        <v>#N/A</v>
      </c>
      <c r="AC71" s="224" t="e">
        <f>VLOOKUP(A71,Enforcements!$C$7:$E$11,3,0)</f>
        <v>#N/A</v>
      </c>
      <c r="AD71" s="225">
        <f t="shared" si="35"/>
        <v>155</v>
      </c>
      <c r="AE71" s="226" t="str">
        <f t="shared" si="11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71" s="227" t="str">
        <f t="shared" si="12"/>
        <v>"C:\Program Files (x86)\AstroGrep\AstroGrep.exe" /e /r /s /spath="%USERPROFILE%\AppData\Local\Temp\OnboardLogs" /stypes="app*4050*20171003*" /stext=" 17:.+((SYSTEM_STATE.+slice.+state.+changed )|(ment ac)|(multiple cpu faults)|(system.+state.+changed )|(\[timeout)|(PRM\|1\|D)|(kpr)|(kdp)|(train st.+moving)|(\|lc)|(penalty))"</v>
      </c>
      <c r="AG71" s="228" t="str">
        <f t="shared" si="36"/>
        <v>EC</v>
      </c>
      <c r="AH71" s="229" t="str">
        <f t="shared" si="19"/>
        <v>"%USERPROFILE%\Documents\GitHub\eaglep3\Utilities\RefineRTDCRunTimes.py" --tripid 155-03 --locoid 4050 --swversion DE.1.0.9.0 --startMP 204:1473 --initTime 2017-10-03T10:13:04 --startdatetime 2017-10-03T10:30:27 --delay 827 --endMP 204:233308 --enddatetime 2017-10-03T11:06:03 --enforcementcount 0 &gt;&gt;%USERPROFILE%\Documents\GitHub\eaglep3-reporting\EC\2017-10-03-refined-times.txt</v>
      </c>
      <c r="AI7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{"issue":{"subject":"","project_id":79,"tracker_id":40,"status_id":1,"priority_id":2,"assigned_to_id":338,"start_date":"2017-10-03","description":"","custom_fields":[{"id":1,"name":"Subdivision","value":"EC"},{"id":4,"name":"Milepost","value":"23.3308"},{"id":17,"name":"Train ID","value":"155-03"},{"id":16,"name":"Locomotive ID","value":"4050"},{"id":130,"name":"Impact","value":""},{"id":150,"name":"Time of Event (Mountain Time)","value":"11:06:03"},{"id":151,"name":"Denver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10"/>
      <c r="AK71" s="225"/>
      <c r="AL71" s="225"/>
      <c r="AM71" s="231" t="str">
        <f t="shared" si="21"/>
        <v>start /low /b %USERPROFILE%\Documents\GitHub\eaglep3\Utilities\DownloadLogsFromS3.py --loco 4050 --day 2017-10-03</v>
      </c>
      <c r="AN7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10" t="str">
        <f t="shared" si="23"/>
        <v>https://d0f6bd738d7f1b3e5a7ca70fe4ff75f0.us-east-1.aws.found.io/app/kibana#/discover/Steve-Slow-Train-Analysis-(2080s-and-2083s)?_g=(refreshInterval:(display:Off,pause:!f,section:0,value:0),time:(from:'2017-10-03T09:13:04-0600',mode:absolute,to:'2017-10-03T12:06:03-0600'))&amp;_a=(columns:!('Message%20ID',Summary),filters:!(),index:'emp_*',interval:auto,query:(query_string:(analyze_wildcard:!t,query:'%22rtdc.l.rtdc.4050%22')),sort:!(Time.ISO8601,asc))</v>
      </c>
      <c r="AP71" s="210"/>
      <c r="AQ71" s="210"/>
      <c r="AR71" s="210"/>
      <c r="AS71" s="210"/>
      <c r="AT71" s="210"/>
      <c r="AU71" s="210"/>
      <c r="AV71" s="210"/>
      <c r="AW71" s="210"/>
      <c r="AX71" s="210"/>
      <c r="AY71" s="210"/>
      <c r="AZ71" s="210"/>
      <c r="BA71" s="210"/>
      <c r="BB71" s="210"/>
      <c r="BC71" s="210"/>
      <c r="BD71" s="210"/>
      <c r="BE71" s="210"/>
      <c r="BF71" s="210"/>
      <c r="BG71" s="210"/>
      <c r="BH71" s="210"/>
      <c r="BI71" s="210"/>
      <c r="BJ71" s="210"/>
      <c r="BK71" s="210"/>
      <c r="BL71" s="210"/>
      <c r="BM71" s="210"/>
      <c r="BN71" s="210"/>
      <c r="BO71" s="210"/>
      <c r="BP71" s="210"/>
      <c r="BQ71" s="210"/>
      <c r="BR71" s="210"/>
      <c r="BS71" s="210"/>
      <c r="BT71" s="210"/>
      <c r="BU71" s="210"/>
      <c r="BV71" s="210"/>
      <c r="BW71" s="210"/>
      <c r="BX71" s="210"/>
      <c r="BY71" s="210"/>
      <c r="BZ71" s="210"/>
      <c r="CA71" s="210"/>
      <c r="CB71" s="210"/>
      <c r="CC71" s="210"/>
      <c r="CD71" s="210"/>
      <c r="CE71" s="210"/>
      <c r="CF71" s="210"/>
      <c r="CG71" s="210"/>
      <c r="CH71" s="210"/>
      <c r="CI71" s="210"/>
      <c r="CJ71" s="210"/>
      <c r="CK71" s="210"/>
      <c r="CL71" s="210"/>
      <c r="CM71" s="210"/>
    </row>
    <row r="72" spans="1:91" s="1" customFormat="1" x14ac:dyDescent="0.25">
      <c r="A72" s="32" t="s">
        <v>708</v>
      </c>
      <c r="B72" s="7">
        <v>4049</v>
      </c>
      <c r="C72" s="21" t="s">
        <v>194</v>
      </c>
      <c r="D72" s="21" t="s">
        <v>456</v>
      </c>
      <c r="E72" s="13">
        <v>43011.463506944441</v>
      </c>
      <c r="F72" s="13">
        <v>43011.477569444447</v>
      </c>
      <c r="G72" s="7">
        <v>105</v>
      </c>
      <c r="H72" s="21" t="s">
        <v>370</v>
      </c>
      <c r="I72" s="13">
        <v>43011.503171296295</v>
      </c>
      <c r="J72" s="7">
        <v>0</v>
      </c>
      <c r="K72" s="85" t="str">
        <f t="shared" si="28"/>
        <v>4049/4050</v>
      </c>
      <c r="L72" s="179" t="str">
        <f>VLOOKUP(A72,'Trips&amp;Operators'!$C$1:$G$99911,5,FALSE)</f>
        <v>YANAI IAN</v>
      </c>
      <c r="M72" s="6">
        <f t="shared" si="29"/>
        <v>2.5601851848477963E-2</v>
      </c>
      <c r="N72" s="7">
        <f t="shared" si="40"/>
        <v>36.866666661808267</v>
      </c>
      <c r="O72" s="7"/>
      <c r="P72" s="7"/>
      <c r="Q72" s="22"/>
      <c r="R72" s="169"/>
      <c r="S72" s="202">
        <f t="shared" si="39"/>
        <v>1</v>
      </c>
      <c r="T72" s="169" t="str">
        <f t="shared" si="30"/>
        <v>Southbound</v>
      </c>
      <c r="U72" s="22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2" t="str">
        <f t="shared" si="5"/>
        <v>https://d0f6bd738d7f1b3e5a7ca70fe4ff75f0.us-east-1.aws.found.io/app/kibana#/discover/Steve-Slow-Train-Analysis-(2080s-and-2083s)?_g=(refreshInterval:(display:Off,pause:!f,section:0,value:0),time:(from:'2017-10-03T10:07:27-0600',mode:absolute,to:'2017-10-03T13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2" s="223" t="str">
        <f>IF(AA72&lt;VLOOKUP(AG72,Variables!$AC$3:$AD$8,2,FALSE),"Y","N")</f>
        <v>N</v>
      </c>
      <c r="X72" s="223">
        <f t="shared" si="31"/>
        <v>1</v>
      </c>
      <c r="Y72" s="223">
        <f t="shared" si="32"/>
        <v>23.299099999999999</v>
      </c>
      <c r="Z72" s="223">
        <f t="shared" si="33"/>
        <v>1.5800000000000002E-2</v>
      </c>
      <c r="AA72" s="223">
        <f t="shared" si="34"/>
        <v>23.283300000000001</v>
      </c>
      <c r="AB72" s="224" t="e">
        <f>VLOOKUP(A72,Enforcements!$C$7:$K$11,8,0)</f>
        <v>#N/A</v>
      </c>
      <c r="AC72" s="224" t="e">
        <f>VLOOKUP(A72,Enforcements!$C$7:$E$11,3,0)</f>
        <v>#N/A</v>
      </c>
      <c r="AD72" s="225">
        <f t="shared" si="35"/>
        <v>156</v>
      </c>
      <c r="AE72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72" s="227" t="str">
        <f t="shared" si="12"/>
        <v>"C:\Program Files (x86)\AstroGrep\AstroGrep.exe" /e /r /s /spath="%USERPROFILE%\AppData\Local\Temp\OnboardLogs" /stypes="app*4049*20171003*" /stext=" 18:.+((SYSTEM_STATE.+slice.+state.+changed )|(ment ac)|(multiple cpu faults)|(system.+state.+changed )|(\[timeout)|(PRM\|1\|D)|(kpr)|(kdp)|(train st.+moving)|(\|lc)|(penalty))"</v>
      </c>
      <c r="AG72" s="228" t="str">
        <f t="shared" si="36"/>
        <v>EC</v>
      </c>
      <c r="AH72" s="229" t="str">
        <f t="shared" si="19"/>
        <v>"%USERPROFILE%\Documents\GitHub\eaglep3\Utilities\RefineRTDCRunTimes.py" --tripid 156-03 --locoid 4049 --swversion DE.1.0.9.0 --startMP 204:232991 --initTime 2017-10-03T11:07:27 --startdatetime 2017-10-03T11:27:42 --delay 105 --endMP 204:158 --enddatetime 2017-10-03T12:04:34 --enforcementcount 0 &gt;&gt;%USERPROFILE%\Documents\GitHub\eaglep3-reporting\EC\2017-10-03-refined-times.txt</v>
      </c>
      <c r="AI7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ID","value":"156-03"},{"id":16,"name":"Locomotive ID","value":"4049"},{"id":130,"name":"Impact","value":""},{"id":150,"name":"Time of Event (Mountain Time)","value":"12:04:34"},{"id":151,"name":"Denver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10"/>
      <c r="AK72" s="225"/>
      <c r="AL72" s="225"/>
      <c r="AM72" s="231" t="str">
        <f t="shared" si="21"/>
        <v>start /low /b %USERPROFILE%\Documents\GitHub\eaglep3\Utilities\DownloadLogsFromS3.py --loco 4049 --day 2017-10-03</v>
      </c>
      <c r="AN7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10" t="str">
        <f t="shared" si="23"/>
        <v>https://d0f6bd738d7f1b3e5a7ca70fe4ff75f0.us-east-1.aws.found.io/app/kibana#/discover/Steve-Slow-Train-Analysis-(2080s-and-2083s)?_g=(refreshInterval:(display:Off,pause:!f,section:0,value:0),time:(from:'2017-10-03T10:07:27-0600',mode:absolute,to:'2017-10-03T13:04:34-0600'))&amp;_a=(columns:!('Message%20ID',Summary),filters:!(),index:'emp_*',interval:auto,query:(query_string:(analyze_wildcard:!t,query:'%22rtdc.l.rtdc.4049%22')),sort:!(Time.ISO8601,asc))</v>
      </c>
      <c r="AP72" s="210"/>
      <c r="AQ72" s="210"/>
      <c r="AR72" s="210"/>
      <c r="AS72" s="210"/>
      <c r="AT72" s="210"/>
      <c r="AU72" s="210"/>
      <c r="AV72" s="210"/>
      <c r="AW72" s="210"/>
      <c r="AX72" s="210"/>
      <c r="AY72" s="210"/>
      <c r="AZ72" s="210"/>
      <c r="BA72" s="210"/>
      <c r="BB72" s="210"/>
      <c r="BC72" s="210"/>
      <c r="BD72" s="210"/>
      <c r="BE72" s="210"/>
      <c r="BF72" s="210"/>
      <c r="BG72" s="210"/>
      <c r="BH72" s="210"/>
      <c r="BI72" s="210"/>
      <c r="BJ72" s="210"/>
      <c r="BK72" s="210"/>
      <c r="BL72" s="210"/>
      <c r="BM72" s="210"/>
      <c r="BN72" s="210"/>
      <c r="BO72" s="210"/>
      <c r="BP72" s="210"/>
      <c r="BQ72" s="210"/>
      <c r="BR72" s="210"/>
      <c r="BS72" s="210"/>
      <c r="BT72" s="210"/>
      <c r="BU72" s="210"/>
      <c r="BV72" s="210"/>
      <c r="BW72" s="210"/>
      <c r="BX72" s="210"/>
      <c r="BY72" s="210"/>
      <c r="BZ72" s="210"/>
      <c r="CA72" s="210"/>
      <c r="CB72" s="210"/>
      <c r="CC72" s="210"/>
      <c r="CD72" s="210"/>
      <c r="CE72" s="210"/>
      <c r="CF72" s="210"/>
      <c r="CG72" s="210"/>
      <c r="CH72" s="210"/>
      <c r="CI72" s="210"/>
      <c r="CJ72" s="210"/>
      <c r="CK72" s="210"/>
      <c r="CL72" s="210"/>
      <c r="CM72" s="210"/>
    </row>
    <row r="73" spans="1:91" s="1" customFormat="1" x14ac:dyDescent="0.25">
      <c r="A73" s="32" t="s">
        <v>701</v>
      </c>
      <c r="B73" s="7">
        <v>4042</v>
      </c>
      <c r="C73" s="21" t="s">
        <v>194</v>
      </c>
      <c r="D73" s="21" t="s">
        <v>346</v>
      </c>
      <c r="E73" s="13">
        <v>43011.443472222221</v>
      </c>
      <c r="F73" s="13">
        <v>43011.448321759257</v>
      </c>
      <c r="G73" s="7">
        <v>131</v>
      </c>
      <c r="H73" s="21" t="s">
        <v>876</v>
      </c>
      <c r="I73" s="13">
        <v>43011.473344907405</v>
      </c>
      <c r="J73" s="7">
        <v>0</v>
      </c>
      <c r="K73" s="85" t="str">
        <f t="shared" si="28"/>
        <v>4041/4042</v>
      </c>
      <c r="L73" s="179" t="str">
        <f>VLOOKUP(A73,'Trips&amp;Operators'!$C$1:$G$99911,5,FALSE)</f>
        <v>DAVIS MICHAEL</v>
      </c>
      <c r="M73" s="6">
        <f t="shared" si="29"/>
        <v>2.5023148147738539E-2</v>
      </c>
      <c r="N73" s="7">
        <f t="shared" si="40"/>
        <v>36.033333332743496</v>
      </c>
      <c r="O73" s="7"/>
      <c r="P73" s="7"/>
      <c r="Q73" s="22"/>
      <c r="R73" s="169"/>
      <c r="S73" s="202">
        <f t="shared" si="39"/>
        <v>1</v>
      </c>
      <c r="T73" s="169" t="str">
        <f t="shared" si="30"/>
        <v>NorthBound</v>
      </c>
      <c r="U73" s="22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2" t="str">
        <f t="shared" si="5"/>
        <v>https://d0f6bd738d7f1b3e5a7ca70fe4ff75f0.us-east-1.aws.found.io/app/kibana#/discover/Steve-Slow-Train-Analysis-(2080s-and-2083s)?_g=(refreshInterval:(display:Off,pause:!f,section:0,value:0),time:(from:'2017-10-03T09:38:36-0600',mode:absolute,to:'2017-10-03T12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3" s="223" t="str">
        <f>IF(AA73&lt;VLOOKUP(AG73,Variables!$AC$3:$AD$8,2,FALSE),"Y","N")</f>
        <v>N</v>
      </c>
      <c r="X73" s="223">
        <f t="shared" si="31"/>
        <v>1</v>
      </c>
      <c r="Y73" s="223">
        <f t="shared" si="32"/>
        <v>4.5499999999999999E-2</v>
      </c>
      <c r="Z73" s="223">
        <f t="shared" si="33"/>
        <v>23.3339</v>
      </c>
      <c r="AA73" s="223">
        <f t="shared" si="34"/>
        <v>23.288399999999999</v>
      </c>
      <c r="AB73" s="224" t="e">
        <f>VLOOKUP(A73,Enforcements!$C$7:$K$11,8,0)</f>
        <v>#N/A</v>
      </c>
      <c r="AC73" s="224" t="e">
        <f>VLOOKUP(A73,Enforcements!$C$7:$E$11,3,0)</f>
        <v>#N/A</v>
      </c>
      <c r="AD73" s="225">
        <f t="shared" si="35"/>
        <v>157</v>
      </c>
      <c r="AE73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73" s="227" t="str">
        <f t="shared" si="12"/>
        <v>"C:\Program Files (x86)\AstroGrep\AstroGrep.exe" /e /r /s /spath="%USERPROFILE%\AppData\Local\Temp\OnboardLogs" /stypes="app*4042*20171003*" /stext=" 17:.+((SYSTEM_STATE.+slice.+state.+changed )|(ment ac)|(multiple cpu faults)|(system.+state.+changed )|(\[timeout)|(PRM\|1\|D)|(kpr)|(kdp)|(train st.+moving)|(\|lc)|(penalty))"</v>
      </c>
      <c r="AG73" s="228" t="str">
        <f t="shared" si="36"/>
        <v>EC</v>
      </c>
      <c r="AH73" s="229" t="str">
        <f t="shared" si="19"/>
        <v>"%USERPROFILE%\Documents\GitHub\eaglep3\Utilities\RefineRTDCRunTimes.py" --tripid 157-03 --locoid 4042 --swversion DE.1.0.9.0 --startMP 204:455 --initTime 2017-10-03T10:38:36 --startdatetime 2017-10-03T10:45:35 --delay 131 --endMP 204:233339 --enddatetime 2017-10-03T11:21:37 --enforcementcount 0 &gt;&gt;%USERPROFILE%\Documents\GitHub\eaglep3-reporting\EC\2017-10-03-refined-times.txt</v>
      </c>
      <c r="AI7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{"issue":{"subject":"","project_id":79,"tracker_id":40,"status_id":1,"priority_id":2,"assigned_to_id":338,"start_date":"2017-10-03","description":"","custom_fields":[{"id":1,"name":"Subdivision","value":"EC"},{"id":4,"name":"Milepost","value":"23.3339"},{"id":17,"name":"Train ID","value":"157-03"},{"id":16,"name":"Locomotive ID","value":"4042"},{"id":130,"name":"Impact","value":""},{"id":150,"name":"Time of Event (Mountain Time)","value":"11:21:37"},{"id":151,"name":"Denver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10"/>
      <c r="AK73" s="225"/>
      <c r="AL73" s="225"/>
      <c r="AM73" s="231" t="str">
        <f t="shared" si="21"/>
        <v>start /low /b %USERPROFILE%\Documents\GitHub\eaglep3\Utilities\DownloadLogsFromS3.py --loco 4042 --day 2017-10-03</v>
      </c>
      <c r="AN7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10" t="str">
        <f t="shared" si="23"/>
        <v>https://d0f6bd738d7f1b3e5a7ca70fe4ff75f0.us-east-1.aws.found.io/app/kibana#/discover/Steve-Slow-Train-Analysis-(2080s-and-2083s)?_g=(refreshInterval:(display:Off,pause:!f,section:0,value:0),time:(from:'2017-10-03T09:38:36-0600',mode:absolute,to:'2017-10-03T12:21:37-0600'))&amp;_a=(columns:!('Message%20ID',Summary),filters:!(),index:'emp_*',interval:auto,query:(query_string:(analyze_wildcard:!t,query:'%22rtdc.l.rtdc.4042%22')),sort:!(Time.ISO8601,asc))</v>
      </c>
      <c r="AP73" s="210"/>
      <c r="AQ73" s="210"/>
      <c r="AR73" s="210"/>
      <c r="AS73" s="210"/>
      <c r="AT73" s="210"/>
      <c r="AU73" s="210"/>
      <c r="AV73" s="210"/>
      <c r="AW73" s="210"/>
      <c r="AX73" s="210"/>
      <c r="AY73" s="210"/>
      <c r="AZ73" s="210"/>
      <c r="BA73" s="210"/>
      <c r="BB73" s="210"/>
      <c r="BC73" s="210"/>
      <c r="BD73" s="210"/>
      <c r="BE73" s="210"/>
      <c r="BF73" s="210"/>
      <c r="BG73" s="210"/>
      <c r="BH73" s="210"/>
      <c r="BI73" s="210"/>
      <c r="BJ73" s="210"/>
      <c r="BK73" s="210"/>
      <c r="BL73" s="210"/>
      <c r="BM73" s="210"/>
      <c r="BN73" s="210"/>
      <c r="BO73" s="210"/>
      <c r="BP73" s="210"/>
      <c r="BQ73" s="210"/>
      <c r="BR73" s="210"/>
      <c r="BS73" s="210"/>
      <c r="BT73" s="210"/>
      <c r="BU73" s="210"/>
      <c r="BV73" s="210"/>
      <c r="BW73" s="210"/>
      <c r="BX73" s="210"/>
      <c r="BY73" s="210"/>
      <c r="BZ73" s="210"/>
      <c r="CA73" s="210"/>
      <c r="CB73" s="210"/>
      <c r="CC73" s="210"/>
      <c r="CD73" s="210"/>
      <c r="CE73" s="210"/>
      <c r="CF73" s="210"/>
      <c r="CG73" s="210"/>
      <c r="CH73" s="210"/>
      <c r="CI73" s="210"/>
      <c r="CJ73" s="210"/>
      <c r="CK73" s="210"/>
      <c r="CL73" s="210"/>
      <c r="CM73" s="210"/>
    </row>
    <row r="74" spans="1:91" s="1" customFormat="1" x14ac:dyDescent="0.25">
      <c r="A74" s="32" t="s">
        <v>717</v>
      </c>
      <c r="B74" s="7">
        <v>4041</v>
      </c>
      <c r="C74" s="21" t="s">
        <v>194</v>
      </c>
      <c r="D74" s="21" t="s">
        <v>384</v>
      </c>
      <c r="E74" s="13">
        <v>43011.485081018516</v>
      </c>
      <c r="F74" s="13">
        <v>43011.487835648149</v>
      </c>
      <c r="G74" s="7">
        <v>89</v>
      </c>
      <c r="H74" s="21" t="s">
        <v>340</v>
      </c>
      <c r="I74" s="13">
        <v>43011.515509259261</v>
      </c>
      <c r="J74" s="7">
        <v>0</v>
      </c>
      <c r="K74" s="85" t="str">
        <f t="shared" si="28"/>
        <v>4041/4042</v>
      </c>
      <c r="L74" s="179" t="str">
        <f>VLOOKUP(A74,'Trips&amp;Operators'!$C$1:$G$99911,5,FALSE)</f>
        <v>DAVIS MICHAEL</v>
      </c>
      <c r="M74" s="6">
        <f t="shared" si="29"/>
        <v>2.7673611111822538E-2</v>
      </c>
      <c r="N74" s="7">
        <f t="shared" si="40"/>
        <v>39.850000001024455</v>
      </c>
      <c r="O74" s="7"/>
      <c r="P74" s="7"/>
      <c r="Q74" s="22"/>
      <c r="R74" s="169"/>
      <c r="S74" s="202">
        <f t="shared" si="39"/>
        <v>1</v>
      </c>
      <c r="T74" s="169" t="str">
        <f t="shared" si="30"/>
        <v>Southbound</v>
      </c>
      <c r="U74" s="22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2" t="str">
        <f t="shared" si="5"/>
        <v>https://d0f6bd738d7f1b3e5a7ca70fe4ff75f0.us-east-1.aws.found.io/app/kibana#/discover/Steve-Slow-Train-Analysis-(2080s-and-2083s)?_g=(refreshInterval:(display:Off,pause:!f,section:0,value:0),time:(from:'2017-10-03T10:38:31-0600',mode:absolute,to:'2017-10-03T13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4" s="223" t="str">
        <f>IF(AA74&lt;VLOOKUP(AG74,Variables!$AC$3:$AD$8,2,FALSE),"Y","N")</f>
        <v>N</v>
      </c>
      <c r="X74" s="223">
        <f t="shared" si="31"/>
        <v>1</v>
      </c>
      <c r="Y74" s="223">
        <f t="shared" si="32"/>
        <v>23.299800000000001</v>
      </c>
      <c r="Z74" s="223">
        <f t="shared" si="33"/>
        <v>1.47E-2</v>
      </c>
      <c r="AA74" s="223">
        <f t="shared" si="34"/>
        <v>23.2851</v>
      </c>
      <c r="AB74" s="224" t="e">
        <f>VLOOKUP(A74,Enforcements!$C$7:$K$11,8,0)</f>
        <v>#N/A</v>
      </c>
      <c r="AC74" s="224" t="e">
        <f>VLOOKUP(A74,Enforcements!$C$7:$E$11,3,0)</f>
        <v>#N/A</v>
      </c>
      <c r="AD74" s="225">
        <f t="shared" si="35"/>
        <v>158</v>
      </c>
      <c r="AE74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74" s="227" t="str">
        <f t="shared" si="12"/>
        <v>"C:\Program Files (x86)\AstroGrep\AstroGrep.exe" /e /r /s /spath="%USERPROFILE%\AppData\Local\Temp\OnboardLogs" /stypes="app*4041*20171003*" /stext=" 18:.+((SYSTEM_STATE.+slice.+state.+changed )|(ment ac)|(multiple cpu faults)|(system.+state.+changed )|(\[timeout)|(PRM\|1\|D)|(kpr)|(kdp)|(train st.+moving)|(\|lc)|(penalty))"</v>
      </c>
      <c r="AG74" s="228" t="str">
        <f t="shared" si="36"/>
        <v>EC</v>
      </c>
      <c r="AH74" s="229" t="str">
        <f t="shared" si="19"/>
        <v>"%USERPROFILE%\Documents\GitHub\eaglep3\Utilities\RefineRTDCRunTimes.py" --tripid 158-03 --locoid 4041 --swversion DE.1.0.9.0 --startMP 204:232998 --initTime 2017-10-03T11:38:31 --startdatetime 2017-10-03T11:42:29 --delay 89 --endMP 204:147 --enddatetime 2017-10-03T12:22:20 --enforcementcount 0 &gt;&gt;%USERPROFILE%\Documents\GitHub\eaglep3-reporting\EC\2017-10-03-refined-times.txt</v>
      </c>
      <c r="AI7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ID","value":"158-03"},{"id":16,"name":"Locomotive ID","value":"4041"},{"id":130,"name":"Impact","value":""},{"id":150,"name":"Time of Event (Mountain Time)","value":"12:22:20"},{"id":151,"name":"Denver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10"/>
      <c r="AK74" s="225"/>
      <c r="AL74" s="225"/>
      <c r="AM74" s="231" t="str">
        <f t="shared" si="21"/>
        <v>start /low /b %USERPROFILE%\Documents\GitHub\eaglep3\Utilities\DownloadLogsFromS3.py --loco 4041 --day 2017-10-03</v>
      </c>
      <c r="AN7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10" t="str">
        <f t="shared" si="23"/>
        <v>https://d0f6bd738d7f1b3e5a7ca70fe4ff75f0.us-east-1.aws.found.io/app/kibana#/discover/Steve-Slow-Train-Analysis-(2080s-and-2083s)?_g=(refreshInterval:(display:Off,pause:!f,section:0,value:0),time:(from:'2017-10-03T10:38:31-0600',mode:absolute,to:'2017-10-03T13:22:20-0600'))&amp;_a=(columns:!('Message%20ID',Summary),filters:!(),index:'emp_*',interval:auto,query:(query_string:(analyze_wildcard:!t,query:'%22rtdc.l.rtdc.4041%22')),sort:!(Time.ISO8601,asc))</v>
      </c>
      <c r="AP74" s="210"/>
      <c r="AQ74" s="210"/>
      <c r="AR74" s="210"/>
      <c r="AS74" s="210"/>
      <c r="AT74" s="210"/>
      <c r="AU74" s="210"/>
      <c r="AV74" s="210"/>
      <c r="AW74" s="210"/>
      <c r="AX74" s="210"/>
      <c r="AY74" s="210"/>
      <c r="AZ74" s="210"/>
      <c r="BA74" s="210"/>
      <c r="BB74" s="210"/>
      <c r="BC74" s="210"/>
      <c r="BD74" s="210"/>
      <c r="BE74" s="210"/>
      <c r="BF74" s="210"/>
      <c r="BG74" s="210"/>
      <c r="BH74" s="210"/>
      <c r="BI74" s="210"/>
      <c r="BJ74" s="210"/>
      <c r="BK74" s="210"/>
      <c r="BL74" s="210"/>
      <c r="BM74" s="210"/>
      <c r="BN74" s="210"/>
      <c r="BO74" s="210"/>
      <c r="BP74" s="210"/>
      <c r="BQ74" s="210"/>
      <c r="BR74" s="210"/>
      <c r="BS74" s="210"/>
      <c r="BT74" s="210"/>
      <c r="BU74" s="210"/>
      <c r="BV74" s="210"/>
      <c r="BW74" s="210"/>
      <c r="BX74" s="210"/>
      <c r="BY74" s="210"/>
      <c r="BZ74" s="210"/>
      <c r="CA74" s="210"/>
      <c r="CB74" s="210"/>
      <c r="CC74" s="210"/>
      <c r="CD74" s="210"/>
      <c r="CE74" s="210"/>
      <c r="CF74" s="210"/>
      <c r="CG74" s="210"/>
      <c r="CH74" s="210"/>
      <c r="CI74" s="210"/>
      <c r="CJ74" s="210"/>
      <c r="CK74" s="210"/>
      <c r="CL74" s="210"/>
      <c r="CM74" s="210"/>
    </row>
    <row r="75" spans="1:91" s="1" customFormat="1" x14ac:dyDescent="0.25">
      <c r="A75" s="32" t="s">
        <v>705</v>
      </c>
      <c r="B75" s="7">
        <v>4012</v>
      </c>
      <c r="C75" s="21" t="s">
        <v>194</v>
      </c>
      <c r="D75" s="21" t="s">
        <v>401</v>
      </c>
      <c r="E75" s="13">
        <v>43011.456030092595</v>
      </c>
      <c r="F75" s="13">
        <v>43011.458564814813</v>
      </c>
      <c r="G75" s="7">
        <v>44</v>
      </c>
      <c r="H75" s="21" t="s">
        <v>560</v>
      </c>
      <c r="I75" s="13">
        <v>43011.483437499999</v>
      </c>
      <c r="J75" s="7">
        <v>0</v>
      </c>
      <c r="K75" s="85" t="str">
        <f t="shared" si="28"/>
        <v>4011/4012</v>
      </c>
      <c r="L75" s="179" t="str">
        <f>VLOOKUP(A75,'Trips&amp;Operators'!$C$1:$G$99911,5,FALSE)</f>
        <v>MACDONALD THOMAS</v>
      </c>
      <c r="M75" s="6">
        <f t="shared" si="29"/>
        <v>2.4872685185982846E-2</v>
      </c>
      <c r="N75" s="7">
        <f t="shared" si="40"/>
        <v>35.816666667815298</v>
      </c>
      <c r="O75" s="7"/>
      <c r="P75" s="7"/>
      <c r="Q75" s="22"/>
      <c r="R75" s="169"/>
      <c r="S75" s="202">
        <f t="shared" si="39"/>
        <v>1</v>
      </c>
      <c r="T75" s="169" t="str">
        <f t="shared" si="30"/>
        <v>NorthBound</v>
      </c>
      <c r="U75" s="22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2" t="str">
        <f t="shared" si="5"/>
        <v>https://d0f6bd738d7f1b3e5a7ca70fe4ff75f0.us-east-1.aws.found.io/app/kibana#/discover/Steve-Slow-Train-Analysis-(2080s-and-2083s)?_g=(refreshInterval:(display:Off,pause:!f,section:0,value:0),time:(from:'2017-10-03T09:56:41-0600',mode:absolute,to:'2017-10-03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223" t="str">
        <f>IF(AA75&lt;VLOOKUP(AG75,Variables!$AC$3:$AD$8,2,FALSE),"Y","N")</f>
        <v>N</v>
      </c>
      <c r="X75" s="223">
        <f t="shared" si="31"/>
        <v>1</v>
      </c>
      <c r="Y75" s="223">
        <f t="shared" si="32"/>
        <v>4.5699999999999998E-2</v>
      </c>
      <c r="Z75" s="223">
        <f t="shared" si="33"/>
        <v>23.328499999999998</v>
      </c>
      <c r="AA75" s="223">
        <f t="shared" si="34"/>
        <v>23.282799999999998</v>
      </c>
      <c r="AB75" s="224" t="e">
        <f>VLOOKUP(A75,Enforcements!$C$7:$K$11,8,0)</f>
        <v>#N/A</v>
      </c>
      <c r="AC75" s="224" t="e">
        <f>VLOOKUP(A75,Enforcements!$C$7:$E$11,3,0)</f>
        <v>#N/A</v>
      </c>
      <c r="AD75" s="225">
        <f t="shared" si="35"/>
        <v>159</v>
      </c>
      <c r="AE75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75" s="227" t="str">
        <f t="shared" si="12"/>
        <v>"C:\Program Files (x86)\AstroGrep\AstroGrep.exe" /e /r /s /spath="%USERPROFILE%\AppData\Local\Temp\OnboardLogs" /stypes="app*4012*20171003*" /stext=" 17:.+((SYSTEM_STATE.+slice.+state.+changed )|(ment ac)|(multiple cpu faults)|(system.+state.+changed )|(\[timeout)|(PRM\|1\|D)|(kpr)|(kdp)|(train st.+moving)|(\|lc)|(penalty))"</v>
      </c>
      <c r="AG75" s="228" t="str">
        <f t="shared" si="36"/>
        <v>EC</v>
      </c>
      <c r="AH75" s="229" t="str">
        <f t="shared" si="19"/>
        <v>"%USERPROFILE%\Documents\GitHub\eaglep3\Utilities\RefineRTDCRunTimes.py" --tripid 159-03 --locoid 4012 --swversion DE.1.0.9.0 --startMP 204:457 --initTime 2017-10-03T10:56:41 --startdatetime 2017-10-03T11:00:20 --delay 44 --endMP 204:233285 --enddatetime 2017-10-03T11:36:09 --enforcementcount 0 &gt;&gt;%USERPROFILE%\Documents\GitHub\eaglep3-reporting\EC\2017-10-03-refined-times.txt</v>
      </c>
      <c r="AI7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{"issue":{"subject":"","project_id":79,"tracker_id":40,"status_id":1,"priority_id":2,"assigned_to_id":338,"start_date":"2017-10-03","description":"","custom_fields":[{"id":1,"name":"Subdivision","value":"EC"},{"id":4,"name":"Milepost","value":"23.3285"},{"id":17,"name":"Train ID","value":"159-03"},{"id":16,"name":"Locomotive ID","value":"4012"},{"id":130,"name":"Impact","value":""},{"id":150,"name":"Time of Event (Mountain Time)","value":"11:36:09"},{"id":151,"name":"Denver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10"/>
      <c r="AK75" s="225"/>
      <c r="AL75" s="225"/>
      <c r="AM75" s="231" t="str">
        <f t="shared" si="21"/>
        <v>start /low /b %USERPROFILE%\Documents\GitHub\eaglep3\Utilities\DownloadLogsFromS3.py --loco 4012 --day 2017-10-03</v>
      </c>
      <c r="AN7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10" t="str">
        <f t="shared" si="23"/>
        <v>https://d0f6bd738d7f1b3e5a7ca70fe4ff75f0.us-east-1.aws.found.io/app/kibana#/discover/Steve-Slow-Train-Analysis-(2080s-and-2083s)?_g=(refreshInterval:(display:Off,pause:!f,section:0,value:0),time:(from:'2017-10-03T09:56:41-0600',mode:absolute,to:'2017-10-03T12:36:09-0600'))&amp;_a=(columns:!('Message%20ID',Summary),filters:!(),index:'emp_*',interval:auto,query:(query_string:(analyze_wildcard:!t,query:'%22rtdc.l.rtdc.4012%22')),sort:!(Time.ISO8601,asc))</v>
      </c>
      <c r="AP75" s="210"/>
      <c r="AQ75" s="210"/>
      <c r="AR75" s="210"/>
      <c r="AS75" s="210"/>
      <c r="AT75" s="210"/>
      <c r="AU75" s="210"/>
      <c r="AV75" s="210"/>
      <c r="AW75" s="210"/>
      <c r="AX75" s="210"/>
      <c r="AY75" s="210"/>
      <c r="AZ75" s="210"/>
      <c r="BA75" s="210"/>
      <c r="BB75" s="210"/>
      <c r="BC75" s="210"/>
      <c r="BD75" s="210"/>
      <c r="BE75" s="210"/>
      <c r="BF75" s="210"/>
      <c r="BG75" s="210"/>
      <c r="BH75" s="210"/>
      <c r="BI75" s="210"/>
      <c r="BJ75" s="210"/>
      <c r="BK75" s="210"/>
      <c r="BL75" s="210"/>
      <c r="BM75" s="210"/>
      <c r="BN75" s="210"/>
      <c r="BO75" s="210"/>
      <c r="BP75" s="210"/>
      <c r="BQ75" s="210"/>
      <c r="BR75" s="210"/>
      <c r="BS75" s="210"/>
      <c r="BT75" s="210"/>
      <c r="BU75" s="210"/>
      <c r="BV75" s="210"/>
      <c r="BW75" s="210"/>
      <c r="BX75" s="210"/>
      <c r="BY75" s="210"/>
      <c r="BZ75" s="210"/>
      <c r="CA75" s="210"/>
      <c r="CB75" s="210"/>
      <c r="CC75" s="210"/>
      <c r="CD75" s="210"/>
      <c r="CE75" s="210"/>
      <c r="CF75" s="210"/>
      <c r="CG75" s="210"/>
      <c r="CH75" s="210"/>
      <c r="CI75" s="210"/>
      <c r="CJ75" s="210"/>
      <c r="CK75" s="210"/>
      <c r="CL75" s="210"/>
      <c r="CM75" s="210"/>
    </row>
    <row r="76" spans="1:91" s="1" customFormat="1" x14ac:dyDescent="0.25">
      <c r="A76" s="32" t="s">
        <v>721</v>
      </c>
      <c r="B76" s="7">
        <v>4011</v>
      </c>
      <c r="C76" s="21" t="s">
        <v>194</v>
      </c>
      <c r="D76" s="21" t="s">
        <v>847</v>
      </c>
      <c r="E76" s="13">
        <v>43011.496365740742</v>
      </c>
      <c r="F76" s="13">
        <v>43011.498298611114</v>
      </c>
      <c r="G76" s="7">
        <v>78</v>
      </c>
      <c r="H76" s="21" t="s">
        <v>562</v>
      </c>
      <c r="I76" s="13">
        <v>43011.525983796295</v>
      </c>
      <c r="J76" s="7">
        <v>0</v>
      </c>
      <c r="K76" s="85" t="str">
        <f t="shared" si="28"/>
        <v>4011/4012</v>
      </c>
      <c r="L76" s="179" t="str">
        <f>VLOOKUP(A76,'Trips&amp;Operators'!$C$1:$G$99911,5,FALSE)</f>
        <v>MACDONALD THOMAS</v>
      </c>
      <c r="M76" s="6">
        <f t="shared" si="29"/>
        <v>2.7685185181326233E-2</v>
      </c>
      <c r="N76" s="7">
        <f t="shared" si="40"/>
        <v>39.866666661109775</v>
      </c>
      <c r="O76" s="7"/>
      <c r="P76" s="7"/>
      <c r="Q76" s="22"/>
      <c r="R76" s="169"/>
      <c r="S76" s="202">
        <f t="shared" si="39"/>
        <v>1</v>
      </c>
      <c r="T76" s="169" t="str">
        <f t="shared" si="30"/>
        <v>Southbound</v>
      </c>
      <c r="U76" s="22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2" t="str">
        <f t="shared" si="5"/>
        <v>https://d0f6bd738d7f1b3e5a7ca70fe4ff75f0.us-east-1.aws.found.io/app/kibana#/discover/Steve-Slow-Train-Analysis-(2080s-and-2083s)?_g=(refreshInterval:(display:Off,pause:!f,section:0,value:0),time:(from:'2017-10-03T10:54:46-0600',mode:absolute,to:'2017-10-03T13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223" t="str">
        <f>IF(AA76&lt;VLOOKUP(AG76,Variables!$AC$3:$AD$8,2,FALSE),"Y","N")</f>
        <v>N</v>
      </c>
      <c r="X76" s="223">
        <f t="shared" si="31"/>
        <v>1</v>
      </c>
      <c r="Y76" s="223">
        <f t="shared" si="32"/>
        <v>23.2959</v>
      </c>
      <c r="Z76" s="223">
        <f t="shared" si="33"/>
        <v>1.3599999999999999E-2</v>
      </c>
      <c r="AA76" s="223">
        <f t="shared" si="34"/>
        <v>23.282299999999999</v>
      </c>
      <c r="AB76" s="224" t="e">
        <f>VLOOKUP(A76,Enforcements!$C$7:$K$11,8,0)</f>
        <v>#N/A</v>
      </c>
      <c r="AC76" s="224" t="e">
        <f>VLOOKUP(A76,Enforcements!$C$7:$E$11,3,0)</f>
        <v>#N/A</v>
      </c>
      <c r="AD76" s="225">
        <f t="shared" si="35"/>
        <v>160</v>
      </c>
      <c r="AE76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76" s="227" t="str">
        <f t="shared" si="12"/>
        <v>"C:\Program Files (x86)\AstroGrep\AstroGrep.exe" /e /r /s /spath="%USERPROFILE%\AppData\Local\Temp\OnboardLogs" /stypes="app*4011*20171003*" /stext=" 18:.+((SYSTEM_STATE.+slice.+state.+changed )|(ment ac)|(multiple cpu faults)|(system.+state.+changed )|(\[timeout)|(PRM\|1\|D)|(kpr)|(kdp)|(train st.+moving)|(\|lc)|(penalty))"</v>
      </c>
      <c r="AG76" s="228" t="str">
        <f t="shared" si="36"/>
        <v>EC</v>
      </c>
      <c r="AH76" s="229" t="str">
        <f t="shared" si="19"/>
        <v>"%USERPROFILE%\Documents\GitHub\eaglep3\Utilities\RefineRTDCRunTimes.py" --tripid 160-03 --locoid 4011 --swversion DE.1.0.9.0 --startMP 204:232959 --initTime 2017-10-03T11:54:46 --startdatetime 2017-10-03T11:57:33 --delay 78 --endMP 204:136 --enddatetime 2017-10-03T12:37:25 --enforcementcount 0 &gt;&gt;%USERPROFILE%\Documents\GitHub\eaglep3-reporting\EC\2017-10-03-refined-times.txt</v>
      </c>
      <c r="AI7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{"issue":{"subject":"","project_id":79,"tracker_id":40,"status_id":1,"priority_id":2,"assigned_to_id":338,"start_date":"2017-10-03","description":"","custom_fields":[{"id":1,"name":"Subdivision","value":"EC"},{"id":4,"name":"Milepost","value":"0.0136"},{"id":17,"name":"Train ID","value":"160-03"},{"id":16,"name":"Locomotive ID","value":"4011"},{"id":130,"name":"Impact","value":""},{"id":150,"name":"Time of Event (Mountain Time)","value":"12:37:25"},{"id":151,"name":"Denver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10"/>
      <c r="AK76" s="225"/>
      <c r="AL76" s="225"/>
      <c r="AM76" s="231" t="str">
        <f t="shared" si="21"/>
        <v>start /low /b %USERPROFILE%\Documents\GitHub\eaglep3\Utilities\DownloadLogsFromS3.py --loco 4011 --day 2017-10-03</v>
      </c>
      <c r="AN7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10" t="str">
        <f t="shared" si="23"/>
        <v>https://d0f6bd738d7f1b3e5a7ca70fe4ff75f0.us-east-1.aws.found.io/app/kibana#/discover/Steve-Slow-Train-Analysis-(2080s-and-2083s)?_g=(refreshInterval:(display:Off,pause:!f,section:0,value:0),time:(from:'2017-10-03T10:54:46-0600',mode:absolute,to:'2017-10-03T13:37:25-0600'))&amp;_a=(columns:!('Message%20ID',Summary),filters:!(),index:'emp_*',interval:auto,query:(query_string:(analyze_wildcard:!t,query:'%22rtdc.l.rtdc.4011%22')),sort:!(Time.ISO8601,asc))</v>
      </c>
      <c r="AP76" s="210"/>
      <c r="AQ76" s="210"/>
      <c r="AR76" s="210"/>
      <c r="AS76" s="210"/>
      <c r="AT76" s="210"/>
      <c r="AU76" s="210"/>
      <c r="AV76" s="210"/>
      <c r="AW76" s="210"/>
      <c r="AX76" s="210"/>
      <c r="AY76" s="210"/>
      <c r="AZ76" s="210"/>
      <c r="BA76" s="210"/>
      <c r="BB76" s="210"/>
      <c r="BC76" s="210"/>
      <c r="BD76" s="210"/>
      <c r="BE76" s="210"/>
      <c r="BF76" s="210"/>
      <c r="BG76" s="210"/>
      <c r="BH76" s="210"/>
      <c r="BI76" s="210"/>
      <c r="BJ76" s="210"/>
      <c r="BK76" s="210"/>
      <c r="BL76" s="210"/>
      <c r="BM76" s="210"/>
      <c r="BN76" s="210"/>
      <c r="BO76" s="210"/>
      <c r="BP76" s="210"/>
      <c r="BQ76" s="210"/>
      <c r="BR76" s="210"/>
      <c r="BS76" s="210"/>
      <c r="BT76" s="210"/>
      <c r="BU76" s="210"/>
      <c r="BV76" s="210"/>
      <c r="BW76" s="210"/>
      <c r="BX76" s="210"/>
      <c r="BY76" s="210"/>
      <c r="BZ76" s="210"/>
      <c r="CA76" s="210"/>
      <c r="CB76" s="210"/>
      <c r="CC76" s="210"/>
      <c r="CD76" s="210"/>
      <c r="CE76" s="210"/>
      <c r="CF76" s="210"/>
      <c r="CG76" s="210"/>
      <c r="CH76" s="210"/>
      <c r="CI76" s="210"/>
      <c r="CJ76" s="210"/>
      <c r="CK76" s="210"/>
      <c r="CL76" s="210"/>
      <c r="CM76" s="210"/>
    </row>
    <row r="77" spans="1:91" s="1" customFormat="1" x14ac:dyDescent="0.25">
      <c r="A77" s="32" t="s">
        <v>709</v>
      </c>
      <c r="B77" s="7">
        <v>4032</v>
      </c>
      <c r="C77" s="21" t="s">
        <v>194</v>
      </c>
      <c r="D77" s="21" t="s">
        <v>872</v>
      </c>
      <c r="E77" s="13">
        <v>43011.465844907405</v>
      </c>
      <c r="F77" s="13">
        <v>43011.468923611108</v>
      </c>
      <c r="G77" s="7">
        <v>86</v>
      </c>
      <c r="H77" s="21" t="s">
        <v>877</v>
      </c>
      <c r="I77" s="13">
        <v>43011.493009259262</v>
      </c>
      <c r="J77" s="7">
        <v>0</v>
      </c>
      <c r="K77" s="85" t="str">
        <f t="shared" ref="K77:K108" si="41">IF(ISEVEN(B77),(B77-1)&amp;"/"&amp;B77,B77&amp;"/"&amp;(B77+1))</f>
        <v>4031/4032</v>
      </c>
      <c r="L77" s="179" t="str">
        <f>VLOOKUP(A77,'Trips&amp;Operators'!$C$1:$G$99911,5,FALSE)</f>
        <v>BRUDER RICHARD</v>
      </c>
      <c r="M77" s="6">
        <f t="shared" ref="M77:M108" si="42">I77-F77</f>
        <v>2.4085648154141381E-2</v>
      </c>
      <c r="N77" s="7">
        <f t="shared" si="40"/>
        <v>34.683333341963589</v>
      </c>
      <c r="O77" s="7"/>
      <c r="P77" s="7"/>
      <c r="Q77" s="22"/>
      <c r="R77" s="169"/>
      <c r="S77" s="202">
        <f t="shared" si="39"/>
        <v>1</v>
      </c>
      <c r="T77" s="169" t="str">
        <f t="shared" ref="T77:T108" si="43">IF(ISEVEN(LEFT(AD77,4)),"Southbound","NorthBound")</f>
        <v>NorthBound</v>
      </c>
      <c r="U77" s="22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2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-03T10:10:49-0600',mode:absolute,to:'2017-10-03T12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223" t="str">
        <f>IF(AA77&lt;VLOOKUP(AG77,Variables!$AC$3:$AD$8,2,FALSE),"Y","N")</f>
        <v>N</v>
      </c>
      <c r="X77" s="223">
        <f t="shared" ref="X77:X108" si="45">VALUE(LEFT(AD77,4))-VALUE(LEFT(AD76,4))</f>
        <v>1</v>
      </c>
      <c r="Y77" s="223">
        <f t="shared" ref="Y77:Y108" si="46">RIGHT(D77,LEN(D77)-4)/10000</f>
        <v>4.2700000000000002E-2</v>
      </c>
      <c r="Z77" s="223">
        <f t="shared" ref="Z77:Z108" si="47">RIGHT(H77,LEN(H77)-4)/10000</f>
        <v>23.328600000000002</v>
      </c>
      <c r="AA77" s="223">
        <f t="shared" ref="AA77:AA108" si="48">ABS(Z77-Y77)</f>
        <v>23.285900000000002</v>
      </c>
      <c r="AB77" s="224" t="e">
        <f>VLOOKUP(A77,Enforcements!$C$7:$K$11,8,0)</f>
        <v>#N/A</v>
      </c>
      <c r="AC77" s="224" t="e">
        <f>VLOOKUP(A77,Enforcements!$C$7:$E$11,3,0)</f>
        <v>#N/A</v>
      </c>
      <c r="AD77" s="225">
        <f t="shared" ref="AD77:AD108" si="49">VALUE(LEFT(A77,LEN(A77)-3))</f>
        <v>161</v>
      </c>
      <c r="AE77" s="226" t="str">
        <f t="shared" ref="AE77:AE140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77" s="227" t="str">
        <f t="shared" ref="AF77:AF140" si="5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/stypes="app*4032*20171003*" /stext=" 17:.+((SYSTEM_STATE.+slice.+state.+changed )|(ment ac)|(multiple cpu faults)|(system.+state.+changed )|(\[timeout)|(PRM\|1\|D)|(kpr)|(kdp)|(train st.+moving)|(\|lc)|(penalty))"</v>
      </c>
      <c r="AG77" s="228" t="str">
        <f t="shared" ref="AG77:AG108" si="52">DetSubdiv(A77)</f>
        <v>EC</v>
      </c>
      <c r="AH77" s="229" t="str">
        <f t="shared" si="19"/>
        <v>"%USERPROFILE%\Documents\GitHub\eaglep3\Utilities\RefineRTDCRunTimes.py" --tripid 161-03 --locoid 4032 --swversion DE.1.0.9.0 --startMP 204:427 --initTime 2017-10-03T11:10:49 --startdatetime 2017-10-03T11:15:15 --delay 86 --endMP 204:233286 --enddatetime 2017-10-03T11:49:56 --enforcementcount 0 &gt;&gt;%USERPROFILE%\Documents\GitHub\eaglep3-reporting\EC\2017-10-03-refined-times.txt</v>
      </c>
      <c r="AI7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{"issue":{"subject":"","project_id":79,"tracker_id":40,"status_id":1,"priority_id":2,"assigned_to_id":338,"start_date":"2017-10-03","description":"","custom_fields":[{"id":1,"name":"Subdivision","value":"EC"},{"id":4,"name":"Milepost","value":"23.3286"},{"id":17,"name":"Train ID","value":"161-03"},{"id":16,"name":"Locomotive ID","value":"4032"},{"id":130,"name":"Impact","value":""},{"id":150,"name":"Time of Event (Mountain Time)","value":"11:49:56"},{"id":151,"name":"Denver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10"/>
      <c r="AK77" s="225"/>
      <c r="AL77" s="225"/>
      <c r="AM77" s="231" t="str">
        <f t="shared" si="21"/>
        <v>start /low /b %USERPROFILE%\Documents\GitHub\eaglep3\Utilities\DownloadLogsFromS3.py --loco 4032 --day 2017-10-03</v>
      </c>
      <c r="AN7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10" t="str">
        <f t="shared" si="23"/>
        <v>https://d0f6bd738d7f1b3e5a7ca70fe4ff75f0.us-east-1.aws.found.io/app/kibana#/discover/Steve-Slow-Train-Analysis-(2080s-and-2083s)?_g=(refreshInterval:(display:Off,pause:!f,section:0,value:0),time:(from:'2017-10-03T10:10:49-0600',mode:absolute,to:'2017-10-03T12:49:56-0600'))&amp;_a=(columns:!('Message%20ID',Summary),filters:!(),index:'emp_*',interval:auto,query:(query_string:(analyze_wildcard:!t,query:'%22rtdc.l.rtdc.4032%22')),sort:!(Time.ISO8601,asc))</v>
      </c>
      <c r="AP77" s="210"/>
      <c r="AQ77" s="210"/>
      <c r="AR77" s="210"/>
      <c r="AS77" s="210"/>
      <c r="AT77" s="210"/>
      <c r="AU77" s="210"/>
      <c r="AV77" s="210"/>
      <c r="AW77" s="210"/>
      <c r="AX77" s="210"/>
      <c r="AY77" s="210"/>
      <c r="AZ77" s="210"/>
      <c r="BA77" s="210"/>
      <c r="BB77" s="210"/>
      <c r="BC77" s="210"/>
      <c r="BD77" s="210"/>
      <c r="BE77" s="210"/>
      <c r="BF77" s="210"/>
      <c r="BG77" s="210"/>
      <c r="BH77" s="210"/>
      <c r="BI77" s="210"/>
      <c r="BJ77" s="210"/>
      <c r="BK77" s="210"/>
      <c r="BL77" s="210"/>
      <c r="BM77" s="210"/>
      <c r="BN77" s="210"/>
      <c r="BO77" s="210"/>
      <c r="BP77" s="210"/>
      <c r="BQ77" s="210"/>
      <c r="BR77" s="210"/>
      <c r="BS77" s="210"/>
      <c r="BT77" s="210"/>
      <c r="BU77" s="210"/>
      <c r="BV77" s="210"/>
      <c r="BW77" s="210"/>
      <c r="BX77" s="210"/>
      <c r="BY77" s="210"/>
      <c r="BZ77" s="210"/>
      <c r="CA77" s="210"/>
      <c r="CB77" s="210"/>
      <c r="CC77" s="210"/>
      <c r="CD77" s="210"/>
      <c r="CE77" s="210"/>
      <c r="CF77" s="210"/>
      <c r="CG77" s="210"/>
      <c r="CH77" s="210"/>
      <c r="CI77" s="210"/>
      <c r="CJ77" s="210"/>
      <c r="CK77" s="210"/>
      <c r="CL77" s="210"/>
      <c r="CM77" s="210"/>
    </row>
    <row r="78" spans="1:91" s="1" customFormat="1" x14ac:dyDescent="0.25">
      <c r="A78" s="32" t="s">
        <v>723</v>
      </c>
      <c r="B78" s="7">
        <v>4031</v>
      </c>
      <c r="C78" s="21" t="s">
        <v>194</v>
      </c>
      <c r="D78" s="21" t="s">
        <v>878</v>
      </c>
      <c r="E78" s="13">
        <v>43011.505497685182</v>
      </c>
      <c r="F78" s="13">
        <v>43011.508553240739</v>
      </c>
      <c r="G78" s="7">
        <v>112</v>
      </c>
      <c r="H78" s="21" t="s">
        <v>335</v>
      </c>
      <c r="I78" s="13">
        <v>43011.534942129627</v>
      </c>
      <c r="J78" s="7">
        <v>0</v>
      </c>
      <c r="K78" s="85" t="str">
        <f t="shared" si="41"/>
        <v>4031/4032</v>
      </c>
      <c r="L78" s="179" t="str">
        <f>VLOOKUP(A78,'Trips&amp;Operators'!$C$1:$G$99911,5,FALSE)</f>
        <v>BRUDER RICHARD</v>
      </c>
      <c r="M78" s="6">
        <f t="shared" si="42"/>
        <v>2.6388888887595385E-2</v>
      </c>
      <c r="N78" s="7">
        <f t="shared" si="40"/>
        <v>37.999999998137355</v>
      </c>
      <c r="O78" s="7"/>
      <c r="P78" s="7"/>
      <c r="Q78" s="22"/>
      <c r="R78" s="169"/>
      <c r="S78" s="202">
        <f t="shared" si="39"/>
        <v>1</v>
      </c>
      <c r="T78" s="169" t="str">
        <f t="shared" si="43"/>
        <v>Southbound</v>
      </c>
      <c r="U78" s="22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2" t="str">
        <f t="shared" si="44"/>
        <v>https://d0f6bd738d7f1b3e5a7ca70fe4ff75f0.us-east-1.aws.found.io/app/kibana#/discover/Steve-Slow-Train-Analysis-(2080s-and-2083s)?_g=(refreshInterval:(display:Off,pause:!f,section:0,value:0),time:(from:'2017-10-03T11:07:55-0600',mode:absolute,to:'2017-10-03T13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223" t="str">
        <f>IF(AA78&lt;VLOOKUP(AG78,Variables!$AC$3:$AD$8,2,FALSE),"Y","N")</f>
        <v>N</v>
      </c>
      <c r="X78" s="223">
        <f t="shared" si="45"/>
        <v>1</v>
      </c>
      <c r="Y78" s="223">
        <f t="shared" si="46"/>
        <v>23.298999999999999</v>
      </c>
      <c r="Z78" s="223">
        <f t="shared" si="47"/>
        <v>1.4999999999999999E-2</v>
      </c>
      <c r="AA78" s="223">
        <f t="shared" si="48"/>
        <v>23.283999999999999</v>
      </c>
      <c r="AB78" s="224" t="e">
        <f>VLOOKUP(A78,Enforcements!$C$7:$K$11,8,0)</f>
        <v>#N/A</v>
      </c>
      <c r="AC78" s="224" t="e">
        <f>VLOOKUP(A78,Enforcements!$C$7:$E$11,3,0)</f>
        <v>#N/A</v>
      </c>
      <c r="AD78" s="225">
        <f t="shared" si="49"/>
        <v>162</v>
      </c>
      <c r="AE78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78" s="227" t="str">
        <f t="shared" si="51"/>
        <v>"C:\Program Files (x86)\AstroGrep\AstroGrep.exe" /e /r /s /spath="%USERPROFILE%\AppData\Local\Temp\OnboardLogs" /stypes="app*4031*20171003*" /stext=" 18:.+((SYSTEM_STATE.+slice.+state.+changed )|(ment ac)|(multiple cpu faults)|(system.+state.+changed )|(\[timeout)|(PRM\|1\|D)|(kpr)|(kdp)|(train st.+moving)|(\|lc)|(penalty))"</v>
      </c>
      <c r="AG78" s="228" t="str">
        <f t="shared" si="52"/>
        <v>EC</v>
      </c>
      <c r="AH78" s="229" t="str">
        <f t="shared" ref="AH78:AH141" si="5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162-03 --locoid 4031 --swversion DE.1.0.9.0 --startMP 204:232990 --initTime 2017-10-03T12:07:55 --startdatetime 2017-10-03T12:12:19 --delay 112 --endMP 204:150 --enddatetime 2017-10-03T12:50:19 --enforcementcount 0 &gt;&gt;%USERPROFILE%\Documents\GitHub\eaglep3-reporting\EC\2017-10-03-refined-times.txt</v>
      </c>
      <c r="AI78" s="230" t="str">
        <f t="shared" ref="AI78:AI141" si="5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ID","value":"162-03"},{"id":16,"name":"Locomotive ID","value":"4031"},{"id":130,"name":"Impact","value":""},{"id":150,"name":"Time of Event (Mountain Time)","value":"12:50:19"},{"id":151,"name":"Denver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10"/>
      <c r="AK78" s="225"/>
      <c r="AL78" s="225"/>
      <c r="AM78" s="231" t="str">
        <f t="shared" ref="AM78:AM141" si="55">"start /low /b "&amp;dls3logs&amp;" --loco "&amp;B78&amp;" --day "&amp;TEXT(F78,"YYYY-MM-DD")</f>
        <v>start /low /b %USERPROFILE%\Documents\GitHub\eaglep3\Utilities\DownloadLogsFromS3.py --loco 4031 --day 2017-10-03</v>
      </c>
      <c r="AN78" s="232" t="str">
        <f t="shared" ref="AN78:AN141" si="5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10" t="str">
        <f t="shared" ref="AO78:AO141" si="5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-03T11:07:55-0600',mode:absolute,to:'2017-10-03T13:50:19-0600'))&amp;_a=(columns:!('Message%20ID',Summary),filters:!(),index:'emp_*',interval:auto,query:(query_string:(analyze_wildcard:!t,query:'%22rtdc.l.rtdc.4031%22')),sort:!(Time.ISO8601,asc))</v>
      </c>
      <c r="AP78" s="210"/>
      <c r="AQ78" s="210"/>
      <c r="AR78" s="210"/>
      <c r="AS78" s="210"/>
      <c r="AT78" s="210"/>
      <c r="AU78" s="210"/>
      <c r="AV78" s="210"/>
      <c r="AW78" s="210"/>
      <c r="AX78" s="210"/>
      <c r="AY78" s="210"/>
      <c r="AZ78" s="210"/>
      <c r="BA78" s="210"/>
      <c r="BB78" s="210"/>
      <c r="BC78" s="210"/>
      <c r="BD78" s="210"/>
      <c r="BE78" s="210"/>
      <c r="BF78" s="210"/>
      <c r="BG78" s="210"/>
      <c r="BH78" s="210"/>
      <c r="BI78" s="210"/>
      <c r="BJ78" s="210"/>
      <c r="BK78" s="210"/>
      <c r="BL78" s="210"/>
      <c r="BM78" s="210"/>
      <c r="BN78" s="210"/>
      <c r="BO78" s="210"/>
      <c r="BP78" s="210"/>
      <c r="BQ78" s="210"/>
      <c r="BR78" s="210"/>
      <c r="BS78" s="210"/>
      <c r="BT78" s="210"/>
      <c r="BU78" s="210"/>
      <c r="BV78" s="210"/>
      <c r="BW78" s="210"/>
      <c r="BX78" s="210"/>
      <c r="BY78" s="210"/>
      <c r="BZ78" s="210"/>
      <c r="CA78" s="210"/>
      <c r="CB78" s="210"/>
      <c r="CC78" s="210"/>
      <c r="CD78" s="210"/>
      <c r="CE78" s="210"/>
      <c r="CF78" s="210"/>
      <c r="CG78" s="210"/>
      <c r="CH78" s="210"/>
      <c r="CI78" s="210"/>
      <c r="CJ78" s="210"/>
      <c r="CK78" s="210"/>
      <c r="CL78" s="210"/>
      <c r="CM78" s="210"/>
    </row>
    <row r="79" spans="1:91" s="1" customFormat="1" x14ac:dyDescent="0.25">
      <c r="A79" s="32" t="s">
        <v>712</v>
      </c>
      <c r="B79" s="7">
        <v>4056</v>
      </c>
      <c r="C79" s="21" t="s">
        <v>194</v>
      </c>
      <c r="D79" s="21" t="s">
        <v>334</v>
      </c>
      <c r="E79" s="13">
        <v>43011.473067129627</v>
      </c>
      <c r="F79" s="13">
        <v>43011.479386574072</v>
      </c>
      <c r="G79" s="7">
        <v>84</v>
      </c>
      <c r="H79" s="21" t="s">
        <v>551</v>
      </c>
      <c r="I79" s="13">
        <v>43011.504849537036</v>
      </c>
      <c r="J79" s="7">
        <v>0</v>
      </c>
      <c r="K79" s="85" t="str">
        <f t="shared" si="41"/>
        <v>4055/4056</v>
      </c>
      <c r="L79" s="179" t="str">
        <f>VLOOKUP(A79,'Trips&amp;Operators'!$C$1:$G$99911,5,FALSE)</f>
        <v>DAVIDSON DAVID</v>
      </c>
      <c r="M79" s="6">
        <f t="shared" si="42"/>
        <v>2.5462962963501923E-2</v>
      </c>
      <c r="N79" s="7">
        <f t="shared" si="40"/>
        <v>36.666666667442769</v>
      </c>
      <c r="O79" s="7"/>
      <c r="P79" s="7"/>
      <c r="Q79" s="22"/>
      <c r="R79" s="169"/>
      <c r="S79" s="202">
        <f t="shared" si="39"/>
        <v>1</v>
      </c>
      <c r="T79" s="169" t="str">
        <f t="shared" si="43"/>
        <v>NorthBound</v>
      </c>
      <c r="U79" s="22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2" t="str">
        <f t="shared" si="44"/>
        <v>https://d0f6bd738d7f1b3e5a7ca70fe4ff75f0.us-east-1.aws.found.io/app/kibana#/discover/Steve-Slow-Train-Analysis-(2080s-and-2083s)?_g=(refreshInterval:(display:Off,pause:!f,section:0,value:0),time:(from:'2017-10-03T10:21:13-0600',mode:absolute,to:'2017-10-03T13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223" t="str">
        <f>IF(AA79&lt;VLOOKUP(AG79,Variables!$AC$3:$AD$8,2,FALSE),"Y","N")</f>
        <v>N</v>
      </c>
      <c r="X79" s="223">
        <f t="shared" si="45"/>
        <v>1</v>
      </c>
      <c r="Y79" s="223">
        <f t="shared" si="46"/>
        <v>4.4600000000000001E-2</v>
      </c>
      <c r="Z79" s="223">
        <f t="shared" si="47"/>
        <v>23.329499999999999</v>
      </c>
      <c r="AA79" s="223">
        <f t="shared" si="48"/>
        <v>23.2849</v>
      </c>
      <c r="AB79" s="224" t="e">
        <f>VLOOKUP(A79,Enforcements!$C$7:$K$11,8,0)</f>
        <v>#N/A</v>
      </c>
      <c r="AC79" s="224" t="e">
        <f>VLOOKUP(A79,Enforcements!$C$7:$E$11,3,0)</f>
        <v>#N/A</v>
      </c>
      <c r="AD79" s="225">
        <f t="shared" si="49"/>
        <v>163</v>
      </c>
      <c r="AE79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79" s="227" t="str">
        <f t="shared" si="51"/>
        <v>"C:\Program Files (x86)\AstroGrep\AstroGrep.exe" /e /r /s /spath="%USERPROFILE%\AppData\Local\Temp\OnboardLogs" /stypes="app*4056*20171003*" /stext=" 18:.+((SYSTEM_STATE.+slice.+state.+changed )|(ment ac)|(multiple cpu faults)|(system.+state.+changed )|(\[timeout)|(PRM\|1\|D)|(kpr)|(kdp)|(train st.+moving)|(\|lc)|(penalty))"</v>
      </c>
      <c r="AG79" s="228" t="str">
        <f t="shared" si="52"/>
        <v>EC</v>
      </c>
      <c r="AH79" s="229" t="str">
        <f t="shared" si="53"/>
        <v>"%USERPROFILE%\Documents\GitHub\eaglep3\Utilities\RefineRTDCRunTimes.py" --tripid 163-03 --locoid 4056 --swversion DE.1.0.9.0 --startMP 204:446 --initTime 2017-10-03T11:21:13 --startdatetime 2017-10-03T11:30:19 --delay 84 --endMP 204:233295 --enddatetime 2017-10-03T12:06:59 --enforcementcount 0 &gt;&gt;%USERPROFILE%\Documents\GitHub\eaglep3-reporting\EC\2017-10-03-refined-times.txt</v>
      </c>
      <c r="AI7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{"issue":{"subject":"","project_id":79,"tracker_id":40,"status_id":1,"priority_id":2,"assigned_to_id":338,"start_date":"2017-10-03","description":"","custom_fields":[{"id":1,"name":"Subdivision","value":"EC"},{"id":4,"name":"Milepost","value":"23.3295"},{"id":17,"name":"Train ID","value":"163-03"},{"id":16,"name":"Locomotive ID","value":"4056"},{"id":130,"name":"Impact","value":""},{"id":150,"name":"Time of Event (Mountain Time)","value":"12:06:59"},{"id":151,"name":"Denver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10"/>
      <c r="AK79" s="225"/>
      <c r="AL79" s="225"/>
      <c r="AM79" s="231" t="str">
        <f t="shared" si="55"/>
        <v>start /low /b %USERPROFILE%\Documents\GitHub\eaglep3\Utilities\DownloadLogsFromS3.py --loco 4056 --day 2017-10-03</v>
      </c>
      <c r="AN7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10" t="str">
        <f t="shared" si="57"/>
        <v>https://d0f6bd738d7f1b3e5a7ca70fe4ff75f0.us-east-1.aws.found.io/app/kibana#/discover/Steve-Slow-Train-Analysis-(2080s-and-2083s)?_g=(refreshInterval:(display:Off,pause:!f,section:0,value:0),time:(from:'2017-10-03T10:21:13-0600',mode:absolute,to:'2017-10-03T13:06:59-0600'))&amp;_a=(columns:!('Message%20ID',Summary),filters:!(),index:'emp_*',interval:auto,query:(query_string:(analyze_wildcard:!t,query:'%22rtdc.l.rtdc.4056%22')),sort:!(Time.ISO8601,asc))</v>
      </c>
      <c r="AP79" s="210"/>
      <c r="AQ79" s="210"/>
      <c r="AR79" s="210"/>
      <c r="AS79" s="210"/>
      <c r="AT79" s="210"/>
      <c r="AU79" s="210"/>
      <c r="AV79" s="210"/>
      <c r="AW79" s="210"/>
      <c r="AX79" s="210"/>
      <c r="AY79" s="210"/>
      <c r="AZ79" s="210"/>
      <c r="BA79" s="210"/>
      <c r="BB79" s="210"/>
      <c r="BC79" s="210"/>
      <c r="BD79" s="210"/>
      <c r="BE79" s="210"/>
      <c r="BF79" s="210"/>
      <c r="BG79" s="210"/>
      <c r="BH79" s="210"/>
      <c r="BI79" s="210"/>
      <c r="BJ79" s="210"/>
      <c r="BK79" s="210"/>
      <c r="BL79" s="210"/>
      <c r="BM79" s="210"/>
      <c r="BN79" s="210"/>
      <c r="BO79" s="210"/>
      <c r="BP79" s="210"/>
      <c r="BQ79" s="210"/>
      <c r="BR79" s="210"/>
      <c r="BS79" s="210"/>
      <c r="BT79" s="210"/>
      <c r="BU79" s="210"/>
      <c r="BV79" s="210"/>
      <c r="BW79" s="210"/>
      <c r="BX79" s="210"/>
      <c r="BY79" s="210"/>
      <c r="BZ79" s="210"/>
      <c r="CA79" s="210"/>
      <c r="CB79" s="210"/>
      <c r="CC79" s="210"/>
      <c r="CD79" s="210"/>
      <c r="CE79" s="210"/>
      <c r="CF79" s="210"/>
      <c r="CG79" s="210"/>
      <c r="CH79" s="210"/>
      <c r="CI79" s="210"/>
      <c r="CJ79" s="210"/>
      <c r="CK79" s="210"/>
      <c r="CL79" s="210"/>
      <c r="CM79" s="210"/>
    </row>
    <row r="80" spans="1:91" s="1" customFormat="1" x14ac:dyDescent="0.25">
      <c r="A80" s="32" t="s">
        <v>724</v>
      </c>
      <c r="B80" s="7">
        <v>4055</v>
      </c>
      <c r="C80" s="21" t="s">
        <v>194</v>
      </c>
      <c r="D80" s="21" t="s">
        <v>481</v>
      </c>
      <c r="E80" s="13">
        <v>43011.506377314814</v>
      </c>
      <c r="F80" s="13">
        <v>43011.51898148148</v>
      </c>
      <c r="G80" s="7">
        <v>68</v>
      </c>
      <c r="H80" s="21" t="s">
        <v>879</v>
      </c>
      <c r="I80" s="13">
        <v>43011.546238425923</v>
      </c>
      <c r="J80" s="7">
        <v>0</v>
      </c>
      <c r="K80" s="85" t="str">
        <f t="shared" si="41"/>
        <v>4055/4056</v>
      </c>
      <c r="L80" s="179" t="str">
        <f>VLOOKUP(A80,'Trips&amp;Operators'!$C$1:$G$99911,5,FALSE)</f>
        <v>DAVIDSON DAVID</v>
      </c>
      <c r="M80" s="6">
        <f t="shared" si="42"/>
        <v>2.7256944442342501E-2</v>
      </c>
      <c r="N80" s="7">
        <f t="shared" si="40"/>
        <v>39.249999996973202</v>
      </c>
      <c r="O80" s="7"/>
      <c r="P80" s="7"/>
      <c r="Q80" s="22"/>
      <c r="R80" s="169"/>
      <c r="S80" s="202">
        <f t="shared" si="39"/>
        <v>1</v>
      </c>
      <c r="T80" s="169" t="str">
        <f t="shared" si="43"/>
        <v>Southbound</v>
      </c>
      <c r="U80" s="22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2" t="str">
        <f t="shared" si="44"/>
        <v>https://d0f6bd738d7f1b3e5a7ca70fe4ff75f0.us-east-1.aws.found.io/app/kibana#/discover/Steve-Slow-Train-Analysis-(2080s-and-2083s)?_g=(refreshInterval:(display:Off,pause:!f,section:0,value:0),time:(from:'2017-10-03T11:09:11-0600',mode:absolute,to:'2017-10-03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223" t="str">
        <f>IF(AA80&lt;VLOOKUP(AG80,Variables!$AC$3:$AD$8,2,FALSE),"Y","N")</f>
        <v>N</v>
      </c>
      <c r="X80" s="223">
        <f t="shared" si="45"/>
        <v>1</v>
      </c>
      <c r="Y80" s="223">
        <f t="shared" si="46"/>
        <v>23.297899999999998</v>
      </c>
      <c r="Z80" s="223">
        <f t="shared" si="47"/>
        <v>1.72E-2</v>
      </c>
      <c r="AA80" s="223">
        <f t="shared" si="48"/>
        <v>23.2807</v>
      </c>
      <c r="AB80" s="224" t="e">
        <f>VLOOKUP(A80,Enforcements!$C$7:$K$11,8,0)</f>
        <v>#N/A</v>
      </c>
      <c r="AC80" s="224" t="e">
        <f>VLOOKUP(A80,Enforcements!$C$7:$E$11,3,0)</f>
        <v>#N/A</v>
      </c>
      <c r="AD80" s="225">
        <f t="shared" si="49"/>
        <v>164</v>
      </c>
      <c r="AE80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80" s="227" t="str">
        <f t="shared" si="51"/>
        <v>"C:\Program Files (x86)\AstroGrep\AstroGrep.exe" /e /r /s /spath="%USERPROFILE%\AppData\Local\Temp\OnboardLogs" /stypes="app*4055*20171003*" /stext=" 19:.+((SYSTEM_STATE.+slice.+state.+changed )|(ment ac)|(multiple cpu faults)|(system.+state.+changed )|(\[timeout)|(PRM\|1\|D)|(kpr)|(kdp)|(train st.+moving)|(\|lc)|(penalty))"</v>
      </c>
      <c r="AG80" s="228" t="str">
        <f t="shared" si="52"/>
        <v>EC</v>
      </c>
      <c r="AH80" s="229" t="str">
        <f t="shared" si="53"/>
        <v>"%USERPROFILE%\Documents\GitHub\eaglep3\Utilities\RefineRTDCRunTimes.py" --tripid 164-03 --locoid 4055 --swversion DE.1.0.9.0 --startMP 204:232979 --initTime 2017-10-03T12:09:11 --startdatetime 2017-10-03T12:27:20 --delay 68 --endMP 204:172 --enddatetime 2017-10-03T13:06:35 --enforcementcount 0 &gt;&gt;%USERPROFILE%\Documents\GitHub\eaglep3-reporting\EC\2017-10-03-refined-times.txt</v>
      </c>
      <c r="AI8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{"issue":{"subject":"","project_id":79,"tracker_id":40,"status_id":1,"priority_id":2,"assigned_to_id":338,"start_date":"2017-10-03","description":"","custom_fields":[{"id":1,"name":"Subdivision","value":"EC"},{"id":4,"name":"Milepost","value":"0.0172"},{"id":17,"name":"Train ID","value":"164-03"},{"id":16,"name":"Locomotive ID","value":"4055"},{"id":130,"name":"Impact","value":""},{"id":150,"name":"Time of Event (Mountain Time)","value":"13:06:35"},{"id":151,"name":"Denver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10"/>
      <c r="AK80" s="225"/>
      <c r="AL80" s="225"/>
      <c r="AM80" s="231" t="str">
        <f t="shared" si="55"/>
        <v>start /low /b %USERPROFILE%\Documents\GitHub\eaglep3\Utilities\DownloadLogsFromS3.py --loco 4055 --day 2017-10-03</v>
      </c>
      <c r="AN8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10" t="str">
        <f t="shared" si="57"/>
        <v>https://d0f6bd738d7f1b3e5a7ca70fe4ff75f0.us-east-1.aws.found.io/app/kibana#/discover/Steve-Slow-Train-Analysis-(2080s-and-2083s)?_g=(refreshInterval:(display:Off,pause:!f,section:0,value:0),time:(from:'2017-10-03T11:09:11-0600',mode:absolute,to:'2017-10-03T14:06:35-0600'))&amp;_a=(columns:!('Message%20ID',Summary),filters:!(),index:'emp_*',interval:auto,query:(query_string:(analyze_wildcard:!t,query:'%22rtdc.l.rtdc.4055%22')),sort:!(Time.ISO8601,asc))</v>
      </c>
      <c r="AP80" s="210"/>
      <c r="AQ80" s="210"/>
      <c r="AR80" s="210"/>
      <c r="AS80" s="210"/>
      <c r="AT80" s="210"/>
      <c r="AU80" s="210"/>
      <c r="AV80" s="210"/>
      <c r="AW80" s="210"/>
      <c r="AX80" s="210"/>
      <c r="AY80" s="210"/>
      <c r="AZ80" s="210"/>
      <c r="BA80" s="210"/>
      <c r="BB80" s="210"/>
      <c r="BC80" s="210"/>
      <c r="BD80" s="210"/>
      <c r="BE80" s="210"/>
      <c r="BF80" s="210"/>
      <c r="BG80" s="210"/>
      <c r="BH80" s="210"/>
      <c r="BI80" s="210"/>
      <c r="BJ80" s="210"/>
      <c r="BK80" s="210"/>
      <c r="BL80" s="210"/>
      <c r="BM80" s="210"/>
      <c r="BN80" s="210"/>
      <c r="BO80" s="210"/>
      <c r="BP80" s="210"/>
      <c r="BQ80" s="210"/>
      <c r="BR80" s="210"/>
      <c r="BS80" s="210"/>
      <c r="BT80" s="210"/>
      <c r="BU80" s="210"/>
      <c r="BV80" s="210"/>
      <c r="BW80" s="210"/>
      <c r="BX80" s="210"/>
      <c r="BY80" s="210"/>
      <c r="BZ80" s="210"/>
      <c r="CA80" s="210"/>
      <c r="CB80" s="210"/>
      <c r="CC80" s="210"/>
      <c r="CD80" s="210"/>
      <c r="CE80" s="210"/>
      <c r="CF80" s="210"/>
      <c r="CG80" s="210"/>
      <c r="CH80" s="210"/>
      <c r="CI80" s="210"/>
      <c r="CJ80" s="210"/>
      <c r="CK80" s="210"/>
      <c r="CL80" s="210"/>
      <c r="CM80" s="210"/>
    </row>
    <row r="81" spans="1:91" s="1" customFormat="1" x14ac:dyDescent="0.25">
      <c r="A81" s="32" t="s">
        <v>716</v>
      </c>
      <c r="B81" s="7">
        <v>4060</v>
      </c>
      <c r="C81" s="21" t="s">
        <v>194</v>
      </c>
      <c r="D81" s="21" t="s">
        <v>444</v>
      </c>
      <c r="E81" s="13">
        <v>43011.484016203707</v>
      </c>
      <c r="F81" s="13">
        <v>43011.489756944444</v>
      </c>
      <c r="G81" s="7">
        <v>116</v>
      </c>
      <c r="H81" s="21" t="s">
        <v>880</v>
      </c>
      <c r="I81" s="13">
        <v>43011.514004629629</v>
      </c>
      <c r="J81" s="7">
        <v>0</v>
      </c>
      <c r="K81" s="85" t="str">
        <f t="shared" si="41"/>
        <v>4059/4060</v>
      </c>
      <c r="L81" s="179" t="str">
        <f>VLOOKUP(A81,'Trips&amp;Operators'!$C$1:$G$99911,5,FALSE)</f>
        <v>LEVIN SCOTT</v>
      </c>
      <c r="M81" s="6">
        <f t="shared" si="42"/>
        <v>2.4247685185400769E-2</v>
      </c>
      <c r="N81" s="7">
        <f t="shared" si="40"/>
        <v>34.916666666977108</v>
      </c>
      <c r="O81" s="7"/>
      <c r="P81" s="7"/>
      <c r="Q81" s="22"/>
      <c r="R81" s="169"/>
      <c r="S81" s="202">
        <f t="shared" si="39"/>
        <v>1</v>
      </c>
      <c r="T81" s="169" t="str">
        <f t="shared" si="43"/>
        <v>NorthBound</v>
      </c>
      <c r="U81" s="22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2" t="str">
        <f t="shared" si="44"/>
        <v>https://d0f6bd738d7f1b3e5a7ca70fe4ff75f0.us-east-1.aws.found.io/app/kibana#/discover/Steve-Slow-Train-Analysis-(2080s-and-2083s)?_g=(refreshInterval:(display:Off,pause:!f,section:0,value:0),time:(from:'2017-10-03T10:36:59-0600',mode:absolute,to:'2017-10-03T13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223" t="str">
        <f>IF(AA81&lt;VLOOKUP(AG81,Variables!$AC$3:$AD$8,2,FALSE),"Y","N")</f>
        <v>N</v>
      </c>
      <c r="X81" s="223">
        <f t="shared" si="45"/>
        <v>1</v>
      </c>
      <c r="Y81" s="223">
        <f t="shared" si="46"/>
        <v>4.4400000000000002E-2</v>
      </c>
      <c r="Z81" s="223">
        <f t="shared" si="47"/>
        <v>23.3322</v>
      </c>
      <c r="AA81" s="223">
        <f t="shared" si="48"/>
        <v>23.287800000000001</v>
      </c>
      <c r="AB81" s="224" t="e">
        <f>VLOOKUP(A81,Enforcements!$C$7:$K$11,8,0)</f>
        <v>#N/A</v>
      </c>
      <c r="AC81" s="224" t="e">
        <f>VLOOKUP(A81,Enforcements!$C$7:$E$11,3,0)</f>
        <v>#N/A</v>
      </c>
      <c r="AD81" s="225">
        <f t="shared" si="49"/>
        <v>165</v>
      </c>
      <c r="AE81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81" s="227" t="str">
        <f t="shared" si="51"/>
        <v>"C:\Program Files (x86)\AstroGrep\AstroGrep.exe" /e /r /s /spath="%USERPROFILE%\AppData\Local\Temp\OnboardLogs" /stypes="app*4060*20171003*" /stext=" 18:.+((SYSTEM_STATE.+slice.+state.+changed )|(ment ac)|(multiple cpu faults)|(system.+state.+changed )|(\[timeout)|(PRM\|1\|D)|(kpr)|(kdp)|(train st.+moving)|(\|lc)|(penalty))"</v>
      </c>
      <c r="AG81" s="228" t="str">
        <f t="shared" si="52"/>
        <v>EC</v>
      </c>
      <c r="AH81" s="229" t="str">
        <f t="shared" si="53"/>
        <v>"%USERPROFILE%\Documents\GitHub\eaglep3\Utilities\RefineRTDCRunTimes.py" --tripid 165-03 --locoid 4060 --swversion DE.1.0.9.0 --startMP 204:444 --initTime 2017-10-03T11:36:59 --startdatetime 2017-10-03T11:45:15 --delay 116 --endMP 204:233322 --enddatetime 2017-10-03T12:20:10 --enforcementcount 0 &gt;&gt;%USERPROFILE%\Documents\GitHub\eaglep3-reporting\EC\2017-10-03-refined-times.txt</v>
      </c>
      <c r="AI8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{"issue":{"subject":"","project_id":79,"tracker_id":40,"status_id":1,"priority_id":2,"assigned_to_id":338,"start_date":"2017-10-03","description":"","custom_fields":[{"id":1,"name":"Subdivision","value":"EC"},{"id":4,"name":"Milepost","value":"23.3322"},{"id":17,"name":"Train ID","value":"165-03"},{"id":16,"name":"Locomotive ID","value":"4060"},{"id":130,"name":"Impact","value":""},{"id":150,"name":"Time of Event (Mountain Time)","value":"12:20:10"},{"id":151,"name":"Denver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10"/>
      <c r="AK81" s="225"/>
      <c r="AL81" s="225"/>
      <c r="AM81" s="231" t="str">
        <f t="shared" si="55"/>
        <v>start /low /b %USERPROFILE%\Documents\GitHub\eaglep3\Utilities\DownloadLogsFromS3.py --loco 4060 --day 2017-10-03</v>
      </c>
      <c r="AN8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10" t="str">
        <f t="shared" si="57"/>
        <v>https://d0f6bd738d7f1b3e5a7ca70fe4ff75f0.us-east-1.aws.found.io/app/kibana#/discover/Steve-Slow-Train-Analysis-(2080s-and-2083s)?_g=(refreshInterval:(display:Off,pause:!f,section:0,value:0),time:(from:'2017-10-03T10:36:59-0600',mode:absolute,to:'2017-10-03T13:20:10-0600'))&amp;_a=(columns:!('Message%20ID',Summary),filters:!(),index:'emp_*',interval:auto,query:(query_string:(analyze_wildcard:!t,query:'%22rtdc.l.rtdc.4060%22')),sort:!(Time.ISO8601,asc))</v>
      </c>
      <c r="AP81" s="210"/>
      <c r="AQ81" s="210"/>
      <c r="AR81" s="210"/>
      <c r="AS81" s="210"/>
      <c r="AT81" s="210"/>
      <c r="AU81" s="210"/>
      <c r="AV81" s="210"/>
      <c r="AW81" s="210"/>
      <c r="AX81" s="210"/>
      <c r="AY81" s="210"/>
      <c r="AZ81" s="210"/>
      <c r="BA81" s="210"/>
      <c r="BB81" s="210"/>
      <c r="BC81" s="210"/>
      <c r="BD81" s="210"/>
      <c r="BE81" s="210"/>
      <c r="BF81" s="210"/>
      <c r="BG81" s="210"/>
      <c r="BH81" s="210"/>
      <c r="BI81" s="210"/>
      <c r="BJ81" s="210"/>
      <c r="BK81" s="210"/>
      <c r="BL81" s="210"/>
      <c r="BM81" s="210"/>
      <c r="BN81" s="210"/>
      <c r="BO81" s="210"/>
      <c r="BP81" s="210"/>
      <c r="BQ81" s="210"/>
      <c r="BR81" s="210"/>
      <c r="BS81" s="210"/>
      <c r="BT81" s="210"/>
      <c r="BU81" s="210"/>
      <c r="BV81" s="210"/>
      <c r="BW81" s="210"/>
      <c r="BX81" s="210"/>
      <c r="BY81" s="210"/>
      <c r="BZ81" s="210"/>
      <c r="CA81" s="210"/>
      <c r="CB81" s="210"/>
      <c r="CC81" s="210"/>
      <c r="CD81" s="210"/>
      <c r="CE81" s="210"/>
      <c r="CF81" s="210"/>
      <c r="CG81" s="210"/>
      <c r="CH81" s="210"/>
      <c r="CI81" s="210"/>
      <c r="CJ81" s="210"/>
      <c r="CK81" s="210"/>
      <c r="CL81" s="210"/>
      <c r="CM81" s="210"/>
    </row>
    <row r="82" spans="1:91" s="1" customFormat="1" x14ac:dyDescent="0.25">
      <c r="A82" s="32" t="s">
        <v>614</v>
      </c>
      <c r="B82" s="7">
        <v>4059</v>
      </c>
      <c r="C82" s="21" t="s">
        <v>194</v>
      </c>
      <c r="D82" s="21" t="s">
        <v>434</v>
      </c>
      <c r="E82" s="13">
        <v>43011.522731481484</v>
      </c>
      <c r="F82" s="13">
        <v>43011.529467592591</v>
      </c>
      <c r="G82" s="7">
        <v>75</v>
      </c>
      <c r="H82" s="21" t="s">
        <v>337</v>
      </c>
      <c r="I82" s="13">
        <v>43011.556770833333</v>
      </c>
      <c r="J82" s="7">
        <v>0</v>
      </c>
      <c r="K82" s="85" t="str">
        <f t="shared" si="41"/>
        <v>4059/4060</v>
      </c>
      <c r="L82" s="179" t="str">
        <f>VLOOKUP(A82,'Trips&amp;Operators'!$C$1:$G$99911,5,FALSE)</f>
        <v>LEVIN SCOTT</v>
      </c>
      <c r="M82" s="6">
        <f t="shared" si="42"/>
        <v>2.7303240742185153E-2</v>
      </c>
      <c r="N82" s="7">
        <f t="shared" si="40"/>
        <v>39.31666666874662</v>
      </c>
      <c r="O82" s="7"/>
      <c r="P82" s="7"/>
      <c r="Q82" s="22"/>
      <c r="R82" s="169"/>
      <c r="S82" s="202">
        <f t="shared" si="39"/>
        <v>1</v>
      </c>
      <c r="T82" s="169" t="str">
        <f t="shared" si="43"/>
        <v>Southbound</v>
      </c>
      <c r="U82" s="22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2" t="str">
        <f t="shared" si="44"/>
        <v>https://d0f6bd738d7f1b3e5a7ca70fe4ff75f0.us-east-1.aws.found.io/app/kibana#/discover/Steve-Slow-Train-Analysis-(2080s-and-2083s)?_g=(refreshInterval:(display:Off,pause:!f,section:0,value:0),time:(from:'2017-10-03T11:32:44-0600',mode:absolute,to:'2017-10-03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223" t="str">
        <f>IF(AA82&lt;VLOOKUP(AG82,Variables!$AC$3:$AD$8,2,FALSE),"Y","N")</f>
        <v>N</v>
      </c>
      <c r="X82" s="223">
        <f t="shared" si="45"/>
        <v>1</v>
      </c>
      <c r="Y82" s="223">
        <f t="shared" si="46"/>
        <v>23.3</v>
      </c>
      <c r="Z82" s="223">
        <f t="shared" si="47"/>
        <v>1.43E-2</v>
      </c>
      <c r="AA82" s="223">
        <f t="shared" si="48"/>
        <v>23.285700000000002</v>
      </c>
      <c r="AB82" s="224" t="e">
        <f>VLOOKUP(A82,Enforcements!$C$7:$K$11,8,0)</f>
        <v>#N/A</v>
      </c>
      <c r="AC82" s="224" t="e">
        <f>VLOOKUP(A82,Enforcements!$C$7:$E$11,3,0)</f>
        <v>#N/A</v>
      </c>
      <c r="AD82" s="225">
        <f t="shared" si="49"/>
        <v>166</v>
      </c>
      <c r="AE82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82" s="227" t="str">
        <f t="shared" si="51"/>
        <v>"C:\Program Files (x86)\AstroGrep\AstroGrep.exe" /e /r /s /spath="%USERPROFILE%\AppData\Local\Temp\OnboardLogs" /stypes="app*4059*20171003*" /stext=" 19:.+((SYSTEM_STATE.+slice.+state.+changed )|(ment ac)|(multiple cpu faults)|(system.+state.+changed )|(\[timeout)|(PRM\|1\|D)|(kpr)|(kdp)|(train st.+moving)|(\|lc)|(penalty))"</v>
      </c>
      <c r="AG82" s="228" t="str">
        <f t="shared" si="52"/>
        <v>EC</v>
      </c>
      <c r="AH82" s="229" t="str">
        <f t="shared" si="53"/>
        <v>"%USERPROFILE%\Documents\GitHub\eaglep3\Utilities\RefineRTDCRunTimes.py" --tripid 166-03 --locoid 4059 --swversion DE.1.0.9.0 --startMP 204:233000 --initTime 2017-10-03T12:32:44 --startdatetime 2017-10-03T12:42:26 --delay 75 --endMP 204:143 --enddatetime 2017-10-03T13:21:45 --enforcementcount 0 &gt;&gt;%USERPROFILE%\Documents\GitHub\eaglep3-reporting\EC\2017-10-03-refined-times.txt</v>
      </c>
      <c r="AI8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ID","value":"166-03"},{"id":16,"name":"Locomotive ID","value":"4059"},{"id":130,"name":"Impact","value":""},{"id":150,"name":"Time of Event (Mountain Time)","value":"13:21:45"},{"id":151,"name":"Denver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10"/>
      <c r="AK82" s="225"/>
      <c r="AL82" s="225"/>
      <c r="AM82" s="231" t="str">
        <f t="shared" si="55"/>
        <v>start /low /b %USERPROFILE%\Documents\GitHub\eaglep3\Utilities\DownloadLogsFromS3.py --loco 4059 --day 2017-10-03</v>
      </c>
      <c r="AN8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10" t="str">
        <f t="shared" si="57"/>
        <v>https://d0f6bd738d7f1b3e5a7ca70fe4ff75f0.us-east-1.aws.found.io/app/kibana#/discover/Steve-Slow-Train-Analysis-(2080s-and-2083s)?_g=(refreshInterval:(display:Off,pause:!f,section:0,value:0),time:(from:'2017-10-03T11:32:44-0600',mode:absolute,to:'2017-10-03T14:21:45-0600'))&amp;_a=(columns:!('Message%20ID',Summary),filters:!(),index:'emp_*',interval:auto,query:(query_string:(analyze_wildcard:!t,query:'%22rtdc.l.rtdc.4059%22')),sort:!(Time.ISO8601,asc))</v>
      </c>
      <c r="AP82" s="210"/>
      <c r="AQ82" s="210"/>
      <c r="AR82" s="210"/>
      <c r="AS82" s="210"/>
      <c r="AT82" s="210"/>
      <c r="AU82" s="210"/>
      <c r="AV82" s="210"/>
      <c r="AW82" s="210"/>
      <c r="AX82" s="210"/>
      <c r="AY82" s="210"/>
      <c r="AZ82" s="210"/>
      <c r="BA82" s="210"/>
      <c r="BB82" s="210"/>
      <c r="BC82" s="210"/>
      <c r="BD82" s="210"/>
      <c r="BE82" s="210"/>
      <c r="BF82" s="210"/>
      <c r="BG82" s="210"/>
      <c r="BH82" s="210"/>
      <c r="BI82" s="210"/>
      <c r="BJ82" s="210"/>
      <c r="BK82" s="210"/>
      <c r="BL82" s="210"/>
      <c r="BM82" s="210"/>
      <c r="BN82" s="210"/>
      <c r="BO82" s="210"/>
      <c r="BP82" s="210"/>
      <c r="BQ82" s="210"/>
      <c r="BR82" s="210"/>
      <c r="BS82" s="210"/>
      <c r="BT82" s="210"/>
      <c r="BU82" s="210"/>
      <c r="BV82" s="210"/>
      <c r="BW82" s="210"/>
      <c r="BX82" s="210"/>
      <c r="BY82" s="210"/>
      <c r="BZ82" s="210"/>
      <c r="CA82" s="210"/>
      <c r="CB82" s="210"/>
      <c r="CC82" s="210"/>
      <c r="CD82" s="210"/>
      <c r="CE82" s="210"/>
      <c r="CF82" s="210"/>
      <c r="CG82" s="210"/>
      <c r="CH82" s="210"/>
      <c r="CI82" s="210"/>
      <c r="CJ82" s="210"/>
      <c r="CK82" s="210"/>
      <c r="CL82" s="210"/>
      <c r="CM82" s="210"/>
    </row>
    <row r="83" spans="1:91" s="1" customFormat="1" x14ac:dyDescent="0.25">
      <c r="A83" s="32" t="s">
        <v>720</v>
      </c>
      <c r="B83" s="7">
        <v>4062</v>
      </c>
      <c r="C83" s="21" t="s">
        <v>194</v>
      </c>
      <c r="D83" s="21" t="s">
        <v>359</v>
      </c>
      <c r="E83" s="13">
        <v>43011.496018518519</v>
      </c>
      <c r="F83" s="13">
        <v>43011.500567129631</v>
      </c>
      <c r="G83" s="7">
        <v>62</v>
      </c>
      <c r="H83" s="21" t="s">
        <v>514</v>
      </c>
      <c r="I83" s="13">
        <v>43011.526041666664</v>
      </c>
      <c r="J83" s="7">
        <v>0</v>
      </c>
      <c r="K83" s="85" t="str">
        <f t="shared" si="41"/>
        <v>4061/4062</v>
      </c>
      <c r="L83" s="179" t="str">
        <f>VLOOKUP(A83,'Trips&amp;Operators'!$C$1:$G$99911,5,FALSE)</f>
        <v>LEVERE CRAIG</v>
      </c>
      <c r="M83" s="6">
        <f t="shared" si="42"/>
        <v>2.5474537033005618E-2</v>
      </c>
      <c r="N83" s="7">
        <f t="shared" si="40"/>
        <v>36.683333327528089</v>
      </c>
      <c r="O83" s="7"/>
      <c r="P83" s="7"/>
      <c r="Q83" s="22"/>
      <c r="R83" s="169"/>
      <c r="S83" s="202">
        <f t="shared" si="39"/>
        <v>1</v>
      </c>
      <c r="T83" s="169" t="str">
        <f t="shared" si="43"/>
        <v>NorthBound</v>
      </c>
      <c r="U83" s="22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2" t="str">
        <f t="shared" si="44"/>
        <v>https://d0f6bd738d7f1b3e5a7ca70fe4ff75f0.us-east-1.aws.found.io/app/kibana#/discover/Steve-Slow-Train-Analysis-(2080s-and-2083s)?_g=(refreshInterval:(display:Off,pause:!f,section:0,value:0),time:(from:'2017-10-03T10:54:16-0600',mode:absolute,to:'2017-10-03T13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3" s="223" t="str">
        <f>IF(AA83&lt;VLOOKUP(AG83,Variables!$AC$3:$AD$8,2,FALSE),"Y","N")</f>
        <v>N</v>
      </c>
      <c r="X83" s="223">
        <f t="shared" si="45"/>
        <v>1</v>
      </c>
      <c r="Y83" s="223">
        <f t="shared" si="46"/>
        <v>4.6399999999999997E-2</v>
      </c>
      <c r="Z83" s="223">
        <f t="shared" si="47"/>
        <v>23.331499999999998</v>
      </c>
      <c r="AA83" s="223">
        <f t="shared" si="48"/>
        <v>23.2851</v>
      </c>
      <c r="AB83" s="224" t="e">
        <f>VLOOKUP(A83,Enforcements!$C$7:$K$11,8,0)</f>
        <v>#N/A</v>
      </c>
      <c r="AC83" s="224" t="e">
        <f>VLOOKUP(A83,Enforcements!$C$7:$E$11,3,0)</f>
        <v>#N/A</v>
      </c>
      <c r="AD83" s="225">
        <f t="shared" si="49"/>
        <v>167</v>
      </c>
      <c r="AE83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83" s="227" t="str">
        <f t="shared" si="51"/>
        <v>"C:\Program Files (x86)\AstroGrep\AstroGrep.exe" /e /r /s /spath="%USERPROFILE%\AppData\Local\Temp\OnboardLogs" /stypes="app*4062*20171003*" /stext=" 18:.+((SYSTEM_STATE.+slice.+state.+changed )|(ment ac)|(multiple cpu faults)|(system.+state.+changed )|(\[timeout)|(PRM\|1\|D)|(kpr)|(kdp)|(train st.+moving)|(\|lc)|(penalty))"</v>
      </c>
      <c r="AG83" s="228" t="str">
        <f t="shared" si="52"/>
        <v>EC</v>
      </c>
      <c r="AH83" s="229" t="str">
        <f t="shared" si="53"/>
        <v>"%USERPROFILE%\Documents\GitHub\eaglep3\Utilities\RefineRTDCRunTimes.py" --tripid 167-03 --locoid 4062 --swversion DE.1.0.9.0 --startMP 204:464 --initTime 2017-10-03T11:54:16 --startdatetime 2017-10-03T12:00:49 --delay 62 --endMP 204:233315 --enddatetime 2017-10-03T12:37:30 --enforcementcount 0 &gt;&gt;%USERPROFILE%\Documents\GitHub\eaglep3-reporting\EC\2017-10-03-refined-times.txt</v>
      </c>
      <c r="AI8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{"issue":{"subject":"","project_id":79,"tracker_id":40,"status_id":1,"priority_id":2,"assigned_to_id":338,"start_date":"2017-10-03","description":"","custom_fields":[{"id":1,"name":"Subdivision","value":"EC"},{"id":4,"name":"Milepost","value":"23.3315"},{"id":17,"name":"Train ID","value":"167-03"},{"id":16,"name":"Locomotive ID","value":"4062"},{"id":130,"name":"Impact","value":""},{"id":150,"name":"Time of Event (Mountain Time)","value":"12:37:30"},{"id":151,"name":"Denver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10"/>
      <c r="AK83" s="225"/>
      <c r="AL83" s="225"/>
      <c r="AM83" s="231" t="str">
        <f t="shared" si="55"/>
        <v>start /low /b %USERPROFILE%\Documents\GitHub\eaglep3\Utilities\DownloadLogsFromS3.py --loco 4062 --day 2017-10-03</v>
      </c>
      <c r="AN8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10" t="str">
        <f t="shared" si="57"/>
        <v>https://d0f6bd738d7f1b3e5a7ca70fe4ff75f0.us-east-1.aws.found.io/app/kibana#/discover/Steve-Slow-Train-Analysis-(2080s-and-2083s)?_g=(refreshInterval:(display:Off,pause:!f,section:0,value:0),time:(from:'2017-10-03T10:54:16-0600',mode:absolute,to:'2017-10-03T13:37:30-0600'))&amp;_a=(columns:!('Message%20ID',Summary),filters:!(),index:'emp_*',interval:auto,query:(query_string:(analyze_wildcard:!t,query:'%22rtdc.l.rtdc.4062%22')),sort:!(Time.ISO8601,asc))</v>
      </c>
      <c r="AP83" s="210"/>
      <c r="AQ83" s="210"/>
      <c r="AR83" s="210"/>
      <c r="AS83" s="210"/>
      <c r="AT83" s="210"/>
      <c r="AU83" s="210"/>
      <c r="AV83" s="210"/>
      <c r="AW83" s="210"/>
      <c r="AX83" s="210"/>
      <c r="AY83" s="210"/>
      <c r="AZ83" s="210"/>
      <c r="BA83" s="210"/>
      <c r="BB83" s="210"/>
      <c r="BC83" s="210"/>
      <c r="BD83" s="210"/>
      <c r="BE83" s="210"/>
      <c r="BF83" s="210"/>
      <c r="BG83" s="210"/>
      <c r="BH83" s="210"/>
      <c r="BI83" s="210"/>
      <c r="BJ83" s="210"/>
      <c r="BK83" s="210"/>
      <c r="BL83" s="210"/>
      <c r="BM83" s="210"/>
      <c r="BN83" s="210"/>
      <c r="BO83" s="210"/>
      <c r="BP83" s="210"/>
      <c r="BQ83" s="210"/>
      <c r="BR83" s="210"/>
      <c r="BS83" s="210"/>
      <c r="BT83" s="210"/>
      <c r="BU83" s="210"/>
      <c r="BV83" s="210"/>
      <c r="BW83" s="210"/>
      <c r="BX83" s="210"/>
      <c r="BY83" s="210"/>
      <c r="BZ83" s="210"/>
      <c r="CA83" s="210"/>
      <c r="CB83" s="210"/>
      <c r="CC83" s="210"/>
      <c r="CD83" s="210"/>
      <c r="CE83" s="210"/>
      <c r="CF83" s="210"/>
      <c r="CG83" s="210"/>
      <c r="CH83" s="210"/>
      <c r="CI83" s="210"/>
      <c r="CJ83" s="210"/>
      <c r="CK83" s="210"/>
      <c r="CL83" s="210"/>
      <c r="CM83" s="210"/>
    </row>
    <row r="84" spans="1:91" s="1" customFormat="1" x14ac:dyDescent="0.25">
      <c r="A84" s="32" t="s">
        <v>732</v>
      </c>
      <c r="B84" s="7">
        <v>4061</v>
      </c>
      <c r="C84" s="21" t="s">
        <v>194</v>
      </c>
      <c r="D84" s="21" t="s">
        <v>881</v>
      </c>
      <c r="E84" s="13">
        <v>43011.533564814818</v>
      </c>
      <c r="F84" s="13">
        <v>43011.539768518516</v>
      </c>
      <c r="G84" s="7">
        <v>62</v>
      </c>
      <c r="H84" s="21" t="s">
        <v>480</v>
      </c>
      <c r="I84" s="13">
        <v>43011.568842592591</v>
      </c>
      <c r="J84" s="7">
        <v>0</v>
      </c>
      <c r="K84" s="85" t="str">
        <f t="shared" si="41"/>
        <v>4061/4062</v>
      </c>
      <c r="L84" s="179" t="str">
        <f>VLOOKUP(A84,'Trips&amp;Operators'!$C$1:$G$99911,5,FALSE)</f>
        <v>LEVERE CRAIG</v>
      </c>
      <c r="M84" s="6">
        <f t="shared" si="42"/>
        <v>2.9074074074742384E-2</v>
      </c>
      <c r="N84" s="7">
        <f t="shared" si="40"/>
        <v>41.866666667629033</v>
      </c>
      <c r="O84" s="7"/>
      <c r="P84" s="7"/>
      <c r="Q84" s="22"/>
      <c r="R84" s="169"/>
      <c r="S84" s="202">
        <f t="shared" si="39"/>
        <v>1</v>
      </c>
      <c r="T84" s="169" t="str">
        <f t="shared" si="43"/>
        <v>Southbound</v>
      </c>
      <c r="U84" s="22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2" t="str">
        <f t="shared" si="44"/>
        <v>https://d0f6bd738d7f1b3e5a7ca70fe4ff75f0.us-east-1.aws.found.io/app/kibana#/discover/Steve-Slow-Train-Analysis-(2080s-and-2083s)?_g=(refreshInterval:(display:Off,pause:!f,section:0,value:0),time:(from:'2017-10-03T11:48:20-0600',mode:absolute,to:'2017-10-03T14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4" s="223" t="str">
        <f>IF(AA84&lt;VLOOKUP(AG84,Variables!$AC$3:$AD$8,2,FALSE),"Y","N")</f>
        <v>N</v>
      </c>
      <c r="X84" s="223">
        <f t="shared" si="45"/>
        <v>1</v>
      </c>
      <c r="Y84" s="223">
        <f t="shared" si="46"/>
        <v>23.302099999999999</v>
      </c>
      <c r="Z84" s="223">
        <f t="shared" si="47"/>
        <v>1.67E-2</v>
      </c>
      <c r="AA84" s="223">
        <f t="shared" si="48"/>
        <v>23.285399999999999</v>
      </c>
      <c r="AB84" s="224" t="e">
        <f>VLOOKUP(A84,Enforcements!$C$7:$K$11,8,0)</f>
        <v>#N/A</v>
      </c>
      <c r="AC84" s="224" t="e">
        <f>VLOOKUP(A84,Enforcements!$C$7:$E$11,3,0)</f>
        <v>#N/A</v>
      </c>
      <c r="AD84" s="225">
        <f t="shared" si="49"/>
        <v>168</v>
      </c>
      <c r="AE84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84" s="227" t="str">
        <f t="shared" si="51"/>
        <v>"C:\Program Files (x86)\AstroGrep\AstroGrep.exe" /e /r /s /spath="%USERPROFILE%\AppData\Local\Temp\OnboardLogs" /stypes="app*4061*20171003*" /stext=" 19:.+((SYSTEM_STATE.+slice.+state.+changed )|(ment ac)|(multiple cpu faults)|(system.+state.+changed )|(\[timeout)|(PRM\|1\|D)|(kpr)|(kdp)|(train st.+moving)|(\|lc)|(penalty))"</v>
      </c>
      <c r="AG84" s="228" t="str">
        <f t="shared" si="52"/>
        <v>EC</v>
      </c>
      <c r="AH84" s="229" t="str">
        <f t="shared" si="53"/>
        <v>"%USERPROFILE%\Documents\GitHub\eaglep3\Utilities\RefineRTDCRunTimes.py" --tripid 168-03 --locoid 4061 --swversion DE.1.0.9.0 --startMP 204:233021 --initTime 2017-10-03T12:48:20 --startdatetime 2017-10-03T12:57:16 --delay 62 --endMP 204:167 --enddatetime 2017-10-03T13:39:08 --enforcementcount 0 &gt;&gt;%USERPROFILE%\Documents\GitHub\eaglep3-reporting\EC\2017-10-03-refined-times.txt</v>
      </c>
      <c r="AI8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{"issue":{"subject":"","project_id":79,"tracker_id":40,"status_id":1,"priority_id":2,"assigned_to_id":338,"start_date":"2017-10-03","description":"","custom_fields":[{"id":1,"name":"Subdivision","value":"EC"},{"id":4,"name":"Milepost","value":"0.0167"},{"id":17,"name":"Train ID","value":"168-03"},{"id":16,"name":"Locomotive ID","value":"4061"},{"id":130,"name":"Impact","value":""},{"id":150,"name":"Time of Event (Mountain Time)","value":"13:39:08"},{"id":151,"name":"Denver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10"/>
      <c r="AK84" s="225"/>
      <c r="AL84" s="225"/>
      <c r="AM84" s="231" t="str">
        <f t="shared" si="55"/>
        <v>start /low /b %USERPROFILE%\Documents\GitHub\eaglep3\Utilities\DownloadLogsFromS3.py --loco 4061 --day 2017-10-03</v>
      </c>
      <c r="AN84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10" t="str">
        <f t="shared" si="57"/>
        <v>https://d0f6bd738d7f1b3e5a7ca70fe4ff75f0.us-east-1.aws.found.io/app/kibana#/discover/Steve-Slow-Train-Analysis-(2080s-and-2083s)?_g=(refreshInterval:(display:Off,pause:!f,section:0,value:0),time:(from:'2017-10-03T11:48:20-0600',mode:absolute,to:'2017-10-03T14:39:08-0600'))&amp;_a=(columns:!('Message%20ID',Summary),filters:!(),index:'emp_*',interval:auto,query:(query_string:(analyze_wildcard:!t,query:'%22rtdc.l.rtdc.4061%22')),sort:!(Time.ISO8601,asc))</v>
      </c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G84" s="210"/>
      <c r="BH84" s="210"/>
      <c r="BI84" s="210"/>
      <c r="BJ84" s="210"/>
      <c r="BK84" s="210"/>
      <c r="BL84" s="210"/>
      <c r="BM84" s="210"/>
      <c r="BN84" s="210"/>
      <c r="BO84" s="210"/>
      <c r="BP84" s="210"/>
      <c r="BQ84" s="210"/>
      <c r="BR84" s="210"/>
      <c r="BS84" s="210"/>
      <c r="BT84" s="210"/>
      <c r="BU84" s="210"/>
      <c r="BV84" s="210"/>
      <c r="BW84" s="210"/>
      <c r="BX84" s="210"/>
      <c r="BY84" s="210"/>
      <c r="BZ84" s="210"/>
      <c r="CA84" s="210"/>
      <c r="CB84" s="210"/>
      <c r="CC84" s="210"/>
      <c r="CD84" s="210"/>
      <c r="CE84" s="210"/>
      <c r="CF84" s="210"/>
      <c r="CG84" s="210"/>
      <c r="CH84" s="210"/>
      <c r="CI84" s="210"/>
      <c r="CJ84" s="210"/>
      <c r="CK84" s="210"/>
      <c r="CL84" s="210"/>
      <c r="CM84" s="210"/>
    </row>
    <row r="85" spans="1:91" s="1" customFormat="1" x14ac:dyDescent="0.25">
      <c r="A85" s="32" t="s">
        <v>725</v>
      </c>
      <c r="B85" s="7">
        <v>4050</v>
      </c>
      <c r="C85" s="21" t="s">
        <v>194</v>
      </c>
      <c r="D85" s="21" t="s">
        <v>460</v>
      </c>
      <c r="E85" s="13">
        <v>43011.505694444444</v>
      </c>
      <c r="F85" s="13">
        <v>43011.511006944442</v>
      </c>
      <c r="G85" s="7">
        <v>248</v>
      </c>
      <c r="H85" s="21" t="s">
        <v>556</v>
      </c>
      <c r="I85" s="13">
        <v>43011.535219907404</v>
      </c>
      <c r="J85" s="7">
        <v>0</v>
      </c>
      <c r="K85" s="85" t="str">
        <f t="shared" si="41"/>
        <v>4049/4050</v>
      </c>
      <c r="L85" s="179" t="str">
        <f>VLOOKUP(A85,'Trips&amp;Operators'!$C$1:$G$99911,5,FALSE)</f>
        <v>SAFIEF AEIMEN</v>
      </c>
      <c r="M85" s="6">
        <f t="shared" si="42"/>
        <v>2.421296296233777E-2</v>
      </c>
      <c r="N85" s="7">
        <f t="shared" si="40"/>
        <v>34.866666665766388</v>
      </c>
      <c r="O85" s="7"/>
      <c r="P85" s="7"/>
      <c r="Q85" s="22"/>
      <c r="R85" s="169"/>
      <c r="S85" s="202">
        <f t="shared" si="39"/>
        <v>1</v>
      </c>
      <c r="T85" s="169" t="str">
        <f t="shared" si="43"/>
        <v>NorthBound</v>
      </c>
      <c r="U85" s="22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2" t="str">
        <f t="shared" si="44"/>
        <v>https://d0f6bd738d7f1b3e5a7ca70fe4ff75f0.us-east-1.aws.found.io/app/kibana#/discover/Steve-Slow-Train-Analysis-(2080s-and-2083s)?_g=(refreshInterval:(display:Off,pause:!f,section:0,value:0),time:(from:'2017-10-03T11:08:12-0600',mode:absolute,to:'2017-10-03T13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223" t="str">
        <f>IF(AA85&lt;VLOOKUP(AG85,Variables!$AC$3:$AD$8,2,FALSE),"Y","N")</f>
        <v>N</v>
      </c>
      <c r="X85" s="223">
        <f t="shared" si="45"/>
        <v>1</v>
      </c>
      <c r="Y85" s="223">
        <f t="shared" si="46"/>
        <v>4.4900000000000002E-2</v>
      </c>
      <c r="Z85" s="223">
        <f t="shared" si="47"/>
        <v>23.3337</v>
      </c>
      <c r="AA85" s="223">
        <f t="shared" si="48"/>
        <v>23.288800000000002</v>
      </c>
      <c r="AB85" s="224" t="e">
        <f>VLOOKUP(A85,Enforcements!$C$7:$K$11,8,0)</f>
        <v>#N/A</v>
      </c>
      <c r="AC85" s="224" t="e">
        <f>VLOOKUP(A85,Enforcements!$C$7:$E$11,3,0)</f>
        <v>#N/A</v>
      </c>
      <c r="AD85" s="225">
        <f t="shared" si="49"/>
        <v>169</v>
      </c>
      <c r="AE85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85" s="227" t="str">
        <f t="shared" si="51"/>
        <v>"C:\Program Files (x86)\AstroGrep\AstroGrep.exe" /e /r /s /spath="%USERPROFILE%\AppData\Local\Temp\OnboardLogs" /stypes="app*4050*20171003*" /stext=" 18:.+((SYSTEM_STATE.+slice.+state.+changed )|(ment ac)|(multiple cpu faults)|(system.+state.+changed )|(\[timeout)|(PRM\|1\|D)|(kpr)|(kdp)|(train st.+moving)|(\|lc)|(penalty))"</v>
      </c>
      <c r="AG85" s="228" t="str">
        <f t="shared" si="52"/>
        <v>EC</v>
      </c>
      <c r="AH85" s="229" t="str">
        <f t="shared" si="53"/>
        <v>"%USERPROFILE%\Documents\GitHub\eaglep3\Utilities\RefineRTDCRunTimes.py" --tripid 169-03 --locoid 4050 --swversion DE.1.0.9.0 --startMP 204:449 --initTime 2017-10-03T12:08:12 --startdatetime 2017-10-03T12:15:51 --delay 248 --endMP 204:233337 --enddatetime 2017-10-03T12:50:43 --enforcementcount 0 &gt;&gt;%USERPROFILE%\Documents\GitHub\eaglep3-reporting\EC\2017-10-03-refined-times.txt</v>
      </c>
      <c r="AI8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{"issue":{"subject":"","project_id":79,"tracker_id":40,"status_id":1,"priority_id":2,"assigned_to_id":338,"start_date":"2017-10-03","description":"","custom_fields":[{"id":1,"name":"Subdivision","value":"EC"},{"id":4,"name":"Milepost","value":"23.3337"},{"id":17,"name":"Train ID","value":"169-03"},{"id":16,"name":"Locomotive ID","value":"4050"},{"id":130,"name":"Impact","value":""},{"id":150,"name":"Time of Event (Mountain Time)","value":"12:50:43"},{"id":151,"name":"Denver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10"/>
      <c r="AK85" s="225"/>
      <c r="AL85" s="225"/>
      <c r="AM85" s="231" t="str">
        <f t="shared" si="55"/>
        <v>start /low /b %USERPROFILE%\Documents\GitHub\eaglep3\Utilities\DownloadLogsFromS3.py --loco 4050 --day 2017-10-03</v>
      </c>
      <c r="AN8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10" t="str">
        <f t="shared" si="57"/>
        <v>https://d0f6bd738d7f1b3e5a7ca70fe4ff75f0.us-east-1.aws.found.io/app/kibana#/discover/Steve-Slow-Train-Analysis-(2080s-and-2083s)?_g=(refreshInterval:(display:Off,pause:!f,section:0,value:0),time:(from:'2017-10-03T11:08:12-0600',mode:absolute,to:'2017-10-03T13:50:43-0600'))&amp;_a=(columns:!('Message%20ID',Summary),filters:!(),index:'emp_*',interval:auto,query:(query_string:(analyze_wildcard:!t,query:'%22rtdc.l.rtdc.4050%22')),sort:!(Time.ISO8601,asc))</v>
      </c>
      <c r="AP85" s="210"/>
      <c r="AQ85" s="210"/>
      <c r="AR85" s="210"/>
      <c r="AS85" s="210"/>
      <c r="AT85" s="210"/>
      <c r="AU85" s="210"/>
      <c r="AV85" s="210"/>
      <c r="AW85" s="210"/>
      <c r="AX85" s="210"/>
      <c r="AY85" s="210"/>
      <c r="AZ85" s="210"/>
      <c r="BA85" s="210"/>
      <c r="BB85" s="210"/>
      <c r="BC85" s="210"/>
      <c r="BD85" s="210"/>
      <c r="BE85" s="210"/>
      <c r="BF85" s="210"/>
      <c r="BG85" s="210"/>
      <c r="BH85" s="210"/>
      <c r="BI85" s="210"/>
      <c r="BJ85" s="210"/>
      <c r="BK85" s="210"/>
      <c r="BL85" s="210"/>
      <c r="BM85" s="210"/>
      <c r="BN85" s="210"/>
      <c r="BO85" s="210"/>
      <c r="BP85" s="210"/>
      <c r="BQ85" s="210"/>
      <c r="BR85" s="210"/>
      <c r="BS85" s="210"/>
      <c r="BT85" s="210"/>
      <c r="BU85" s="210"/>
      <c r="BV85" s="210"/>
      <c r="BW85" s="210"/>
      <c r="BX85" s="210"/>
      <c r="BY85" s="210"/>
      <c r="BZ85" s="210"/>
      <c r="CA85" s="210"/>
      <c r="CB85" s="210"/>
      <c r="CC85" s="210"/>
      <c r="CD85" s="210"/>
      <c r="CE85" s="210"/>
      <c r="CF85" s="210"/>
      <c r="CG85" s="210"/>
      <c r="CH85" s="210"/>
      <c r="CI85" s="210"/>
      <c r="CJ85" s="210"/>
      <c r="CK85" s="210"/>
      <c r="CL85" s="210"/>
      <c r="CM85" s="210"/>
    </row>
    <row r="86" spans="1:91" s="1" customFormat="1" x14ac:dyDescent="0.25">
      <c r="A86" s="32" t="s">
        <v>735</v>
      </c>
      <c r="B86" s="7">
        <v>4049</v>
      </c>
      <c r="C86" s="21" t="s">
        <v>194</v>
      </c>
      <c r="D86" s="21" t="s">
        <v>475</v>
      </c>
      <c r="E86" s="13">
        <v>43011.545034722221</v>
      </c>
      <c r="F86" s="13">
        <v>43011.55023148148</v>
      </c>
      <c r="G86" s="7">
        <v>89</v>
      </c>
      <c r="H86" s="21" t="s">
        <v>362</v>
      </c>
      <c r="I86" s="13">
        <v>43011.57608796296</v>
      </c>
      <c r="J86" s="7">
        <v>0</v>
      </c>
      <c r="K86" s="85" t="str">
        <f t="shared" si="41"/>
        <v>4049/4050</v>
      </c>
      <c r="L86" s="179" t="str">
        <f>VLOOKUP(A86,'Trips&amp;Operators'!$C$1:$G$99911,5,FALSE)</f>
        <v>SAFIEF AEIMEN</v>
      </c>
      <c r="M86" s="6">
        <f t="shared" si="42"/>
        <v>2.5856481479422655E-2</v>
      </c>
      <c r="N86" s="7">
        <f t="shared" si="40"/>
        <v>37.233333330368623</v>
      </c>
      <c r="O86" s="7"/>
      <c r="P86" s="7"/>
      <c r="Q86" s="22"/>
      <c r="R86" s="169"/>
      <c r="S86" s="202">
        <f t="shared" si="39"/>
        <v>1</v>
      </c>
      <c r="T86" s="169" t="str">
        <f t="shared" si="43"/>
        <v>Southbound</v>
      </c>
      <c r="U86" s="22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2" t="str">
        <f t="shared" si="44"/>
        <v>https://d0f6bd738d7f1b3e5a7ca70fe4ff75f0.us-east-1.aws.found.io/app/kibana#/discover/Steve-Slow-Train-Analysis-(2080s-and-2083s)?_g=(refreshInterval:(display:Off,pause:!f,section:0,value:0),time:(from:'2017-10-03T12:04:51-0600',mode:absolute,to:'2017-10-03T14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223" t="str">
        <f>IF(AA86&lt;VLOOKUP(AG86,Variables!$AC$3:$AD$8,2,FALSE),"Y","N")</f>
        <v>N</v>
      </c>
      <c r="X86" s="223">
        <f t="shared" si="45"/>
        <v>1</v>
      </c>
      <c r="Y86" s="223">
        <f t="shared" si="46"/>
        <v>23.300899999999999</v>
      </c>
      <c r="Z86" s="223">
        <f t="shared" si="47"/>
        <v>1.5599999999999999E-2</v>
      </c>
      <c r="AA86" s="223">
        <f t="shared" si="48"/>
        <v>23.285299999999999</v>
      </c>
      <c r="AB86" s="224" t="e">
        <f>VLOOKUP(A86,Enforcements!$C$7:$K$11,8,0)</f>
        <v>#N/A</v>
      </c>
      <c r="AC86" s="224" t="e">
        <f>VLOOKUP(A86,Enforcements!$C$7:$E$11,3,0)</f>
        <v>#N/A</v>
      </c>
      <c r="AD86" s="225">
        <f t="shared" si="49"/>
        <v>170</v>
      </c>
      <c r="AE86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86" s="227" t="str">
        <f t="shared" si="51"/>
        <v>"C:\Program Files (x86)\AstroGrep\AstroGrep.exe" /e /r /s /spath="%USERPROFILE%\AppData\Local\Temp\OnboardLogs" /stypes="app*4049*20171003*" /stext=" 19:.+((SYSTEM_STATE.+slice.+state.+changed )|(ment ac)|(multiple cpu faults)|(system.+state.+changed )|(\[timeout)|(PRM\|1\|D)|(kpr)|(kdp)|(train st.+moving)|(\|lc)|(penalty))"</v>
      </c>
      <c r="AG86" s="228" t="str">
        <f t="shared" si="52"/>
        <v>EC</v>
      </c>
      <c r="AH86" s="229" t="str">
        <f t="shared" si="53"/>
        <v>"%USERPROFILE%\Documents\GitHub\eaglep3\Utilities\RefineRTDCRunTimes.py" --tripid 170-03 --locoid 4049 --swversion DE.1.0.9.0 --startMP 204:233009 --initTime 2017-10-03T13:04:51 --startdatetime 2017-10-03T13:12:20 --delay 89 --endMP 204:156 --enddatetime 2017-10-03T13:49:34 --enforcementcount 0 &gt;&gt;%USERPROFILE%\Documents\GitHub\eaglep3-reporting\EC\2017-10-03-refined-times.txt</v>
      </c>
      <c r="AI8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{"issue":{"subject":"","project_id":79,"tracker_id":40,"status_id":1,"priority_id":2,"assigned_to_id":338,"start_date":"2017-10-03","description":"","custom_fields":[{"id":1,"name":"Subdivision","value":"EC"},{"id":4,"name":"Milepost","value":"0.0156"},{"id":17,"name":"Train ID","value":"170-03"},{"id":16,"name":"Locomotive ID","value":"4049"},{"id":130,"name":"Impact","value":""},{"id":150,"name":"Time of Event (Mountain Time)","value":"13:49:34"},{"id":151,"name":"Denver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10"/>
      <c r="AK86" s="225"/>
      <c r="AL86" s="225"/>
      <c r="AM86" s="231" t="str">
        <f t="shared" si="55"/>
        <v>start /low /b %USERPROFILE%\Documents\GitHub\eaglep3\Utilities\DownloadLogsFromS3.py --loco 4049 --day 2017-10-03</v>
      </c>
      <c r="AN8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10" t="str">
        <f t="shared" si="57"/>
        <v>https://d0f6bd738d7f1b3e5a7ca70fe4ff75f0.us-east-1.aws.found.io/app/kibana#/discover/Steve-Slow-Train-Analysis-(2080s-and-2083s)?_g=(refreshInterval:(display:Off,pause:!f,section:0,value:0),time:(from:'2017-10-03T12:04:51-0600',mode:absolute,to:'2017-10-03T14:49:34-0600'))&amp;_a=(columns:!('Message%20ID',Summary),filters:!(),index:'emp_*',interval:auto,query:(query_string:(analyze_wildcard:!t,query:'%22rtdc.l.rtdc.4049%22')),sort:!(Time.ISO8601,asc))</v>
      </c>
      <c r="AP86" s="210"/>
      <c r="AQ86" s="210"/>
      <c r="AR86" s="210"/>
      <c r="AS86" s="210"/>
      <c r="AT86" s="210"/>
      <c r="AU86" s="210"/>
      <c r="AV86" s="210"/>
      <c r="AW86" s="210"/>
      <c r="AX86" s="210"/>
      <c r="AY86" s="210"/>
      <c r="AZ86" s="210"/>
      <c r="BA86" s="210"/>
      <c r="BB86" s="210"/>
      <c r="BC86" s="210"/>
      <c r="BD86" s="210"/>
      <c r="BE86" s="210"/>
      <c r="BF86" s="210"/>
      <c r="BG86" s="210"/>
      <c r="BH86" s="210"/>
      <c r="BI86" s="210"/>
      <c r="BJ86" s="210"/>
      <c r="BK86" s="210"/>
      <c r="BL86" s="210"/>
      <c r="BM86" s="210"/>
      <c r="BN86" s="210"/>
      <c r="BO86" s="210"/>
      <c r="BP86" s="210"/>
      <c r="BQ86" s="210"/>
      <c r="BR86" s="210"/>
      <c r="BS86" s="210"/>
      <c r="BT86" s="210"/>
      <c r="BU86" s="210"/>
      <c r="BV86" s="210"/>
      <c r="BW86" s="210"/>
      <c r="BX86" s="210"/>
      <c r="BY86" s="210"/>
      <c r="BZ86" s="210"/>
      <c r="CA86" s="210"/>
      <c r="CB86" s="210"/>
      <c r="CC86" s="210"/>
      <c r="CD86" s="210"/>
      <c r="CE86" s="210"/>
      <c r="CF86" s="210"/>
      <c r="CG86" s="210"/>
      <c r="CH86" s="210"/>
      <c r="CI86" s="210"/>
      <c r="CJ86" s="210"/>
      <c r="CK86" s="210"/>
      <c r="CL86" s="210"/>
      <c r="CM86" s="210"/>
    </row>
    <row r="87" spans="1:91" s="1" customFormat="1" x14ac:dyDescent="0.25">
      <c r="A87" s="32" t="s">
        <v>730</v>
      </c>
      <c r="B87" s="7">
        <v>4042</v>
      </c>
      <c r="C87" s="21" t="s">
        <v>194</v>
      </c>
      <c r="D87" s="21" t="s">
        <v>367</v>
      </c>
      <c r="E87" s="13">
        <v>43011.518229166664</v>
      </c>
      <c r="F87" s="13">
        <v>43011.521215277775</v>
      </c>
      <c r="G87" s="7">
        <v>83</v>
      </c>
      <c r="H87" s="21" t="s">
        <v>882</v>
      </c>
      <c r="I87" s="13">
        <v>43011.549328703702</v>
      </c>
      <c r="J87" s="7">
        <v>0</v>
      </c>
      <c r="K87" s="85" t="str">
        <f t="shared" si="41"/>
        <v>4041/4042</v>
      </c>
      <c r="L87" s="179" t="str">
        <f>VLOOKUP(A87,'Trips&amp;Operators'!$C$1:$G$99911,5,FALSE)</f>
        <v>DAVIS MICHAEL</v>
      </c>
      <c r="M87" s="6">
        <f t="shared" si="42"/>
        <v>2.8113425927585922E-2</v>
      </c>
      <c r="N87" s="7">
        <f t="shared" si="40"/>
        <v>40.483333335723728</v>
      </c>
      <c r="O87" s="7"/>
      <c r="P87" s="7"/>
      <c r="Q87" s="22"/>
      <c r="R87" s="169"/>
      <c r="S87" s="202">
        <f t="shared" ref="S87:S118" si="58">1/IF(AG87="EC",12,1)*SUM(U87:U87)</f>
        <v>1</v>
      </c>
      <c r="T87" s="169" t="str">
        <f t="shared" si="43"/>
        <v>NorthBound</v>
      </c>
      <c r="U87" s="22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2" t="str">
        <f t="shared" si="44"/>
        <v>https://d0f6bd738d7f1b3e5a7ca70fe4ff75f0.us-east-1.aws.found.io/app/kibana#/discover/Steve-Slow-Train-Analysis-(2080s-and-2083s)?_g=(refreshInterval:(display:Off,pause:!f,section:0,value:0),time:(from:'2017-10-03T11:26:15-0600',mode:absolute,to:'2017-10-03T14:11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223" t="str">
        <f>IF(AA87&lt;VLOOKUP(AG87,Variables!$AC$3:$AD$8,2,FALSE),"Y","N")</f>
        <v>N</v>
      </c>
      <c r="X87" s="223">
        <f t="shared" si="45"/>
        <v>1</v>
      </c>
      <c r="Y87" s="223">
        <f t="shared" si="46"/>
        <v>4.4200000000000003E-2</v>
      </c>
      <c r="Z87" s="223">
        <f t="shared" si="47"/>
        <v>23.3431</v>
      </c>
      <c r="AA87" s="223">
        <f t="shared" si="48"/>
        <v>23.2989</v>
      </c>
      <c r="AB87" s="224" t="e">
        <f>VLOOKUP(A87,Enforcements!$C$7:$K$11,8,0)</f>
        <v>#N/A</v>
      </c>
      <c r="AC87" s="224" t="e">
        <f>VLOOKUP(A87,Enforcements!$C$7:$E$11,3,0)</f>
        <v>#N/A</v>
      </c>
      <c r="AD87" s="225">
        <f t="shared" si="49"/>
        <v>171</v>
      </c>
      <c r="AE87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87" s="227" t="str">
        <f t="shared" si="51"/>
        <v>"C:\Program Files (x86)\AstroGrep\AstroGrep.exe" /e /r /s /spath="%USERPROFILE%\AppData\Local\Temp\OnboardLogs" /stypes="app*4042*20171003*" /stext=" 19:.+((SYSTEM_STATE.+slice.+state.+changed )|(ment ac)|(multiple cpu faults)|(system.+state.+changed )|(\[timeout)|(PRM\|1\|D)|(kpr)|(kdp)|(train st.+moving)|(\|lc)|(penalty))"</v>
      </c>
      <c r="AG87" s="228" t="str">
        <f t="shared" si="52"/>
        <v>EC</v>
      </c>
      <c r="AH87" s="229" t="str">
        <f t="shared" si="53"/>
        <v>"%USERPROFILE%\Documents\GitHub\eaglep3\Utilities\RefineRTDCRunTimes.py" --tripid 171-03 --locoid 4042 --swversion DE.1.0.9.0 --startMP 204:442 --initTime 2017-10-03T12:26:15 --startdatetime 2017-10-03T12:30:33 --delay 83 --endMP 204:233431 --enddatetime 2017-10-03T13:11:02 --enforcementcount 0 &gt;&gt;%USERPROFILE%\Documents\GitHub\eaglep3-reporting\EC\2017-10-03-refined-times.txt</v>
      </c>
      <c r="AI8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{"issue":{"subject":"","project_id":79,"tracker_id":40,"status_id":1,"priority_id":2,"assigned_to_id":338,"start_date":"2017-10-03","description":"","custom_fields":[{"id":1,"name":"Subdivision","value":"EC"},{"id":4,"name":"Milepost","value":"23.3431"},{"id":17,"name":"Train ID","value":"171-03"},{"id":16,"name":"Locomotive ID","value":"4042"},{"id":130,"name":"Impact","value":""},{"id":150,"name":"Time of Event (Mountain Time)","value":"13:11:02"},{"id":151,"name":"Denver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10"/>
      <c r="AK87" s="225"/>
      <c r="AL87" s="225"/>
      <c r="AM87" s="231" t="str">
        <f t="shared" si="55"/>
        <v>start /low /b %USERPROFILE%\Documents\GitHub\eaglep3\Utilities\DownloadLogsFromS3.py --loco 4042 --day 2017-10-03</v>
      </c>
      <c r="AN8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19:11:02"},{"id":29,"name":"Sharepoint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10" t="str">
        <f t="shared" si="57"/>
        <v>https://d0f6bd738d7f1b3e5a7ca70fe4ff75f0.us-east-1.aws.found.io/app/kibana#/discover/Steve-Slow-Train-Analysis-(2080s-and-2083s)?_g=(refreshInterval:(display:Off,pause:!f,section:0,value:0),time:(from:'2017-10-03T11:26:15-0600',mode:absolute,to:'2017-10-03T14:11:02-0600'))&amp;_a=(columns:!('Message%20ID',Summary),filters:!(),index:'emp_*',interval:auto,query:(query_string:(analyze_wildcard:!t,query:'%22rtdc.l.rtdc.4042%22')),sort:!(Time.ISO8601,asc))</v>
      </c>
      <c r="AP87" s="210"/>
      <c r="AQ87" s="210"/>
      <c r="AR87" s="210"/>
      <c r="AS87" s="210"/>
      <c r="AT87" s="210"/>
      <c r="AU87" s="210"/>
      <c r="AV87" s="210"/>
      <c r="AW87" s="210"/>
      <c r="AX87" s="210"/>
      <c r="AY87" s="210"/>
      <c r="AZ87" s="210"/>
      <c r="BA87" s="210"/>
      <c r="BB87" s="210"/>
      <c r="BC87" s="210"/>
      <c r="BD87" s="210"/>
      <c r="BE87" s="210"/>
      <c r="BF87" s="210"/>
      <c r="BG87" s="210"/>
      <c r="BH87" s="210"/>
      <c r="BI87" s="210"/>
      <c r="BJ87" s="210"/>
      <c r="BK87" s="210"/>
      <c r="BL87" s="210"/>
      <c r="BM87" s="210"/>
      <c r="BN87" s="210"/>
      <c r="BO87" s="210"/>
      <c r="BP87" s="210"/>
      <c r="BQ87" s="210"/>
      <c r="BR87" s="210"/>
      <c r="BS87" s="210"/>
      <c r="BT87" s="210"/>
      <c r="BU87" s="210"/>
      <c r="BV87" s="210"/>
      <c r="BW87" s="210"/>
      <c r="BX87" s="210"/>
      <c r="BY87" s="210"/>
      <c r="BZ87" s="210"/>
      <c r="CA87" s="210"/>
      <c r="CB87" s="210"/>
      <c r="CC87" s="210"/>
      <c r="CD87" s="210"/>
      <c r="CE87" s="210"/>
      <c r="CF87" s="210"/>
      <c r="CG87" s="210"/>
      <c r="CH87" s="210"/>
      <c r="CI87" s="210"/>
      <c r="CJ87" s="210"/>
      <c r="CK87" s="210"/>
      <c r="CL87" s="210"/>
      <c r="CM87" s="210"/>
    </row>
    <row r="88" spans="1:91" s="1" customFormat="1" x14ac:dyDescent="0.25">
      <c r="A88" s="32" t="s">
        <v>737</v>
      </c>
      <c r="B88" s="7">
        <v>4041</v>
      </c>
      <c r="C88" s="21" t="s">
        <v>194</v>
      </c>
      <c r="D88" s="21" t="s">
        <v>883</v>
      </c>
      <c r="E88" s="13">
        <v>43011.55709490741</v>
      </c>
      <c r="F88" s="13">
        <v>43011.560810185183</v>
      </c>
      <c r="G88" s="7">
        <v>72</v>
      </c>
      <c r="H88" s="21" t="s">
        <v>884</v>
      </c>
      <c r="I88" s="13">
        <v>43011.587789351855</v>
      </c>
      <c r="J88" s="7">
        <v>0</v>
      </c>
      <c r="K88" s="85" t="str">
        <f t="shared" si="41"/>
        <v>4041/4042</v>
      </c>
      <c r="L88" s="179" t="str">
        <f>VLOOKUP(A88,'Trips&amp;Operators'!$C$1:$G$99911,5,FALSE)</f>
        <v>DAVIS MICHAEL</v>
      </c>
      <c r="M88" s="6">
        <f t="shared" si="42"/>
        <v>2.697916667239042E-2</v>
      </c>
      <c r="N88" s="7">
        <f t="shared" ref="N88:N119" si="59">24*60*SUM($M88:$M88)</f>
        <v>38.850000008242205</v>
      </c>
      <c r="O88" s="7"/>
      <c r="P88" s="7"/>
      <c r="Q88" s="22"/>
      <c r="R88" s="169"/>
      <c r="S88" s="202">
        <f t="shared" si="58"/>
        <v>1</v>
      </c>
      <c r="T88" s="169" t="str">
        <f t="shared" si="43"/>
        <v>Southbound</v>
      </c>
      <c r="U88" s="22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2" t="str">
        <f t="shared" si="44"/>
        <v>https://d0f6bd738d7f1b3e5a7ca70fe4ff75f0.us-east-1.aws.found.io/app/kibana#/discover/Steve-Slow-Train-Analysis-(2080s-and-2083s)?_g=(refreshInterval:(display:Off,pause:!f,section:0,value:0),time:(from:'2017-10-03T12:22:13-0600',mode:absolute,to:'2017-10-03T15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223" t="str">
        <f>IF(AA88&lt;VLOOKUP(AG88,Variables!$AC$3:$AD$8,2,FALSE),"Y","N")</f>
        <v>N</v>
      </c>
      <c r="X88" s="223">
        <f t="shared" si="45"/>
        <v>1</v>
      </c>
      <c r="Y88" s="223">
        <f t="shared" si="46"/>
        <v>23.302700000000002</v>
      </c>
      <c r="Z88" s="223">
        <f t="shared" si="47"/>
        <v>1.2699999999999999E-2</v>
      </c>
      <c r="AA88" s="223">
        <f t="shared" si="48"/>
        <v>23.290000000000003</v>
      </c>
      <c r="AB88" s="224" t="e">
        <f>VLOOKUP(A88,Enforcements!$C$7:$K$11,8,0)</f>
        <v>#N/A</v>
      </c>
      <c r="AC88" s="224" t="e">
        <f>VLOOKUP(A88,Enforcements!$C$7:$E$11,3,0)</f>
        <v>#N/A</v>
      </c>
      <c r="AD88" s="225">
        <f t="shared" si="49"/>
        <v>172</v>
      </c>
      <c r="AE88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88" s="227" t="str">
        <f t="shared" si="51"/>
        <v>"C:\Program Files (x86)\AstroGrep\AstroGrep.exe" /e /r /s /spath="%USERPROFILE%\AppData\Local\Temp\OnboardLogs" /stypes="app*4041*20171003*" /stext=" 20:.+((SYSTEM_STATE.+slice.+state.+changed )|(ment ac)|(multiple cpu faults)|(system.+state.+changed )|(\[timeout)|(PRM\|1\|D)|(kpr)|(kdp)|(train st.+moving)|(\|lc)|(penalty))"</v>
      </c>
      <c r="AG88" s="228" t="str">
        <f t="shared" si="52"/>
        <v>EC</v>
      </c>
      <c r="AH88" s="229" t="str">
        <f t="shared" si="53"/>
        <v>"%USERPROFILE%\Documents\GitHub\eaglep3\Utilities\RefineRTDCRunTimes.py" --tripid 172-03 --locoid 4041 --swversion DE.1.0.9.0 --startMP 204:233027 --initTime 2017-10-03T13:22:13 --startdatetime 2017-10-03T13:27:34 --delay 72 --endMP 204:127 --enddatetime 2017-10-03T14:06:25 --enforcementcount 0 &gt;&gt;%USERPROFILE%\Documents\GitHub\eaglep3-reporting\EC\2017-10-03-refined-times.txt</v>
      </c>
      <c r="AI8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{"issue":{"subject":"","project_id":79,"tracker_id":40,"status_id":1,"priority_id":2,"assigned_to_id":338,"start_date":"2017-10-03","description":"","custom_fields":[{"id":1,"name":"Subdivision","value":"EC"},{"id":4,"name":"Milepost","value":"0.0127"},{"id":17,"name":"Train ID","value":"172-03"},{"id":16,"name":"Locomotive ID","value":"4041"},{"id":130,"name":"Impact","value":""},{"id":150,"name":"Time of Event (Mountain Time)","value":"14:06:25"},{"id":151,"name":"Denver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10"/>
      <c r="AK88" s="225"/>
      <c r="AL88" s="225"/>
      <c r="AM88" s="231" t="str">
        <f t="shared" si="55"/>
        <v>start /low /b %USERPROFILE%\Documents\GitHub\eaglep3\Utilities\DownloadLogsFromS3.py --loco 4041 --day 2017-10-03</v>
      </c>
      <c r="AN8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10" t="str">
        <f t="shared" si="57"/>
        <v>https://d0f6bd738d7f1b3e5a7ca70fe4ff75f0.us-east-1.aws.found.io/app/kibana#/discover/Steve-Slow-Train-Analysis-(2080s-and-2083s)?_g=(refreshInterval:(display:Off,pause:!f,section:0,value:0),time:(from:'2017-10-03T12:22:13-0600',mode:absolute,to:'2017-10-03T15:06:25-0600'))&amp;_a=(columns:!('Message%20ID',Summary),filters:!(),index:'emp_*',interval:auto,query:(query_string:(analyze_wildcard:!t,query:'%22rtdc.l.rtdc.4041%22')),sort:!(Time.ISO8601,asc))</v>
      </c>
      <c r="AP88" s="210"/>
      <c r="AQ88" s="210"/>
      <c r="AR88" s="210"/>
      <c r="AS88" s="210"/>
      <c r="AT88" s="210"/>
      <c r="AU88" s="210"/>
      <c r="AV88" s="210"/>
      <c r="AW88" s="210"/>
      <c r="AX88" s="210"/>
      <c r="AY88" s="210"/>
      <c r="AZ88" s="210"/>
      <c r="BA88" s="210"/>
      <c r="BB88" s="210"/>
      <c r="BC88" s="210"/>
      <c r="BD88" s="210"/>
      <c r="BE88" s="210"/>
      <c r="BF88" s="210"/>
      <c r="BG88" s="210"/>
      <c r="BH88" s="210"/>
      <c r="BI88" s="210"/>
      <c r="BJ88" s="210"/>
      <c r="BK88" s="210"/>
      <c r="BL88" s="210"/>
      <c r="BM88" s="210"/>
      <c r="BN88" s="210"/>
      <c r="BO88" s="210"/>
      <c r="BP88" s="210"/>
      <c r="BQ88" s="210"/>
      <c r="BR88" s="210"/>
      <c r="BS88" s="210"/>
      <c r="BT88" s="210"/>
      <c r="BU88" s="210"/>
      <c r="BV88" s="210"/>
      <c r="BW88" s="210"/>
      <c r="BX88" s="210"/>
      <c r="BY88" s="210"/>
      <c r="BZ88" s="210"/>
      <c r="CA88" s="210"/>
      <c r="CB88" s="210"/>
      <c r="CC88" s="210"/>
      <c r="CD88" s="210"/>
      <c r="CE88" s="210"/>
      <c r="CF88" s="210"/>
      <c r="CG88" s="210"/>
      <c r="CH88" s="210"/>
      <c r="CI88" s="210"/>
      <c r="CJ88" s="210"/>
      <c r="CK88" s="210"/>
      <c r="CL88" s="210"/>
      <c r="CM88" s="210"/>
    </row>
    <row r="89" spans="1:91" s="1" customFormat="1" x14ac:dyDescent="0.25">
      <c r="A89" s="32" t="s">
        <v>731</v>
      </c>
      <c r="B89" s="7">
        <v>4012</v>
      </c>
      <c r="C89" s="21" t="s">
        <v>194</v>
      </c>
      <c r="D89" s="21" t="s">
        <v>443</v>
      </c>
      <c r="E89" s="13">
        <v>43011.527314814812</v>
      </c>
      <c r="F89" s="13">
        <v>43011.5315162037</v>
      </c>
      <c r="G89" s="7">
        <v>98</v>
      </c>
      <c r="H89" s="21" t="s">
        <v>852</v>
      </c>
      <c r="I89" s="13">
        <v>43011.558692129627</v>
      </c>
      <c r="J89" s="7">
        <v>0</v>
      </c>
      <c r="K89" s="85" t="str">
        <f t="shared" si="41"/>
        <v>4011/4012</v>
      </c>
      <c r="L89" s="179" t="str">
        <f>VLOOKUP(A89,'Trips&amp;Operators'!$C$1:$G$99911,5,FALSE)</f>
        <v>MOSES BRADLEY</v>
      </c>
      <c r="M89" s="6">
        <f t="shared" si="42"/>
        <v>2.7175925926712807E-2</v>
      </c>
      <c r="N89" s="7">
        <f t="shared" si="59"/>
        <v>39.133333334466442</v>
      </c>
      <c r="O89" s="7"/>
      <c r="P89" s="7"/>
      <c r="Q89" s="22"/>
      <c r="R89" s="169"/>
      <c r="S89" s="202">
        <f t="shared" si="58"/>
        <v>1</v>
      </c>
      <c r="T89" s="169" t="str">
        <f t="shared" si="43"/>
        <v>NorthBound</v>
      </c>
      <c r="U89" s="22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2" t="str">
        <f t="shared" si="44"/>
        <v>https://d0f6bd738d7f1b3e5a7ca70fe4ff75f0.us-east-1.aws.found.io/app/kibana#/discover/Steve-Slow-Train-Analysis-(2080s-and-2083s)?_g=(refreshInterval:(display:Off,pause:!f,section:0,value:0),time:(from:'2017-10-03T11:39:20-0600',mode:absolute,to:'2017-10-03T14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223" t="str">
        <f>IF(AA89&lt;VLOOKUP(AG89,Variables!$AC$3:$AD$8,2,FALSE),"Y","N")</f>
        <v>N</v>
      </c>
      <c r="X89" s="223">
        <f t="shared" si="45"/>
        <v>1</v>
      </c>
      <c r="Y89" s="223">
        <f t="shared" si="46"/>
        <v>4.7699999999999999E-2</v>
      </c>
      <c r="Z89" s="223">
        <f t="shared" si="47"/>
        <v>23.329899999999999</v>
      </c>
      <c r="AA89" s="223">
        <f t="shared" si="48"/>
        <v>23.2822</v>
      </c>
      <c r="AB89" s="224" t="e">
        <f>VLOOKUP(A89,Enforcements!$C$7:$K$11,8,0)</f>
        <v>#N/A</v>
      </c>
      <c r="AC89" s="224" t="e">
        <f>VLOOKUP(A89,Enforcements!$C$7:$E$11,3,0)</f>
        <v>#N/A</v>
      </c>
      <c r="AD89" s="225">
        <f t="shared" si="49"/>
        <v>173</v>
      </c>
      <c r="AE89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89" s="227" t="str">
        <f t="shared" si="51"/>
        <v>"C:\Program Files (x86)\AstroGrep\AstroGrep.exe" /e /r /s /spath="%USERPROFILE%\AppData\Local\Temp\OnboardLogs" /stypes="app*4012*20171003*" /stext=" 19:.+((SYSTEM_STATE.+slice.+state.+changed )|(ment ac)|(multiple cpu faults)|(system.+state.+changed )|(\[timeout)|(PRM\|1\|D)|(kpr)|(kdp)|(train st.+moving)|(\|lc)|(penalty))"</v>
      </c>
      <c r="AG89" s="228" t="str">
        <f t="shared" si="52"/>
        <v>EC</v>
      </c>
      <c r="AH89" s="229" t="str">
        <f t="shared" si="53"/>
        <v>"%USERPROFILE%\Documents\GitHub\eaglep3\Utilities\RefineRTDCRunTimes.py" --tripid 173-03 --locoid 4012 --swversion DE.1.0.9.0 --startMP 204:477 --initTime 2017-10-03T12:39:20 --startdatetime 2017-10-03T12:45:23 --delay 98 --endMP 204:233299 --enddatetime 2017-10-03T13:24:31 --enforcementcount 0 &gt;&gt;%USERPROFILE%\Documents\GitHub\eaglep3-reporting\EC\2017-10-03-refined-times.txt</v>
      </c>
      <c r="AI8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ID","value":"173-03"},{"id":16,"name":"Locomotive ID","value":"4012"},{"id":130,"name":"Impact","value":""},{"id":150,"name":"Time of Event (Mountain Time)","value":"13:24:31"},{"id":151,"name":"Denver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10"/>
      <c r="AK89" s="225"/>
      <c r="AL89" s="225"/>
      <c r="AM89" s="231" t="str">
        <f t="shared" si="55"/>
        <v>start /low /b %USERPROFILE%\Documents\GitHub\eaglep3\Utilities\DownloadLogsFromS3.py --loco 4012 --day 2017-10-03</v>
      </c>
      <c r="AN8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10" t="str">
        <f t="shared" si="57"/>
        <v>https://d0f6bd738d7f1b3e5a7ca70fe4ff75f0.us-east-1.aws.found.io/app/kibana#/discover/Steve-Slow-Train-Analysis-(2080s-and-2083s)?_g=(refreshInterval:(display:Off,pause:!f,section:0,value:0),time:(from:'2017-10-03T11:39:20-0600',mode:absolute,to:'2017-10-03T14:24:31-0600'))&amp;_a=(columns:!('Message%20ID',Summary),filters:!(),index:'emp_*',interval:auto,query:(query_string:(analyze_wildcard:!t,query:'%22rtdc.l.rtdc.4012%22')),sort:!(Time.ISO8601,asc))</v>
      </c>
      <c r="AP89" s="210"/>
      <c r="AQ89" s="210"/>
      <c r="AR89" s="210"/>
      <c r="AS89" s="210"/>
      <c r="AT89" s="210"/>
      <c r="AU89" s="210"/>
      <c r="AV89" s="210"/>
      <c r="AW89" s="210"/>
      <c r="AX89" s="210"/>
      <c r="AY89" s="210"/>
      <c r="AZ89" s="210"/>
      <c r="BA89" s="210"/>
      <c r="BB89" s="210"/>
      <c r="BC89" s="210"/>
      <c r="BD89" s="210"/>
      <c r="BE89" s="210"/>
      <c r="BF89" s="210"/>
      <c r="BG89" s="210"/>
      <c r="BH89" s="210"/>
      <c r="BI89" s="210"/>
      <c r="BJ89" s="210"/>
      <c r="BK89" s="210"/>
      <c r="BL89" s="210"/>
      <c r="BM89" s="210"/>
      <c r="BN89" s="210"/>
      <c r="BO89" s="210"/>
      <c r="BP89" s="210"/>
      <c r="BQ89" s="210"/>
      <c r="BR89" s="210"/>
      <c r="BS89" s="210"/>
      <c r="BT89" s="210"/>
      <c r="BU89" s="210"/>
      <c r="BV89" s="210"/>
      <c r="BW89" s="210"/>
      <c r="BX89" s="210"/>
      <c r="BY89" s="210"/>
      <c r="BZ89" s="210"/>
      <c r="CA89" s="210"/>
      <c r="CB89" s="210"/>
      <c r="CC89" s="210"/>
      <c r="CD89" s="210"/>
      <c r="CE89" s="210"/>
      <c r="CF89" s="210"/>
      <c r="CG89" s="210"/>
      <c r="CH89" s="210"/>
      <c r="CI89" s="210"/>
      <c r="CJ89" s="210"/>
      <c r="CK89" s="210"/>
      <c r="CL89" s="210"/>
      <c r="CM89" s="210"/>
    </row>
    <row r="90" spans="1:91" s="1" customFormat="1" x14ac:dyDescent="0.25">
      <c r="A90" s="32" t="s">
        <v>739</v>
      </c>
      <c r="B90" s="7">
        <v>4011</v>
      </c>
      <c r="C90" s="21" t="s">
        <v>194</v>
      </c>
      <c r="D90" s="21" t="s">
        <v>509</v>
      </c>
      <c r="E90" s="13">
        <v>43011.560381944444</v>
      </c>
      <c r="F90" s="13">
        <v>43011.571030092593</v>
      </c>
      <c r="G90" s="7">
        <v>581</v>
      </c>
      <c r="H90" s="21" t="s">
        <v>337</v>
      </c>
      <c r="I90" s="13">
        <v>43011.597719907404</v>
      </c>
      <c r="J90" s="7">
        <v>0</v>
      </c>
      <c r="K90" s="85" t="str">
        <f t="shared" si="41"/>
        <v>4011/4012</v>
      </c>
      <c r="L90" s="179" t="str">
        <f>VLOOKUP(A90,'Trips&amp;Operators'!$C$1:$G$99911,5,FALSE)</f>
        <v>MOSES BRADLEY</v>
      </c>
      <c r="M90" s="6">
        <f t="shared" si="42"/>
        <v>2.6689814811106771E-2</v>
      </c>
      <c r="N90" s="7">
        <f t="shared" si="59"/>
        <v>38.433333327993751</v>
      </c>
      <c r="O90" s="7"/>
      <c r="P90" s="7"/>
      <c r="Q90" s="22"/>
      <c r="R90" s="169"/>
      <c r="S90" s="202">
        <f t="shared" si="58"/>
        <v>1</v>
      </c>
      <c r="T90" s="169" t="str">
        <f t="shared" si="43"/>
        <v>Southbound</v>
      </c>
      <c r="U90" s="22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2" t="str">
        <f t="shared" si="44"/>
        <v>https://d0f6bd738d7f1b3e5a7ca70fe4ff75f0.us-east-1.aws.found.io/app/kibana#/discover/Steve-Slow-Train-Analysis-(2080s-and-2083s)?_g=(refreshInterval:(display:Off,pause:!f,section:0,value:0),time:(from:'2017-10-03T12:26:57-0600',mode:absolute,to:'2017-10-03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223" t="str">
        <f>IF(AA90&lt;VLOOKUP(AG90,Variables!$AC$3:$AD$8,2,FALSE),"Y","N")</f>
        <v>N</v>
      </c>
      <c r="X90" s="223">
        <f t="shared" si="45"/>
        <v>1</v>
      </c>
      <c r="Y90" s="223">
        <f t="shared" si="46"/>
        <v>23.298400000000001</v>
      </c>
      <c r="Z90" s="223">
        <f t="shared" si="47"/>
        <v>1.43E-2</v>
      </c>
      <c r="AA90" s="223">
        <f t="shared" si="48"/>
        <v>23.284100000000002</v>
      </c>
      <c r="AB90" s="224" t="e">
        <f>VLOOKUP(A90,Enforcements!$C$7:$K$11,8,0)</f>
        <v>#N/A</v>
      </c>
      <c r="AC90" s="224" t="e">
        <f>VLOOKUP(A90,Enforcements!$C$7:$E$11,3,0)</f>
        <v>#N/A</v>
      </c>
      <c r="AD90" s="225">
        <f t="shared" si="49"/>
        <v>174</v>
      </c>
      <c r="AE90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90" s="227" t="str">
        <f t="shared" si="51"/>
        <v>"C:\Program Files (x86)\AstroGrep\AstroGrep.exe" /e /r /s /spath="%USERPROFILE%\AppData\Local\Temp\OnboardLogs" /stypes="app*4011*20171003*" /stext=" 20:.+((SYSTEM_STATE.+slice.+state.+changed )|(ment ac)|(multiple cpu faults)|(system.+state.+changed )|(\[timeout)|(PRM\|1\|D)|(kpr)|(kdp)|(train st.+moving)|(\|lc)|(penalty))"</v>
      </c>
      <c r="AG90" s="228" t="str">
        <f t="shared" si="52"/>
        <v>EC</v>
      </c>
      <c r="AH90" s="229" t="str">
        <f t="shared" si="53"/>
        <v>"%USERPROFILE%\Documents\GitHub\eaglep3\Utilities\RefineRTDCRunTimes.py" --tripid 174-03 --locoid 4011 --swversion DE.1.0.9.0 --startMP 204:232984 --initTime 2017-10-03T13:26:57 --startdatetime 2017-10-03T13:42:17 --delay 581 --endMP 204:143 --enddatetime 2017-10-03T14:20:43 --enforcementcount 0 &gt;&gt;%USERPROFILE%\Documents\GitHub\eaglep3-reporting\EC\2017-10-03-refined-times.txt</v>
      </c>
      <c r="AI9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ID","value":"174-03"},{"id":16,"name":"Locomotive ID","value":"4011"},{"id":130,"name":"Impact","value":""},{"id":150,"name":"Time of Event (Mountain Time)","value":"14:20:43"},{"id":151,"name":"Denver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10"/>
      <c r="AK90" s="225"/>
      <c r="AL90" s="225"/>
      <c r="AM90" s="231" t="str">
        <f t="shared" si="55"/>
        <v>start /low /b %USERPROFILE%\Documents\GitHub\eaglep3\Utilities\DownloadLogsFromS3.py --loco 4011 --day 2017-10-03</v>
      </c>
      <c r="AN9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10" t="str">
        <f t="shared" si="57"/>
        <v>https://d0f6bd738d7f1b3e5a7ca70fe4ff75f0.us-east-1.aws.found.io/app/kibana#/discover/Steve-Slow-Train-Analysis-(2080s-and-2083s)?_g=(refreshInterval:(display:Off,pause:!f,section:0,value:0),time:(from:'2017-10-03T12:26:57-0600',mode:absolute,to:'2017-10-03T15:20:43-0600'))&amp;_a=(columns:!('Message%20ID',Summary),filters:!(),index:'emp_*',interval:auto,query:(query_string:(analyze_wildcard:!t,query:'%22rtdc.l.rtdc.4011%22')),sort:!(Time.ISO8601,asc))</v>
      </c>
      <c r="AP90" s="210"/>
      <c r="AQ90" s="210"/>
      <c r="AR90" s="210"/>
      <c r="AS90" s="210"/>
      <c r="AT90" s="210"/>
      <c r="AU90" s="210"/>
      <c r="AV90" s="210"/>
      <c r="AW90" s="210"/>
      <c r="AX90" s="210"/>
      <c r="AY90" s="210"/>
      <c r="AZ90" s="210"/>
      <c r="BA90" s="210"/>
      <c r="BB90" s="210"/>
      <c r="BC90" s="210"/>
      <c r="BD90" s="210"/>
      <c r="BE90" s="210"/>
      <c r="BF90" s="210"/>
      <c r="BG90" s="210"/>
      <c r="BH90" s="210"/>
      <c r="BI90" s="210"/>
      <c r="BJ90" s="210"/>
      <c r="BK90" s="210"/>
      <c r="BL90" s="210"/>
      <c r="BM90" s="210"/>
      <c r="BN90" s="210"/>
      <c r="BO90" s="210"/>
      <c r="BP90" s="210"/>
      <c r="BQ90" s="210"/>
      <c r="BR90" s="210"/>
      <c r="BS90" s="210"/>
      <c r="BT90" s="210"/>
      <c r="BU90" s="210"/>
      <c r="BV90" s="210"/>
      <c r="BW90" s="210"/>
      <c r="BX90" s="210"/>
      <c r="BY90" s="210"/>
      <c r="BZ90" s="210"/>
      <c r="CA90" s="210"/>
      <c r="CB90" s="210"/>
      <c r="CC90" s="210"/>
      <c r="CD90" s="210"/>
      <c r="CE90" s="210"/>
      <c r="CF90" s="210"/>
      <c r="CG90" s="210"/>
      <c r="CH90" s="210"/>
      <c r="CI90" s="210"/>
      <c r="CJ90" s="210"/>
      <c r="CK90" s="210"/>
      <c r="CL90" s="210"/>
      <c r="CM90" s="210"/>
    </row>
    <row r="91" spans="1:91" s="1" customFormat="1" x14ac:dyDescent="0.25">
      <c r="A91" s="32" t="s">
        <v>733</v>
      </c>
      <c r="B91" s="7">
        <v>4032</v>
      </c>
      <c r="C91" s="21" t="s">
        <v>194</v>
      </c>
      <c r="D91" s="21" t="s">
        <v>453</v>
      </c>
      <c r="E91" s="13">
        <v>43011.537037037036</v>
      </c>
      <c r="F91" s="13">
        <v>43011.54184027778</v>
      </c>
      <c r="G91" s="7">
        <v>69</v>
      </c>
      <c r="H91" s="21" t="s">
        <v>442</v>
      </c>
      <c r="I91" s="13">
        <v>43011.56658564815</v>
      </c>
      <c r="J91" s="7">
        <v>0</v>
      </c>
      <c r="K91" s="85" t="str">
        <f t="shared" si="41"/>
        <v>4031/4032</v>
      </c>
      <c r="L91" s="179" t="str">
        <f>VLOOKUP(A91,'Trips&amp;Operators'!$C$1:$G$99911,5,FALSE)</f>
        <v>BRUDER RICHARD</v>
      </c>
      <c r="M91" s="6">
        <f t="shared" si="42"/>
        <v>2.47453703705105E-2</v>
      </c>
      <c r="N91" s="7">
        <f t="shared" si="59"/>
        <v>35.63333333353512</v>
      </c>
      <c r="O91" s="7"/>
      <c r="P91" s="7"/>
      <c r="Q91" s="22"/>
      <c r="R91" s="169"/>
      <c r="S91" s="202">
        <f t="shared" si="58"/>
        <v>1</v>
      </c>
      <c r="T91" s="169" t="str">
        <f t="shared" si="43"/>
        <v>NorthBound</v>
      </c>
      <c r="U91" s="22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2" t="str">
        <f t="shared" si="44"/>
        <v>https://d0f6bd738d7f1b3e5a7ca70fe4ff75f0.us-east-1.aws.found.io/app/kibana#/discover/Steve-Slow-Train-Analysis-(2080s-and-2083s)?_g=(refreshInterval:(display:Off,pause:!f,section:0,value:0),time:(from:'2017-10-03T11:53:20-0600',mode:absolute,to:'2017-10-03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223" t="str">
        <f>IF(AA91&lt;VLOOKUP(AG91,Variables!$AC$3:$AD$8,2,FALSE),"Y","N")</f>
        <v>N</v>
      </c>
      <c r="X91" s="223">
        <f t="shared" si="45"/>
        <v>1</v>
      </c>
      <c r="Y91" s="223">
        <f t="shared" si="46"/>
        <v>4.6699999999999998E-2</v>
      </c>
      <c r="Z91" s="223">
        <f t="shared" si="47"/>
        <v>23.330400000000001</v>
      </c>
      <c r="AA91" s="223">
        <f t="shared" si="48"/>
        <v>23.2837</v>
      </c>
      <c r="AB91" s="224" t="e">
        <f>VLOOKUP(A91,Enforcements!$C$7:$K$11,8,0)</f>
        <v>#N/A</v>
      </c>
      <c r="AC91" s="224" t="e">
        <f>VLOOKUP(A91,Enforcements!$C$7:$E$11,3,0)</f>
        <v>#N/A</v>
      </c>
      <c r="AD91" s="225">
        <f t="shared" si="49"/>
        <v>175</v>
      </c>
      <c r="AE91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91" s="227" t="str">
        <f t="shared" si="51"/>
        <v>"C:\Program Files (x86)\AstroGrep\AstroGrep.exe" /e /r /s /spath="%USERPROFILE%\AppData\Local\Temp\OnboardLogs" /stypes="app*4032*20171003*" /stext=" 19:.+((SYSTEM_STATE.+slice.+state.+changed )|(ment ac)|(multiple cpu faults)|(system.+state.+changed )|(\[timeout)|(PRM\|1\|D)|(kpr)|(kdp)|(train st.+moving)|(\|lc)|(penalty))"</v>
      </c>
      <c r="AG91" s="228" t="str">
        <f t="shared" si="52"/>
        <v>EC</v>
      </c>
      <c r="AH91" s="229" t="str">
        <f t="shared" si="53"/>
        <v>"%USERPROFILE%\Documents\GitHub\eaglep3\Utilities\RefineRTDCRunTimes.py" --tripid 175-03 --locoid 4032 --swversion DE.1.0.9.0 --startMP 204:467 --initTime 2017-10-03T12:53:20 --startdatetime 2017-10-03T13:00:15 --delay 69 --endMP 204:233304 --enddatetime 2017-10-03T13:35:53 --enforcementcount 0 &gt;&gt;%USERPROFILE%\Documents\GitHub\eaglep3-reporting\EC\2017-10-03-refined-times.txt</v>
      </c>
      <c r="AI9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{"issue":{"subject":"","project_id":79,"tracker_id":40,"status_id":1,"priority_id":2,"assigned_to_id":338,"start_date":"2017-10-03","description":"","custom_fields":[{"id":1,"name":"Subdivision","value":"EC"},{"id":4,"name":"Milepost","value":"23.3304"},{"id":17,"name":"Train ID","value":"175-03"},{"id":16,"name":"Locomotive ID","value":"4032"},{"id":130,"name":"Impact","value":""},{"id":150,"name":"Time of Event (Mountain Time)","value":"13:35:53"},{"id":151,"name":"Denver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10"/>
      <c r="AK91" s="225"/>
      <c r="AL91" s="225"/>
      <c r="AM91" s="231" t="str">
        <f t="shared" si="55"/>
        <v>start /low /b %USERPROFILE%\Documents\GitHub\eaglep3\Utilities\DownloadLogsFromS3.py --loco 4032 --day 2017-10-03</v>
      </c>
      <c r="AN9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10" t="str">
        <f t="shared" si="57"/>
        <v>https://d0f6bd738d7f1b3e5a7ca70fe4ff75f0.us-east-1.aws.found.io/app/kibana#/discover/Steve-Slow-Train-Analysis-(2080s-and-2083s)?_g=(refreshInterval:(display:Off,pause:!f,section:0,value:0),time:(from:'2017-10-03T11:53:20-0600',mode:absolute,to:'2017-10-03T14:35:53-0600'))&amp;_a=(columns:!('Message%20ID',Summary),filters:!(),index:'emp_*',interval:auto,query:(query_string:(analyze_wildcard:!t,query:'%22rtdc.l.rtdc.4032%22')),sort:!(Time.ISO8601,asc))</v>
      </c>
      <c r="AP91" s="210"/>
      <c r="AQ91" s="210"/>
      <c r="AR91" s="210"/>
      <c r="AS91" s="210"/>
      <c r="AT91" s="210"/>
      <c r="AU91" s="210"/>
      <c r="AV91" s="210"/>
      <c r="AW91" s="210"/>
      <c r="AX91" s="210"/>
      <c r="AY91" s="210"/>
      <c r="AZ91" s="210"/>
      <c r="BA91" s="210"/>
      <c r="BB91" s="210"/>
      <c r="BC91" s="210"/>
      <c r="BD91" s="210"/>
      <c r="BE91" s="210"/>
      <c r="BF91" s="210"/>
      <c r="BG91" s="210"/>
      <c r="BH91" s="210"/>
      <c r="BI91" s="210"/>
      <c r="BJ91" s="210"/>
      <c r="BK91" s="210"/>
      <c r="BL91" s="210"/>
      <c r="BM91" s="210"/>
      <c r="BN91" s="210"/>
      <c r="BO91" s="210"/>
      <c r="BP91" s="210"/>
      <c r="BQ91" s="210"/>
      <c r="BR91" s="210"/>
      <c r="BS91" s="210"/>
      <c r="BT91" s="210"/>
      <c r="BU91" s="210"/>
      <c r="BV91" s="210"/>
      <c r="BW91" s="210"/>
      <c r="BX91" s="210"/>
      <c r="BY91" s="210"/>
      <c r="BZ91" s="210"/>
      <c r="CA91" s="210"/>
      <c r="CB91" s="210"/>
      <c r="CC91" s="210"/>
      <c r="CD91" s="210"/>
      <c r="CE91" s="210"/>
      <c r="CF91" s="210"/>
      <c r="CG91" s="210"/>
      <c r="CH91" s="210"/>
      <c r="CI91" s="210"/>
      <c r="CJ91" s="210"/>
      <c r="CK91" s="210"/>
      <c r="CL91" s="210"/>
      <c r="CM91" s="210"/>
    </row>
    <row r="92" spans="1:91" s="1" customFormat="1" x14ac:dyDescent="0.25">
      <c r="A92" s="32" t="s">
        <v>741</v>
      </c>
      <c r="B92" s="7">
        <v>4031</v>
      </c>
      <c r="C92" s="21" t="s">
        <v>194</v>
      </c>
      <c r="D92" s="21" t="s">
        <v>456</v>
      </c>
      <c r="E92" s="13">
        <v>43011.578761574077</v>
      </c>
      <c r="F92" s="13">
        <v>43011.581423611111</v>
      </c>
      <c r="G92" s="7">
        <v>53</v>
      </c>
      <c r="H92" s="21" t="s">
        <v>336</v>
      </c>
      <c r="I92" s="13">
        <v>43011.606921296298</v>
      </c>
      <c r="J92" s="7">
        <v>0</v>
      </c>
      <c r="K92" s="85" t="str">
        <f t="shared" si="41"/>
        <v>4031/4032</v>
      </c>
      <c r="L92" s="179" t="str">
        <f>VLOOKUP(A92,'Trips&amp;Operators'!$C$1:$G$99911,5,FALSE)</f>
        <v>BRUDER RICHARD</v>
      </c>
      <c r="M92" s="6">
        <f t="shared" si="42"/>
        <v>2.5497685186564922E-2</v>
      </c>
      <c r="N92" s="7">
        <f t="shared" si="59"/>
        <v>36.716666668653488</v>
      </c>
      <c r="O92" s="7"/>
      <c r="P92" s="7"/>
      <c r="Q92" s="22"/>
      <c r="R92" s="169"/>
      <c r="S92" s="202">
        <f t="shared" si="58"/>
        <v>1</v>
      </c>
      <c r="T92" s="169" t="str">
        <f t="shared" si="43"/>
        <v>Southbound</v>
      </c>
      <c r="U92" s="22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2" t="str">
        <f t="shared" si="44"/>
        <v>https://d0f6bd738d7f1b3e5a7ca70fe4ff75f0.us-east-1.aws.found.io/app/kibana#/discover/Steve-Slow-Train-Analysis-(2080s-and-2083s)?_g=(refreshInterval:(display:Off,pause:!f,section:0,value:0),time:(from:'2017-10-03T12:53:25-0600',mode:absolute,to:'2017-10-03T15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223" t="str">
        <f>IF(AA92&lt;VLOOKUP(AG92,Variables!$AC$3:$AD$8,2,FALSE),"Y","N")</f>
        <v>N</v>
      </c>
      <c r="X92" s="223">
        <f t="shared" si="45"/>
        <v>1</v>
      </c>
      <c r="Y92" s="223">
        <f t="shared" si="46"/>
        <v>23.299099999999999</v>
      </c>
      <c r="Z92" s="223">
        <f t="shared" si="47"/>
        <v>1.49E-2</v>
      </c>
      <c r="AA92" s="223">
        <f t="shared" si="48"/>
        <v>23.284199999999998</v>
      </c>
      <c r="AB92" s="224" t="e">
        <f>VLOOKUP(A92,Enforcements!$C$7:$K$11,8,0)</f>
        <v>#N/A</v>
      </c>
      <c r="AC92" s="224" t="e">
        <f>VLOOKUP(A92,Enforcements!$C$7:$E$11,3,0)</f>
        <v>#N/A</v>
      </c>
      <c r="AD92" s="225">
        <f t="shared" si="49"/>
        <v>176</v>
      </c>
      <c r="AE92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92" s="227" t="str">
        <f t="shared" si="51"/>
        <v>"C:\Program Files (x86)\AstroGrep\AstroGrep.exe" /e /r /s /spath="%USERPROFILE%\AppData\Local\Temp\OnboardLogs" /stypes="app*4031*20171003*" /stext=" 20:.+((SYSTEM_STATE.+slice.+state.+changed )|(ment ac)|(multiple cpu faults)|(system.+state.+changed )|(\[timeout)|(PRM\|1\|D)|(kpr)|(kdp)|(train st.+moving)|(\|lc)|(penalty))"</v>
      </c>
      <c r="AG92" s="228" t="str">
        <f t="shared" si="52"/>
        <v>EC</v>
      </c>
      <c r="AH92" s="229" t="str">
        <f t="shared" si="53"/>
        <v>"%USERPROFILE%\Documents\GitHub\eaglep3\Utilities\RefineRTDCRunTimes.py" --tripid 176-03 --locoid 4031 --swversion DE.1.0.9.0 --startMP 204:232991 --initTime 2017-10-03T13:53:25 --startdatetime 2017-10-03T13:57:15 --delay 53 --endMP 204:149 --enddatetime 2017-10-03T14:33:58 --enforcementcount 0 &gt;&gt;%USERPROFILE%\Documents\GitHub\eaglep3-reporting\EC\2017-10-03-refined-times.txt</v>
      </c>
      <c r="AI9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ID","value":"176-03"},{"id":16,"name":"Locomotive ID","value":"4031"},{"id":130,"name":"Impact","value":""},{"id":150,"name":"Time of Event (Mountain Time)","value":"14:33:58"},{"id":151,"name":"Denver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10"/>
      <c r="AK92" s="225"/>
      <c r="AL92" s="225"/>
      <c r="AM92" s="231" t="str">
        <f t="shared" si="55"/>
        <v>start /low /b %USERPROFILE%\Documents\GitHub\eaglep3\Utilities\DownloadLogsFromS3.py --loco 4031 --day 2017-10-03</v>
      </c>
      <c r="AN9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10" t="str">
        <f t="shared" si="57"/>
        <v>https://d0f6bd738d7f1b3e5a7ca70fe4ff75f0.us-east-1.aws.found.io/app/kibana#/discover/Steve-Slow-Train-Analysis-(2080s-and-2083s)?_g=(refreshInterval:(display:Off,pause:!f,section:0,value:0),time:(from:'2017-10-03T12:53:25-0600',mode:absolute,to:'2017-10-03T15:33:58-0600'))&amp;_a=(columns:!('Message%20ID',Summary),filters:!(),index:'emp_*',interval:auto,query:(query_string:(analyze_wildcard:!t,query:'%22rtdc.l.rtdc.4031%22')),sort:!(Time.ISO8601,asc))</v>
      </c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  <c r="AZ92" s="210"/>
      <c r="BA92" s="210"/>
      <c r="BB92" s="210"/>
      <c r="BC92" s="210"/>
      <c r="BD92" s="210"/>
      <c r="BE92" s="210"/>
      <c r="BF92" s="210"/>
      <c r="BG92" s="210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210"/>
      <c r="BT92" s="210"/>
      <c r="BU92" s="210"/>
      <c r="BV92" s="210"/>
      <c r="BW92" s="210"/>
      <c r="BX92" s="210"/>
      <c r="BY92" s="210"/>
      <c r="BZ92" s="210"/>
      <c r="CA92" s="210"/>
      <c r="CB92" s="210"/>
      <c r="CC92" s="210"/>
      <c r="CD92" s="210"/>
      <c r="CE92" s="210"/>
      <c r="CF92" s="210"/>
      <c r="CG92" s="210"/>
      <c r="CH92" s="210"/>
      <c r="CI92" s="210"/>
      <c r="CJ92" s="210"/>
      <c r="CK92" s="210"/>
      <c r="CL92" s="210"/>
      <c r="CM92" s="210"/>
    </row>
    <row r="93" spans="1:91" s="1" customFormat="1" x14ac:dyDescent="0.25">
      <c r="A93" s="32" t="s">
        <v>736</v>
      </c>
      <c r="B93" s="7">
        <v>4056</v>
      </c>
      <c r="C93" s="21" t="s">
        <v>194</v>
      </c>
      <c r="D93" s="21" t="s">
        <v>389</v>
      </c>
      <c r="E93" s="13">
        <v>43011.547569444447</v>
      </c>
      <c r="F93" s="13">
        <v>43011.552314814813</v>
      </c>
      <c r="G93" s="7">
        <v>53</v>
      </c>
      <c r="H93" s="21" t="s">
        <v>507</v>
      </c>
      <c r="I93" s="13">
        <v>43011.577222222222</v>
      </c>
      <c r="J93" s="7">
        <v>0</v>
      </c>
      <c r="K93" s="85" t="str">
        <f t="shared" si="41"/>
        <v>4055/4056</v>
      </c>
      <c r="L93" s="179" t="str">
        <f>VLOOKUP(A93,'Trips&amp;Operators'!$C$1:$G$99911,5,FALSE)</f>
        <v>DAVIDSON DAVID</v>
      </c>
      <c r="M93" s="6">
        <f t="shared" si="42"/>
        <v>2.4907407409045845E-2</v>
      </c>
      <c r="N93" s="7">
        <f t="shared" si="59"/>
        <v>35.866666669026017</v>
      </c>
      <c r="O93" s="7"/>
      <c r="P93" s="7"/>
      <c r="Q93" s="22"/>
      <c r="R93" s="169"/>
      <c r="S93" s="202">
        <f t="shared" si="58"/>
        <v>1</v>
      </c>
      <c r="T93" s="169" t="str">
        <f t="shared" si="43"/>
        <v>NorthBound</v>
      </c>
      <c r="U93" s="22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2" t="str">
        <f t="shared" si="44"/>
        <v>https://d0f6bd738d7f1b3e5a7ca70fe4ff75f0.us-east-1.aws.found.io/app/kibana#/discover/Steve-Slow-Train-Analysis-(2080s-and-2083s)?_g=(refreshInterval:(display:Off,pause:!f,section:0,value:0),time:(from:'2017-10-03T12:08:30-0600',mode:absolute,to:'2017-10-03T14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23" t="str">
        <f>IF(AA93&lt;VLOOKUP(AG93,Variables!$AC$3:$AD$8,2,FALSE),"Y","N")</f>
        <v>N</v>
      </c>
      <c r="X93" s="223">
        <f t="shared" si="45"/>
        <v>1</v>
      </c>
      <c r="Y93" s="223">
        <f t="shared" si="46"/>
        <v>4.6600000000000003E-2</v>
      </c>
      <c r="Z93" s="223">
        <f t="shared" si="47"/>
        <v>23.328900000000001</v>
      </c>
      <c r="AA93" s="223">
        <f t="shared" si="48"/>
        <v>23.282299999999999</v>
      </c>
      <c r="AB93" s="224" t="e">
        <f>VLOOKUP(A93,Enforcements!$C$7:$K$11,8,0)</f>
        <v>#N/A</v>
      </c>
      <c r="AC93" s="224" t="e">
        <f>VLOOKUP(A93,Enforcements!$C$7:$E$11,3,0)</f>
        <v>#N/A</v>
      </c>
      <c r="AD93" s="225">
        <f t="shared" si="49"/>
        <v>177</v>
      </c>
      <c r="AE93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93" s="227" t="str">
        <f t="shared" si="51"/>
        <v>"C:\Program Files (x86)\AstroGrep\AstroGrep.exe" /e /r /s /spath="%USERPROFILE%\AppData\Local\Temp\OnboardLogs" /stypes="app*4056*20171003*" /stext=" 19:.+((SYSTEM_STATE.+slice.+state.+changed )|(ment ac)|(multiple cpu faults)|(system.+state.+changed )|(\[timeout)|(PRM\|1\|D)|(kpr)|(kdp)|(train st.+moving)|(\|lc)|(penalty))"</v>
      </c>
      <c r="AG93" s="228" t="str">
        <f t="shared" si="52"/>
        <v>EC</v>
      </c>
      <c r="AH93" s="229" t="str">
        <f t="shared" si="53"/>
        <v>"%USERPROFILE%\Documents\GitHub\eaglep3\Utilities\RefineRTDCRunTimes.py" --tripid 177-03 --locoid 4056 --swversion DE.1.0.9.0 --startMP 204:466 --initTime 2017-10-03T13:08:30 --startdatetime 2017-10-03T13:15:20 --delay 53 --endMP 204:233289 --enddatetime 2017-10-03T13:51:12 --enforcementcount 0 &gt;&gt;%USERPROFILE%\Documents\GitHub\eaglep3-reporting\EC\2017-10-03-refined-times.txt</v>
      </c>
      <c r="AI9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{"issue":{"subject":"","project_id":79,"tracker_id":40,"status_id":1,"priority_id":2,"assigned_to_id":338,"start_date":"2017-10-03","description":"","custom_fields":[{"id":1,"name":"Subdivision","value":"EC"},{"id":4,"name":"Milepost","value":"23.3289"},{"id":17,"name":"Train ID","value":"177-03"},{"id":16,"name":"Locomotive ID","value":"4056"},{"id":130,"name":"Impact","value":""},{"id":150,"name":"Time of Event (Mountain Time)","value":"13:51:12"},{"id":151,"name":"Denver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10"/>
      <c r="AK93" s="225"/>
      <c r="AL93" s="225"/>
      <c r="AM93" s="231" t="str">
        <f t="shared" si="55"/>
        <v>start /low /b %USERPROFILE%\Documents\GitHub\eaglep3\Utilities\DownloadLogsFromS3.py --loco 4056 --day 2017-10-03</v>
      </c>
      <c r="AN9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10" t="str">
        <f t="shared" si="57"/>
        <v>https://d0f6bd738d7f1b3e5a7ca70fe4ff75f0.us-east-1.aws.found.io/app/kibana#/discover/Steve-Slow-Train-Analysis-(2080s-and-2083s)?_g=(refreshInterval:(display:Off,pause:!f,section:0,value:0),time:(from:'2017-10-03T12:08:30-0600',mode:absolute,to:'2017-10-03T14:51:12-0600'))&amp;_a=(columns:!('Message%20ID',Summary),filters:!(),index:'emp_*',interval:auto,query:(query_string:(analyze_wildcard:!t,query:'%22rtdc.l.rtdc.4056%22')),sort:!(Time.ISO8601,asc))</v>
      </c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  <c r="AZ93" s="210"/>
      <c r="BA93" s="210"/>
      <c r="BB93" s="210"/>
      <c r="BC93" s="210"/>
      <c r="BD93" s="210"/>
      <c r="BE93" s="210"/>
      <c r="BF93" s="210"/>
      <c r="BG93" s="210"/>
      <c r="BH93" s="210"/>
      <c r="BI93" s="210"/>
      <c r="BJ93" s="210"/>
      <c r="BK93" s="210"/>
      <c r="BL93" s="210"/>
      <c r="BM93" s="210"/>
      <c r="BN93" s="210"/>
      <c r="BO93" s="210"/>
      <c r="BP93" s="210"/>
      <c r="BQ93" s="210"/>
      <c r="BR93" s="210"/>
      <c r="BS93" s="210"/>
      <c r="BT93" s="210"/>
      <c r="BU93" s="210"/>
      <c r="BV93" s="210"/>
      <c r="BW93" s="210"/>
      <c r="BX93" s="210"/>
      <c r="BY93" s="210"/>
      <c r="BZ93" s="210"/>
      <c r="CA93" s="210"/>
      <c r="CB93" s="210"/>
      <c r="CC93" s="210"/>
      <c r="CD93" s="210"/>
      <c r="CE93" s="210"/>
      <c r="CF93" s="210"/>
      <c r="CG93" s="210"/>
      <c r="CH93" s="210"/>
      <c r="CI93" s="210"/>
      <c r="CJ93" s="210"/>
      <c r="CK93" s="210"/>
      <c r="CL93" s="210"/>
      <c r="CM93" s="210"/>
    </row>
    <row r="94" spans="1:91" s="1" customFormat="1" x14ac:dyDescent="0.25">
      <c r="A94" s="32" t="s">
        <v>742</v>
      </c>
      <c r="B94" s="7">
        <v>4055</v>
      </c>
      <c r="C94" s="21" t="s">
        <v>194</v>
      </c>
      <c r="D94" s="21" t="s">
        <v>441</v>
      </c>
      <c r="E94" s="13">
        <v>43011.57917824074</v>
      </c>
      <c r="F94" s="13">
        <v>43011.591863425929</v>
      </c>
      <c r="G94" s="7">
        <v>78</v>
      </c>
      <c r="H94" s="21" t="s">
        <v>370</v>
      </c>
      <c r="I94" s="13">
        <v>43011.618750000001</v>
      </c>
      <c r="J94" s="7">
        <v>0</v>
      </c>
      <c r="K94" s="85" t="str">
        <f t="shared" si="41"/>
        <v>4055/4056</v>
      </c>
      <c r="L94" s="179" t="str">
        <f>VLOOKUP(A94,'Trips&amp;Operators'!$C$1:$G$99911,5,FALSE)</f>
        <v>DAVIDSON DAVID</v>
      </c>
      <c r="M94" s="6">
        <f t="shared" si="42"/>
        <v>2.6886574072705116E-2</v>
      </c>
      <c r="N94" s="7">
        <f t="shared" si="59"/>
        <v>38.716666664695367</v>
      </c>
      <c r="O94" s="7"/>
      <c r="P94" s="7"/>
      <c r="Q94" s="22"/>
      <c r="R94" s="169" t="s">
        <v>1020</v>
      </c>
      <c r="S94" s="202">
        <f t="shared" si="58"/>
        <v>1</v>
      </c>
      <c r="T94" s="169" t="str">
        <f t="shared" si="43"/>
        <v>Southbound</v>
      </c>
      <c r="U94" s="22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2" t="str">
        <f t="shared" si="44"/>
        <v>https://d0f6bd738d7f1b3e5a7ca70fe4ff75f0.us-east-1.aws.found.io/app/kibana#/discover/Steve-Slow-Train-Analysis-(2080s-and-2083s)?_g=(refreshInterval:(display:Off,pause:!f,section:0,value:0),time:(from:'2017-10-03T12:54:01-0600',mode:absolute,to:'2017-10-03T15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23" t="str">
        <f>IF(AA94&lt;VLOOKUP(AG94,Variables!$AC$3:$AD$8,2,FALSE),"Y","N")</f>
        <v>N</v>
      </c>
      <c r="X94" s="223">
        <f t="shared" si="45"/>
        <v>1</v>
      </c>
      <c r="Y94" s="223">
        <f t="shared" si="46"/>
        <v>23.2971</v>
      </c>
      <c r="Z94" s="223">
        <f t="shared" si="47"/>
        <v>1.5800000000000002E-2</v>
      </c>
      <c r="AA94" s="223">
        <f t="shared" si="48"/>
        <v>23.281300000000002</v>
      </c>
      <c r="AB94" s="224" t="e">
        <f>VLOOKUP(A94,Enforcements!$C$7:$K$11,8,0)</f>
        <v>#N/A</v>
      </c>
      <c r="AC94" s="224" t="e">
        <f>VLOOKUP(A94,Enforcements!$C$7:$E$11,3,0)</f>
        <v>#N/A</v>
      </c>
      <c r="AD94" s="225">
        <f t="shared" si="49"/>
        <v>178</v>
      </c>
      <c r="AE94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94" s="227" t="str">
        <f t="shared" si="51"/>
        <v>"C:\Program Files (x86)\AstroGrep\AstroGrep.exe" /e /r /s /spath="%USERPROFILE%\AppData\Local\Temp\OnboardLogs" /stypes="app*4055*20171003*" /stext=" 20:.+((SYSTEM_STATE.+slice.+state.+changed )|(ment ac)|(multiple cpu faults)|(system.+state.+changed )|(\[timeout)|(PRM\|1\|D)|(kpr)|(kdp)|(train st.+moving)|(\|lc)|(penalty))"</v>
      </c>
      <c r="AG94" s="228" t="str">
        <f t="shared" si="52"/>
        <v>EC</v>
      </c>
      <c r="AH94" s="229" t="str">
        <f t="shared" si="53"/>
        <v>"%USERPROFILE%\Documents\GitHub\eaglep3\Utilities\RefineRTDCRunTimes.py" --tripid 178-03 --locoid 4055 --swversion DE.1.0.9.0 --startMP 204:232971 --initTime 2017-10-03T13:54:01 --startdatetime 2017-10-03T14:12:17 --delay 78 --endMP 204:158 --enddatetime 2017-10-03T14:51:00 --enforcementcount 0 &gt;&gt;%USERPROFILE%\Documents\GitHub\eaglep3-reporting\EC\2017-10-03-refined-times.txt</v>
      </c>
      <c r="AI94" s="230" t="str">
        <f t="shared" si="54"/>
        <v>echo {"issue":{"subject":"No evidence of red fence in onboard logs","project_id":79,"tracker_id":40,"status_id":1,"priority_id":2,"assigned_to_id":338,"start_date":"2017-10-03","description":"","custom_fields":[{"id":1,"name":"Subdivision","value":"EC"},{"id":4,"name":"Milepost","value":"0.0158"},{"id":17,"name":"Train ID","value":"178-03"},{"id":16,"name":"Locomotive ID","value":"4055"},{"id":130,"name":"Impact","value":""},{"id":150,"name":"Time of Event (Mountain Time)","value":"14:51:00"},{"id":151,"name":"Denver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10"/>
      <c r="AK94" s="225"/>
      <c r="AL94" s="225"/>
      <c r="AM94" s="231" t="str">
        <f t="shared" si="55"/>
        <v>start /low /b %USERPROFILE%\Documents\GitHub\eaglep3\Utilities\DownloadLogsFromS3.py --loco 4055 --day 2017-10-03</v>
      </c>
      <c r="AN94" s="232" t="str">
        <f t="shared" si="56"/>
        <v>echo {"issue":{"subject":"No evidence of red fence in onboard logs","project_id":30,"tracker_id":4,"status_id":1,"priority_id":1,"assigned_to_id":10,"start_date":"2017-10-03","description":"","custom_fields":[{"id":30,"name":"Category","value":"Issue"},{"id":3,"name":"Functional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10" t="str">
        <f t="shared" si="57"/>
        <v>https://d0f6bd738d7f1b3e5a7ca70fe4ff75f0.us-east-1.aws.found.io/app/kibana#/discover/Steve-Slow-Train-Analysis-(2080s-and-2083s)?_g=(refreshInterval:(display:Off,pause:!f,section:0,value:0),time:(from:'2017-10-03T12:54:01-0600',mode:absolute,to:'2017-10-03T15:51:00-0600'))&amp;_a=(columns:!('Message%20ID',Summary),filters:!(),index:'emp_*',interval:auto,query:(query_string:(analyze_wildcard:!t,query:'%22rtdc.l.rtdc.4055%22')),sort:!(Time.ISO8601,asc))</v>
      </c>
      <c r="AP94" s="210"/>
      <c r="AQ94" s="210"/>
      <c r="AR94" s="210"/>
      <c r="AS94" s="210"/>
      <c r="AT94" s="210"/>
      <c r="AU94" s="210"/>
      <c r="AV94" s="210"/>
      <c r="AW94" s="210"/>
      <c r="AX94" s="210"/>
      <c r="AY94" s="210"/>
      <c r="AZ94" s="210"/>
      <c r="BA94" s="210"/>
      <c r="BB94" s="210"/>
      <c r="BC94" s="210"/>
      <c r="BD94" s="210"/>
      <c r="BE94" s="210"/>
      <c r="BF94" s="210"/>
      <c r="BG94" s="210"/>
      <c r="BH94" s="210"/>
      <c r="BI94" s="210"/>
      <c r="BJ94" s="210"/>
      <c r="BK94" s="210"/>
      <c r="BL94" s="210"/>
      <c r="BM94" s="210"/>
      <c r="BN94" s="210"/>
      <c r="BO94" s="210"/>
      <c r="BP94" s="210"/>
      <c r="BQ94" s="210"/>
      <c r="BR94" s="210"/>
      <c r="BS94" s="210"/>
      <c r="BT94" s="210"/>
      <c r="BU94" s="210"/>
      <c r="BV94" s="210"/>
      <c r="BW94" s="210"/>
      <c r="BX94" s="210"/>
      <c r="BY94" s="210"/>
      <c r="BZ94" s="210"/>
      <c r="CA94" s="210"/>
      <c r="CB94" s="210"/>
      <c r="CC94" s="210"/>
      <c r="CD94" s="210"/>
      <c r="CE94" s="210"/>
      <c r="CF94" s="210"/>
      <c r="CG94" s="210"/>
      <c r="CH94" s="210"/>
      <c r="CI94" s="210"/>
      <c r="CJ94" s="210"/>
      <c r="CK94" s="210"/>
      <c r="CL94" s="210"/>
      <c r="CM94" s="210"/>
    </row>
    <row r="95" spans="1:91" s="1" customFormat="1" x14ac:dyDescent="0.25">
      <c r="A95" s="32" t="s">
        <v>615</v>
      </c>
      <c r="B95" s="7">
        <v>4060</v>
      </c>
      <c r="C95" s="21" t="s">
        <v>194</v>
      </c>
      <c r="D95" s="21" t="s">
        <v>885</v>
      </c>
      <c r="E95" s="13">
        <v>43011.557743055557</v>
      </c>
      <c r="F95" s="13">
        <v>43011.562673611108</v>
      </c>
      <c r="G95" s="7">
        <v>54</v>
      </c>
      <c r="H95" s="21" t="s">
        <v>558</v>
      </c>
      <c r="I95" s="13">
        <v>43011.58871527778</v>
      </c>
      <c r="J95" s="7">
        <v>0</v>
      </c>
      <c r="K95" s="85" t="str">
        <f t="shared" si="41"/>
        <v>4059/4060</v>
      </c>
      <c r="L95" s="179" t="str">
        <f>VLOOKUP(A95,'Trips&amp;Operators'!$C$1:$G$99911,5,FALSE)</f>
        <v>LEVIN SCOTT</v>
      </c>
      <c r="M95" s="6">
        <f t="shared" si="42"/>
        <v>2.6041666671517305E-2</v>
      </c>
      <c r="N95" s="7">
        <f t="shared" si="59"/>
        <v>37.500000006984919</v>
      </c>
      <c r="O95" s="7"/>
      <c r="P95" s="7"/>
      <c r="Q95" s="22"/>
      <c r="R95" s="169"/>
      <c r="S95" s="202">
        <f t="shared" si="58"/>
        <v>1</v>
      </c>
      <c r="T95" s="169" t="str">
        <f t="shared" si="43"/>
        <v>NorthBound</v>
      </c>
      <c r="U95" s="22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2" t="str">
        <f t="shared" si="44"/>
        <v>https://d0f6bd738d7f1b3e5a7ca70fe4ff75f0.us-east-1.aws.found.io/app/kibana#/discover/Steve-Slow-Train-Analysis-(2080s-and-2083s)?_g=(refreshInterval:(display:Off,pause:!f,section:0,value:0),time:(from:'2017-10-03T12:23:09-0600',mode:absolute,to:'2017-10-03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5" s="223" t="str">
        <f>IF(AA95&lt;VLOOKUP(AG95,Variables!$AC$3:$AD$8,2,FALSE),"Y","N")</f>
        <v>N</v>
      </c>
      <c r="X95" s="223">
        <f t="shared" si="45"/>
        <v>1</v>
      </c>
      <c r="Y95" s="223">
        <f t="shared" si="46"/>
        <v>4.3999999999999997E-2</v>
      </c>
      <c r="Z95" s="223">
        <f t="shared" si="47"/>
        <v>23.334700000000002</v>
      </c>
      <c r="AA95" s="223">
        <f t="shared" si="48"/>
        <v>23.290700000000001</v>
      </c>
      <c r="AB95" s="224" t="e">
        <f>VLOOKUP(A95,Enforcements!$C$7:$K$11,8,0)</f>
        <v>#N/A</v>
      </c>
      <c r="AC95" s="224" t="e">
        <f>VLOOKUP(A95,Enforcements!$C$7:$E$11,3,0)</f>
        <v>#N/A</v>
      </c>
      <c r="AD95" s="225">
        <f t="shared" si="49"/>
        <v>179</v>
      </c>
      <c r="AE95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95" s="227" t="str">
        <f t="shared" si="51"/>
        <v>"C:\Program Files (x86)\AstroGrep\AstroGrep.exe" /e /r /s /spath="%USERPROFILE%\AppData\Local\Temp\OnboardLogs" /stypes="app*4060*20171003*" /stext=" 20:.+((SYSTEM_STATE.+slice.+state.+changed )|(ment ac)|(multiple cpu faults)|(system.+state.+changed )|(\[timeout)|(PRM\|1\|D)|(kpr)|(kdp)|(train st.+moving)|(\|lc)|(penalty))"</v>
      </c>
      <c r="AG95" s="228" t="str">
        <f t="shared" si="52"/>
        <v>EC</v>
      </c>
      <c r="AH95" s="229" t="str">
        <f t="shared" si="53"/>
        <v>"%USERPROFILE%\Documents\GitHub\eaglep3\Utilities\RefineRTDCRunTimes.py" --tripid 179-03 --locoid 4060 --swversion DE.1.0.9.0 --startMP 204:440 --initTime 2017-10-03T13:23:09 --startdatetime 2017-10-03T13:30:15 --delay 54 --endMP 204:233347 --enddatetime 2017-10-03T14:07:45 --enforcementcount 0 &gt;&gt;%USERPROFILE%\Documents\GitHub\eaglep3-reporting\EC\2017-10-03-refined-times.txt</v>
      </c>
      <c r="AI9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{"issue":{"subject":"","project_id":79,"tracker_id":40,"status_id":1,"priority_id":2,"assigned_to_id":338,"start_date":"2017-10-03","description":"","custom_fields":[{"id":1,"name":"Subdivision","value":"EC"},{"id":4,"name":"Milepost","value":"23.3347"},{"id":17,"name":"Train ID","value":"179-03"},{"id":16,"name":"Locomotive ID","value":"4060"},{"id":130,"name":"Impact","value":""},{"id":150,"name":"Time of Event (Mountain Time)","value":"14:07:45"},{"id":151,"name":"Denver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10"/>
      <c r="AK95" s="225"/>
      <c r="AL95" s="225"/>
      <c r="AM95" s="231" t="str">
        <f t="shared" si="55"/>
        <v>start /low /b %USERPROFILE%\Documents\GitHub\eaglep3\Utilities\DownloadLogsFromS3.py --loco 4060 --day 2017-10-03</v>
      </c>
      <c r="AN9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10" t="str">
        <f t="shared" si="57"/>
        <v>https://d0f6bd738d7f1b3e5a7ca70fe4ff75f0.us-east-1.aws.found.io/app/kibana#/discover/Steve-Slow-Train-Analysis-(2080s-and-2083s)?_g=(refreshInterval:(display:Off,pause:!f,section:0,value:0),time:(from:'2017-10-03T12:23:09-0600',mode:absolute,to:'2017-10-03T15:07:45-0600'))&amp;_a=(columns:!('Message%20ID',Summary),filters:!(),index:'emp_*',interval:auto,query:(query_string:(analyze_wildcard:!t,query:'%22rtdc.l.rtdc.4060%22')),sort:!(Time.ISO8601,asc))</v>
      </c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  <c r="BL95" s="210"/>
      <c r="BM95" s="210"/>
      <c r="BN95" s="210"/>
      <c r="BO95" s="210"/>
      <c r="BP95" s="210"/>
      <c r="BQ95" s="210"/>
      <c r="BR95" s="210"/>
      <c r="BS95" s="210"/>
      <c r="BT95" s="210"/>
      <c r="BU95" s="210"/>
      <c r="BV95" s="210"/>
      <c r="BW95" s="210"/>
      <c r="BX95" s="210"/>
      <c r="BY95" s="210"/>
      <c r="BZ95" s="210"/>
      <c r="CA95" s="210"/>
      <c r="CB95" s="210"/>
      <c r="CC95" s="210"/>
      <c r="CD95" s="210"/>
      <c r="CE95" s="210"/>
      <c r="CF95" s="210"/>
      <c r="CG95" s="210"/>
      <c r="CH95" s="210"/>
      <c r="CI95" s="210"/>
      <c r="CJ95" s="210"/>
      <c r="CK95" s="210"/>
      <c r="CL95" s="210"/>
      <c r="CM95" s="210"/>
    </row>
    <row r="96" spans="1:91" s="1" customFormat="1" x14ac:dyDescent="0.25">
      <c r="A96" s="32" t="s">
        <v>746</v>
      </c>
      <c r="B96" s="7">
        <v>4059</v>
      </c>
      <c r="C96" s="21" t="s">
        <v>194</v>
      </c>
      <c r="D96" s="21" t="s">
        <v>570</v>
      </c>
      <c r="E96" s="13">
        <v>43011.594826388886</v>
      </c>
      <c r="F96" s="13">
        <v>43011.602268518516</v>
      </c>
      <c r="G96" s="7">
        <v>58</v>
      </c>
      <c r="H96" s="21" t="s">
        <v>337</v>
      </c>
      <c r="I96" s="13">
        <v>43011.627905092595</v>
      </c>
      <c r="J96" s="7">
        <v>0</v>
      </c>
      <c r="K96" s="85" t="str">
        <f t="shared" si="41"/>
        <v>4059/4060</v>
      </c>
      <c r="L96" s="179" t="str">
        <f>VLOOKUP(A96,'Trips&amp;Operators'!$C$1:$G$99911,5,FALSE)</f>
        <v>LEVIN SCOTT</v>
      </c>
      <c r="M96" s="6">
        <f t="shared" si="42"/>
        <v>2.5636574078816921E-2</v>
      </c>
      <c r="N96" s="7">
        <f t="shared" si="59"/>
        <v>36.916666673496366</v>
      </c>
      <c r="O96" s="7"/>
      <c r="P96" s="7"/>
      <c r="Q96" s="22"/>
      <c r="R96" s="169"/>
      <c r="S96" s="202">
        <f t="shared" si="58"/>
        <v>1</v>
      </c>
      <c r="T96" s="169" t="str">
        <f t="shared" si="43"/>
        <v>Southbound</v>
      </c>
      <c r="U96" s="22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2" t="str">
        <f t="shared" si="44"/>
        <v>https://d0f6bd738d7f1b3e5a7ca70fe4ff75f0.us-east-1.aws.found.io/app/kibana#/discover/Steve-Slow-Train-Analysis-(2080s-and-2083s)?_g=(refreshInterval:(display:Off,pause:!f,section:0,value:0),time:(from:'2017-10-03T13:16:33-0600',mode:absolute,to:'2017-10-03T16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6" s="223" t="str">
        <f>IF(AA96&lt;VLOOKUP(AG96,Variables!$AC$3:$AD$8,2,FALSE),"Y","N")</f>
        <v>N</v>
      </c>
      <c r="X96" s="223">
        <f t="shared" si="45"/>
        <v>1</v>
      </c>
      <c r="Y96" s="223">
        <f t="shared" si="46"/>
        <v>23.302800000000001</v>
      </c>
      <c r="Z96" s="223">
        <f t="shared" si="47"/>
        <v>1.43E-2</v>
      </c>
      <c r="AA96" s="223">
        <f t="shared" si="48"/>
        <v>23.288500000000003</v>
      </c>
      <c r="AB96" s="224" t="e">
        <f>VLOOKUP(A96,Enforcements!$C$7:$K$11,8,0)</f>
        <v>#N/A</v>
      </c>
      <c r="AC96" s="224" t="e">
        <f>VLOOKUP(A96,Enforcements!$C$7:$E$11,3,0)</f>
        <v>#N/A</v>
      </c>
      <c r="AD96" s="225">
        <f t="shared" si="49"/>
        <v>180</v>
      </c>
      <c r="AE96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96" s="227" t="str">
        <f t="shared" si="51"/>
        <v>"C:\Program Files (x86)\AstroGrep\AstroGrep.exe" /e /r /s /spath="%USERPROFILE%\AppData\Local\Temp\OnboardLogs" /stypes="app*4059*20171003*" /stext=" 21:.+((SYSTEM_STATE.+slice.+state.+changed )|(ment ac)|(multiple cpu faults)|(system.+state.+changed )|(\[timeout)|(PRM\|1\|D)|(kpr)|(kdp)|(train st.+moving)|(\|lc)|(penalty))"</v>
      </c>
      <c r="AG96" s="228" t="str">
        <f t="shared" si="52"/>
        <v>EC</v>
      </c>
      <c r="AH96" s="229" t="str">
        <f t="shared" si="53"/>
        <v>"%USERPROFILE%\Documents\GitHub\eaglep3\Utilities\RefineRTDCRunTimes.py" --tripid 180-03 --locoid 4059 --swversion DE.1.0.9.0 --startMP 204:233028 --initTime 2017-10-03T14:16:33 --startdatetime 2017-10-03T14:27:16 --delay 58 --endMP 204:143 --enddatetime 2017-10-03T15:04:11 --enforcementcount 0 &gt;&gt;%USERPROFILE%\Documents\GitHub\eaglep3-reporting\EC\2017-10-03-refined-times.txt</v>
      </c>
      <c r="AI9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ID","value":"180-03"},{"id":16,"name":"Locomotive ID","value":"4059"},{"id":130,"name":"Impact","value":""},{"id":150,"name":"Time of Event (Mountain Time)","value":"15:04:11"},{"id":151,"name":"Denver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10"/>
      <c r="AK96" s="225"/>
      <c r="AL96" s="225"/>
      <c r="AM96" s="231" t="str">
        <f t="shared" si="55"/>
        <v>start /low /b %USERPROFILE%\Documents\GitHub\eaglep3\Utilities\DownloadLogsFromS3.py --loco 4059 --day 2017-10-03</v>
      </c>
      <c r="AN9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10" t="str">
        <f t="shared" si="57"/>
        <v>https://d0f6bd738d7f1b3e5a7ca70fe4ff75f0.us-east-1.aws.found.io/app/kibana#/discover/Steve-Slow-Train-Analysis-(2080s-and-2083s)?_g=(refreshInterval:(display:Off,pause:!f,section:0,value:0),time:(from:'2017-10-03T13:16:33-0600',mode:absolute,to:'2017-10-03T16:04:11-0600'))&amp;_a=(columns:!('Message%20ID',Summary),filters:!(),index:'emp_*',interval:auto,query:(query_string:(analyze_wildcard:!t,query:'%22rtdc.l.rtdc.4059%22')),sort:!(Time.ISO8601,asc))</v>
      </c>
      <c r="AP96" s="210"/>
      <c r="AQ96" s="210"/>
      <c r="AR96" s="210"/>
      <c r="AS96" s="210"/>
      <c r="AT96" s="210"/>
      <c r="AU96" s="210"/>
      <c r="AV96" s="210"/>
      <c r="AW96" s="210"/>
      <c r="AX96" s="210"/>
      <c r="AY96" s="210"/>
      <c r="AZ96" s="210"/>
      <c r="BA96" s="210"/>
      <c r="BB96" s="210"/>
      <c r="BC96" s="210"/>
      <c r="BD96" s="210"/>
      <c r="BE96" s="210"/>
      <c r="BF96" s="210"/>
      <c r="BG96" s="210"/>
      <c r="BH96" s="210"/>
      <c r="BI96" s="210"/>
      <c r="BJ96" s="210"/>
      <c r="BK96" s="210"/>
      <c r="BL96" s="210"/>
      <c r="BM96" s="210"/>
      <c r="BN96" s="210"/>
      <c r="BO96" s="210"/>
      <c r="BP96" s="210"/>
      <c r="BQ96" s="210"/>
      <c r="BR96" s="210"/>
      <c r="BS96" s="210"/>
      <c r="BT96" s="210"/>
      <c r="BU96" s="210"/>
      <c r="BV96" s="210"/>
      <c r="BW96" s="210"/>
      <c r="BX96" s="210"/>
      <c r="BY96" s="210"/>
      <c r="BZ96" s="210"/>
      <c r="CA96" s="210"/>
      <c r="CB96" s="210"/>
      <c r="CC96" s="210"/>
      <c r="CD96" s="210"/>
      <c r="CE96" s="210"/>
      <c r="CF96" s="210"/>
      <c r="CG96" s="210"/>
      <c r="CH96" s="210"/>
      <c r="CI96" s="210"/>
      <c r="CJ96" s="210"/>
      <c r="CK96" s="210"/>
      <c r="CL96" s="210"/>
      <c r="CM96" s="210"/>
    </row>
    <row r="97" spans="1:91" s="1" customFormat="1" x14ac:dyDescent="0.25">
      <c r="A97" s="32" t="s">
        <v>740</v>
      </c>
      <c r="B97" s="7">
        <v>4062</v>
      </c>
      <c r="C97" s="21" t="s">
        <v>194</v>
      </c>
      <c r="D97" s="21" t="s">
        <v>359</v>
      </c>
      <c r="E97" s="13">
        <v>43011.570277777777</v>
      </c>
      <c r="F97" s="13">
        <v>43011.573217592595</v>
      </c>
      <c r="G97" s="7">
        <v>62</v>
      </c>
      <c r="H97" s="21" t="s">
        <v>558</v>
      </c>
      <c r="I97" s="13">
        <v>43011.599074074074</v>
      </c>
      <c r="J97" s="7">
        <v>0</v>
      </c>
      <c r="K97" s="85" t="str">
        <f t="shared" si="41"/>
        <v>4061/4062</v>
      </c>
      <c r="L97" s="179" t="str">
        <f>VLOOKUP(A97,'Trips&amp;Operators'!$C$1:$G$99911,5,FALSE)</f>
        <v>LEVERE CRAIG</v>
      </c>
      <c r="M97" s="6">
        <f t="shared" si="42"/>
        <v>2.5856481479422655E-2</v>
      </c>
      <c r="N97" s="7">
        <f t="shared" si="59"/>
        <v>37.233333330368623</v>
      </c>
      <c r="O97" s="7"/>
      <c r="P97" s="7"/>
      <c r="Q97" s="22"/>
      <c r="R97" s="169"/>
      <c r="S97" s="202">
        <f t="shared" si="58"/>
        <v>1</v>
      </c>
      <c r="T97" s="169" t="str">
        <f t="shared" si="43"/>
        <v>NorthBound</v>
      </c>
      <c r="U97" s="22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2" t="str">
        <f t="shared" si="44"/>
        <v>https://d0f6bd738d7f1b3e5a7ca70fe4ff75f0.us-east-1.aws.found.io/app/kibana#/discover/Steve-Slow-Train-Analysis-(2080s-and-2083s)?_g=(refreshInterval:(display:Off,pause:!f,section:0,value:0),time:(from:'2017-10-03T12:41:12-0600',mode:absolute,to:'2017-10-03T15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7" s="223" t="str">
        <f>IF(AA97&lt;VLOOKUP(AG97,Variables!$AC$3:$AD$8,2,FALSE),"Y","N")</f>
        <v>N</v>
      </c>
      <c r="X97" s="223">
        <f t="shared" si="45"/>
        <v>1</v>
      </c>
      <c r="Y97" s="223">
        <f t="shared" si="46"/>
        <v>4.6399999999999997E-2</v>
      </c>
      <c r="Z97" s="223">
        <f t="shared" si="47"/>
        <v>23.334700000000002</v>
      </c>
      <c r="AA97" s="223">
        <f t="shared" si="48"/>
        <v>23.288300000000003</v>
      </c>
      <c r="AB97" s="224" t="e">
        <f>VLOOKUP(A97,Enforcements!$C$7:$K$11,8,0)</f>
        <v>#N/A</v>
      </c>
      <c r="AC97" s="224" t="e">
        <f>VLOOKUP(A97,Enforcements!$C$7:$E$11,3,0)</f>
        <v>#N/A</v>
      </c>
      <c r="AD97" s="225">
        <f t="shared" si="49"/>
        <v>181</v>
      </c>
      <c r="AE97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97" s="227" t="str">
        <f t="shared" si="51"/>
        <v>"C:\Program Files (x86)\AstroGrep\AstroGrep.exe" /e /r /s /spath="%USERPROFILE%\AppData\Local\Temp\OnboardLogs" /stypes="app*4062*20171003*" /stext=" 20:.+((SYSTEM_STATE.+slice.+state.+changed )|(ment ac)|(multiple cpu faults)|(system.+state.+changed )|(\[timeout)|(PRM\|1\|D)|(kpr)|(kdp)|(train st.+moving)|(\|lc)|(penalty))"</v>
      </c>
      <c r="AG97" s="228" t="str">
        <f t="shared" si="52"/>
        <v>EC</v>
      </c>
      <c r="AH97" s="229" t="str">
        <f t="shared" si="53"/>
        <v>"%USERPROFILE%\Documents\GitHub\eaglep3\Utilities\RefineRTDCRunTimes.py" --tripid 181-03 --locoid 4062 --swversion DE.1.0.9.0 --startMP 204:464 --initTime 2017-10-03T13:41:12 --startdatetime 2017-10-03T13:45:26 --delay 62 --endMP 204:233347 --enddatetime 2017-10-03T14:22:40 --enforcementcount 0 &gt;&gt;%USERPROFILE%\Documents\GitHub\eaglep3-reporting\EC\2017-10-03-refined-times.txt</v>
      </c>
      <c r="AI9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{"issue":{"subject":"","project_id":79,"tracker_id":40,"status_id":1,"priority_id":2,"assigned_to_id":338,"start_date":"2017-10-03","description":"","custom_fields":[{"id":1,"name":"Subdivision","value":"EC"},{"id":4,"name":"Milepost","value":"23.3347"},{"id":17,"name":"Train ID","value":"181-03"},{"id":16,"name":"Locomotive ID","value":"4062"},{"id":130,"name":"Impact","value":""},{"id":150,"name":"Time of Event (Mountain Time)","value":"14:22:40"},{"id":151,"name":"Denver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10"/>
      <c r="AK97" s="225"/>
      <c r="AL97" s="225"/>
      <c r="AM97" s="231" t="str">
        <f t="shared" si="55"/>
        <v>start /low /b %USERPROFILE%\Documents\GitHub\eaglep3\Utilities\DownloadLogsFromS3.py --loco 4062 --day 2017-10-03</v>
      </c>
      <c r="AN9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10" t="str">
        <f t="shared" si="57"/>
        <v>https://d0f6bd738d7f1b3e5a7ca70fe4ff75f0.us-east-1.aws.found.io/app/kibana#/discover/Steve-Slow-Train-Analysis-(2080s-and-2083s)?_g=(refreshInterval:(display:Off,pause:!f,section:0,value:0),time:(from:'2017-10-03T12:41:12-0600',mode:absolute,to:'2017-10-03T15:22:40-0600'))&amp;_a=(columns:!('Message%20ID',Summary),filters:!(),index:'emp_*',interval:auto,query:(query_string:(analyze_wildcard:!t,query:'%22rtdc.l.rtdc.4062%22')),sort:!(Time.ISO8601,asc))</v>
      </c>
      <c r="AP97" s="210"/>
      <c r="AQ97" s="210"/>
      <c r="AR97" s="210"/>
      <c r="AS97" s="210"/>
      <c r="AT97" s="210"/>
      <c r="AU97" s="210"/>
      <c r="AV97" s="210"/>
      <c r="AW97" s="210"/>
      <c r="AX97" s="210"/>
      <c r="AY97" s="210"/>
      <c r="AZ97" s="210"/>
      <c r="BA97" s="210"/>
      <c r="BB97" s="210"/>
      <c r="BC97" s="210"/>
      <c r="BD97" s="210"/>
      <c r="BE97" s="210"/>
      <c r="BF97" s="210"/>
      <c r="BG97" s="210"/>
      <c r="BH97" s="210"/>
      <c r="BI97" s="210"/>
      <c r="BJ97" s="210"/>
      <c r="BK97" s="210"/>
      <c r="BL97" s="210"/>
      <c r="BM97" s="210"/>
      <c r="BN97" s="210"/>
      <c r="BO97" s="210"/>
      <c r="BP97" s="210"/>
      <c r="BQ97" s="210"/>
      <c r="BR97" s="210"/>
      <c r="BS97" s="210"/>
      <c r="BT97" s="210"/>
      <c r="BU97" s="210"/>
      <c r="BV97" s="210"/>
      <c r="BW97" s="210"/>
      <c r="BX97" s="210"/>
      <c r="BY97" s="210"/>
      <c r="BZ97" s="210"/>
      <c r="CA97" s="210"/>
      <c r="CB97" s="210"/>
      <c r="CC97" s="210"/>
      <c r="CD97" s="210"/>
      <c r="CE97" s="210"/>
      <c r="CF97" s="210"/>
      <c r="CG97" s="210"/>
      <c r="CH97" s="210"/>
      <c r="CI97" s="210"/>
      <c r="CJ97" s="210"/>
      <c r="CK97" s="210"/>
      <c r="CL97" s="210"/>
      <c r="CM97" s="210"/>
    </row>
    <row r="98" spans="1:91" s="1" customFormat="1" x14ac:dyDescent="0.25">
      <c r="A98" s="32" t="s">
        <v>748</v>
      </c>
      <c r="B98" s="7">
        <v>4061</v>
      </c>
      <c r="C98" s="21" t="s">
        <v>194</v>
      </c>
      <c r="D98" s="21" t="s">
        <v>568</v>
      </c>
      <c r="E98" s="13">
        <v>43011.607523148145</v>
      </c>
      <c r="F98" s="13">
        <v>43011.612685185188</v>
      </c>
      <c r="G98" s="7">
        <v>56</v>
      </c>
      <c r="H98" s="21" t="s">
        <v>370</v>
      </c>
      <c r="I98" s="13">
        <v>43011.639386574076</v>
      </c>
      <c r="J98" s="7">
        <v>0</v>
      </c>
      <c r="K98" s="85" t="str">
        <f t="shared" si="41"/>
        <v>4061/4062</v>
      </c>
      <c r="L98" s="179" t="str">
        <f>VLOOKUP(A98,'Trips&amp;Operators'!$C$1:$G$99911,5,FALSE)</f>
        <v>LEVERE CRAIG</v>
      </c>
      <c r="M98" s="6">
        <f t="shared" si="42"/>
        <v>2.6701388887886424E-2</v>
      </c>
      <c r="N98" s="7">
        <f t="shared" si="59"/>
        <v>38.44999999855645</v>
      </c>
      <c r="O98" s="7"/>
      <c r="P98" s="7"/>
      <c r="Q98" s="22"/>
      <c r="R98" s="169"/>
      <c r="S98" s="202">
        <f t="shared" si="58"/>
        <v>1</v>
      </c>
      <c r="T98" s="169" t="str">
        <f t="shared" si="43"/>
        <v>Southbound</v>
      </c>
      <c r="U98" s="22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2" t="str">
        <f t="shared" si="44"/>
        <v>https://d0f6bd738d7f1b3e5a7ca70fe4ff75f0.us-east-1.aws.found.io/app/kibana#/discover/Steve-Slow-Train-Analysis-(2080s-and-2083s)?_g=(refreshInterval:(display:Off,pause:!f,section:0,value:0),time:(from:'2017-10-03T13:34:50-0600',mode:absolute,to:'2017-10-03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8" s="223" t="str">
        <f>IF(AA98&lt;VLOOKUP(AG98,Variables!$AC$3:$AD$8,2,FALSE),"Y","N")</f>
        <v>N</v>
      </c>
      <c r="X98" s="223">
        <f t="shared" si="45"/>
        <v>1</v>
      </c>
      <c r="Y98" s="223">
        <f t="shared" si="46"/>
        <v>23.3001</v>
      </c>
      <c r="Z98" s="223">
        <f t="shared" si="47"/>
        <v>1.5800000000000002E-2</v>
      </c>
      <c r="AA98" s="223">
        <f t="shared" si="48"/>
        <v>23.284300000000002</v>
      </c>
      <c r="AB98" s="224" t="e">
        <f>VLOOKUP(A98,Enforcements!$C$7:$K$11,8,0)</f>
        <v>#N/A</v>
      </c>
      <c r="AC98" s="224" t="e">
        <f>VLOOKUP(A98,Enforcements!$C$7:$E$11,3,0)</f>
        <v>#N/A</v>
      </c>
      <c r="AD98" s="225">
        <f t="shared" si="49"/>
        <v>182</v>
      </c>
      <c r="AE98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98" s="227" t="str">
        <f t="shared" si="51"/>
        <v>"C:\Program Files (x86)\AstroGrep\AstroGrep.exe" /e /r /s /spath="%USERPROFILE%\AppData\Local\Temp\OnboardLogs" /stypes="app*4061*20171003*" /stext=" 21:.+((SYSTEM_STATE.+slice.+state.+changed )|(ment ac)|(multiple cpu faults)|(system.+state.+changed )|(\[timeout)|(PRM\|1\|D)|(kpr)|(kdp)|(train st.+moving)|(\|lc)|(penalty))"</v>
      </c>
      <c r="AG98" s="228" t="str">
        <f t="shared" si="52"/>
        <v>EC</v>
      </c>
      <c r="AH98" s="229" t="str">
        <f t="shared" si="53"/>
        <v>"%USERPROFILE%\Documents\GitHub\eaglep3\Utilities\RefineRTDCRunTimes.py" --tripid 182-03 --locoid 4061 --swversion DE.1.0.9.0 --startMP 204:233001 --initTime 2017-10-03T14:34:50 --startdatetime 2017-10-03T14:42:16 --delay 56 --endMP 204:158 --enddatetime 2017-10-03T15:20:43 --enforcementcount 0 &gt;&gt;%USERPROFILE%\Documents\GitHub\eaglep3-reporting\EC\2017-10-03-refined-times.txt</v>
      </c>
      <c r="AI9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ID","value":"182-03"},{"id":16,"name":"Locomotive ID","value":"4061"},{"id":130,"name":"Impact","value":""},{"id":150,"name":"Time of Event (Mountain Time)","value":"15:20:43"},{"id":151,"name":"Denver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10"/>
      <c r="AK98" s="225"/>
      <c r="AL98" s="225"/>
      <c r="AM98" s="231" t="str">
        <f t="shared" si="55"/>
        <v>start /low /b %USERPROFILE%\Documents\GitHub\eaglep3\Utilities\DownloadLogsFromS3.py --loco 4061 --day 2017-10-03</v>
      </c>
      <c r="AN9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10" t="str">
        <f t="shared" si="57"/>
        <v>https://d0f6bd738d7f1b3e5a7ca70fe4ff75f0.us-east-1.aws.found.io/app/kibana#/discover/Steve-Slow-Train-Analysis-(2080s-and-2083s)?_g=(refreshInterval:(display:Off,pause:!f,section:0,value:0),time:(from:'2017-10-03T13:34:50-0600',mode:absolute,to:'2017-10-03T16:20:43-0600'))&amp;_a=(columns:!('Message%20ID',Summary),filters:!(),index:'emp_*',interval:auto,query:(query_string:(analyze_wildcard:!t,query:'%22rtdc.l.rtdc.4061%22')),sort:!(Time.ISO8601,asc))</v>
      </c>
      <c r="AP98" s="210"/>
      <c r="AQ98" s="210"/>
      <c r="AR98" s="210"/>
      <c r="AS98" s="210"/>
      <c r="AT98" s="210"/>
      <c r="AU98" s="210"/>
      <c r="AV98" s="210"/>
      <c r="AW98" s="210"/>
      <c r="AX98" s="210"/>
      <c r="AY98" s="210"/>
      <c r="AZ98" s="210"/>
      <c r="BA98" s="210"/>
      <c r="BB98" s="210"/>
      <c r="BC98" s="210"/>
      <c r="BD98" s="210"/>
      <c r="BE98" s="210"/>
      <c r="BF98" s="210"/>
      <c r="BG98" s="210"/>
      <c r="BH98" s="210"/>
      <c r="BI98" s="210"/>
      <c r="BJ98" s="210"/>
      <c r="BK98" s="210"/>
      <c r="BL98" s="210"/>
      <c r="BM98" s="210"/>
      <c r="BN98" s="210"/>
      <c r="BO98" s="210"/>
      <c r="BP98" s="210"/>
      <c r="BQ98" s="210"/>
      <c r="BR98" s="210"/>
      <c r="BS98" s="210"/>
      <c r="BT98" s="210"/>
      <c r="BU98" s="210"/>
      <c r="BV98" s="210"/>
      <c r="BW98" s="210"/>
      <c r="BX98" s="210"/>
      <c r="BY98" s="210"/>
      <c r="BZ98" s="210"/>
      <c r="CA98" s="210"/>
      <c r="CB98" s="210"/>
      <c r="CC98" s="210"/>
      <c r="CD98" s="210"/>
      <c r="CE98" s="210"/>
      <c r="CF98" s="210"/>
      <c r="CG98" s="210"/>
      <c r="CH98" s="210"/>
      <c r="CI98" s="210"/>
      <c r="CJ98" s="210"/>
      <c r="CK98" s="210"/>
      <c r="CL98" s="210"/>
      <c r="CM98" s="210"/>
    </row>
    <row r="99" spans="1:91" s="1" customFormat="1" x14ac:dyDescent="0.25">
      <c r="A99" s="32" t="s">
        <v>743</v>
      </c>
      <c r="B99" s="7">
        <v>4050</v>
      </c>
      <c r="C99" s="21" t="s">
        <v>194</v>
      </c>
      <c r="D99" s="21" t="s">
        <v>401</v>
      </c>
      <c r="E99" s="13">
        <v>43011.581469907411</v>
      </c>
      <c r="F99" s="13">
        <v>43011.583634259259</v>
      </c>
      <c r="G99" s="7">
        <v>85</v>
      </c>
      <c r="H99" s="21" t="s">
        <v>554</v>
      </c>
      <c r="I99" s="13">
        <v>43011.608229166668</v>
      </c>
      <c r="J99" s="7">
        <v>0</v>
      </c>
      <c r="K99" s="85" t="str">
        <f t="shared" si="41"/>
        <v>4049/4050</v>
      </c>
      <c r="L99" s="179" t="str">
        <f>VLOOKUP(A99,'Trips&amp;Operators'!$C$1:$G$99911,5,FALSE)</f>
        <v>SAFIEF AEIMEN</v>
      </c>
      <c r="M99" s="6">
        <f t="shared" si="42"/>
        <v>2.4594907408754807E-2</v>
      </c>
      <c r="N99" s="7">
        <f t="shared" si="59"/>
        <v>35.416666668606922</v>
      </c>
      <c r="O99" s="7"/>
      <c r="P99" s="7"/>
      <c r="Q99" s="22"/>
      <c r="R99" s="169"/>
      <c r="S99" s="202">
        <f t="shared" si="58"/>
        <v>1</v>
      </c>
      <c r="T99" s="169" t="str">
        <f t="shared" si="43"/>
        <v>NorthBound</v>
      </c>
      <c r="U99" s="22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2" t="str">
        <f t="shared" si="44"/>
        <v>https://d0f6bd738d7f1b3e5a7ca70fe4ff75f0.us-east-1.aws.found.io/app/kibana#/discover/Steve-Slow-Train-Analysis-(2080s-and-2083s)?_g=(refreshInterval:(display:Off,pause:!f,section:0,value:0),time:(from:'2017-10-03T12:57:19-0600',mode:absolute,to:'2017-10-03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9" s="223" t="str">
        <f>IF(AA99&lt;VLOOKUP(AG99,Variables!$AC$3:$AD$8,2,FALSE),"Y","N")</f>
        <v>N</v>
      </c>
      <c r="X99" s="223">
        <f t="shared" si="45"/>
        <v>1</v>
      </c>
      <c r="Y99" s="223">
        <f t="shared" si="46"/>
        <v>4.5699999999999998E-2</v>
      </c>
      <c r="Z99" s="223">
        <f t="shared" si="47"/>
        <v>23.328700000000001</v>
      </c>
      <c r="AA99" s="223">
        <f t="shared" si="48"/>
        <v>23.283000000000001</v>
      </c>
      <c r="AB99" s="224" t="e">
        <f>VLOOKUP(A99,Enforcements!$C$7:$K$11,8,0)</f>
        <v>#N/A</v>
      </c>
      <c r="AC99" s="224" t="e">
        <f>VLOOKUP(A99,Enforcements!$C$7:$E$11,3,0)</f>
        <v>#N/A</v>
      </c>
      <c r="AD99" s="225">
        <f t="shared" si="49"/>
        <v>183</v>
      </c>
      <c r="AE99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99" s="227" t="str">
        <f t="shared" si="51"/>
        <v>"C:\Program Files (x86)\AstroGrep\AstroGrep.exe" /e /r /s /spath="%USERPROFILE%\AppData\Local\Temp\OnboardLogs" /stypes="app*4050*20171003*" /stext=" 20:.+((SYSTEM_STATE.+slice.+state.+changed )|(ment ac)|(multiple cpu faults)|(system.+state.+changed )|(\[timeout)|(PRM\|1\|D)|(kpr)|(kdp)|(train st.+moving)|(\|lc)|(penalty))"</v>
      </c>
      <c r="AG99" s="228" t="str">
        <f t="shared" si="52"/>
        <v>EC</v>
      </c>
      <c r="AH99" s="229" t="str">
        <f t="shared" si="53"/>
        <v>"%USERPROFILE%\Documents\GitHub\eaglep3\Utilities\RefineRTDCRunTimes.py" --tripid 183-03 --locoid 4050 --swversion DE.1.0.9.0 --startMP 204:457 --initTime 2017-10-03T13:57:19 --startdatetime 2017-10-03T14:00:26 --delay 85 --endMP 204:233287 --enddatetime 2017-10-03T14:35:51 --enforcementcount 0 &gt;&gt;%USERPROFILE%\Documents\GitHub\eaglep3-reporting\EC\2017-10-03-refined-times.txt</v>
      </c>
      <c r="AI9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{"issue":{"subject":"","project_id":79,"tracker_id":40,"status_id":1,"priority_id":2,"assigned_to_id":338,"start_date":"2017-10-03","description":"","custom_fields":[{"id":1,"name":"Subdivision","value":"EC"},{"id":4,"name":"Milepost","value":"23.3287"},{"id":17,"name":"Train ID","value":"183-03"},{"id":16,"name":"Locomotive ID","value":"4050"},{"id":130,"name":"Impact","value":""},{"id":150,"name":"Time of Event (Mountain Time)","value":"14:35:51"},{"id":151,"name":"Denver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10"/>
      <c r="AK99" s="225"/>
      <c r="AL99" s="225"/>
      <c r="AM99" s="231" t="str">
        <f t="shared" si="55"/>
        <v>start /low /b %USERPROFILE%\Documents\GitHub\eaglep3\Utilities\DownloadLogsFromS3.py --loco 4050 --day 2017-10-03</v>
      </c>
      <c r="AN9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10" t="str">
        <f t="shared" si="57"/>
        <v>https://d0f6bd738d7f1b3e5a7ca70fe4ff75f0.us-east-1.aws.found.io/app/kibana#/discover/Steve-Slow-Train-Analysis-(2080s-and-2083s)?_g=(refreshInterval:(display:Off,pause:!f,section:0,value:0),time:(from:'2017-10-03T12:57:19-0600',mode:absolute,to:'2017-10-03T15:35:51-0600'))&amp;_a=(columns:!('Message%20ID',Summary),filters:!(),index:'emp_*',interval:auto,query:(query_string:(analyze_wildcard:!t,query:'%22rtdc.l.rtdc.4050%22')),sort:!(Time.ISO8601,asc))</v>
      </c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  <c r="AZ99" s="210"/>
      <c r="BA99" s="210"/>
      <c r="BB99" s="210"/>
      <c r="BC99" s="210"/>
      <c r="BD99" s="210"/>
      <c r="BE99" s="210"/>
      <c r="BF99" s="210"/>
      <c r="BG99" s="210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210"/>
      <c r="BT99" s="210"/>
      <c r="BU99" s="210"/>
      <c r="BV99" s="210"/>
      <c r="BW99" s="210"/>
      <c r="BX99" s="210"/>
      <c r="BY99" s="210"/>
      <c r="BZ99" s="210"/>
      <c r="CA99" s="210"/>
      <c r="CB99" s="210"/>
      <c r="CC99" s="210"/>
      <c r="CD99" s="210"/>
      <c r="CE99" s="210"/>
      <c r="CF99" s="210"/>
      <c r="CG99" s="210"/>
      <c r="CH99" s="210"/>
      <c r="CI99" s="210"/>
      <c r="CJ99" s="210"/>
      <c r="CK99" s="210"/>
      <c r="CL99" s="210"/>
      <c r="CM99" s="210"/>
    </row>
    <row r="100" spans="1:91" s="1" customFormat="1" x14ac:dyDescent="0.25">
      <c r="A100" s="32" t="s">
        <v>750</v>
      </c>
      <c r="B100" s="7">
        <v>4049</v>
      </c>
      <c r="C100" s="21" t="s">
        <v>194</v>
      </c>
      <c r="D100" s="21" t="s">
        <v>483</v>
      </c>
      <c r="E100" s="13">
        <v>43011.61377314815</v>
      </c>
      <c r="F100" s="13">
        <v>43011.623136574075</v>
      </c>
      <c r="G100" s="7">
        <v>78</v>
      </c>
      <c r="H100" s="21" t="s">
        <v>370</v>
      </c>
      <c r="I100" s="13">
        <v>43011.649212962962</v>
      </c>
      <c r="J100" s="7">
        <v>0</v>
      </c>
      <c r="K100" s="85" t="str">
        <f t="shared" si="41"/>
        <v>4049/4050</v>
      </c>
      <c r="L100" s="179" t="str">
        <f>VLOOKUP(A100,'Trips&amp;Operators'!$C$1:$G$99911,5,FALSE)</f>
        <v>SAFIEF AEIMEN</v>
      </c>
      <c r="M100" s="6">
        <f t="shared" si="42"/>
        <v>2.6076388887304347E-2</v>
      </c>
      <c r="N100" s="7">
        <f t="shared" si="59"/>
        <v>37.54999999771826</v>
      </c>
      <c r="O100" s="7"/>
      <c r="P100" s="7"/>
      <c r="Q100" s="22"/>
      <c r="R100" s="169"/>
      <c r="S100" s="202">
        <f t="shared" si="58"/>
        <v>1</v>
      </c>
      <c r="T100" s="169" t="str">
        <f t="shared" si="43"/>
        <v>Southbound</v>
      </c>
      <c r="U100" s="22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2" t="str">
        <f t="shared" si="44"/>
        <v>https://d0f6bd738d7f1b3e5a7ca70fe4ff75f0.us-east-1.aws.found.io/app/kibana#/discover/Steve-Slow-Train-Analysis-(2080s-and-2083s)?_g=(refreshInterval:(display:Off,pause:!f,section:0,value:0),time:(from:'2017-10-03T13:43:50-0600',mode:absolute,to:'2017-10-03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0" s="223" t="str">
        <f>IF(AA100&lt;VLOOKUP(AG100,Variables!$AC$3:$AD$8,2,FALSE),"Y","N")</f>
        <v>N</v>
      </c>
      <c r="X100" s="223">
        <f t="shared" si="45"/>
        <v>1</v>
      </c>
      <c r="Y100" s="223">
        <f t="shared" si="46"/>
        <v>23.3019</v>
      </c>
      <c r="Z100" s="223">
        <f t="shared" si="47"/>
        <v>1.5800000000000002E-2</v>
      </c>
      <c r="AA100" s="223">
        <f t="shared" si="48"/>
        <v>23.286100000000001</v>
      </c>
      <c r="AB100" s="224" t="e">
        <f>VLOOKUP(A100,Enforcements!$C$7:$K$11,8,0)</f>
        <v>#N/A</v>
      </c>
      <c r="AC100" s="224" t="e">
        <f>VLOOKUP(A100,Enforcements!$C$7:$E$11,3,0)</f>
        <v>#N/A</v>
      </c>
      <c r="AD100" s="225">
        <f t="shared" si="49"/>
        <v>184</v>
      </c>
      <c r="AE100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00" s="227" t="str">
        <f t="shared" si="51"/>
        <v>"C:\Program Files (x86)\AstroGrep\AstroGrep.exe" /e /r /s /spath="%USERPROFILE%\AppData\Local\Temp\OnboardLogs" /stypes="app*4049*20171003*" /stext=" 21:.+((SYSTEM_STATE.+slice.+state.+changed )|(ment ac)|(multiple cpu faults)|(system.+state.+changed )|(\[timeout)|(PRM\|1\|D)|(kpr)|(kdp)|(train st.+moving)|(\|lc)|(penalty))"</v>
      </c>
      <c r="AG100" s="228" t="str">
        <f t="shared" si="52"/>
        <v>EC</v>
      </c>
      <c r="AH100" s="229" t="str">
        <f t="shared" si="53"/>
        <v>"%USERPROFILE%\Documents\GitHub\eaglep3\Utilities\RefineRTDCRunTimes.py" --tripid 184-03 --locoid 4049 --swversion DE.1.0.9.0 --startMP 204:233019 --initTime 2017-10-03T14:43:50 --startdatetime 2017-10-03T14:57:19 --delay 78 --endMP 204:158 --enddatetime 2017-10-03T15:34:52 --enforcementcount 0 &gt;&gt;%USERPROFILE%\Documents\GitHub\eaglep3-reporting\EC\2017-10-03-refined-times.txt</v>
      </c>
      <c r="AI10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ID","value":"184-03"},{"id":16,"name":"Locomotive ID","value":"4049"},{"id":130,"name":"Impact","value":""},{"id":150,"name":"Time of Event (Mountain Time)","value":"15:34:52"},{"id":151,"name":"Denver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10"/>
      <c r="AK100" s="225"/>
      <c r="AL100" s="225"/>
      <c r="AM100" s="231" t="str">
        <f t="shared" si="55"/>
        <v>start /low /b %USERPROFILE%\Documents\GitHub\eaglep3\Utilities\DownloadLogsFromS3.py --loco 4049 --day 2017-10-03</v>
      </c>
      <c r="AN10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10" t="str">
        <f t="shared" si="57"/>
        <v>https://d0f6bd738d7f1b3e5a7ca70fe4ff75f0.us-east-1.aws.found.io/app/kibana#/discover/Steve-Slow-Train-Analysis-(2080s-and-2083s)?_g=(refreshInterval:(display:Off,pause:!f,section:0,value:0),time:(from:'2017-10-03T13:43:50-0600',mode:absolute,to:'2017-10-03T16:34:52-0600'))&amp;_a=(columns:!('Message%20ID',Summary),filters:!(),index:'emp_*',interval:auto,query:(query_string:(analyze_wildcard:!t,query:'%22rtdc.l.rtdc.4049%22')),sort:!(Time.ISO8601,asc))</v>
      </c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  <c r="AZ100" s="210"/>
      <c r="BA100" s="210"/>
      <c r="BB100" s="210"/>
      <c r="BC100" s="210"/>
      <c r="BD100" s="210"/>
      <c r="BE100" s="210"/>
      <c r="BF100" s="210"/>
      <c r="BG100" s="210"/>
      <c r="BH100" s="210"/>
      <c r="BI100" s="210"/>
      <c r="BJ100" s="210"/>
      <c r="BK100" s="210"/>
      <c r="BL100" s="210"/>
      <c r="BM100" s="210"/>
      <c r="BN100" s="210"/>
      <c r="BO100" s="210"/>
      <c r="BP100" s="210"/>
      <c r="BQ100" s="210"/>
      <c r="BR100" s="210"/>
      <c r="BS100" s="210"/>
      <c r="BT100" s="210"/>
      <c r="BU100" s="210"/>
      <c r="BV100" s="210"/>
      <c r="BW100" s="210"/>
      <c r="BX100" s="210"/>
      <c r="BY100" s="210"/>
      <c r="BZ100" s="210"/>
      <c r="CA100" s="210"/>
      <c r="CB100" s="210"/>
      <c r="CC100" s="210"/>
      <c r="CD100" s="210"/>
      <c r="CE100" s="210"/>
      <c r="CF100" s="210"/>
      <c r="CG100" s="210"/>
      <c r="CH100" s="210"/>
      <c r="CI100" s="210"/>
      <c r="CJ100" s="210"/>
      <c r="CK100" s="210"/>
      <c r="CL100" s="210"/>
      <c r="CM100" s="210"/>
    </row>
    <row r="101" spans="1:91" x14ac:dyDescent="0.25">
      <c r="A101" s="32" t="s">
        <v>745</v>
      </c>
      <c r="B101" s="7">
        <v>4042</v>
      </c>
      <c r="C101" s="21" t="s">
        <v>194</v>
      </c>
      <c r="D101" s="21" t="s">
        <v>334</v>
      </c>
      <c r="E101" s="13">
        <v>43011.591400462959</v>
      </c>
      <c r="F101" s="13">
        <v>43011.59412037037</v>
      </c>
      <c r="G101" s="7">
        <v>71</v>
      </c>
      <c r="H101" s="21" t="s">
        <v>886</v>
      </c>
      <c r="I101" s="13">
        <v>43011.620150462964</v>
      </c>
      <c r="J101" s="7">
        <v>0</v>
      </c>
      <c r="K101" s="85" t="str">
        <f t="shared" si="41"/>
        <v>4041/4042</v>
      </c>
      <c r="L101" s="179" t="str">
        <f>VLOOKUP(A101,'Trips&amp;Operators'!$C$1:$G$99911,5,FALSE)</f>
        <v>DAVIS MICHAEL</v>
      </c>
      <c r="M101" s="6">
        <f t="shared" si="42"/>
        <v>2.6030092594737653E-2</v>
      </c>
      <c r="N101" s="7">
        <f t="shared" si="59"/>
        <v>37.48333333642222</v>
      </c>
      <c r="O101" s="7"/>
      <c r="P101" s="7"/>
      <c r="Q101" s="22"/>
      <c r="R101" s="169"/>
      <c r="S101" s="202">
        <f t="shared" si="58"/>
        <v>1</v>
      </c>
      <c r="T101" s="169" t="str">
        <f t="shared" si="43"/>
        <v>NorthBound</v>
      </c>
      <c r="U101" s="22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2" t="str">
        <f t="shared" si="44"/>
        <v>https://d0f6bd738d7f1b3e5a7ca70fe4ff75f0.us-east-1.aws.found.io/app/kibana#/discover/Steve-Slow-Train-Analysis-(2080s-and-2083s)?_g=(refreshInterval:(display:Off,pause:!f,section:0,value:0),time:(from:'2017-10-03T13:11:37-0600',mode:absolute,to:'2017-10-03T15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223" t="str">
        <f>IF(AA101&lt;VLOOKUP(AG101,Variables!$AC$3:$AD$8,2,FALSE),"Y","N")</f>
        <v>N</v>
      </c>
      <c r="X101" s="223">
        <f t="shared" si="45"/>
        <v>1</v>
      </c>
      <c r="Y101" s="223">
        <f t="shared" si="46"/>
        <v>4.4600000000000001E-2</v>
      </c>
      <c r="Z101" s="223">
        <f t="shared" si="47"/>
        <v>23.334499999999998</v>
      </c>
      <c r="AA101" s="223">
        <f t="shared" si="48"/>
        <v>23.289899999999999</v>
      </c>
      <c r="AB101" s="224" t="e">
        <f>VLOOKUP(A101,Enforcements!$C$7:$K$11,8,0)</f>
        <v>#N/A</v>
      </c>
      <c r="AC101" s="224" t="e">
        <f>VLOOKUP(A101,Enforcements!$C$7:$E$11,3,0)</f>
        <v>#N/A</v>
      </c>
      <c r="AD101" s="225">
        <f t="shared" si="49"/>
        <v>185</v>
      </c>
      <c r="AE101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01" s="227" t="str">
        <f t="shared" si="51"/>
        <v>"C:\Program Files (x86)\AstroGrep\AstroGrep.exe" /e /r /s /spath="%USERPROFILE%\AppData\Local\Temp\OnboardLogs" /stypes="app*4042*20171003*" /stext=" 20:.+((SYSTEM_STATE.+slice.+state.+changed )|(ment ac)|(multiple cpu faults)|(system.+state.+changed )|(\[timeout)|(PRM\|1\|D)|(kpr)|(kdp)|(train st.+moving)|(\|lc)|(penalty))"</v>
      </c>
      <c r="AG101" s="228" t="str">
        <f t="shared" si="52"/>
        <v>EC</v>
      </c>
      <c r="AH101" s="229" t="str">
        <f t="shared" si="53"/>
        <v>"%USERPROFILE%\Documents\GitHub\eaglep3\Utilities\RefineRTDCRunTimes.py" --tripid 185-03 --locoid 4042 --swversion DE.1.0.9.0 --startMP 204:446 --initTime 2017-10-03T14:11:37 --startdatetime 2017-10-03T14:15:32 --delay 71 --endMP 204:233345 --enddatetime 2017-10-03T14:53:01 --enforcementcount 0 &gt;&gt;%USERPROFILE%\Documents\GitHub\eaglep3-reporting\EC\2017-10-03-refined-times.txt</v>
      </c>
      <c r="AI10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{"issue":{"subject":"","project_id":79,"tracker_id":40,"status_id":1,"priority_id":2,"assigned_to_id":338,"start_date":"2017-10-03","description":"","custom_fields":[{"id":1,"name":"Subdivision","value":"EC"},{"id":4,"name":"Milepost","value":"23.3345"},{"id":17,"name":"Train ID","value":"185-03"},{"id":16,"name":"Locomotive ID","value":"4042"},{"id":130,"name":"Impact","value":""},{"id":150,"name":"Time of Event (Mountain Time)","value":"14:53:01"},{"id":151,"name":"Denver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10"/>
      <c r="AK101" s="225"/>
      <c r="AL101" s="225"/>
      <c r="AM101" s="231" t="str">
        <f t="shared" si="55"/>
        <v>start /low /b %USERPROFILE%\Documents\GitHub\eaglep3\Utilities\DownloadLogsFromS3.py --loco 4042 --day 2017-10-03</v>
      </c>
      <c r="AN10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10" t="str">
        <f t="shared" si="57"/>
        <v>https://d0f6bd738d7f1b3e5a7ca70fe4ff75f0.us-east-1.aws.found.io/app/kibana#/discover/Steve-Slow-Train-Analysis-(2080s-and-2083s)?_g=(refreshInterval:(display:Off,pause:!f,section:0,value:0),time:(from:'2017-10-03T13:11:37-0600',mode:absolute,to:'2017-10-03T15:53:01-0600'))&amp;_a=(columns:!('Message%20ID',Summary),filters:!(),index:'emp_*',interval:auto,query:(query_string:(analyze_wildcard:!t,query:'%22rtdc.l.rtdc.4042%22')),sort:!(Time.ISO8601,asc))</v>
      </c>
      <c r="AP101" s="210"/>
      <c r="AQ101" s="210"/>
      <c r="AR101" s="210"/>
      <c r="AS101" s="210"/>
      <c r="AT101" s="210"/>
      <c r="AU101" s="210"/>
      <c r="AV101" s="210"/>
      <c r="AW101" s="210"/>
      <c r="AX101" s="210"/>
      <c r="AY101" s="210"/>
      <c r="AZ101" s="210"/>
      <c r="BA101" s="210"/>
      <c r="BB101" s="210"/>
      <c r="BC101" s="210"/>
      <c r="BD101" s="210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  <c r="BX101" s="210"/>
      <c r="BY101" s="210"/>
      <c r="BZ101" s="210"/>
      <c r="CA101" s="210"/>
      <c r="CB101" s="210"/>
      <c r="CC101" s="210"/>
      <c r="CD101" s="210"/>
      <c r="CE101" s="210"/>
      <c r="CF101" s="210"/>
      <c r="CG101" s="210"/>
      <c r="CH101" s="210"/>
      <c r="CI101" s="210"/>
      <c r="CJ101" s="210"/>
      <c r="CK101" s="210"/>
      <c r="CL101" s="210"/>
      <c r="CM101" s="210"/>
    </row>
    <row r="102" spans="1:91" s="20" customFormat="1" x14ac:dyDescent="0.25">
      <c r="A102" s="32" t="s">
        <v>754</v>
      </c>
      <c r="B102" s="7">
        <v>4041</v>
      </c>
      <c r="C102" s="21" t="s">
        <v>194</v>
      </c>
      <c r="D102" s="21" t="s">
        <v>475</v>
      </c>
      <c r="E102" s="13">
        <v>43011.631620370368</v>
      </c>
      <c r="F102" s="13">
        <v>43011.633715277778</v>
      </c>
      <c r="G102" s="7">
        <v>89</v>
      </c>
      <c r="H102" s="21" t="s">
        <v>562</v>
      </c>
      <c r="I102" s="13">
        <v>43011.660590277781</v>
      </c>
      <c r="J102" s="7">
        <v>0</v>
      </c>
      <c r="K102" s="85" t="str">
        <f t="shared" si="41"/>
        <v>4041/4042</v>
      </c>
      <c r="L102" s="179" t="str">
        <f>VLOOKUP(A102,'Trips&amp;Operators'!$C$1:$G$99911,5,FALSE)</f>
        <v>DAVIS MICHAEL</v>
      </c>
      <c r="M102" s="6">
        <f t="shared" si="42"/>
        <v>2.6875000003201421E-2</v>
      </c>
      <c r="N102" s="7">
        <f t="shared" si="59"/>
        <v>38.700000004610047</v>
      </c>
      <c r="O102" s="7"/>
      <c r="P102" s="7"/>
      <c r="Q102" s="22"/>
      <c r="R102" s="169"/>
      <c r="S102" s="202">
        <f t="shared" si="58"/>
        <v>1</v>
      </c>
      <c r="T102" s="169" t="str">
        <f t="shared" si="43"/>
        <v>Southbound</v>
      </c>
      <c r="U102" s="22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2" t="str">
        <f t="shared" si="44"/>
        <v>https://d0f6bd738d7f1b3e5a7ca70fe4ff75f0.us-east-1.aws.found.io/app/kibana#/discover/Steve-Slow-Train-Analysis-(2080s-and-2083s)?_g=(refreshInterval:(display:Off,pause:!f,section:0,value:0),time:(from:'2017-10-03T14:09:32-0600',mode:absolute,to:'2017-10-03T16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223" t="str">
        <f>IF(AA102&lt;VLOOKUP(AG102,Variables!$AC$3:$AD$8,2,FALSE),"Y","N")</f>
        <v>N</v>
      </c>
      <c r="X102" s="223">
        <f t="shared" si="45"/>
        <v>1</v>
      </c>
      <c r="Y102" s="223">
        <f t="shared" si="46"/>
        <v>23.300899999999999</v>
      </c>
      <c r="Z102" s="223">
        <f t="shared" si="47"/>
        <v>1.3599999999999999E-2</v>
      </c>
      <c r="AA102" s="223">
        <f t="shared" si="48"/>
        <v>23.287299999999998</v>
      </c>
      <c r="AB102" s="224" t="e">
        <f>VLOOKUP(A102,Enforcements!$C$7:$K$11,8,0)</f>
        <v>#N/A</v>
      </c>
      <c r="AC102" s="224" t="e">
        <f>VLOOKUP(A102,Enforcements!$C$7:$E$11,3,0)</f>
        <v>#N/A</v>
      </c>
      <c r="AD102" s="225">
        <f t="shared" si="49"/>
        <v>186</v>
      </c>
      <c r="AE102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02" s="227" t="str">
        <f t="shared" si="51"/>
        <v>"C:\Program Files (x86)\AstroGrep\AstroGrep.exe" /e /r /s /spath="%USERPROFILE%\AppData\Local\Temp\OnboardLogs" /stypes="app*4041*20171003*" /stext=" 21:.+((SYSTEM_STATE.+slice.+state.+changed )|(ment ac)|(multiple cpu faults)|(system.+state.+changed )|(\[timeout)|(PRM\|1\|D)|(kpr)|(kdp)|(train st.+moving)|(\|lc)|(penalty))"</v>
      </c>
      <c r="AG102" s="228" t="str">
        <f t="shared" si="52"/>
        <v>EC</v>
      </c>
      <c r="AH102" s="229" t="str">
        <f t="shared" si="53"/>
        <v>"%USERPROFILE%\Documents\GitHub\eaglep3\Utilities\RefineRTDCRunTimes.py" --tripid 186-03 --locoid 4041 --swversion DE.1.0.9.0 --startMP 204:233009 --initTime 2017-10-03T15:09:32 --startdatetime 2017-10-03T15:12:33 --delay 89 --endMP 204:136 --enddatetime 2017-10-03T15:51:15 --enforcementcount 0 &gt;&gt;%USERPROFILE%\Documents\GitHub\eaglep3-reporting\EC\2017-10-03-refined-times.txt</v>
      </c>
      <c r="AI10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{"issue":{"subject":"","project_id":79,"tracker_id":40,"status_id":1,"priority_id":2,"assigned_to_id":338,"start_date":"2017-10-03","description":"","custom_fields":[{"id":1,"name":"Subdivision","value":"EC"},{"id":4,"name":"Milepost","value":"0.0136"},{"id":17,"name":"Train ID","value":"186-03"},{"id":16,"name":"Locomotive ID","value":"4041"},{"id":130,"name":"Impact","value":""},{"id":150,"name":"Time of Event (Mountain Time)","value":"15:51:15"},{"id":151,"name":"Denver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10"/>
      <c r="AK102" s="225"/>
      <c r="AL102" s="225"/>
      <c r="AM102" s="231" t="str">
        <f t="shared" si="55"/>
        <v>start /low /b %USERPROFILE%\Documents\GitHub\eaglep3\Utilities\DownloadLogsFromS3.py --loco 4041 --day 2017-10-03</v>
      </c>
      <c r="AN10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10" t="str">
        <f t="shared" si="57"/>
        <v>https://d0f6bd738d7f1b3e5a7ca70fe4ff75f0.us-east-1.aws.found.io/app/kibana#/discover/Steve-Slow-Train-Analysis-(2080s-and-2083s)?_g=(refreshInterval:(display:Off,pause:!f,section:0,value:0),time:(from:'2017-10-03T14:09:32-0600',mode:absolute,to:'2017-10-03T16:51:15-0600'))&amp;_a=(columns:!('Message%20ID',Summary),filters:!(),index:'emp_*',interval:auto,query:(query_string:(analyze_wildcard:!t,query:'%22rtdc.l.rtdc.4041%22')),sort:!(Time.ISO8601,asc))</v>
      </c>
      <c r="AP102" s="210"/>
      <c r="AQ102" s="210"/>
      <c r="AR102" s="210"/>
      <c r="AS102" s="210"/>
      <c r="AT102" s="210"/>
      <c r="AU102" s="210"/>
      <c r="AV102" s="210"/>
      <c r="AW102" s="210"/>
      <c r="AX102" s="210"/>
      <c r="AY102" s="210"/>
      <c r="AZ102" s="210"/>
      <c r="BA102" s="210"/>
      <c r="BB102" s="210"/>
      <c r="BC102" s="210"/>
      <c r="BD102" s="210"/>
      <c r="BE102" s="210"/>
      <c r="BF102" s="210"/>
      <c r="BG102" s="210"/>
      <c r="BH102" s="210"/>
      <c r="BI102" s="210"/>
      <c r="BJ102" s="210"/>
      <c r="BK102" s="210"/>
      <c r="BL102" s="210"/>
      <c r="BM102" s="210"/>
      <c r="BN102" s="210"/>
      <c r="BO102" s="210"/>
      <c r="BP102" s="210"/>
      <c r="BQ102" s="210"/>
      <c r="BR102" s="210"/>
      <c r="BS102" s="210"/>
      <c r="BT102" s="210"/>
      <c r="BU102" s="210"/>
      <c r="BV102" s="210"/>
      <c r="BW102" s="210"/>
      <c r="BX102" s="210"/>
      <c r="BY102" s="210"/>
      <c r="BZ102" s="210"/>
      <c r="CA102" s="210"/>
      <c r="CB102" s="210"/>
      <c r="CC102" s="210"/>
      <c r="CD102" s="210"/>
      <c r="CE102" s="210"/>
      <c r="CF102" s="210"/>
      <c r="CG102" s="210"/>
      <c r="CH102" s="210"/>
      <c r="CI102" s="210"/>
      <c r="CJ102" s="210"/>
      <c r="CK102" s="210"/>
      <c r="CL102" s="210"/>
      <c r="CM102" s="210"/>
    </row>
    <row r="103" spans="1:91" s="20" customFormat="1" x14ac:dyDescent="0.25">
      <c r="A103" s="32" t="s">
        <v>616</v>
      </c>
      <c r="B103" s="7">
        <v>4012</v>
      </c>
      <c r="C103" s="21" t="s">
        <v>194</v>
      </c>
      <c r="D103" s="21" t="s">
        <v>564</v>
      </c>
      <c r="E103" s="13">
        <v>43011.598969907405</v>
      </c>
      <c r="F103" s="13">
        <v>43011.60429398148</v>
      </c>
      <c r="G103" s="7">
        <v>78</v>
      </c>
      <c r="H103" s="21" t="s">
        <v>442</v>
      </c>
      <c r="I103" s="13">
        <v>43011.629988425928</v>
      </c>
      <c r="J103" s="7">
        <v>0</v>
      </c>
      <c r="K103" s="85" t="str">
        <f t="shared" si="41"/>
        <v>4011/4012</v>
      </c>
      <c r="L103" s="179" t="str">
        <f>VLOOKUP(A103,'Trips&amp;Operators'!$C$1:$G$99911,5,FALSE)</f>
        <v>SMITH MICHAEL</v>
      </c>
      <c r="M103" s="6">
        <f t="shared" si="42"/>
        <v>2.5694444448163267E-2</v>
      </c>
      <c r="N103" s="7">
        <f t="shared" si="59"/>
        <v>37.000000005355105</v>
      </c>
      <c r="O103" s="7"/>
      <c r="P103" s="7"/>
      <c r="Q103" s="22"/>
      <c r="R103" s="169"/>
      <c r="S103" s="202">
        <f t="shared" si="58"/>
        <v>1</v>
      </c>
      <c r="T103" s="169" t="str">
        <f t="shared" si="43"/>
        <v>NorthBound</v>
      </c>
      <c r="U103" s="22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2" t="str">
        <f t="shared" si="44"/>
        <v>https://d0f6bd738d7f1b3e5a7ca70fe4ff75f0.us-east-1.aws.found.io/app/kibana#/discover/Steve-Slow-Train-Analysis-(2080s-and-2083s)?_g=(refreshInterval:(display:Off,pause:!f,section:0,value:0),time:(from:'2017-10-03T13:22:31-0600',mode:absolute,to:'2017-10-03T16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223" t="str">
        <f>IF(AA103&lt;VLOOKUP(AG103,Variables!$AC$3:$AD$8,2,FALSE),"Y","N")</f>
        <v>N</v>
      </c>
      <c r="X103" s="223">
        <f t="shared" si="45"/>
        <v>1</v>
      </c>
      <c r="Y103" s="223">
        <f t="shared" si="46"/>
        <v>4.7800000000000002E-2</v>
      </c>
      <c r="Z103" s="223">
        <f t="shared" si="47"/>
        <v>23.330400000000001</v>
      </c>
      <c r="AA103" s="223">
        <f t="shared" si="48"/>
        <v>23.282600000000002</v>
      </c>
      <c r="AB103" s="224" t="e">
        <f>VLOOKUP(A103,Enforcements!$C$7:$K$11,8,0)</f>
        <v>#N/A</v>
      </c>
      <c r="AC103" s="224" t="e">
        <f>VLOOKUP(A103,Enforcements!$C$7:$E$11,3,0)</f>
        <v>#N/A</v>
      </c>
      <c r="AD103" s="225">
        <f t="shared" si="49"/>
        <v>187</v>
      </c>
      <c r="AE103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103" s="227" t="str">
        <f t="shared" si="51"/>
        <v>"C:\Program Files (x86)\AstroGrep\AstroGrep.exe" /e /r /s /spath="%USERPROFILE%\AppData\Local\Temp\OnboardLogs" /stypes="app*4012*20171003*" /stext=" 21:.+((SYSTEM_STATE.+slice.+state.+changed )|(ment ac)|(multiple cpu faults)|(system.+state.+changed )|(\[timeout)|(PRM\|1\|D)|(kpr)|(kdp)|(train st.+moving)|(\|lc)|(penalty))"</v>
      </c>
      <c r="AG103" s="228" t="str">
        <f t="shared" si="52"/>
        <v>EC</v>
      </c>
      <c r="AH103" s="229" t="str">
        <f t="shared" si="53"/>
        <v>"%USERPROFILE%\Documents\GitHub\eaglep3\Utilities\RefineRTDCRunTimes.py" --tripid 187-03 --locoid 4012 --swversion DE.1.0.9.0 --startMP 204:478 --initTime 2017-10-03T14:22:31 --startdatetime 2017-10-03T14:30:11 --delay 78 --endMP 204:233304 --enddatetime 2017-10-03T15:07:11 --enforcementcount 0 &gt;&gt;%USERPROFILE%\Documents\GitHub\eaglep3-reporting\EC\2017-10-03-refined-times.txt</v>
      </c>
      <c r="AI10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{"issue":{"subject":"","project_id":79,"tracker_id":40,"status_id":1,"priority_id":2,"assigned_to_id":338,"start_date":"2017-10-03","description":"","custom_fields":[{"id":1,"name":"Subdivision","value":"EC"},{"id":4,"name":"Milepost","value":"23.3304"},{"id":17,"name":"Train ID","value":"187-03"},{"id":16,"name":"Locomotive ID","value":"4012"},{"id":130,"name":"Impact","value":""},{"id":150,"name":"Time of Event (Mountain Time)","value":"15:07:11"},{"id":151,"name":"Denver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10"/>
      <c r="AK103" s="225"/>
      <c r="AL103" s="225"/>
      <c r="AM103" s="231" t="str">
        <f t="shared" si="55"/>
        <v>start /low /b %USERPROFILE%\Documents\GitHub\eaglep3\Utilities\DownloadLogsFromS3.py --loco 4012 --day 2017-10-03</v>
      </c>
      <c r="AN10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10" t="str">
        <f t="shared" si="57"/>
        <v>https://d0f6bd738d7f1b3e5a7ca70fe4ff75f0.us-east-1.aws.found.io/app/kibana#/discover/Steve-Slow-Train-Analysis-(2080s-and-2083s)?_g=(refreshInterval:(display:Off,pause:!f,section:0,value:0),time:(from:'2017-10-03T13:22:31-0600',mode:absolute,to:'2017-10-03T16:07:11-0600'))&amp;_a=(columns:!('Message%20ID',Summary),filters:!(),index:'emp_*',interval:auto,query:(query_string:(analyze_wildcard:!t,query:'%22rtdc.l.rtdc.4012%22')),sort:!(Time.ISO8601,asc))</v>
      </c>
      <c r="AP103" s="210"/>
      <c r="AQ103" s="210"/>
      <c r="AR103" s="210"/>
      <c r="AS103" s="210"/>
      <c r="AT103" s="210"/>
      <c r="AU103" s="210"/>
      <c r="AV103" s="210"/>
      <c r="AW103" s="210"/>
      <c r="AX103" s="210"/>
      <c r="AY103" s="210"/>
      <c r="AZ103" s="210"/>
      <c r="BA103" s="210"/>
      <c r="BB103" s="210"/>
      <c r="BC103" s="210"/>
      <c r="BD103" s="210"/>
      <c r="BE103" s="210"/>
      <c r="BF103" s="210"/>
      <c r="BG103" s="210"/>
      <c r="BH103" s="210"/>
      <c r="BI103" s="210"/>
      <c r="BJ103" s="210"/>
      <c r="BK103" s="210"/>
      <c r="BL103" s="210"/>
      <c r="BM103" s="210"/>
      <c r="BN103" s="210"/>
      <c r="BO103" s="210"/>
      <c r="BP103" s="210"/>
      <c r="BQ103" s="210"/>
      <c r="BR103" s="210"/>
      <c r="BS103" s="210"/>
      <c r="BT103" s="210"/>
      <c r="BU103" s="210"/>
      <c r="BV103" s="210"/>
      <c r="BW103" s="210"/>
      <c r="BX103" s="210"/>
      <c r="BY103" s="210"/>
      <c r="BZ103" s="210"/>
      <c r="CA103" s="210"/>
      <c r="CB103" s="210"/>
      <c r="CC103" s="210"/>
      <c r="CD103" s="210"/>
      <c r="CE103" s="210"/>
      <c r="CF103" s="210"/>
      <c r="CG103" s="210"/>
      <c r="CH103" s="210"/>
      <c r="CI103" s="210"/>
      <c r="CJ103" s="210"/>
      <c r="CK103" s="210"/>
      <c r="CL103" s="210"/>
      <c r="CM103" s="210"/>
    </row>
    <row r="104" spans="1:91" s="20" customFormat="1" x14ac:dyDescent="0.25">
      <c r="A104" s="32" t="s">
        <v>756</v>
      </c>
      <c r="B104" s="7">
        <v>4011</v>
      </c>
      <c r="C104" s="21" t="s">
        <v>194</v>
      </c>
      <c r="D104" s="21" t="s">
        <v>887</v>
      </c>
      <c r="E104" s="13">
        <v>43011.635127314818</v>
      </c>
      <c r="F104" s="13">
        <v>43011.64398148148</v>
      </c>
      <c r="G104" s="7">
        <v>97</v>
      </c>
      <c r="H104" s="21" t="s">
        <v>519</v>
      </c>
      <c r="I104" s="13">
        <v>43011.670162037037</v>
      </c>
      <c r="J104" s="7">
        <v>0</v>
      </c>
      <c r="K104" s="85" t="str">
        <f t="shared" si="41"/>
        <v>4011/4012</v>
      </c>
      <c r="L104" s="179" t="str">
        <f>VLOOKUP(A104,'Trips&amp;Operators'!$C$1:$G$99911,5,FALSE)</f>
        <v>SMITH MICHAEL</v>
      </c>
      <c r="M104" s="6">
        <f t="shared" si="42"/>
        <v>2.6180555556493346E-2</v>
      </c>
      <c r="N104" s="7">
        <f t="shared" si="59"/>
        <v>37.700000001350418</v>
      </c>
      <c r="O104" s="7"/>
      <c r="P104" s="7"/>
      <c r="Q104" s="22"/>
      <c r="R104" s="169"/>
      <c r="S104" s="202">
        <f t="shared" si="58"/>
        <v>1</v>
      </c>
      <c r="T104" s="169" t="str">
        <f t="shared" si="43"/>
        <v>Southbound</v>
      </c>
      <c r="U104" s="22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2" t="str">
        <f t="shared" si="44"/>
        <v>https://d0f6bd738d7f1b3e5a7ca70fe4ff75f0.us-east-1.aws.found.io/app/kibana#/discover/Steve-Slow-Train-Analysis-(2080s-and-2083s)?_g=(refreshInterval:(display:Off,pause:!f,section:0,value:0),time:(from:'2017-10-03T14:14:35-0600',mode:absolute,to:'2017-10-03T17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223" t="str">
        <f>IF(AA104&lt;VLOOKUP(AG104,Variables!$AC$3:$AD$8,2,FALSE),"Y","N")</f>
        <v>N</v>
      </c>
      <c r="X104" s="223">
        <f t="shared" si="45"/>
        <v>1</v>
      </c>
      <c r="Y104" s="223">
        <f t="shared" si="46"/>
        <v>23.300599999999999</v>
      </c>
      <c r="Z104" s="223">
        <f t="shared" si="47"/>
        <v>1.6E-2</v>
      </c>
      <c r="AA104" s="223">
        <f t="shared" si="48"/>
        <v>23.284600000000001</v>
      </c>
      <c r="AB104" s="224" t="e">
        <f>VLOOKUP(A104,Enforcements!$C$7:$K$11,8,0)</f>
        <v>#N/A</v>
      </c>
      <c r="AC104" s="224" t="e">
        <f>VLOOKUP(A104,Enforcements!$C$7:$E$11,3,0)</f>
        <v>#N/A</v>
      </c>
      <c r="AD104" s="225">
        <f t="shared" si="49"/>
        <v>188</v>
      </c>
      <c r="AE104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104" s="227" t="str">
        <f t="shared" si="51"/>
        <v>"C:\Program Files (x86)\AstroGrep\AstroGrep.exe" /e /r /s /spath="%USERPROFILE%\AppData\Local\Temp\OnboardLogs" /stypes="app*4011*20171003*" /stext=" 22:.+((SYSTEM_STATE.+slice.+state.+changed )|(ment ac)|(multiple cpu faults)|(system.+state.+changed )|(\[timeout)|(PRM\|1\|D)|(kpr)|(kdp)|(train st.+moving)|(\|lc)|(penalty))"</v>
      </c>
      <c r="AG104" s="228" t="str">
        <f t="shared" si="52"/>
        <v>EC</v>
      </c>
      <c r="AH104" s="229" t="str">
        <f t="shared" si="53"/>
        <v>"%USERPROFILE%\Documents\GitHub\eaglep3\Utilities\RefineRTDCRunTimes.py" --tripid 188-03 --locoid 4011 --swversion DE.1.0.9.0 --startMP 204:233006 --initTime 2017-10-03T15:14:35 --startdatetime 2017-10-03T15:27:20 --delay 97 --endMP 204:160 --enddatetime 2017-10-03T16:05:02 --enforcementcount 0 &gt;&gt;%USERPROFILE%\Documents\GitHub\eaglep3-reporting\EC\2017-10-03-refined-times.txt</v>
      </c>
      <c r="AI10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ID","value":"188-03"},{"id":16,"name":"Locomotive ID","value":"4011"},{"id":130,"name":"Impact","value":""},{"id":150,"name":"Time of Event (Mountain Time)","value":"16:05:02"},{"id":151,"name":"Denver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10"/>
      <c r="AK104" s="225"/>
      <c r="AL104" s="225"/>
      <c r="AM104" s="231" t="str">
        <f t="shared" si="55"/>
        <v>start /low /b %USERPROFILE%\Documents\GitHub\eaglep3\Utilities\DownloadLogsFromS3.py --loco 4011 --day 2017-10-03</v>
      </c>
      <c r="AN104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10" t="str">
        <f t="shared" si="57"/>
        <v>https://d0f6bd738d7f1b3e5a7ca70fe4ff75f0.us-east-1.aws.found.io/app/kibana#/discover/Steve-Slow-Train-Analysis-(2080s-and-2083s)?_g=(refreshInterval:(display:Off,pause:!f,section:0,value:0),time:(from:'2017-10-03T14:14:35-0600',mode:absolute,to:'2017-10-03T17:05:02-0600'))&amp;_a=(columns:!('Message%20ID',Summary),filters:!(),index:'emp_*',interval:auto,query:(query_string:(analyze_wildcard:!t,query:'%22rtdc.l.rtdc.4011%22')),sort:!(Time.ISO8601,asc))</v>
      </c>
      <c r="AP104" s="210"/>
      <c r="AQ104" s="210"/>
      <c r="AR104" s="210"/>
      <c r="AS104" s="210"/>
      <c r="AT104" s="210"/>
      <c r="AU104" s="210"/>
      <c r="AV104" s="210"/>
      <c r="AW104" s="210"/>
      <c r="AX104" s="210"/>
      <c r="AY104" s="210"/>
      <c r="AZ104" s="210"/>
      <c r="BA104" s="210"/>
      <c r="BB104" s="210"/>
      <c r="BC104" s="210"/>
      <c r="BD104" s="210"/>
      <c r="BE104" s="210"/>
      <c r="BF104" s="210"/>
      <c r="BG104" s="210"/>
      <c r="BH104" s="210"/>
      <c r="BI104" s="210"/>
      <c r="BJ104" s="210"/>
      <c r="BK104" s="210"/>
      <c r="BL104" s="210"/>
      <c r="BM104" s="210"/>
      <c r="BN104" s="210"/>
      <c r="BO104" s="210"/>
      <c r="BP104" s="210"/>
      <c r="BQ104" s="210"/>
      <c r="BR104" s="210"/>
      <c r="BS104" s="210"/>
      <c r="BT104" s="210"/>
      <c r="BU104" s="210"/>
      <c r="BV104" s="210"/>
      <c r="BW104" s="210"/>
      <c r="BX104" s="210"/>
      <c r="BY104" s="210"/>
      <c r="BZ104" s="210"/>
      <c r="CA104" s="210"/>
      <c r="CB104" s="210"/>
      <c r="CC104" s="210"/>
      <c r="CD104" s="210"/>
      <c r="CE104" s="210"/>
      <c r="CF104" s="210"/>
      <c r="CG104" s="210"/>
      <c r="CH104" s="210"/>
      <c r="CI104" s="210"/>
      <c r="CJ104" s="210"/>
      <c r="CK104" s="210"/>
      <c r="CL104" s="210"/>
      <c r="CM104" s="210"/>
    </row>
    <row r="105" spans="1:91" s="20" customFormat="1" x14ac:dyDescent="0.25">
      <c r="A105" s="32" t="s">
        <v>749</v>
      </c>
      <c r="B105" s="7">
        <v>4032</v>
      </c>
      <c r="C105" s="21" t="s">
        <v>194</v>
      </c>
      <c r="D105" s="21" t="s">
        <v>381</v>
      </c>
      <c r="E105" s="13">
        <v>43011.609826388885</v>
      </c>
      <c r="F105" s="13">
        <v>43011.614768518521</v>
      </c>
      <c r="G105" s="7">
        <v>66</v>
      </c>
      <c r="H105" s="21" t="s">
        <v>555</v>
      </c>
      <c r="I105" s="13">
        <v>43011.639606481483</v>
      </c>
      <c r="J105" s="7">
        <v>0</v>
      </c>
      <c r="K105" s="85" t="str">
        <f t="shared" si="41"/>
        <v>4031/4032</v>
      </c>
      <c r="L105" s="179" t="str">
        <f>VLOOKUP(A105,'Trips&amp;Operators'!$C$1:$G$99911,5,FALSE)</f>
        <v>BRUDER RICHARD</v>
      </c>
      <c r="M105" s="6">
        <f t="shared" si="42"/>
        <v>2.4837962962919846E-2</v>
      </c>
      <c r="N105" s="7">
        <f t="shared" si="59"/>
        <v>35.766666666604578</v>
      </c>
      <c r="O105" s="7"/>
      <c r="P105" s="7"/>
      <c r="Q105" s="22"/>
      <c r="R105" s="169"/>
      <c r="S105" s="202">
        <f t="shared" si="58"/>
        <v>1</v>
      </c>
      <c r="T105" s="169" t="str">
        <f t="shared" si="43"/>
        <v>NorthBound</v>
      </c>
      <c r="U105" s="22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2" t="str">
        <f t="shared" si="44"/>
        <v>https://d0f6bd738d7f1b3e5a7ca70fe4ff75f0.us-east-1.aws.found.io/app/kibana#/discover/Steve-Slow-Train-Analysis-(2080s-and-2083s)?_g=(refreshInterval:(display:Off,pause:!f,section:0,value:0),time:(from:'2017-10-03T13:38:09-0600',mode:absolute,to:'2017-10-03T16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223" t="str">
        <f>IF(AA105&lt;VLOOKUP(AG105,Variables!$AC$3:$AD$8,2,FALSE),"Y","N")</f>
        <v>N</v>
      </c>
      <c r="X105" s="223">
        <f t="shared" si="45"/>
        <v>1</v>
      </c>
      <c r="Y105" s="223">
        <f t="shared" si="46"/>
        <v>4.5100000000000001E-2</v>
      </c>
      <c r="Z105" s="223">
        <f t="shared" si="47"/>
        <v>23.328199999999999</v>
      </c>
      <c r="AA105" s="223">
        <f t="shared" si="48"/>
        <v>23.283099999999997</v>
      </c>
      <c r="AB105" s="224" t="e">
        <f>VLOOKUP(A105,Enforcements!$C$7:$K$11,8,0)</f>
        <v>#N/A</v>
      </c>
      <c r="AC105" s="224" t="e">
        <f>VLOOKUP(A105,Enforcements!$C$7:$E$11,3,0)</f>
        <v>#N/A</v>
      </c>
      <c r="AD105" s="225">
        <f t="shared" si="49"/>
        <v>189</v>
      </c>
      <c r="AE105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05" s="227" t="str">
        <f t="shared" si="51"/>
        <v>"C:\Program Files (x86)\AstroGrep\AstroGrep.exe" /e /r /s /spath="%USERPROFILE%\AppData\Local\Temp\OnboardLogs" /stypes="app*4032*20171003*" /stext=" 21:.+((SYSTEM_STATE.+slice.+state.+changed )|(ment ac)|(multiple cpu faults)|(system.+state.+changed )|(\[timeout)|(PRM\|1\|D)|(kpr)|(kdp)|(train st.+moving)|(\|lc)|(penalty))"</v>
      </c>
      <c r="AG105" s="228" t="str">
        <f t="shared" si="52"/>
        <v>EC</v>
      </c>
      <c r="AH105" s="229" t="str">
        <f t="shared" si="53"/>
        <v>"%USERPROFILE%\Documents\GitHub\eaglep3\Utilities\RefineRTDCRunTimes.py" --tripid 189-03 --locoid 4032 --swversion DE.1.0.9.0 --startMP 204:451 --initTime 2017-10-03T14:38:09 --startdatetime 2017-10-03T14:45:16 --delay 66 --endMP 204:233282 --enddatetime 2017-10-03T15:21:02 --enforcementcount 0 &gt;&gt;%USERPROFILE%\Documents\GitHub\eaglep3-reporting\EC\2017-10-03-refined-times.txt</v>
      </c>
      <c r="AI10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{"issue":{"subject":"","project_id":79,"tracker_id":40,"status_id":1,"priority_id":2,"assigned_to_id":338,"start_date":"2017-10-03","description":"","custom_fields":[{"id":1,"name":"Subdivision","value":"EC"},{"id":4,"name":"Milepost","value":"23.3282"},{"id":17,"name":"Train ID","value":"189-03"},{"id":16,"name":"Locomotive ID","value":"4032"},{"id":130,"name":"Impact","value":""},{"id":150,"name":"Time of Event (Mountain Time)","value":"15:21:02"},{"id":151,"name":"Denver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10"/>
      <c r="AK105" s="225"/>
      <c r="AL105" s="225"/>
      <c r="AM105" s="231" t="str">
        <f t="shared" si="55"/>
        <v>start /low /b %USERPROFILE%\Documents\GitHub\eaglep3\Utilities\DownloadLogsFromS3.py --loco 4032 --day 2017-10-03</v>
      </c>
      <c r="AN10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10" t="str">
        <f t="shared" si="57"/>
        <v>https://d0f6bd738d7f1b3e5a7ca70fe4ff75f0.us-east-1.aws.found.io/app/kibana#/discover/Steve-Slow-Train-Analysis-(2080s-and-2083s)?_g=(refreshInterval:(display:Off,pause:!f,section:0,value:0),time:(from:'2017-10-03T13:38:09-0600',mode:absolute,to:'2017-10-03T16:21:02-0600'))&amp;_a=(columns:!('Message%20ID',Summary),filters:!(),index:'emp_*',interval:auto,query:(query_string:(analyze_wildcard:!t,query:'%22rtdc.l.rtdc.4032%22')),sort:!(Time.ISO8601,asc))</v>
      </c>
      <c r="AP105" s="210"/>
      <c r="AQ105" s="210"/>
      <c r="AR105" s="210"/>
      <c r="AS105" s="210"/>
      <c r="AT105" s="210"/>
      <c r="AU105" s="210"/>
      <c r="AV105" s="210"/>
      <c r="AW105" s="210"/>
      <c r="AX105" s="210"/>
      <c r="AY105" s="210"/>
      <c r="AZ105" s="210"/>
      <c r="BA105" s="210"/>
      <c r="BB105" s="210"/>
      <c r="BC105" s="210"/>
      <c r="BD105" s="210"/>
      <c r="BE105" s="210"/>
      <c r="BF105" s="210"/>
      <c r="BG105" s="210"/>
      <c r="BH105" s="210"/>
      <c r="BI105" s="210"/>
      <c r="BJ105" s="210"/>
      <c r="BK105" s="210"/>
      <c r="BL105" s="210"/>
      <c r="BM105" s="210"/>
      <c r="BN105" s="210"/>
      <c r="BO105" s="210"/>
      <c r="BP105" s="210"/>
      <c r="BQ105" s="210"/>
      <c r="BR105" s="210"/>
      <c r="BS105" s="210"/>
      <c r="BT105" s="210"/>
      <c r="BU105" s="210"/>
      <c r="BV105" s="210"/>
      <c r="BW105" s="210"/>
      <c r="BX105" s="210"/>
      <c r="BY105" s="210"/>
      <c r="BZ105" s="210"/>
      <c r="CA105" s="210"/>
      <c r="CB105" s="210"/>
      <c r="CC105" s="210"/>
      <c r="CD105" s="210"/>
      <c r="CE105" s="210"/>
      <c r="CF105" s="210"/>
      <c r="CG105" s="210"/>
      <c r="CH105" s="210"/>
      <c r="CI105" s="210"/>
      <c r="CJ105" s="210"/>
      <c r="CK105" s="210"/>
      <c r="CL105" s="210"/>
      <c r="CM105" s="210"/>
    </row>
    <row r="106" spans="1:91" s="20" customFormat="1" x14ac:dyDescent="0.25">
      <c r="A106" s="32" t="s">
        <v>760</v>
      </c>
      <c r="B106" s="7">
        <v>4031</v>
      </c>
      <c r="C106" s="21" t="s">
        <v>194</v>
      </c>
      <c r="D106" s="21" t="s">
        <v>365</v>
      </c>
      <c r="E106" s="13">
        <v>43011.650856481479</v>
      </c>
      <c r="F106" s="13">
        <v>43011.654328703706</v>
      </c>
      <c r="G106" s="7">
        <v>69</v>
      </c>
      <c r="H106" s="21" t="s">
        <v>340</v>
      </c>
      <c r="I106" s="13">
        <v>43011.679340277777</v>
      </c>
      <c r="J106" s="7">
        <v>0</v>
      </c>
      <c r="K106" s="85" t="str">
        <f t="shared" si="41"/>
        <v>4031/4032</v>
      </c>
      <c r="L106" s="179" t="str">
        <f>VLOOKUP(A106,'Trips&amp;Operators'!$C$1:$G$99911,5,FALSE)</f>
        <v>BRUDER RICHARD</v>
      </c>
      <c r="M106" s="6">
        <f t="shared" si="42"/>
        <v>2.5011574070958886E-2</v>
      </c>
      <c r="N106" s="7">
        <f t="shared" si="59"/>
        <v>36.016666662180796</v>
      </c>
      <c r="O106" s="7"/>
      <c r="P106" s="7"/>
      <c r="Q106" s="22"/>
      <c r="R106" s="169"/>
      <c r="S106" s="202">
        <f t="shared" si="58"/>
        <v>1</v>
      </c>
      <c r="T106" s="169" t="str">
        <f t="shared" si="43"/>
        <v>Southbound</v>
      </c>
      <c r="U106" s="22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2" t="str">
        <f t="shared" si="44"/>
        <v>https://d0f6bd738d7f1b3e5a7ca70fe4ff75f0.us-east-1.aws.found.io/app/kibana#/discover/Steve-Slow-Train-Analysis-(2080s-and-2083s)?_g=(refreshInterval:(display:Off,pause:!f,section:0,value:0),time:(from:'2017-10-03T14:37:14-0600',mode:absolute,to:'2017-10-03T17:18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223" t="str">
        <f>IF(AA106&lt;VLOOKUP(AG106,Variables!$AC$3:$AD$8,2,FALSE),"Y","N")</f>
        <v>N</v>
      </c>
      <c r="X106" s="223">
        <f t="shared" si="45"/>
        <v>1</v>
      </c>
      <c r="Y106" s="223">
        <f t="shared" si="46"/>
        <v>23.297699999999999</v>
      </c>
      <c r="Z106" s="223">
        <f t="shared" si="47"/>
        <v>1.47E-2</v>
      </c>
      <c r="AA106" s="223">
        <f t="shared" si="48"/>
        <v>23.282999999999998</v>
      </c>
      <c r="AB106" s="224" t="e">
        <f>VLOOKUP(A106,Enforcements!$C$7:$K$11,8,0)</f>
        <v>#N/A</v>
      </c>
      <c r="AC106" s="224" t="e">
        <f>VLOOKUP(A106,Enforcements!$C$7:$E$11,3,0)</f>
        <v>#N/A</v>
      </c>
      <c r="AD106" s="225">
        <f t="shared" si="49"/>
        <v>190</v>
      </c>
      <c r="AE106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06" s="227" t="str">
        <f t="shared" si="51"/>
        <v>"C:\Program Files (x86)\AstroGrep\AstroGrep.exe" /e /r /s /spath="%USERPROFILE%\AppData\Local\Temp\OnboardLogs" /stypes="app*4031*20171003*" /stext=" 22:.+((SYSTEM_STATE.+slice.+state.+changed )|(ment ac)|(multiple cpu faults)|(system.+state.+changed )|(\[timeout)|(PRM\|1\|D)|(kpr)|(kdp)|(train st.+moving)|(\|lc)|(penalty))"</v>
      </c>
      <c r="AG106" s="228" t="str">
        <f t="shared" si="52"/>
        <v>EC</v>
      </c>
      <c r="AH106" s="229" t="str">
        <f t="shared" si="53"/>
        <v>"%USERPROFILE%\Documents\GitHub\eaglep3\Utilities\RefineRTDCRunTimes.py" --tripid 190-03 --locoid 4031 --swversion DE.1.0.9.0 --startMP 204:232977 --initTime 2017-10-03T15:37:14 --startdatetime 2017-10-03T15:42:14 --delay 69 --endMP 204:147 --enddatetime 2017-10-03T16:18:15 --enforcementcount 0 &gt;&gt;%USERPROFILE%\Documents\GitHub\eaglep3-reporting\EC\2017-10-03-refined-times.txt</v>
      </c>
      <c r="AI10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ID","value":"190-03"},{"id":16,"name":"Locomotive ID","value":"4031"},{"id":130,"name":"Impact","value":""},{"id":150,"name":"Time of Event (Mountain Time)","value":"16:18:15"},{"id":151,"name":"Denver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10"/>
      <c r="AK106" s="225"/>
      <c r="AL106" s="225"/>
      <c r="AM106" s="231" t="str">
        <f t="shared" si="55"/>
        <v>start /low /b %USERPROFILE%\Documents\GitHub\eaglep3\Utilities\DownloadLogsFromS3.py --loco 4031 --day 2017-10-03</v>
      </c>
      <c r="AN10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10" t="str">
        <f t="shared" si="57"/>
        <v>https://d0f6bd738d7f1b3e5a7ca70fe4ff75f0.us-east-1.aws.found.io/app/kibana#/discover/Steve-Slow-Train-Analysis-(2080s-and-2083s)?_g=(refreshInterval:(display:Off,pause:!f,section:0,value:0),time:(from:'2017-10-03T14:37:14-0600',mode:absolute,to:'2017-10-03T17:18:15-0600'))&amp;_a=(columns:!('Message%20ID',Summary),filters:!(),index:'emp_*',interval:auto,query:(query_string:(analyze_wildcard:!t,query:'%22rtdc.l.rtdc.4031%22')),sort:!(Time.ISO8601,asc))</v>
      </c>
      <c r="AP106" s="210"/>
      <c r="AQ106" s="210"/>
      <c r="AR106" s="210"/>
      <c r="AS106" s="210"/>
      <c r="AT106" s="210"/>
      <c r="AU106" s="210"/>
      <c r="AV106" s="210"/>
      <c r="AW106" s="210"/>
      <c r="AX106" s="210"/>
      <c r="AY106" s="210"/>
      <c r="AZ106" s="210"/>
      <c r="BA106" s="210"/>
      <c r="BB106" s="210"/>
      <c r="BC106" s="210"/>
      <c r="BD106" s="210"/>
      <c r="BE106" s="210"/>
      <c r="BF106" s="210"/>
      <c r="BG106" s="210"/>
      <c r="BH106" s="210"/>
      <c r="BI106" s="210"/>
      <c r="BJ106" s="210"/>
      <c r="BK106" s="210"/>
      <c r="BL106" s="210"/>
      <c r="BM106" s="210"/>
      <c r="BN106" s="210"/>
      <c r="BO106" s="210"/>
      <c r="BP106" s="210"/>
      <c r="BQ106" s="210"/>
      <c r="BR106" s="210"/>
      <c r="BS106" s="210"/>
      <c r="BT106" s="210"/>
      <c r="BU106" s="210"/>
      <c r="BV106" s="210"/>
      <c r="BW106" s="210"/>
      <c r="BX106" s="210"/>
      <c r="BY106" s="210"/>
      <c r="BZ106" s="210"/>
      <c r="CA106" s="210"/>
      <c r="CB106" s="210"/>
      <c r="CC106" s="210"/>
      <c r="CD106" s="210"/>
      <c r="CE106" s="210"/>
      <c r="CF106" s="210"/>
      <c r="CG106" s="210"/>
      <c r="CH106" s="210"/>
      <c r="CI106" s="210"/>
      <c r="CJ106" s="210"/>
      <c r="CK106" s="210"/>
      <c r="CL106" s="210"/>
      <c r="CM106" s="210"/>
    </row>
    <row r="107" spans="1:91" s="20" customFormat="1" x14ac:dyDescent="0.25">
      <c r="A107" s="32" t="s">
        <v>751</v>
      </c>
      <c r="B107" s="7">
        <v>4056</v>
      </c>
      <c r="C107" s="21" t="s">
        <v>194</v>
      </c>
      <c r="D107" s="21" t="s">
        <v>443</v>
      </c>
      <c r="E107" s="13">
        <v>43011.62027777778</v>
      </c>
      <c r="F107" s="13">
        <v>43011.625219907408</v>
      </c>
      <c r="G107" s="7">
        <v>56</v>
      </c>
      <c r="H107" s="21" t="s">
        <v>445</v>
      </c>
      <c r="I107" s="13">
        <v>43011.650995370372</v>
      </c>
      <c r="J107" s="7">
        <v>0</v>
      </c>
      <c r="K107" s="85" t="str">
        <f t="shared" si="41"/>
        <v>4055/4056</v>
      </c>
      <c r="L107" s="179" t="str">
        <f>VLOOKUP(A107,'Trips&amp;Operators'!$C$1:$G$99911,5,FALSE)</f>
        <v>DAVIDSON DAVID</v>
      </c>
      <c r="M107" s="6">
        <f t="shared" si="42"/>
        <v>2.5775462963792961E-2</v>
      </c>
      <c r="N107" s="7">
        <f t="shared" si="59"/>
        <v>37.116666667861864</v>
      </c>
      <c r="O107" s="7"/>
      <c r="P107" s="7"/>
      <c r="Q107" s="22"/>
      <c r="R107" s="169"/>
      <c r="S107" s="202">
        <f t="shared" si="58"/>
        <v>1</v>
      </c>
      <c r="T107" s="169" t="str">
        <f t="shared" si="43"/>
        <v>NorthBound</v>
      </c>
      <c r="U107" s="22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2" t="str">
        <f t="shared" si="44"/>
        <v>https://d0f6bd738d7f1b3e5a7ca70fe4ff75f0.us-east-1.aws.found.io/app/kibana#/discover/Steve-Slow-Train-Analysis-(2080s-and-2083s)?_g=(refreshInterval:(display:Off,pause:!f,section:0,value:0),time:(from:'2017-10-03T13:53:12-0600',mode:absolute,to:'2017-10-03T16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23" t="str">
        <f>IF(AA107&lt;VLOOKUP(AG107,Variables!$AC$3:$AD$8,2,FALSE),"Y","N")</f>
        <v>N</v>
      </c>
      <c r="X107" s="223">
        <f t="shared" si="45"/>
        <v>1</v>
      </c>
      <c r="Y107" s="223">
        <f t="shared" si="46"/>
        <v>4.7699999999999999E-2</v>
      </c>
      <c r="Z107" s="223">
        <f t="shared" si="47"/>
        <v>23.3291</v>
      </c>
      <c r="AA107" s="223">
        <f t="shared" si="48"/>
        <v>23.281400000000001</v>
      </c>
      <c r="AB107" s="224" t="e">
        <f>VLOOKUP(A107,Enforcements!$C$7:$K$11,8,0)</f>
        <v>#N/A</v>
      </c>
      <c r="AC107" s="224" t="e">
        <f>VLOOKUP(A107,Enforcements!$C$7:$E$11,3,0)</f>
        <v>#N/A</v>
      </c>
      <c r="AD107" s="225">
        <f t="shared" si="49"/>
        <v>191</v>
      </c>
      <c r="AE107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07" s="227" t="str">
        <f t="shared" si="51"/>
        <v>"C:\Program Files (x86)\AstroGrep\AstroGrep.exe" /e /r /s /spath="%USERPROFILE%\AppData\Local\Temp\OnboardLogs" /stypes="app*4056*20171003*" /stext=" 21:.+((SYSTEM_STATE.+slice.+state.+changed )|(ment ac)|(multiple cpu faults)|(system.+state.+changed )|(\[timeout)|(PRM\|1\|D)|(kpr)|(kdp)|(train st.+moving)|(\|lc)|(penalty))"</v>
      </c>
      <c r="AG107" s="228" t="str">
        <f t="shared" si="52"/>
        <v>EC</v>
      </c>
      <c r="AH107" s="229" t="str">
        <f t="shared" si="53"/>
        <v>"%USERPROFILE%\Documents\GitHub\eaglep3\Utilities\RefineRTDCRunTimes.py" --tripid 191-03 --locoid 4056 --swversion DE.1.0.9.0 --startMP 204:477 --initTime 2017-10-03T14:53:12 --startdatetime 2017-10-03T15:00:19 --delay 56 --endMP 204:233291 --enddatetime 2017-10-03T15:37:26 --enforcementcount 0 &gt;&gt;%USERPROFILE%\Documents\GitHub\eaglep3-reporting\EC\2017-10-03-refined-times.txt</v>
      </c>
      <c r="AI10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{"issue":{"subject":"","project_id":79,"tracker_id":40,"status_id":1,"priority_id":2,"assigned_to_id":338,"start_date":"2017-10-03","description":"","custom_fields":[{"id":1,"name":"Subdivision","value":"EC"},{"id":4,"name":"Milepost","value":"23.3291"},{"id":17,"name":"Train ID","value":"191-03"},{"id":16,"name":"Locomotive ID","value":"4056"},{"id":130,"name":"Impact","value":""},{"id":150,"name":"Time of Event (Mountain Time)","value":"15:37:26"},{"id":151,"name":"Denver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10"/>
      <c r="AK107" s="225"/>
      <c r="AL107" s="225"/>
      <c r="AM107" s="231" t="str">
        <f t="shared" si="55"/>
        <v>start /low /b %USERPROFILE%\Documents\GitHub\eaglep3\Utilities\DownloadLogsFromS3.py --loco 4056 --day 2017-10-03</v>
      </c>
      <c r="AN10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10" t="str">
        <f t="shared" si="57"/>
        <v>https://d0f6bd738d7f1b3e5a7ca70fe4ff75f0.us-east-1.aws.found.io/app/kibana#/discover/Steve-Slow-Train-Analysis-(2080s-and-2083s)?_g=(refreshInterval:(display:Off,pause:!f,section:0,value:0),time:(from:'2017-10-03T13:53:12-0600',mode:absolute,to:'2017-10-03T16:37:26-0600'))&amp;_a=(columns:!('Message%20ID',Summary),filters:!(),index:'emp_*',interval:auto,query:(query_string:(analyze_wildcard:!t,query:'%22rtdc.l.rtdc.4056%22')),sort:!(Time.ISO8601,asc))</v>
      </c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  <c r="BM107" s="210"/>
      <c r="BN107" s="210"/>
      <c r="BO107" s="210"/>
      <c r="BP107" s="210"/>
      <c r="BQ107" s="210"/>
      <c r="BR107" s="210"/>
      <c r="BS107" s="210"/>
      <c r="BT107" s="210"/>
      <c r="BU107" s="210"/>
      <c r="BV107" s="210"/>
      <c r="BW107" s="210"/>
      <c r="BX107" s="210"/>
      <c r="BY107" s="210"/>
      <c r="BZ107" s="210"/>
      <c r="CA107" s="210"/>
      <c r="CB107" s="210"/>
      <c r="CC107" s="210"/>
      <c r="CD107" s="210"/>
      <c r="CE107" s="210"/>
      <c r="CF107" s="210"/>
      <c r="CG107" s="210"/>
      <c r="CH107" s="210"/>
      <c r="CI107" s="210"/>
      <c r="CJ107" s="210"/>
      <c r="CK107" s="210"/>
      <c r="CL107" s="210"/>
      <c r="CM107" s="210"/>
    </row>
    <row r="108" spans="1:91" s="20" customFormat="1" x14ac:dyDescent="0.25">
      <c r="A108" s="32" t="s">
        <v>761</v>
      </c>
      <c r="B108" s="7">
        <v>4055</v>
      </c>
      <c r="C108" s="21" t="s">
        <v>194</v>
      </c>
      <c r="D108" s="21" t="s">
        <v>456</v>
      </c>
      <c r="E108" s="13">
        <v>43011.652581018519</v>
      </c>
      <c r="F108" s="13">
        <v>43011.664780092593</v>
      </c>
      <c r="G108" s="7">
        <v>56</v>
      </c>
      <c r="H108" s="21" t="s">
        <v>337</v>
      </c>
      <c r="I108" s="13">
        <v>43011.692013888889</v>
      </c>
      <c r="J108" s="7">
        <v>0</v>
      </c>
      <c r="K108" s="85" t="str">
        <f t="shared" si="41"/>
        <v>4055/4056</v>
      </c>
      <c r="L108" s="179" t="str">
        <f>VLOOKUP(A108,'Trips&amp;Operators'!$C$1:$G$99911,5,FALSE)</f>
        <v>DAVIDSON DAVID</v>
      </c>
      <c r="M108" s="6">
        <f t="shared" si="42"/>
        <v>2.7233796296059154E-2</v>
      </c>
      <c r="N108" s="7">
        <f t="shared" si="59"/>
        <v>39.216666666325182</v>
      </c>
      <c r="O108" s="7"/>
      <c r="P108" s="7"/>
      <c r="Q108" s="22"/>
      <c r="R108" s="169"/>
      <c r="S108" s="202">
        <f t="shared" si="58"/>
        <v>1</v>
      </c>
      <c r="T108" s="169" t="str">
        <f t="shared" si="43"/>
        <v>Southbound</v>
      </c>
      <c r="U108" s="22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2" t="str">
        <f t="shared" si="44"/>
        <v>https://d0f6bd738d7f1b3e5a7ca70fe4ff75f0.us-east-1.aws.found.io/app/kibana#/discover/Steve-Slow-Train-Analysis-(2080s-and-2083s)?_g=(refreshInterval:(display:Off,pause:!f,section:0,value:0),time:(from:'2017-10-03T14:39:43-0600',mode:absolute,to:'2017-10-03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23" t="str">
        <f>IF(AA108&lt;VLOOKUP(AG108,Variables!$AC$3:$AD$8,2,FALSE),"Y","N")</f>
        <v>N</v>
      </c>
      <c r="X108" s="223">
        <f t="shared" si="45"/>
        <v>1</v>
      </c>
      <c r="Y108" s="223">
        <f t="shared" si="46"/>
        <v>23.299099999999999</v>
      </c>
      <c r="Z108" s="223">
        <f t="shared" si="47"/>
        <v>1.43E-2</v>
      </c>
      <c r="AA108" s="223">
        <f t="shared" si="48"/>
        <v>23.284800000000001</v>
      </c>
      <c r="AB108" s="224" t="e">
        <f>VLOOKUP(A108,Enforcements!$C$7:$K$11,8,0)</f>
        <v>#N/A</v>
      </c>
      <c r="AC108" s="224" t="e">
        <f>VLOOKUP(A108,Enforcements!$C$7:$E$11,3,0)</f>
        <v>#N/A</v>
      </c>
      <c r="AD108" s="225">
        <f t="shared" si="49"/>
        <v>192</v>
      </c>
      <c r="AE108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08" s="227" t="str">
        <f t="shared" si="51"/>
        <v>"C:\Program Files (x86)\AstroGrep\AstroGrep.exe" /e /r /s /spath="%USERPROFILE%\AppData\Local\Temp\OnboardLogs" /stypes="app*4055*20171003*" /stext=" 22:.+((SYSTEM_STATE.+slice.+state.+changed )|(ment ac)|(multiple cpu faults)|(system.+state.+changed )|(\[timeout)|(PRM\|1\|D)|(kpr)|(kdp)|(train st.+moving)|(\|lc)|(penalty))"</v>
      </c>
      <c r="AG108" s="228" t="str">
        <f t="shared" si="52"/>
        <v>EC</v>
      </c>
      <c r="AH108" s="229" t="str">
        <f t="shared" si="53"/>
        <v>"%USERPROFILE%\Documents\GitHub\eaglep3\Utilities\RefineRTDCRunTimes.py" --tripid 192-03 --locoid 4055 --swversion DE.1.0.9.0 --startMP 204:232991 --initTime 2017-10-03T15:39:43 --startdatetime 2017-10-03T15:57:17 --delay 56 --endMP 204:143 --enddatetime 2017-10-03T16:36:30 --enforcementcount 0 &gt;&gt;%USERPROFILE%\Documents\GitHub\eaglep3-reporting\EC\2017-10-03-refined-times.txt</v>
      </c>
      <c r="AI10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ID","value":"192-03"},{"id":16,"name":"Locomotive ID","value":"4055"},{"id":130,"name":"Impact","value":""},{"id":150,"name":"Time of Event (Mountain Time)","value":"16:36:30"},{"id":151,"name":"Denver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10"/>
      <c r="AK108" s="225"/>
      <c r="AL108" s="225"/>
      <c r="AM108" s="231" t="str">
        <f t="shared" si="55"/>
        <v>start /low /b %USERPROFILE%\Documents\GitHub\eaglep3\Utilities\DownloadLogsFromS3.py --loco 4055 --day 2017-10-03</v>
      </c>
      <c r="AN10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10" t="str">
        <f t="shared" si="57"/>
        <v>https://d0f6bd738d7f1b3e5a7ca70fe4ff75f0.us-east-1.aws.found.io/app/kibana#/discover/Steve-Slow-Train-Analysis-(2080s-and-2083s)?_g=(refreshInterval:(display:Off,pause:!f,section:0,value:0),time:(from:'2017-10-03T14:39:43-0600',mode:absolute,to:'2017-10-03T17:36:30-0600'))&amp;_a=(columns:!('Message%20ID',Summary),filters:!(),index:'emp_*',interval:auto,query:(query_string:(analyze_wildcard:!t,query:'%22rtdc.l.rtdc.4055%22')),sort:!(Time.ISO8601,asc))</v>
      </c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  <c r="BM108" s="210"/>
      <c r="BN108" s="210"/>
      <c r="BO108" s="210"/>
      <c r="BP108" s="210"/>
      <c r="BQ108" s="210"/>
      <c r="BR108" s="210"/>
      <c r="BS108" s="210"/>
      <c r="BT108" s="210"/>
      <c r="BU108" s="210"/>
      <c r="BV108" s="210"/>
      <c r="BW108" s="210"/>
      <c r="BX108" s="210"/>
      <c r="BY108" s="210"/>
      <c r="BZ108" s="210"/>
      <c r="CA108" s="210"/>
      <c r="CB108" s="210"/>
      <c r="CC108" s="210"/>
      <c r="CD108" s="210"/>
      <c r="CE108" s="210"/>
      <c r="CF108" s="210"/>
      <c r="CG108" s="210"/>
      <c r="CH108" s="210"/>
      <c r="CI108" s="210"/>
      <c r="CJ108" s="210"/>
      <c r="CK108" s="210"/>
      <c r="CL108" s="210"/>
      <c r="CM108" s="210"/>
    </row>
    <row r="109" spans="1:91" s="20" customFormat="1" x14ac:dyDescent="0.25">
      <c r="A109" s="32" t="s">
        <v>753</v>
      </c>
      <c r="B109" s="7">
        <v>4060</v>
      </c>
      <c r="C109" s="21" t="s">
        <v>194</v>
      </c>
      <c r="D109" s="21" t="s">
        <v>457</v>
      </c>
      <c r="E109" s="13">
        <v>43011.630416666667</v>
      </c>
      <c r="F109" s="13">
        <v>43011.635613425926</v>
      </c>
      <c r="G109" s="7">
        <v>54</v>
      </c>
      <c r="H109" s="21" t="s">
        <v>507</v>
      </c>
      <c r="I109" s="13">
        <v>43011.660393518519</v>
      </c>
      <c r="J109" s="7">
        <v>0</v>
      </c>
      <c r="K109" s="85" t="str">
        <f t="shared" ref="K109:K140" si="60">IF(ISEVEN(B109),(B109-1)&amp;"/"&amp;B109,B109&amp;"/"&amp;(B109+1))</f>
        <v>4059/4060</v>
      </c>
      <c r="L109" s="179" t="str">
        <f>VLOOKUP(A109,'Trips&amp;Operators'!$C$1:$G$99911,5,FALSE)</f>
        <v>LEVIN SCOTT</v>
      </c>
      <c r="M109" s="6">
        <f t="shared" ref="M109:M140" si="61">I109-F109</f>
        <v>2.4780092593573499E-2</v>
      </c>
      <c r="N109" s="7">
        <f t="shared" si="59"/>
        <v>35.683333334745839</v>
      </c>
      <c r="O109" s="7"/>
      <c r="P109" s="7"/>
      <c r="Q109" s="22"/>
      <c r="R109" s="169"/>
      <c r="S109" s="202">
        <f t="shared" si="58"/>
        <v>1</v>
      </c>
      <c r="T109" s="169" t="str">
        <f t="shared" ref="T109:T140" si="62">IF(ISEVEN(LEFT(AD109,4)),"Southbound","NorthBound")</f>
        <v>NorthBound</v>
      </c>
      <c r="U109" s="22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2" t="str">
        <f t="shared" si="44"/>
        <v>https://d0f6bd738d7f1b3e5a7ca70fe4ff75f0.us-east-1.aws.found.io/app/kibana#/discover/Steve-Slow-Train-Analysis-(2080s-and-2083s)?_g=(refreshInterval:(display:Off,pause:!f,section:0,value:0),time:(from:'2017-10-03T14:07:48-0600',mode:absolute,to:'2017-10-03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9" s="223" t="str">
        <f>IF(AA109&lt;VLOOKUP(AG109,Variables!$AC$3:$AD$8,2,FALSE),"Y","N")</f>
        <v>N</v>
      </c>
      <c r="X109" s="223">
        <f t="shared" ref="X109:X140" si="63">VALUE(LEFT(AD109,4))-VALUE(LEFT(AD108,4))</f>
        <v>1</v>
      </c>
      <c r="Y109" s="223">
        <f t="shared" ref="Y109:Y140" si="64">RIGHT(D109,LEN(D109)-4)/10000</f>
        <v>4.7300000000000002E-2</v>
      </c>
      <c r="Z109" s="223">
        <f t="shared" ref="Z109:Z140" si="65">RIGHT(H109,LEN(H109)-4)/10000</f>
        <v>23.328900000000001</v>
      </c>
      <c r="AA109" s="223">
        <f t="shared" ref="AA109:AA140" si="66">ABS(Z109-Y109)</f>
        <v>23.281600000000001</v>
      </c>
      <c r="AB109" s="224" t="e">
        <f>VLOOKUP(A109,Enforcements!$C$7:$K$11,8,0)</f>
        <v>#N/A</v>
      </c>
      <c r="AC109" s="224" t="e">
        <f>VLOOKUP(A109,Enforcements!$C$7:$E$11,3,0)</f>
        <v>#N/A</v>
      </c>
      <c r="AD109" s="225">
        <f t="shared" ref="AD109:AD140" si="67">VALUE(LEFT(A109,LEN(A109)-3))</f>
        <v>193</v>
      </c>
      <c r="AE109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109" s="227" t="str">
        <f t="shared" si="51"/>
        <v>"C:\Program Files (x86)\AstroGrep\AstroGrep.exe" /e /r /s /spath="%USERPROFILE%\AppData\Local\Temp\OnboardLogs" /stypes="app*4060*20171003*" /stext=" 21:.+((SYSTEM_STATE.+slice.+state.+changed )|(ment ac)|(multiple cpu faults)|(system.+state.+changed )|(\[timeout)|(PRM\|1\|D)|(kpr)|(kdp)|(train st.+moving)|(\|lc)|(penalty))"</v>
      </c>
      <c r="AG109" s="228" t="str">
        <f t="shared" ref="AG109:AG140" si="68">DetSubdiv(A109)</f>
        <v>EC</v>
      </c>
      <c r="AH109" s="229" t="str">
        <f t="shared" si="53"/>
        <v>"%USERPROFILE%\Documents\GitHub\eaglep3\Utilities\RefineRTDCRunTimes.py" --tripid 193-03 --locoid 4060 --swversion DE.1.0.9.0 --startMP 204:473 --initTime 2017-10-03T15:07:48 --startdatetime 2017-10-03T15:15:17 --delay 54 --endMP 204:233289 --enddatetime 2017-10-03T15:50:58 --enforcementcount 0 &gt;&gt;%USERPROFILE%\Documents\GitHub\eaglep3-reporting\EC\2017-10-03-refined-times.txt</v>
      </c>
      <c r="AI10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{"issue":{"subject":"","project_id":79,"tracker_id":40,"status_id":1,"priority_id":2,"assigned_to_id":338,"start_date":"2017-10-03","description":"","custom_fields":[{"id":1,"name":"Subdivision","value":"EC"},{"id":4,"name":"Milepost","value":"23.3289"},{"id":17,"name":"Train ID","value":"193-03"},{"id":16,"name":"Locomotive ID","value":"4060"},{"id":130,"name":"Impact","value":""},{"id":150,"name":"Time of Event (Mountain Time)","value":"15:50:58"},{"id":151,"name":"Denver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10"/>
      <c r="AK109" s="225"/>
      <c r="AL109" s="225"/>
      <c r="AM109" s="231" t="str">
        <f t="shared" si="55"/>
        <v>start /low /b %USERPROFILE%\Documents\GitHub\eaglep3\Utilities\DownloadLogsFromS3.py --loco 4060 --day 2017-10-03</v>
      </c>
      <c r="AN10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10" t="str">
        <f t="shared" si="57"/>
        <v>https://d0f6bd738d7f1b3e5a7ca70fe4ff75f0.us-east-1.aws.found.io/app/kibana#/discover/Steve-Slow-Train-Analysis-(2080s-and-2083s)?_g=(refreshInterval:(display:Off,pause:!f,section:0,value:0),time:(from:'2017-10-03T14:07:48-0600',mode:absolute,to:'2017-10-03T16:50:58-0600'))&amp;_a=(columns:!('Message%20ID',Summary),filters:!(),index:'emp_*',interval:auto,query:(query_string:(analyze_wildcard:!t,query:'%22rtdc.l.rtdc.4060%22')),sort:!(Time.ISO8601,asc))</v>
      </c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  <c r="BM109" s="210"/>
      <c r="BN109" s="210"/>
      <c r="BO109" s="210"/>
      <c r="BP109" s="210"/>
      <c r="BQ109" s="210"/>
      <c r="BR109" s="210"/>
      <c r="BS109" s="210"/>
      <c r="BT109" s="210"/>
      <c r="BU109" s="210"/>
      <c r="BV109" s="210"/>
      <c r="BW109" s="210"/>
      <c r="BX109" s="210"/>
      <c r="BY109" s="210"/>
      <c r="BZ109" s="210"/>
      <c r="CA109" s="210"/>
      <c r="CB109" s="210"/>
      <c r="CC109" s="210"/>
      <c r="CD109" s="210"/>
      <c r="CE109" s="210"/>
      <c r="CF109" s="210"/>
      <c r="CG109" s="210"/>
      <c r="CH109" s="210"/>
      <c r="CI109" s="210"/>
      <c r="CJ109" s="210"/>
      <c r="CK109" s="210"/>
      <c r="CL109" s="210"/>
      <c r="CM109" s="210"/>
    </row>
    <row r="110" spans="1:91" s="20" customFormat="1" x14ac:dyDescent="0.25">
      <c r="A110" s="32" t="s">
        <v>762</v>
      </c>
      <c r="B110" s="7">
        <v>4059</v>
      </c>
      <c r="C110" s="21" t="s">
        <v>194</v>
      </c>
      <c r="D110" s="21" t="s">
        <v>888</v>
      </c>
      <c r="E110" s="13">
        <v>43011.664699074077</v>
      </c>
      <c r="F110" s="13">
        <v>43011.675185185188</v>
      </c>
      <c r="G110" s="7">
        <v>52</v>
      </c>
      <c r="H110" s="21" t="s">
        <v>337</v>
      </c>
      <c r="I110" s="13">
        <v>43011.701319444444</v>
      </c>
      <c r="J110" s="7">
        <v>0</v>
      </c>
      <c r="K110" s="85" t="str">
        <f t="shared" si="60"/>
        <v>4059/4060</v>
      </c>
      <c r="L110" s="179" t="str">
        <f>VLOOKUP(A110,'Trips&amp;Operators'!$C$1:$G$99911,5,FALSE)</f>
        <v>LEVIN SCOTT</v>
      </c>
      <c r="M110" s="6">
        <f t="shared" si="61"/>
        <v>2.6134259256650694E-2</v>
      </c>
      <c r="N110" s="7">
        <f t="shared" si="59"/>
        <v>37.633333329576999</v>
      </c>
      <c r="O110" s="7"/>
      <c r="P110" s="7"/>
      <c r="Q110" s="22"/>
      <c r="R110" s="169"/>
      <c r="S110" s="202">
        <f t="shared" si="58"/>
        <v>1</v>
      </c>
      <c r="T110" s="169" t="str">
        <f t="shared" si="62"/>
        <v>Southbound</v>
      </c>
      <c r="U110" s="22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2" t="str">
        <f t="shared" si="44"/>
        <v>https://d0f6bd738d7f1b3e5a7ca70fe4ff75f0.us-east-1.aws.found.io/app/kibana#/discover/Steve-Slow-Train-Analysis-(2080s-and-2083s)?_g=(refreshInterval:(display:Off,pause:!f,section:0,value:0),time:(from:'2017-10-03T14:57:10-0600',mode:absolute,to:'2017-10-03T17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0" s="223" t="str">
        <f>IF(AA110&lt;VLOOKUP(AG110,Variables!$AC$3:$AD$8,2,FALSE),"Y","N")</f>
        <v>N</v>
      </c>
      <c r="X110" s="223">
        <f t="shared" si="63"/>
        <v>1</v>
      </c>
      <c r="Y110" s="223">
        <f t="shared" si="64"/>
        <v>23.2986</v>
      </c>
      <c r="Z110" s="223">
        <f t="shared" si="65"/>
        <v>1.43E-2</v>
      </c>
      <c r="AA110" s="223">
        <f t="shared" si="66"/>
        <v>23.284300000000002</v>
      </c>
      <c r="AB110" s="224" t="e">
        <f>VLOOKUP(A110,Enforcements!$C$7:$K$11,8,0)</f>
        <v>#N/A</v>
      </c>
      <c r="AC110" s="224" t="e">
        <f>VLOOKUP(A110,Enforcements!$C$7:$E$11,3,0)</f>
        <v>#N/A</v>
      </c>
      <c r="AD110" s="225">
        <f t="shared" si="67"/>
        <v>194</v>
      </c>
      <c r="AE110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110" s="227" t="str">
        <f t="shared" si="51"/>
        <v>"C:\Program Files (x86)\AstroGrep\AstroGrep.exe" /e /r /s /spath="%USERPROFILE%\AppData\Local\Temp\OnboardLogs" /stypes="app*4059*20171003*" /stext=" 22:.+((SYSTEM_STATE.+slice.+state.+changed )|(ment ac)|(multiple cpu faults)|(system.+state.+changed )|(\[timeout)|(PRM\|1\|D)|(kpr)|(kdp)|(train st.+moving)|(\|lc)|(penalty))"</v>
      </c>
      <c r="AG110" s="228" t="str">
        <f t="shared" si="68"/>
        <v>EC</v>
      </c>
      <c r="AH110" s="229" t="str">
        <f t="shared" si="53"/>
        <v>"%USERPROFILE%\Documents\GitHub\eaglep3\Utilities\RefineRTDCRunTimes.py" --tripid 194-03 --locoid 4059 --swversion DE.1.0.9.0 --startMP 204:232986 --initTime 2017-10-03T15:57:10 --startdatetime 2017-10-03T16:12:16 --delay 52 --endMP 204:143 --enddatetime 2017-10-03T16:49:54 --enforcementcount 0 &gt;&gt;%USERPROFILE%\Documents\GitHub\eaglep3-reporting\EC\2017-10-03-refined-times.txt</v>
      </c>
      <c r="AI11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ID","value":"194-03"},{"id":16,"name":"Locomotive ID","value":"4059"},{"id":130,"name":"Impact","value":""},{"id":150,"name":"Time of Event (Mountain Time)","value":"16:49:54"},{"id":151,"name":"Denver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10"/>
      <c r="AK110" s="225"/>
      <c r="AL110" s="225"/>
      <c r="AM110" s="231" t="str">
        <f t="shared" si="55"/>
        <v>start /low /b %USERPROFILE%\Documents\GitHub\eaglep3\Utilities\DownloadLogsFromS3.py --loco 4059 --day 2017-10-03</v>
      </c>
      <c r="AN11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10" t="str">
        <f t="shared" si="57"/>
        <v>https://d0f6bd738d7f1b3e5a7ca70fe4ff75f0.us-east-1.aws.found.io/app/kibana#/discover/Steve-Slow-Train-Analysis-(2080s-and-2083s)?_g=(refreshInterval:(display:Off,pause:!f,section:0,value:0),time:(from:'2017-10-03T14:57:10-0600',mode:absolute,to:'2017-10-03T17:49:54-0600'))&amp;_a=(columns:!('Message%20ID',Summary),filters:!(),index:'emp_*',interval:auto,query:(query_string:(analyze_wildcard:!t,query:'%22rtdc.l.rtdc.4059%22')),sort:!(Time.ISO8601,asc))</v>
      </c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  <c r="BM110" s="210"/>
      <c r="BN110" s="210"/>
      <c r="BO110" s="210"/>
      <c r="BP110" s="210"/>
      <c r="BQ110" s="210"/>
      <c r="BR110" s="210"/>
      <c r="BS110" s="210"/>
      <c r="BT110" s="210"/>
      <c r="BU110" s="210"/>
      <c r="BV110" s="210"/>
      <c r="BW110" s="210"/>
      <c r="BX110" s="210"/>
      <c r="BY110" s="210"/>
      <c r="BZ110" s="210"/>
      <c r="CA110" s="210"/>
      <c r="CB110" s="210"/>
      <c r="CC110" s="210"/>
      <c r="CD110" s="210"/>
      <c r="CE110" s="210"/>
      <c r="CF110" s="210"/>
      <c r="CG110" s="210"/>
      <c r="CH110" s="210"/>
      <c r="CI110" s="210"/>
      <c r="CJ110" s="210"/>
      <c r="CK110" s="210"/>
      <c r="CL110" s="210"/>
      <c r="CM110" s="210"/>
    </row>
    <row r="111" spans="1:91" s="20" customFormat="1" x14ac:dyDescent="0.25">
      <c r="A111" s="32" t="s">
        <v>757</v>
      </c>
      <c r="B111" s="7">
        <v>4062</v>
      </c>
      <c r="C111" s="21" t="s">
        <v>194</v>
      </c>
      <c r="D111" s="21" t="s">
        <v>479</v>
      </c>
      <c r="E111" s="13">
        <v>43011.641099537039</v>
      </c>
      <c r="F111" s="13">
        <v>43011.646041666667</v>
      </c>
      <c r="G111" s="7">
        <v>53</v>
      </c>
      <c r="H111" s="21" t="s">
        <v>554</v>
      </c>
      <c r="I111" s="13">
        <v>43011.671435185184</v>
      </c>
      <c r="J111" s="7">
        <v>0</v>
      </c>
      <c r="K111" s="85" t="str">
        <f t="shared" si="60"/>
        <v>4061/4062</v>
      </c>
      <c r="L111" s="179" t="str">
        <f>VLOOKUP(A111,'Trips&amp;Operators'!$C$1:$G$99911,5,FALSE)</f>
        <v>LEVERE CRAIG</v>
      </c>
      <c r="M111" s="6">
        <f t="shared" si="61"/>
        <v>2.5393518517375924E-2</v>
      </c>
      <c r="N111" s="7">
        <f t="shared" si="59"/>
        <v>36.56666666502133</v>
      </c>
      <c r="O111" s="7"/>
      <c r="P111" s="7"/>
      <c r="Q111" s="22"/>
      <c r="R111" s="169"/>
      <c r="S111" s="202">
        <f t="shared" si="58"/>
        <v>1</v>
      </c>
      <c r="T111" s="169" t="str">
        <f t="shared" si="62"/>
        <v>NorthBound</v>
      </c>
      <c r="U111" s="22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22" t="str">
        <f t="shared" si="44"/>
        <v>https://d0f6bd738d7f1b3e5a7ca70fe4ff75f0.us-east-1.aws.found.io/app/kibana#/discover/Steve-Slow-Train-Analysis-(2080s-and-2083s)?_g=(refreshInterval:(display:Off,pause:!f,section:0,value:0),time:(from:'2017-10-03T14:23:11-0600',mode:absolute,to:'2017-10-03T17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1" s="223" t="str">
        <f>IF(AA111&lt;VLOOKUP(AG111,Variables!$AC$3:$AD$8,2,FALSE),"Y","N")</f>
        <v>N</v>
      </c>
      <c r="X111" s="223">
        <f t="shared" si="63"/>
        <v>1</v>
      </c>
      <c r="Y111" s="223">
        <f t="shared" si="64"/>
        <v>4.6899999999999997E-2</v>
      </c>
      <c r="Z111" s="223">
        <f t="shared" si="65"/>
        <v>23.328700000000001</v>
      </c>
      <c r="AA111" s="223">
        <f t="shared" si="66"/>
        <v>23.2818</v>
      </c>
      <c r="AB111" s="224" t="e">
        <f>VLOOKUP(A111,Enforcements!$C$7:$K$11,8,0)</f>
        <v>#N/A</v>
      </c>
      <c r="AC111" s="224" t="e">
        <f>VLOOKUP(A111,Enforcements!$C$7:$E$11,3,0)</f>
        <v>#N/A</v>
      </c>
      <c r="AD111" s="225">
        <f t="shared" si="67"/>
        <v>195</v>
      </c>
      <c r="AE111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11" s="227" t="str">
        <f t="shared" si="51"/>
        <v>"C:\Program Files (x86)\AstroGrep\AstroGrep.exe" /e /r /s /spath="%USERPROFILE%\AppData\Local\Temp\OnboardLogs" /stypes="app*4062*20171003*" /stext=" 22:.+((SYSTEM_STATE.+slice.+state.+changed )|(ment ac)|(multiple cpu faults)|(system.+state.+changed )|(\[timeout)|(PRM\|1\|D)|(kpr)|(kdp)|(train st.+moving)|(\|lc)|(penalty))"</v>
      </c>
      <c r="AG111" s="228" t="str">
        <f t="shared" si="68"/>
        <v>EC</v>
      </c>
      <c r="AH111" s="229" t="str">
        <f t="shared" si="53"/>
        <v>"%USERPROFILE%\Documents\GitHub\eaglep3\Utilities\RefineRTDCRunTimes.py" --tripid 195-03 --locoid 4062 --swversion DE.1.0.9.0 --startMP 204:469 --initTime 2017-10-03T15:23:11 --startdatetime 2017-10-03T15:30:18 --delay 53 --endMP 204:233287 --enddatetime 2017-10-03T16:06:52 --enforcementcount 0 &gt;&gt;%USERPROFILE%\Documents\GitHub\eaglep3-reporting\EC\2017-10-03-refined-times.txt</v>
      </c>
      <c r="AI11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{"issue":{"subject":"","project_id":79,"tracker_id":40,"status_id":1,"priority_id":2,"assigned_to_id":338,"start_date":"2017-10-03","description":"","custom_fields":[{"id":1,"name":"Subdivision","value":"EC"},{"id":4,"name":"Milepost","value":"23.3287"},{"id":17,"name":"Train ID","value":"195-03"},{"id":16,"name":"Locomotive ID","value":"4062"},{"id":130,"name":"Impact","value":""},{"id":150,"name":"Time of Event (Mountain Time)","value":"16:06:52"},{"id":151,"name":"Denver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10"/>
      <c r="AK111" s="225"/>
      <c r="AL111" s="225"/>
      <c r="AM111" s="231" t="str">
        <f t="shared" si="55"/>
        <v>start /low /b %USERPROFILE%\Documents\GitHub\eaglep3\Utilities\DownloadLogsFromS3.py --loco 4062 --day 2017-10-03</v>
      </c>
      <c r="AN11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10" t="str">
        <f t="shared" si="57"/>
        <v>https://d0f6bd738d7f1b3e5a7ca70fe4ff75f0.us-east-1.aws.found.io/app/kibana#/discover/Steve-Slow-Train-Analysis-(2080s-and-2083s)?_g=(refreshInterval:(display:Off,pause:!f,section:0,value:0),time:(from:'2017-10-03T14:23:11-0600',mode:absolute,to:'2017-10-03T17:06:52-0600'))&amp;_a=(columns:!('Message%20ID',Summary),filters:!(),index:'emp_*',interval:auto,query:(query_string:(analyze_wildcard:!t,query:'%22rtdc.l.rtdc.4062%22')),sort:!(Time.ISO8601,asc))</v>
      </c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  <c r="BM111" s="210"/>
      <c r="BN111" s="210"/>
      <c r="BO111" s="210"/>
      <c r="BP111" s="210"/>
      <c r="BQ111" s="210"/>
      <c r="BR111" s="210"/>
      <c r="BS111" s="210"/>
      <c r="BT111" s="210"/>
      <c r="BU111" s="210"/>
      <c r="BV111" s="210"/>
      <c r="BW111" s="210"/>
      <c r="BX111" s="210"/>
      <c r="BY111" s="210"/>
      <c r="BZ111" s="210"/>
      <c r="CA111" s="210"/>
      <c r="CB111" s="210"/>
      <c r="CC111" s="210"/>
      <c r="CD111" s="210"/>
      <c r="CE111" s="210"/>
      <c r="CF111" s="210"/>
      <c r="CG111" s="210"/>
      <c r="CH111" s="210"/>
      <c r="CI111" s="210"/>
      <c r="CJ111" s="210"/>
      <c r="CK111" s="210"/>
      <c r="CL111" s="210"/>
      <c r="CM111" s="210"/>
    </row>
    <row r="112" spans="1:91" s="20" customFormat="1" x14ac:dyDescent="0.25">
      <c r="A112" s="32" t="s">
        <v>768</v>
      </c>
      <c r="B112" s="7">
        <v>4061</v>
      </c>
      <c r="C112" s="21" t="s">
        <v>194</v>
      </c>
      <c r="D112" s="21" t="s">
        <v>508</v>
      </c>
      <c r="E112" s="13">
        <v>43011.679039351853</v>
      </c>
      <c r="F112" s="13">
        <v>43011.685659722221</v>
      </c>
      <c r="G112" s="7">
        <v>60</v>
      </c>
      <c r="H112" s="21" t="s">
        <v>335</v>
      </c>
      <c r="I112" s="13">
        <v>43011.712951388887</v>
      </c>
      <c r="J112" s="7">
        <v>0</v>
      </c>
      <c r="K112" s="85" t="str">
        <f t="shared" si="60"/>
        <v>4061/4062</v>
      </c>
      <c r="L112" s="179" t="str">
        <f>VLOOKUP(A112,'Trips&amp;Operators'!$C$1:$G$99911,5,FALSE)</f>
        <v>LEVERE CRAIG</v>
      </c>
      <c r="M112" s="6">
        <f t="shared" si="61"/>
        <v>2.7291666665405501E-2</v>
      </c>
      <c r="N112" s="7">
        <f t="shared" si="59"/>
        <v>39.299999998183921</v>
      </c>
      <c r="O112" s="7"/>
      <c r="P112" s="7"/>
      <c r="Q112" s="22"/>
      <c r="R112" s="169"/>
      <c r="S112" s="202">
        <f t="shared" si="58"/>
        <v>1</v>
      </c>
      <c r="T112" s="169" t="str">
        <f t="shared" si="62"/>
        <v>Southbound</v>
      </c>
      <c r="U112" s="22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2" t="str">
        <f t="shared" si="44"/>
        <v>https://d0f6bd738d7f1b3e5a7ca70fe4ff75f0.us-east-1.aws.found.io/app/kibana#/discover/Steve-Slow-Train-Analysis-(2080s-and-2083s)?_g=(refreshInterval:(display:Off,pause:!f,section:0,value:0),time:(from:'2017-10-03T15:17:49-0600',mode:absolute,to:'2017-10-03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2" s="223" t="str">
        <f>IF(AA112&lt;VLOOKUP(AG112,Variables!$AC$3:$AD$8,2,FALSE),"Y","N")</f>
        <v>N</v>
      </c>
      <c r="X112" s="223">
        <f t="shared" si="63"/>
        <v>1</v>
      </c>
      <c r="Y112" s="223">
        <f t="shared" si="64"/>
        <v>23.2989</v>
      </c>
      <c r="Z112" s="223">
        <f t="shared" si="65"/>
        <v>1.4999999999999999E-2</v>
      </c>
      <c r="AA112" s="223">
        <f t="shared" si="66"/>
        <v>23.283899999999999</v>
      </c>
      <c r="AB112" s="224" t="e">
        <f>VLOOKUP(A112,Enforcements!$C$7:$K$11,8,0)</f>
        <v>#N/A</v>
      </c>
      <c r="AC112" s="224" t="e">
        <f>VLOOKUP(A112,Enforcements!$C$7:$E$11,3,0)</f>
        <v>#N/A</v>
      </c>
      <c r="AD112" s="225">
        <f t="shared" si="67"/>
        <v>196</v>
      </c>
      <c r="AE112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12" s="227" t="str">
        <f t="shared" si="51"/>
        <v>"C:\Program Files (x86)\AstroGrep\AstroGrep.exe" /e /r /s /spath="%USERPROFILE%\AppData\Local\Temp\OnboardLogs" /stypes="app*4061*20171003*" /stext=" 23:.+((SYSTEM_STATE.+slice.+state.+changed )|(ment ac)|(multiple cpu faults)|(system.+state.+changed )|(\[timeout)|(PRM\|1\|D)|(kpr)|(kdp)|(train st.+moving)|(\|lc)|(penalty))"</v>
      </c>
      <c r="AG112" s="228" t="str">
        <f t="shared" si="68"/>
        <v>EC</v>
      </c>
      <c r="AH112" s="229" t="str">
        <f t="shared" si="53"/>
        <v>"%USERPROFILE%\Documents\GitHub\eaglep3\Utilities\RefineRTDCRunTimes.py" --tripid 196-03 --locoid 4061 --swversion DE.1.0.9.0 --startMP 204:232989 --initTime 2017-10-03T16:17:49 --startdatetime 2017-10-03T16:27:21 --delay 60 --endMP 204:150 --enddatetime 2017-10-03T17:06:39 --enforcementcount 0 &gt;&gt;%USERPROFILE%\Documents\GitHub\eaglep3-reporting\EC\2017-10-03-refined-times.txt</v>
      </c>
      <c r="AI11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ID","value":"196-03"},{"id":16,"name":"Locomotive ID","value":"4061"},{"id":130,"name":"Impact","value":""},{"id":150,"name":"Time of Event (Mountain Time)","value":"17:06:39"},{"id":151,"name":"Denver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10"/>
      <c r="AK112" s="225"/>
      <c r="AL112" s="225"/>
      <c r="AM112" s="231" t="str">
        <f t="shared" si="55"/>
        <v>start /low /b %USERPROFILE%\Documents\GitHub\eaglep3\Utilities\DownloadLogsFromS3.py --loco 4061 --day 2017-10-03</v>
      </c>
      <c r="AN11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10" t="str">
        <f t="shared" si="57"/>
        <v>https://d0f6bd738d7f1b3e5a7ca70fe4ff75f0.us-east-1.aws.found.io/app/kibana#/discover/Steve-Slow-Train-Analysis-(2080s-and-2083s)?_g=(refreshInterval:(display:Off,pause:!f,section:0,value:0),time:(from:'2017-10-03T15:17:49-0600',mode:absolute,to:'2017-10-03T18:06:39-0600'))&amp;_a=(columns:!('Message%20ID',Summary),filters:!(),index:'emp_*',interval:auto,query:(query_string:(analyze_wildcard:!t,query:'%22rtdc.l.rtdc.4061%22')),sort:!(Time.ISO8601,asc))</v>
      </c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  <c r="BM112" s="210"/>
      <c r="BN112" s="210"/>
      <c r="BO112" s="210"/>
      <c r="BP112" s="210"/>
      <c r="BQ112" s="210"/>
      <c r="BR112" s="210"/>
      <c r="BS112" s="210"/>
      <c r="BT112" s="210"/>
      <c r="BU112" s="210"/>
      <c r="BV112" s="210"/>
      <c r="BW112" s="210"/>
      <c r="BX112" s="210"/>
      <c r="BY112" s="210"/>
      <c r="BZ112" s="210"/>
      <c r="CA112" s="210"/>
      <c r="CB112" s="210"/>
      <c r="CC112" s="210"/>
      <c r="CD112" s="210"/>
      <c r="CE112" s="210"/>
      <c r="CF112" s="210"/>
      <c r="CG112" s="210"/>
      <c r="CH112" s="210"/>
      <c r="CI112" s="210"/>
      <c r="CJ112" s="210"/>
      <c r="CK112" s="210"/>
      <c r="CL112" s="210"/>
      <c r="CM112" s="210"/>
    </row>
    <row r="113" spans="1:91" s="20" customFormat="1" x14ac:dyDescent="0.25">
      <c r="A113" s="32" t="s">
        <v>759</v>
      </c>
      <c r="B113" s="7">
        <v>4050</v>
      </c>
      <c r="C113" s="21" t="s">
        <v>194</v>
      </c>
      <c r="D113" s="21" t="s">
        <v>355</v>
      </c>
      <c r="E113" s="13">
        <v>43011.650127314817</v>
      </c>
      <c r="F113" s="13">
        <v>43011.656412037039</v>
      </c>
      <c r="G113" s="7">
        <v>62</v>
      </c>
      <c r="H113" s="21" t="s">
        <v>561</v>
      </c>
      <c r="I113" s="13">
        <v>43011.682500000003</v>
      </c>
      <c r="J113" s="7">
        <v>0</v>
      </c>
      <c r="K113" s="85" t="str">
        <f t="shared" si="60"/>
        <v>4049/4050</v>
      </c>
      <c r="L113" s="179" t="str">
        <f>VLOOKUP(A113,'Trips&amp;Operators'!$C$1:$G$99911,5,FALSE)</f>
        <v>SWANSON BRYCE</v>
      </c>
      <c r="M113" s="6">
        <f t="shared" si="61"/>
        <v>2.6087962964083999E-2</v>
      </c>
      <c r="N113" s="7">
        <f t="shared" si="59"/>
        <v>37.566666668280959</v>
      </c>
      <c r="O113" s="7"/>
      <c r="P113" s="7"/>
      <c r="Q113" s="22"/>
      <c r="R113" s="169"/>
      <c r="S113" s="202">
        <f t="shared" si="58"/>
        <v>1</v>
      </c>
      <c r="T113" s="169" t="str">
        <f t="shared" si="62"/>
        <v>NorthBound</v>
      </c>
      <c r="U113" s="22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2" t="str">
        <f t="shared" si="44"/>
        <v>https://d0f6bd738d7f1b3e5a7ca70fe4ff75f0.us-east-1.aws.found.io/app/kibana#/discover/Steve-Slow-Train-Analysis-(2080s-and-2083s)?_g=(refreshInterval:(display:Off,pause:!f,section:0,value:0),time:(from:'2017-10-03T14:36:11-0600',mode:absolute,to:'2017-10-03T17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3" s="223" t="str">
        <f>IF(AA113&lt;VLOOKUP(AG113,Variables!$AC$3:$AD$8,2,FALSE),"Y","N")</f>
        <v>N</v>
      </c>
      <c r="X113" s="223">
        <f t="shared" si="63"/>
        <v>1</v>
      </c>
      <c r="Y113" s="223">
        <f t="shared" si="64"/>
        <v>4.58E-2</v>
      </c>
      <c r="Z113" s="223">
        <f t="shared" si="65"/>
        <v>23.330300000000001</v>
      </c>
      <c r="AA113" s="223">
        <f t="shared" si="66"/>
        <v>23.284500000000001</v>
      </c>
      <c r="AB113" s="224" t="e">
        <f>VLOOKUP(A113,Enforcements!$C$7:$K$11,8,0)</f>
        <v>#N/A</v>
      </c>
      <c r="AC113" s="224" t="e">
        <f>VLOOKUP(A113,Enforcements!$C$7:$E$11,3,0)</f>
        <v>#N/A</v>
      </c>
      <c r="AD113" s="225">
        <f t="shared" si="67"/>
        <v>197</v>
      </c>
      <c r="AE113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113" s="227" t="str">
        <f t="shared" si="51"/>
        <v>"C:\Program Files (x86)\AstroGrep\AstroGrep.exe" /e /r /s /spath="%USERPROFILE%\AppData\Local\Temp\OnboardLogs" /stypes="app*4050*20171003*" /stext=" 22:.+((SYSTEM_STATE.+slice.+state.+changed )|(ment ac)|(multiple cpu faults)|(system.+state.+changed )|(\[timeout)|(PRM\|1\|D)|(kpr)|(kdp)|(train st.+moving)|(\|lc)|(penalty))"</v>
      </c>
      <c r="AG113" s="228" t="str">
        <f t="shared" si="68"/>
        <v>EC</v>
      </c>
      <c r="AH113" s="229" t="str">
        <f t="shared" si="53"/>
        <v>"%USERPROFILE%\Documents\GitHub\eaglep3\Utilities\RefineRTDCRunTimes.py" --tripid 197-03 --locoid 4050 --swversion DE.1.0.9.0 --startMP 204:458 --initTime 2017-10-03T15:36:11 --startdatetime 2017-10-03T15:45:14 --delay 62 --endMP 204:233303 --enddatetime 2017-10-03T16:22:48 --enforcementcount 0 &gt;&gt;%USERPROFILE%\Documents\GitHub\eaglep3-reporting\EC\2017-10-03-refined-times.txt</v>
      </c>
      <c r="AI11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{"issue":{"subject":"","project_id":79,"tracker_id":40,"status_id":1,"priority_id":2,"assigned_to_id":338,"start_date":"2017-10-03","description":"","custom_fields":[{"id":1,"name":"Subdivision","value":"EC"},{"id":4,"name":"Milepost","value":"23.3303"},{"id":17,"name":"Train ID","value":"197-03"},{"id":16,"name":"Locomotive ID","value":"4050"},{"id":130,"name":"Impact","value":""},{"id":150,"name":"Time of Event (Mountain Time)","value":"16:22:48"},{"id":151,"name":"Denver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10"/>
      <c r="AK113" s="225"/>
      <c r="AL113" s="225"/>
      <c r="AM113" s="231" t="str">
        <f t="shared" si="55"/>
        <v>start /low /b %USERPROFILE%\Documents\GitHub\eaglep3\Utilities\DownloadLogsFromS3.py --loco 4050 --day 2017-10-03</v>
      </c>
      <c r="AN11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10" t="str">
        <f t="shared" si="57"/>
        <v>https://d0f6bd738d7f1b3e5a7ca70fe4ff75f0.us-east-1.aws.found.io/app/kibana#/discover/Steve-Slow-Train-Analysis-(2080s-and-2083s)?_g=(refreshInterval:(display:Off,pause:!f,section:0,value:0),time:(from:'2017-10-03T14:36:11-0600',mode:absolute,to:'2017-10-03T17:22:48-0600'))&amp;_a=(columns:!('Message%20ID',Summary),filters:!(),index:'emp_*',interval:auto,query:(query_string:(analyze_wildcard:!t,query:'%22rtdc.l.rtdc.4050%22')),sort:!(Time.ISO8601,asc))</v>
      </c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  <c r="BM113" s="210"/>
      <c r="BN113" s="210"/>
      <c r="BO113" s="210"/>
      <c r="BP113" s="210"/>
      <c r="BQ113" s="210"/>
      <c r="BR113" s="210"/>
      <c r="BS113" s="210"/>
      <c r="BT113" s="210"/>
      <c r="BU113" s="210"/>
      <c r="BV113" s="210"/>
      <c r="BW113" s="210"/>
      <c r="BX113" s="210"/>
      <c r="BY113" s="210"/>
      <c r="BZ113" s="210"/>
      <c r="CA113" s="210"/>
      <c r="CB113" s="210"/>
      <c r="CC113" s="210"/>
      <c r="CD113" s="210"/>
      <c r="CE113" s="210"/>
      <c r="CF113" s="210"/>
      <c r="CG113" s="210"/>
      <c r="CH113" s="210"/>
      <c r="CI113" s="210"/>
      <c r="CJ113" s="210"/>
      <c r="CK113" s="210"/>
      <c r="CL113" s="210"/>
      <c r="CM113" s="210"/>
    </row>
    <row r="114" spans="1:91" s="20" customFormat="1" x14ac:dyDescent="0.25">
      <c r="A114" s="32" t="s">
        <v>770</v>
      </c>
      <c r="B114" s="7">
        <v>4049</v>
      </c>
      <c r="C114" s="21" t="s">
        <v>194</v>
      </c>
      <c r="D114" s="21" t="s">
        <v>397</v>
      </c>
      <c r="E114" s="13">
        <v>43011.684629629628</v>
      </c>
      <c r="F114" s="13">
        <v>43011.69599537037</v>
      </c>
      <c r="G114" s="7">
        <v>78</v>
      </c>
      <c r="H114" s="21" t="s">
        <v>340</v>
      </c>
      <c r="I114" s="13">
        <v>43011.722349537034</v>
      </c>
      <c r="J114" s="7">
        <v>0</v>
      </c>
      <c r="K114" s="85" t="str">
        <f t="shared" si="60"/>
        <v>4049/4050</v>
      </c>
      <c r="L114" s="179" t="str">
        <f>VLOOKUP(A114,'Trips&amp;Operators'!$C$1:$G$99911,5,FALSE)</f>
        <v>SWANSON BRYCE</v>
      </c>
      <c r="M114" s="6">
        <f t="shared" si="61"/>
        <v>2.6354166664532386E-2</v>
      </c>
      <c r="N114" s="7">
        <f t="shared" si="59"/>
        <v>37.949999996926636</v>
      </c>
      <c r="O114" s="7"/>
      <c r="P114" s="7"/>
      <c r="Q114" s="22"/>
      <c r="R114" s="169"/>
      <c r="S114" s="202">
        <f t="shared" si="58"/>
        <v>1</v>
      </c>
      <c r="T114" s="169" t="str">
        <f t="shared" si="62"/>
        <v>Southbound</v>
      </c>
      <c r="U114" s="22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2" t="str">
        <f t="shared" si="44"/>
        <v>https://d0f6bd738d7f1b3e5a7ca70fe4ff75f0.us-east-1.aws.found.io/app/kibana#/discover/Steve-Slow-Train-Analysis-(2080s-and-2083s)?_g=(refreshInterval:(display:Off,pause:!f,section:0,value:0),time:(from:'2017-10-03T15:25:52-0600',mode:absolute,to:'2017-10-03T18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4" s="223" t="str">
        <f>IF(AA114&lt;VLOOKUP(AG114,Variables!$AC$3:$AD$8,2,FALSE),"Y","N")</f>
        <v>N</v>
      </c>
      <c r="X114" s="223">
        <f t="shared" si="63"/>
        <v>1</v>
      </c>
      <c r="Y114" s="223">
        <f t="shared" si="64"/>
        <v>23.298200000000001</v>
      </c>
      <c r="Z114" s="223">
        <f t="shared" si="65"/>
        <v>1.47E-2</v>
      </c>
      <c r="AA114" s="223">
        <f t="shared" si="66"/>
        <v>23.2835</v>
      </c>
      <c r="AB114" s="224" t="e">
        <f>VLOOKUP(A114,Enforcements!$C$7:$K$11,8,0)</f>
        <v>#N/A</v>
      </c>
      <c r="AC114" s="224" t="e">
        <f>VLOOKUP(A114,Enforcements!$C$7:$E$11,3,0)</f>
        <v>#N/A</v>
      </c>
      <c r="AD114" s="225">
        <f t="shared" si="67"/>
        <v>198</v>
      </c>
      <c r="AE114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14" s="227" t="str">
        <f t="shared" si="51"/>
        <v>"C:\Program Files (x86)\AstroGrep\AstroGrep.exe" /e /r /s /spath="%USERPROFILE%\AppData\Local\Temp\OnboardLogs" /stypes="app*4049*20171003*" /stext=" 23:.+((SYSTEM_STATE.+slice.+state.+changed )|(ment ac)|(multiple cpu faults)|(system.+state.+changed )|(\[timeout)|(PRM\|1\|D)|(kpr)|(kdp)|(train st.+moving)|(\|lc)|(penalty))"</v>
      </c>
      <c r="AG114" s="228" t="str">
        <f t="shared" si="68"/>
        <v>EC</v>
      </c>
      <c r="AH114" s="229" t="str">
        <f t="shared" si="53"/>
        <v>"%USERPROFILE%\Documents\GitHub\eaglep3\Utilities\RefineRTDCRunTimes.py" --tripid 198-03 --locoid 4049 --swversion DE.1.0.9.0 --startMP 204:232982 --initTime 2017-10-03T16:25:52 --startdatetime 2017-10-03T16:42:14 --delay 78 --endMP 204:147 --enddatetime 2017-10-03T17:20:11 --enforcementcount 0 &gt;&gt;%USERPROFILE%\Documents\GitHub\eaglep3-reporting\EC\2017-10-03-refined-times.txt</v>
      </c>
      <c r="AI11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ID","value":"198-03"},{"id":16,"name":"Locomotive ID","value":"4049"},{"id":130,"name":"Impact","value":""},{"id":150,"name":"Time of Event (Mountain Time)","value":"17:20:11"},{"id":151,"name":"Denver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10"/>
      <c r="AK114" s="225"/>
      <c r="AL114" s="225"/>
      <c r="AM114" s="231" t="str">
        <f t="shared" si="55"/>
        <v>start /low /b %USERPROFILE%\Documents\GitHub\eaglep3\Utilities\DownloadLogsFromS3.py --loco 4049 --day 2017-10-03</v>
      </c>
      <c r="AN114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10" t="str">
        <f t="shared" si="57"/>
        <v>https://d0f6bd738d7f1b3e5a7ca70fe4ff75f0.us-east-1.aws.found.io/app/kibana#/discover/Steve-Slow-Train-Analysis-(2080s-and-2083s)?_g=(refreshInterval:(display:Off,pause:!f,section:0,value:0),time:(from:'2017-10-03T15:25:52-0600',mode:absolute,to:'2017-10-03T18:20:11-0600'))&amp;_a=(columns:!('Message%20ID',Summary),filters:!(),index:'emp_*',interval:auto,query:(query_string:(analyze_wildcard:!t,query:'%22rtdc.l.rtdc.4049%22')),sort:!(Time.ISO8601,asc))</v>
      </c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  <c r="BM114" s="210"/>
      <c r="BN114" s="210"/>
      <c r="BO114" s="210"/>
      <c r="BP114" s="210"/>
      <c r="BQ114" s="210"/>
      <c r="BR114" s="210"/>
      <c r="BS114" s="210"/>
      <c r="BT114" s="210"/>
      <c r="BU114" s="210"/>
      <c r="BV114" s="210"/>
      <c r="BW114" s="210"/>
      <c r="BX114" s="210"/>
      <c r="BY114" s="210"/>
      <c r="BZ114" s="210"/>
      <c r="CA114" s="210"/>
      <c r="CB114" s="210"/>
      <c r="CC114" s="210"/>
      <c r="CD114" s="210"/>
      <c r="CE114" s="210"/>
      <c r="CF114" s="210"/>
      <c r="CG114" s="210"/>
      <c r="CH114" s="210"/>
      <c r="CI114" s="210"/>
      <c r="CJ114" s="210"/>
      <c r="CK114" s="210"/>
      <c r="CL114" s="210"/>
      <c r="CM114" s="210"/>
    </row>
    <row r="115" spans="1:91" s="20" customFormat="1" x14ac:dyDescent="0.25">
      <c r="A115" s="32" t="s">
        <v>618</v>
      </c>
      <c r="B115" s="7">
        <v>4042</v>
      </c>
      <c r="C115" s="21" t="s">
        <v>194</v>
      </c>
      <c r="D115" s="21" t="s">
        <v>367</v>
      </c>
      <c r="E115" s="13">
        <v>43011.663900462961</v>
      </c>
      <c r="F115" s="13">
        <v>43011.666481481479</v>
      </c>
      <c r="G115" s="7">
        <v>62</v>
      </c>
      <c r="H115" s="21" t="s">
        <v>552</v>
      </c>
      <c r="I115" s="13">
        <v>43011.692962962959</v>
      </c>
      <c r="J115" s="7">
        <v>0</v>
      </c>
      <c r="K115" s="85" t="str">
        <f t="shared" si="60"/>
        <v>4041/4042</v>
      </c>
      <c r="L115" s="179" t="str">
        <f>VLOOKUP(A115,'Trips&amp;Operators'!$C$1:$G$99911,5,FALSE)</f>
        <v>DAVIS MICHAEL</v>
      </c>
      <c r="M115" s="6">
        <f t="shared" si="61"/>
        <v>2.6481481480004732E-2</v>
      </c>
      <c r="N115" s="7">
        <f t="shared" si="59"/>
        <v>38.133333331206813</v>
      </c>
      <c r="O115" s="7"/>
      <c r="P115" s="7"/>
      <c r="Q115" s="22"/>
      <c r="R115" s="169"/>
      <c r="S115" s="202">
        <f t="shared" si="58"/>
        <v>1</v>
      </c>
      <c r="T115" s="169" t="str">
        <f t="shared" si="62"/>
        <v>NorthBound</v>
      </c>
      <c r="U115" s="22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2" t="str">
        <f t="shared" si="44"/>
        <v>https://d0f6bd738d7f1b3e5a7ca70fe4ff75f0.us-east-1.aws.found.io/app/kibana#/discover/Steve-Slow-Train-Analysis-(2080s-and-2083s)?_g=(refreshInterval:(display:Off,pause:!f,section:0,value:0),time:(from:'2017-10-03T14:56:01-0600',mode:absolute,to:'2017-10-03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223" t="str">
        <f>IF(AA115&lt;VLOOKUP(AG115,Variables!$AC$3:$AD$8,2,FALSE),"Y","N")</f>
        <v>N</v>
      </c>
      <c r="X115" s="223">
        <f t="shared" si="63"/>
        <v>1</v>
      </c>
      <c r="Y115" s="223">
        <f t="shared" si="64"/>
        <v>4.4200000000000003E-2</v>
      </c>
      <c r="Z115" s="223">
        <f t="shared" si="65"/>
        <v>23.3325</v>
      </c>
      <c r="AA115" s="223">
        <f t="shared" si="66"/>
        <v>23.2883</v>
      </c>
      <c r="AB115" s="224" t="e">
        <f>VLOOKUP(A115,Enforcements!$C$7:$K$11,8,0)</f>
        <v>#N/A</v>
      </c>
      <c r="AC115" s="224" t="e">
        <f>VLOOKUP(A115,Enforcements!$C$7:$E$11,3,0)</f>
        <v>#N/A</v>
      </c>
      <c r="AD115" s="225">
        <f t="shared" si="67"/>
        <v>199</v>
      </c>
      <c r="AE115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15" s="227" t="str">
        <f t="shared" si="51"/>
        <v>"C:\Program Files (x86)\AstroGrep\AstroGrep.exe" /e /r /s /spath="%USERPROFILE%\AppData\Local\Temp\OnboardLogs" /stypes="app*4042*20171003*" /stext=" 22:.+((SYSTEM_STATE.+slice.+state.+changed )|(ment ac)|(multiple cpu faults)|(system.+state.+changed )|(\[timeout)|(PRM\|1\|D)|(kpr)|(kdp)|(train st.+moving)|(\|lc)|(penalty))"</v>
      </c>
      <c r="AG115" s="228" t="str">
        <f t="shared" si="68"/>
        <v>EC</v>
      </c>
      <c r="AH115" s="229" t="str">
        <f t="shared" si="53"/>
        <v>"%USERPROFILE%\Documents\GitHub\eaglep3\Utilities\RefineRTDCRunTimes.py" --tripid 199-03 --locoid 4042 --swversion DE.1.0.9.0 --startMP 204:442 --initTime 2017-10-03T15:56:01 --startdatetime 2017-10-03T15:59:44 --delay 62 --endMP 204:233325 --enddatetime 2017-10-03T16:37:52 --enforcementcount 0 &gt;&gt;%USERPROFILE%\Documents\GitHub\eaglep3-reporting\EC\2017-10-03-refined-times.txt</v>
      </c>
      <c r="AI11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{"issue":{"subject":"","project_id":79,"tracker_id":40,"status_id":1,"priority_id":2,"assigned_to_id":338,"start_date":"2017-10-03","description":"","custom_fields":[{"id":1,"name":"Subdivision","value":"EC"},{"id":4,"name":"Milepost","value":"23.3325"},{"id":17,"name":"Train ID","value":"199-03"},{"id":16,"name":"Locomotive ID","value":"4042"},{"id":130,"name":"Impact","value":""},{"id":150,"name":"Time of Event (Mountain Time)","value":"16:37:52"},{"id":151,"name":"Denver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10"/>
      <c r="AK115" s="225"/>
      <c r="AL115" s="225"/>
      <c r="AM115" s="231" t="str">
        <f t="shared" si="55"/>
        <v>start /low /b %USERPROFILE%\Documents\GitHub\eaglep3\Utilities\DownloadLogsFromS3.py --loco 4042 --day 2017-10-03</v>
      </c>
      <c r="AN11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10" t="str">
        <f t="shared" si="57"/>
        <v>https://d0f6bd738d7f1b3e5a7ca70fe4ff75f0.us-east-1.aws.found.io/app/kibana#/discover/Steve-Slow-Train-Analysis-(2080s-and-2083s)?_g=(refreshInterval:(display:Off,pause:!f,section:0,value:0),time:(from:'2017-10-03T14:56:01-0600',mode:absolute,to:'2017-10-03T17:37:52-0600'))&amp;_a=(columns:!('Message%20ID',Summary),filters:!(),index:'emp_*',interval:auto,query:(query_string:(analyze_wildcard:!t,query:'%22rtdc.l.rtdc.4042%22')),sort:!(Time.ISO8601,asc))</v>
      </c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  <c r="BM115" s="210"/>
      <c r="BN115" s="210"/>
      <c r="BO115" s="210"/>
      <c r="BP115" s="210"/>
      <c r="BQ115" s="210"/>
      <c r="BR115" s="210"/>
      <c r="BS115" s="210"/>
      <c r="BT115" s="210"/>
      <c r="BU115" s="210"/>
      <c r="BV115" s="210"/>
      <c r="BW115" s="210"/>
      <c r="BX115" s="210"/>
      <c r="BY115" s="210"/>
      <c r="BZ115" s="210"/>
      <c r="CA115" s="210"/>
      <c r="CB115" s="210"/>
      <c r="CC115" s="210"/>
      <c r="CD115" s="210"/>
      <c r="CE115" s="210"/>
      <c r="CF115" s="210"/>
      <c r="CG115" s="210"/>
      <c r="CH115" s="210"/>
      <c r="CI115" s="210"/>
      <c r="CJ115" s="210"/>
      <c r="CK115" s="210"/>
      <c r="CL115" s="210"/>
      <c r="CM115" s="210"/>
    </row>
    <row r="116" spans="1:91" s="20" customFormat="1" x14ac:dyDescent="0.25">
      <c r="A116" s="32" t="s">
        <v>775</v>
      </c>
      <c r="B116" s="7">
        <v>4041</v>
      </c>
      <c r="C116" s="21" t="s">
        <v>194</v>
      </c>
      <c r="D116" s="21" t="s">
        <v>511</v>
      </c>
      <c r="E116" s="13">
        <v>43011.703819444447</v>
      </c>
      <c r="F116" s="13">
        <v>43011.706689814811</v>
      </c>
      <c r="G116" s="7">
        <v>59</v>
      </c>
      <c r="H116" s="21" t="s">
        <v>380</v>
      </c>
      <c r="I116" s="13">
        <v>43011.7340625</v>
      </c>
      <c r="J116" s="7">
        <v>0</v>
      </c>
      <c r="K116" s="85" t="str">
        <f t="shared" si="60"/>
        <v>4041/4042</v>
      </c>
      <c r="L116" s="179" t="str">
        <f>VLOOKUP(A116,'Trips&amp;Operators'!$C$1:$G$99911,5,FALSE)</f>
        <v>DAVIS MICHAEL</v>
      </c>
      <c r="M116" s="6">
        <f t="shared" si="61"/>
        <v>2.7372685188311152E-2</v>
      </c>
      <c r="N116" s="7">
        <f t="shared" si="59"/>
        <v>39.416666671168059</v>
      </c>
      <c r="O116" s="7"/>
      <c r="P116" s="7"/>
      <c r="Q116" s="22"/>
      <c r="R116" s="169"/>
      <c r="S116" s="202">
        <f t="shared" si="58"/>
        <v>1</v>
      </c>
      <c r="T116" s="169" t="str">
        <f t="shared" si="62"/>
        <v>Southbound</v>
      </c>
      <c r="U116" s="22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2" t="str">
        <f t="shared" si="44"/>
        <v>https://d0f6bd738d7f1b3e5a7ca70fe4ff75f0.us-east-1.aws.found.io/app/kibana#/discover/Steve-Slow-Train-Analysis-(2080s-and-2083s)?_g=(refreshInterval:(display:Off,pause:!f,section:0,value:0),time:(from:'2017-10-03T15:53:30-0600',mode:absolute,to:'2017-10-03T18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223" t="str">
        <f>IF(AA116&lt;VLOOKUP(AG116,Variables!$AC$3:$AD$8,2,FALSE),"Y","N")</f>
        <v>N</v>
      </c>
      <c r="X116" s="223">
        <f t="shared" si="63"/>
        <v>1</v>
      </c>
      <c r="Y116" s="223">
        <f t="shared" si="64"/>
        <v>23.299299999999999</v>
      </c>
      <c r="Z116" s="223">
        <f t="shared" si="65"/>
        <v>1.6299999999999999E-2</v>
      </c>
      <c r="AA116" s="223">
        <f t="shared" si="66"/>
        <v>23.282999999999998</v>
      </c>
      <c r="AB116" s="224" t="e">
        <f>VLOOKUP(A116,Enforcements!$C$7:$K$11,8,0)</f>
        <v>#N/A</v>
      </c>
      <c r="AC116" s="224" t="e">
        <f>VLOOKUP(A116,Enforcements!$C$7:$E$11,3,0)</f>
        <v>#N/A</v>
      </c>
      <c r="AD116" s="225">
        <f t="shared" si="67"/>
        <v>200</v>
      </c>
      <c r="AE116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16" s="227" t="str">
        <f t="shared" si="51"/>
        <v>"C:\Program Files (x86)\AstroGrep\AstroGrep.exe" /e /r /s /spath="%USERPROFILE%\AppData\Local\Temp\OnboardLogs" /stypes="app*4041*20171003*" /stext=" 23:.+((SYSTEM_STATE.+slice.+state.+changed )|(ment ac)|(multiple cpu faults)|(system.+state.+changed )|(\[timeout)|(PRM\|1\|D)|(kpr)|(kdp)|(train st.+moving)|(\|lc)|(penalty))"</v>
      </c>
      <c r="AG116" s="228" t="str">
        <f t="shared" si="68"/>
        <v>EC</v>
      </c>
      <c r="AH116" s="229" t="str">
        <f t="shared" si="53"/>
        <v>"%USERPROFILE%\Documents\GitHub\eaglep3\Utilities\RefineRTDCRunTimes.py" --tripid 200-03 --locoid 4041 --swversion DE.1.0.9.0 --startMP 204:232993 --initTime 2017-10-03T16:53:30 --startdatetime 2017-10-03T16:57:38 --delay 59 --endMP 204:163 --enddatetime 2017-10-03T17:37:03 --enforcementcount 0 &gt;&gt;%USERPROFILE%\Documents\GitHub\eaglep3-reporting\EC\2017-10-03-refined-times.txt</v>
      </c>
      <c r="AI11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{"issue":{"subject":"","project_id":79,"tracker_id":40,"status_id":1,"priority_id":2,"assigned_to_id":338,"start_date":"2017-10-03","description":"","custom_fields":[{"id":1,"name":"Subdivision","value":"EC"},{"id":4,"name":"Milepost","value":"0.0163"},{"id":17,"name":"Train ID","value":"200-03"},{"id":16,"name":"Locomotive ID","value":"4041"},{"id":130,"name":"Impact","value":""},{"id":150,"name":"Time of Event (Mountain Time)","value":"17:37:03"},{"id":151,"name":"Denver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10"/>
      <c r="AK116" s="225"/>
      <c r="AL116" s="225"/>
      <c r="AM116" s="231" t="str">
        <f t="shared" si="55"/>
        <v>start /low /b %USERPROFILE%\Documents\GitHub\eaglep3\Utilities\DownloadLogsFromS3.py --loco 4041 --day 2017-10-03</v>
      </c>
      <c r="AN11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10" t="str">
        <f t="shared" si="57"/>
        <v>https://d0f6bd738d7f1b3e5a7ca70fe4ff75f0.us-east-1.aws.found.io/app/kibana#/discover/Steve-Slow-Train-Analysis-(2080s-and-2083s)?_g=(refreshInterval:(display:Off,pause:!f,section:0,value:0),time:(from:'2017-10-03T15:53:30-0600',mode:absolute,to:'2017-10-03T18:37:03-0600'))&amp;_a=(columns:!('Message%20ID',Summary),filters:!(),index:'emp_*',interval:auto,query:(query_string:(analyze_wildcard:!t,query:'%22rtdc.l.rtdc.4041%22')),sort:!(Time.ISO8601,asc))</v>
      </c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  <c r="BM116" s="210"/>
      <c r="BN116" s="210"/>
      <c r="BO116" s="210"/>
      <c r="BP116" s="210"/>
      <c r="BQ116" s="210"/>
      <c r="BR116" s="210"/>
      <c r="BS116" s="210"/>
      <c r="BT116" s="210"/>
      <c r="BU116" s="210"/>
      <c r="BV116" s="210"/>
      <c r="BW116" s="210"/>
      <c r="BX116" s="210"/>
      <c r="BY116" s="210"/>
      <c r="BZ116" s="210"/>
      <c r="CA116" s="210"/>
      <c r="CB116" s="210"/>
      <c r="CC116" s="210"/>
      <c r="CD116" s="210"/>
      <c r="CE116" s="210"/>
      <c r="CF116" s="210"/>
      <c r="CG116" s="210"/>
      <c r="CH116" s="210"/>
      <c r="CI116" s="210"/>
      <c r="CJ116" s="210"/>
      <c r="CK116" s="210"/>
      <c r="CL116" s="210"/>
      <c r="CM116" s="210"/>
    </row>
    <row r="117" spans="1:91" s="20" customFormat="1" x14ac:dyDescent="0.25">
      <c r="A117" s="32" t="s">
        <v>766</v>
      </c>
      <c r="B117" s="7">
        <v>4012</v>
      </c>
      <c r="C117" s="21" t="s">
        <v>194</v>
      </c>
      <c r="D117" s="21" t="s">
        <v>355</v>
      </c>
      <c r="E117" s="13">
        <v>43011.671747685185</v>
      </c>
      <c r="F117" s="13">
        <v>43011.677291666667</v>
      </c>
      <c r="G117" s="7">
        <v>61</v>
      </c>
      <c r="H117" s="21" t="s">
        <v>852</v>
      </c>
      <c r="I117" s="13">
        <v>43011.702418981484</v>
      </c>
      <c r="J117" s="7">
        <v>0</v>
      </c>
      <c r="K117" s="85" t="str">
        <f t="shared" si="60"/>
        <v>4011/4012</v>
      </c>
      <c r="L117" s="179" t="str">
        <f>VLOOKUP(A117,'Trips&amp;Operators'!$C$1:$G$99911,5,FALSE)</f>
        <v>SMITH MICHAEL</v>
      </c>
      <c r="M117" s="6">
        <f t="shared" si="61"/>
        <v>2.5127314816927537E-2</v>
      </c>
      <c r="N117" s="7">
        <f t="shared" si="59"/>
        <v>36.183333336375654</v>
      </c>
      <c r="O117" s="7"/>
      <c r="P117" s="7"/>
      <c r="Q117" s="22"/>
      <c r="R117" s="169"/>
      <c r="S117" s="202">
        <f t="shared" si="58"/>
        <v>1</v>
      </c>
      <c r="T117" s="169" t="str">
        <f t="shared" si="62"/>
        <v>NorthBound</v>
      </c>
      <c r="U117" s="22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2" t="str">
        <f t="shared" si="44"/>
        <v>https://d0f6bd738d7f1b3e5a7ca70fe4ff75f0.us-east-1.aws.found.io/app/kibana#/discover/Steve-Slow-Train-Analysis-(2080s-and-2083s)?_g=(refreshInterval:(display:Off,pause:!f,section:0,value:0),time:(from:'2017-10-03T15:07:19-0600',mode:absolute,to:'2017-10-03T17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223" t="str">
        <f>IF(AA117&lt;VLOOKUP(AG117,Variables!$AC$3:$AD$8,2,FALSE),"Y","N")</f>
        <v>N</v>
      </c>
      <c r="X117" s="223">
        <f t="shared" si="63"/>
        <v>1</v>
      </c>
      <c r="Y117" s="223">
        <f t="shared" si="64"/>
        <v>4.58E-2</v>
      </c>
      <c r="Z117" s="223">
        <f t="shared" si="65"/>
        <v>23.329899999999999</v>
      </c>
      <c r="AA117" s="223">
        <f t="shared" si="66"/>
        <v>23.284099999999999</v>
      </c>
      <c r="AB117" s="224" t="e">
        <f>VLOOKUP(A117,Enforcements!$C$7:$K$11,8,0)</f>
        <v>#N/A</v>
      </c>
      <c r="AC117" s="224" t="e">
        <f>VLOOKUP(A117,Enforcements!$C$7:$E$11,3,0)</f>
        <v>#N/A</v>
      </c>
      <c r="AD117" s="225">
        <f t="shared" si="67"/>
        <v>201</v>
      </c>
      <c r="AE117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117" s="227" t="str">
        <f t="shared" si="51"/>
        <v>"C:\Program Files (x86)\AstroGrep\AstroGrep.exe" /e /r /s /spath="%USERPROFILE%\AppData\Local\Temp\OnboardLogs" /stypes="app*4012*20171003*" /stext=" 22:.+((SYSTEM_STATE.+slice.+state.+changed )|(ment ac)|(multiple cpu faults)|(system.+state.+changed )|(\[timeout)|(PRM\|1\|D)|(kpr)|(kdp)|(train st.+moving)|(\|lc)|(penalty))"</v>
      </c>
      <c r="AG117" s="228" t="str">
        <f t="shared" si="68"/>
        <v>EC</v>
      </c>
      <c r="AH117" s="229" t="str">
        <f t="shared" si="53"/>
        <v>"%USERPROFILE%\Documents\GitHub\eaglep3\Utilities\RefineRTDCRunTimes.py" --tripid 201-03 --locoid 4012 --swversion DE.1.0.9.0 --startMP 204:458 --initTime 2017-10-03T16:07:19 --startdatetime 2017-10-03T16:15:18 --delay 61 --endMP 204:233299 --enddatetime 2017-10-03T16:51:29 --enforcementcount 0 &gt;&gt;%USERPROFILE%\Documents\GitHub\eaglep3-reporting\EC\2017-10-03-refined-times.txt</v>
      </c>
      <c r="AI11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ID","value":"201-03"},{"id":16,"name":"Locomotive ID","value":"4012"},{"id":130,"name":"Impact","value":""},{"id":150,"name":"Time of Event (Mountain Time)","value":"16:51:29"},{"id":151,"name":"Denver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10"/>
      <c r="AK117" s="225"/>
      <c r="AL117" s="225"/>
      <c r="AM117" s="231" t="str">
        <f t="shared" si="55"/>
        <v>start /low /b %USERPROFILE%\Documents\GitHub\eaglep3\Utilities\DownloadLogsFromS3.py --loco 4012 --day 2017-10-03</v>
      </c>
      <c r="AN11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10" t="str">
        <f t="shared" si="57"/>
        <v>https://d0f6bd738d7f1b3e5a7ca70fe4ff75f0.us-east-1.aws.found.io/app/kibana#/discover/Steve-Slow-Train-Analysis-(2080s-and-2083s)?_g=(refreshInterval:(display:Off,pause:!f,section:0,value:0),time:(from:'2017-10-03T15:07:19-0600',mode:absolute,to:'2017-10-03T17:51:29-0600'))&amp;_a=(columns:!('Message%20ID',Summary),filters:!(),index:'emp_*',interval:auto,query:(query_string:(analyze_wildcard:!t,query:'%22rtdc.l.rtdc.4012%22')),sort:!(Time.ISO8601,asc))</v>
      </c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  <c r="BM117" s="210"/>
      <c r="BN117" s="210"/>
      <c r="BO117" s="210"/>
      <c r="BP117" s="210"/>
      <c r="BQ117" s="210"/>
      <c r="BR117" s="210"/>
      <c r="BS117" s="210"/>
      <c r="BT117" s="210"/>
      <c r="BU117" s="210"/>
      <c r="BV117" s="210"/>
      <c r="BW117" s="210"/>
      <c r="BX117" s="210"/>
      <c r="BY117" s="210"/>
      <c r="BZ117" s="210"/>
      <c r="CA117" s="210"/>
      <c r="CB117" s="210"/>
      <c r="CC117" s="210"/>
      <c r="CD117" s="210"/>
      <c r="CE117" s="210"/>
      <c r="CF117" s="210"/>
      <c r="CG117" s="210"/>
      <c r="CH117" s="210"/>
      <c r="CI117" s="210"/>
      <c r="CJ117" s="210"/>
      <c r="CK117" s="210"/>
      <c r="CL117" s="210"/>
      <c r="CM117" s="210"/>
    </row>
    <row r="118" spans="1:91" s="20" customFormat="1" x14ac:dyDescent="0.25">
      <c r="A118" s="32" t="s">
        <v>778</v>
      </c>
      <c r="B118" s="7">
        <v>4011</v>
      </c>
      <c r="C118" s="21" t="s">
        <v>194</v>
      </c>
      <c r="D118" s="21" t="s">
        <v>563</v>
      </c>
      <c r="E118" s="13">
        <v>43011.708969907406</v>
      </c>
      <c r="F118" s="13">
        <v>43011.717083333337</v>
      </c>
      <c r="G118" s="7">
        <v>75</v>
      </c>
      <c r="H118" s="21" t="s">
        <v>567</v>
      </c>
      <c r="I118" s="13">
        <v>43011.742743055554</v>
      </c>
      <c r="J118" s="7">
        <v>0</v>
      </c>
      <c r="K118" s="85" t="str">
        <f t="shared" si="60"/>
        <v>4011/4012</v>
      </c>
      <c r="L118" s="179" t="str">
        <f>VLOOKUP(A118,'Trips&amp;Operators'!$C$1:$G$99911,5,FALSE)</f>
        <v>SMITH MICHAEL</v>
      </c>
      <c r="M118" s="6">
        <f t="shared" si="61"/>
        <v>2.565972221782431E-2</v>
      </c>
      <c r="N118" s="7">
        <f t="shared" si="59"/>
        <v>36.949999993667006</v>
      </c>
      <c r="O118" s="7"/>
      <c r="P118" s="7"/>
      <c r="Q118" s="22"/>
      <c r="R118" s="169"/>
      <c r="S118" s="202">
        <f t="shared" si="58"/>
        <v>1</v>
      </c>
      <c r="T118" s="169" t="str">
        <f t="shared" si="62"/>
        <v>Southbound</v>
      </c>
      <c r="U118" s="22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2" t="str">
        <f t="shared" si="44"/>
        <v>https://d0f6bd738d7f1b3e5a7ca70fe4ff75f0.us-east-1.aws.found.io/app/kibana#/discover/Steve-Slow-Train-Analysis-(2080s-and-2083s)?_g=(refreshInterval:(display:Off,pause:!f,section:0,value:0),time:(from:'2017-10-03T16:00:55-0600',mode:absolute,to:'2017-10-03T18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223" t="str">
        <f>IF(AA118&lt;VLOOKUP(AG118,Variables!$AC$3:$AD$8,2,FALSE),"Y","N")</f>
        <v>N</v>
      </c>
      <c r="X118" s="223">
        <f t="shared" si="63"/>
        <v>1</v>
      </c>
      <c r="Y118" s="223">
        <f t="shared" si="64"/>
        <v>23.297999999999998</v>
      </c>
      <c r="Z118" s="223">
        <f t="shared" si="65"/>
        <v>1.7000000000000001E-2</v>
      </c>
      <c r="AA118" s="223">
        <f t="shared" si="66"/>
        <v>23.280999999999999</v>
      </c>
      <c r="AB118" s="224" t="e">
        <f>VLOOKUP(A118,Enforcements!$C$7:$K$11,8,0)</f>
        <v>#N/A</v>
      </c>
      <c r="AC118" s="224" t="e">
        <f>VLOOKUP(A118,Enforcements!$C$7:$E$11,3,0)</f>
        <v>#N/A</v>
      </c>
      <c r="AD118" s="225">
        <f t="shared" si="67"/>
        <v>202</v>
      </c>
      <c r="AE118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118" s="227" t="str">
        <f t="shared" si="51"/>
        <v>"C:\Program Files (x86)\AstroGrep\AstroGrep.exe" /e /r /s /spath="%USERPROFILE%\AppData\Local\Temp\OnboardLogs" /stypes="app*4011*20171003*" /stext=" 23:.+((SYSTEM_STATE.+slice.+state.+changed )|(ment ac)|(multiple cpu faults)|(system.+state.+changed )|(\[timeout)|(PRM\|1\|D)|(kpr)|(kdp)|(train st.+moving)|(\|lc)|(penalty))"</v>
      </c>
      <c r="AG118" s="228" t="str">
        <f t="shared" si="68"/>
        <v>EC</v>
      </c>
      <c r="AH118" s="229" t="str">
        <f t="shared" si="53"/>
        <v>"%USERPROFILE%\Documents\GitHub\eaglep3\Utilities\RefineRTDCRunTimes.py" --tripid 202-03 --locoid 4011 --swversion DE.1.0.9.0 --startMP 204:232980 --initTime 2017-10-03T17:00:55 --startdatetime 2017-10-03T17:12:36 --delay 75 --endMP 204:170 --enddatetime 2017-10-03T17:49:33 --enforcementcount 0 &gt;&gt;%USERPROFILE%\Documents\GitHub\eaglep3-reporting\EC\2017-10-03-refined-times.txt</v>
      </c>
      <c r="AI11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{"issue":{"subject":"","project_id":79,"tracker_id":40,"status_id":1,"priority_id":2,"assigned_to_id":338,"start_date":"2017-10-03","description":"","custom_fields":[{"id":1,"name":"Subdivision","value":"EC"},{"id":4,"name":"Milepost","value":"0.017"},{"id":17,"name":"Train ID","value":"202-03"},{"id":16,"name":"Locomotive ID","value":"4011"},{"id":130,"name":"Impact","value":""},{"id":150,"name":"Time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10"/>
      <c r="AK118" s="225"/>
      <c r="AL118" s="225"/>
      <c r="AM118" s="231" t="str">
        <f t="shared" si="55"/>
        <v>start /low /b %USERPROFILE%\Documents\GitHub\eaglep3\Utilities\DownloadLogsFromS3.py --loco 4011 --day 2017-10-03</v>
      </c>
      <c r="AN11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10" t="str">
        <f t="shared" si="57"/>
        <v>https://d0f6bd738d7f1b3e5a7ca70fe4ff75f0.us-east-1.aws.found.io/app/kibana#/discover/Steve-Slow-Train-Analysis-(2080s-and-2083s)?_g=(refreshInterval:(display:Off,pause:!f,section:0,value:0),time:(from:'2017-10-03T16:00:55-0600',mode:absolute,to:'2017-10-03T18:49:33-0600'))&amp;_a=(columns:!('Message%20ID',Summary),filters:!(),index:'emp_*',interval:auto,query:(query_string:(analyze_wildcard:!t,query:'%22rtdc.l.rtdc.4011%22')),sort:!(Time.ISO8601,asc))</v>
      </c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  <c r="BM118" s="210"/>
      <c r="BN118" s="210"/>
      <c r="BO118" s="210"/>
      <c r="BP118" s="210"/>
      <c r="BQ118" s="210"/>
      <c r="BR118" s="210"/>
      <c r="BS118" s="210"/>
      <c r="BT118" s="210"/>
      <c r="BU118" s="210"/>
      <c r="BV118" s="210"/>
      <c r="BW118" s="210"/>
      <c r="BX118" s="210"/>
      <c r="BY118" s="210"/>
      <c r="BZ118" s="210"/>
      <c r="CA118" s="210"/>
      <c r="CB118" s="210"/>
      <c r="CC118" s="210"/>
      <c r="CD118" s="210"/>
      <c r="CE118" s="210"/>
      <c r="CF118" s="210"/>
      <c r="CG118" s="210"/>
      <c r="CH118" s="210"/>
      <c r="CI118" s="210"/>
      <c r="CJ118" s="210"/>
      <c r="CK118" s="210"/>
      <c r="CL118" s="210"/>
      <c r="CM118" s="210"/>
    </row>
    <row r="119" spans="1:91" s="20" customFormat="1" x14ac:dyDescent="0.25">
      <c r="A119" s="32" t="s">
        <v>769</v>
      </c>
      <c r="B119" s="7">
        <v>4032</v>
      </c>
      <c r="C119" s="21" t="s">
        <v>194</v>
      </c>
      <c r="D119" s="21" t="s">
        <v>460</v>
      </c>
      <c r="E119" s="13">
        <v>43011.682523148149</v>
      </c>
      <c r="F119" s="13">
        <v>43011.687673611108</v>
      </c>
      <c r="G119" s="7">
        <v>64</v>
      </c>
      <c r="H119" s="21" t="s">
        <v>514</v>
      </c>
      <c r="I119" s="13">
        <v>43011.712245370371</v>
      </c>
      <c r="J119" s="7">
        <v>0</v>
      </c>
      <c r="K119" s="85" t="str">
        <f t="shared" si="60"/>
        <v>4031/4032</v>
      </c>
      <c r="L119" s="179" t="str">
        <f>VLOOKUP(A119,'Trips&amp;Operators'!$C$1:$G$99911,5,FALSE)</f>
        <v>BRUDER RICHARD</v>
      </c>
      <c r="M119" s="6">
        <f t="shared" si="61"/>
        <v>2.457175926247146E-2</v>
      </c>
      <c r="N119" s="7">
        <f t="shared" si="59"/>
        <v>35.383333337958902</v>
      </c>
      <c r="O119" s="7"/>
      <c r="P119" s="7"/>
      <c r="Q119" s="22"/>
      <c r="R119" s="169"/>
      <c r="S119" s="202">
        <f t="shared" ref="S119:S149" si="69">1/IF(AG119="EC",12,1)*SUM(U119:U119)</f>
        <v>1</v>
      </c>
      <c r="T119" s="169" t="str">
        <f t="shared" si="62"/>
        <v>NorthBound</v>
      </c>
      <c r="U119" s="22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2" t="str">
        <f t="shared" si="44"/>
        <v>https://d0f6bd738d7f1b3e5a7ca70fe4ff75f0.us-east-1.aws.found.io/app/kibana#/discover/Steve-Slow-Train-Analysis-(2080s-and-2083s)?_g=(refreshInterval:(display:Off,pause:!f,section:0,value:0),time:(from:'2017-10-03T15:22:50-0600',mode:absolute,to:'2017-10-03T18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223" t="str">
        <f>IF(AA119&lt;VLOOKUP(AG119,Variables!$AC$3:$AD$8,2,FALSE),"Y","N")</f>
        <v>N</v>
      </c>
      <c r="X119" s="223">
        <f t="shared" si="63"/>
        <v>1</v>
      </c>
      <c r="Y119" s="223">
        <f t="shared" si="64"/>
        <v>4.4900000000000002E-2</v>
      </c>
      <c r="Z119" s="223">
        <f t="shared" si="65"/>
        <v>23.331499999999998</v>
      </c>
      <c r="AA119" s="223">
        <f t="shared" si="66"/>
        <v>23.2866</v>
      </c>
      <c r="AB119" s="224" t="e">
        <f>VLOOKUP(A119,Enforcements!$C$7:$K$11,8,0)</f>
        <v>#N/A</v>
      </c>
      <c r="AC119" s="224" t="e">
        <f>VLOOKUP(A119,Enforcements!$C$7:$E$11,3,0)</f>
        <v>#N/A</v>
      </c>
      <c r="AD119" s="225">
        <f t="shared" si="67"/>
        <v>203</v>
      </c>
      <c r="AE119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19" s="227" t="str">
        <f t="shared" si="51"/>
        <v>"C:\Program Files (x86)\AstroGrep\AstroGrep.exe" /e /r /s /spath="%USERPROFILE%\AppData\Local\Temp\OnboardLogs" /stypes="app*4032*20171003*" /stext=" 23:.+((SYSTEM_STATE.+slice.+state.+changed )|(ment ac)|(multiple cpu faults)|(system.+state.+changed )|(\[timeout)|(PRM\|1\|D)|(kpr)|(kdp)|(train st.+moving)|(\|lc)|(penalty))"</v>
      </c>
      <c r="AG119" s="228" t="str">
        <f t="shared" si="68"/>
        <v>EC</v>
      </c>
      <c r="AH119" s="229" t="str">
        <f t="shared" si="53"/>
        <v>"%USERPROFILE%\Documents\GitHub\eaglep3\Utilities\RefineRTDCRunTimes.py" --tripid 203-03 --locoid 4032 --swversion DE.1.0.9.0 --startMP 204:449 --initTime 2017-10-03T16:22:50 --startdatetime 2017-10-03T16:30:15 --delay 64 --endMP 204:233315 --enddatetime 2017-10-03T17:05:38 --enforcementcount 0 &gt;&gt;%USERPROFILE%\Documents\GitHub\eaglep3-reporting\EC\2017-10-03-refined-times.txt</v>
      </c>
      <c r="AI11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{"issue":{"subject":"","project_id":79,"tracker_id":40,"status_id":1,"priority_id":2,"assigned_to_id":338,"start_date":"2017-10-03","description":"","custom_fields":[{"id":1,"name":"Subdivision","value":"EC"},{"id":4,"name":"Milepost","value":"23.3315"},{"id":17,"name":"Train ID","value":"203-03"},{"id":16,"name":"Locomotive ID","value":"4032"},{"id":130,"name":"Impact","value":""},{"id":150,"name":"Time of Event (Mountain Time)","value":"17:05:38"},{"id":151,"name":"Denver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10"/>
      <c r="AK119" s="225"/>
      <c r="AL119" s="225"/>
      <c r="AM119" s="231" t="str">
        <f t="shared" si="55"/>
        <v>start /low /b %USERPROFILE%\Documents\GitHub\eaglep3\Utilities\DownloadLogsFromS3.py --loco 4032 --day 2017-10-03</v>
      </c>
      <c r="AN11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10" t="str">
        <f t="shared" si="57"/>
        <v>https://d0f6bd738d7f1b3e5a7ca70fe4ff75f0.us-east-1.aws.found.io/app/kibana#/discover/Steve-Slow-Train-Analysis-(2080s-and-2083s)?_g=(refreshInterval:(display:Off,pause:!f,section:0,value:0),time:(from:'2017-10-03T15:22:50-0600',mode:absolute,to:'2017-10-03T18:05:38-0600'))&amp;_a=(columns:!('Message%20ID',Summary),filters:!(),index:'emp_*',interval:auto,query:(query_string:(analyze_wildcard:!t,query:'%22rtdc.l.rtdc.4032%22')),sort:!(Time.ISO8601,asc))</v>
      </c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  <c r="BM119" s="210"/>
      <c r="BN119" s="210"/>
      <c r="BO119" s="210"/>
      <c r="BP119" s="210"/>
      <c r="BQ119" s="210"/>
      <c r="BR119" s="210"/>
      <c r="BS119" s="210"/>
      <c r="BT119" s="210"/>
      <c r="BU119" s="210"/>
      <c r="BV119" s="210"/>
      <c r="BW119" s="210"/>
      <c r="BX119" s="210"/>
      <c r="BY119" s="210"/>
      <c r="BZ119" s="210"/>
      <c r="CA119" s="210"/>
      <c r="CB119" s="210"/>
      <c r="CC119" s="210"/>
      <c r="CD119" s="210"/>
      <c r="CE119" s="210"/>
      <c r="CF119" s="210"/>
      <c r="CG119" s="210"/>
      <c r="CH119" s="210"/>
      <c r="CI119" s="210"/>
      <c r="CJ119" s="210"/>
      <c r="CK119" s="210"/>
      <c r="CL119" s="210"/>
      <c r="CM119" s="210"/>
    </row>
    <row r="120" spans="1:91" s="20" customFormat="1" x14ac:dyDescent="0.25">
      <c r="A120" s="32" t="s">
        <v>782</v>
      </c>
      <c r="B120" s="7">
        <v>4031</v>
      </c>
      <c r="C120" s="21" t="s">
        <v>194</v>
      </c>
      <c r="D120" s="21" t="s">
        <v>456</v>
      </c>
      <c r="E120" s="13">
        <v>43011.723321759258</v>
      </c>
      <c r="F120" s="13">
        <v>43011.72724537037</v>
      </c>
      <c r="G120" s="7">
        <v>88</v>
      </c>
      <c r="H120" s="21" t="s">
        <v>370</v>
      </c>
      <c r="I120" s="13">
        <v>43011.752812500003</v>
      </c>
      <c r="J120" s="7">
        <v>0</v>
      </c>
      <c r="K120" s="85" t="str">
        <f t="shared" si="60"/>
        <v>4031/4032</v>
      </c>
      <c r="L120" s="179" t="str">
        <f>VLOOKUP(A120,'Trips&amp;Operators'!$C$1:$G$99911,5,FALSE)</f>
        <v>BRUDER RICHARD</v>
      </c>
      <c r="M120" s="6">
        <f t="shared" si="61"/>
        <v>2.5567129632690921E-2</v>
      </c>
      <c r="N120" s="7">
        <f t="shared" ref="N120:P149" si="70">24*60*SUM($M120:$M120)</f>
        <v>36.816666671074927</v>
      </c>
      <c r="O120" s="7"/>
      <c r="P120" s="7"/>
      <c r="Q120" s="22"/>
      <c r="R120" s="169"/>
      <c r="S120" s="202">
        <f t="shared" si="69"/>
        <v>1</v>
      </c>
      <c r="T120" s="169" t="str">
        <f t="shared" si="62"/>
        <v>Southbound</v>
      </c>
      <c r="U120" s="22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2" t="str">
        <f t="shared" si="44"/>
        <v>https://d0f6bd738d7f1b3e5a7ca70fe4ff75f0.us-east-1.aws.found.io/app/kibana#/discover/Steve-Slow-Train-Analysis-(2080s-and-2083s)?_g=(refreshInterval:(display:Off,pause:!f,section:0,value:0),time:(from:'2017-10-03T16:21:35-0600',mode:absolute,to:'2017-10-03T19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223" t="str">
        <f>IF(AA120&lt;VLOOKUP(AG120,Variables!$AC$3:$AD$8,2,FALSE),"Y","N")</f>
        <v>N</v>
      </c>
      <c r="X120" s="223">
        <f t="shared" si="63"/>
        <v>1</v>
      </c>
      <c r="Y120" s="223">
        <f t="shared" si="64"/>
        <v>23.299099999999999</v>
      </c>
      <c r="Z120" s="223">
        <f t="shared" si="65"/>
        <v>1.5800000000000002E-2</v>
      </c>
      <c r="AA120" s="223">
        <f t="shared" si="66"/>
        <v>23.283300000000001</v>
      </c>
      <c r="AB120" s="224" t="e">
        <f>VLOOKUP(A120,Enforcements!$C$7:$K$11,8,0)</f>
        <v>#N/A</v>
      </c>
      <c r="AC120" s="224" t="e">
        <f>VLOOKUP(A120,Enforcements!$C$7:$E$11,3,0)</f>
        <v>#N/A</v>
      </c>
      <c r="AD120" s="225">
        <f t="shared" si="67"/>
        <v>204</v>
      </c>
      <c r="AE120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20" s="227" t="str">
        <f t="shared" si="51"/>
        <v>"C:\Program Files (x86)\AstroGrep\AstroGrep.exe" /e /r /s /spath="%USERPROFILE%\AppData\Local\Temp\OnboardLogs" /stypes="app*4031*20171004*" /stext=" 00:.+((SYSTEM_STATE.+slice.+state.+changed )|(ment ac)|(multiple cpu faults)|(system.+state.+changed )|(\[timeout)|(PRM\|1\|D)|(kpr)|(kdp)|(train st.+moving)|(\|lc)|(penalty))"</v>
      </c>
      <c r="AG120" s="228" t="str">
        <f t="shared" si="68"/>
        <v>EC</v>
      </c>
      <c r="AH120" s="229" t="str">
        <f t="shared" si="53"/>
        <v>"%USERPROFILE%\Documents\GitHub\eaglep3\Utilities\RefineRTDCRunTimes.py" --tripid 204-03 --locoid 4031 --swversion DE.1.0.9.0 --startMP 204:232991 --initTime 2017-10-03T17:21:35 --startdatetime 2017-10-03T17:27:14 --delay 88 --endMP 204:158 --enddatetime 2017-10-03T18:04:03 --enforcementcount 0 &gt;&gt;%USERPROFILE%\Documents\GitHub\eaglep3-reporting\EC\2017-10-03-refined-times.txt</v>
      </c>
      <c r="AI12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ID","value":"204-03"},{"id":16,"name":"Locomotive ID","value":"4031"},{"id":130,"name":"Impact","value":""},{"id":150,"name":"Time of Event (Mountain Time)","value":"18:04:03"},{"id":151,"name":"Denver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10"/>
      <c r="AK120" s="225"/>
      <c r="AL120" s="225"/>
      <c r="AM120" s="231" t="str">
        <f t="shared" si="55"/>
        <v>start /low /b %USERPROFILE%\Documents\GitHub\eaglep3\Utilities\DownloadLogsFromS3.py --loco 4031 --day 2017-10-03</v>
      </c>
      <c r="AN120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10" t="str">
        <f t="shared" si="57"/>
        <v>https://d0f6bd738d7f1b3e5a7ca70fe4ff75f0.us-east-1.aws.found.io/app/kibana#/discover/Steve-Slow-Train-Analysis-(2080s-and-2083s)?_g=(refreshInterval:(display:Off,pause:!f,section:0,value:0),time:(from:'2017-10-03T16:21:35-0600',mode:absolute,to:'2017-10-03T19:04:03-0600'))&amp;_a=(columns:!('Message%20ID',Summary),filters:!(),index:'emp_*',interval:auto,query:(query_string:(analyze_wildcard:!t,query:'%22rtdc.l.rtdc.4031%22')),sort:!(Time.ISO8601,asc))</v>
      </c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  <c r="BM120" s="210"/>
      <c r="BN120" s="210"/>
      <c r="BO120" s="210"/>
      <c r="BP120" s="210"/>
      <c r="BQ120" s="210"/>
      <c r="BR120" s="210"/>
      <c r="BS120" s="210"/>
      <c r="BT120" s="210"/>
      <c r="BU120" s="210"/>
      <c r="BV120" s="210"/>
      <c r="BW120" s="210"/>
      <c r="BX120" s="210"/>
      <c r="BY120" s="210"/>
      <c r="BZ120" s="210"/>
      <c r="CA120" s="210"/>
      <c r="CB120" s="210"/>
      <c r="CC120" s="210"/>
      <c r="CD120" s="210"/>
      <c r="CE120" s="210"/>
      <c r="CF120" s="210"/>
      <c r="CG120" s="210"/>
      <c r="CH120" s="210"/>
      <c r="CI120" s="210"/>
      <c r="CJ120" s="210"/>
      <c r="CK120" s="210"/>
      <c r="CL120" s="210"/>
      <c r="CM120" s="210"/>
    </row>
    <row r="121" spans="1:91" s="20" customFormat="1" x14ac:dyDescent="0.25">
      <c r="A121" s="32" t="s">
        <v>774</v>
      </c>
      <c r="B121" s="7">
        <v>4056</v>
      </c>
      <c r="C121" s="21" t="s">
        <v>194</v>
      </c>
      <c r="D121" s="21" t="s">
        <v>460</v>
      </c>
      <c r="E121" s="13">
        <v>43011.693344907406</v>
      </c>
      <c r="F121" s="13">
        <v>43011.698148148149</v>
      </c>
      <c r="G121" s="7">
        <v>67</v>
      </c>
      <c r="H121" s="21" t="s">
        <v>561</v>
      </c>
      <c r="I121" s="13">
        <v>43011.724027777775</v>
      </c>
      <c r="J121" s="7">
        <v>0</v>
      </c>
      <c r="K121" s="85" t="str">
        <f t="shared" si="60"/>
        <v>4055/4056</v>
      </c>
      <c r="L121" s="179" t="str">
        <f>VLOOKUP(A121,'Trips&amp;Operators'!$C$1:$G$99911,5,FALSE)</f>
        <v>DAVIDSON DAVID</v>
      </c>
      <c r="M121" s="6">
        <f t="shared" si="61"/>
        <v>2.5879629625706002E-2</v>
      </c>
      <c r="N121" s="7">
        <f t="shared" si="70"/>
        <v>37.266666661016643</v>
      </c>
      <c r="O121" s="7"/>
      <c r="P121" s="7"/>
      <c r="Q121" s="22"/>
      <c r="R121" s="169"/>
      <c r="S121" s="202">
        <f t="shared" si="69"/>
        <v>1</v>
      </c>
      <c r="T121" s="169" t="str">
        <f t="shared" si="62"/>
        <v>NorthBound</v>
      </c>
      <c r="U121" s="22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2" t="str">
        <f t="shared" si="44"/>
        <v>https://d0f6bd738d7f1b3e5a7ca70fe4ff75f0.us-east-1.aws.found.io/app/kibana#/discover/Steve-Slow-Train-Analysis-(2080s-and-2083s)?_g=(refreshInterval:(display:Off,pause:!f,section:0,value:0),time:(from:'2017-10-03T15:38:25-0600',mode:absolute,to:'2017-10-03T18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23" t="str">
        <f>IF(AA121&lt;VLOOKUP(AG121,Variables!$AC$3:$AD$8,2,FALSE),"Y","N")</f>
        <v>N</v>
      </c>
      <c r="X121" s="223">
        <f t="shared" si="63"/>
        <v>1</v>
      </c>
      <c r="Y121" s="223">
        <f t="shared" si="64"/>
        <v>4.4900000000000002E-2</v>
      </c>
      <c r="Z121" s="223">
        <f t="shared" si="65"/>
        <v>23.330300000000001</v>
      </c>
      <c r="AA121" s="223">
        <f t="shared" si="66"/>
        <v>23.285400000000003</v>
      </c>
      <c r="AB121" s="224" t="e">
        <f>VLOOKUP(A121,Enforcements!$C$7:$K$11,8,0)</f>
        <v>#N/A</v>
      </c>
      <c r="AC121" s="224" t="e">
        <f>VLOOKUP(A121,Enforcements!$C$7:$E$11,3,0)</f>
        <v>#N/A</v>
      </c>
      <c r="AD121" s="225">
        <f t="shared" si="67"/>
        <v>205</v>
      </c>
      <c r="AE121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21" s="227" t="str">
        <f t="shared" si="51"/>
        <v>"C:\Program Files (x86)\AstroGrep\AstroGrep.exe" /e /r /s /spath="%USERPROFILE%\AppData\Local\Temp\OnboardLogs" /stypes="app*4056*20171003*" /stext=" 23:.+((SYSTEM_STATE.+slice.+state.+changed )|(ment ac)|(multiple cpu faults)|(system.+state.+changed )|(\[timeout)|(PRM\|1\|D)|(kpr)|(kdp)|(train st.+moving)|(\|lc)|(penalty))"</v>
      </c>
      <c r="AG121" s="228" t="str">
        <f t="shared" si="68"/>
        <v>EC</v>
      </c>
      <c r="AH121" s="229" t="str">
        <f t="shared" si="53"/>
        <v>"%USERPROFILE%\Documents\GitHub\eaglep3\Utilities\RefineRTDCRunTimes.py" --tripid 205-03 --locoid 4056 --swversion DE.1.0.9.0 --startMP 204:449 --initTime 2017-10-03T16:38:25 --startdatetime 2017-10-03T16:45:20 --delay 67 --endMP 204:233303 --enddatetime 2017-10-03T17:22:36 --enforcementcount 0 &gt;&gt;%USERPROFILE%\Documents\GitHub\eaglep3-reporting\EC\2017-10-03-refined-times.txt</v>
      </c>
      <c r="AI12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{"issue":{"subject":"","project_id":79,"tracker_id":40,"status_id":1,"priority_id":2,"assigned_to_id":338,"start_date":"2017-10-03","description":"","custom_fields":[{"id":1,"name":"Subdivision","value":"EC"},{"id":4,"name":"Milepost","value":"23.3303"},{"id":17,"name":"Train ID","value":"205-03"},{"id":16,"name":"Locomotive ID","value":"4056"},{"id":130,"name":"Impact","value":""},{"id":150,"name":"Time of Event (Mountain Time)","value":"17:22:36"},{"id":151,"name":"Denver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10"/>
      <c r="AK121" s="225"/>
      <c r="AL121" s="225"/>
      <c r="AM121" s="231" t="str">
        <f t="shared" si="55"/>
        <v>start /low /b %USERPROFILE%\Documents\GitHub\eaglep3\Utilities\DownloadLogsFromS3.py --loco 4056 --day 2017-10-03</v>
      </c>
      <c r="AN12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10" t="str">
        <f t="shared" si="57"/>
        <v>https://d0f6bd738d7f1b3e5a7ca70fe4ff75f0.us-east-1.aws.found.io/app/kibana#/discover/Steve-Slow-Train-Analysis-(2080s-and-2083s)?_g=(refreshInterval:(display:Off,pause:!f,section:0,value:0),time:(from:'2017-10-03T15:38:25-0600',mode:absolute,to:'2017-10-03T18:22:36-0600'))&amp;_a=(columns:!('Message%20ID',Summary),filters:!(),index:'emp_*',interval:auto,query:(query_string:(analyze_wildcard:!t,query:'%22rtdc.l.rtdc.4056%22')),sort:!(Time.ISO8601,asc))</v>
      </c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  <c r="BM121" s="210"/>
      <c r="BN121" s="210"/>
      <c r="BO121" s="210"/>
      <c r="BP121" s="210"/>
      <c r="BQ121" s="210"/>
      <c r="BR121" s="210"/>
      <c r="BS121" s="210"/>
      <c r="BT121" s="210"/>
      <c r="BU121" s="210"/>
      <c r="BV121" s="210"/>
      <c r="BW121" s="210"/>
      <c r="BX121" s="210"/>
      <c r="BY121" s="210"/>
      <c r="BZ121" s="210"/>
      <c r="CA121" s="210"/>
      <c r="CB121" s="210"/>
      <c r="CC121" s="210"/>
      <c r="CD121" s="210"/>
      <c r="CE121" s="210"/>
      <c r="CF121" s="210"/>
      <c r="CG121" s="210"/>
      <c r="CH121" s="210"/>
      <c r="CI121" s="210"/>
      <c r="CJ121" s="210"/>
      <c r="CK121" s="210"/>
      <c r="CL121" s="210"/>
      <c r="CM121" s="210"/>
    </row>
    <row r="122" spans="1:91" s="20" customFormat="1" x14ac:dyDescent="0.25">
      <c r="A122" s="32" t="s">
        <v>783</v>
      </c>
      <c r="B122" s="7">
        <v>4055</v>
      </c>
      <c r="C122" s="21" t="s">
        <v>194</v>
      </c>
      <c r="D122" s="21" t="s">
        <v>365</v>
      </c>
      <c r="E122" s="13">
        <v>43011.725347222222</v>
      </c>
      <c r="F122" s="13">
        <v>43011.737824074073</v>
      </c>
      <c r="G122" s="7">
        <v>76</v>
      </c>
      <c r="H122" s="21" t="s">
        <v>366</v>
      </c>
      <c r="I122" s="13">
        <v>43011.764814814815</v>
      </c>
      <c r="J122" s="7">
        <v>0</v>
      </c>
      <c r="K122" s="85" t="str">
        <f t="shared" si="60"/>
        <v>4055/4056</v>
      </c>
      <c r="L122" s="179" t="str">
        <f>VLOOKUP(A122,'Trips&amp;Operators'!$C$1:$G$99911,5,FALSE)</f>
        <v>DAVIDSON DAVID</v>
      </c>
      <c r="M122" s="6">
        <f t="shared" si="61"/>
        <v>2.6990740741894115E-2</v>
      </c>
      <c r="N122" s="7">
        <f t="shared" si="70"/>
        <v>38.866666668327525</v>
      </c>
      <c r="O122" s="7"/>
      <c r="P122" s="7"/>
      <c r="Q122" s="22"/>
      <c r="R122" s="169"/>
      <c r="S122" s="202">
        <f t="shared" si="69"/>
        <v>1</v>
      </c>
      <c r="T122" s="169" t="str">
        <f t="shared" si="62"/>
        <v>Southbound</v>
      </c>
      <c r="U122" s="22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2" t="str">
        <f t="shared" si="44"/>
        <v>https://d0f6bd738d7f1b3e5a7ca70fe4ff75f0.us-east-1.aws.found.io/app/kibana#/discover/Steve-Slow-Train-Analysis-(2080s-and-2083s)?_g=(refreshInterval:(display:Off,pause:!f,section:0,value:0),time:(from:'2017-10-03T16:24:30-0600',mode:absolute,to:'2017-10-03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23" t="str">
        <f>IF(AA122&lt;VLOOKUP(AG122,Variables!$AC$3:$AD$8,2,FALSE),"Y","N")</f>
        <v>N</v>
      </c>
      <c r="X122" s="223">
        <f t="shared" si="63"/>
        <v>1</v>
      </c>
      <c r="Y122" s="223">
        <f t="shared" si="64"/>
        <v>23.297699999999999</v>
      </c>
      <c r="Z122" s="223">
        <f t="shared" si="65"/>
        <v>1.61E-2</v>
      </c>
      <c r="AA122" s="223">
        <f t="shared" si="66"/>
        <v>23.281599999999997</v>
      </c>
      <c r="AB122" s="224" t="e">
        <f>VLOOKUP(A122,Enforcements!$C$7:$K$11,8,0)</f>
        <v>#N/A</v>
      </c>
      <c r="AC122" s="224" t="e">
        <f>VLOOKUP(A122,Enforcements!$C$7:$E$11,3,0)</f>
        <v>#N/A</v>
      </c>
      <c r="AD122" s="225">
        <f t="shared" si="67"/>
        <v>206</v>
      </c>
      <c r="AE122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22" s="227" t="str">
        <f t="shared" si="51"/>
        <v>"C:\Program Files (x86)\AstroGrep\AstroGrep.exe" /e /r /s /spath="%USERPROFILE%\AppData\Local\Temp\OnboardLogs" /stypes="app*4055*20171004*" /stext=" 00:.+((SYSTEM_STATE.+slice.+state.+changed )|(ment ac)|(multiple cpu faults)|(system.+state.+changed )|(\[timeout)|(PRM\|1\|D)|(kpr)|(kdp)|(train st.+moving)|(\|lc)|(penalty))"</v>
      </c>
      <c r="AG122" s="228" t="str">
        <f t="shared" si="68"/>
        <v>EC</v>
      </c>
      <c r="AH122" s="229" t="str">
        <f t="shared" si="53"/>
        <v>"%USERPROFILE%\Documents\GitHub\eaglep3\Utilities\RefineRTDCRunTimes.py" --tripid 206-03 --locoid 4055 --swversion DE.1.0.9.0 --startMP 204:232977 --initTime 2017-10-03T17:24:30 --startdatetime 2017-10-03T17:42:28 --delay 76 --endMP 204:161 --enddatetime 2017-10-03T18:21:20 --enforcementcount 0 &gt;&gt;%USERPROFILE%\Documents\GitHub\eaglep3-reporting\EC\2017-10-03-refined-times.txt</v>
      </c>
      <c r="AI12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ID","value":"206-03"},{"id":16,"name":"Locomotive ID","value":"4055"},{"id":130,"name":"Impact","value":""},{"id":150,"name":"Time of Event (Mountain Time)","value":"18:21:20"},{"id":151,"name":"Denver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10"/>
      <c r="AK122" s="225"/>
      <c r="AL122" s="225"/>
      <c r="AM122" s="231" t="str">
        <f t="shared" si="55"/>
        <v>start /low /b %USERPROFILE%\Documents\GitHub\eaglep3\Utilities\DownloadLogsFromS3.py --loco 4055 --day 2017-10-03</v>
      </c>
      <c r="AN122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10" t="str">
        <f t="shared" si="57"/>
        <v>https://d0f6bd738d7f1b3e5a7ca70fe4ff75f0.us-east-1.aws.found.io/app/kibana#/discover/Steve-Slow-Train-Analysis-(2080s-and-2083s)?_g=(refreshInterval:(display:Off,pause:!f,section:0,value:0),time:(from:'2017-10-03T16:24:30-0600',mode:absolute,to:'2017-10-03T19:21:20-0600'))&amp;_a=(columns:!('Message%20ID',Summary),filters:!(),index:'emp_*',interval:auto,query:(query_string:(analyze_wildcard:!t,query:'%22rtdc.l.rtdc.4055%22')),sort:!(Time.ISO8601,asc))</v>
      </c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  <c r="BM122" s="210"/>
      <c r="BN122" s="210"/>
      <c r="BO122" s="210"/>
      <c r="BP122" s="210"/>
      <c r="BQ122" s="210"/>
      <c r="BR122" s="210"/>
      <c r="BS122" s="210"/>
      <c r="BT122" s="210"/>
      <c r="BU122" s="210"/>
      <c r="BV122" s="210"/>
      <c r="BW122" s="210"/>
      <c r="BX122" s="210"/>
      <c r="BY122" s="210"/>
      <c r="BZ122" s="210"/>
      <c r="CA122" s="210"/>
      <c r="CB122" s="210"/>
      <c r="CC122" s="210"/>
      <c r="CD122" s="210"/>
      <c r="CE122" s="210"/>
      <c r="CF122" s="210"/>
      <c r="CG122" s="210"/>
      <c r="CH122" s="210"/>
      <c r="CI122" s="210"/>
      <c r="CJ122" s="210"/>
      <c r="CK122" s="210"/>
      <c r="CL122" s="210"/>
      <c r="CM122" s="210"/>
    </row>
    <row r="123" spans="1:91" s="20" customFormat="1" x14ac:dyDescent="0.25">
      <c r="A123" s="32" t="s">
        <v>776</v>
      </c>
      <c r="B123" s="7">
        <v>4060</v>
      </c>
      <c r="C123" s="21" t="s">
        <v>194</v>
      </c>
      <c r="D123" s="21" t="s">
        <v>885</v>
      </c>
      <c r="E123" s="13">
        <v>43011.704155092593</v>
      </c>
      <c r="F123" s="13">
        <v>43011.708495370367</v>
      </c>
      <c r="G123" s="7">
        <v>60</v>
      </c>
      <c r="H123" s="21" t="s">
        <v>459</v>
      </c>
      <c r="I123" s="13">
        <v>43011.733796296299</v>
      </c>
      <c r="J123" s="7">
        <v>0</v>
      </c>
      <c r="K123" s="85" t="str">
        <f t="shared" si="60"/>
        <v>4059/4060</v>
      </c>
      <c r="L123" s="179" t="str">
        <f>VLOOKUP(A123,'Trips&amp;Operators'!$C$1:$G$99911,5,FALSE)</f>
        <v>LEVIN SCOTT</v>
      </c>
      <c r="M123" s="6">
        <f t="shared" si="61"/>
        <v>2.5300925932242535E-2</v>
      </c>
      <c r="N123" s="7">
        <f t="shared" si="70"/>
        <v>36.43333334242925</v>
      </c>
      <c r="O123" s="7"/>
      <c r="P123" s="7"/>
      <c r="Q123" s="22"/>
      <c r="R123" s="169"/>
      <c r="S123" s="202">
        <f t="shared" si="69"/>
        <v>1</v>
      </c>
      <c r="T123" s="169" t="str">
        <f t="shared" si="62"/>
        <v>NorthBound</v>
      </c>
      <c r="U123" s="22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2" t="str">
        <f t="shared" si="44"/>
        <v>https://d0f6bd738d7f1b3e5a7ca70fe4ff75f0.us-east-1.aws.found.io/app/kibana#/discover/Steve-Slow-Train-Analysis-(2080s-and-2083s)?_g=(refreshInterval:(display:Off,pause:!f,section:0,value:0),time:(from:'2017-10-03T15:53:59-0600',mode:absolute,to:'2017-10-03T18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3" s="223" t="str">
        <f>IF(AA123&lt;VLOOKUP(AG123,Variables!$AC$3:$AD$8,2,FALSE),"Y","N")</f>
        <v>N</v>
      </c>
      <c r="X123" s="223">
        <f t="shared" si="63"/>
        <v>1</v>
      </c>
      <c r="Y123" s="223">
        <f t="shared" si="64"/>
        <v>4.3999999999999997E-2</v>
      </c>
      <c r="Z123" s="223">
        <f t="shared" si="65"/>
        <v>23.333400000000001</v>
      </c>
      <c r="AA123" s="223">
        <f t="shared" si="66"/>
        <v>23.289400000000001</v>
      </c>
      <c r="AB123" s="224" t="e">
        <f>VLOOKUP(A123,Enforcements!$C$7:$K$11,8,0)</f>
        <v>#N/A</v>
      </c>
      <c r="AC123" s="224" t="e">
        <f>VLOOKUP(A123,Enforcements!$C$7:$E$11,3,0)</f>
        <v>#N/A</v>
      </c>
      <c r="AD123" s="225">
        <f t="shared" si="67"/>
        <v>207</v>
      </c>
      <c r="AE123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123" s="227" t="str">
        <f t="shared" si="51"/>
        <v>"C:\Program Files (x86)\AstroGrep\AstroGrep.exe" /e /r /s /spath="%USERPROFILE%\AppData\Local\Temp\OnboardLogs" /stypes="app*4060*20171003*" /stext=" 23:.+((SYSTEM_STATE.+slice.+state.+changed )|(ment ac)|(multiple cpu faults)|(system.+state.+changed )|(\[timeout)|(PRM\|1\|D)|(kpr)|(kdp)|(train st.+moving)|(\|lc)|(penalty))"</v>
      </c>
      <c r="AG123" s="228" t="str">
        <f t="shared" si="68"/>
        <v>EC</v>
      </c>
      <c r="AH123" s="229" t="str">
        <f t="shared" si="53"/>
        <v>"%USERPROFILE%\Documents\GitHub\eaglep3\Utilities\RefineRTDCRunTimes.py" --tripid 207-03 --locoid 4060 --swversion DE.1.0.9.0 --startMP 204:440 --initTime 2017-10-03T16:53:59 --startdatetime 2017-10-03T17:00:14 --delay 60 --endMP 204:233334 --enddatetime 2017-10-03T17:36:40 --enforcementcount 0 &gt;&gt;%USERPROFILE%\Documents\GitHub\eaglep3-reporting\EC\2017-10-03-refined-times.txt</v>
      </c>
      <c r="AI12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{"issue":{"subject":"","project_id":79,"tracker_id":40,"status_id":1,"priority_id":2,"assigned_to_id":338,"start_date":"2017-10-03","description":"","custom_fields":[{"id":1,"name":"Subdivision","value":"EC"},{"id":4,"name":"Milepost","value":"23.3334"},{"id":17,"name":"Train ID","value":"207-03"},{"id":16,"name":"Locomotive ID","value":"4060"},{"id":130,"name":"Impact","value":""},{"id":150,"name":"Time of Event (Mountain Time)","value":"17:36:40"},{"id":151,"name":"Denver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10"/>
      <c r="AK123" s="225"/>
      <c r="AL123" s="225"/>
      <c r="AM123" s="231" t="str">
        <f t="shared" si="55"/>
        <v>start /low /b %USERPROFILE%\Documents\GitHub\eaglep3\Utilities\DownloadLogsFromS3.py --loco 4060 --day 2017-10-03</v>
      </c>
      <c r="AN12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10" t="str">
        <f t="shared" si="57"/>
        <v>https://d0f6bd738d7f1b3e5a7ca70fe4ff75f0.us-east-1.aws.found.io/app/kibana#/discover/Steve-Slow-Train-Analysis-(2080s-and-2083s)?_g=(refreshInterval:(display:Off,pause:!f,section:0,value:0),time:(from:'2017-10-03T15:53:59-0600',mode:absolute,to:'2017-10-03T18:36:40-0600'))&amp;_a=(columns:!('Message%20ID',Summary),filters:!(),index:'emp_*',interval:auto,query:(query_string:(analyze_wildcard:!t,query:'%22rtdc.l.rtdc.4060%22')),sort:!(Time.ISO8601,asc))</v>
      </c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  <c r="BM123" s="210"/>
      <c r="BN123" s="210"/>
      <c r="BO123" s="210"/>
      <c r="BP123" s="210"/>
      <c r="BQ123" s="210"/>
      <c r="BR123" s="210"/>
      <c r="BS123" s="210"/>
      <c r="BT123" s="210"/>
      <c r="BU123" s="210"/>
      <c r="BV123" s="210"/>
      <c r="BW123" s="210"/>
      <c r="BX123" s="210"/>
      <c r="BY123" s="210"/>
      <c r="BZ123" s="210"/>
      <c r="CA123" s="210"/>
      <c r="CB123" s="210"/>
      <c r="CC123" s="210"/>
      <c r="CD123" s="210"/>
      <c r="CE123" s="210"/>
      <c r="CF123" s="210"/>
      <c r="CG123" s="210"/>
      <c r="CH123" s="210"/>
      <c r="CI123" s="210"/>
      <c r="CJ123" s="210"/>
      <c r="CK123" s="210"/>
      <c r="CL123" s="210"/>
      <c r="CM123" s="210"/>
    </row>
    <row r="124" spans="1:91" s="20" customFormat="1" x14ac:dyDescent="0.25">
      <c r="A124" s="32" t="s">
        <v>789</v>
      </c>
      <c r="B124" s="7">
        <v>4059</v>
      </c>
      <c r="C124" s="21" t="s">
        <v>194</v>
      </c>
      <c r="D124" s="21" t="s">
        <v>889</v>
      </c>
      <c r="E124" s="13">
        <v>43011.740601851852</v>
      </c>
      <c r="F124" s="13">
        <v>43011.748090277775</v>
      </c>
      <c r="G124" s="7">
        <v>55</v>
      </c>
      <c r="H124" s="21" t="s">
        <v>336</v>
      </c>
      <c r="I124" s="13">
        <v>43011.773680555554</v>
      </c>
      <c r="J124" s="7">
        <v>0</v>
      </c>
      <c r="K124" s="85" t="str">
        <f t="shared" si="60"/>
        <v>4059/4060</v>
      </c>
      <c r="L124" s="179" t="str">
        <f>VLOOKUP(A124,'Trips&amp;Operators'!$C$1:$G$99911,5,FALSE)</f>
        <v>LEVIN SCOTT</v>
      </c>
      <c r="M124" s="6">
        <f t="shared" si="61"/>
        <v>2.5590277778974269E-2</v>
      </c>
      <c r="N124" s="7">
        <f t="shared" si="70"/>
        <v>36.850000001722947</v>
      </c>
      <c r="O124" s="7"/>
      <c r="P124" s="7"/>
      <c r="Q124" s="22"/>
      <c r="R124" s="169"/>
      <c r="S124" s="202">
        <f t="shared" si="69"/>
        <v>1</v>
      </c>
      <c r="T124" s="169" t="str">
        <f t="shared" si="62"/>
        <v>Southbound</v>
      </c>
      <c r="U124" s="22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2" t="str">
        <f t="shared" si="44"/>
        <v>https://d0f6bd738d7f1b3e5a7ca70fe4ff75f0.us-east-1.aws.found.io/app/kibana#/discover/Steve-Slow-Train-Analysis-(2080s-and-2083s)?_g=(refreshInterval:(display:Off,pause:!f,section:0,value:0),time:(from:'2017-10-03T16:46:28-0600',mode:absolute,to:'2017-10-03T19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4" s="223" t="str">
        <f>IF(AA124&lt;VLOOKUP(AG124,Variables!$AC$3:$AD$8,2,FALSE),"Y","N")</f>
        <v>N</v>
      </c>
      <c r="X124" s="223">
        <f t="shared" si="63"/>
        <v>1</v>
      </c>
      <c r="Y124" s="223">
        <f t="shared" si="64"/>
        <v>23.3032</v>
      </c>
      <c r="Z124" s="223">
        <f t="shared" si="65"/>
        <v>1.49E-2</v>
      </c>
      <c r="AA124" s="223">
        <f t="shared" si="66"/>
        <v>23.2883</v>
      </c>
      <c r="AB124" s="224" t="e">
        <f>VLOOKUP(A124,Enforcements!$C$7:$K$11,8,0)</f>
        <v>#N/A</v>
      </c>
      <c r="AC124" s="224" t="e">
        <f>VLOOKUP(A124,Enforcements!$C$7:$E$11,3,0)</f>
        <v>#N/A</v>
      </c>
      <c r="AD124" s="225">
        <f t="shared" si="67"/>
        <v>208</v>
      </c>
      <c r="AE124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124" s="227" t="str">
        <f t="shared" si="51"/>
        <v>"C:\Program Files (x86)\AstroGrep\AstroGrep.exe" /e /r /s /spath="%USERPROFILE%\AppData\Local\Temp\OnboardLogs" /stypes="app*4059*20171004*" /stext=" 00:.+((SYSTEM_STATE.+slice.+state.+changed )|(ment ac)|(multiple cpu faults)|(system.+state.+changed )|(\[timeout)|(PRM\|1\|D)|(kpr)|(kdp)|(train st.+moving)|(\|lc)|(penalty))"</v>
      </c>
      <c r="AG124" s="228" t="str">
        <f t="shared" si="68"/>
        <v>EC</v>
      </c>
      <c r="AH124" s="229" t="str">
        <f t="shared" si="53"/>
        <v>"%USERPROFILE%\Documents\GitHub\eaglep3\Utilities\RefineRTDCRunTimes.py" --tripid 208-03 --locoid 4059 --swversion DE.1.0.9.0 --startMP 204:233032 --initTime 2017-10-03T17:46:28 --startdatetime 2017-10-03T17:57:15 --delay 55 --endMP 204:149 --enddatetime 2017-10-03T18:34:06 --enforcementcount 0 &gt;&gt;%USERPROFILE%\Documents\GitHub\eaglep3-reporting\EC\2017-10-03-refined-times.txt</v>
      </c>
      <c r="AI12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ID","value":"208-03"},{"id":16,"name":"Locomotive ID","value":"4059"},{"id":130,"name":"Impact","value":""},{"id":150,"name":"Time of Event (Mountain Time)","value":"18:34:06"},{"id":151,"name":"Denver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10"/>
      <c r="AK124" s="225"/>
      <c r="AL124" s="225"/>
      <c r="AM124" s="231" t="str">
        <f t="shared" si="55"/>
        <v>start /low /b %USERPROFILE%\Documents\GitHub\eaglep3\Utilities\DownloadLogsFromS3.py --loco 4059 --day 2017-10-03</v>
      </c>
      <c r="AN124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10" t="str">
        <f t="shared" si="57"/>
        <v>https://d0f6bd738d7f1b3e5a7ca70fe4ff75f0.us-east-1.aws.found.io/app/kibana#/discover/Steve-Slow-Train-Analysis-(2080s-and-2083s)?_g=(refreshInterval:(display:Off,pause:!f,section:0,value:0),time:(from:'2017-10-03T16:46:28-0600',mode:absolute,to:'2017-10-03T19:34:06-0600'))&amp;_a=(columns:!('Message%20ID',Summary),filters:!(),index:'emp_*',interval:auto,query:(query_string:(analyze_wildcard:!t,query:'%22rtdc.l.rtdc.4059%22')),sort:!(Time.ISO8601,asc))</v>
      </c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  <c r="BM124" s="210"/>
      <c r="BN124" s="210"/>
      <c r="BO124" s="210"/>
      <c r="BP124" s="210"/>
      <c r="BQ124" s="210"/>
      <c r="BR124" s="210"/>
      <c r="BS124" s="210"/>
      <c r="BT124" s="210"/>
      <c r="BU124" s="210"/>
      <c r="BV124" s="210"/>
      <c r="BW124" s="210"/>
      <c r="BX124" s="210"/>
      <c r="BY124" s="210"/>
      <c r="BZ124" s="210"/>
      <c r="CA124" s="210"/>
      <c r="CB124" s="210"/>
      <c r="CC124" s="210"/>
      <c r="CD124" s="210"/>
      <c r="CE124" s="210"/>
      <c r="CF124" s="210"/>
      <c r="CG124" s="210"/>
      <c r="CH124" s="210"/>
      <c r="CI124" s="210"/>
      <c r="CJ124" s="210"/>
      <c r="CK124" s="210"/>
      <c r="CL124" s="210"/>
      <c r="CM124" s="210"/>
    </row>
    <row r="125" spans="1:91" s="20" customFormat="1" x14ac:dyDescent="0.25">
      <c r="A125" s="32" t="s">
        <v>779</v>
      </c>
      <c r="B125" s="7">
        <v>4062</v>
      </c>
      <c r="C125" s="21" t="s">
        <v>194</v>
      </c>
      <c r="D125" s="21" t="s">
        <v>401</v>
      </c>
      <c r="E125" s="13">
        <v>43011.715520833335</v>
      </c>
      <c r="F125" s="13">
        <v>43011.719039351854</v>
      </c>
      <c r="G125" s="7">
        <v>76</v>
      </c>
      <c r="H125" s="21" t="s">
        <v>433</v>
      </c>
      <c r="I125" s="13">
        <v>43011.745243055557</v>
      </c>
      <c r="J125" s="7">
        <v>0</v>
      </c>
      <c r="K125" s="85" t="str">
        <f t="shared" si="60"/>
        <v>4061/4062</v>
      </c>
      <c r="L125" s="179" t="str">
        <f>VLOOKUP(A125,'Trips&amp;Operators'!$C$1:$G$99911,5,FALSE)</f>
        <v>BIRKHOLZ NADINE</v>
      </c>
      <c r="M125" s="6">
        <f t="shared" si="61"/>
        <v>2.6203703702776693E-2</v>
      </c>
      <c r="N125" s="7">
        <f t="shared" si="70"/>
        <v>37.733333331998438</v>
      </c>
      <c r="O125" s="7"/>
      <c r="P125" s="7"/>
      <c r="Q125" s="22"/>
      <c r="R125" s="169"/>
      <c r="S125" s="202">
        <f t="shared" si="69"/>
        <v>1</v>
      </c>
      <c r="T125" s="169" t="str">
        <f t="shared" si="62"/>
        <v>NorthBound</v>
      </c>
      <c r="U125" s="22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2" t="str">
        <f t="shared" si="44"/>
        <v>https://d0f6bd738d7f1b3e5a7ca70fe4ff75f0.us-east-1.aws.found.io/app/kibana#/discover/Steve-Slow-Train-Analysis-(2080s-and-2083s)?_g=(refreshInterval:(display:Off,pause:!f,section:0,value:0),time:(from:'2017-10-03T16:10:21-0600',mode:absolute,to:'2017-10-03T18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223" t="str">
        <f>IF(AA125&lt;VLOOKUP(AG125,Variables!$AC$3:$AD$8,2,FALSE),"Y","N")</f>
        <v>N</v>
      </c>
      <c r="X125" s="223">
        <f t="shared" si="63"/>
        <v>1</v>
      </c>
      <c r="Y125" s="223">
        <f t="shared" si="64"/>
        <v>4.5699999999999998E-2</v>
      </c>
      <c r="Z125" s="223">
        <f t="shared" si="65"/>
        <v>23.3309</v>
      </c>
      <c r="AA125" s="223">
        <f t="shared" si="66"/>
        <v>23.2852</v>
      </c>
      <c r="AB125" s="224" t="e">
        <f>VLOOKUP(A125,Enforcements!$C$7:$K$11,8,0)</f>
        <v>#N/A</v>
      </c>
      <c r="AC125" s="224" t="e">
        <f>VLOOKUP(A125,Enforcements!$C$7:$E$11,3,0)</f>
        <v>#N/A</v>
      </c>
      <c r="AD125" s="225">
        <f t="shared" si="67"/>
        <v>209</v>
      </c>
      <c r="AE125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25" s="227" t="str">
        <f t="shared" si="51"/>
        <v>"C:\Program Files (x86)\AstroGrep\AstroGrep.exe" /e /r /s /spath="%USERPROFILE%\AppData\Local\Temp\OnboardLogs" /stypes="app*4062*20171003*" /stext=" 23:.+((SYSTEM_STATE.+slice.+state.+changed )|(ment ac)|(multiple cpu faults)|(system.+state.+changed )|(\[timeout)|(PRM\|1\|D)|(kpr)|(kdp)|(train st.+moving)|(\|lc)|(penalty))"</v>
      </c>
      <c r="AG125" s="228" t="str">
        <f t="shared" si="68"/>
        <v>EC</v>
      </c>
      <c r="AH125" s="229" t="str">
        <f t="shared" si="53"/>
        <v>"%USERPROFILE%\Documents\GitHub\eaglep3\Utilities\RefineRTDCRunTimes.py" --tripid 209-03 --locoid 4062 --swversion DE.1.0.9.0 --startMP 204:457 --initTime 2017-10-03T17:10:21 --startdatetime 2017-10-03T17:15:25 --delay 76 --endMP 204:233309 --enddatetime 2017-10-03T17:53:09 --enforcementcount 0 &gt;&gt;%USERPROFILE%\Documents\GitHub\eaglep3-reporting\EC\2017-10-03-refined-times.txt</v>
      </c>
      <c r="AI12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{"issue":{"subject":"","project_id":79,"tracker_id":40,"status_id":1,"priority_id":2,"assigned_to_id":338,"start_date":"2017-10-03","description":"","custom_fields":[{"id":1,"name":"Subdivision","value":"EC"},{"id":4,"name":"Milepost","value":"23.3309"},{"id":17,"name":"Train ID","value":"209-03"},{"id":16,"name":"Locomotive ID","value":"4062"},{"id":130,"name":"Impact","value":""},{"id":150,"name":"Time of Event (Mountain Time)","value":"17:53:09"},{"id":151,"name":"Denver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10"/>
      <c r="AK125" s="225"/>
      <c r="AL125" s="225"/>
      <c r="AM125" s="231" t="str">
        <f t="shared" si="55"/>
        <v>start /low /b %USERPROFILE%\Documents\GitHub\eaglep3\Utilities\DownloadLogsFromS3.py --loco 4062 --day 2017-10-03</v>
      </c>
      <c r="AN12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10" t="str">
        <f t="shared" si="57"/>
        <v>https://d0f6bd738d7f1b3e5a7ca70fe4ff75f0.us-east-1.aws.found.io/app/kibana#/discover/Steve-Slow-Train-Analysis-(2080s-and-2083s)?_g=(refreshInterval:(display:Off,pause:!f,section:0,value:0),time:(from:'2017-10-03T16:10:21-0600',mode:absolute,to:'2017-10-03T18:53:09-0600'))&amp;_a=(columns:!('Message%20ID',Summary),filters:!(),index:'emp_*',interval:auto,query:(query_string:(analyze_wildcard:!t,query:'%22rtdc.l.rtdc.4062%22')),sort:!(Time.ISO8601,asc))</v>
      </c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  <c r="BM125" s="210"/>
      <c r="BN125" s="210"/>
      <c r="BO125" s="210"/>
      <c r="BP125" s="210"/>
      <c r="BQ125" s="210"/>
      <c r="BR125" s="210"/>
      <c r="BS125" s="210"/>
      <c r="BT125" s="210"/>
      <c r="BU125" s="210"/>
      <c r="BV125" s="210"/>
      <c r="BW125" s="210"/>
      <c r="BX125" s="210"/>
      <c r="BY125" s="210"/>
      <c r="BZ125" s="210"/>
      <c r="CA125" s="210"/>
      <c r="CB125" s="210"/>
      <c r="CC125" s="210"/>
      <c r="CD125" s="210"/>
      <c r="CE125" s="210"/>
      <c r="CF125" s="210"/>
      <c r="CG125" s="210"/>
      <c r="CH125" s="210"/>
      <c r="CI125" s="210"/>
      <c r="CJ125" s="210"/>
      <c r="CK125" s="210"/>
      <c r="CL125" s="210"/>
      <c r="CM125" s="210"/>
    </row>
    <row r="126" spans="1:91" s="20" customFormat="1" x14ac:dyDescent="0.25">
      <c r="A126" s="32" t="s">
        <v>791</v>
      </c>
      <c r="B126" s="7">
        <v>4061</v>
      </c>
      <c r="C126" s="21" t="s">
        <v>194</v>
      </c>
      <c r="D126" s="21" t="s">
        <v>563</v>
      </c>
      <c r="E126" s="13">
        <v>43011.747708333336</v>
      </c>
      <c r="F126" s="13">
        <v>43011.758530092593</v>
      </c>
      <c r="G126" s="7">
        <v>64</v>
      </c>
      <c r="H126" s="21" t="s">
        <v>366</v>
      </c>
      <c r="I126" s="13">
        <v>43011.784467592595</v>
      </c>
      <c r="J126" s="7">
        <v>0</v>
      </c>
      <c r="K126" s="85" t="str">
        <f t="shared" si="60"/>
        <v>4061/4062</v>
      </c>
      <c r="L126" s="179" t="str">
        <f>VLOOKUP(A126,'Trips&amp;Operators'!$C$1:$G$99911,5,FALSE)</f>
        <v>BIRKHOLZ NADINE</v>
      </c>
      <c r="M126" s="6">
        <f t="shared" si="61"/>
        <v>2.5937500002328306E-2</v>
      </c>
      <c r="N126" s="7">
        <f t="shared" si="70"/>
        <v>37.350000003352761</v>
      </c>
      <c r="O126" s="7"/>
      <c r="P126" s="7"/>
      <c r="Q126" s="22"/>
      <c r="R126" s="169"/>
      <c r="S126" s="202">
        <f t="shared" si="69"/>
        <v>1</v>
      </c>
      <c r="T126" s="169" t="str">
        <f t="shared" si="62"/>
        <v>Southbound</v>
      </c>
      <c r="U126" s="22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2" t="str">
        <f t="shared" si="44"/>
        <v>https://d0f6bd738d7f1b3e5a7ca70fe4ff75f0.us-east-1.aws.found.io/app/kibana#/discover/Steve-Slow-Train-Analysis-(2080s-and-2083s)?_g=(refreshInterval:(display:Off,pause:!f,section:0,value:0),time:(from:'2017-10-03T16:56:42-0600',mode:absolute,to:'2017-10-03T19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223" t="str">
        <f>IF(AA126&lt;VLOOKUP(AG126,Variables!$AC$3:$AD$8,2,FALSE),"Y","N")</f>
        <v>N</v>
      </c>
      <c r="X126" s="223">
        <f t="shared" si="63"/>
        <v>1</v>
      </c>
      <c r="Y126" s="223">
        <f t="shared" si="64"/>
        <v>23.297999999999998</v>
      </c>
      <c r="Z126" s="223">
        <f t="shared" si="65"/>
        <v>1.61E-2</v>
      </c>
      <c r="AA126" s="223">
        <f t="shared" si="66"/>
        <v>23.281899999999997</v>
      </c>
      <c r="AB126" s="224" t="e">
        <f>VLOOKUP(A126,Enforcements!$C$7:$K$11,8,0)</f>
        <v>#N/A</v>
      </c>
      <c r="AC126" s="224" t="e">
        <f>VLOOKUP(A126,Enforcements!$C$7:$E$11,3,0)</f>
        <v>#N/A</v>
      </c>
      <c r="AD126" s="225">
        <f t="shared" si="67"/>
        <v>210</v>
      </c>
      <c r="AE126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26" s="227" t="str">
        <f t="shared" si="51"/>
        <v>"C:\Program Files (x86)\AstroGrep\AstroGrep.exe" /e /r /s /spath="%USERPROFILE%\AppData\Local\Temp\OnboardLogs" /stypes="app*4061*20171004*" /stext=" 00:.+((SYSTEM_STATE.+slice.+state.+changed )|(ment ac)|(multiple cpu faults)|(system.+state.+changed )|(\[timeout)|(PRM\|1\|D)|(kpr)|(kdp)|(train st.+moving)|(\|lc)|(penalty))"</v>
      </c>
      <c r="AG126" s="228" t="str">
        <f t="shared" si="68"/>
        <v>EC</v>
      </c>
      <c r="AH126" s="229" t="str">
        <f t="shared" si="53"/>
        <v>"%USERPROFILE%\Documents\GitHub\eaglep3\Utilities\RefineRTDCRunTimes.py" --tripid 210-03 --locoid 4061 --swversion DE.1.0.9.0 --startMP 204:232980 --initTime 2017-10-03T17:56:42 --startdatetime 2017-10-03T18:12:17 --delay 64 --endMP 204:161 --enddatetime 2017-10-03T18:49:38 --enforcementcount 0 &gt;&gt;%USERPROFILE%\Documents\GitHub\eaglep3-reporting\EC\2017-10-03-refined-times.txt</v>
      </c>
      <c r="AI12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ID","value":"210-03"},{"id":16,"name":"Locomotive ID","value":"4061"},{"id":130,"name":"Impact","value":""},{"id":150,"name":"Time of Event (Mountain Time)","value":"18:49:38"},{"id":151,"name":"Denver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10"/>
      <c r="AK126" s="225"/>
      <c r="AL126" s="225"/>
      <c r="AM126" s="231" t="str">
        <f t="shared" si="55"/>
        <v>start /low /b %USERPROFILE%\Documents\GitHub\eaglep3\Utilities\DownloadLogsFromS3.py --loco 4061 --day 2017-10-03</v>
      </c>
      <c r="AN126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10" t="str">
        <f t="shared" si="57"/>
        <v>https://d0f6bd738d7f1b3e5a7ca70fe4ff75f0.us-east-1.aws.found.io/app/kibana#/discover/Steve-Slow-Train-Analysis-(2080s-and-2083s)?_g=(refreshInterval:(display:Off,pause:!f,section:0,value:0),time:(from:'2017-10-03T16:56:42-0600',mode:absolute,to:'2017-10-03T19:49:38-0600'))&amp;_a=(columns:!('Message%20ID',Summary),filters:!(),index:'emp_*',interval:auto,query:(query_string:(analyze_wildcard:!t,query:'%22rtdc.l.rtdc.4061%22')),sort:!(Time.ISO8601,asc))</v>
      </c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  <c r="BM126" s="210"/>
      <c r="BN126" s="210"/>
      <c r="BO126" s="210"/>
      <c r="BP126" s="210"/>
      <c r="BQ126" s="210"/>
      <c r="BR126" s="210"/>
      <c r="BS126" s="210"/>
      <c r="BT126" s="210"/>
      <c r="BU126" s="210"/>
      <c r="BV126" s="210"/>
      <c r="BW126" s="210"/>
      <c r="BX126" s="210"/>
      <c r="BY126" s="210"/>
      <c r="BZ126" s="210"/>
      <c r="CA126" s="210"/>
      <c r="CB126" s="210"/>
      <c r="CC126" s="210"/>
      <c r="CD126" s="210"/>
      <c r="CE126" s="210"/>
      <c r="CF126" s="210"/>
      <c r="CG126" s="210"/>
      <c r="CH126" s="210"/>
      <c r="CI126" s="210"/>
      <c r="CJ126" s="210"/>
      <c r="CK126" s="210"/>
      <c r="CL126" s="210"/>
      <c r="CM126" s="210"/>
    </row>
    <row r="127" spans="1:91" s="20" customFormat="1" x14ac:dyDescent="0.25">
      <c r="A127" s="32" t="s">
        <v>784</v>
      </c>
      <c r="B127" s="7">
        <v>4050</v>
      </c>
      <c r="C127" s="21" t="s">
        <v>194</v>
      </c>
      <c r="D127" s="21" t="s">
        <v>443</v>
      </c>
      <c r="E127" s="13">
        <v>43011.724988425929</v>
      </c>
      <c r="F127" s="13">
        <v>43011.72934027778</v>
      </c>
      <c r="G127" s="7">
        <v>107</v>
      </c>
      <c r="H127" s="21" t="s">
        <v>572</v>
      </c>
      <c r="I127" s="13">
        <v>43011.754027777781</v>
      </c>
      <c r="J127" s="7">
        <v>0</v>
      </c>
      <c r="K127" s="85" t="str">
        <f t="shared" si="60"/>
        <v>4049/4050</v>
      </c>
      <c r="L127" s="179" t="str">
        <f>VLOOKUP(A127,'Trips&amp;Operators'!$C$1:$G$99911,5,FALSE)</f>
        <v>SAFIEF AEIMEN</v>
      </c>
      <c r="M127" s="6">
        <f t="shared" si="61"/>
        <v>2.4687500001164153E-2</v>
      </c>
      <c r="N127" s="7">
        <f t="shared" si="70"/>
        <v>35.550000001676381</v>
      </c>
      <c r="O127" s="7"/>
      <c r="P127" s="7"/>
      <c r="Q127" s="22"/>
      <c r="R127" s="169"/>
      <c r="S127" s="202">
        <f t="shared" si="69"/>
        <v>1</v>
      </c>
      <c r="T127" s="169" t="str">
        <f t="shared" si="62"/>
        <v>NorthBound</v>
      </c>
      <c r="U127" s="22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2" t="str">
        <f t="shared" si="44"/>
        <v>https://d0f6bd738d7f1b3e5a7ca70fe4ff75f0.us-east-1.aws.found.io/app/kibana#/discover/Steve-Slow-Train-Analysis-(2080s-and-2083s)?_g=(refreshInterval:(display:Off,pause:!f,section:0,value:0),time:(from:'2017-10-03T16:23:59-0600',mode:absolute,to:'2017-10-03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7" s="223" t="str">
        <f>IF(AA127&lt;VLOOKUP(AG127,Variables!$AC$3:$AD$8,2,FALSE),"Y","N")</f>
        <v>N</v>
      </c>
      <c r="X127" s="223">
        <f t="shared" si="63"/>
        <v>1</v>
      </c>
      <c r="Y127" s="223">
        <f t="shared" si="64"/>
        <v>4.7699999999999999E-2</v>
      </c>
      <c r="Z127" s="223">
        <f t="shared" si="65"/>
        <v>23.333100000000002</v>
      </c>
      <c r="AA127" s="223">
        <f t="shared" si="66"/>
        <v>23.285400000000003</v>
      </c>
      <c r="AB127" s="224" t="e">
        <f>VLOOKUP(A127,Enforcements!$C$7:$K$11,8,0)</f>
        <v>#N/A</v>
      </c>
      <c r="AC127" s="224" t="e">
        <f>VLOOKUP(A127,Enforcements!$C$7:$E$11,3,0)</f>
        <v>#N/A</v>
      </c>
      <c r="AD127" s="225">
        <f t="shared" si="67"/>
        <v>211</v>
      </c>
      <c r="AE127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127" s="227" t="str">
        <f t="shared" si="51"/>
        <v>"C:\Program Files (x86)\AstroGrep\AstroGrep.exe" /e /r /s /spath="%USERPROFILE%\AppData\Local\Temp\OnboardLogs" /stypes="app*4050*20171004*" /stext=" 00:.+((SYSTEM_STATE.+slice.+state.+changed )|(ment ac)|(multiple cpu faults)|(system.+state.+changed )|(\[timeout)|(PRM\|1\|D)|(kpr)|(kdp)|(train st.+moving)|(\|lc)|(penalty))"</v>
      </c>
      <c r="AG127" s="228" t="str">
        <f t="shared" si="68"/>
        <v>EC</v>
      </c>
      <c r="AH127" s="229" t="str">
        <f t="shared" si="53"/>
        <v>"%USERPROFILE%\Documents\GitHub\eaglep3\Utilities\RefineRTDCRunTimes.py" --tripid 211-03 --locoid 4050 --swversion DE.1.0.9.0 --startMP 204:477 --initTime 2017-10-03T17:23:59 --startdatetime 2017-10-03T17:30:15 --delay 107 --endMP 204:233331 --enddatetime 2017-10-03T18:05:48 --enforcementcount 0 &gt;&gt;%USERPROFILE%\Documents\GitHub\eaglep3-reporting\EC\2017-10-03-refined-times.txt</v>
      </c>
      <c r="AI12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{"issue":{"subject":"","project_id":79,"tracker_id":40,"status_id":1,"priority_id":2,"assigned_to_id":338,"start_date":"2017-10-03","description":"","custom_fields":[{"id":1,"name":"Subdivision","value":"EC"},{"id":4,"name":"Milepost","value":"23.3331"},{"id":17,"name":"Train ID","value":"211-03"},{"id":16,"name":"Locomotive ID","value":"4050"},{"id":130,"name":"Impact","value":""},{"id":150,"name":"Time of Event (Mountain Time)","value":"18:05:48"},{"id":151,"name":"Denver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10"/>
      <c r="AK127" s="225"/>
      <c r="AL127" s="225"/>
      <c r="AM127" s="231" t="str">
        <f t="shared" si="55"/>
        <v>start /low /b %USERPROFILE%\Documents\GitHub\eaglep3\Utilities\DownloadLogsFromS3.py --loco 4050 --day 2017-10-03</v>
      </c>
      <c r="AN127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10" t="str">
        <f t="shared" si="57"/>
        <v>https://d0f6bd738d7f1b3e5a7ca70fe4ff75f0.us-east-1.aws.found.io/app/kibana#/discover/Steve-Slow-Train-Analysis-(2080s-and-2083s)?_g=(refreshInterval:(display:Off,pause:!f,section:0,value:0),time:(from:'2017-10-03T16:23:59-0600',mode:absolute,to:'2017-10-03T19:05:48-0600'))&amp;_a=(columns:!('Message%20ID',Summary),filters:!(),index:'emp_*',interval:auto,query:(query_string:(analyze_wildcard:!t,query:'%22rtdc.l.rtdc.4050%22')),sort:!(Time.ISO8601,asc))</v>
      </c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  <c r="BM127" s="210"/>
      <c r="BN127" s="210"/>
      <c r="BO127" s="210"/>
      <c r="BP127" s="210"/>
      <c r="BQ127" s="210"/>
      <c r="BR127" s="210"/>
      <c r="BS127" s="210"/>
      <c r="BT127" s="210"/>
      <c r="BU127" s="210"/>
      <c r="BV127" s="210"/>
      <c r="BW127" s="210"/>
      <c r="BX127" s="210"/>
      <c r="BY127" s="210"/>
      <c r="BZ127" s="210"/>
      <c r="CA127" s="210"/>
      <c r="CB127" s="210"/>
      <c r="CC127" s="210"/>
      <c r="CD127" s="210"/>
      <c r="CE127" s="210"/>
      <c r="CF127" s="210"/>
      <c r="CG127" s="210"/>
      <c r="CH127" s="210"/>
      <c r="CI127" s="210"/>
      <c r="CJ127" s="210"/>
      <c r="CK127" s="210"/>
      <c r="CL127" s="210"/>
      <c r="CM127" s="210"/>
    </row>
    <row r="128" spans="1:91" s="20" customFormat="1" x14ac:dyDescent="0.25">
      <c r="A128" s="32" t="s">
        <v>797</v>
      </c>
      <c r="B128" s="7">
        <v>4049</v>
      </c>
      <c r="C128" s="21" t="s">
        <v>194</v>
      </c>
      <c r="D128" s="21" t="s">
        <v>883</v>
      </c>
      <c r="E128" s="13">
        <v>43011.765925925924</v>
      </c>
      <c r="F128" s="13">
        <v>43011.769062500003</v>
      </c>
      <c r="G128" s="7">
        <v>75</v>
      </c>
      <c r="H128" s="21" t="s">
        <v>370</v>
      </c>
      <c r="I128" s="13">
        <v>43011.794606481482</v>
      </c>
      <c r="J128" s="7">
        <v>0</v>
      </c>
      <c r="K128" s="85" t="str">
        <f t="shared" si="60"/>
        <v>4049/4050</v>
      </c>
      <c r="L128" s="179" t="str">
        <f>VLOOKUP(A128,'Trips&amp;Operators'!$C$1:$G$99911,5,FALSE)</f>
        <v>SAFIEF AEIMEN</v>
      </c>
      <c r="M128" s="6">
        <f t="shared" si="61"/>
        <v>2.5543981479131617E-2</v>
      </c>
      <c r="N128" s="7">
        <f t="shared" si="70"/>
        <v>36.783333329949528</v>
      </c>
      <c r="O128" s="7"/>
      <c r="P128" s="7"/>
      <c r="Q128" s="22"/>
      <c r="R128" s="169"/>
      <c r="S128" s="202">
        <f t="shared" si="69"/>
        <v>1</v>
      </c>
      <c r="T128" s="169" t="str">
        <f t="shared" si="62"/>
        <v>Southbound</v>
      </c>
      <c r="U128" s="22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2" t="str">
        <f t="shared" si="44"/>
        <v>https://d0f6bd738d7f1b3e5a7ca70fe4ff75f0.us-east-1.aws.found.io/app/kibana#/discover/Steve-Slow-Train-Analysis-(2080s-and-2083s)?_g=(refreshInterval:(display:Off,pause:!f,section:0,value:0),time:(from:'2017-10-03T17:22:56-0600',mode:absolute,to:'2017-10-03T20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8" s="223" t="str">
        <f>IF(AA128&lt;VLOOKUP(AG128,Variables!$AC$3:$AD$8,2,FALSE),"Y","N")</f>
        <v>N</v>
      </c>
      <c r="X128" s="223">
        <f t="shared" si="63"/>
        <v>1</v>
      </c>
      <c r="Y128" s="223">
        <f t="shared" si="64"/>
        <v>23.302700000000002</v>
      </c>
      <c r="Z128" s="223">
        <f t="shared" si="65"/>
        <v>1.5800000000000002E-2</v>
      </c>
      <c r="AA128" s="223">
        <f t="shared" si="66"/>
        <v>23.286900000000003</v>
      </c>
      <c r="AB128" s="224" t="e">
        <f>VLOOKUP(A128,Enforcements!$C$7:$K$11,8,0)</f>
        <v>#N/A</v>
      </c>
      <c r="AC128" s="224" t="e">
        <f>VLOOKUP(A128,Enforcements!$C$7:$E$11,3,0)</f>
        <v>#N/A</v>
      </c>
      <c r="AD128" s="225">
        <f t="shared" si="67"/>
        <v>212</v>
      </c>
      <c r="AE128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28" s="227" t="str">
        <f t="shared" si="51"/>
        <v>"C:\Program Files (x86)\AstroGrep\AstroGrep.exe" /e /r /s /spath="%USERPROFILE%\AppData\Local\Temp\OnboardLogs" /stypes="app*4049*20171004*" /stext=" 01:.+((SYSTEM_STATE.+slice.+state.+changed )|(ment ac)|(multiple cpu faults)|(system.+state.+changed )|(\[timeout)|(PRM\|1\|D)|(kpr)|(kdp)|(train st.+moving)|(\|lc)|(penalty))"</v>
      </c>
      <c r="AG128" s="228" t="str">
        <f t="shared" si="68"/>
        <v>EC</v>
      </c>
      <c r="AH128" s="229" t="str">
        <f t="shared" si="53"/>
        <v>"%USERPROFILE%\Documents\GitHub\eaglep3\Utilities\RefineRTDCRunTimes.py" --tripid 212-03 --locoid 4049 --swversion DE.1.0.9.0 --startMP 204:233027 --initTime 2017-10-03T18:22:56 --startdatetime 2017-10-03T18:27:27 --delay 75 --endMP 204:158 --enddatetime 2017-10-03T19:04:14 --enforcementcount 0 &gt;&gt;%USERPROFILE%\Documents\GitHub\eaglep3-reporting\EC\2017-10-03-refined-times.txt</v>
      </c>
      <c r="AI12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ID","value":"212-03"},{"id":16,"name":"Locomotive ID","value":"4049"},{"id":130,"name":"Impact","value":""},{"id":150,"name":"Time of Event (Mountain Time)","value":"19:04:14"},{"id":151,"name":"Denver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10"/>
      <c r="AK128" s="225"/>
      <c r="AL128" s="225"/>
      <c r="AM128" s="231" t="str">
        <f t="shared" si="55"/>
        <v>start /low /b %USERPROFILE%\Documents\GitHub\eaglep3\Utilities\DownloadLogsFromS3.py --loco 4049 --day 2017-10-03</v>
      </c>
      <c r="AN128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10" t="str">
        <f t="shared" si="57"/>
        <v>https://d0f6bd738d7f1b3e5a7ca70fe4ff75f0.us-east-1.aws.found.io/app/kibana#/discover/Steve-Slow-Train-Analysis-(2080s-and-2083s)?_g=(refreshInterval:(display:Off,pause:!f,section:0,value:0),time:(from:'2017-10-03T17:22:56-0600',mode:absolute,to:'2017-10-03T20:04:14-0600'))&amp;_a=(columns:!('Message%20ID',Summary),filters:!(),index:'emp_*',interval:auto,query:(query_string:(analyze_wildcard:!t,query:'%22rtdc.l.rtdc.4049%22')),sort:!(Time.ISO8601,asc))</v>
      </c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  <c r="BM128" s="210"/>
      <c r="BN128" s="210"/>
      <c r="BO128" s="210"/>
      <c r="BP128" s="210"/>
      <c r="BQ128" s="210"/>
      <c r="BR128" s="210"/>
      <c r="BS128" s="210"/>
      <c r="BT128" s="210"/>
      <c r="BU128" s="210"/>
      <c r="BV128" s="210"/>
      <c r="BW128" s="210"/>
      <c r="BX128" s="210"/>
      <c r="BY128" s="210"/>
      <c r="BZ128" s="210"/>
      <c r="CA128" s="210"/>
      <c r="CB128" s="210"/>
      <c r="CC128" s="210"/>
      <c r="CD128" s="210"/>
      <c r="CE128" s="210"/>
      <c r="CF128" s="210"/>
      <c r="CG128" s="210"/>
      <c r="CH128" s="210"/>
      <c r="CI128" s="210"/>
      <c r="CJ128" s="210"/>
      <c r="CK128" s="210"/>
      <c r="CL128" s="210"/>
      <c r="CM128" s="210"/>
    </row>
    <row r="129" spans="1:91" s="20" customFormat="1" x14ac:dyDescent="0.25">
      <c r="A129" s="32" t="s">
        <v>787</v>
      </c>
      <c r="B129" s="7">
        <v>4042</v>
      </c>
      <c r="C129" s="21" t="s">
        <v>194</v>
      </c>
      <c r="D129" s="21" t="s">
        <v>367</v>
      </c>
      <c r="E129" s="13">
        <v>43011.737673611111</v>
      </c>
      <c r="F129" s="13">
        <v>43011.739768518521</v>
      </c>
      <c r="G129" s="7">
        <v>91</v>
      </c>
      <c r="H129" s="21" t="s">
        <v>890</v>
      </c>
      <c r="I129" s="13">
        <v>43011.764374999999</v>
      </c>
      <c r="J129" s="7">
        <v>0</v>
      </c>
      <c r="K129" s="85" t="str">
        <f t="shared" si="60"/>
        <v>4041/4042</v>
      </c>
      <c r="L129" s="179" t="str">
        <f>VLOOKUP(A129,'Trips&amp;Operators'!$C$1:$G$99911,5,FALSE)</f>
        <v>LOZA FIDEL</v>
      </c>
      <c r="M129" s="6">
        <f t="shared" si="61"/>
        <v>2.4606481478258502E-2</v>
      </c>
      <c r="N129" s="7">
        <f t="shared" si="70"/>
        <v>35.433333328692243</v>
      </c>
      <c r="O129" s="7"/>
      <c r="P129" s="7"/>
      <c r="Q129" s="22"/>
      <c r="R129" s="169"/>
      <c r="S129" s="202">
        <f t="shared" si="69"/>
        <v>1</v>
      </c>
      <c r="T129" s="169" t="str">
        <f t="shared" si="62"/>
        <v>NorthBound</v>
      </c>
      <c r="U129" s="22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2" t="str">
        <f t="shared" si="44"/>
        <v>https://d0f6bd738d7f1b3e5a7ca70fe4ff75f0.us-east-1.aws.found.io/app/kibana#/discover/Steve-Slow-Train-Analysis-(2080s-and-2083s)?_g=(refreshInterval:(display:Off,pause:!f,section:0,value:0),time:(from:'2017-10-03T16:42:15-0600',mode:absolute,to:'2017-10-03T19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223" t="str">
        <f>IF(AA129&lt;VLOOKUP(AG129,Variables!$AC$3:$AD$8,2,FALSE),"Y","N")</f>
        <v>N</v>
      </c>
      <c r="X129" s="223">
        <f t="shared" si="63"/>
        <v>1</v>
      </c>
      <c r="Y129" s="223">
        <f t="shared" si="64"/>
        <v>4.4200000000000003E-2</v>
      </c>
      <c r="Z129" s="223">
        <f t="shared" si="65"/>
        <v>23.332000000000001</v>
      </c>
      <c r="AA129" s="223">
        <f t="shared" si="66"/>
        <v>23.287800000000001</v>
      </c>
      <c r="AB129" s="224" t="e">
        <f>VLOOKUP(A129,Enforcements!$C$7:$K$11,8,0)</f>
        <v>#N/A</v>
      </c>
      <c r="AC129" s="224" t="e">
        <f>VLOOKUP(A129,Enforcements!$C$7:$E$11,3,0)</f>
        <v>#N/A</v>
      </c>
      <c r="AD129" s="225">
        <f t="shared" si="67"/>
        <v>213</v>
      </c>
      <c r="AE129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29" s="227" t="str">
        <f t="shared" si="51"/>
        <v>"C:\Program Files (x86)\AstroGrep\AstroGrep.exe" /e /r /s /spath="%USERPROFILE%\AppData\Local\Temp\OnboardLogs" /stypes="app*4042*20171004*" /stext=" 00:.+((SYSTEM_STATE.+slice.+state.+changed )|(ment ac)|(multiple cpu faults)|(system.+state.+changed )|(\[timeout)|(PRM\|1\|D)|(kpr)|(kdp)|(train st.+moving)|(\|lc)|(penalty))"</v>
      </c>
      <c r="AG129" s="228" t="str">
        <f t="shared" si="68"/>
        <v>EC</v>
      </c>
      <c r="AH129" s="229" t="str">
        <f t="shared" si="53"/>
        <v>"%USERPROFILE%\Documents\GitHub\eaglep3\Utilities\RefineRTDCRunTimes.py" --tripid 213-03 --locoid 4042 --swversion DE.1.0.9.0 --startMP 204:442 --initTime 2017-10-03T17:42:15 --startdatetime 2017-10-03T17:45:16 --delay 91 --endMP 204:233320 --enddatetime 2017-10-03T18:20:42 --enforcementcount 0 &gt;&gt;%USERPROFILE%\Documents\GitHub\eaglep3-reporting\EC\2017-10-03-refined-times.txt</v>
      </c>
      <c r="AI12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{"issue":{"subject":"","project_id":79,"tracker_id":40,"status_id":1,"priority_id":2,"assigned_to_id":338,"start_date":"2017-10-03","description":"","custom_fields":[{"id":1,"name":"Subdivision","value":"EC"},{"id":4,"name":"Milepost","value":"23.332"},{"id":17,"name":"Train ID","value":"213-03"},{"id":16,"name":"Locomotive ID","value":"4042"},{"id":130,"name":"Impact","value":""},{"id":150,"name":"Time of Event (Mountain Time)","value":"18:20:42"},{"id":151,"name":"Denver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10"/>
      <c r="AK129" s="225"/>
      <c r="AL129" s="225"/>
      <c r="AM129" s="231" t="str">
        <f t="shared" si="55"/>
        <v>start /low /b %USERPROFILE%\Documents\GitHub\eaglep3\Utilities\DownloadLogsFromS3.py --loco 4042 --day 2017-10-03</v>
      </c>
      <c r="AN129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10" t="str">
        <f t="shared" si="57"/>
        <v>https://d0f6bd738d7f1b3e5a7ca70fe4ff75f0.us-east-1.aws.found.io/app/kibana#/discover/Steve-Slow-Train-Analysis-(2080s-and-2083s)?_g=(refreshInterval:(display:Off,pause:!f,section:0,value:0),time:(from:'2017-10-03T16:42:15-0600',mode:absolute,to:'2017-10-03T19:20:42-0600'))&amp;_a=(columns:!('Message%20ID',Summary),filters:!(),index:'emp_*',interval:auto,query:(query_string:(analyze_wildcard:!t,query:'%22rtdc.l.rtdc.4042%22')),sort:!(Time.ISO8601,asc))</v>
      </c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  <c r="BM129" s="210"/>
      <c r="BN129" s="210"/>
      <c r="BO129" s="210"/>
      <c r="BP129" s="210"/>
      <c r="BQ129" s="210"/>
      <c r="BR129" s="210"/>
      <c r="BS129" s="210"/>
      <c r="BT129" s="210"/>
      <c r="BU129" s="210"/>
      <c r="BV129" s="210"/>
      <c r="BW129" s="210"/>
      <c r="BX129" s="210"/>
      <c r="BY129" s="210"/>
      <c r="BZ129" s="210"/>
      <c r="CA129" s="210"/>
      <c r="CB129" s="210"/>
      <c r="CC129" s="210"/>
      <c r="CD129" s="210"/>
      <c r="CE129" s="210"/>
      <c r="CF129" s="210"/>
      <c r="CG129" s="210"/>
      <c r="CH129" s="210"/>
      <c r="CI129" s="210"/>
      <c r="CJ129" s="210"/>
      <c r="CK129" s="210"/>
      <c r="CL129" s="210"/>
      <c r="CM129" s="210"/>
    </row>
    <row r="130" spans="1:91" s="20" customFormat="1" x14ac:dyDescent="0.25">
      <c r="A130" s="32" t="s">
        <v>802</v>
      </c>
      <c r="B130" s="7">
        <v>4041</v>
      </c>
      <c r="C130" s="21" t="s">
        <v>194</v>
      </c>
      <c r="D130" s="21" t="s">
        <v>454</v>
      </c>
      <c r="E130" s="13">
        <v>43011.775127314817</v>
      </c>
      <c r="F130" s="13">
        <v>43011.779386574075</v>
      </c>
      <c r="G130" s="7">
        <v>128</v>
      </c>
      <c r="H130" s="21" t="s">
        <v>879</v>
      </c>
      <c r="I130" s="13">
        <v>43011.804467592592</v>
      </c>
      <c r="J130" s="7">
        <v>0</v>
      </c>
      <c r="K130" s="85" t="str">
        <f t="shared" si="60"/>
        <v>4041/4042</v>
      </c>
      <c r="L130" s="179" t="str">
        <f>VLOOKUP(A130,'Trips&amp;Operators'!$C$1:$G$99911,5,FALSE)</f>
        <v>LOZA FIDEL</v>
      </c>
      <c r="M130" s="6">
        <f t="shared" si="61"/>
        <v>2.5081018517084885E-2</v>
      </c>
      <c r="N130" s="7">
        <f t="shared" si="70"/>
        <v>36.116666664602235</v>
      </c>
      <c r="O130" s="7"/>
      <c r="P130" s="7"/>
      <c r="Q130" s="22"/>
      <c r="R130" s="169"/>
      <c r="S130" s="202">
        <f t="shared" si="69"/>
        <v>1</v>
      </c>
      <c r="T130" s="169" t="str">
        <f t="shared" si="62"/>
        <v>Southbound</v>
      </c>
      <c r="U130" s="22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2" t="str">
        <f t="shared" si="44"/>
        <v>https://d0f6bd738d7f1b3e5a7ca70fe4ff75f0.us-east-1.aws.found.io/app/kibana#/discover/Steve-Slow-Train-Analysis-(2080s-and-2083s)?_g=(refreshInterval:(display:Off,pause:!f,section:0,value:0),time:(from:'2017-10-03T17:36:11-0600',mode:absolute,to:'2017-10-03T20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223" t="str">
        <f>IF(AA130&lt;VLOOKUP(AG130,Variables!$AC$3:$AD$8,2,FALSE),"Y","N")</f>
        <v>N</v>
      </c>
      <c r="X130" s="223">
        <f t="shared" si="63"/>
        <v>1</v>
      </c>
      <c r="Y130" s="223">
        <f t="shared" si="64"/>
        <v>23.299399999999999</v>
      </c>
      <c r="Z130" s="223">
        <f t="shared" si="65"/>
        <v>1.72E-2</v>
      </c>
      <c r="AA130" s="223">
        <f t="shared" si="66"/>
        <v>23.2822</v>
      </c>
      <c r="AB130" s="224" t="e">
        <f>VLOOKUP(A130,Enforcements!$C$7:$K$11,8,0)</f>
        <v>#N/A</v>
      </c>
      <c r="AC130" s="224" t="e">
        <f>VLOOKUP(A130,Enforcements!$C$7:$E$11,3,0)</f>
        <v>#N/A</v>
      </c>
      <c r="AD130" s="225">
        <f t="shared" si="67"/>
        <v>214</v>
      </c>
      <c r="AE130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30" s="227" t="str">
        <f t="shared" si="51"/>
        <v>"C:\Program Files (x86)\AstroGrep\AstroGrep.exe" /e /r /s /spath="%USERPROFILE%\AppData\Local\Temp\OnboardLogs" /stypes="app*4041*20171004*" /stext=" 01:.+((SYSTEM_STATE.+slice.+state.+changed )|(ment ac)|(multiple cpu faults)|(system.+state.+changed )|(\[timeout)|(PRM\|1\|D)|(kpr)|(kdp)|(train st.+moving)|(\|lc)|(penalty))"</v>
      </c>
      <c r="AG130" s="228" t="str">
        <f t="shared" si="68"/>
        <v>EC</v>
      </c>
      <c r="AH130" s="229" t="str">
        <f t="shared" si="53"/>
        <v>"%USERPROFILE%\Documents\GitHub\eaglep3\Utilities\RefineRTDCRunTimes.py" --tripid 214-03 --locoid 4041 --swversion DE.1.0.9.0 --startMP 204:232994 --initTime 2017-10-03T18:36:11 --startdatetime 2017-10-03T18:42:19 --delay 128 --endMP 204:172 --enddatetime 2017-10-03T19:18:26 --enforcementcount 0 &gt;&gt;%USERPROFILE%\Documents\GitHub\eaglep3-reporting\EC\2017-10-03-refined-times.txt</v>
      </c>
      <c r="AI13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{"issue":{"subject":"","project_id":79,"tracker_id":40,"status_id":1,"priority_id":2,"assigned_to_id":338,"start_date":"2017-10-03","description":"","custom_fields":[{"id":1,"name":"Subdivision","value":"EC"},{"id":4,"name":"Milepost","value":"0.0172"},{"id":17,"name":"Train ID","value":"214-03"},{"id":16,"name":"Locomotive ID","value":"4041"},{"id":130,"name":"Impact","value":""},{"id":150,"name":"Time of Event (Mountain Time)","value":"19:18:26"},{"id":151,"name":"Denver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10"/>
      <c r="AK130" s="225"/>
      <c r="AL130" s="225"/>
      <c r="AM130" s="231" t="str">
        <f t="shared" si="55"/>
        <v>start /low /b %USERPROFILE%\Documents\GitHub\eaglep3\Utilities\DownloadLogsFromS3.py --loco 4041 --day 2017-10-03</v>
      </c>
      <c r="AN130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10" t="str">
        <f t="shared" si="57"/>
        <v>https://d0f6bd738d7f1b3e5a7ca70fe4ff75f0.us-east-1.aws.found.io/app/kibana#/discover/Steve-Slow-Train-Analysis-(2080s-and-2083s)?_g=(refreshInterval:(display:Off,pause:!f,section:0,value:0),time:(from:'2017-10-03T17:36:11-0600',mode:absolute,to:'2017-10-03T20:18:26-0600'))&amp;_a=(columns:!('Message%20ID',Summary),filters:!(),index:'emp_*',interval:auto,query:(query_string:(analyze_wildcard:!t,query:'%22rtdc.l.rtdc.4041%22')),sort:!(Time.ISO8601,asc))</v>
      </c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  <c r="BM130" s="210"/>
      <c r="BN130" s="210"/>
      <c r="BO130" s="210"/>
      <c r="BP130" s="210"/>
      <c r="BQ130" s="210"/>
      <c r="BR130" s="210"/>
      <c r="BS130" s="210"/>
      <c r="BT130" s="210"/>
      <c r="BU130" s="210"/>
      <c r="BV130" s="210"/>
      <c r="BW130" s="210"/>
      <c r="BX130" s="210"/>
      <c r="BY130" s="210"/>
      <c r="BZ130" s="210"/>
      <c r="CA130" s="210"/>
      <c r="CB130" s="210"/>
      <c r="CC130" s="210"/>
      <c r="CD130" s="210"/>
      <c r="CE130" s="210"/>
      <c r="CF130" s="210"/>
      <c r="CG130" s="210"/>
      <c r="CH130" s="210"/>
      <c r="CI130" s="210"/>
      <c r="CJ130" s="210"/>
      <c r="CK130" s="210"/>
      <c r="CL130" s="210"/>
      <c r="CM130" s="210"/>
    </row>
    <row r="131" spans="1:91" s="20" customFormat="1" x14ac:dyDescent="0.25">
      <c r="A131" s="32" t="s">
        <v>790</v>
      </c>
      <c r="B131" s="7">
        <v>4012</v>
      </c>
      <c r="C131" s="21" t="s">
        <v>194</v>
      </c>
      <c r="D131" s="21" t="s">
        <v>355</v>
      </c>
      <c r="E131" s="13">
        <v>43011.744641203702</v>
      </c>
      <c r="F131" s="13">
        <v>43011.7503125</v>
      </c>
      <c r="G131" s="7">
        <v>56</v>
      </c>
      <c r="H131" s="21" t="s">
        <v>391</v>
      </c>
      <c r="I131" s="13">
        <v>43011.775000000001</v>
      </c>
      <c r="J131" s="7">
        <v>0</v>
      </c>
      <c r="K131" s="85" t="str">
        <f t="shared" si="60"/>
        <v>4011/4012</v>
      </c>
      <c r="L131" s="179" t="str">
        <f>VLOOKUP(A131,'Trips&amp;Operators'!$C$1:$G$99911,5,FALSE)</f>
        <v>SMITH MICHAEL</v>
      </c>
      <c r="M131" s="6">
        <f t="shared" si="61"/>
        <v>2.4687500001164153E-2</v>
      </c>
      <c r="N131" s="7">
        <f t="shared" si="70"/>
        <v>35.550000001676381</v>
      </c>
      <c r="O131" s="7"/>
      <c r="P131" s="7"/>
      <c r="Q131" s="22"/>
      <c r="R131" s="169"/>
      <c r="S131" s="202">
        <f t="shared" si="69"/>
        <v>1</v>
      </c>
      <c r="T131" s="169" t="str">
        <f t="shared" si="62"/>
        <v>NorthBound</v>
      </c>
      <c r="U131" s="22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2" t="str">
        <f t="shared" si="44"/>
        <v>https://d0f6bd738d7f1b3e5a7ca70fe4ff75f0.us-east-1.aws.found.io/app/kibana#/discover/Steve-Slow-Train-Analysis-(2080s-and-2083s)?_g=(refreshInterval:(display:Off,pause:!f,section:0,value:0),time:(from:'2017-10-03T16:52:17-0600',mode:absolute,to:'2017-10-03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223" t="str">
        <f>IF(AA131&lt;VLOOKUP(AG131,Variables!$AC$3:$AD$8,2,FALSE),"Y","N")</f>
        <v>N</v>
      </c>
      <c r="X131" s="223">
        <f t="shared" si="63"/>
        <v>1</v>
      </c>
      <c r="Y131" s="223">
        <f t="shared" si="64"/>
        <v>4.58E-2</v>
      </c>
      <c r="Z131" s="223">
        <f t="shared" si="65"/>
        <v>23.3293</v>
      </c>
      <c r="AA131" s="223">
        <f t="shared" si="66"/>
        <v>23.2835</v>
      </c>
      <c r="AB131" s="224" t="e">
        <f>VLOOKUP(A131,Enforcements!$C$7:$K$11,8,0)</f>
        <v>#N/A</v>
      </c>
      <c r="AC131" s="224" t="e">
        <f>VLOOKUP(A131,Enforcements!$C$7:$E$11,3,0)</f>
        <v>#N/A</v>
      </c>
      <c r="AD131" s="225">
        <f t="shared" si="67"/>
        <v>215</v>
      </c>
      <c r="AE131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131" s="227" t="str">
        <f t="shared" si="51"/>
        <v>"C:\Program Files (x86)\AstroGrep\AstroGrep.exe" /e /r /s /spath="%USERPROFILE%\AppData\Local\Temp\OnboardLogs" /stypes="app*4012*20171004*" /stext=" 00:.+((SYSTEM_STATE.+slice.+state.+changed )|(ment ac)|(multiple cpu faults)|(system.+state.+changed )|(\[timeout)|(PRM\|1\|D)|(kpr)|(kdp)|(train st.+moving)|(\|lc)|(penalty))"</v>
      </c>
      <c r="AG131" s="228" t="str">
        <f t="shared" si="68"/>
        <v>EC</v>
      </c>
      <c r="AH131" s="229" t="str">
        <f t="shared" si="53"/>
        <v>"%USERPROFILE%\Documents\GitHub\eaglep3\Utilities\RefineRTDCRunTimes.py" --tripid 215-03 --locoid 4012 --swversion DE.1.0.9.0 --startMP 204:458 --initTime 2017-10-03T17:52:17 --startdatetime 2017-10-03T18:00:27 --delay 56 --endMP 204:233293 --enddatetime 2017-10-03T18:36:00 --enforcementcount 0 &gt;&gt;%USERPROFILE%\Documents\GitHub\eaglep3-reporting\EC\2017-10-03-refined-times.txt</v>
      </c>
      <c r="AI13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{"issue":{"subject":"","project_id":79,"tracker_id":40,"status_id":1,"priority_id":2,"assigned_to_id":338,"start_date":"2017-10-03","description":"","custom_fields":[{"id":1,"name":"Subdivision","value":"EC"},{"id":4,"name":"Milepost","value":"23.3293"},{"id":17,"name":"Train ID","value":"215-03"},{"id":16,"name":"Locomotive ID","value":"4012"},{"id":130,"name":"Impact","value":""},{"id":150,"name":"Time of Event (Mountain Time)","value":"18:36:00"},{"id":151,"name":"Denver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10"/>
      <c r="AK131" s="225"/>
      <c r="AL131" s="225"/>
      <c r="AM131" s="231" t="str">
        <f t="shared" si="55"/>
        <v>start /low /b %USERPROFILE%\Documents\GitHub\eaglep3\Utilities\DownloadLogsFromS3.py --loco 4012 --day 2017-10-03</v>
      </c>
      <c r="AN131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10" t="str">
        <f t="shared" si="57"/>
        <v>https://d0f6bd738d7f1b3e5a7ca70fe4ff75f0.us-east-1.aws.found.io/app/kibana#/discover/Steve-Slow-Train-Analysis-(2080s-and-2083s)?_g=(refreshInterval:(display:Off,pause:!f,section:0,value:0),time:(from:'2017-10-03T16:52:17-0600',mode:absolute,to:'2017-10-03T19:36:00-0600'))&amp;_a=(columns:!('Message%20ID',Summary),filters:!(),index:'emp_*',interval:auto,query:(query_string:(analyze_wildcard:!t,query:'%22rtdc.l.rtdc.4012%22')),sort:!(Time.ISO8601,asc))</v>
      </c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  <c r="BM131" s="210"/>
      <c r="BN131" s="210"/>
      <c r="BO131" s="210"/>
      <c r="BP131" s="210"/>
      <c r="BQ131" s="210"/>
      <c r="BR131" s="210"/>
      <c r="BS131" s="210"/>
      <c r="BT131" s="210"/>
      <c r="BU131" s="210"/>
      <c r="BV131" s="210"/>
      <c r="BW131" s="210"/>
      <c r="BX131" s="210"/>
      <c r="BY131" s="210"/>
      <c r="BZ131" s="210"/>
      <c r="CA131" s="210"/>
      <c r="CB131" s="210"/>
      <c r="CC131" s="210"/>
      <c r="CD131" s="210"/>
      <c r="CE131" s="210"/>
      <c r="CF131" s="210"/>
      <c r="CG131" s="210"/>
      <c r="CH131" s="210"/>
      <c r="CI131" s="210"/>
      <c r="CJ131" s="210"/>
      <c r="CK131" s="210"/>
      <c r="CL131" s="210"/>
      <c r="CM131" s="210"/>
    </row>
    <row r="132" spans="1:91" s="20" customFormat="1" x14ac:dyDescent="0.25">
      <c r="A132" s="32" t="s">
        <v>803</v>
      </c>
      <c r="B132" s="7">
        <v>4011</v>
      </c>
      <c r="C132" s="21" t="s">
        <v>194</v>
      </c>
      <c r="D132" s="21" t="s">
        <v>864</v>
      </c>
      <c r="E132" s="13">
        <v>43011.780532407407</v>
      </c>
      <c r="F132" s="13">
        <v>43011.789814814816</v>
      </c>
      <c r="G132" s="7">
        <v>56</v>
      </c>
      <c r="H132" s="21" t="s">
        <v>506</v>
      </c>
      <c r="I132" s="13">
        <v>43011.815439814818</v>
      </c>
      <c r="J132" s="7">
        <v>0</v>
      </c>
      <c r="K132" s="85" t="str">
        <f t="shared" si="60"/>
        <v>4011/4012</v>
      </c>
      <c r="L132" s="179" t="str">
        <f>VLOOKUP(A132,'Trips&amp;Operators'!$C$1:$G$99911,5,FALSE)</f>
        <v>SMITH MICHAEL</v>
      </c>
      <c r="M132" s="6">
        <f t="shared" si="61"/>
        <v>2.5625000002037268E-2</v>
      </c>
      <c r="N132" s="7">
        <f t="shared" si="70"/>
        <v>36.900000002933666</v>
      </c>
      <c r="O132" s="7"/>
      <c r="P132" s="7"/>
      <c r="Q132" s="22"/>
      <c r="R132" s="169"/>
      <c r="S132" s="202">
        <f t="shared" si="69"/>
        <v>1</v>
      </c>
      <c r="T132" s="169" t="str">
        <f t="shared" si="62"/>
        <v>Southbound</v>
      </c>
      <c r="U132" s="22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2" t="str">
        <f t="shared" si="44"/>
        <v>https://d0f6bd738d7f1b3e5a7ca70fe4ff75f0.us-east-1.aws.found.io/app/kibana#/discover/Steve-Slow-Train-Analysis-(2080s-and-2083s)?_g=(refreshInterval:(display:Off,pause:!f,section:0,value:0),time:(from:'2017-10-03T17:43:58-0600',mode:absolute,to:'2017-10-03T20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223" t="str">
        <f>IF(AA132&lt;VLOOKUP(AG132,Variables!$AC$3:$AD$8,2,FALSE),"Y","N")</f>
        <v>N</v>
      </c>
      <c r="X132" s="223">
        <f t="shared" si="63"/>
        <v>1</v>
      </c>
      <c r="Y132" s="223">
        <f t="shared" si="64"/>
        <v>23.298300000000001</v>
      </c>
      <c r="Z132" s="223">
        <f t="shared" si="65"/>
        <v>1.6500000000000001E-2</v>
      </c>
      <c r="AA132" s="223">
        <f t="shared" si="66"/>
        <v>23.2818</v>
      </c>
      <c r="AB132" s="224" t="e">
        <f>VLOOKUP(A132,Enforcements!$C$7:$K$11,8,0)</f>
        <v>#N/A</v>
      </c>
      <c r="AC132" s="224" t="e">
        <f>VLOOKUP(A132,Enforcements!$C$7:$E$11,3,0)</f>
        <v>#N/A</v>
      </c>
      <c r="AD132" s="225">
        <f t="shared" si="67"/>
        <v>216</v>
      </c>
      <c r="AE132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132" s="227" t="str">
        <f t="shared" si="51"/>
        <v>"C:\Program Files (x86)\AstroGrep\AstroGrep.exe" /e /r /s /spath="%USERPROFILE%\AppData\Local\Temp\OnboardLogs" /stypes="app*4011*20171004*" /stext=" 01:.+((SYSTEM_STATE.+slice.+state.+changed )|(ment ac)|(multiple cpu faults)|(system.+state.+changed )|(\[timeout)|(PRM\|1\|D)|(kpr)|(kdp)|(train st.+moving)|(\|lc)|(penalty))"</v>
      </c>
      <c r="AG132" s="228" t="str">
        <f t="shared" si="68"/>
        <v>EC</v>
      </c>
      <c r="AH132" s="229" t="str">
        <f t="shared" si="53"/>
        <v>"%USERPROFILE%\Documents\GitHub\eaglep3\Utilities\RefineRTDCRunTimes.py" --tripid 216-03 --locoid 4011 --swversion DE.1.0.9.0 --startMP 204:232983 --initTime 2017-10-03T18:43:58 --startdatetime 2017-10-03T18:57:20 --delay 56 --endMP 204:165 --enddatetime 2017-10-03T19:34:14 --enforcementcount 0 &gt;&gt;%USERPROFILE%\Documents\GitHub\eaglep3-reporting\EC\2017-10-03-refined-times.txt</v>
      </c>
      <c r="AI13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{"issue":{"subject":"","project_id":79,"tracker_id":40,"status_id":1,"priority_id":2,"assigned_to_id":338,"start_date":"2017-10-03","description":"","custom_fields":[{"id":1,"name":"Subdivision","value":"EC"},{"id":4,"name":"Milepost","value":"0.0165"},{"id":17,"name":"Train ID","value":"216-03"},{"id":16,"name":"Locomotive ID","value":"4011"},{"id":130,"name":"Impact","value":""},{"id":150,"name":"Time of Event (Mountain Time)","value":"19:34:14"},{"id":151,"name":"Denver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10"/>
      <c r="AK132" s="225"/>
      <c r="AL132" s="225"/>
      <c r="AM132" s="231" t="str">
        <f t="shared" si="55"/>
        <v>start /low /b %USERPROFILE%\Documents\GitHub\eaglep3\Utilities\DownloadLogsFromS3.py --loco 4011 --day 2017-10-03</v>
      </c>
      <c r="AN132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10" t="str">
        <f t="shared" si="57"/>
        <v>https://d0f6bd738d7f1b3e5a7ca70fe4ff75f0.us-east-1.aws.found.io/app/kibana#/discover/Steve-Slow-Train-Analysis-(2080s-and-2083s)?_g=(refreshInterval:(display:Off,pause:!f,section:0,value:0),time:(from:'2017-10-03T17:43:58-0600',mode:absolute,to:'2017-10-03T20:34:14-0600'))&amp;_a=(columns:!('Message%20ID',Summary),filters:!(),index:'emp_*',interval:auto,query:(query_string:(analyze_wildcard:!t,query:'%22rtdc.l.rtdc.4011%22')),sort:!(Time.ISO8601,asc))</v>
      </c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  <c r="BM132" s="210"/>
      <c r="BN132" s="210"/>
      <c r="BO132" s="210"/>
      <c r="BP132" s="210"/>
      <c r="BQ132" s="210"/>
      <c r="BR132" s="210"/>
      <c r="BS132" s="210"/>
      <c r="BT132" s="210"/>
      <c r="BU132" s="210"/>
      <c r="BV132" s="210"/>
      <c r="BW132" s="210"/>
      <c r="BX132" s="210"/>
      <c r="BY132" s="210"/>
      <c r="BZ132" s="210"/>
      <c r="CA132" s="210"/>
      <c r="CB132" s="210"/>
      <c r="CC132" s="210"/>
      <c r="CD132" s="210"/>
      <c r="CE132" s="210"/>
      <c r="CF132" s="210"/>
      <c r="CG132" s="210"/>
      <c r="CH132" s="210"/>
      <c r="CI132" s="210"/>
      <c r="CJ132" s="210"/>
      <c r="CK132" s="210"/>
      <c r="CL132" s="210"/>
      <c r="CM132" s="210"/>
    </row>
    <row r="133" spans="1:91" s="20" customFormat="1" x14ac:dyDescent="0.25">
      <c r="A133" s="32" t="s">
        <v>796</v>
      </c>
      <c r="B133" s="7">
        <v>4032</v>
      </c>
      <c r="C133" s="21" t="s">
        <v>194</v>
      </c>
      <c r="D133" s="21" t="s">
        <v>451</v>
      </c>
      <c r="E133" s="13">
        <v>43011.754166666666</v>
      </c>
      <c r="F133" s="13">
        <v>43011.760717592595</v>
      </c>
      <c r="G133" s="7">
        <v>76</v>
      </c>
      <c r="H133" s="21" t="s">
        <v>891</v>
      </c>
      <c r="I133" s="13">
        <v>43011.785405092596</v>
      </c>
      <c r="J133" s="7">
        <v>0</v>
      </c>
      <c r="K133" s="85" t="str">
        <f t="shared" si="60"/>
        <v>4031/4032</v>
      </c>
      <c r="L133" s="179" t="str">
        <f>VLOOKUP(A133,'Trips&amp;Operators'!$C$1:$G$99911,5,FALSE)</f>
        <v>RESPASS AARON</v>
      </c>
      <c r="M133" s="6">
        <f t="shared" si="61"/>
        <v>2.4687500001164153E-2</v>
      </c>
      <c r="N133" s="7">
        <f t="shared" si="70"/>
        <v>35.550000001676381</v>
      </c>
      <c r="O133" s="7"/>
      <c r="P133" s="7"/>
      <c r="Q133" s="22"/>
      <c r="R133" s="169"/>
      <c r="S133" s="202">
        <f t="shared" si="69"/>
        <v>1</v>
      </c>
      <c r="T133" s="169" t="str">
        <f t="shared" si="62"/>
        <v>NorthBound</v>
      </c>
      <c r="U133" s="22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2" t="str">
        <f t="shared" si="44"/>
        <v>https://d0f6bd738d7f1b3e5a7ca70fe4ff75f0.us-east-1.aws.found.io/app/kibana#/discover/Steve-Slow-Train-Analysis-(2080s-and-2083s)?_g=(refreshInterval:(display:Off,pause:!f,section:0,value:0),time:(from:'2017-10-03T17:06:00-0600',mode:absolute,to:'2017-10-03T19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223" t="str">
        <f>IF(AA133&lt;VLOOKUP(AG133,Variables!$AC$3:$AD$8,2,FALSE),"Y","N")</f>
        <v>N</v>
      </c>
      <c r="X133" s="223">
        <f t="shared" si="63"/>
        <v>1</v>
      </c>
      <c r="Y133" s="223">
        <f t="shared" si="64"/>
        <v>4.3799999999999999E-2</v>
      </c>
      <c r="Z133" s="223">
        <f t="shared" si="65"/>
        <v>23.328800000000001</v>
      </c>
      <c r="AA133" s="223">
        <f t="shared" si="66"/>
        <v>23.285</v>
      </c>
      <c r="AB133" s="224" t="e">
        <f>VLOOKUP(A133,Enforcements!$C$7:$K$11,8,0)</f>
        <v>#N/A</v>
      </c>
      <c r="AC133" s="224" t="e">
        <f>VLOOKUP(A133,Enforcements!$C$7:$E$11,3,0)</f>
        <v>#N/A</v>
      </c>
      <c r="AD133" s="225">
        <f t="shared" si="67"/>
        <v>217</v>
      </c>
      <c r="AE133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33" s="227" t="str">
        <f t="shared" si="51"/>
        <v>"C:\Program Files (x86)\AstroGrep\AstroGrep.exe" /e /r /s /spath="%USERPROFILE%\AppData\Local\Temp\OnboardLogs" /stypes="app*4032*20171004*" /stext=" 00:.+((SYSTEM_STATE.+slice.+state.+changed )|(ment ac)|(multiple cpu faults)|(system.+state.+changed )|(\[timeout)|(PRM\|1\|D)|(kpr)|(kdp)|(train st.+moving)|(\|lc)|(penalty))"</v>
      </c>
      <c r="AG133" s="228" t="str">
        <f t="shared" si="68"/>
        <v>EC</v>
      </c>
      <c r="AH133" s="229" t="str">
        <f t="shared" si="53"/>
        <v>"%USERPROFILE%\Documents\GitHub\eaglep3\Utilities\RefineRTDCRunTimes.py" --tripid 217-03 --locoid 4032 --swversion DE.1.0.9.0 --startMP 204:438 --initTime 2017-10-03T18:06:00 --startdatetime 2017-10-03T18:15:26 --delay 76 --endMP 204:233288 --enddatetime 2017-10-03T18:50:59 --enforcementcount 0 &gt;&gt;%USERPROFILE%\Documents\GitHub\eaglep3-reporting\EC\2017-10-03-refined-times.txt</v>
      </c>
      <c r="AI13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{"issue":{"subject":"","project_id":79,"tracker_id":40,"status_id":1,"priority_id":2,"assigned_to_id":338,"start_date":"2017-10-03","description":"","custom_fields":[{"id":1,"name":"Subdivision","value":"EC"},{"id":4,"name":"Milepost","value":"23.3288"},{"id":17,"name":"Train ID","value":"217-03"},{"id":16,"name":"Locomotive ID","value":"4032"},{"id":130,"name":"Impact","value":""},{"id":150,"name":"Time of Event (Mountain Time)","value":"18:50:59"},{"id":151,"name":"Denver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10"/>
      <c r="AK133" s="225"/>
      <c r="AL133" s="225"/>
      <c r="AM133" s="231" t="str">
        <f t="shared" si="55"/>
        <v>start /low /b %USERPROFILE%\Documents\GitHub\eaglep3\Utilities\DownloadLogsFromS3.py --loco 4032 --day 2017-10-03</v>
      </c>
      <c r="AN133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10" t="str">
        <f t="shared" si="57"/>
        <v>https://d0f6bd738d7f1b3e5a7ca70fe4ff75f0.us-east-1.aws.found.io/app/kibana#/discover/Steve-Slow-Train-Analysis-(2080s-and-2083s)?_g=(refreshInterval:(display:Off,pause:!f,section:0,value:0),time:(from:'2017-10-03T17:06:00-0600',mode:absolute,to:'2017-10-03T19:50:59-0600'))&amp;_a=(columns:!('Message%20ID',Summary),filters:!(),index:'emp_*',interval:auto,query:(query_string:(analyze_wildcard:!t,query:'%22rtdc.l.rtdc.4032%22')),sort:!(Time.ISO8601,asc))</v>
      </c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  <c r="BM133" s="210"/>
      <c r="BN133" s="210"/>
      <c r="BO133" s="210"/>
      <c r="BP133" s="210"/>
      <c r="BQ133" s="210"/>
      <c r="BR133" s="210"/>
      <c r="BS133" s="210"/>
      <c r="BT133" s="210"/>
      <c r="BU133" s="210"/>
      <c r="BV133" s="210"/>
      <c r="BW133" s="210"/>
      <c r="BX133" s="210"/>
      <c r="BY133" s="210"/>
      <c r="BZ133" s="210"/>
      <c r="CA133" s="210"/>
      <c r="CB133" s="210"/>
      <c r="CC133" s="210"/>
      <c r="CD133" s="210"/>
      <c r="CE133" s="210"/>
      <c r="CF133" s="210"/>
      <c r="CG133" s="210"/>
      <c r="CH133" s="210"/>
      <c r="CI133" s="210"/>
      <c r="CJ133" s="210"/>
      <c r="CK133" s="210"/>
      <c r="CL133" s="210"/>
      <c r="CM133" s="210"/>
    </row>
    <row r="134" spans="1:91" s="20" customFormat="1" x14ac:dyDescent="0.25">
      <c r="A134" s="32" t="s">
        <v>805</v>
      </c>
      <c r="B134" s="7">
        <v>4031</v>
      </c>
      <c r="C134" s="21" t="s">
        <v>194</v>
      </c>
      <c r="D134" s="21" t="s">
        <v>892</v>
      </c>
      <c r="E134" s="13">
        <v>43011.786620370367</v>
      </c>
      <c r="F134" s="13">
        <v>43011.800173611111</v>
      </c>
      <c r="G134" s="7">
        <v>82</v>
      </c>
      <c r="H134" s="21" t="s">
        <v>387</v>
      </c>
      <c r="I134" s="13">
        <v>43011.825879629629</v>
      </c>
      <c r="J134" s="7">
        <v>0</v>
      </c>
      <c r="K134" s="85" t="str">
        <f t="shared" si="60"/>
        <v>4031/4032</v>
      </c>
      <c r="L134" s="179" t="str">
        <f>VLOOKUP(A134,'Trips&amp;Operators'!$C$1:$G$99911,5,FALSE)</f>
        <v>RESPASS AARON</v>
      </c>
      <c r="M134" s="6">
        <f t="shared" si="61"/>
        <v>2.5706018517666962E-2</v>
      </c>
      <c r="N134" s="7">
        <f t="shared" si="70"/>
        <v>37.016666665440425</v>
      </c>
      <c r="O134" s="7"/>
      <c r="P134" s="7"/>
      <c r="Q134" s="22"/>
      <c r="R134" s="169"/>
      <c r="S134" s="202">
        <f t="shared" si="69"/>
        <v>1</v>
      </c>
      <c r="T134" s="169" t="str">
        <f t="shared" si="62"/>
        <v>Southbound</v>
      </c>
      <c r="U134" s="22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2" t="str">
        <f t="shared" si="44"/>
        <v>https://d0f6bd738d7f1b3e5a7ca70fe4ff75f0.us-east-1.aws.found.io/app/kibana#/discover/Steve-Slow-Train-Analysis-(2080s-and-2083s)?_g=(refreshInterval:(display:Off,pause:!f,section:0,value:0),time:(from:'2017-10-03T17:52:44-0600',mode:absolute,to:'2017-10-03T20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223" t="str">
        <f>IF(AA134&lt;VLOOKUP(AG134,Variables!$AC$3:$AD$8,2,FALSE),"Y","N")</f>
        <v>N</v>
      </c>
      <c r="X134" s="223">
        <f t="shared" si="63"/>
        <v>1</v>
      </c>
      <c r="Y134" s="223">
        <f t="shared" si="64"/>
        <v>23.296900000000001</v>
      </c>
      <c r="Z134" s="223">
        <f t="shared" si="65"/>
        <v>1.54E-2</v>
      </c>
      <c r="AA134" s="223">
        <f t="shared" si="66"/>
        <v>23.281500000000001</v>
      </c>
      <c r="AB134" s="224" t="e">
        <f>VLOOKUP(A134,Enforcements!$C$7:$K$11,8,0)</f>
        <v>#N/A</v>
      </c>
      <c r="AC134" s="224" t="e">
        <f>VLOOKUP(A134,Enforcements!$C$7:$E$11,3,0)</f>
        <v>#N/A</v>
      </c>
      <c r="AD134" s="225">
        <f t="shared" si="67"/>
        <v>218</v>
      </c>
      <c r="AE134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34" s="227" t="str">
        <f t="shared" si="51"/>
        <v>"C:\Program Files (x86)\AstroGrep\AstroGrep.exe" /e /r /s /spath="%USERPROFILE%\AppData\Local\Temp\OnboardLogs" /stypes="app*4031*20171004*" /stext=" 01:.+((SYSTEM_STATE.+slice.+state.+changed )|(ment ac)|(multiple cpu faults)|(system.+state.+changed )|(\[timeout)|(PRM\|1\|D)|(kpr)|(kdp)|(train st.+moving)|(\|lc)|(penalty))"</v>
      </c>
      <c r="AG134" s="228" t="str">
        <f t="shared" si="68"/>
        <v>EC</v>
      </c>
      <c r="AH134" s="229" t="str">
        <f t="shared" si="53"/>
        <v>"%USERPROFILE%\Documents\GitHub\eaglep3\Utilities\RefineRTDCRunTimes.py" --tripid 218-03 --locoid 4031 --swversion DE.1.0.9.0 --startMP 204:232969 --initTime 2017-10-03T18:52:44 --startdatetime 2017-10-03T19:12:15 --delay 82 --endMP 204:154 --enddatetime 2017-10-03T19:49:16 --enforcementcount 0 &gt;&gt;%USERPROFILE%\Documents\GitHub\eaglep3-reporting\EC\2017-10-03-refined-times.txt</v>
      </c>
      <c r="AI13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{"issue":{"subject":"","project_id":79,"tracker_id":40,"status_id":1,"priority_id":2,"assigned_to_id":338,"start_date":"2017-10-03","description":"","custom_fields":[{"id":1,"name":"Subdivision","value":"EC"},{"id":4,"name":"Milepost","value":"0.0154"},{"id":17,"name":"Train ID","value":"218-03"},{"id":16,"name":"Locomotive ID","value":"4031"},{"id":130,"name":"Impact","value":""},{"id":150,"name":"Time of Event (Mountain Time)","value":"19:49:16"},{"id":151,"name":"Denver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10"/>
      <c r="AK134" s="225"/>
      <c r="AL134" s="225"/>
      <c r="AM134" s="231" t="str">
        <f t="shared" si="55"/>
        <v>start /low /b %USERPROFILE%\Documents\GitHub\eaglep3\Utilities\DownloadLogsFromS3.py --loco 4031 --day 2017-10-03</v>
      </c>
      <c r="AN134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10" t="str">
        <f t="shared" si="57"/>
        <v>https://d0f6bd738d7f1b3e5a7ca70fe4ff75f0.us-east-1.aws.found.io/app/kibana#/discover/Steve-Slow-Train-Analysis-(2080s-and-2083s)?_g=(refreshInterval:(display:Off,pause:!f,section:0,value:0),time:(from:'2017-10-03T17:52:44-0600',mode:absolute,to:'2017-10-03T20:49:16-0600'))&amp;_a=(columns:!('Message%20ID',Summary),filters:!(),index:'emp_*',interval:auto,query:(query_string:(analyze_wildcard:!t,query:'%22rtdc.l.rtdc.4031%22')),sort:!(Time.ISO8601,asc))</v>
      </c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210"/>
      <c r="BT134" s="210"/>
      <c r="BU134" s="210"/>
      <c r="BV134" s="210"/>
      <c r="BW134" s="210"/>
      <c r="BX134" s="210"/>
      <c r="BY134" s="210"/>
      <c r="BZ134" s="210"/>
      <c r="CA134" s="210"/>
      <c r="CB134" s="210"/>
      <c r="CC134" s="210"/>
      <c r="CD134" s="210"/>
      <c r="CE134" s="210"/>
      <c r="CF134" s="210"/>
      <c r="CG134" s="210"/>
      <c r="CH134" s="210"/>
      <c r="CI134" s="210"/>
      <c r="CJ134" s="210"/>
      <c r="CK134" s="210"/>
      <c r="CL134" s="210"/>
      <c r="CM134" s="210"/>
    </row>
    <row r="135" spans="1:91" s="20" customFormat="1" x14ac:dyDescent="0.25">
      <c r="A135" s="32" t="s">
        <v>798</v>
      </c>
      <c r="B135" s="7">
        <v>4056</v>
      </c>
      <c r="C135" s="21" t="s">
        <v>194</v>
      </c>
      <c r="D135" s="21" t="s">
        <v>381</v>
      </c>
      <c r="E135" s="13">
        <v>43011.76766203704</v>
      </c>
      <c r="F135" s="13">
        <v>43011.771018518521</v>
      </c>
      <c r="G135" s="7">
        <v>97</v>
      </c>
      <c r="H135" s="21" t="s">
        <v>458</v>
      </c>
      <c r="I135" s="13">
        <v>43011.795405092591</v>
      </c>
      <c r="J135" s="7">
        <v>0</v>
      </c>
      <c r="K135" s="85" t="str">
        <f t="shared" si="60"/>
        <v>4055/4056</v>
      </c>
      <c r="L135" s="179" t="str">
        <f>VLOOKUP(A135,'Trips&amp;Operators'!$C$1:$G$99911,5,FALSE)</f>
        <v>HART KEVIN</v>
      </c>
      <c r="M135" s="6">
        <f t="shared" si="61"/>
        <v>2.438657407037681E-2</v>
      </c>
      <c r="N135" s="7">
        <f t="shared" si="70"/>
        <v>35.116666661342606</v>
      </c>
      <c r="O135" s="7"/>
      <c r="P135" s="7"/>
      <c r="Q135" s="22"/>
      <c r="R135" s="169"/>
      <c r="S135" s="202">
        <f t="shared" si="69"/>
        <v>1</v>
      </c>
      <c r="T135" s="169" t="str">
        <f t="shared" si="62"/>
        <v>NorthBound</v>
      </c>
      <c r="U135" s="22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2" t="str">
        <f t="shared" si="44"/>
        <v>https://d0f6bd738d7f1b3e5a7ca70fe4ff75f0.us-east-1.aws.found.io/app/kibana#/discover/Steve-Slow-Train-Analysis-(2080s-and-2083s)?_g=(refreshInterval:(display:Off,pause:!f,section:0,value:0),time:(from:'2017-10-03T17:25:26-0600',mode:absolute,to:'2017-10-03T20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23" t="str">
        <f>IF(AA135&lt;VLOOKUP(AG135,Variables!$AC$3:$AD$8,2,FALSE),"Y","N")</f>
        <v>N</v>
      </c>
      <c r="X135" s="223">
        <f t="shared" si="63"/>
        <v>1</v>
      </c>
      <c r="Y135" s="223">
        <f t="shared" si="64"/>
        <v>4.5100000000000001E-2</v>
      </c>
      <c r="Z135" s="223">
        <f t="shared" si="65"/>
        <v>23.33</v>
      </c>
      <c r="AA135" s="223">
        <f t="shared" si="66"/>
        <v>23.284899999999997</v>
      </c>
      <c r="AB135" s="224" t="e">
        <f>VLOOKUP(A135,Enforcements!$C$7:$K$11,8,0)</f>
        <v>#N/A</v>
      </c>
      <c r="AC135" s="224" t="e">
        <f>VLOOKUP(A135,Enforcements!$C$7:$E$11,3,0)</f>
        <v>#N/A</v>
      </c>
      <c r="AD135" s="225">
        <f t="shared" si="67"/>
        <v>219</v>
      </c>
      <c r="AE135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35" s="227" t="str">
        <f t="shared" si="51"/>
        <v>"C:\Program Files (x86)\AstroGrep\AstroGrep.exe" /e /r /s /spath="%USERPROFILE%\AppData\Local\Temp\OnboardLogs" /stypes="app*4056*20171004*" /stext=" 01:.+((SYSTEM_STATE.+slice.+state.+changed )|(ment ac)|(multiple cpu faults)|(system.+state.+changed )|(\[timeout)|(PRM\|1\|D)|(kpr)|(kdp)|(train st.+moving)|(\|lc)|(penalty))"</v>
      </c>
      <c r="AG135" s="228" t="str">
        <f t="shared" si="68"/>
        <v>EC</v>
      </c>
      <c r="AH135" s="229" t="str">
        <f t="shared" si="53"/>
        <v>"%USERPROFILE%\Documents\GitHub\eaglep3\Utilities\RefineRTDCRunTimes.py" --tripid 219-03 --locoid 4056 --swversion DE.1.0.9.0 --startMP 204:451 --initTime 2017-10-03T18:25:26 --startdatetime 2017-10-03T18:30:16 --delay 97 --endMP 204:233300 --enddatetime 2017-10-03T19:05:23 --enforcementcount 0 &gt;&gt;%USERPROFILE%\Documents\GitHub\eaglep3-reporting\EC\2017-10-03-refined-times.txt</v>
      </c>
      <c r="AI13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{"issue":{"subject":"","project_id":79,"tracker_id":40,"status_id":1,"priority_id":2,"assigned_to_id":338,"start_date":"2017-10-03","description":"","custom_fields":[{"id":1,"name":"Subdivision","value":"EC"},{"id":4,"name":"Milepost","value":"23.33"},{"id":17,"name":"Train ID","value":"219-03"},{"id":16,"name":"Locomotive ID","value":"4056"},{"id":130,"name":"Impact","value":""},{"id":150,"name":"Time of Event (Mountain Time)","value":"19:05:23"},{"id":151,"name":"Denver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10"/>
      <c r="AK135" s="225"/>
      <c r="AL135" s="225"/>
      <c r="AM135" s="231" t="str">
        <f t="shared" si="55"/>
        <v>start /low /b %USERPROFILE%\Documents\GitHub\eaglep3\Utilities\DownloadLogsFromS3.py --loco 4056 --day 2017-10-03</v>
      </c>
      <c r="AN135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10" t="str">
        <f t="shared" si="57"/>
        <v>https://d0f6bd738d7f1b3e5a7ca70fe4ff75f0.us-east-1.aws.found.io/app/kibana#/discover/Steve-Slow-Train-Analysis-(2080s-and-2083s)?_g=(refreshInterval:(display:Off,pause:!f,section:0,value:0),time:(from:'2017-10-03T17:25:26-0600',mode:absolute,to:'2017-10-03T20:05:23-0600'))&amp;_a=(columns:!('Message%20ID',Summary),filters:!(),index:'emp_*',interval:auto,query:(query_string:(analyze_wildcard:!t,query:'%22rtdc.l.rtdc.4056%22')),sort:!(Time.ISO8601,asc))</v>
      </c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  <c r="BM135" s="210"/>
      <c r="BN135" s="210"/>
      <c r="BO135" s="210"/>
      <c r="BP135" s="210"/>
      <c r="BQ135" s="210"/>
      <c r="BR135" s="210"/>
      <c r="BS135" s="210"/>
      <c r="BT135" s="210"/>
      <c r="BU135" s="210"/>
      <c r="BV135" s="210"/>
      <c r="BW135" s="210"/>
      <c r="BX135" s="210"/>
      <c r="BY135" s="210"/>
      <c r="BZ135" s="210"/>
      <c r="CA135" s="210"/>
      <c r="CB135" s="210"/>
      <c r="CC135" s="210"/>
      <c r="CD135" s="210"/>
      <c r="CE135" s="210"/>
      <c r="CF135" s="210"/>
      <c r="CG135" s="210"/>
      <c r="CH135" s="210"/>
      <c r="CI135" s="210"/>
      <c r="CJ135" s="210"/>
      <c r="CK135" s="210"/>
      <c r="CL135" s="210"/>
      <c r="CM135" s="210"/>
    </row>
    <row r="136" spans="1:91" s="20" customFormat="1" x14ac:dyDescent="0.25">
      <c r="A136" s="32" t="s">
        <v>811</v>
      </c>
      <c r="B136" s="7">
        <v>4055</v>
      </c>
      <c r="C136" s="21" t="s">
        <v>194</v>
      </c>
      <c r="D136" s="21" t="s">
        <v>571</v>
      </c>
      <c r="E136" s="13">
        <v>43011.806631944448</v>
      </c>
      <c r="F136" s="13">
        <v>43011.810648148145</v>
      </c>
      <c r="G136" s="7">
        <v>74</v>
      </c>
      <c r="H136" s="21" t="s">
        <v>366</v>
      </c>
      <c r="I136" s="13">
        <v>43011.835682870369</v>
      </c>
      <c r="J136" s="7">
        <v>0</v>
      </c>
      <c r="K136" s="85" t="str">
        <f t="shared" si="60"/>
        <v>4055/4056</v>
      </c>
      <c r="L136" s="179" t="str">
        <f>VLOOKUP(A136,'Trips&amp;Operators'!$C$1:$G$99911,5,FALSE)</f>
        <v>HART KEVIN</v>
      </c>
      <c r="M136" s="6">
        <f t="shared" si="61"/>
        <v>2.5034722224518191E-2</v>
      </c>
      <c r="N136" s="7">
        <f t="shared" si="70"/>
        <v>36.050000003306195</v>
      </c>
      <c r="O136" s="7"/>
      <c r="P136" s="7"/>
      <c r="Q136" s="22"/>
      <c r="R136" s="169"/>
      <c r="S136" s="202">
        <f t="shared" si="69"/>
        <v>1</v>
      </c>
      <c r="T136" s="169" t="str">
        <f t="shared" si="62"/>
        <v>Southbound</v>
      </c>
      <c r="U136" s="22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2" t="str">
        <f t="shared" si="44"/>
        <v>https://d0f6bd738d7f1b3e5a7ca70fe4ff75f0.us-east-1.aws.found.io/app/kibana#/discover/Steve-Slow-Train-Analysis-(2080s-and-2083s)?_g=(refreshInterval:(display:Off,pause:!f,section:0,value:0),time:(from:'2017-10-03T18:21:33-0600',mode:absolute,to:'2017-10-03T21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23" t="str">
        <f>IF(AA136&lt;VLOOKUP(AG136,Variables!$AC$3:$AD$8,2,FALSE),"Y","N")</f>
        <v>N</v>
      </c>
      <c r="X136" s="223">
        <f t="shared" si="63"/>
        <v>1</v>
      </c>
      <c r="Y136" s="223">
        <f t="shared" si="64"/>
        <v>23.298500000000001</v>
      </c>
      <c r="Z136" s="223">
        <f t="shared" si="65"/>
        <v>1.61E-2</v>
      </c>
      <c r="AA136" s="223">
        <f t="shared" si="66"/>
        <v>23.282399999999999</v>
      </c>
      <c r="AB136" s="224" t="e">
        <f>VLOOKUP(A136,Enforcements!$C$7:$K$11,8,0)</f>
        <v>#N/A</v>
      </c>
      <c r="AC136" s="224" t="e">
        <f>VLOOKUP(A136,Enforcements!$C$7:$E$11,3,0)</f>
        <v>#N/A</v>
      </c>
      <c r="AD136" s="225">
        <f t="shared" si="67"/>
        <v>220</v>
      </c>
      <c r="AE136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36" s="227" t="str">
        <f t="shared" si="51"/>
        <v>"C:\Program Files (x86)\AstroGrep\AstroGrep.exe" /e /r /s /spath="%USERPROFILE%\AppData\Local\Temp\OnboardLogs" /stypes="app*4055*20171004*" /stext=" 02:.+((SYSTEM_STATE.+slice.+state.+changed )|(ment ac)|(multiple cpu faults)|(system.+state.+changed )|(\[timeout)|(PRM\|1\|D)|(kpr)|(kdp)|(train st.+moving)|(\|lc)|(penalty))"</v>
      </c>
      <c r="AG136" s="228" t="str">
        <f t="shared" si="68"/>
        <v>EC</v>
      </c>
      <c r="AH136" s="229" t="str">
        <f t="shared" si="53"/>
        <v>"%USERPROFILE%\Documents\GitHub\eaglep3\Utilities\RefineRTDCRunTimes.py" --tripid 220-03 --locoid 4055 --swversion DE.1.0.9.0 --startMP 204:232985 --initTime 2017-10-03T19:21:33 --startdatetime 2017-10-03T19:27:20 --delay 74 --endMP 204:161 --enddatetime 2017-10-03T20:03:23 --enforcementcount 0 &gt;&gt;%USERPROFILE%\Documents\GitHub\eaglep3-reporting\EC\2017-10-03-refined-times.txt</v>
      </c>
      <c r="AI13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ID","value":"220-03"},{"id":16,"name":"Locomotive ID","value":"4055"},{"id":130,"name":"Impact","value":""},{"id":150,"name":"Time of Event (Mountain Time)","value":"20:03:23"},{"id":151,"name":"Denver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10"/>
      <c r="AK136" s="225"/>
      <c r="AL136" s="225"/>
      <c r="AM136" s="231" t="str">
        <f t="shared" si="55"/>
        <v>start /low /b %USERPROFILE%\Documents\GitHub\eaglep3\Utilities\DownloadLogsFromS3.py --loco 4055 --day 2017-10-03</v>
      </c>
      <c r="AN136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10" t="str">
        <f t="shared" si="57"/>
        <v>https://d0f6bd738d7f1b3e5a7ca70fe4ff75f0.us-east-1.aws.found.io/app/kibana#/discover/Steve-Slow-Train-Analysis-(2080s-and-2083s)?_g=(refreshInterval:(display:Off,pause:!f,section:0,value:0),time:(from:'2017-10-03T18:21:33-0600',mode:absolute,to:'2017-10-03T21:03:23-0600'))&amp;_a=(columns:!('Message%20ID',Summary),filters:!(),index:'emp_*',interval:auto,query:(query_string:(analyze_wildcard:!t,query:'%22rtdc.l.rtdc.4055%22')),sort:!(Time.ISO8601,asc))</v>
      </c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  <c r="BM136" s="210"/>
      <c r="BN136" s="210"/>
      <c r="BO136" s="210"/>
      <c r="BP136" s="210"/>
      <c r="BQ136" s="210"/>
      <c r="BR136" s="210"/>
      <c r="BS136" s="210"/>
      <c r="BT136" s="210"/>
      <c r="BU136" s="210"/>
      <c r="BV136" s="210"/>
      <c r="BW136" s="210"/>
      <c r="BX136" s="210"/>
      <c r="BY136" s="210"/>
      <c r="BZ136" s="210"/>
      <c r="CA136" s="210"/>
      <c r="CB136" s="210"/>
      <c r="CC136" s="210"/>
      <c r="CD136" s="210"/>
      <c r="CE136" s="210"/>
      <c r="CF136" s="210"/>
      <c r="CG136" s="210"/>
      <c r="CH136" s="210"/>
      <c r="CI136" s="210"/>
      <c r="CJ136" s="210"/>
      <c r="CK136" s="210"/>
      <c r="CL136" s="210"/>
      <c r="CM136" s="210"/>
    </row>
    <row r="137" spans="1:91" s="20" customFormat="1" x14ac:dyDescent="0.25">
      <c r="A137" s="32" t="s">
        <v>804</v>
      </c>
      <c r="B137" s="7">
        <v>4062</v>
      </c>
      <c r="C137" s="21" t="s">
        <v>194</v>
      </c>
      <c r="D137" s="21" t="s">
        <v>338</v>
      </c>
      <c r="E137" s="13">
        <v>43011.786099537036</v>
      </c>
      <c r="F137" s="13">
        <v>43011.791817129626</v>
      </c>
      <c r="G137" s="7">
        <v>73</v>
      </c>
      <c r="H137" s="21" t="s">
        <v>893</v>
      </c>
      <c r="I137" s="13">
        <v>43011.816250000003</v>
      </c>
      <c r="J137" s="7">
        <v>0</v>
      </c>
      <c r="K137" s="85" t="str">
        <f t="shared" si="60"/>
        <v>4061/4062</v>
      </c>
      <c r="L137" s="179" t="str">
        <f>VLOOKUP(A137,'Trips&amp;Operators'!$C$1:$G$99911,5,FALSE)</f>
        <v>DUNCAN SHEILA</v>
      </c>
      <c r="M137" s="6">
        <f t="shared" si="61"/>
        <v>2.4432870377495419E-2</v>
      </c>
      <c r="N137" s="7">
        <f t="shared" si="70"/>
        <v>35.183333343593404</v>
      </c>
      <c r="O137" s="7"/>
      <c r="P137" s="7"/>
      <c r="Q137" s="22"/>
      <c r="R137" s="169"/>
      <c r="S137" s="202">
        <f t="shared" si="69"/>
        <v>1</v>
      </c>
      <c r="T137" s="169" t="str">
        <f t="shared" si="62"/>
        <v>NorthBound</v>
      </c>
      <c r="U137" s="22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2" t="str">
        <f t="shared" si="44"/>
        <v>https://d0f6bd738d7f1b3e5a7ca70fe4ff75f0.us-east-1.aws.found.io/app/kibana#/discover/Steve-Slow-Train-Analysis-(2080s-and-2083s)?_g=(refreshInterval:(display:Off,pause:!f,section:0,value:0),time:(from:'2017-10-03T17:51:59-0600',mode:absolute,to:'2017-10-03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7" s="223" t="str">
        <f>IF(AA137&lt;VLOOKUP(AG137,Variables!$AC$3:$AD$8,2,FALSE),"Y","N")</f>
        <v>N</v>
      </c>
      <c r="X137" s="223">
        <f t="shared" si="63"/>
        <v>1</v>
      </c>
      <c r="Y137" s="223">
        <f t="shared" si="64"/>
        <v>4.53E-2</v>
      </c>
      <c r="Z137" s="223">
        <f t="shared" si="65"/>
        <v>23.337800000000001</v>
      </c>
      <c r="AA137" s="223">
        <f t="shared" si="66"/>
        <v>23.2925</v>
      </c>
      <c r="AB137" s="224" t="e">
        <f>VLOOKUP(A137,Enforcements!$C$7:$K$11,8,0)</f>
        <v>#N/A</v>
      </c>
      <c r="AC137" s="224" t="e">
        <f>VLOOKUP(A137,Enforcements!$C$7:$E$11,3,0)</f>
        <v>#N/A</v>
      </c>
      <c r="AD137" s="225">
        <f t="shared" si="67"/>
        <v>221</v>
      </c>
      <c r="AE137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37" s="227" t="str">
        <f t="shared" si="51"/>
        <v>"C:\Program Files (x86)\AstroGrep\AstroGrep.exe" /e /r /s /spath="%USERPROFILE%\AppData\Local\Temp\OnboardLogs" /stypes="app*4062*20171004*" /stext=" 01:.+((SYSTEM_STATE.+slice.+state.+changed )|(ment ac)|(multiple cpu faults)|(system.+state.+changed )|(\[timeout)|(PRM\|1\|D)|(kpr)|(kdp)|(train st.+moving)|(\|lc)|(penalty))"</v>
      </c>
      <c r="AG137" s="228" t="str">
        <f t="shared" si="68"/>
        <v>EC</v>
      </c>
      <c r="AH137" s="229" t="str">
        <f t="shared" si="53"/>
        <v>"%USERPROFILE%\Documents\GitHub\eaglep3\Utilities\RefineRTDCRunTimes.py" --tripid 221-03 --locoid 4062 --swversion DE.1.0.9.0 --startMP 204:453 --initTime 2017-10-03T18:51:59 --startdatetime 2017-10-03T19:00:13 --delay 73 --endMP 204:233378 --enddatetime 2017-10-03T19:35:24 --enforcementcount 0 &gt;&gt;%USERPROFILE%\Documents\GitHub\eaglep3-reporting\EC\2017-10-03-refined-times.txt</v>
      </c>
      <c r="AI13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{"issue":{"subject":"","project_id":79,"tracker_id":40,"status_id":1,"priority_id":2,"assigned_to_id":338,"start_date":"2017-10-03","description":"","custom_fields":[{"id":1,"name":"Subdivision","value":"EC"},{"id":4,"name":"Milepost","value":"23.3378"},{"id":17,"name":"Train ID","value":"221-03"},{"id":16,"name":"Locomotive ID","value":"4062"},{"id":130,"name":"Impact","value":""},{"id":150,"name":"Time of Event (Mountain Time)","value":"19:35:24"},{"id":151,"name":"Denver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10"/>
      <c r="AK137" s="225"/>
      <c r="AL137" s="225"/>
      <c r="AM137" s="231" t="str">
        <f t="shared" si="55"/>
        <v>start /low /b %USERPROFILE%\Documents\GitHub\eaglep3\Utilities\DownloadLogsFromS3.py --loco 4062 --day 2017-10-03</v>
      </c>
      <c r="AN137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10" t="str">
        <f t="shared" si="57"/>
        <v>https://d0f6bd738d7f1b3e5a7ca70fe4ff75f0.us-east-1.aws.found.io/app/kibana#/discover/Steve-Slow-Train-Analysis-(2080s-and-2083s)?_g=(refreshInterval:(display:Off,pause:!f,section:0,value:0),time:(from:'2017-10-03T17:51:59-0600',mode:absolute,to:'2017-10-03T20:35:24-0600'))&amp;_a=(columns:!('Message%20ID',Summary),filters:!(),index:'emp_*',interval:auto,query:(query_string:(analyze_wildcard:!t,query:'%22rtdc.l.rtdc.4062%22')),sort:!(Time.ISO8601,asc))</v>
      </c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  <c r="BM137" s="210"/>
      <c r="BN137" s="210"/>
      <c r="BO137" s="210"/>
      <c r="BP137" s="210"/>
      <c r="BQ137" s="210"/>
      <c r="BR137" s="210"/>
      <c r="BS137" s="210"/>
      <c r="BT137" s="210"/>
      <c r="BU137" s="210"/>
      <c r="BV137" s="210"/>
      <c r="BW137" s="210"/>
      <c r="BX137" s="210"/>
      <c r="BY137" s="210"/>
      <c r="BZ137" s="210"/>
      <c r="CA137" s="210"/>
      <c r="CB137" s="210"/>
      <c r="CC137" s="210"/>
      <c r="CD137" s="210"/>
      <c r="CE137" s="210"/>
      <c r="CF137" s="210"/>
      <c r="CG137" s="210"/>
      <c r="CH137" s="210"/>
      <c r="CI137" s="210"/>
      <c r="CJ137" s="210"/>
      <c r="CK137" s="210"/>
      <c r="CL137" s="210"/>
      <c r="CM137" s="210"/>
    </row>
    <row r="138" spans="1:91" s="20" customFormat="1" x14ac:dyDescent="0.25">
      <c r="A138" s="32" t="s">
        <v>814</v>
      </c>
      <c r="B138" s="7">
        <v>4061</v>
      </c>
      <c r="C138" s="21" t="s">
        <v>194</v>
      </c>
      <c r="D138" s="21" t="s">
        <v>894</v>
      </c>
      <c r="E138" s="13">
        <v>43011.829375000001</v>
      </c>
      <c r="F138" s="13">
        <v>43011.831435185188</v>
      </c>
      <c r="G138" s="7">
        <v>61</v>
      </c>
      <c r="H138" s="21" t="s">
        <v>377</v>
      </c>
      <c r="I138" s="13">
        <v>43011.857222222221</v>
      </c>
      <c r="J138" s="7">
        <v>0</v>
      </c>
      <c r="K138" s="85" t="str">
        <f t="shared" si="60"/>
        <v>4061/4062</v>
      </c>
      <c r="L138" s="179" t="str">
        <f>VLOOKUP(A138,'Trips&amp;Operators'!$C$1:$G$99911,5,FALSE)</f>
        <v>DUNCAN SHEILA</v>
      </c>
      <c r="M138" s="6">
        <f t="shared" si="61"/>
        <v>2.5787037033296656E-2</v>
      </c>
      <c r="N138" s="7">
        <f t="shared" si="70"/>
        <v>37.133333327947184</v>
      </c>
      <c r="O138" s="7"/>
      <c r="P138" s="7"/>
      <c r="Q138" s="22"/>
      <c r="R138" s="169"/>
      <c r="S138" s="202">
        <f t="shared" si="69"/>
        <v>1</v>
      </c>
      <c r="T138" s="169" t="str">
        <f t="shared" si="62"/>
        <v>Southbound</v>
      </c>
      <c r="U138" s="22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2" t="str">
        <f t="shared" si="44"/>
        <v>https://d0f6bd738d7f1b3e5a7ca70fe4ff75f0.us-east-1.aws.found.io/app/kibana#/discover/Steve-Slow-Train-Analysis-(2080s-and-2083s)?_g=(refreshInterval:(display:Off,pause:!f,section:0,value:0),time:(from:'2017-10-03T18:54:18-0600',mode:absolute,to:'2017-10-03T21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8" s="223" t="str">
        <f>IF(AA138&lt;VLOOKUP(AG138,Variables!$AC$3:$AD$8,2,FALSE),"Y","N")</f>
        <v>N</v>
      </c>
      <c r="X138" s="223">
        <f t="shared" si="63"/>
        <v>1</v>
      </c>
      <c r="Y138" s="223">
        <f t="shared" si="64"/>
        <v>23.304200000000002</v>
      </c>
      <c r="Z138" s="223">
        <f t="shared" si="65"/>
        <v>1.3899999999999999E-2</v>
      </c>
      <c r="AA138" s="223">
        <f t="shared" si="66"/>
        <v>23.290300000000002</v>
      </c>
      <c r="AB138" s="224" t="e">
        <f>VLOOKUP(A138,Enforcements!$C$7:$K$11,8,0)</f>
        <v>#N/A</v>
      </c>
      <c r="AC138" s="224" t="e">
        <f>VLOOKUP(A138,Enforcements!$C$7:$E$11,3,0)</f>
        <v>#N/A</v>
      </c>
      <c r="AD138" s="225">
        <f t="shared" si="67"/>
        <v>222</v>
      </c>
      <c r="AE138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38" s="227" t="str">
        <f t="shared" si="51"/>
        <v>"C:\Program Files (x86)\AstroGrep\AstroGrep.exe" /e /r /s /spath="%USERPROFILE%\AppData\Local\Temp\OnboardLogs" /stypes="app*4061*20171004*" /stext=" 02:.+((SYSTEM_STATE.+slice.+state.+changed )|(ment ac)|(multiple cpu faults)|(system.+state.+changed )|(\[timeout)|(PRM\|1\|D)|(kpr)|(kdp)|(train st.+moving)|(\|lc)|(penalty))"</v>
      </c>
      <c r="AG138" s="228" t="str">
        <f t="shared" si="68"/>
        <v>EC</v>
      </c>
      <c r="AH138" s="229" t="str">
        <f t="shared" si="53"/>
        <v>"%USERPROFILE%\Documents\GitHub\eaglep3\Utilities\RefineRTDCRunTimes.py" --tripid 222-03 --locoid 4061 --swversion DE.1.0.9.0 --startMP 204:233042 --initTime 2017-10-03T19:54:18 --startdatetime 2017-10-03T19:57:16 --delay 61 --endMP 204:139 --enddatetime 2017-10-03T20:34:24 --enforcementcount 0 &gt;&gt;%USERPROFILE%\Documents\GitHub\eaglep3-reporting\EC\2017-10-03-refined-times.txt</v>
      </c>
      <c r="AI13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{"issue":{"subject":"","project_id":79,"tracker_id":40,"status_id":1,"priority_id":2,"assigned_to_id":338,"start_date":"2017-10-03","description":"","custom_fields":[{"id":1,"name":"Subdivision","value":"EC"},{"id":4,"name":"Milepost","value":"0.0139"},{"id":17,"name":"Train ID","value":"222-03"},{"id":16,"name":"Locomotive ID","value":"4061"},{"id":130,"name":"Impact","value":""},{"id":150,"name":"Time of Event (Mountain Time)","value":"20:34:24"},{"id":151,"name":"Denver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10"/>
      <c r="AK138" s="225"/>
      <c r="AL138" s="225"/>
      <c r="AM138" s="231" t="str">
        <f t="shared" si="55"/>
        <v>start /low /b %USERPROFILE%\Documents\GitHub\eaglep3\Utilities\DownloadLogsFromS3.py --loco 4061 --day 2017-10-03</v>
      </c>
      <c r="AN138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10" t="str">
        <f t="shared" si="57"/>
        <v>https://d0f6bd738d7f1b3e5a7ca70fe4ff75f0.us-east-1.aws.found.io/app/kibana#/discover/Steve-Slow-Train-Analysis-(2080s-and-2083s)?_g=(refreshInterval:(display:Off,pause:!f,section:0,value:0),time:(from:'2017-10-03T18:54:18-0600',mode:absolute,to:'2017-10-03T21:34:24-0600'))&amp;_a=(columns:!('Message%20ID',Summary),filters:!(),index:'emp_*',interval:auto,query:(query_string:(analyze_wildcard:!t,query:'%22rtdc.l.rtdc.4061%22')),sort:!(Time.ISO8601,asc))</v>
      </c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  <c r="BM138" s="210"/>
      <c r="BN138" s="210"/>
      <c r="BO138" s="210"/>
      <c r="BP138" s="210"/>
      <c r="BQ138" s="210"/>
      <c r="BR138" s="210"/>
      <c r="BS138" s="210"/>
      <c r="BT138" s="210"/>
      <c r="BU138" s="210"/>
      <c r="BV138" s="210"/>
      <c r="BW138" s="210"/>
      <c r="BX138" s="210"/>
      <c r="BY138" s="210"/>
      <c r="BZ138" s="210"/>
      <c r="CA138" s="210"/>
      <c r="CB138" s="210"/>
      <c r="CC138" s="210"/>
      <c r="CD138" s="210"/>
      <c r="CE138" s="210"/>
      <c r="CF138" s="210"/>
      <c r="CG138" s="210"/>
      <c r="CH138" s="210"/>
      <c r="CI138" s="210"/>
      <c r="CJ138" s="210"/>
      <c r="CK138" s="210"/>
      <c r="CL138" s="210"/>
      <c r="CM138" s="210"/>
    </row>
    <row r="139" spans="1:91" s="20" customFormat="1" x14ac:dyDescent="0.25">
      <c r="A139" s="32" t="s">
        <v>810</v>
      </c>
      <c r="B139" s="7">
        <v>4042</v>
      </c>
      <c r="C139" s="21" t="s">
        <v>194</v>
      </c>
      <c r="D139" s="21" t="s">
        <v>367</v>
      </c>
      <c r="E139" s="13">
        <v>43011.80574074074</v>
      </c>
      <c r="F139" s="13">
        <v>43011.812685185185</v>
      </c>
      <c r="G139" s="7">
        <v>71</v>
      </c>
      <c r="H139" s="21" t="s">
        <v>551</v>
      </c>
      <c r="I139" s="13">
        <v>43011.838020833333</v>
      </c>
      <c r="J139" s="7">
        <v>0</v>
      </c>
      <c r="K139" s="85" t="str">
        <f t="shared" si="60"/>
        <v>4041/4042</v>
      </c>
      <c r="L139" s="179" t="str">
        <f>VLOOKUP(A139,'Trips&amp;Operators'!$C$1:$G$99911,5,FALSE)</f>
        <v>LOZA FIDEL</v>
      </c>
      <c r="M139" s="6">
        <f t="shared" si="61"/>
        <v>2.5335648148029577E-2</v>
      </c>
      <c r="N139" s="7">
        <f t="shared" si="70"/>
        <v>36.483333333162591</v>
      </c>
      <c r="O139" s="7"/>
      <c r="P139" s="7"/>
      <c r="Q139" s="22"/>
      <c r="R139" s="169"/>
      <c r="S139" s="202">
        <f t="shared" si="69"/>
        <v>1</v>
      </c>
      <c r="T139" s="169" t="str">
        <f t="shared" si="62"/>
        <v>NorthBound</v>
      </c>
      <c r="U139" s="22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2" t="str">
        <f t="shared" si="44"/>
        <v>https://d0f6bd738d7f1b3e5a7ca70fe4ff75f0.us-east-1.aws.found.io/app/kibana#/discover/Steve-Slow-Train-Analysis-(2080s-and-2083s)?_g=(refreshInterval:(display:Off,pause:!f,section:0,value:0),time:(from:'2017-10-03T18:20:16-0600',mode:absolute,to:'2017-10-03T21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23" t="str">
        <f>IF(AA139&lt;VLOOKUP(AG139,Variables!$AC$3:$AD$8,2,FALSE),"Y","N")</f>
        <v>N</v>
      </c>
      <c r="X139" s="223">
        <f t="shared" si="63"/>
        <v>1</v>
      </c>
      <c r="Y139" s="223">
        <f t="shared" si="64"/>
        <v>4.4200000000000003E-2</v>
      </c>
      <c r="Z139" s="223">
        <f t="shared" si="65"/>
        <v>23.329499999999999</v>
      </c>
      <c r="AA139" s="223">
        <f t="shared" si="66"/>
        <v>23.285299999999999</v>
      </c>
      <c r="AB139" s="224" t="e">
        <f>VLOOKUP(A139,Enforcements!$C$7:$K$11,8,0)</f>
        <v>#N/A</v>
      </c>
      <c r="AC139" s="224" t="e">
        <f>VLOOKUP(A139,Enforcements!$C$7:$E$11,3,0)</f>
        <v>#N/A</v>
      </c>
      <c r="AD139" s="225">
        <f t="shared" si="67"/>
        <v>223</v>
      </c>
      <c r="AE139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39" s="227" t="str">
        <f t="shared" si="51"/>
        <v>"C:\Program Files (x86)\AstroGrep\AstroGrep.exe" /e /r /s /spath="%USERPROFILE%\AppData\Local\Temp\OnboardLogs" /stypes="app*4042*20171004*" /stext=" 02:.+((SYSTEM_STATE.+slice.+state.+changed )|(ment ac)|(multiple cpu faults)|(system.+state.+changed )|(\[timeout)|(PRM\|1\|D)|(kpr)|(kdp)|(train st.+moving)|(\|lc)|(penalty))"</v>
      </c>
      <c r="AG139" s="228" t="str">
        <f t="shared" si="68"/>
        <v>EC</v>
      </c>
      <c r="AH139" s="229" t="str">
        <f t="shared" si="53"/>
        <v>"%USERPROFILE%\Documents\GitHub\eaglep3\Utilities\RefineRTDCRunTimes.py" --tripid 223-03 --locoid 4042 --swversion DE.1.0.9.0 --startMP 204:442 --initTime 2017-10-03T19:20:16 --startdatetime 2017-10-03T19:30:16 --delay 71 --endMP 204:233295 --enddatetime 2017-10-03T20:06:45 --enforcementcount 0 &gt;&gt;%USERPROFILE%\Documents\GitHub\eaglep3-reporting\EC\2017-10-03-refined-times.txt</v>
      </c>
      <c r="AI13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{"issue":{"subject":"","project_id":79,"tracker_id":40,"status_id":1,"priority_id":2,"assigned_to_id":338,"start_date":"2017-10-03","description":"","custom_fields":[{"id":1,"name":"Subdivision","value":"EC"},{"id":4,"name":"Milepost","value":"23.3295"},{"id":17,"name":"Train ID","value":"223-03"},{"id":16,"name":"Locomotive ID","value":"4042"},{"id":130,"name":"Impact","value":""},{"id":150,"name":"Time of Event (Mountain Time)","value":"20:06:45"},{"id":151,"name":"Denver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10"/>
      <c r="AK139" s="225"/>
      <c r="AL139" s="225"/>
      <c r="AM139" s="231" t="str">
        <f t="shared" si="55"/>
        <v>start /low /b %USERPROFILE%\Documents\GitHub\eaglep3\Utilities\DownloadLogsFromS3.py --loco 4042 --day 2017-10-03</v>
      </c>
      <c r="AN139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10" t="str">
        <f t="shared" si="57"/>
        <v>https://d0f6bd738d7f1b3e5a7ca70fe4ff75f0.us-east-1.aws.found.io/app/kibana#/discover/Steve-Slow-Train-Analysis-(2080s-and-2083s)?_g=(refreshInterval:(display:Off,pause:!f,section:0,value:0),time:(from:'2017-10-03T18:20:16-0600',mode:absolute,to:'2017-10-03T21:06:45-0600'))&amp;_a=(columns:!('Message%20ID',Summary),filters:!(),index:'emp_*',interval:auto,query:(query_string:(analyze_wildcard:!t,query:'%22rtdc.l.rtdc.4042%22')),sort:!(Time.ISO8601,asc))</v>
      </c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  <c r="BX139" s="210"/>
      <c r="BY139" s="210"/>
      <c r="BZ139" s="210"/>
      <c r="CA139" s="210"/>
      <c r="CB139" s="210"/>
      <c r="CC139" s="210"/>
      <c r="CD139" s="210"/>
      <c r="CE139" s="210"/>
      <c r="CF139" s="210"/>
      <c r="CG139" s="210"/>
      <c r="CH139" s="210"/>
      <c r="CI139" s="210"/>
      <c r="CJ139" s="210"/>
      <c r="CK139" s="210"/>
      <c r="CL139" s="210"/>
      <c r="CM139" s="210"/>
    </row>
    <row r="140" spans="1:91" s="20" customFormat="1" x14ac:dyDescent="0.25">
      <c r="A140" s="32" t="s">
        <v>817</v>
      </c>
      <c r="B140" s="7">
        <v>4041</v>
      </c>
      <c r="C140" s="21" t="s">
        <v>194</v>
      </c>
      <c r="D140" s="21" t="s">
        <v>481</v>
      </c>
      <c r="E140" s="13">
        <v>43011.84920138889</v>
      </c>
      <c r="F140" s="13">
        <v>43011.852256944447</v>
      </c>
      <c r="G140" s="7">
        <v>75</v>
      </c>
      <c r="H140" s="21" t="s">
        <v>356</v>
      </c>
      <c r="I140" s="13">
        <v>43011.878819444442</v>
      </c>
      <c r="J140" s="7">
        <v>0</v>
      </c>
      <c r="K140" s="85" t="str">
        <f t="shared" si="60"/>
        <v>4041/4042</v>
      </c>
      <c r="L140" s="179" t="str">
        <f>VLOOKUP(A140,'Trips&amp;Operators'!$C$1:$G$99911,5,FALSE)</f>
        <v>ROBINSON KADDIBA</v>
      </c>
      <c r="M140" s="6">
        <f t="shared" si="61"/>
        <v>2.6562499995634425E-2</v>
      </c>
      <c r="N140" s="7">
        <f t="shared" si="70"/>
        <v>38.249999993713573</v>
      </c>
      <c r="O140" s="7"/>
      <c r="P140" s="7"/>
      <c r="Q140" s="22"/>
      <c r="R140" s="169"/>
      <c r="S140" s="202">
        <f t="shared" si="69"/>
        <v>1</v>
      </c>
      <c r="T140" s="169" t="str">
        <f t="shared" si="62"/>
        <v>Southbound</v>
      </c>
      <c r="U140" s="22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2" t="str">
        <f t="shared" si="44"/>
        <v>https://d0f6bd738d7f1b3e5a7ca70fe4ff75f0.us-east-1.aws.found.io/app/kibana#/discover/Steve-Slow-Train-Analysis-(2080s-and-2083s)?_g=(refreshInterval:(display:Off,pause:!f,section:0,value:0),time:(from:'2017-10-03T19:22:51-0600',mode:absolute,to:'2017-10-03T22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23" t="str">
        <f>IF(AA140&lt;VLOOKUP(AG140,Variables!$AC$3:$AD$8,2,FALSE),"Y","N")</f>
        <v>N</v>
      </c>
      <c r="X140" s="223">
        <f t="shared" si="63"/>
        <v>1</v>
      </c>
      <c r="Y140" s="223">
        <f t="shared" si="64"/>
        <v>23.297899999999998</v>
      </c>
      <c r="Z140" s="223">
        <f t="shared" si="65"/>
        <v>1.52E-2</v>
      </c>
      <c r="AA140" s="223">
        <f t="shared" si="66"/>
        <v>23.282699999999998</v>
      </c>
      <c r="AB140" s="224" t="e">
        <f>VLOOKUP(A140,Enforcements!$C$7:$K$11,8,0)</f>
        <v>#N/A</v>
      </c>
      <c r="AC140" s="224" t="e">
        <f>VLOOKUP(A140,Enforcements!$C$7:$E$11,3,0)</f>
        <v>#N/A</v>
      </c>
      <c r="AD140" s="225">
        <f t="shared" si="67"/>
        <v>224</v>
      </c>
      <c r="AE140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40" s="227" t="str">
        <f t="shared" si="51"/>
        <v>"C:\Program Files (x86)\AstroGrep\AstroGrep.exe" /e /r /s /spath="%USERPROFILE%\AppData\Local\Temp\OnboardLogs" /stypes="app*4041*20171004*" /stext=" 03:.+((SYSTEM_STATE.+slice.+state.+changed )|(ment ac)|(multiple cpu faults)|(system.+state.+changed )|(\[timeout)|(PRM\|1\|D)|(kpr)|(kdp)|(train st.+moving)|(\|lc)|(penalty))"</v>
      </c>
      <c r="AG140" s="228" t="str">
        <f t="shared" si="68"/>
        <v>EC</v>
      </c>
      <c r="AH140" s="229" t="str">
        <f t="shared" si="53"/>
        <v>"%USERPROFILE%\Documents\GitHub\eaglep3\Utilities\RefineRTDCRunTimes.py" --tripid 224-03 --locoid 4041 --swversion DE.1.0.9.0 --startMP 204:232979 --initTime 2017-10-03T20:22:51 --startdatetime 2017-10-03T20:27:15 --delay 75 --endMP 204:152 --enddatetime 2017-10-03T21:05:30 --enforcementcount 0 &gt;&gt;%USERPROFILE%\Documents\GitHub\eaglep3-reporting\EC\2017-10-03-refined-times.txt</v>
      </c>
      <c r="AI14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{"issue":{"subject":"","project_id":79,"tracker_id":40,"status_id":1,"priority_id":2,"assigned_to_id":338,"start_date":"2017-10-03","description":"","custom_fields":[{"id":1,"name":"Subdivision","value":"EC"},{"id":4,"name":"Milepost","value":"0.0152"},{"id":17,"name":"Train ID","value":"224-03"},{"id":16,"name":"Locomotive ID","value":"4041"},{"id":130,"name":"Impact","value":""},{"id":150,"name":"Time of Event (Mountain Time)","value":"21:05:30"},{"id":151,"name":"Denver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10"/>
      <c r="AK140" s="225"/>
      <c r="AL140" s="225"/>
      <c r="AM140" s="231" t="str">
        <f t="shared" si="55"/>
        <v>start /low /b %USERPROFILE%\Documents\GitHub\eaglep3\Utilities\DownloadLogsFromS3.py --loco 4041 --day 2017-10-03</v>
      </c>
      <c r="AN140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10" t="str">
        <f t="shared" si="57"/>
        <v>https://d0f6bd738d7f1b3e5a7ca70fe4ff75f0.us-east-1.aws.found.io/app/kibana#/discover/Steve-Slow-Train-Analysis-(2080s-and-2083s)?_g=(refreshInterval:(display:Off,pause:!f,section:0,value:0),time:(from:'2017-10-03T19:22:51-0600',mode:absolute,to:'2017-10-03T22:05:30-0600'))&amp;_a=(columns:!('Message%20ID',Summary),filters:!(),index:'emp_*',interval:auto,query:(query_string:(analyze_wildcard:!t,query:'%22rtdc.l.rtdc.4041%22')),sort:!(Time.ISO8601,asc))</v>
      </c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  <c r="BM140" s="210"/>
      <c r="BN140" s="210"/>
      <c r="BO140" s="210"/>
      <c r="BP140" s="210"/>
      <c r="BQ140" s="210"/>
      <c r="BR140" s="210"/>
      <c r="BS140" s="210"/>
      <c r="BT140" s="210"/>
      <c r="BU140" s="210"/>
      <c r="BV140" s="210"/>
      <c r="BW140" s="210"/>
      <c r="BX140" s="210"/>
      <c r="BY140" s="210"/>
      <c r="BZ140" s="210"/>
      <c r="CA140" s="210"/>
      <c r="CB140" s="210"/>
      <c r="CC140" s="210"/>
      <c r="CD140" s="210"/>
      <c r="CE140" s="210"/>
      <c r="CF140" s="210"/>
      <c r="CG140" s="210"/>
      <c r="CH140" s="210"/>
      <c r="CI140" s="210"/>
      <c r="CJ140" s="210"/>
      <c r="CK140" s="210"/>
      <c r="CL140" s="210"/>
      <c r="CM140" s="210"/>
    </row>
    <row r="141" spans="1:91" s="20" customFormat="1" x14ac:dyDescent="0.25">
      <c r="A141" s="32" t="s">
        <v>813</v>
      </c>
      <c r="B141" s="7">
        <v>4032</v>
      </c>
      <c r="C141" s="21" t="s">
        <v>194</v>
      </c>
      <c r="D141" s="21" t="s">
        <v>390</v>
      </c>
      <c r="E141" s="13">
        <v>43011.828113425923</v>
      </c>
      <c r="F141" s="13">
        <v>43011.833553240744</v>
      </c>
      <c r="G141" s="7">
        <v>74</v>
      </c>
      <c r="H141" s="21" t="s">
        <v>852</v>
      </c>
      <c r="I141" s="13">
        <v>43011.857824074075</v>
      </c>
      <c r="J141" s="7">
        <v>0</v>
      </c>
      <c r="K141" s="85" t="str">
        <f t="shared" ref="K141:K172" si="71">IF(ISEVEN(B141),(B141-1)&amp;"/"&amp;B141,B141&amp;"/"&amp;(B141+1))</f>
        <v>4031/4032</v>
      </c>
      <c r="L141" s="179" t="str">
        <f>VLOOKUP(A141,'Trips&amp;Operators'!$C$1:$G$99911,5,FALSE)</f>
        <v>GUNTHIER ERIC</v>
      </c>
      <c r="M141" s="6">
        <f t="shared" ref="M141:M172" si="72">I141-F141</f>
        <v>2.4270833331684116E-2</v>
      </c>
      <c r="N141" s="7">
        <f t="shared" si="70"/>
        <v>34.949999997625127</v>
      </c>
      <c r="O141" s="7"/>
      <c r="P141" s="7"/>
      <c r="Q141" s="22"/>
      <c r="R141" s="169"/>
      <c r="S141" s="202">
        <f t="shared" si="69"/>
        <v>1</v>
      </c>
      <c r="T141" s="169" t="str">
        <f t="shared" ref="T141:T172" si="73">IF(ISEVEN(LEFT(AD141,4)),"Southbound","NorthBound")</f>
        <v>NorthBound</v>
      </c>
      <c r="U141" s="22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2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-03T18:52:29-0600',mode:absolute,to:'2017-10-03T21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223" t="str">
        <f>IF(AA141&lt;VLOOKUP(AG141,Variables!$AC$3:$AD$8,2,FALSE),"Y","N")</f>
        <v>N</v>
      </c>
      <c r="X141" s="223">
        <f t="shared" ref="X141:X172" si="75">VALUE(LEFT(AD141,4))-VALUE(LEFT(AD140,4))</f>
        <v>1</v>
      </c>
      <c r="Y141" s="223">
        <f t="shared" ref="Y141:Y152" si="76">RIGHT(D141,LEN(D141)-4)/10000</f>
        <v>4.4699999999999997E-2</v>
      </c>
      <c r="Z141" s="223">
        <f t="shared" ref="Z141:Z152" si="77">RIGHT(H141,LEN(H141)-4)/10000</f>
        <v>23.329899999999999</v>
      </c>
      <c r="AA141" s="223">
        <f t="shared" ref="AA141:AA172" si="78">ABS(Z141-Y141)</f>
        <v>23.2852</v>
      </c>
      <c r="AB141" s="224" t="e">
        <f>VLOOKUP(A141,Enforcements!$C$7:$K$11,8,0)</f>
        <v>#N/A</v>
      </c>
      <c r="AC141" s="224" t="e">
        <f>VLOOKUP(A141,Enforcements!$C$7:$E$11,3,0)</f>
        <v>#N/A</v>
      </c>
      <c r="AD141" s="225">
        <f t="shared" ref="AD141:AD172" si="79">VALUE(LEFT(A141,LEN(A141)-3))</f>
        <v>225</v>
      </c>
      <c r="AE141" s="226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41" s="227" t="str">
        <f t="shared" ref="AF141:AF204" si="8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/stypes="app*4032*20171004*" /stext=" 02:.+((SYSTEM_STATE.+slice.+state.+changed )|(ment ac)|(multiple cpu faults)|(system.+state.+changed )|(\[timeout)|(PRM\|1\|D)|(kpr)|(kdp)|(train st.+moving)|(\|lc)|(penalty))"</v>
      </c>
      <c r="AG141" s="228" t="str">
        <f t="shared" ref="AG141:AG172" si="82">DetSubdiv(A141)</f>
        <v>EC</v>
      </c>
      <c r="AH141" s="229" t="str">
        <f t="shared" si="53"/>
        <v>"%USERPROFILE%\Documents\GitHub\eaglep3\Utilities\RefineRTDCRunTimes.py" --tripid 225-03 --locoid 4032 --swversion DE.1.0.9.0 --startMP 204:447 --initTime 2017-10-03T19:52:29 --startdatetime 2017-10-03T20:00:19 --delay 74 --endMP 204:233299 --enddatetime 2017-10-03T20:35:16 --enforcementcount 0 &gt;&gt;%USERPROFILE%\Documents\GitHub\eaglep3-reporting\EC\2017-10-03-refined-times.txt</v>
      </c>
      <c r="AI14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ID","value":"225-03"},{"id":16,"name":"Locomotive ID","value":"4032"},{"id":130,"name":"Impact","value":""},{"id":150,"name":"Time of Event (Mountain Time)","value":"20:35:16"},{"id":151,"name":"Denver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10"/>
      <c r="AK141" s="225"/>
      <c r="AL141" s="225"/>
      <c r="AM141" s="231" t="str">
        <f t="shared" si="55"/>
        <v>start /low /b %USERPROFILE%\Documents\GitHub\eaglep3\Utilities\DownloadLogsFromS3.py --loco 4032 --day 2017-10-03</v>
      </c>
      <c r="AN141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10" t="str">
        <f t="shared" si="57"/>
        <v>https://d0f6bd738d7f1b3e5a7ca70fe4ff75f0.us-east-1.aws.found.io/app/kibana#/discover/Steve-Slow-Train-Analysis-(2080s-and-2083s)?_g=(refreshInterval:(display:Off,pause:!f,section:0,value:0),time:(from:'2017-10-03T18:52:29-0600',mode:absolute,to:'2017-10-03T21:35:16-0600'))&amp;_a=(columns:!('Message%20ID',Summary),filters:!(),index:'emp_*',interval:auto,query:(query_string:(analyze_wildcard:!t,query:'%22rtdc.l.rtdc.4032%22')),sort:!(Time.ISO8601,asc))</v>
      </c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  <c r="BM141" s="210"/>
      <c r="BN141" s="210"/>
      <c r="BO141" s="210"/>
      <c r="BP141" s="210"/>
      <c r="BQ141" s="210"/>
      <c r="BR141" s="210"/>
      <c r="BS141" s="210"/>
      <c r="BT141" s="210"/>
      <c r="BU141" s="210"/>
      <c r="BV141" s="210"/>
      <c r="BW141" s="210"/>
      <c r="BX141" s="210"/>
      <c r="BY141" s="210"/>
      <c r="BZ141" s="210"/>
      <c r="CA141" s="210"/>
      <c r="CB141" s="210"/>
      <c r="CC141" s="210"/>
      <c r="CD141" s="210"/>
      <c r="CE141" s="210"/>
      <c r="CF141" s="210"/>
      <c r="CG141" s="210"/>
      <c r="CH141" s="210"/>
      <c r="CI141" s="210"/>
      <c r="CJ141" s="210"/>
      <c r="CK141" s="210"/>
      <c r="CL141" s="210"/>
      <c r="CM141" s="210"/>
    </row>
    <row r="142" spans="1:91" s="20" customFormat="1" x14ac:dyDescent="0.25">
      <c r="A142" s="32" t="s">
        <v>820</v>
      </c>
      <c r="B142" s="7">
        <v>4031</v>
      </c>
      <c r="C142" s="21" t="s">
        <v>194</v>
      </c>
      <c r="D142" s="21" t="s">
        <v>550</v>
      </c>
      <c r="E142" s="13">
        <v>43011.859432870369</v>
      </c>
      <c r="F142" s="13">
        <v>43011.873124999998</v>
      </c>
      <c r="G142" s="7">
        <v>531</v>
      </c>
      <c r="H142" s="21" t="s">
        <v>519</v>
      </c>
      <c r="I142" s="13">
        <v>43011.898773148147</v>
      </c>
      <c r="J142" s="7">
        <v>0</v>
      </c>
      <c r="K142" s="85" t="str">
        <f t="shared" si="71"/>
        <v>4031/4032</v>
      </c>
      <c r="L142" s="179" t="str">
        <f>VLOOKUP(A142,'Trips&amp;Operators'!$C$1:$G$99911,5,FALSE)</f>
        <v>GUNTHIER ERIC</v>
      </c>
      <c r="M142" s="6">
        <f t="shared" si="72"/>
        <v>2.5648148148320615E-2</v>
      </c>
      <c r="N142" s="7">
        <f t="shared" si="70"/>
        <v>36.933333333581686</v>
      </c>
      <c r="O142" s="7"/>
      <c r="P142" s="7"/>
      <c r="Q142" s="22"/>
      <c r="R142" s="169"/>
      <c r="S142" s="202">
        <f t="shared" si="69"/>
        <v>1</v>
      </c>
      <c r="T142" s="169" t="str">
        <f t="shared" si="73"/>
        <v>Southbound</v>
      </c>
      <c r="U142" s="22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2" t="str">
        <f t="shared" si="74"/>
        <v>https://d0f6bd738d7f1b3e5a7ca70fe4ff75f0.us-east-1.aws.found.io/app/kibana#/discover/Steve-Slow-Train-Analysis-(2080s-and-2083s)?_g=(refreshInterval:(display:Off,pause:!f,section:0,value:0),time:(from:'2017-10-03T19:37:35-0600',mode:absolute,to:'2017-10-03T22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223" t="str">
        <f>IF(AA142&lt;VLOOKUP(AG142,Variables!$AC$3:$AD$8,2,FALSE),"Y","N")</f>
        <v>N</v>
      </c>
      <c r="X142" s="223">
        <f t="shared" si="75"/>
        <v>1</v>
      </c>
      <c r="Y142" s="223">
        <f t="shared" si="76"/>
        <v>23.297799999999999</v>
      </c>
      <c r="Z142" s="223">
        <f t="shared" si="77"/>
        <v>1.6E-2</v>
      </c>
      <c r="AA142" s="223">
        <f t="shared" si="78"/>
        <v>23.2818</v>
      </c>
      <c r="AB142" s="224" t="e">
        <f>VLOOKUP(A142,Enforcements!$C$7:$K$11,8,0)</f>
        <v>#N/A</v>
      </c>
      <c r="AC142" s="224" t="e">
        <f>VLOOKUP(A142,Enforcements!$C$7:$E$11,3,0)</f>
        <v>#N/A</v>
      </c>
      <c r="AD142" s="225">
        <f t="shared" si="79"/>
        <v>226</v>
      </c>
      <c r="AE142" s="226" t="str">
        <f t="shared" si="8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42" s="227" t="str">
        <f t="shared" si="81"/>
        <v>"C:\Program Files (x86)\AstroGrep\AstroGrep.exe" /e /r /s /spath="%USERPROFILE%\AppData\Local\Temp\OnboardLogs" /stypes="app*4031*20171004*" /stext=" 03:.+((SYSTEM_STATE.+slice.+state.+changed )|(ment ac)|(multiple cpu faults)|(system.+state.+changed )|(\[timeout)|(PRM\|1\|D)|(kpr)|(kdp)|(train st.+moving)|(\|lc)|(penalty))"</v>
      </c>
      <c r="AG142" s="228" t="str">
        <f t="shared" si="82"/>
        <v>EC</v>
      </c>
      <c r="AH142" s="229" t="str">
        <f t="shared" ref="AH142:AH207" si="8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226-03 --locoid 4031 --swversion DE.1.0.9.0 --startMP 204:232978 --initTime 2017-10-03T20:37:35 --startdatetime 2017-10-03T20:57:18 --delay 531 --endMP 204:160 --enddatetime 2017-10-03T21:34:14 --enforcementcount 0 &gt;&gt;%USERPROFILE%\Documents\GitHub\eaglep3-reporting\EC\2017-10-03-refined-times.txt</v>
      </c>
      <c r="AI142" s="230" t="str">
        <f t="shared" ref="AI142:AI207" si="8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ID","value":"226-03"},{"id":16,"name":"Locomotive ID","value":"4031"},{"id":130,"name":"Impact","value":""},{"id":150,"name":"Time of Event (Mountain Time)","value":"21:34:14"},{"id":151,"name":"Denver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10"/>
      <c r="AK142" s="225"/>
      <c r="AL142" s="225"/>
      <c r="AM142" s="231" t="str">
        <f t="shared" ref="AM142:AM207" si="85">"start /low /b "&amp;dls3logs&amp;" --loco "&amp;B142&amp;" --day "&amp;TEXT(F142,"YYYY-MM-DD")</f>
        <v>start /low /b %USERPROFILE%\Documents\GitHub\eaglep3\Utilities\DownloadLogsFromS3.py --loco 4031 --day 2017-10-03</v>
      </c>
      <c r="AN142" s="232" t="str">
        <f t="shared" ref="AN142:AN207" si="8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10" t="str">
        <f t="shared" ref="AO142:AO207" si="8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-03T19:37:35-0600',mode:absolute,to:'2017-10-03T22:34:14-0600'))&amp;_a=(columns:!('Message%20ID',Summary),filters:!(),index:'emp_*',interval:auto,query:(query_string:(analyze_wildcard:!t,query:'%22rtdc.l.rtdc.4031%22')),sort:!(Time.ISO8601,asc))</v>
      </c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  <c r="BM142" s="210"/>
      <c r="BN142" s="210"/>
      <c r="BO142" s="210"/>
      <c r="BP142" s="210"/>
      <c r="BQ142" s="210"/>
      <c r="BR142" s="210"/>
      <c r="BS142" s="210"/>
      <c r="BT142" s="210"/>
      <c r="BU142" s="210"/>
      <c r="BV142" s="210"/>
      <c r="BW142" s="210"/>
      <c r="BX142" s="210"/>
      <c r="BY142" s="210"/>
      <c r="BZ142" s="210"/>
      <c r="CA142" s="210"/>
      <c r="CB142" s="210"/>
      <c r="CC142" s="210"/>
      <c r="CD142" s="210"/>
      <c r="CE142" s="210"/>
      <c r="CF142" s="210"/>
      <c r="CG142" s="210"/>
      <c r="CH142" s="210"/>
      <c r="CI142" s="210"/>
      <c r="CJ142" s="210"/>
      <c r="CK142" s="210"/>
      <c r="CL142" s="210"/>
      <c r="CM142" s="210"/>
    </row>
    <row r="143" spans="1:91" s="20" customFormat="1" x14ac:dyDescent="0.25">
      <c r="A143" s="32" t="s">
        <v>816</v>
      </c>
      <c r="B143" s="7">
        <v>4056</v>
      </c>
      <c r="C143" s="21" t="s">
        <v>194</v>
      </c>
      <c r="D143" s="21" t="s">
        <v>383</v>
      </c>
      <c r="E143" s="13">
        <v>43011.843518518515</v>
      </c>
      <c r="F143" s="13">
        <v>43011.89403935185</v>
      </c>
      <c r="G143" s="7">
        <v>86</v>
      </c>
      <c r="H143" s="21" t="s">
        <v>504</v>
      </c>
      <c r="I143" s="13">
        <v>43011.920960648145</v>
      </c>
      <c r="J143" s="7">
        <v>0</v>
      </c>
      <c r="K143" s="85" t="str">
        <f t="shared" si="71"/>
        <v>4055/4056</v>
      </c>
      <c r="L143" s="179" t="str">
        <f>VLOOKUP(A143,'Trips&amp;Operators'!$C$1:$G$99911,5,FALSE)</f>
        <v>BARRON PERLA</v>
      </c>
      <c r="M143" s="6">
        <f t="shared" si="72"/>
        <v>2.6921296295768116E-2</v>
      </c>
      <c r="N143" s="7">
        <f t="shared" si="70"/>
        <v>38.766666665906087</v>
      </c>
      <c r="O143" s="7"/>
      <c r="P143" s="7"/>
      <c r="Q143" s="22"/>
      <c r="R143" s="169"/>
      <c r="S143" s="202">
        <f t="shared" si="69"/>
        <v>1</v>
      </c>
      <c r="T143" s="169" t="str">
        <f t="shared" si="73"/>
        <v>NorthBound</v>
      </c>
      <c r="U143" s="22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2" t="str">
        <f t="shared" si="74"/>
        <v>https://d0f6bd738d7f1b3e5a7ca70fe4ff75f0.us-east-1.aws.found.io/app/kibana#/discover/Steve-Slow-Train-Analysis-(2080s-and-2083s)?_g=(refreshInterval:(display:Off,pause:!f,section:0,value:0),time:(from:'2017-10-03T19:14:40-0600',mode:absolute,to:'2017-10-03T23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3" s="223" t="str">
        <f>IF(AA143&lt;VLOOKUP(AG143,Variables!$AC$3:$AD$8,2,FALSE),"Y","N")</f>
        <v>N</v>
      </c>
      <c r="X143" s="223">
        <f t="shared" si="75"/>
        <v>1</v>
      </c>
      <c r="Y143" s="223">
        <f t="shared" si="76"/>
        <v>4.7100000000000003E-2</v>
      </c>
      <c r="Z143" s="223">
        <f t="shared" si="77"/>
        <v>23.329799999999999</v>
      </c>
      <c r="AA143" s="223">
        <f t="shared" si="78"/>
        <v>23.282699999999998</v>
      </c>
      <c r="AB143" s="224" t="e">
        <f>VLOOKUP(A143,Enforcements!$C$7:$K$11,8,0)</f>
        <v>#N/A</v>
      </c>
      <c r="AC143" s="224" t="e">
        <f>VLOOKUP(A143,Enforcements!$C$7:$E$11,3,0)</f>
        <v>#N/A</v>
      </c>
      <c r="AD143" s="225">
        <f t="shared" si="79"/>
        <v>227</v>
      </c>
      <c r="AE143" s="226" t="str">
        <f t="shared" si="8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43" s="227" t="str">
        <f t="shared" si="81"/>
        <v>"C:\Program Files (x86)\AstroGrep\AstroGrep.exe" /e /r /s /spath="%USERPROFILE%\AppData\Local\Temp\OnboardLogs" /stypes="app*4056*20171004*" /stext=" 04:.+((SYSTEM_STATE.+slice.+state.+changed )|(ment ac)|(multiple cpu faults)|(system.+state.+changed )|(\[timeout)|(PRM\|1\|D)|(kpr)|(kdp)|(train st.+moving)|(\|lc)|(penalty))"</v>
      </c>
      <c r="AG143" s="228" t="str">
        <f t="shared" si="82"/>
        <v>EC</v>
      </c>
      <c r="AH143" s="229" t="str">
        <f t="shared" si="83"/>
        <v>"%USERPROFILE%\Documents\GitHub\eaglep3\Utilities\RefineRTDCRunTimes.py" --tripid 227-03 --locoid 4056 --swversion DE.1.0.9.0 --startMP 204:471 --initTime 2017-10-03T20:14:40 --startdatetime 2017-10-03T21:27:25 --delay 86 --endMP 204:233298 --enddatetime 2017-10-03T22:06:11 --enforcementcount 0 &gt;&gt;%USERPROFILE%\Documents\GitHub\eaglep3-reporting\EC\2017-10-03-refined-times.txt</v>
      </c>
      <c r="AI143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{"issue":{"subject":"","project_id":79,"tracker_id":40,"status_id":1,"priority_id":2,"assigned_to_id":338,"start_date":"2017-10-03","description":"","custom_fields":[{"id":1,"name":"Subdivision","value":"EC"},{"id":4,"name":"Milepost","value":"23.3298"},{"id":17,"name":"Train ID","value":"227-03"},{"id":16,"name":"Locomotive ID","value":"4056"},{"id":130,"name":"Impact","value":""},{"id":150,"name":"Time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10"/>
      <c r="AK143" s="225"/>
      <c r="AL143" s="225"/>
      <c r="AM143" s="231" t="str">
        <f t="shared" si="85"/>
        <v>start /low /b %USERPROFILE%\Documents\GitHub\eaglep3\Utilities\DownloadLogsFromS3.py --loco 4056 --day 2017-10-03</v>
      </c>
      <c r="AN143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10" t="str">
        <f t="shared" si="87"/>
        <v>https://d0f6bd738d7f1b3e5a7ca70fe4ff75f0.us-east-1.aws.found.io/app/kibana#/discover/Steve-Slow-Train-Analysis-(2080s-and-2083s)?_g=(refreshInterval:(display:Off,pause:!f,section:0,value:0),time:(from:'2017-10-03T19:14:40-0600',mode:absolute,to:'2017-10-03T23:06:11-0600'))&amp;_a=(columns:!('Message%20ID',Summary),filters:!(),index:'emp_*',interval:auto,query:(query_string:(analyze_wildcard:!t,query:'%22rtdc.l.rtdc.4056%22')),sort:!(Time.ISO8601,asc))</v>
      </c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  <c r="BM143" s="210"/>
      <c r="BN143" s="210"/>
      <c r="BO143" s="210"/>
      <c r="BP143" s="210"/>
      <c r="BQ143" s="210"/>
      <c r="BR143" s="210"/>
      <c r="BS143" s="210"/>
      <c r="BT143" s="210"/>
      <c r="BU143" s="210"/>
      <c r="BV143" s="210"/>
      <c r="BW143" s="210"/>
      <c r="BX143" s="210"/>
      <c r="BY143" s="210"/>
      <c r="BZ143" s="210"/>
      <c r="CA143" s="210"/>
      <c r="CB143" s="210"/>
      <c r="CC143" s="210"/>
      <c r="CD143" s="210"/>
      <c r="CE143" s="210"/>
      <c r="CF143" s="210"/>
      <c r="CG143" s="210"/>
      <c r="CH143" s="210"/>
      <c r="CI143" s="210"/>
      <c r="CJ143" s="210"/>
      <c r="CK143" s="210"/>
      <c r="CL143" s="210"/>
      <c r="CM143" s="210"/>
    </row>
    <row r="144" spans="1:91" s="20" customFormat="1" x14ac:dyDescent="0.25">
      <c r="A144" s="32" t="s">
        <v>822</v>
      </c>
      <c r="B144" s="7">
        <v>4055</v>
      </c>
      <c r="C144" s="21" t="s">
        <v>194</v>
      </c>
      <c r="D144" s="21" t="s">
        <v>365</v>
      </c>
      <c r="E144" s="13">
        <v>43011.882592592592</v>
      </c>
      <c r="F144" s="13">
        <v>43011.89403935185</v>
      </c>
      <c r="G144" s="7">
        <v>55</v>
      </c>
      <c r="H144" s="21" t="s">
        <v>895</v>
      </c>
      <c r="I144" s="13">
        <v>43011.920960648145</v>
      </c>
      <c r="J144" s="7">
        <v>0</v>
      </c>
      <c r="K144" s="85" t="str">
        <f t="shared" si="71"/>
        <v>4055/4056</v>
      </c>
      <c r="L144" s="179" t="str">
        <f>VLOOKUP(A144,'Trips&amp;Operators'!$C$1:$G$99911,5,FALSE)</f>
        <v>BARRON PERLA</v>
      </c>
      <c r="M144" s="6">
        <f t="shared" si="72"/>
        <v>2.6921296295768116E-2</v>
      </c>
      <c r="N144" s="7">
        <f t="shared" si="70"/>
        <v>38.766666665906087</v>
      </c>
      <c r="O144" s="7"/>
      <c r="P144" s="7"/>
      <c r="Q144" s="22"/>
      <c r="R144" s="169"/>
      <c r="S144" s="202">
        <f t="shared" si="69"/>
        <v>1</v>
      </c>
      <c r="T144" s="169" t="str">
        <f t="shared" si="73"/>
        <v>Southbound</v>
      </c>
      <c r="U144" s="22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2" t="str">
        <f t="shared" si="74"/>
        <v>https://d0f6bd738d7f1b3e5a7ca70fe4ff75f0.us-east-1.aws.found.io/app/kibana#/discover/Steve-Slow-Train-Analysis-(2080s-and-2083s)?_g=(refreshInterval:(display:Off,pause:!f,section:0,value:0),time:(from:'2017-10-03T20:10:56-0600',mode:absolute,to:'2017-10-03T23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4" s="223" t="str">
        <f>IF(AA144&lt;VLOOKUP(AG144,Variables!$AC$3:$AD$8,2,FALSE),"Y","N")</f>
        <v>N</v>
      </c>
      <c r="X144" s="223">
        <f t="shared" si="75"/>
        <v>1</v>
      </c>
      <c r="Y144" s="223">
        <f t="shared" si="76"/>
        <v>23.297699999999999</v>
      </c>
      <c r="Z144" s="223">
        <f t="shared" si="77"/>
        <v>1.7999999999999999E-2</v>
      </c>
      <c r="AA144" s="223">
        <f t="shared" si="78"/>
        <v>23.279699999999998</v>
      </c>
      <c r="AB144" s="224" t="e">
        <f>VLOOKUP(A144,Enforcements!$C$7:$K$11,8,0)</f>
        <v>#N/A</v>
      </c>
      <c r="AC144" s="224" t="e">
        <f>VLOOKUP(A144,Enforcements!$C$7:$E$11,3,0)</f>
        <v>#N/A</v>
      </c>
      <c r="AD144" s="225">
        <f t="shared" si="79"/>
        <v>228</v>
      </c>
      <c r="AE144" s="226" t="str">
        <f t="shared" si="8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44" s="227" t="str">
        <f t="shared" si="81"/>
        <v>"C:\Program Files (x86)\AstroGrep\AstroGrep.exe" /e /r /s /spath="%USERPROFILE%\AppData\Local\Temp\OnboardLogs" /stypes="app*4055*20171004*" /stext=" 04:.+((SYSTEM_STATE.+slice.+state.+changed )|(ment ac)|(multiple cpu faults)|(system.+state.+changed )|(\[timeout)|(PRM\|1\|D)|(kpr)|(kdp)|(train st.+moving)|(\|lc)|(penalty))"</v>
      </c>
      <c r="AG144" s="228" t="str">
        <f t="shared" si="82"/>
        <v>EC</v>
      </c>
      <c r="AH144" s="229" t="str">
        <f t="shared" si="83"/>
        <v>"%USERPROFILE%\Documents\GitHub\eaglep3\Utilities\RefineRTDCRunTimes.py" --tripid 228-03 --locoid 4055 --swversion DE.1.0.9.0 --startMP 204:232977 --initTime 2017-10-03T21:10:56 --startdatetime 2017-10-03T21:27:25 --delay 55 --endMP 204:180 --enddatetime 2017-10-03T22:06:11 --enforcementcount 0 &gt;&gt;%USERPROFILE%\Documents\GitHub\eaglep3-reporting\EC\2017-10-03-refined-times.txt</v>
      </c>
      <c r="AI144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{"issue":{"subject":"","project_id":79,"tracker_id":40,"status_id":1,"priority_id":2,"assigned_to_id":338,"start_date":"2017-10-03","description":"","custom_fields":[{"id":1,"name":"Subdivision","value":"EC"},{"id":4,"name":"Milepost","value":"0.018"},{"id":17,"name":"Train ID","value":"228-03"},{"id":16,"name":"Locomotive ID","value":"4055"},{"id":130,"name":"Impact","value":""},{"id":150,"name":"Time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10"/>
      <c r="AK144" s="225"/>
      <c r="AL144" s="225"/>
      <c r="AM144" s="231" t="str">
        <f t="shared" si="85"/>
        <v>start /low /b %USERPROFILE%\Documents\GitHub\eaglep3\Utilities\DownloadLogsFromS3.py --loco 4055 --day 2017-10-03</v>
      </c>
      <c r="AN144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10" t="str">
        <f t="shared" si="87"/>
        <v>https://d0f6bd738d7f1b3e5a7ca70fe4ff75f0.us-east-1.aws.found.io/app/kibana#/discover/Steve-Slow-Train-Analysis-(2080s-and-2083s)?_g=(refreshInterval:(display:Off,pause:!f,section:0,value:0),time:(from:'2017-10-03T20:10:56-0600',mode:absolute,to:'2017-10-03T23:06:11-0600'))&amp;_a=(columns:!('Message%20ID',Summary),filters:!(),index:'emp_*',interval:auto,query:(query_string:(analyze_wildcard:!t,query:'%22rtdc.l.rtdc.4055%22')),sort:!(Time.ISO8601,asc))</v>
      </c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  <c r="BM144" s="210"/>
      <c r="BN144" s="210"/>
      <c r="BO144" s="210"/>
      <c r="BP144" s="210"/>
      <c r="BQ144" s="210"/>
      <c r="BR144" s="210"/>
      <c r="BS144" s="210"/>
      <c r="BT144" s="210"/>
      <c r="BU144" s="210"/>
      <c r="BV144" s="210"/>
      <c r="BW144" s="210"/>
      <c r="BX144" s="210"/>
      <c r="BY144" s="210"/>
      <c r="BZ144" s="210"/>
      <c r="CA144" s="210"/>
      <c r="CB144" s="210"/>
      <c r="CC144" s="210"/>
      <c r="CD144" s="210"/>
      <c r="CE144" s="210"/>
      <c r="CF144" s="210"/>
      <c r="CG144" s="210"/>
      <c r="CH144" s="210"/>
      <c r="CI144" s="210"/>
      <c r="CJ144" s="210"/>
      <c r="CK144" s="210"/>
      <c r="CL144" s="210"/>
      <c r="CM144" s="210"/>
    </row>
    <row r="145" spans="1:91" s="20" customFormat="1" x14ac:dyDescent="0.25">
      <c r="A145" s="32" t="s">
        <v>819</v>
      </c>
      <c r="B145" s="7">
        <v>4062</v>
      </c>
      <c r="C145" s="21" t="s">
        <v>194</v>
      </c>
      <c r="D145" s="21" t="s">
        <v>444</v>
      </c>
      <c r="E145" s="13">
        <v>43011.857997685183</v>
      </c>
      <c r="F145" s="13">
        <v>43011.875289351854</v>
      </c>
      <c r="G145" s="7">
        <v>56</v>
      </c>
      <c r="H145" s="21" t="s">
        <v>896</v>
      </c>
      <c r="I145" s="13">
        <v>43011.9</v>
      </c>
      <c r="J145" s="7">
        <v>0</v>
      </c>
      <c r="K145" s="85" t="str">
        <f t="shared" si="71"/>
        <v>4061/4062</v>
      </c>
      <c r="L145" s="179" t="str">
        <f>VLOOKUP(A145,'Trips&amp;Operators'!$C$1:$G$99911,5,FALSE)</f>
        <v>DUNCAN SHEILA</v>
      </c>
      <c r="M145" s="6">
        <f t="shared" si="72"/>
        <v>2.47106481474475E-2</v>
      </c>
      <c r="N145" s="7">
        <f t="shared" si="70"/>
        <v>35.583333332324401</v>
      </c>
      <c r="O145" s="7"/>
      <c r="P145" s="7"/>
      <c r="Q145" s="22"/>
      <c r="R145" s="169"/>
      <c r="S145" s="202">
        <f t="shared" si="69"/>
        <v>1</v>
      </c>
      <c r="T145" s="169" t="str">
        <f t="shared" si="73"/>
        <v>NorthBound</v>
      </c>
      <c r="U145" s="22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2" t="str">
        <f t="shared" si="74"/>
        <v>https://d0f6bd738d7f1b3e5a7ca70fe4ff75f0.us-east-1.aws.found.io/app/kibana#/discover/Steve-Slow-Train-Analysis-(2080s-and-2083s)?_g=(refreshInterval:(display:Off,pause:!f,section:0,value:0),time:(from:'2017-10-03T19:35:31-0600',mode:absolute,to:'2017-10-03T22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5" s="223" t="str">
        <f>IF(AA145&lt;VLOOKUP(AG145,Variables!$AC$3:$AD$8,2,FALSE),"Y","N")</f>
        <v>N</v>
      </c>
      <c r="X145" s="223">
        <f t="shared" si="75"/>
        <v>1</v>
      </c>
      <c r="Y145" s="223">
        <f t="shared" si="76"/>
        <v>4.4400000000000002E-2</v>
      </c>
      <c r="Z145" s="223">
        <f t="shared" si="77"/>
        <v>23.338699999999999</v>
      </c>
      <c r="AA145" s="223">
        <f t="shared" si="78"/>
        <v>23.2943</v>
      </c>
      <c r="AB145" s="224" t="e">
        <f>VLOOKUP(A145,Enforcements!$C$7:$K$11,8,0)</f>
        <v>#N/A</v>
      </c>
      <c r="AC145" s="224" t="e">
        <f>VLOOKUP(A145,Enforcements!$C$7:$E$11,3,0)</f>
        <v>#N/A</v>
      </c>
      <c r="AD145" s="225">
        <f t="shared" si="79"/>
        <v>229</v>
      </c>
      <c r="AE145" s="226" t="str">
        <f t="shared" si="8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45" s="227" t="str">
        <f t="shared" si="81"/>
        <v>"C:\Program Files (x86)\AstroGrep\AstroGrep.exe" /e /r /s /spath="%USERPROFILE%\AppData\Local\Temp\OnboardLogs" /stypes="app*4062*20171004*" /stext=" 03:.+((SYSTEM_STATE.+slice.+state.+changed )|(ment ac)|(multiple cpu faults)|(system.+state.+changed )|(\[timeout)|(PRM\|1\|D)|(kpr)|(kdp)|(train st.+moving)|(\|lc)|(penalty))"</v>
      </c>
      <c r="AG145" s="228" t="str">
        <f t="shared" si="82"/>
        <v>EC</v>
      </c>
      <c r="AH145" s="229" t="str">
        <f t="shared" si="83"/>
        <v>"%USERPROFILE%\Documents\GitHub\eaglep3\Utilities\RefineRTDCRunTimes.py" --tripid 229-03 --locoid 4062 --swversion DE.1.0.9.0 --startMP 204:444 --initTime 2017-10-03T20:35:31 --startdatetime 2017-10-03T21:00:25 --delay 56 --endMP 204:233387 --enddatetime 2017-10-03T21:36:00 --enforcementcount 0 &gt;&gt;%USERPROFILE%\Documents\GitHub\eaglep3-reporting\EC\2017-10-03-refined-times.txt</v>
      </c>
      <c r="AI145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{"issue":{"subject":"","project_id":79,"tracker_id":40,"status_id":1,"priority_id":2,"assigned_to_id":338,"start_date":"2017-10-03","description":"","custom_fields":[{"id":1,"name":"Subdivision","value":"EC"},{"id":4,"name":"Milepost","value":"23.3387"},{"id":17,"name":"Train ID","value":"229-03"},{"id":16,"name":"Locomotive ID","value":"4062"},{"id":130,"name":"Impact","value":""},{"id":150,"name":"Time of Event (Mountain Time)","value":"21:36:00"},{"id":151,"name":"Denver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10"/>
      <c r="AK145" s="225"/>
      <c r="AL145" s="225"/>
      <c r="AM145" s="231" t="str">
        <f t="shared" si="85"/>
        <v>start /low /b %USERPROFILE%\Documents\GitHub\eaglep3\Utilities\DownloadLogsFromS3.py --loco 4062 --day 2017-10-03</v>
      </c>
      <c r="AN145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10" t="str">
        <f t="shared" si="87"/>
        <v>https://d0f6bd738d7f1b3e5a7ca70fe4ff75f0.us-east-1.aws.found.io/app/kibana#/discover/Steve-Slow-Train-Analysis-(2080s-and-2083s)?_g=(refreshInterval:(display:Off,pause:!f,section:0,value:0),time:(from:'2017-10-03T19:35:31-0600',mode:absolute,to:'2017-10-03T22:36:00-0600'))&amp;_a=(columns:!('Message%20ID',Summary),filters:!(),index:'emp_*',interval:auto,query:(query_string:(analyze_wildcard:!t,query:'%22rtdc.l.rtdc.4062%22')),sort:!(Time.ISO8601,asc))</v>
      </c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  <c r="BM145" s="210"/>
      <c r="BN145" s="210"/>
      <c r="BO145" s="210"/>
      <c r="BP145" s="210"/>
      <c r="BQ145" s="210"/>
      <c r="BR145" s="210"/>
      <c r="BS145" s="210"/>
      <c r="BT145" s="210"/>
      <c r="BU145" s="210"/>
      <c r="BV145" s="210"/>
      <c r="BW145" s="210"/>
      <c r="BX145" s="210"/>
      <c r="BY145" s="210"/>
      <c r="BZ145" s="210"/>
      <c r="CA145" s="210"/>
      <c r="CB145" s="210"/>
      <c r="CC145" s="210"/>
      <c r="CD145" s="210"/>
      <c r="CE145" s="210"/>
      <c r="CF145" s="210"/>
      <c r="CG145" s="210"/>
      <c r="CH145" s="210"/>
      <c r="CI145" s="210"/>
      <c r="CJ145" s="210"/>
      <c r="CK145" s="210"/>
      <c r="CL145" s="210"/>
      <c r="CM145" s="210"/>
    </row>
    <row r="146" spans="1:91" s="20" customFormat="1" x14ac:dyDescent="0.25">
      <c r="A146" s="32" t="s">
        <v>826</v>
      </c>
      <c r="B146" s="7">
        <v>4061</v>
      </c>
      <c r="C146" s="21" t="s">
        <v>194</v>
      </c>
      <c r="D146" s="21" t="s">
        <v>897</v>
      </c>
      <c r="E146" s="13">
        <v>43011.902083333334</v>
      </c>
      <c r="F146" s="13">
        <v>43011.914872685185</v>
      </c>
      <c r="G146" s="7">
        <v>58</v>
      </c>
      <c r="H146" s="21" t="s">
        <v>562</v>
      </c>
      <c r="I146" s="13">
        <v>43011.940520833334</v>
      </c>
      <c r="J146" s="7">
        <v>0</v>
      </c>
      <c r="K146" s="85" t="str">
        <f t="shared" si="71"/>
        <v>4061/4062</v>
      </c>
      <c r="L146" s="179" t="str">
        <f>VLOOKUP(A146,'Trips&amp;Operators'!$C$1:$G$99911,5,FALSE)</f>
        <v>DUNCAN SHEILA</v>
      </c>
      <c r="M146" s="6">
        <f t="shared" si="72"/>
        <v>2.5648148148320615E-2</v>
      </c>
      <c r="N146" s="7">
        <f t="shared" si="70"/>
        <v>36.933333333581686</v>
      </c>
      <c r="O146" s="7"/>
      <c r="P146" s="7"/>
      <c r="Q146" s="22"/>
      <c r="R146" s="169"/>
      <c r="S146" s="202">
        <f t="shared" si="69"/>
        <v>1</v>
      </c>
      <c r="T146" s="169" t="str">
        <f t="shared" si="73"/>
        <v>Southbound</v>
      </c>
      <c r="U146" s="22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2" t="str">
        <f t="shared" si="74"/>
        <v>https://d0f6bd738d7f1b3e5a7ca70fe4ff75f0.us-east-1.aws.found.io/app/kibana#/discover/Steve-Slow-Train-Analysis-(2080s-and-2083s)?_g=(refreshInterval:(display:Off,pause:!f,section:0,value:0),time:(from:'2017-10-03T20:39:00-0600',mode:absolute,to:'2017-10-03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6" s="223" t="str">
        <f>IF(AA146&lt;VLOOKUP(AG146,Variables!$AC$3:$AD$8,2,FALSE),"Y","N")</f>
        <v>N</v>
      </c>
      <c r="X146" s="223">
        <f t="shared" si="75"/>
        <v>1</v>
      </c>
      <c r="Y146" s="223">
        <f t="shared" si="76"/>
        <v>23.304300000000001</v>
      </c>
      <c r="Z146" s="223">
        <f t="shared" si="77"/>
        <v>1.3599999999999999E-2</v>
      </c>
      <c r="AA146" s="223">
        <f t="shared" si="78"/>
        <v>23.290700000000001</v>
      </c>
      <c r="AB146" s="224" t="e">
        <f>VLOOKUP(A146,Enforcements!$C$7:$K$11,8,0)</f>
        <v>#N/A</v>
      </c>
      <c r="AC146" s="224" t="e">
        <f>VLOOKUP(A146,Enforcements!$C$7:$E$11,3,0)</f>
        <v>#N/A</v>
      </c>
      <c r="AD146" s="225">
        <f t="shared" si="79"/>
        <v>230</v>
      </c>
      <c r="AE146" s="226" t="str">
        <f t="shared" si="8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46" s="227" t="str">
        <f t="shared" si="81"/>
        <v>"C:\Program Files (x86)\AstroGrep\AstroGrep.exe" /e /r /s /spath="%USERPROFILE%\AppData\Local\Temp\OnboardLogs" /stypes="app*4061*20171004*" /stext=" 04:.+((SYSTEM_STATE.+slice.+state.+changed )|(ment ac)|(multiple cpu faults)|(system.+state.+changed )|(\[timeout)|(PRM\|1\|D)|(kpr)|(kdp)|(train st.+moving)|(\|lc)|(penalty))"</v>
      </c>
      <c r="AG146" s="228" t="str">
        <f t="shared" si="82"/>
        <v>EC</v>
      </c>
      <c r="AH146" s="229" t="str">
        <f t="shared" si="83"/>
        <v>"%USERPROFILE%\Documents\GitHub\eaglep3\Utilities\RefineRTDCRunTimes.py" --tripid 230-03 --locoid 4061 --swversion DE.1.0.9.0 --startMP 204:233043 --initTime 2017-10-03T21:39:00 --startdatetime 2017-10-03T21:57:25 --delay 58 --endMP 204:136 --enddatetime 2017-10-03T22:34:21 --enforcementcount 0 &gt;&gt;%USERPROFILE%\Documents\GitHub\eaglep3-reporting\EC\2017-10-03-refined-times.txt</v>
      </c>
      <c r="AI146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{"issue":{"subject":"","project_id":79,"tracker_id":40,"status_id":1,"priority_id":2,"assigned_to_id":338,"start_date":"2017-10-03","description":"","custom_fields":[{"id":1,"name":"Subdivision","value":"EC"},{"id":4,"name":"Milepost","value":"0.0136"},{"id":17,"name":"Train ID","value":"230-03"},{"id":16,"name":"Locomotive ID","value":"4061"},{"id":130,"name":"Impact","value":""},{"id":150,"name":"Time of Event (Mountain Time)","value":"22:34:21"},{"id":151,"name":"Denver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10"/>
      <c r="AK146" s="225"/>
      <c r="AL146" s="225"/>
      <c r="AM146" s="231" t="str">
        <f t="shared" si="85"/>
        <v>start /low /b %USERPROFILE%\Documents\GitHub\eaglep3\Utilities\DownloadLogsFromS3.py --loco 4061 --day 2017-10-03</v>
      </c>
      <c r="AN146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10" t="str">
        <f t="shared" si="87"/>
        <v>https://d0f6bd738d7f1b3e5a7ca70fe4ff75f0.us-east-1.aws.found.io/app/kibana#/discover/Steve-Slow-Train-Analysis-(2080s-and-2083s)?_g=(refreshInterval:(display:Off,pause:!f,section:0,value:0),time:(from:'2017-10-03T20:39:00-0600',mode:absolute,to:'2017-10-03T23:34:21-0600'))&amp;_a=(columns:!('Message%20ID',Summary),filters:!(),index:'emp_*',interval:auto,query:(query_string:(analyze_wildcard:!t,query:'%22rtdc.l.rtdc.4061%22')),sort:!(Time.ISO8601,asc))</v>
      </c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  <c r="BM146" s="210"/>
      <c r="BN146" s="210"/>
      <c r="BO146" s="210"/>
      <c r="BP146" s="210"/>
      <c r="BQ146" s="210"/>
      <c r="BR146" s="210"/>
      <c r="BS146" s="210"/>
      <c r="BT146" s="210"/>
      <c r="BU146" s="210"/>
      <c r="BV146" s="210"/>
      <c r="BW146" s="210"/>
      <c r="BX146" s="210"/>
      <c r="BY146" s="210"/>
      <c r="BZ146" s="210"/>
      <c r="CA146" s="210"/>
      <c r="CB146" s="210"/>
      <c r="CC146" s="210"/>
      <c r="CD146" s="210"/>
      <c r="CE146" s="210"/>
      <c r="CF146" s="210"/>
      <c r="CG146" s="210"/>
      <c r="CH146" s="210"/>
      <c r="CI146" s="210"/>
      <c r="CJ146" s="210"/>
      <c r="CK146" s="210"/>
      <c r="CL146" s="210"/>
      <c r="CM146" s="210"/>
    </row>
    <row r="147" spans="1:91" s="20" customFormat="1" x14ac:dyDescent="0.25">
      <c r="A147" s="32" t="s">
        <v>825</v>
      </c>
      <c r="B147" s="7">
        <v>4042</v>
      </c>
      <c r="C147" s="21" t="s">
        <v>194</v>
      </c>
      <c r="D147" s="21" t="s">
        <v>338</v>
      </c>
      <c r="E147" s="13">
        <v>43011.894201388888</v>
      </c>
      <c r="F147" s="13">
        <v>43011.896041666667</v>
      </c>
      <c r="G147" s="7">
        <v>63</v>
      </c>
      <c r="H147" s="21" t="s">
        <v>566</v>
      </c>
      <c r="I147" s="13">
        <v>43011.920219907406</v>
      </c>
      <c r="J147" s="7">
        <v>0</v>
      </c>
      <c r="K147" s="85" t="str">
        <f t="shared" si="71"/>
        <v>4041/4042</v>
      </c>
      <c r="L147" s="179" t="str">
        <f>VLOOKUP(A147,'Trips&amp;Operators'!$C$1:$G$99911,5,FALSE)</f>
        <v>LOZA FIDEL</v>
      </c>
      <c r="M147" s="6">
        <f t="shared" si="72"/>
        <v>2.417824073927477E-2</v>
      </c>
      <c r="N147" s="7">
        <f t="shared" si="70"/>
        <v>34.816666664555669</v>
      </c>
      <c r="O147" s="7"/>
      <c r="P147" s="7"/>
      <c r="Q147" s="22"/>
      <c r="R147" s="169"/>
      <c r="S147" s="202">
        <f t="shared" si="69"/>
        <v>1</v>
      </c>
      <c r="T147" s="169" t="str">
        <f t="shared" si="73"/>
        <v>NorthBound</v>
      </c>
      <c r="U147" s="22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2" t="str">
        <f t="shared" si="74"/>
        <v>https://d0f6bd738d7f1b3e5a7ca70fe4ff75f0.us-east-1.aws.found.io/app/kibana#/discover/Steve-Slow-Train-Analysis-(2080s-and-2083s)?_g=(refreshInterval:(display:Off,pause:!f,section:0,value:0),time:(from:'2017-10-03T20:27:39-0600',mode:absolute,to:'2017-10-03T23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23" t="str">
        <f>IF(AA147&lt;VLOOKUP(AG147,Variables!$AC$3:$AD$8,2,FALSE),"Y","N")</f>
        <v>N</v>
      </c>
      <c r="X147" s="223">
        <f t="shared" si="75"/>
        <v>1</v>
      </c>
      <c r="Y147" s="223">
        <f t="shared" si="76"/>
        <v>4.53E-2</v>
      </c>
      <c r="Z147" s="223">
        <f t="shared" si="77"/>
        <v>23.331700000000001</v>
      </c>
      <c r="AA147" s="223">
        <f t="shared" si="78"/>
        <v>23.2864</v>
      </c>
      <c r="AB147" s="224" t="e">
        <f>VLOOKUP(A147,Enforcements!$C$7:$K$11,8,0)</f>
        <v>#N/A</v>
      </c>
      <c r="AC147" s="224" t="e">
        <f>VLOOKUP(A147,Enforcements!$C$7:$E$11,3,0)</f>
        <v>#N/A</v>
      </c>
      <c r="AD147" s="225">
        <f t="shared" si="79"/>
        <v>231</v>
      </c>
      <c r="AE147" s="226" t="str">
        <f t="shared" si="8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47" s="227" t="str">
        <f t="shared" si="81"/>
        <v>"C:\Program Files (x86)\AstroGrep\AstroGrep.exe" /e /r /s /spath="%USERPROFILE%\AppData\Local\Temp\OnboardLogs" /stypes="app*4042*20171004*" /stext=" 04:.+((SYSTEM_STATE.+slice.+state.+changed )|(ment ac)|(multiple cpu faults)|(system.+state.+changed )|(\[timeout)|(PRM\|1\|D)|(kpr)|(kdp)|(train st.+moving)|(\|lc)|(penalty))"</v>
      </c>
      <c r="AG147" s="228" t="str">
        <f t="shared" si="82"/>
        <v>EC</v>
      </c>
      <c r="AH147" s="229" t="str">
        <f t="shared" si="83"/>
        <v>"%USERPROFILE%\Documents\GitHub\eaglep3\Utilities\RefineRTDCRunTimes.py" --tripid 231-03 --locoid 4042 --swversion DE.1.0.9.0 --startMP 204:453 --initTime 2017-10-03T21:27:39 --startdatetime 2017-10-03T21:30:18 --delay 63 --endMP 204:233317 --enddatetime 2017-10-03T22:05:07 --enforcementcount 0 &gt;&gt;%USERPROFILE%\Documents\GitHub\eaglep3-reporting\EC\2017-10-03-refined-times.txt</v>
      </c>
      <c r="AI147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{"issue":{"subject":"","project_id":79,"tracker_id":40,"status_id":1,"priority_id":2,"assigned_to_id":338,"start_date":"2017-10-03","description":"","custom_fields":[{"id":1,"name":"Subdivision","value":"EC"},{"id":4,"name":"Milepost","value":"23.3317"},{"id":17,"name":"Train ID","value":"231-03"},{"id":16,"name":"Locomotive ID","value":"4042"},{"id":130,"name":"Impact","value":""},{"id":150,"name":"Time of Event (Mountain Time)","value":"22:05:07"},{"id":151,"name":"Denver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10"/>
      <c r="AK147" s="225"/>
      <c r="AL147" s="225"/>
      <c r="AM147" s="231" t="str">
        <f t="shared" si="85"/>
        <v>start /low /b %USERPROFILE%\Documents\GitHub\eaglep3\Utilities\DownloadLogsFromS3.py --loco 4042 --day 2017-10-03</v>
      </c>
      <c r="AN147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10" t="str">
        <f t="shared" si="87"/>
        <v>https://d0f6bd738d7f1b3e5a7ca70fe4ff75f0.us-east-1.aws.found.io/app/kibana#/discover/Steve-Slow-Train-Analysis-(2080s-and-2083s)?_g=(refreshInterval:(display:Off,pause:!f,section:0,value:0),time:(from:'2017-10-03T20:27:39-0600',mode:absolute,to:'2017-10-03T23:05:07-0600'))&amp;_a=(columns:!('Message%20ID',Summary),filters:!(),index:'emp_*',interval:auto,query:(query_string:(analyze_wildcard:!t,query:'%22rtdc.l.rtdc.4042%22')),sort:!(Time.ISO8601,asc))</v>
      </c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  <c r="BM147" s="210"/>
      <c r="BN147" s="210"/>
      <c r="BO147" s="210"/>
      <c r="BP147" s="210"/>
      <c r="BQ147" s="210"/>
      <c r="BR147" s="210"/>
      <c r="BS147" s="210"/>
      <c r="BT147" s="210"/>
      <c r="BU147" s="210"/>
      <c r="BV147" s="210"/>
      <c r="BW147" s="210"/>
      <c r="BX147" s="210"/>
      <c r="BY147" s="210"/>
      <c r="BZ147" s="210"/>
      <c r="CA147" s="210"/>
      <c r="CB147" s="210"/>
      <c r="CC147" s="210"/>
      <c r="CD147" s="210"/>
      <c r="CE147" s="210"/>
      <c r="CF147" s="210"/>
      <c r="CG147" s="210"/>
      <c r="CH147" s="210"/>
      <c r="CI147" s="210"/>
      <c r="CJ147" s="210"/>
      <c r="CK147" s="210"/>
      <c r="CL147" s="210"/>
      <c r="CM147" s="210"/>
    </row>
    <row r="148" spans="1:91" s="20" customFormat="1" x14ac:dyDescent="0.25">
      <c r="A148" s="32" t="s">
        <v>828</v>
      </c>
      <c r="B148" s="7">
        <v>4041</v>
      </c>
      <c r="C148" s="21" t="s">
        <v>194</v>
      </c>
      <c r="D148" s="21" t="s">
        <v>482</v>
      </c>
      <c r="E148" s="13">
        <v>43011.932245370372</v>
      </c>
      <c r="F148" s="13">
        <v>43011.935601851852</v>
      </c>
      <c r="G148" s="7">
        <v>75</v>
      </c>
      <c r="H148" s="21" t="s">
        <v>335</v>
      </c>
      <c r="I148" s="13">
        <v>43011.962500000001</v>
      </c>
      <c r="J148" s="7">
        <v>0</v>
      </c>
      <c r="K148" s="85" t="str">
        <f t="shared" si="71"/>
        <v>4041/4042</v>
      </c>
      <c r="L148" s="179" t="str">
        <f>VLOOKUP(A148,'Trips&amp;Operators'!$C$1:$G$99911,5,FALSE)</f>
        <v>LOZA FIDEL</v>
      </c>
      <c r="M148" s="6">
        <f t="shared" si="72"/>
        <v>2.6898148149484769E-2</v>
      </c>
      <c r="N148" s="7">
        <f t="shared" si="70"/>
        <v>38.733333335258067</v>
      </c>
      <c r="O148" s="7"/>
      <c r="P148" s="7"/>
      <c r="Q148" s="22"/>
      <c r="R148" s="169"/>
      <c r="S148" s="202">
        <f t="shared" si="69"/>
        <v>1</v>
      </c>
      <c r="T148" s="169" t="str">
        <f t="shared" si="73"/>
        <v>Southbound</v>
      </c>
      <c r="U148" s="22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2" t="str">
        <f t="shared" si="74"/>
        <v>https://d0f6bd738d7f1b3e5a7ca70fe4ff75f0.us-east-1.aws.found.io/app/kibana#/discover/Steve-Slow-Train-Analysis-(2080s-and-2083s)?_g=(refreshInterval:(display:Off,pause:!f,section:0,value:0),time:(from:'2017-10-03T21:22:26-0600',mode:absolute,to:'2017-10-04T00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23" t="str">
        <f>IF(AA148&lt;VLOOKUP(AG148,Variables!$AC$3:$AD$8,2,FALSE),"Y","N")</f>
        <v>N</v>
      </c>
      <c r="X148" s="223">
        <f t="shared" si="75"/>
        <v>1</v>
      </c>
      <c r="Y148" s="223">
        <f t="shared" si="76"/>
        <v>23.301500000000001</v>
      </c>
      <c r="Z148" s="223">
        <f t="shared" si="77"/>
        <v>1.4999999999999999E-2</v>
      </c>
      <c r="AA148" s="223">
        <f t="shared" si="78"/>
        <v>23.2865</v>
      </c>
      <c r="AB148" s="224" t="e">
        <f>VLOOKUP(A148,Enforcements!$C$7:$K$11,8,0)</f>
        <v>#N/A</v>
      </c>
      <c r="AC148" s="224" t="e">
        <f>VLOOKUP(A148,Enforcements!$C$7:$E$11,3,0)</f>
        <v>#N/A</v>
      </c>
      <c r="AD148" s="225">
        <f t="shared" si="79"/>
        <v>232</v>
      </c>
      <c r="AE148" s="226" t="str">
        <f t="shared" si="8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48" s="227" t="str">
        <f t="shared" si="81"/>
        <v>"C:\Program Files (x86)\AstroGrep\AstroGrep.exe" /e /r /s /spath="%USERPROFILE%\AppData\Local\Temp\OnboardLogs" /stypes="app*4041*20171004*" /stext=" 05:.+((SYSTEM_STATE.+slice.+state.+changed )|(ment ac)|(multiple cpu faults)|(system.+state.+changed )|(\[timeout)|(PRM\|1\|D)|(kpr)|(kdp)|(train st.+moving)|(\|lc)|(penalty))"</v>
      </c>
      <c r="AG148" s="228" t="str">
        <f t="shared" si="82"/>
        <v>EC</v>
      </c>
      <c r="AH148" s="229" t="str">
        <f t="shared" si="83"/>
        <v>"%USERPROFILE%\Documents\GitHub\eaglep3\Utilities\RefineRTDCRunTimes.py" --tripid 232-03 --locoid 4041 --swversion DE.1.0.9.0 --startMP 204:233015 --initTime 2017-10-03T22:22:26 --startdatetime 2017-10-03T22:27:16 --delay 75 --endMP 204:150 --enddatetime 2017-10-03T23:06:00 --enforcementcount 0 &gt;&gt;%USERPROFILE%\Documents\GitHub\eaglep3-reporting\EC\2017-10-03-refined-times.txt</v>
      </c>
      <c r="AI148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ID","value":"232-03"},{"id":16,"name":"Locomotive ID","value":"4041"},{"id":130,"name":"Impact","value":""},{"id":150,"name":"Time of Event (Mountain Time)","value":"23:06:00"},{"id":151,"name":"Denver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10"/>
      <c r="AK148" s="225"/>
      <c r="AL148" s="225"/>
      <c r="AM148" s="231" t="str">
        <f t="shared" si="85"/>
        <v>start /low /b %USERPROFILE%\Documents\GitHub\eaglep3\Utilities\DownloadLogsFromS3.py --loco 4041 --day 2017-10-03</v>
      </c>
      <c r="AN148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10" t="str">
        <f t="shared" si="87"/>
        <v>https://d0f6bd738d7f1b3e5a7ca70fe4ff75f0.us-east-1.aws.found.io/app/kibana#/discover/Steve-Slow-Train-Analysis-(2080s-and-2083s)?_g=(refreshInterval:(display:Off,pause:!f,section:0,value:0),time:(from:'2017-10-03T21:22:26-0600',mode:absolute,to:'2017-10-04T00:06:00-0600'))&amp;_a=(columns:!('Message%20ID',Summary),filters:!(),index:'emp_*',interval:auto,query:(query_string:(analyze_wildcard:!t,query:'%22rtdc.l.rtdc.4041%22')),sort:!(Time.ISO8601,asc))</v>
      </c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  <c r="BM148" s="210"/>
      <c r="BN148" s="210"/>
      <c r="BO148" s="210"/>
      <c r="BP148" s="210"/>
      <c r="BQ148" s="210"/>
      <c r="BR148" s="210"/>
      <c r="BS148" s="210"/>
      <c r="BT148" s="210"/>
      <c r="BU148" s="210"/>
      <c r="BV148" s="210"/>
      <c r="BW148" s="210"/>
      <c r="BX148" s="210"/>
      <c r="BY148" s="210"/>
      <c r="BZ148" s="210"/>
      <c r="CA148" s="210"/>
      <c r="CB148" s="210"/>
      <c r="CC148" s="210"/>
      <c r="CD148" s="210"/>
      <c r="CE148" s="210"/>
      <c r="CF148" s="210"/>
      <c r="CG148" s="210"/>
      <c r="CH148" s="210"/>
      <c r="CI148" s="210"/>
      <c r="CJ148" s="210"/>
      <c r="CK148" s="210"/>
      <c r="CL148" s="210"/>
      <c r="CM148" s="210"/>
    </row>
    <row r="149" spans="1:91" s="20" customFormat="1" x14ac:dyDescent="0.25">
      <c r="A149" s="32" t="s">
        <v>621</v>
      </c>
      <c r="B149" s="7">
        <v>4032</v>
      </c>
      <c r="C149" s="21" t="s">
        <v>194</v>
      </c>
      <c r="D149" s="21" t="s">
        <v>479</v>
      </c>
      <c r="E149" s="13">
        <v>43011.906018518515</v>
      </c>
      <c r="F149" s="13">
        <v>43011.934340277781</v>
      </c>
      <c r="G149" s="7">
        <v>82</v>
      </c>
      <c r="H149" s="21" t="s">
        <v>898</v>
      </c>
      <c r="I149" s="13">
        <v>43011.944560185184</v>
      </c>
      <c r="J149" s="7">
        <v>0</v>
      </c>
      <c r="K149" s="85" t="str">
        <f t="shared" si="71"/>
        <v>4031/4032</v>
      </c>
      <c r="L149" s="179" t="str">
        <f>VLOOKUP(A149,'Trips&amp;Operators'!$C$1:$G$99911,5,FALSE)</f>
        <v>RESPASS AARON</v>
      </c>
      <c r="M149" s="6">
        <f t="shared" si="72"/>
        <v>1.0219907402643003E-2</v>
      </c>
      <c r="N149" s="7"/>
      <c r="O149" s="7"/>
      <c r="P149" s="7">
        <f t="shared" si="70"/>
        <v>14.716666659805924</v>
      </c>
      <c r="Q149" s="22"/>
      <c r="R149" s="169" t="s">
        <v>1014</v>
      </c>
      <c r="S149" s="202">
        <f t="shared" si="69"/>
        <v>1</v>
      </c>
      <c r="T149" s="169" t="str">
        <f t="shared" si="73"/>
        <v>NorthBound</v>
      </c>
      <c r="U149" s="22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2" t="str">
        <f t="shared" si="74"/>
        <v>https://d0f6bd738d7f1b3e5a7ca70fe4ff75f0.us-east-1.aws.found.io/app/kibana#/discover/Steve-Slow-Train-Analysis-(2080s-and-2083s)?_g=(refreshInterval:(display:Off,pause:!f,section:0,value:0),time:(from:'2017-10-03T20:44:40-0600',mode:absolute,to:'2017-10-03T23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223" t="str">
        <f>IF(AA149&lt;VLOOKUP(AG149,Variables!$AC$3:$AD$8,2,FALSE),"Y","N")</f>
        <v>Y</v>
      </c>
      <c r="X149" s="223">
        <f t="shared" si="75"/>
        <v>1</v>
      </c>
      <c r="Y149" s="223">
        <f t="shared" si="76"/>
        <v>4.6899999999999997E-2</v>
      </c>
      <c r="Z149" s="223">
        <f t="shared" si="77"/>
        <v>12.7906</v>
      </c>
      <c r="AA149" s="223">
        <f t="shared" si="78"/>
        <v>12.743699999999999</v>
      </c>
      <c r="AB149" s="224" t="e">
        <f>VLOOKUP(A149,Enforcements!$C$7:$K$11,8,0)</f>
        <v>#N/A</v>
      </c>
      <c r="AC149" s="224" t="e">
        <f>VLOOKUP(A149,Enforcements!$C$7:$E$11,3,0)</f>
        <v>#N/A</v>
      </c>
      <c r="AD149" s="225">
        <f t="shared" si="79"/>
        <v>233</v>
      </c>
      <c r="AE149" s="226" t="str">
        <f t="shared" si="8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49" s="227" t="str">
        <f t="shared" si="81"/>
        <v>"C:\Program Files (x86)\AstroGrep\AstroGrep.exe" /e /r /s /spath="%USERPROFILE%\AppData\Local\Temp\OnboardLogs" /stypes="app*4032*20171004*" /stext=" 04:.+((SYSTEM_STATE.+slice.+state.+changed )|(ment ac)|(multiple cpu faults)|(system.+state.+changed )|(\[timeout)|(PRM\|1\|D)|(kpr)|(kdp)|(train st.+moving)|(\|lc)|(penalty))"</v>
      </c>
      <c r="AG149" s="228" t="str">
        <f t="shared" si="82"/>
        <v>EC</v>
      </c>
      <c r="AH149" s="229" t="str">
        <f t="shared" si="83"/>
        <v>"%USERPROFILE%\Documents\GitHub\eaglep3\Utilities\RefineRTDCRunTimes.py" --tripid 233-03 --locoid 4032 --swversion DE.1.0.9.0 --startMP 204:469 --initTime 2017-10-03T21:44:40 --startdatetime 2017-10-03T22:25:27 --delay 82 --endMP 204:127906 --enddatetime 2017-10-03T22:40:10 --enforcementcount 0 &gt;&gt;%USERPROFILE%\Documents\GitHub\eaglep3-reporting\EC\2017-10-03-refined-times.txt</v>
      </c>
      <c r="AI149" s="230" t="str">
        <f t="shared" si="84"/>
        <v>echo {"issue":{"subject":"Premature downgrade 40th 2N","project_id":79,"tracker_id":40,"status_id":1,"priority_id":2,"assigned_to_id":338,"start_date":"2017-10-03","description":"","custom_fields":[{"id":1,"name":"Subdivision","value":"EC"},{"id":4,"name":"Milepost","value":"12.7906"},{"id":17,"name":"Train ID","value":"233-03"},{"id":16,"name":"Locomotive ID","value":"4032"},{"id":130,"name":"Impact","value":""},{"id":150,"name":"Time of Event (Mountain Time)","value":"22:40:10"},{"id":151,"name":"Denver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10"/>
      <c r="AK149" s="225"/>
      <c r="AL149" s="225"/>
      <c r="AM149" s="231" t="str">
        <f t="shared" si="85"/>
        <v>start /low /b %USERPROFILE%\Documents\GitHub\eaglep3\Utilities\DownloadLogsFromS3.py --loco 4032 --day 2017-10-03</v>
      </c>
      <c r="AN149" s="232" t="str">
        <f t="shared" si="86"/>
        <v>echo {"issue":{"subject":"Premature downgrade 40th 2N","project_id":30,"tracker_id":4,"status_id":1,"priority_id":1,"assigned_to_id":10,"start_date":"2017-10-04","description":"","custom_fields":[{"id":30,"name":"Category","value":"Issue"},{"id":3,"name":"Functional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10" t="str">
        <f t="shared" si="87"/>
        <v>https://d0f6bd738d7f1b3e5a7ca70fe4ff75f0.us-east-1.aws.found.io/app/kibana#/discover/Steve-Slow-Train-Analysis-(2080s-and-2083s)?_g=(refreshInterval:(display:Off,pause:!f,section:0,value:0),time:(from:'2017-10-03T20:44:40-0600',mode:absolute,to:'2017-10-03T23:40:10-0600'))&amp;_a=(columns:!('Message%20ID',Summary),filters:!(),index:'emp_*',interval:auto,query:(query_string:(analyze_wildcard:!t,query:'%22rtdc.l.rtdc.4032%22')),sort:!(Time.ISO8601,asc))</v>
      </c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  <c r="BM149" s="210"/>
      <c r="BN149" s="210"/>
      <c r="BO149" s="210"/>
      <c r="BP149" s="210"/>
      <c r="BQ149" s="210"/>
      <c r="BR149" s="210"/>
      <c r="BS149" s="210"/>
      <c r="BT149" s="210"/>
      <c r="BU149" s="210"/>
      <c r="BV149" s="210"/>
      <c r="BW149" s="210"/>
      <c r="BX149" s="210"/>
      <c r="BY149" s="210"/>
      <c r="BZ149" s="210"/>
      <c r="CA149" s="210"/>
      <c r="CB149" s="210"/>
      <c r="CC149" s="210"/>
      <c r="CD149" s="210"/>
      <c r="CE149" s="210"/>
      <c r="CF149" s="210"/>
      <c r="CG149" s="210"/>
      <c r="CH149" s="210"/>
      <c r="CI149" s="210"/>
      <c r="CJ149" s="210"/>
      <c r="CK149" s="210"/>
      <c r="CL149" s="210"/>
      <c r="CM149" s="210"/>
    </row>
    <row r="150" spans="1:91" s="20" customFormat="1" x14ac:dyDescent="0.25">
      <c r="A150" s="32" t="s">
        <v>621</v>
      </c>
      <c r="B150" s="7">
        <v>4032</v>
      </c>
      <c r="C150" s="21" t="s">
        <v>194</v>
      </c>
      <c r="D150" s="21" t="s">
        <v>899</v>
      </c>
      <c r="E150" s="13">
        <v>43011.933159722219</v>
      </c>
      <c r="F150" s="13">
        <v>43011.934340277781</v>
      </c>
      <c r="G150" s="7">
        <v>42</v>
      </c>
      <c r="H150" s="21" t="s">
        <v>900</v>
      </c>
      <c r="I150" s="13">
        <v>43011.944560185184</v>
      </c>
      <c r="J150" s="7">
        <v>0</v>
      </c>
      <c r="K150" s="85" t="str">
        <f t="shared" si="71"/>
        <v>4031/4032</v>
      </c>
      <c r="L150" s="179" t="str">
        <f>VLOOKUP(A150,'Trips&amp;Operators'!$C$1:$G$99911,5,FALSE)</f>
        <v>RESPASS AARON</v>
      </c>
      <c r="M150" s="6">
        <f t="shared" si="72"/>
        <v>1.0219907402643003E-2</v>
      </c>
      <c r="N150" s="7"/>
      <c r="O150" s="7"/>
      <c r="P150" s="7"/>
      <c r="Q150" s="22"/>
      <c r="R150" s="169"/>
      <c r="S150" s="202"/>
      <c r="T150" s="169" t="str">
        <f t="shared" si="73"/>
        <v>NorthBound</v>
      </c>
      <c r="U150" s="22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22" t="str">
        <f t="shared" si="74"/>
        <v>https://d0f6bd738d7f1b3e5a7ca70fe4ff75f0.us-east-1.aws.found.io/app/kibana#/discover/Steve-Slow-Train-Analysis-(2080s-and-2083s)?_g=(refreshInterval:(display:Off,pause:!f,section:0,value:0),time:(from:'2017-10-03T21:23:45-0600',mode:absolute,to:'2017-10-03T23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23" t="str">
        <f>IF(AA150&lt;VLOOKUP(AG150,Variables!$AC$3:$AD$8,2,FALSE),"Y","N")</f>
        <v>Y</v>
      </c>
      <c r="X150" s="223">
        <f t="shared" si="75"/>
        <v>0</v>
      </c>
      <c r="Y150" s="223">
        <f t="shared" si="76"/>
        <v>12.827500000000001</v>
      </c>
      <c r="Z150" s="223">
        <f t="shared" si="77"/>
        <v>23.337</v>
      </c>
      <c r="AA150" s="223">
        <f t="shared" si="78"/>
        <v>10.509499999999999</v>
      </c>
      <c r="AB150" s="224" t="e">
        <f>VLOOKUP(A150,Enforcements!$C$7:$K$11,8,0)</f>
        <v>#N/A</v>
      </c>
      <c r="AC150" s="224" t="e">
        <f>VLOOKUP(A150,Enforcements!$C$7:$E$11,3,0)</f>
        <v>#N/A</v>
      </c>
      <c r="AD150" s="225">
        <f t="shared" si="79"/>
        <v>233</v>
      </c>
      <c r="AE150" s="226" t="str">
        <f t="shared" si="8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50" s="227" t="str">
        <f t="shared" si="81"/>
        <v>"C:\Program Files (x86)\AstroGrep\AstroGrep.exe" /e /r /s /spath="%USERPROFILE%\AppData\Local\Temp\OnboardLogs" /stypes="app*4032*20171004*" /stext=" 04:.+((SYSTEM_STATE.+slice.+state.+changed )|(ment ac)|(multiple cpu faults)|(system.+state.+changed )|(\[timeout)|(PRM\|1\|D)|(kpr)|(kdp)|(train st.+moving)|(\|lc)|(penalty))"</v>
      </c>
      <c r="AG150" s="228" t="str">
        <f t="shared" si="82"/>
        <v>EC</v>
      </c>
      <c r="AH150" s="229" t="str">
        <f t="shared" si="83"/>
        <v>"%USERPROFILE%\Documents\GitHub\eaglep3\Utilities\RefineRTDCRunTimes.py" --tripid 233-03 --locoid 4032 --swversion DE.1.0.9.0 --startMP 204:128275 --initTime 2017-10-03T22:23:45 --startdatetime 2017-10-03T22:25:27 --delay 42 --endMP 204:233370 --enddatetime 2017-10-03T22:40:10 --enforcementcount 0 &gt;&gt;%USERPROFILE%\Documents\GitHub\eaglep3-reporting\EC\2017-10-03-refined-times.txt</v>
      </c>
      <c r="AI150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{"issue":{"subject":"","project_id":79,"tracker_id":40,"status_id":1,"priority_id":2,"assigned_to_id":338,"start_date":"2017-10-03","description":"","custom_fields":[{"id":1,"name":"Subdivision","value":"EC"},{"id":4,"name":"Milepost","value":"23.337"},{"id":17,"name":"Train ID","value":"233-03"},{"id":16,"name":"Locomotive ID","value":"4032"},{"id":130,"name":"Impact","value":""},{"id":150,"name":"Time of Event (Mountain Time)","value":"22:40:10"},{"id":151,"name":"Denver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10"/>
      <c r="AK150" s="225"/>
      <c r="AL150" s="225"/>
      <c r="AM150" s="231" t="str">
        <f t="shared" si="85"/>
        <v>start /low /b %USERPROFILE%\Documents\GitHub\eaglep3\Utilities\DownloadLogsFromS3.py --loco 4032 --day 2017-10-03</v>
      </c>
      <c r="AN150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10" t="str">
        <f t="shared" si="87"/>
        <v>https://d0f6bd738d7f1b3e5a7ca70fe4ff75f0.us-east-1.aws.found.io/app/kibana#/discover/Steve-Slow-Train-Analysis-(2080s-and-2083s)?_g=(refreshInterval:(display:Off,pause:!f,section:0,value:0),time:(from:'2017-10-03T21:23:45-0600',mode:absolute,to:'2017-10-03T23:40:10-0600'))&amp;_a=(columns:!('Message%20ID',Summary),filters:!(),index:'emp_*',interval:auto,query:(query_string:(analyze_wildcard:!t,query:'%22rtdc.l.rtdc.4032%22')),sort:!(Time.ISO8601,asc))</v>
      </c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  <c r="BM150" s="210"/>
      <c r="BN150" s="210"/>
      <c r="BO150" s="210"/>
      <c r="BP150" s="210"/>
      <c r="BQ150" s="210"/>
      <c r="BR150" s="210"/>
      <c r="BS150" s="210"/>
      <c r="BT150" s="210"/>
      <c r="BU150" s="210"/>
      <c r="BV150" s="210"/>
      <c r="BW150" s="210"/>
      <c r="BX150" s="210"/>
      <c r="BY150" s="210"/>
      <c r="BZ150" s="210"/>
      <c r="CA150" s="210"/>
      <c r="CB150" s="210"/>
      <c r="CC150" s="210"/>
      <c r="CD150" s="210"/>
      <c r="CE150" s="210"/>
      <c r="CF150" s="210"/>
      <c r="CG150" s="210"/>
      <c r="CH150" s="210"/>
      <c r="CI150" s="210"/>
      <c r="CJ150" s="210"/>
      <c r="CK150" s="210"/>
      <c r="CL150" s="210"/>
      <c r="CM150" s="210"/>
    </row>
    <row r="151" spans="1:91" s="20" customFormat="1" x14ac:dyDescent="0.25">
      <c r="A151" s="32" t="s">
        <v>830</v>
      </c>
      <c r="B151" s="7">
        <v>4031</v>
      </c>
      <c r="C151" s="21" t="s">
        <v>194</v>
      </c>
      <c r="D151" s="21" t="s">
        <v>901</v>
      </c>
      <c r="E151" s="13">
        <v>43011.951273148145</v>
      </c>
      <c r="F151" s="13">
        <v>43011.956423611111</v>
      </c>
      <c r="G151" s="7">
        <v>80</v>
      </c>
      <c r="H151" s="21" t="s">
        <v>902</v>
      </c>
      <c r="I151" s="13">
        <v>43011.982546296298</v>
      </c>
      <c r="J151" s="7">
        <v>0</v>
      </c>
      <c r="K151" s="85" t="str">
        <f t="shared" si="71"/>
        <v>4031/4032</v>
      </c>
      <c r="L151" s="179" t="str">
        <f>VLOOKUP(A151,'Trips&amp;Operators'!$C$1:$G$99911,5,FALSE)</f>
        <v>RESPASS AARON</v>
      </c>
      <c r="M151" s="6">
        <f t="shared" si="72"/>
        <v>2.6122685187146999E-2</v>
      </c>
      <c r="N151" s="7">
        <f t="shared" ref="N151:N182" si="88">24*60*SUM($M151:$M151)</f>
        <v>37.616666669491678</v>
      </c>
      <c r="O151" s="7"/>
      <c r="P151" s="7"/>
      <c r="Q151" s="22"/>
      <c r="R151" s="169"/>
      <c r="S151" s="202">
        <f t="shared" ref="S151:S182" si="89">1/IF(AG151="EC",12,1)*SUM(U151:U151)</f>
        <v>1</v>
      </c>
      <c r="T151" s="169" t="str">
        <f t="shared" si="73"/>
        <v>Southbound</v>
      </c>
      <c r="U151" s="22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2" t="str">
        <f t="shared" si="74"/>
        <v>https://d0f6bd738d7f1b3e5a7ca70fe4ff75f0.us-east-1.aws.found.io/app/kibana#/discover/Steve-Slow-Train-Analysis-(2080s-and-2083s)?_g=(refreshInterval:(display:Off,pause:!f,section:0,value:0),time:(from:'2017-10-03T21:49:50-0600',mode:absolute,to:'2017-10-04T00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23" t="str">
        <f>IF(AA151&lt;VLOOKUP(AG151,Variables!$AC$3:$AD$8,2,FALSE),"Y","N")</f>
        <v>N</v>
      </c>
      <c r="X151" s="223">
        <f t="shared" si="75"/>
        <v>1</v>
      </c>
      <c r="Y151" s="223">
        <f t="shared" si="76"/>
        <v>23.296299999999999</v>
      </c>
      <c r="Z151" s="223">
        <f t="shared" si="77"/>
        <v>1.7600000000000001E-2</v>
      </c>
      <c r="AA151" s="223">
        <f t="shared" si="78"/>
        <v>23.278699999999997</v>
      </c>
      <c r="AB151" s="224" t="e">
        <f>VLOOKUP(A151,Enforcements!$C$7:$K$11,8,0)</f>
        <v>#N/A</v>
      </c>
      <c r="AC151" s="224" t="e">
        <f>VLOOKUP(A151,Enforcements!$C$7:$E$11,3,0)</f>
        <v>#N/A</v>
      </c>
      <c r="AD151" s="225">
        <f t="shared" si="79"/>
        <v>234</v>
      </c>
      <c r="AE151" s="226" t="str">
        <f t="shared" si="8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51" s="227" t="str">
        <f t="shared" si="81"/>
        <v>"C:\Program Files (x86)\AstroGrep\AstroGrep.exe" /e /r /s /spath="%USERPROFILE%\AppData\Local\Temp\OnboardLogs" /stypes="app*4031*20171004*" /stext=" 05:.+((SYSTEM_STATE.+slice.+state.+changed )|(ment ac)|(multiple cpu faults)|(system.+state.+changed )|(\[timeout)|(PRM\|1\|D)|(kpr)|(kdp)|(train st.+moving)|(\|lc)|(penalty))"</v>
      </c>
      <c r="AG151" s="228" t="str">
        <f t="shared" si="82"/>
        <v>EC</v>
      </c>
      <c r="AH151" s="229" t="str">
        <f t="shared" si="83"/>
        <v>"%USERPROFILE%\Documents\GitHub\eaglep3\Utilities\RefineRTDCRunTimes.py" --tripid 234-03 --locoid 4031 --swversion DE.1.0.9.0 --startMP 204:232963 --initTime 2017-10-03T22:49:50 --startdatetime 2017-10-03T22:57:15 --delay 80 --endMP 204:176 --enddatetime 2017-10-03T23:34:52 --enforcementcount 0 &gt;&gt;%USERPROFILE%\Documents\GitHub\eaglep3-reporting\EC\2017-10-03-refined-times.txt</v>
      </c>
      <c r="AI151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{"issue":{"subject":"","project_id":79,"tracker_id":40,"status_id":1,"priority_id":2,"assigned_to_id":338,"start_date":"2017-10-03","description":"","custom_fields":[{"id":1,"name":"Subdivision","value":"EC"},{"id":4,"name":"Milepost","value":"0.0176"},{"id":17,"name":"Train ID","value":"234-03"},{"id":16,"name":"Locomotive ID","value":"4031"},{"id":130,"name":"Impact","value":""},{"id":150,"name":"Time of Event (Mountain Time)","value":"23:34:52"},{"id":151,"name":"Denver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10"/>
      <c r="AK151" s="225"/>
      <c r="AL151" s="225"/>
      <c r="AM151" s="231" t="str">
        <f t="shared" si="85"/>
        <v>start /low /b %USERPROFILE%\Documents\GitHub\eaglep3\Utilities\DownloadLogsFromS3.py --loco 4031 --day 2017-10-03</v>
      </c>
      <c r="AN151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10" t="str">
        <f t="shared" si="87"/>
        <v>https://d0f6bd738d7f1b3e5a7ca70fe4ff75f0.us-east-1.aws.found.io/app/kibana#/discover/Steve-Slow-Train-Analysis-(2080s-and-2083s)?_g=(refreshInterval:(display:Off,pause:!f,section:0,value:0),time:(from:'2017-10-03T21:49:50-0600',mode:absolute,to:'2017-10-04T00:34:52-0600'))&amp;_a=(columns:!('Message%20ID',Summary),filters:!(),index:'emp_*',interval:auto,query:(query_string:(analyze_wildcard:!t,query:'%22rtdc.l.rtdc.4031%22')),sort:!(Time.ISO8601,asc))</v>
      </c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  <c r="BM151" s="210"/>
      <c r="BN151" s="210"/>
      <c r="BO151" s="210"/>
      <c r="BP151" s="210"/>
      <c r="BQ151" s="210"/>
      <c r="BR151" s="210"/>
      <c r="BS151" s="210"/>
      <c r="BT151" s="210"/>
      <c r="BU151" s="210"/>
      <c r="BV151" s="210"/>
      <c r="BW151" s="210"/>
      <c r="BX151" s="210"/>
      <c r="BY151" s="210"/>
      <c r="BZ151" s="210"/>
      <c r="CA151" s="210"/>
      <c r="CB151" s="210"/>
      <c r="CC151" s="210"/>
      <c r="CD151" s="210"/>
      <c r="CE151" s="210"/>
      <c r="CF151" s="210"/>
      <c r="CG151" s="210"/>
      <c r="CH151" s="210"/>
      <c r="CI151" s="210"/>
      <c r="CJ151" s="210"/>
      <c r="CK151" s="210"/>
      <c r="CL151" s="210"/>
      <c r="CM151" s="210"/>
    </row>
    <row r="152" spans="1:91" s="20" customFormat="1" x14ac:dyDescent="0.25">
      <c r="A152" s="32" t="s">
        <v>829</v>
      </c>
      <c r="B152" s="7">
        <v>4056</v>
      </c>
      <c r="C152" s="21" t="s">
        <v>194</v>
      </c>
      <c r="D152" s="21" t="s">
        <v>903</v>
      </c>
      <c r="E152" s="13">
        <v>43011.935057870367</v>
      </c>
      <c r="F152" s="13">
        <v>43011.937719907408</v>
      </c>
      <c r="G152" s="7">
        <v>80</v>
      </c>
      <c r="H152" s="21" t="s">
        <v>504</v>
      </c>
      <c r="I152" s="13">
        <v>43011.961956018517</v>
      </c>
      <c r="J152" s="7">
        <v>0</v>
      </c>
      <c r="K152" s="85" t="str">
        <f t="shared" si="71"/>
        <v>4055/4056</v>
      </c>
      <c r="L152" s="179" t="str">
        <f>VLOOKUP(A152,'Trips&amp;Operators'!$C$1:$G$99911,5,FALSE)</f>
        <v>HART KEVIN</v>
      </c>
      <c r="M152" s="6">
        <f t="shared" si="72"/>
        <v>2.4236111108621117E-2</v>
      </c>
      <c r="N152" s="7">
        <f t="shared" si="88"/>
        <v>34.899999996414408</v>
      </c>
      <c r="O152" s="7"/>
      <c r="P152" s="7"/>
      <c r="Q152" s="22"/>
      <c r="R152" s="169"/>
      <c r="S152" s="202">
        <f t="shared" si="89"/>
        <v>1</v>
      </c>
      <c r="T152" s="169" t="str">
        <f t="shared" si="73"/>
        <v>NorthBound</v>
      </c>
      <c r="U152" s="22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2" t="str">
        <f t="shared" si="74"/>
        <v>https://d0f6bd738d7f1b3e5a7ca70fe4ff75f0.us-east-1.aws.found.io/app/kibana#/discover/Steve-Slow-Train-Analysis-(2080s-and-2083s)?_g=(refreshInterval:(display:Off,pause:!f,section:0,value:0),time:(from:'2017-10-03T21:26:29-0600',mode:absolute,to:'2017-10-04T00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2" s="223" t="str">
        <f>IF(AA152&lt;VLOOKUP(AG152,Variables!$AC$3:$AD$8,2,FALSE),"Y","N")</f>
        <v>N</v>
      </c>
      <c r="X152" s="223">
        <f t="shared" si="75"/>
        <v>1</v>
      </c>
      <c r="Y152" s="223">
        <f t="shared" si="76"/>
        <v>4.8899999999999999E-2</v>
      </c>
      <c r="Z152" s="223">
        <f t="shared" si="77"/>
        <v>23.329799999999999</v>
      </c>
      <c r="AA152" s="223">
        <f t="shared" si="78"/>
        <v>23.280899999999999</v>
      </c>
      <c r="AB152" s="224" t="e">
        <f>VLOOKUP(A152,Enforcements!$C$7:$K$11,8,0)</f>
        <v>#N/A</v>
      </c>
      <c r="AC152" s="224" t="e">
        <f>VLOOKUP(A152,Enforcements!$C$7:$E$11,3,0)</f>
        <v>#N/A</v>
      </c>
      <c r="AD152" s="225">
        <f t="shared" si="79"/>
        <v>235</v>
      </c>
      <c r="AE152" s="226" t="str">
        <f t="shared" si="8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52" s="227" t="str">
        <f t="shared" si="81"/>
        <v>"C:\Program Files (x86)\AstroGrep\AstroGrep.exe" /e /r /s /spath="%USERPROFILE%\AppData\Local\Temp\OnboardLogs" /stypes="app*4056*20171004*" /stext=" 05:.+((SYSTEM_STATE.+slice.+state.+changed )|(ment ac)|(multiple cpu faults)|(system.+state.+changed )|(\[timeout)|(PRM\|1\|D)|(kpr)|(kdp)|(train st.+moving)|(\|lc)|(penalty))"</v>
      </c>
      <c r="AG152" s="228" t="str">
        <f t="shared" si="82"/>
        <v>EC</v>
      </c>
      <c r="AH152" s="229" t="str">
        <f t="shared" si="83"/>
        <v>"%USERPROFILE%\Documents\GitHub\eaglep3\Utilities\RefineRTDCRunTimes.py" --tripid 235-03 --locoid 4056 --swversion DE.1.0.9.0 --startMP 204:489 --initTime 2017-10-03T22:26:29 --startdatetime 2017-10-03T22:30:19 --delay 80 --endMP 204:233298 --enddatetime 2017-10-03T23:05:13 --enforcementcount 0 &gt;&gt;%USERPROFILE%\Documents\GitHub\eaglep3-reporting\EC\2017-10-03-refined-times.txt</v>
      </c>
      <c r="AI152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{"issue":{"subject":"","project_id":79,"tracker_id":40,"status_id":1,"priority_id":2,"assigned_to_id":338,"start_date":"2017-10-03","description":"","custom_fields":[{"id":1,"name":"Subdivision","value":"EC"},{"id":4,"name":"Milepost","value":"23.3298"},{"id":17,"name":"Train ID","value":"235-03"},{"id":16,"name":"Locomotive ID","value":"4056"},{"id":130,"name":"Impact","value":""},{"id":150,"name":"Time of Event (Mountain Time)","value":"23:05:13"},{"id":151,"name":"Denver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10"/>
      <c r="AK152" s="225"/>
      <c r="AL152" s="225"/>
      <c r="AM152" s="231" t="str">
        <f t="shared" si="85"/>
        <v>start /low /b %USERPROFILE%\Documents\GitHub\eaglep3\Utilities\DownloadLogsFromS3.py --loco 4056 --day 2017-10-03</v>
      </c>
      <c r="AN152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10" t="str">
        <f t="shared" si="87"/>
        <v>https://d0f6bd738d7f1b3e5a7ca70fe4ff75f0.us-east-1.aws.found.io/app/kibana#/discover/Steve-Slow-Train-Analysis-(2080s-and-2083s)?_g=(refreshInterval:(display:Off,pause:!f,section:0,value:0),time:(from:'2017-10-03T21:26:29-0600',mode:absolute,to:'2017-10-04T00:05:13-0600'))&amp;_a=(columns:!('Message%20ID',Summary),filters:!(),index:'emp_*',interval:auto,query:(query_string:(analyze_wildcard:!t,query:'%22rtdc.l.rtdc.4056%22')),sort:!(Time.ISO8601,asc))</v>
      </c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  <c r="BM152" s="210"/>
      <c r="BN152" s="210"/>
      <c r="BO152" s="210"/>
      <c r="BP152" s="210"/>
      <c r="BQ152" s="210"/>
      <c r="BR152" s="210"/>
      <c r="BS152" s="210"/>
      <c r="BT152" s="210"/>
      <c r="BU152" s="210"/>
      <c r="BV152" s="210"/>
      <c r="BW152" s="210"/>
      <c r="BX152" s="210"/>
      <c r="BY152" s="210"/>
      <c r="BZ152" s="210"/>
      <c r="CA152" s="210"/>
      <c r="CB152" s="210"/>
      <c r="CC152" s="210"/>
      <c r="CD152" s="210"/>
      <c r="CE152" s="210"/>
      <c r="CF152" s="210"/>
      <c r="CG152" s="210"/>
      <c r="CH152" s="210"/>
      <c r="CI152" s="210"/>
      <c r="CJ152" s="210"/>
      <c r="CK152" s="210"/>
      <c r="CL152" s="210"/>
      <c r="CM152" s="210"/>
    </row>
    <row r="153" spans="1:91" s="20" customFormat="1" x14ac:dyDescent="0.25">
      <c r="A153" s="32" t="s">
        <v>835</v>
      </c>
      <c r="B153" s="7">
        <v>4055</v>
      </c>
      <c r="C153" s="21" t="s">
        <v>194</v>
      </c>
      <c r="D153" s="21" t="s">
        <v>903</v>
      </c>
      <c r="E153" s="13">
        <v>43011.935057870367</v>
      </c>
      <c r="F153" s="13">
        <v>43011.977395833332</v>
      </c>
      <c r="G153" s="7">
        <v>80</v>
      </c>
      <c r="H153" s="21" t="s">
        <v>504</v>
      </c>
      <c r="I153" s="13">
        <v>43012.005393518521</v>
      </c>
      <c r="J153" s="7">
        <v>0</v>
      </c>
      <c r="K153" s="85" t="str">
        <f t="shared" si="71"/>
        <v>4055/4056</v>
      </c>
      <c r="L153" s="179" t="str">
        <f>VLOOKUP(A153,'Trips&amp;Operators'!$C$1:$G$99911,5,FALSE)</f>
        <v>HART KEVIN</v>
      </c>
      <c r="M153" s="6">
        <f t="shared" si="72"/>
        <v>2.7997685188893229E-2</v>
      </c>
      <c r="N153" s="7">
        <f t="shared" si="88"/>
        <v>40.316666672006249</v>
      </c>
      <c r="O153" s="7"/>
      <c r="P153" s="7"/>
      <c r="Q153" s="22"/>
      <c r="R153" s="169"/>
      <c r="S153" s="202">
        <f t="shared" si="89"/>
        <v>1</v>
      </c>
      <c r="T153" s="169" t="str">
        <f t="shared" si="73"/>
        <v>Southbound</v>
      </c>
      <c r="U153" s="22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2" t="str">
        <f t="shared" si="74"/>
        <v>https://d0f6bd738d7f1b3e5a7ca70fe4ff75f0.us-east-1.aws.found.io/app/kibana#/discover/Steve-Slow-Train-Analysis-(2080s-and-2083s)?_g=(refreshInterval:(display:Off,pause:!f,section:0,value:0),time:(from:'2017-10-03T21:26:29-0600',mode:absolute,to:'2017-10-04T01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3" s="223" t="str">
        <f>IF(AA153&lt;VLOOKUP(AG153,Variables!$AC$3:$AD$8,2,FALSE),"Y","N")</f>
        <v>N</v>
      </c>
      <c r="X153" s="223">
        <f t="shared" si="75"/>
        <v>1</v>
      </c>
      <c r="Y153" s="223">
        <v>23.296299999999999</v>
      </c>
      <c r="Z153" s="223">
        <v>1.7600000000000001E-2</v>
      </c>
      <c r="AA153" s="223">
        <f t="shared" si="78"/>
        <v>23.278699999999997</v>
      </c>
      <c r="AB153" s="224" t="e">
        <f>VLOOKUP(A153,Enforcements!$C$7:$K$11,8,0)</f>
        <v>#N/A</v>
      </c>
      <c r="AC153" s="224" t="e">
        <f>VLOOKUP(A153,Enforcements!$C$7:$E$11,3,0)</f>
        <v>#N/A</v>
      </c>
      <c r="AD153" s="225">
        <f t="shared" si="79"/>
        <v>236</v>
      </c>
      <c r="AE153" s="226" t="str">
        <f t="shared" si="8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53" s="227" t="str">
        <f t="shared" si="81"/>
        <v>"C:\Program Files (x86)\AstroGrep\AstroGrep.exe" /e /r /s /spath="%USERPROFILE%\AppData\Local\Temp\OnboardLogs" /stypes="app*4055*20171004*" /stext=" 06:.+((SYSTEM_STATE.+slice.+state.+changed )|(ment ac)|(multiple cpu faults)|(system.+state.+changed )|(\[timeout)|(PRM\|1\|D)|(kpr)|(kdp)|(train st.+moving)|(\|lc)|(penalty))"</v>
      </c>
      <c r="AG153" s="228" t="str">
        <f t="shared" si="82"/>
        <v>EC</v>
      </c>
      <c r="AH153" s="229" t="str">
        <f t="shared" ref="AH153" si="90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236-03 --locoid 4055 --swversion DE.1.0.9.0 --startMP 204:489 --initTime 2017-10-03T22:26:29 --startdatetime 2017-10-03T23:27:27 --delay 80 --endMP 204:233298 --enddatetime 2017-10-04T00:07:46 --enforcementcount 0 &gt;&gt;%USERPROFILE%\Documents\GitHub\eaglep3-reporting\EC\2017-10-03-refined-times.txt</v>
      </c>
      <c r="AI153" s="230" t="str">
        <f t="shared" ref="AI153" si="91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{"issue":{"subject":"","project_id":79,"tracker_id":40,"status_id":1,"priority_id":2,"assigned_to_id":338,"start_date":"2017-10-04","description":"","custom_fields":[{"id":1,"name":"Subdivision","value":"EC"},{"id":4,"name":"Milepost","value":"0.0176"},{"id":17,"name":"Train ID","value":"236-03"},{"id":16,"name":"Locomotive ID","value":"4055"},{"id":130,"name":"Impact","value":""},{"id":150,"name":"Time of Event (Mountain Time)","value":"00:07:46"},{"id":151,"name":"Denver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10"/>
      <c r="AK153" s="225"/>
      <c r="AL153" s="225"/>
      <c r="AM153" s="231" t="str">
        <f t="shared" ref="AM153" si="92">"start /low /b "&amp;dls3logs&amp;" --loco "&amp;B153&amp;" --day "&amp;TEXT(F153,"YYYY-MM-DD")</f>
        <v>start /low /b %USERPROFILE%\Documents\GitHub\eaglep3\Utilities\DownloadLogsFromS3.py --loco 4055 --day 2017-10-03</v>
      </c>
      <c r="AN153" s="232" t="str">
        <f t="shared" ref="AN153" si="93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10" t="str">
        <f t="shared" ref="AO153" si="94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-03T21:26:29-0600',mode:absolute,to:'2017-10-04T01:07:46-0600'))&amp;_a=(columns:!('Message%20ID',Summary),filters:!(),index:'emp_*',interval:auto,query:(query_string:(analyze_wildcard:!t,query:'%22rtdc.l.rtdc.4055%22')),sort:!(Time.ISO8601,asc))</v>
      </c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  <c r="BM153" s="210"/>
      <c r="BN153" s="210"/>
      <c r="BO153" s="210"/>
      <c r="BP153" s="210"/>
      <c r="BQ153" s="210"/>
      <c r="BR153" s="210"/>
      <c r="BS153" s="210"/>
      <c r="BT153" s="210"/>
      <c r="BU153" s="210"/>
      <c r="BV153" s="210"/>
      <c r="BW153" s="210"/>
      <c r="BX153" s="210"/>
      <c r="BY153" s="210"/>
      <c r="BZ153" s="210"/>
      <c r="CA153" s="210"/>
      <c r="CB153" s="210"/>
      <c r="CC153" s="210"/>
      <c r="CD153" s="210"/>
      <c r="CE153" s="210"/>
      <c r="CF153" s="210"/>
      <c r="CG153" s="210"/>
      <c r="CH153" s="210"/>
      <c r="CI153" s="210"/>
      <c r="CJ153" s="210"/>
      <c r="CK153" s="210"/>
      <c r="CL153" s="210"/>
      <c r="CM153" s="210"/>
    </row>
    <row r="154" spans="1:91" s="20" customFormat="1" x14ac:dyDescent="0.25">
      <c r="A154" s="32" t="s">
        <v>831</v>
      </c>
      <c r="B154" s="7">
        <v>4062</v>
      </c>
      <c r="C154" s="21" t="s">
        <v>194</v>
      </c>
      <c r="D154" s="21" t="s">
        <v>346</v>
      </c>
      <c r="E154" s="13">
        <v>43011.955393518518</v>
      </c>
      <c r="F154" s="13">
        <v>43011.958657407406</v>
      </c>
      <c r="G154" s="7">
        <v>77</v>
      </c>
      <c r="H154" s="21" t="s">
        <v>452</v>
      </c>
      <c r="I154" s="13">
        <v>43011.984143518515</v>
      </c>
      <c r="J154" s="7">
        <v>0</v>
      </c>
      <c r="K154" s="85" t="str">
        <f t="shared" si="71"/>
        <v>4061/4062</v>
      </c>
      <c r="L154" s="179" t="str">
        <f>VLOOKUP(A154,'Trips&amp;Operators'!$C$1:$G$99911,5,FALSE)</f>
        <v>ANDERS STEVEN</v>
      </c>
      <c r="M154" s="6">
        <f t="shared" si="72"/>
        <v>2.548611110978527E-2</v>
      </c>
      <c r="N154" s="7">
        <f t="shared" si="88"/>
        <v>36.699999998090789</v>
      </c>
      <c r="O154" s="7"/>
      <c r="P154" s="7"/>
      <c r="Q154" s="22"/>
      <c r="R154" s="169"/>
      <c r="S154" s="202">
        <f t="shared" si="89"/>
        <v>1</v>
      </c>
      <c r="T154" s="169" t="str">
        <f t="shared" si="73"/>
        <v>NorthBound</v>
      </c>
      <c r="U154" s="22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2" t="str">
        <f t="shared" si="74"/>
        <v>https://d0f6bd738d7f1b3e5a7ca70fe4ff75f0.us-east-1.aws.found.io/app/kibana#/discover/Steve-Slow-Train-Analysis-(2080s-and-2083s)?_g=(refreshInterval:(display:Off,pause:!f,section:0,value:0),time:(from:'2017-10-03T21:55:46-0600',mode:absolute,to:'2017-10-04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4" s="223" t="str">
        <f>IF(AA154&lt;VLOOKUP(AG154,Variables!$AC$3:$AD$8,2,FALSE),"Y","N")</f>
        <v>N</v>
      </c>
      <c r="X154" s="223">
        <f t="shared" si="75"/>
        <v>1</v>
      </c>
      <c r="Y154" s="223">
        <f t="shared" ref="Y154:Y185" si="95">RIGHT(D154,LEN(D154)-4)/10000</f>
        <v>4.5499999999999999E-2</v>
      </c>
      <c r="Z154" s="223">
        <f t="shared" ref="Z154:Z185" si="96">RIGHT(H154,LEN(H154)-4)/10000</f>
        <v>23.331099999999999</v>
      </c>
      <c r="AA154" s="223">
        <f t="shared" si="78"/>
        <v>23.285599999999999</v>
      </c>
      <c r="AB154" s="224" t="e">
        <f>VLOOKUP(A154,Enforcements!$C$7:$K$11,8,0)</f>
        <v>#N/A</v>
      </c>
      <c r="AC154" s="224" t="e">
        <f>VLOOKUP(A154,Enforcements!$C$7:$E$11,3,0)</f>
        <v>#N/A</v>
      </c>
      <c r="AD154" s="225">
        <f t="shared" si="79"/>
        <v>237</v>
      </c>
      <c r="AE154" s="226" t="str">
        <f t="shared" si="8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54" s="227" t="str">
        <f t="shared" si="81"/>
        <v>"C:\Program Files (x86)\AstroGrep\AstroGrep.exe" /e /r /s /spath="%USERPROFILE%\AppData\Local\Temp\OnboardLogs" /stypes="app*4062*20171004*" /stext=" 05:.+((SYSTEM_STATE.+slice.+state.+changed )|(ment ac)|(multiple cpu faults)|(system.+state.+changed )|(\[timeout)|(PRM\|1\|D)|(kpr)|(kdp)|(train st.+moving)|(\|lc)|(penalty))"</v>
      </c>
      <c r="AG154" s="228" t="str">
        <f t="shared" si="82"/>
        <v>EC</v>
      </c>
      <c r="AH154" s="229" t="str">
        <f t="shared" si="83"/>
        <v>"%USERPROFILE%\Documents\GitHub\eaglep3\Utilities\RefineRTDCRunTimes.py" --tripid 237-03 --locoid 4062 --swversion DE.1.0.9.0 --startMP 204:455 --initTime 2017-10-03T22:55:46 --startdatetime 2017-10-03T23:00:28 --delay 77 --endMP 204:233311 --enddatetime 2017-10-03T23:37:10 --enforcementcount 0 &gt;&gt;%USERPROFILE%\Documents\GitHub\eaglep3-reporting\EC\2017-10-03-refined-times.txt</v>
      </c>
      <c r="AI154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{"issue":{"subject":"","project_id":79,"tracker_id":40,"status_id":1,"priority_id":2,"assigned_to_id":338,"start_date":"2017-10-03","description":"","custom_fields":[{"id":1,"name":"Subdivision","value":"EC"},{"id":4,"name":"Milepost","value":"23.3311"},{"id":17,"name":"Train ID","value":"237-03"},{"id":16,"name":"Locomotive ID","value":"4062"},{"id":130,"name":"Impact","value":""},{"id":150,"name":"Time of Event (Mountain Time)","value":"23:37:10"},{"id":151,"name":"Denver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10"/>
      <c r="AK154" s="225"/>
      <c r="AL154" s="225"/>
      <c r="AM154" s="231" t="str">
        <f t="shared" si="85"/>
        <v>start /low /b %USERPROFILE%\Documents\GitHub\eaglep3\Utilities\DownloadLogsFromS3.py --loco 4062 --day 2017-10-03</v>
      </c>
      <c r="AN154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10" t="str">
        <f t="shared" si="87"/>
        <v>https://d0f6bd738d7f1b3e5a7ca70fe4ff75f0.us-east-1.aws.found.io/app/kibana#/discover/Steve-Slow-Train-Analysis-(2080s-and-2083s)?_g=(refreshInterval:(display:Off,pause:!f,section:0,value:0),time:(from:'2017-10-03T21:55:46-0600',mode:absolute,to:'2017-10-04T00:37:10-0600'))&amp;_a=(columns:!('Message%20ID',Summary),filters:!(),index:'emp_*',interval:auto,query:(query_string:(analyze_wildcard:!t,query:'%22rtdc.l.rtdc.4062%22')),sort:!(Time.ISO8601,asc))</v>
      </c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  <c r="BM154" s="210"/>
      <c r="BN154" s="210"/>
      <c r="BO154" s="210"/>
      <c r="BP154" s="210"/>
      <c r="BQ154" s="210"/>
      <c r="BR154" s="210"/>
      <c r="BS154" s="210"/>
      <c r="BT154" s="210"/>
      <c r="BU154" s="210"/>
      <c r="BV154" s="210"/>
      <c r="BW154" s="210"/>
      <c r="BX154" s="210"/>
      <c r="BY154" s="210"/>
      <c r="BZ154" s="210"/>
      <c r="CA154" s="210"/>
      <c r="CB154" s="210"/>
      <c r="CC154" s="210"/>
      <c r="CD154" s="210"/>
      <c r="CE154" s="210"/>
      <c r="CF154" s="210"/>
      <c r="CG154" s="210"/>
      <c r="CH154" s="210"/>
      <c r="CI154" s="210"/>
      <c r="CJ154" s="210"/>
      <c r="CK154" s="210"/>
      <c r="CL154" s="210"/>
      <c r="CM154" s="210"/>
    </row>
    <row r="155" spans="1:91" s="20" customFormat="1" x14ac:dyDescent="0.25">
      <c r="A155" s="32" t="s">
        <v>836</v>
      </c>
      <c r="B155" s="7">
        <v>4061</v>
      </c>
      <c r="C155" s="21" t="s">
        <v>194</v>
      </c>
      <c r="D155" s="21" t="s">
        <v>550</v>
      </c>
      <c r="E155" s="13">
        <v>43011.985937500001</v>
      </c>
      <c r="F155" s="13">
        <v>43011.99832175926</v>
      </c>
      <c r="G155" s="7">
        <v>78</v>
      </c>
      <c r="H155" s="21" t="s">
        <v>362</v>
      </c>
      <c r="I155" s="13">
        <v>43012.025509259256</v>
      </c>
      <c r="J155" s="7">
        <v>0</v>
      </c>
      <c r="K155" s="85" t="str">
        <f t="shared" si="71"/>
        <v>4061/4062</v>
      </c>
      <c r="L155" s="179" t="str">
        <f>VLOOKUP(A155,'Trips&amp;Operators'!$C$1:$G$99911,5,FALSE)</f>
        <v>ANDERS STEVEN</v>
      </c>
      <c r="M155" s="6">
        <f t="shared" si="72"/>
        <v>2.7187499996216502E-2</v>
      </c>
      <c r="N155" s="7">
        <f t="shared" si="88"/>
        <v>39.149999994551763</v>
      </c>
      <c r="O155" s="7"/>
      <c r="P155" s="7"/>
      <c r="Q155" s="22"/>
      <c r="R155" s="169"/>
      <c r="S155" s="202">
        <f t="shared" si="89"/>
        <v>1</v>
      </c>
      <c r="T155" s="169" t="str">
        <f t="shared" si="73"/>
        <v>Southbound</v>
      </c>
      <c r="U155" s="22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2" t="str">
        <f t="shared" si="74"/>
        <v>https://d0f6bd738d7f1b3e5a7ca70fe4ff75f0.us-east-1.aws.found.io/app/kibana#/discover/Steve-Slow-Train-Analysis-(2080s-and-2083s)?_g=(refreshInterval:(display:Off,pause:!f,section:0,value:0),time:(from:'2017-10-03T22:39:45-0600',mode:absolute,to:'2017-10-04T01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5" s="223" t="str">
        <f>IF(AA155&lt;VLOOKUP(AG155,Variables!$AC$3:$AD$8,2,FALSE),"Y","N")</f>
        <v>N</v>
      </c>
      <c r="X155" s="223">
        <f t="shared" si="75"/>
        <v>1</v>
      </c>
      <c r="Y155" s="223">
        <f t="shared" si="95"/>
        <v>23.297799999999999</v>
      </c>
      <c r="Z155" s="223">
        <f t="shared" si="96"/>
        <v>1.5599999999999999E-2</v>
      </c>
      <c r="AA155" s="223">
        <f t="shared" si="78"/>
        <v>23.2822</v>
      </c>
      <c r="AB155" s="224" t="e">
        <f>VLOOKUP(A155,Enforcements!$C$7:$K$11,8,0)</f>
        <v>#N/A</v>
      </c>
      <c r="AC155" s="224" t="e">
        <f>VLOOKUP(A155,Enforcements!$C$7:$E$11,3,0)</f>
        <v>#N/A</v>
      </c>
      <c r="AD155" s="225">
        <f t="shared" si="79"/>
        <v>238</v>
      </c>
      <c r="AE155" s="226" t="str">
        <f t="shared" si="8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55" s="227" t="str">
        <f t="shared" si="81"/>
        <v>"C:\Program Files (x86)\AstroGrep\AstroGrep.exe" /e /r /s /spath="%USERPROFILE%\AppData\Local\Temp\OnboardLogs" /stypes="app*4061*20171004*" /stext=" 06:.+((SYSTEM_STATE.+slice.+state.+changed )|(ment ac)|(multiple cpu faults)|(system.+state.+changed )|(\[timeout)|(PRM\|1\|D)|(kpr)|(kdp)|(train st.+moving)|(\|lc)|(penalty))"</v>
      </c>
      <c r="AG155" s="228" t="str">
        <f t="shared" si="82"/>
        <v>EC</v>
      </c>
      <c r="AH155" s="229" t="str">
        <f t="shared" si="83"/>
        <v>"%USERPROFILE%\Documents\GitHub\eaglep3\Utilities\RefineRTDCRunTimes.py" --tripid 238-03 --locoid 4061 --swversion DE.1.0.9.0 --startMP 204:232978 --initTime 2017-10-03T23:39:45 --startdatetime 2017-10-03T23:57:35 --delay 78 --endMP 204:156 --enddatetime 2017-10-04T00:36:44 --enforcementcount 0 &gt;&gt;%USERPROFILE%\Documents\GitHub\eaglep3-reporting\EC\2017-10-03-refined-times.txt</v>
      </c>
      <c r="AI155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{"issue":{"subject":"","project_id":79,"tracker_id":40,"status_id":1,"priority_id":2,"assigned_to_id":338,"start_date":"2017-10-04","description":"","custom_fields":[{"id":1,"name":"Subdivision","value":"EC"},{"id":4,"name":"Milepost","value":"0.0156"},{"id":17,"name":"Train ID","value":"238-03"},{"id":16,"name":"Locomotive ID","value":"4061"},{"id":130,"name":"Impact","value":""},{"id":150,"name":"Time of Event (Mountain Time)","value":"00:36:44"},{"id":151,"name":"Denver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10"/>
      <c r="AK155" s="225"/>
      <c r="AL155" s="225"/>
      <c r="AM155" s="231" t="str">
        <f t="shared" si="85"/>
        <v>start /low /b %USERPROFILE%\Documents\GitHub\eaglep3\Utilities\DownloadLogsFromS3.py --loco 4061 --day 2017-10-03</v>
      </c>
      <c r="AN155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10" t="str">
        <f t="shared" si="87"/>
        <v>https://d0f6bd738d7f1b3e5a7ca70fe4ff75f0.us-east-1.aws.found.io/app/kibana#/discover/Steve-Slow-Train-Analysis-(2080s-and-2083s)?_g=(refreshInterval:(display:Off,pause:!f,section:0,value:0),time:(from:'2017-10-03T22:39:45-0600',mode:absolute,to:'2017-10-04T01:36:44-0600'))&amp;_a=(columns:!('Message%20ID',Summary),filters:!(),index:'emp_*',interval:auto,query:(query_string:(analyze_wildcard:!t,query:'%22rtdc.l.rtdc.4061%22')),sort:!(Time.ISO8601,asc))</v>
      </c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  <c r="BM155" s="210"/>
      <c r="BN155" s="210"/>
      <c r="BO155" s="210"/>
      <c r="BP155" s="210"/>
      <c r="BQ155" s="210"/>
      <c r="BR155" s="210"/>
      <c r="BS155" s="210"/>
      <c r="BT155" s="210"/>
      <c r="BU155" s="210"/>
      <c r="BV155" s="210"/>
      <c r="BW155" s="210"/>
      <c r="BX155" s="210"/>
      <c r="BY155" s="210"/>
      <c r="BZ155" s="210"/>
      <c r="CA155" s="210"/>
      <c r="CB155" s="210"/>
      <c r="CC155" s="210"/>
      <c r="CD155" s="210"/>
      <c r="CE155" s="210"/>
      <c r="CF155" s="210"/>
      <c r="CG155" s="210"/>
      <c r="CH155" s="210"/>
      <c r="CI155" s="210"/>
      <c r="CJ155" s="210"/>
      <c r="CK155" s="210"/>
      <c r="CL155" s="210"/>
      <c r="CM155" s="210"/>
    </row>
    <row r="156" spans="1:91" s="20" customFormat="1" x14ac:dyDescent="0.25">
      <c r="A156" s="32" t="s">
        <v>833</v>
      </c>
      <c r="B156" s="7">
        <v>4042</v>
      </c>
      <c r="C156" s="21" t="s">
        <v>194</v>
      </c>
      <c r="D156" s="21" t="s">
        <v>355</v>
      </c>
      <c r="E156" s="13">
        <v>43011.968252314815</v>
      </c>
      <c r="F156" s="13">
        <v>43011.979375000003</v>
      </c>
      <c r="G156" s="7">
        <v>62</v>
      </c>
      <c r="H156" s="21" t="s">
        <v>518</v>
      </c>
      <c r="I156" s="13">
        <v>43012.003449074073</v>
      </c>
      <c r="J156" s="7">
        <v>0</v>
      </c>
      <c r="K156" s="85" t="str">
        <f t="shared" si="71"/>
        <v>4041/4042</v>
      </c>
      <c r="L156" s="179" t="str">
        <f>VLOOKUP(A156,'Trips&amp;Operators'!$C$1:$G$99911,5,FALSE)</f>
        <v>LOZA FIDEL</v>
      </c>
      <c r="M156" s="6">
        <f t="shared" si="72"/>
        <v>2.4074074070085771E-2</v>
      </c>
      <c r="N156" s="7">
        <f t="shared" si="88"/>
        <v>34.666666660923511</v>
      </c>
      <c r="O156" s="7"/>
      <c r="P156" s="7"/>
      <c r="Q156" s="22"/>
      <c r="R156" s="169"/>
      <c r="S156" s="202">
        <f t="shared" si="89"/>
        <v>1</v>
      </c>
      <c r="T156" s="169" t="str">
        <f t="shared" si="73"/>
        <v>NorthBound</v>
      </c>
      <c r="U156" s="22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2" t="str">
        <f t="shared" si="74"/>
        <v>https://d0f6bd738d7f1b3e5a7ca70fe4ff75f0.us-east-1.aws.found.io/app/kibana#/discover/Steve-Slow-Train-Analysis-(2080s-and-2083s)?_g=(refreshInterval:(display:Off,pause:!f,section:0,value:0),time:(from:'2017-10-03T22:14:17-0600',mode:absolute,to:'2017-10-04T01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23" t="str">
        <f>IF(AA156&lt;VLOOKUP(AG156,Variables!$AC$3:$AD$8,2,FALSE),"Y","N")</f>
        <v>N</v>
      </c>
      <c r="X156" s="223">
        <f t="shared" si="75"/>
        <v>1</v>
      </c>
      <c r="Y156" s="223">
        <f t="shared" si="95"/>
        <v>4.58E-2</v>
      </c>
      <c r="Z156" s="223">
        <f t="shared" si="96"/>
        <v>23.334</v>
      </c>
      <c r="AA156" s="223">
        <f t="shared" si="78"/>
        <v>23.2882</v>
      </c>
      <c r="AB156" s="224" t="e">
        <f>VLOOKUP(A156,Enforcements!$C$7:$K$11,8,0)</f>
        <v>#N/A</v>
      </c>
      <c r="AC156" s="224" t="e">
        <f>VLOOKUP(A156,Enforcements!$C$7:$E$11,3,0)</f>
        <v>#N/A</v>
      </c>
      <c r="AD156" s="225">
        <f t="shared" si="79"/>
        <v>239</v>
      </c>
      <c r="AE156" s="226" t="str">
        <f t="shared" si="8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56" s="227" t="str">
        <f t="shared" si="81"/>
        <v>"C:\Program Files (x86)\AstroGrep\AstroGrep.exe" /e /r /s /spath="%USERPROFILE%\AppData\Local\Temp\OnboardLogs" /stypes="app*4042*20171004*" /stext=" 06:.+((SYSTEM_STATE.+slice.+state.+changed )|(ment ac)|(multiple cpu faults)|(system.+state.+changed )|(\[timeout)|(PRM\|1\|D)|(kpr)|(kdp)|(train st.+moving)|(\|lc)|(penalty))"</v>
      </c>
      <c r="AG156" s="228" t="str">
        <f t="shared" si="82"/>
        <v>EC</v>
      </c>
      <c r="AH156" s="229" t="str">
        <f t="shared" si="83"/>
        <v>"%USERPROFILE%\Documents\GitHub\eaglep3\Utilities\RefineRTDCRunTimes.py" --tripid 239-03 --locoid 4042 --swversion DE.1.0.9.0 --startMP 204:458 --initTime 2017-10-03T23:14:17 --startdatetime 2017-10-03T23:30:18 --delay 62 --endMP 204:233340 --enddatetime 2017-10-04T00:04:58 --enforcementcount 0 &gt;&gt;%USERPROFILE%\Documents\GitHub\eaglep3-reporting\EC\2017-10-03-refined-times.txt</v>
      </c>
      <c r="AI156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{"issue":{"subject":"","project_id":79,"tracker_id":40,"status_id":1,"priority_id":2,"assigned_to_id":338,"start_date":"2017-10-04","description":"","custom_fields":[{"id":1,"name":"Subdivision","value":"EC"},{"id":4,"name":"Milepost","value":"23.334"},{"id":17,"name":"Train ID","value":"239-03"},{"id":16,"name":"Locomotive ID","value":"4042"},{"id":130,"name":"Impact","value":""},{"id":150,"name":"Time of Event (Mountain Time)","value":"00:04:58"},{"id":151,"name":"Denver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10"/>
      <c r="AK156" s="225"/>
      <c r="AL156" s="225"/>
      <c r="AM156" s="231" t="str">
        <f t="shared" si="85"/>
        <v>start /low /b %USERPROFILE%\Documents\GitHub\eaglep3\Utilities\DownloadLogsFromS3.py --loco 4042 --day 2017-10-03</v>
      </c>
      <c r="AN156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10" t="str">
        <f t="shared" si="87"/>
        <v>https://d0f6bd738d7f1b3e5a7ca70fe4ff75f0.us-east-1.aws.found.io/app/kibana#/discover/Steve-Slow-Train-Analysis-(2080s-and-2083s)?_g=(refreshInterval:(display:Off,pause:!f,section:0,value:0),time:(from:'2017-10-03T22:14:17-0600',mode:absolute,to:'2017-10-04T01:04:58-0600'))&amp;_a=(columns:!('Message%20ID',Summary),filters:!(),index:'emp_*',interval:auto,query:(query_string:(analyze_wildcard:!t,query:'%22rtdc.l.rtdc.4042%22')),sort:!(Time.ISO8601,asc))</v>
      </c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  <c r="BM156" s="210"/>
      <c r="BN156" s="210"/>
      <c r="BO156" s="210"/>
      <c r="BP156" s="210"/>
      <c r="BQ156" s="210"/>
      <c r="BR156" s="210"/>
      <c r="BS156" s="210"/>
      <c r="BT156" s="210"/>
      <c r="BU156" s="210"/>
      <c r="BV156" s="210"/>
      <c r="BW156" s="210"/>
      <c r="BX156" s="210"/>
      <c r="BY156" s="210"/>
      <c r="BZ156" s="210"/>
      <c r="CA156" s="210"/>
      <c r="CB156" s="210"/>
      <c r="CC156" s="210"/>
      <c r="CD156" s="210"/>
      <c r="CE156" s="210"/>
      <c r="CF156" s="210"/>
      <c r="CG156" s="210"/>
      <c r="CH156" s="210"/>
      <c r="CI156" s="210"/>
      <c r="CJ156" s="210"/>
      <c r="CK156" s="210"/>
      <c r="CL156" s="210"/>
      <c r="CM156" s="210"/>
    </row>
    <row r="157" spans="1:91" s="20" customFormat="1" x14ac:dyDescent="0.25">
      <c r="A157" s="32" t="s">
        <v>837</v>
      </c>
      <c r="B157" s="7">
        <v>4041</v>
      </c>
      <c r="C157" s="21" t="s">
        <v>194</v>
      </c>
      <c r="D157" s="21" t="s">
        <v>517</v>
      </c>
      <c r="E157" s="13">
        <v>43012.017152777778</v>
      </c>
      <c r="F157" s="13">
        <v>43012.019004629627</v>
      </c>
      <c r="G157" s="7">
        <v>60</v>
      </c>
      <c r="H157" s="21" t="s">
        <v>480</v>
      </c>
      <c r="I157" s="13">
        <v>43012.04383101852</v>
      </c>
      <c r="J157" s="7">
        <v>0</v>
      </c>
      <c r="K157" s="85" t="str">
        <f t="shared" si="71"/>
        <v>4041/4042</v>
      </c>
      <c r="L157" s="179" t="str">
        <f>VLOOKUP(A157,'Trips&amp;Operators'!$C$1:$G$99911,5,FALSE)</f>
        <v>LOZA FIDEL</v>
      </c>
      <c r="M157" s="6">
        <f t="shared" si="72"/>
        <v>2.4826388893416151E-2</v>
      </c>
      <c r="N157" s="7">
        <f t="shared" si="88"/>
        <v>35.750000006519258</v>
      </c>
      <c r="O157" s="7"/>
      <c r="P157" s="7"/>
      <c r="Q157" s="22"/>
      <c r="R157" s="169"/>
      <c r="S157" s="202">
        <f t="shared" si="89"/>
        <v>1</v>
      </c>
      <c r="T157" s="169" t="str">
        <f t="shared" si="73"/>
        <v>Southbound</v>
      </c>
      <c r="U157" s="22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2" t="str">
        <f t="shared" si="74"/>
        <v>https://d0f6bd738d7f1b3e5a7ca70fe4ff75f0.us-east-1.aws.found.io/app/kibana#/discover/Steve-Slow-Train-Analysis-(2080s-and-2083s)?_g=(refreshInterval:(display:Off,pause:!f,section:0,value:0),time:(from:'2017-10-03T23:24:42-0600',mode:absolute,to:'2017-10-04T02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23" t="str">
        <f>IF(AA157&lt;VLOOKUP(AG157,Variables!$AC$3:$AD$8,2,FALSE),"Y","N")</f>
        <v>N</v>
      </c>
      <c r="X157" s="223">
        <f t="shared" si="75"/>
        <v>1</v>
      </c>
      <c r="Y157" s="223">
        <f t="shared" si="95"/>
        <v>23.300999999999998</v>
      </c>
      <c r="Z157" s="223">
        <f t="shared" si="96"/>
        <v>1.67E-2</v>
      </c>
      <c r="AA157" s="223">
        <f t="shared" si="78"/>
        <v>23.284299999999998</v>
      </c>
      <c r="AB157" s="224" t="e">
        <f>VLOOKUP(A157,Enforcements!$C$7:$K$11,8,0)</f>
        <v>#N/A</v>
      </c>
      <c r="AC157" s="224" t="e">
        <f>VLOOKUP(A157,Enforcements!$C$7:$E$11,3,0)</f>
        <v>#N/A</v>
      </c>
      <c r="AD157" s="225">
        <f t="shared" si="79"/>
        <v>240</v>
      </c>
      <c r="AE157" s="226" t="str">
        <f t="shared" si="80"/>
        <v>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 &amp; aws s3 cp s3://rtdc.mdm.uploadarchive.raw/RTDC4041/ "%USERPROFILE%\AppData\Local\Temp\OnboardLogs"\RTDC4041\2017-10-05 --exclude "*" --recursive --include "*20171005*" &amp; "%USERPROFILE%\Documents\GitHub\mrs-test-scripts\Headless Mode &amp; Sideloading\WalkAndUnGZ.bat" "%USERPROFILE%\AppData\Local\Temp\OnboardLogs"\RTDC4041\2017-10-05</v>
      </c>
      <c r="AF157" s="227" t="str">
        <f t="shared" si="81"/>
        <v>"C:\Program Files (x86)\AstroGrep\AstroGrep.exe" /e /r /s /spath="%USERPROFILE%\AppData\Local\Temp\OnboardLogs" /stypes="app*4041*20171004*" /stext=" 07:.+((SYSTEM_STATE.+slice.+state.+changed )|(ment ac)|(multiple cpu faults)|(system.+state.+changed )|(\[timeout)|(PRM\|1\|D)|(kpr)|(kdp)|(train st.+moving)|(\|lc)|(penalty))"</v>
      </c>
      <c r="AG157" s="228" t="str">
        <f t="shared" si="82"/>
        <v>EC</v>
      </c>
      <c r="AH157" s="229" t="str">
        <f t="shared" si="83"/>
        <v>"%USERPROFILE%\Documents\GitHub\eaglep3\Utilities\RefineRTDCRunTimes.py" --tripid 240-03 --locoid 4041 --swversion DE.1.0.9.0 --startMP 204:233010 --initTime 2017-10-04T00:24:42 --startdatetime 2017-10-04T00:27:22 --delay 60 --endMP 204:167 --enddatetime 2017-10-04T01:03:07 --enforcementcount 0 &gt;&gt;%USERPROFILE%\Documents\GitHub\eaglep3-reporting\EC\2017-10-03-refined-times.txt</v>
      </c>
      <c r="AI157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{"issue":{"subject":"","project_id":79,"tracker_id":40,"status_id":1,"priority_id":2,"assigned_to_id":338,"start_date":"2017-10-04","description":"","custom_fields":[{"id":1,"name":"Subdivision","value":"EC"},{"id":4,"name":"Milepost","value":"0.0167"},{"id":17,"name":"Train ID","value":"240-03"},{"id":16,"name":"Locomotive ID","value":"4041"},{"id":130,"name":"Impact","value":""},{"id":150,"name":"Time of Event (Mountain Time)","value":"01:03:07"},{"id":151,"name":"Denver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10"/>
      <c r="AK157" s="225"/>
      <c r="AL157" s="225"/>
      <c r="AM157" s="231" t="str">
        <f t="shared" si="85"/>
        <v>start /low /b %USERPROFILE%\Documents\GitHub\eaglep3\Utilities\DownloadLogsFromS3.py --loco 4041 --day 2017-10-04</v>
      </c>
      <c r="AN157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10" t="str">
        <f t="shared" si="87"/>
        <v>https://d0f6bd738d7f1b3e5a7ca70fe4ff75f0.us-east-1.aws.found.io/app/kibana#/discover/Steve-Slow-Train-Analysis-(2080s-and-2083s)?_g=(refreshInterval:(display:Off,pause:!f,section:0,value:0),time:(from:'2017-10-03T23:24:42-0600',mode:absolute,to:'2017-10-04T02:03:07-0600'))&amp;_a=(columns:!('Message%20ID',Summary),filters:!(),index:'emp_*',interval:auto,query:(query_string:(analyze_wildcard:!t,query:'%22rtdc.l.rtdc.4041%22')),sort:!(Time.ISO8601,asc))</v>
      </c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  <c r="BM157" s="210"/>
      <c r="BN157" s="210"/>
      <c r="BO157" s="210"/>
      <c r="BP157" s="210"/>
      <c r="BQ157" s="210"/>
      <c r="BR157" s="210"/>
      <c r="BS157" s="210"/>
      <c r="BT157" s="210"/>
      <c r="BU157" s="210"/>
      <c r="BV157" s="210"/>
      <c r="BW157" s="210"/>
      <c r="BX157" s="210"/>
      <c r="BY157" s="210"/>
      <c r="BZ157" s="210"/>
      <c r="CA157" s="210"/>
      <c r="CB157" s="210"/>
      <c r="CC157" s="210"/>
      <c r="CD157" s="210"/>
      <c r="CE157" s="210"/>
      <c r="CF157" s="210"/>
      <c r="CG157" s="210"/>
      <c r="CH157" s="210"/>
      <c r="CI157" s="210"/>
      <c r="CJ157" s="210"/>
      <c r="CK157" s="210"/>
      <c r="CL157" s="210"/>
      <c r="CM157" s="210"/>
    </row>
    <row r="158" spans="1:91" s="20" customFormat="1" x14ac:dyDescent="0.25">
      <c r="A158" s="32" t="s">
        <v>623</v>
      </c>
      <c r="B158" s="7">
        <v>4032</v>
      </c>
      <c r="C158" s="21" t="s">
        <v>194</v>
      </c>
      <c r="D158" s="21" t="s">
        <v>383</v>
      </c>
      <c r="E158" s="13">
        <v>43011.990173611113</v>
      </c>
      <c r="F158" s="13">
        <v>43012.000231481485</v>
      </c>
      <c r="G158" s="7">
        <v>57</v>
      </c>
      <c r="H158" s="21" t="s">
        <v>507</v>
      </c>
      <c r="I158" s="13">
        <v>43012.02484953704</v>
      </c>
      <c r="J158" s="7">
        <v>0</v>
      </c>
      <c r="K158" s="85" t="str">
        <f t="shared" si="71"/>
        <v>4031/4032</v>
      </c>
      <c r="L158" s="179" t="str">
        <f>VLOOKUP(A158,'Trips&amp;Operators'!$C$1:$G$99911,5,FALSE)</f>
        <v>RESPASS AARON</v>
      </c>
      <c r="M158" s="6">
        <f t="shared" si="72"/>
        <v>2.4618055555038154E-2</v>
      </c>
      <c r="N158" s="7">
        <f t="shared" si="88"/>
        <v>35.449999999254942</v>
      </c>
      <c r="O158" s="7"/>
      <c r="P158" s="7"/>
      <c r="Q158" s="22"/>
      <c r="R158" s="169"/>
      <c r="S158" s="202">
        <f t="shared" si="89"/>
        <v>1</v>
      </c>
      <c r="T158" s="169" t="str">
        <f t="shared" si="73"/>
        <v>NorthBound</v>
      </c>
      <c r="U158" s="22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2" t="str">
        <f t="shared" si="74"/>
        <v>https://d0f6bd738d7f1b3e5a7ca70fe4ff75f0.us-east-1.aws.found.io/app/kibana#/discover/Steve-Slow-Train-Analysis-(2080s-and-2083s)?_g=(refreshInterval:(display:Off,pause:!f,section:0,value:0),time:(from:'2017-10-03T22:45:51-0600',mode:absolute,to:'2017-10-04T01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223" t="str">
        <f>IF(AA158&lt;VLOOKUP(AG158,Variables!$AC$3:$AD$8,2,FALSE),"Y","N")</f>
        <v>N</v>
      </c>
      <c r="X158" s="223">
        <f t="shared" si="75"/>
        <v>1</v>
      </c>
      <c r="Y158" s="223">
        <f t="shared" si="95"/>
        <v>4.7100000000000003E-2</v>
      </c>
      <c r="Z158" s="223">
        <f t="shared" si="96"/>
        <v>23.328900000000001</v>
      </c>
      <c r="AA158" s="223">
        <f t="shared" si="78"/>
        <v>23.2818</v>
      </c>
      <c r="AB158" s="224" t="e">
        <f>VLOOKUP(A158,Enforcements!$C$7:$K$11,8,0)</f>
        <v>#N/A</v>
      </c>
      <c r="AC158" s="224" t="e">
        <f>VLOOKUP(A158,Enforcements!$C$7:$E$11,3,0)</f>
        <v>#N/A</v>
      </c>
      <c r="AD158" s="225">
        <f t="shared" si="79"/>
        <v>241</v>
      </c>
      <c r="AE158" s="226" t="str">
        <f t="shared" si="80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158" s="227" t="str">
        <f t="shared" si="81"/>
        <v>"C:\Program Files (x86)\AstroGrep\AstroGrep.exe" /e /r /s /spath="%USERPROFILE%\AppData\Local\Temp\OnboardLogs" /stypes="app*4032*20171004*" /stext=" 06:.+((SYSTEM_STATE.+slice.+state.+changed )|(ment ac)|(multiple cpu faults)|(system.+state.+changed )|(\[timeout)|(PRM\|1\|D)|(kpr)|(kdp)|(train st.+moving)|(\|lc)|(penalty))"</v>
      </c>
      <c r="AG158" s="228" t="str">
        <f t="shared" si="82"/>
        <v>EC</v>
      </c>
      <c r="AH158" s="229" t="str">
        <f t="shared" si="83"/>
        <v>"%USERPROFILE%\Documents\GitHub\eaglep3\Utilities\RefineRTDCRunTimes.py" --tripid 241-03 --locoid 4032 --swversion DE.1.0.9.0 --startMP 204:471 --initTime 2017-10-03T23:45:51 --startdatetime 2017-10-04T00:00:20 --delay 57 --endMP 204:233289 --enddatetime 2017-10-04T00:35:47 --enforcementcount 0 &gt;&gt;%USERPROFILE%\Documents\GitHub\eaglep3-reporting\EC\2017-10-03-refined-times.txt</v>
      </c>
      <c r="AI158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{"issue":{"subject":"","project_id":79,"tracker_id":40,"status_id":1,"priority_id":2,"assigned_to_id":338,"start_date":"2017-10-04","description":"","custom_fields":[{"id":1,"name":"Subdivision","value":"EC"},{"id":4,"name":"Milepost","value":"23.3289"},{"id":17,"name":"Train ID","value":"241-03"},{"id":16,"name":"Locomotive ID","value":"4032"},{"id":130,"name":"Impact","value":""},{"id":150,"name":"Time of Event (Mountain Time)","value":"00:35:47"},{"id":151,"name":"Denver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10"/>
      <c r="AK158" s="225"/>
      <c r="AL158" s="225"/>
      <c r="AM158" s="231" t="str">
        <f t="shared" si="85"/>
        <v>start /low /b %USERPROFILE%\Documents\GitHub\eaglep3\Utilities\DownloadLogsFromS3.py --loco 4032 --day 2017-10-04</v>
      </c>
      <c r="AN158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10" t="str">
        <f t="shared" si="87"/>
        <v>https://d0f6bd738d7f1b3e5a7ca70fe4ff75f0.us-east-1.aws.found.io/app/kibana#/discover/Steve-Slow-Train-Analysis-(2080s-and-2083s)?_g=(refreshInterval:(display:Off,pause:!f,section:0,value:0),time:(from:'2017-10-03T22:45:51-0600',mode:absolute,to:'2017-10-04T01:35:47-0600'))&amp;_a=(columns:!('Message%20ID',Summary),filters:!(),index:'emp_*',interval:auto,query:(query_string:(analyze_wildcard:!t,query:'%22rtdc.l.rtdc.4032%22')),sort:!(Time.ISO8601,asc))</v>
      </c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  <c r="BX158" s="210"/>
      <c r="BY158" s="210"/>
      <c r="BZ158" s="210"/>
      <c r="CA158" s="210"/>
      <c r="CB158" s="210"/>
      <c r="CC158" s="210"/>
      <c r="CD158" s="210"/>
      <c r="CE158" s="210"/>
      <c r="CF158" s="210"/>
      <c r="CG158" s="210"/>
      <c r="CH158" s="210"/>
      <c r="CI158" s="210"/>
      <c r="CJ158" s="210"/>
      <c r="CK158" s="210"/>
      <c r="CL158" s="210"/>
      <c r="CM158" s="210"/>
    </row>
    <row r="159" spans="1:91" s="20" customFormat="1" x14ac:dyDescent="0.25">
      <c r="A159" s="32" t="s">
        <v>624</v>
      </c>
      <c r="B159" s="7">
        <v>4031</v>
      </c>
      <c r="C159" s="21" t="s">
        <v>194</v>
      </c>
      <c r="D159" s="21" t="s">
        <v>901</v>
      </c>
      <c r="E159" s="13">
        <v>43012.026643518519</v>
      </c>
      <c r="F159" s="13">
        <v>43012.039768518516</v>
      </c>
      <c r="G159" s="7">
        <v>67</v>
      </c>
      <c r="H159" s="21" t="s">
        <v>370</v>
      </c>
      <c r="I159" s="13">
        <v>43012.066724537035</v>
      </c>
      <c r="J159" s="7">
        <v>0</v>
      </c>
      <c r="K159" s="85" t="str">
        <f t="shared" si="71"/>
        <v>4031/4032</v>
      </c>
      <c r="L159" s="179" t="str">
        <f>VLOOKUP(A159,'Trips&amp;Operators'!$C$1:$G$99911,5,FALSE)</f>
        <v>RESPASS AARON</v>
      </c>
      <c r="M159" s="6">
        <f t="shared" si="72"/>
        <v>2.6956018518831115E-2</v>
      </c>
      <c r="N159" s="7">
        <f t="shared" si="88"/>
        <v>38.816666667116806</v>
      </c>
      <c r="O159" s="7"/>
      <c r="P159" s="7"/>
      <c r="Q159" s="22"/>
      <c r="R159" s="169"/>
      <c r="S159" s="202">
        <f t="shared" si="89"/>
        <v>1</v>
      </c>
      <c r="T159" s="169" t="str">
        <f t="shared" si="73"/>
        <v>Southbound</v>
      </c>
      <c r="U159" s="22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22" t="str">
        <f t="shared" si="74"/>
        <v>https://d0f6bd738d7f1b3e5a7ca70fe4ff75f0.us-east-1.aws.found.io/app/kibana#/discover/Steve-Slow-Train-Analysis-(2080s-and-2083s)?_g=(refreshInterval:(display:Off,pause:!f,section:0,value:0),time:(from:'2017-10-03T23:38:22-0600',mode:absolute,to:'2017-10-04T02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223" t="str">
        <f>IF(AA159&lt;VLOOKUP(AG159,Variables!$AC$3:$AD$8,2,FALSE),"Y","N")</f>
        <v>N</v>
      </c>
      <c r="X159" s="223">
        <f t="shared" si="75"/>
        <v>1</v>
      </c>
      <c r="Y159" s="223">
        <f t="shared" si="95"/>
        <v>23.296299999999999</v>
      </c>
      <c r="Z159" s="223">
        <f t="shared" si="96"/>
        <v>1.5800000000000002E-2</v>
      </c>
      <c r="AA159" s="223">
        <f t="shared" si="78"/>
        <v>23.2805</v>
      </c>
      <c r="AB159" s="224" t="e">
        <f>VLOOKUP(A159,Enforcements!$C$7:$K$11,8,0)</f>
        <v>#N/A</v>
      </c>
      <c r="AC159" s="224" t="e">
        <f>VLOOKUP(A159,Enforcements!$C$7:$E$11,3,0)</f>
        <v>#N/A</v>
      </c>
      <c r="AD159" s="225">
        <f t="shared" si="79"/>
        <v>242</v>
      </c>
      <c r="AE159" s="226" t="str">
        <f t="shared" si="80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159" s="227" t="str">
        <f t="shared" si="81"/>
        <v>"C:\Program Files (x86)\AstroGrep\AstroGrep.exe" /e /r /s /spath="%USERPROFILE%\AppData\Local\Temp\OnboardLogs" /stypes="app*4031*20171004*" /stext=" 07:.+((SYSTEM_STATE.+slice.+state.+changed )|(ment ac)|(multiple cpu faults)|(system.+state.+changed )|(\[timeout)|(PRM\|1\|D)|(kpr)|(kdp)|(train st.+moving)|(\|lc)|(penalty))"</v>
      </c>
      <c r="AG159" s="228" t="str">
        <f t="shared" si="82"/>
        <v>EC</v>
      </c>
      <c r="AH159" s="229" t="str">
        <f t="shared" si="83"/>
        <v>"%USERPROFILE%\Documents\GitHub\eaglep3\Utilities\RefineRTDCRunTimes.py" --tripid 242-03 --locoid 4031 --swversion DE.1.0.9.0 --startMP 204:232963 --initTime 2017-10-04T00:38:22 --startdatetime 2017-10-04T00:57:16 --delay 67 --endMP 204:158 --enddatetime 2017-10-04T01:36:05 --enforcementcount 0 &gt;&gt;%USERPROFILE%\Documents\GitHub\eaglep3-reporting\EC\2017-10-03-refined-times.txt</v>
      </c>
      <c r="AI159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{"issue":{"subject":"","project_id":79,"tracker_id":40,"status_id":1,"priority_id":2,"assigned_to_id":338,"start_date":"2017-10-04","description":"","custom_fields":[{"id":1,"name":"Subdivision","value":"EC"},{"id":4,"name":"Milepost","value":"0.0158"},{"id":17,"name":"Train ID","value":"242-03"},{"id":16,"name":"Locomotive ID","value":"4031"},{"id":130,"name":"Impact","value":""},{"id":150,"name":"Time of Event (Mountain Time)","value":"01:36:05"},{"id":151,"name":"Denver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10"/>
      <c r="AK159" s="225"/>
      <c r="AL159" s="225"/>
      <c r="AM159" s="231" t="str">
        <f t="shared" si="85"/>
        <v>start /low /b %USERPROFILE%\Documents\GitHub\eaglep3\Utilities\DownloadLogsFromS3.py --loco 4031 --day 2017-10-04</v>
      </c>
      <c r="AN159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10" t="str">
        <f t="shared" si="87"/>
        <v>https://d0f6bd738d7f1b3e5a7ca70fe4ff75f0.us-east-1.aws.found.io/app/kibana#/discover/Steve-Slow-Train-Analysis-(2080s-and-2083s)?_g=(refreshInterval:(display:Off,pause:!f,section:0,value:0),time:(from:'2017-10-03T23:38:22-0600',mode:absolute,to:'2017-10-04T02:36:05-0600'))&amp;_a=(columns:!('Message%20ID',Summary),filters:!(),index:'emp_*',interval:auto,query:(query_string:(analyze_wildcard:!t,query:'%22rtdc.l.rtdc.4031%22')),sort:!(Time.ISO8601,asc))</v>
      </c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  <c r="BM159" s="210"/>
      <c r="BN159" s="210"/>
      <c r="BO159" s="210"/>
      <c r="BP159" s="210"/>
      <c r="BQ159" s="210"/>
      <c r="BR159" s="210"/>
      <c r="BS159" s="210"/>
      <c r="BT159" s="210"/>
      <c r="BU159" s="210"/>
      <c r="BV159" s="210"/>
      <c r="BW159" s="210"/>
      <c r="BX159" s="210"/>
      <c r="BY159" s="210"/>
      <c r="BZ159" s="210"/>
      <c r="CA159" s="210"/>
      <c r="CB159" s="210"/>
      <c r="CC159" s="210"/>
      <c r="CD159" s="210"/>
      <c r="CE159" s="210"/>
      <c r="CF159" s="210"/>
      <c r="CG159" s="210"/>
      <c r="CH159" s="210"/>
      <c r="CI159" s="210"/>
      <c r="CJ159" s="210"/>
      <c r="CK159" s="210"/>
      <c r="CL159" s="210"/>
      <c r="CM159" s="210"/>
    </row>
    <row r="160" spans="1:91" s="20" customFormat="1" x14ac:dyDescent="0.25">
      <c r="A160" s="32" t="s">
        <v>838</v>
      </c>
      <c r="B160" s="7">
        <v>4056</v>
      </c>
      <c r="C160" s="21" t="s">
        <v>194</v>
      </c>
      <c r="D160" s="21" t="s">
        <v>381</v>
      </c>
      <c r="E160" s="13">
        <v>43012.018634259257</v>
      </c>
      <c r="F160" s="13">
        <v>43012.02107638889</v>
      </c>
      <c r="G160" s="7">
        <v>51</v>
      </c>
      <c r="H160" s="21" t="s">
        <v>382</v>
      </c>
      <c r="I160" s="13">
        <v>43012.045173611114</v>
      </c>
      <c r="J160" s="7">
        <v>0</v>
      </c>
      <c r="K160" s="85" t="str">
        <f t="shared" si="71"/>
        <v>4055/4056</v>
      </c>
      <c r="L160" s="179" t="str">
        <f>VLOOKUP(A160,'Trips&amp;Operators'!$C$1:$G$99911,5,FALSE)</f>
        <v>HART KEVIN</v>
      </c>
      <c r="M160" s="6">
        <f t="shared" si="72"/>
        <v>2.4097222223645076E-2</v>
      </c>
      <c r="N160" s="7">
        <f t="shared" si="88"/>
        <v>34.70000000204891</v>
      </c>
      <c r="O160" s="7"/>
      <c r="P160" s="7"/>
      <c r="Q160" s="22"/>
      <c r="R160" s="169"/>
      <c r="S160" s="202">
        <f t="shared" si="89"/>
        <v>1</v>
      </c>
      <c r="T160" s="169" t="str">
        <f t="shared" si="73"/>
        <v>NorthBound</v>
      </c>
      <c r="U160" s="22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22" t="str">
        <f t="shared" si="74"/>
        <v>https://d0f6bd738d7f1b3e5a7ca70fe4ff75f0.us-east-1.aws.found.io/app/kibana#/discover/Steve-Slow-Train-Analysis-(2080s-and-2083s)?_g=(refreshInterval:(display:Off,pause:!f,section:0,value:0),time:(from:'2017-10-03T23:26:50-0600',mode:absolute,to:'2017-10-04T02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0" s="223" t="str">
        <f>IF(AA160&lt;VLOOKUP(AG160,Variables!$AC$3:$AD$8,2,FALSE),"Y","N")</f>
        <v>N</v>
      </c>
      <c r="X160" s="223">
        <f t="shared" si="75"/>
        <v>1</v>
      </c>
      <c r="Y160" s="223">
        <f t="shared" si="95"/>
        <v>4.5100000000000001E-2</v>
      </c>
      <c r="Z160" s="223">
        <f t="shared" si="96"/>
        <v>23.331199999999999</v>
      </c>
      <c r="AA160" s="223">
        <f t="shared" si="78"/>
        <v>23.286099999999998</v>
      </c>
      <c r="AB160" s="224" t="e">
        <f>VLOOKUP(A160,Enforcements!$C$7:$K$11,8,0)</f>
        <v>#N/A</v>
      </c>
      <c r="AC160" s="224" t="e">
        <f>VLOOKUP(A160,Enforcements!$C$7:$E$11,3,0)</f>
        <v>#N/A</v>
      </c>
      <c r="AD160" s="225">
        <f t="shared" si="79"/>
        <v>243</v>
      </c>
      <c r="AE160" s="226" t="str">
        <f t="shared" si="80"/>
        <v>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 &amp; aws s3 cp s3://rtdc.mdm.uploadarchive.raw/RTDC4056/ "%USERPROFILE%\AppData\Local\Temp\OnboardLogs"\RTDC4056\2017-10-05 --exclude "*" --recursive --include "*20171005*" &amp; "%USERPROFILE%\Documents\GitHub\mrs-test-scripts\Headless Mode &amp; Sideloading\WalkAndUnGZ.bat" "%USERPROFILE%\AppData\Local\Temp\OnboardLogs"\RTDC4056\2017-10-05</v>
      </c>
      <c r="AF160" s="227" t="str">
        <f t="shared" si="81"/>
        <v>"C:\Program Files (x86)\AstroGrep\AstroGrep.exe" /e /r /s /spath="%USERPROFILE%\AppData\Local\Temp\OnboardLogs" /stypes="app*4056*20171004*" /stext=" 07:.+((SYSTEM_STATE.+slice.+state.+changed )|(ment ac)|(multiple cpu faults)|(system.+state.+changed )|(\[timeout)|(PRM\|1\|D)|(kpr)|(kdp)|(train st.+moving)|(\|lc)|(penalty))"</v>
      </c>
      <c r="AG160" s="228" t="str">
        <f t="shared" si="82"/>
        <v>EC</v>
      </c>
      <c r="AH160" s="229" t="str">
        <f t="shared" si="83"/>
        <v>"%USERPROFILE%\Documents\GitHub\eaglep3\Utilities\RefineRTDCRunTimes.py" --tripid 243-03 --locoid 4056 --swversion DE.1.0.9.0 --startMP 204:451 --initTime 2017-10-04T00:26:50 --startdatetime 2017-10-04T00:30:21 --delay 51 --endMP 204:233312 --enddatetime 2017-10-04T01:05:03 --enforcementcount 0 &gt;&gt;%USERPROFILE%\Documents\GitHub\eaglep3-reporting\EC\2017-10-03-refined-times.txt</v>
      </c>
      <c r="AI160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{"issue":{"subject":"","project_id":79,"tracker_id":40,"status_id":1,"priority_id":2,"assigned_to_id":338,"start_date":"2017-10-04","description":"","custom_fields":[{"id":1,"name":"Subdivision","value":"EC"},{"id":4,"name":"Milepost","value":"23.3312"},{"id":17,"name":"Train ID","value":"243-03"},{"id":16,"name":"Locomotive ID","value":"4056"},{"id":130,"name":"Impact","value":""},{"id":150,"name":"Time of Event (Mountain Time)","value":"01:05:03"},{"id":151,"name":"Denver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10"/>
      <c r="AK160" s="225"/>
      <c r="AL160" s="225"/>
      <c r="AM160" s="231" t="str">
        <f t="shared" si="85"/>
        <v>start /low /b %USERPROFILE%\Documents\GitHub\eaglep3\Utilities\DownloadLogsFromS3.py --loco 4056 --day 2017-10-04</v>
      </c>
      <c r="AN160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10" t="str">
        <f t="shared" si="87"/>
        <v>https://d0f6bd738d7f1b3e5a7ca70fe4ff75f0.us-east-1.aws.found.io/app/kibana#/discover/Steve-Slow-Train-Analysis-(2080s-and-2083s)?_g=(refreshInterval:(display:Off,pause:!f,section:0,value:0),time:(from:'2017-10-03T23:26:50-0600',mode:absolute,to:'2017-10-04T02:05:03-0600'))&amp;_a=(columns:!('Message%20ID',Summary),filters:!(),index:'emp_*',interval:auto,query:(query_string:(analyze_wildcard:!t,query:'%22rtdc.l.rtdc.4056%22')),sort:!(Time.ISO8601,asc))</v>
      </c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  <c r="BM160" s="210"/>
      <c r="BN160" s="210"/>
      <c r="BO160" s="210"/>
      <c r="BP160" s="210"/>
      <c r="BQ160" s="210"/>
      <c r="BR160" s="210"/>
      <c r="BS160" s="210"/>
      <c r="BT160" s="210"/>
      <c r="BU160" s="210"/>
      <c r="BV160" s="210"/>
      <c r="BW160" s="210"/>
      <c r="BX160" s="210"/>
      <c r="BY160" s="210"/>
      <c r="BZ160" s="210"/>
      <c r="CA160" s="210"/>
      <c r="CB160" s="210"/>
      <c r="CC160" s="210"/>
      <c r="CD160" s="210"/>
      <c r="CE160" s="210"/>
      <c r="CF160" s="210"/>
      <c r="CG160" s="210"/>
      <c r="CH160" s="210"/>
      <c r="CI160" s="210"/>
      <c r="CJ160" s="210"/>
      <c r="CK160" s="210"/>
      <c r="CL160" s="210"/>
      <c r="CM160" s="210"/>
    </row>
    <row r="161" spans="1:91" s="20" customFormat="1" x14ac:dyDescent="0.25">
      <c r="A161" s="32" t="s">
        <v>841</v>
      </c>
      <c r="B161" s="7">
        <v>4055</v>
      </c>
      <c r="C161" s="21" t="s">
        <v>194</v>
      </c>
      <c r="D161" s="21" t="s">
        <v>456</v>
      </c>
      <c r="E161" s="13">
        <v>43012.058252314811</v>
      </c>
      <c r="F161" s="13">
        <v>43012.060601851852</v>
      </c>
      <c r="G161" s="7">
        <v>48</v>
      </c>
      <c r="H161" s="21" t="s">
        <v>366</v>
      </c>
      <c r="I161" s="13">
        <v>43012.085277777776</v>
      </c>
      <c r="J161" s="7">
        <v>0</v>
      </c>
      <c r="K161" s="85" t="str">
        <f t="shared" si="71"/>
        <v>4055/4056</v>
      </c>
      <c r="L161" s="179" t="str">
        <f>VLOOKUP(A161,'Trips&amp;Operators'!$C$1:$G$99911,5,FALSE)</f>
        <v>HART KEVIN</v>
      </c>
      <c r="M161" s="6">
        <f t="shared" si="72"/>
        <v>2.4675925924384501E-2</v>
      </c>
      <c r="N161" s="7">
        <f t="shared" si="88"/>
        <v>35.533333331113681</v>
      </c>
      <c r="O161" s="7"/>
      <c r="P161" s="7"/>
      <c r="Q161" s="22"/>
      <c r="R161" s="169"/>
      <c r="S161" s="202">
        <f t="shared" si="89"/>
        <v>1</v>
      </c>
      <c r="T161" s="169" t="str">
        <f t="shared" si="73"/>
        <v>Southbound</v>
      </c>
      <c r="U161" s="22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22" t="str">
        <f t="shared" si="74"/>
        <v>https://d0f6bd738d7f1b3e5a7ca70fe4ff75f0.us-east-1.aws.found.io/app/kibana#/discover/Steve-Slow-Train-Analysis-(2080s-and-2083s)?_g=(refreshInterval:(display:Off,pause:!f,section:0,value:0),time:(from:'2017-10-04T00:23:53-0600',mode:absolute,to:'2017-10-04T03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1" s="223" t="str">
        <f>IF(AA161&lt;VLOOKUP(AG161,Variables!$AC$3:$AD$8,2,FALSE),"Y","N")</f>
        <v>N</v>
      </c>
      <c r="X161" s="223">
        <f t="shared" si="75"/>
        <v>1</v>
      </c>
      <c r="Y161" s="223">
        <f t="shared" si="95"/>
        <v>23.299099999999999</v>
      </c>
      <c r="Z161" s="223">
        <f t="shared" si="96"/>
        <v>1.61E-2</v>
      </c>
      <c r="AA161" s="223">
        <f t="shared" si="78"/>
        <v>23.282999999999998</v>
      </c>
      <c r="AB161" s="224" t="e">
        <f>VLOOKUP(A161,Enforcements!$C$7:$K$11,8,0)</f>
        <v>#N/A</v>
      </c>
      <c r="AC161" s="224" t="e">
        <f>VLOOKUP(A161,Enforcements!$C$7:$E$11,3,0)</f>
        <v>#N/A</v>
      </c>
      <c r="AD161" s="225">
        <f t="shared" si="79"/>
        <v>244</v>
      </c>
      <c r="AE161" s="226" t="str">
        <f t="shared" si="80"/>
        <v>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 &amp; aws s3 cp s3://rtdc.mdm.uploadarchive.raw/RTDC4055/ "%USERPROFILE%\AppData\Local\Temp\OnboardLogs"\RTDC4055\2017-10-05 --exclude "*" --recursive --include "*20171005*" &amp; "%USERPROFILE%\Documents\GitHub\mrs-test-scripts\Headless Mode &amp; Sideloading\WalkAndUnGZ.bat" "%USERPROFILE%\AppData\Local\Temp\OnboardLogs"\RTDC4055\2017-10-05</v>
      </c>
      <c r="AF161" s="227" t="str">
        <f t="shared" si="81"/>
        <v>"C:\Program Files (x86)\AstroGrep\AstroGrep.exe" /e /r /s /spath="%USERPROFILE%\AppData\Local\Temp\OnboardLogs" /stypes="app*4055*20171004*" /stext=" 08:.+((SYSTEM_STATE.+slice.+state.+changed )|(ment ac)|(multiple cpu faults)|(system.+state.+changed )|(\[timeout)|(PRM\|1\|D)|(kpr)|(kdp)|(train st.+moving)|(\|lc)|(penalty))"</v>
      </c>
      <c r="AG161" s="228" t="str">
        <f t="shared" si="82"/>
        <v>EC</v>
      </c>
      <c r="AH161" s="229" t="str">
        <f t="shared" si="83"/>
        <v>"%USERPROFILE%\Documents\GitHub\eaglep3\Utilities\RefineRTDCRunTimes.py" --tripid 244-03 --locoid 4055 --swversion DE.1.0.9.0 --startMP 204:232991 --initTime 2017-10-04T01:23:53 --startdatetime 2017-10-04T01:27:16 --delay 48 --endMP 204:161 --enddatetime 2017-10-04T02:02:48 --enforcementcount 0 &gt;&gt;%USERPROFILE%\Documents\GitHub\eaglep3-reporting\EC\2017-10-03-refined-times.txt</v>
      </c>
      <c r="AI161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{"issue":{"subject":"","project_id":79,"tracker_id":40,"status_id":1,"priority_id":2,"assigned_to_id":338,"start_date":"2017-10-04","description":"","custom_fields":[{"id":1,"name":"Subdivision","value":"EC"},{"id":4,"name":"Milepost","value":"0.0161"},{"id":17,"name":"Train ID","value":"244-03"},{"id":16,"name":"Locomotive ID","value":"4055"},{"id":130,"name":"Impact","value":""},{"id":150,"name":"Time of Event (Mountain Time)","value":"02:02:48"},{"id":151,"name":"Denver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10"/>
      <c r="AK161" s="225"/>
      <c r="AL161" s="225"/>
      <c r="AM161" s="231" t="str">
        <f t="shared" si="85"/>
        <v>start /low /b %USERPROFILE%\Documents\GitHub\eaglep3\Utilities\DownloadLogsFromS3.py --loco 4055 --day 2017-10-04</v>
      </c>
      <c r="AN161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08:02:48"},{"id":29,"name":"Sharepoint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10" t="str">
        <f t="shared" si="87"/>
        <v>https://d0f6bd738d7f1b3e5a7ca70fe4ff75f0.us-east-1.aws.found.io/app/kibana#/discover/Steve-Slow-Train-Analysis-(2080s-and-2083s)?_g=(refreshInterval:(display:Off,pause:!f,section:0,value:0),time:(from:'2017-10-04T00:23:53-0600',mode:absolute,to:'2017-10-04T03:02:48-0600'))&amp;_a=(columns:!('Message%20ID',Summary),filters:!(),index:'emp_*',interval:auto,query:(query_string:(analyze_wildcard:!t,query:'%22rtdc.l.rtdc.4055%22')),sort:!(Time.ISO8601,asc))</v>
      </c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  <c r="BM161" s="210"/>
      <c r="BN161" s="210"/>
      <c r="BO161" s="210"/>
      <c r="BP161" s="210"/>
      <c r="BQ161" s="210"/>
      <c r="BR161" s="210"/>
      <c r="BS161" s="210"/>
      <c r="BT161" s="210"/>
      <c r="BU161" s="210"/>
      <c r="BV161" s="210"/>
      <c r="BW161" s="210"/>
      <c r="BX161" s="210"/>
      <c r="BY161" s="210"/>
      <c r="BZ161" s="210"/>
      <c r="CA161" s="210"/>
      <c r="CB161" s="210"/>
      <c r="CC161" s="210"/>
      <c r="CD161" s="210"/>
      <c r="CE161" s="210"/>
      <c r="CF161" s="210"/>
      <c r="CG161" s="210"/>
      <c r="CH161" s="210"/>
      <c r="CI161" s="210"/>
      <c r="CJ161" s="210"/>
      <c r="CK161" s="210"/>
      <c r="CL161" s="210"/>
      <c r="CM161" s="210"/>
    </row>
    <row r="162" spans="1:91" s="20" customFormat="1" x14ac:dyDescent="0.25">
      <c r="A162" s="32" t="s">
        <v>643</v>
      </c>
      <c r="B162" s="7">
        <v>4043</v>
      </c>
      <c r="C162" s="21" t="s">
        <v>194</v>
      </c>
      <c r="D162" s="21" t="s">
        <v>587</v>
      </c>
      <c r="E162" s="13">
        <v>43011.2109375</v>
      </c>
      <c r="F162" s="13">
        <v>43011.213865740741</v>
      </c>
      <c r="G162" s="7">
        <v>117</v>
      </c>
      <c r="H162" s="21" t="s">
        <v>592</v>
      </c>
      <c r="I162" s="13">
        <v>43011.226770833331</v>
      </c>
      <c r="J162" s="7">
        <v>0</v>
      </c>
      <c r="K162" s="85" t="str">
        <f t="shared" si="71"/>
        <v>4043/4044</v>
      </c>
      <c r="L162" s="179" t="str">
        <f>VLOOKUP(A162,'Trips&amp;Operators'!$C$1:$G$99911,5,FALSE)</f>
        <v>YANG JAN</v>
      </c>
      <c r="M162" s="6">
        <f t="shared" si="72"/>
        <v>1.2905092589790002E-2</v>
      </c>
      <c r="N162" s="7">
        <f t="shared" si="88"/>
        <v>18.583333329297602</v>
      </c>
      <c r="O162" s="7"/>
      <c r="P162" s="7"/>
      <c r="Q162" s="22"/>
      <c r="R162" s="169"/>
      <c r="S162" s="202">
        <f t="shared" si="89"/>
        <v>1</v>
      </c>
      <c r="T162" s="169" t="str">
        <f t="shared" si="73"/>
        <v>Southbound</v>
      </c>
      <c r="U162" s="22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2" t="str">
        <f t="shared" si="74"/>
        <v>https://d0f6bd738d7f1b3e5a7ca70fe4ff75f0.us-east-1.aws.found.io/app/kibana#/discover/Steve-Slow-Train-Analysis-(2080s-and-2083s)?_g=(refreshInterval:(display:Off,pause:!f,section:0,value:0),time:(from:'2017-10-03T04:03:45-0600',mode:absolute,to:'2017-10-03T06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223" t="str">
        <f>IF(AA162&lt;VLOOKUP(AG162,Variables!$AC$3:$AD$8,2,FALSE),"Y","N")</f>
        <v>N</v>
      </c>
      <c r="X162" s="223">
        <f t="shared" si="75"/>
        <v>556</v>
      </c>
      <c r="Y162" s="223">
        <f t="shared" si="95"/>
        <v>5.8623000000000003</v>
      </c>
      <c r="Z162" s="223">
        <f t="shared" si="96"/>
        <v>6.7699999999999996E-2</v>
      </c>
      <c r="AA162" s="223">
        <f t="shared" si="78"/>
        <v>5.7946</v>
      </c>
      <c r="AB162" s="224" t="e">
        <f>VLOOKUP(A162,Enforcements!$C$7:$K$11,8,0)</f>
        <v>#N/A</v>
      </c>
      <c r="AC162" s="224" t="e">
        <f>VLOOKUP(A162,Enforcements!$C$7:$E$11,3,0)</f>
        <v>#N/A</v>
      </c>
      <c r="AD162" s="225">
        <f t="shared" si="79"/>
        <v>800</v>
      </c>
      <c r="AE162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62" s="227" t="str">
        <f t="shared" si="81"/>
        <v>"C:\Program Files (x86)\AstroGrep\AstroGrep.exe" /e /r /s /spath="%USERPROFILE%\AppData\Local\Temp\OnboardLogs" /stypes="app*4043*20171003*" /stext=" 11:.+((SYSTEM_STATE.+slice.+state.+changed )|(ment ac)|(multiple cpu faults)|(system.+state.+changed )|(\[timeout)|(PRM\|1\|D)|(kpr)|(kdp)|(train st.+moving)|(\|lc)|(penalty))"</v>
      </c>
      <c r="AG162" s="228" t="str">
        <f t="shared" si="82"/>
        <v>NW</v>
      </c>
      <c r="AH162" s="229" t="str">
        <f t="shared" si="83"/>
        <v>"%USERPROFILE%\Documents\GitHub\eaglep3\Utilities\RefineRTDCRunTimes.py" --tripid 800-03 --locoid 4043 --swversion DE.1.0.9.0 --startMP 300:58623 --initTime 2017-10-03T05:03:45 --startdatetime 2017-10-03T05:07:58 --delay 117 --endMP 204:677 --enddatetime 2017-10-03T05:26:33 --enforcementcount 0 &gt;&gt;%USERPROFILE%\Documents\GitHub\eaglep3-reporting\EC\2017-10-03-refined-times.txt</v>
      </c>
      <c r="AI16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{"issue":{"subject":"","project_id":79,"tracker_id":40,"status_id":1,"priority_id":2,"assigned_to_id":338,"start_date":"2017-10-03","description":"","custom_fields":[{"id":1,"name":"Subdivision","value":"NW"},{"id":4,"name":"Milepost","value":"0.0677"},{"id":17,"name":"Train ID","value":"800-03"},{"id":16,"name":"Locomotive ID","value":"4043"},{"id":130,"name":"Impact","value":""},{"id":150,"name":"Time of Event (Mountain Time)","value":"05:26:33"},{"id":151,"name":"Denver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10"/>
      <c r="AK162" s="225"/>
      <c r="AL162" s="225"/>
      <c r="AM162" s="231" t="str">
        <f t="shared" si="85"/>
        <v>start /low /b %USERPROFILE%\Documents\GitHub\eaglep3\Utilities\DownloadLogsFromS3.py --loco 4043 --day 2017-10-03</v>
      </c>
      <c r="AN162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10" t="str">
        <f t="shared" si="87"/>
        <v>https://d0f6bd738d7f1b3e5a7ca70fe4ff75f0.us-east-1.aws.found.io/app/kibana#/discover/Steve-Slow-Train-Analysis-(2080s-and-2083s)?_g=(refreshInterval:(display:Off,pause:!f,section:0,value:0),time:(from:'2017-10-03T04:03:45-0600',mode:absolute,to:'2017-10-03T06:26:33-0600'))&amp;_a=(columns:!('Message%20ID',Summary),filters:!(),index:'emp_*',interval:auto,query:(query_string:(analyze_wildcard:!t,query:'%22rtdc.l.rtdc.4043%22')),sort:!(Time.ISO8601,asc))</v>
      </c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  <c r="BM162" s="210"/>
      <c r="BN162" s="210"/>
      <c r="BO162" s="210"/>
      <c r="BP162" s="210"/>
      <c r="BQ162" s="210"/>
      <c r="BR162" s="210"/>
      <c r="BS162" s="210"/>
      <c r="BT162" s="210"/>
      <c r="BU162" s="210"/>
      <c r="BV162" s="210"/>
      <c r="BW162" s="210"/>
      <c r="BX162" s="210"/>
      <c r="BY162" s="210"/>
      <c r="BZ162" s="210"/>
      <c r="CA162" s="210"/>
      <c r="CB162" s="210"/>
      <c r="CC162" s="210"/>
      <c r="CD162" s="210"/>
      <c r="CE162" s="210"/>
      <c r="CF162" s="210"/>
      <c r="CG162" s="210"/>
      <c r="CH162" s="210"/>
      <c r="CI162" s="210"/>
      <c r="CJ162" s="210"/>
      <c r="CK162" s="210"/>
      <c r="CL162" s="210"/>
      <c r="CM162" s="210"/>
    </row>
    <row r="163" spans="1:91" s="20" customFormat="1" x14ac:dyDescent="0.25">
      <c r="A163" s="32" t="s">
        <v>647</v>
      </c>
      <c r="B163" s="7">
        <v>4044</v>
      </c>
      <c r="C163" s="21" t="s">
        <v>194</v>
      </c>
      <c r="D163" s="21" t="s">
        <v>942</v>
      </c>
      <c r="E163" s="13">
        <v>43011.232581018521</v>
      </c>
      <c r="F163" s="13">
        <v>43011.235833333332</v>
      </c>
      <c r="G163" s="7">
        <v>75</v>
      </c>
      <c r="H163" s="21" t="s">
        <v>943</v>
      </c>
      <c r="I163" s="13">
        <v>43011.245312500003</v>
      </c>
      <c r="J163" s="7">
        <v>0</v>
      </c>
      <c r="K163" s="85" t="str">
        <f t="shared" si="71"/>
        <v>4043/4044</v>
      </c>
      <c r="L163" s="179" t="str">
        <f>VLOOKUP(A163,'Trips&amp;Operators'!$C$1:$G$99911,5,FALSE)</f>
        <v>LANGERAK WILLIAM</v>
      </c>
      <c r="M163" s="6">
        <f t="shared" si="72"/>
        <v>9.4791666706441902E-3</v>
      </c>
      <c r="N163" s="7">
        <f t="shared" si="88"/>
        <v>13.650000005727634</v>
      </c>
      <c r="O163" s="7"/>
      <c r="P163" s="7"/>
      <c r="Q163" s="22"/>
      <c r="R163" s="169"/>
      <c r="S163" s="202">
        <f t="shared" si="89"/>
        <v>1</v>
      </c>
      <c r="T163" s="169" t="str">
        <f t="shared" si="73"/>
        <v>NorthBound</v>
      </c>
      <c r="U163" s="22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2" t="str">
        <f t="shared" si="74"/>
        <v>https://d0f6bd738d7f1b3e5a7ca70fe4ff75f0.us-east-1.aws.found.io/app/kibana#/discover/Steve-Slow-Train-Analysis-(2080s-and-2083s)?_g=(refreshInterval:(display:Off,pause:!f,section:0,value:0),time:(from:'2017-10-03T04:34:55-0600',mode:absolute,to:'2017-10-03T06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23" t="str">
        <f>IF(AA163&lt;VLOOKUP(AG163,Variables!$AC$3:$AD$8,2,FALSE),"Y","N")</f>
        <v>N</v>
      </c>
      <c r="X163" s="223">
        <f t="shared" si="75"/>
        <v>1</v>
      </c>
      <c r="Y163" s="223">
        <f t="shared" si="95"/>
        <v>9.8500000000000004E-2</v>
      </c>
      <c r="Z163" s="223">
        <f t="shared" si="96"/>
        <v>5.8936999999999999</v>
      </c>
      <c r="AA163" s="223">
        <f t="shared" si="78"/>
        <v>5.7952000000000004</v>
      </c>
      <c r="AB163" s="224" t="e">
        <f>VLOOKUP(A163,Enforcements!$C$7:$K$11,8,0)</f>
        <v>#N/A</v>
      </c>
      <c r="AC163" s="224" t="e">
        <f>VLOOKUP(A163,Enforcements!$C$7:$E$11,3,0)</f>
        <v>#N/A</v>
      </c>
      <c r="AD163" s="225">
        <f t="shared" si="79"/>
        <v>801</v>
      </c>
      <c r="AE163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63" s="227" t="str">
        <f t="shared" si="81"/>
        <v>"C:\Program Files (x86)\AstroGrep\AstroGrep.exe" /e /r /s /spath="%USERPROFILE%\AppData\Local\Temp\OnboardLogs" /stypes="app*4044*20171003*" /stext=" 11:.+((SYSTEM_STATE.+slice.+state.+changed )|(ment ac)|(multiple cpu faults)|(system.+state.+changed )|(\[timeout)|(PRM\|1\|D)|(kpr)|(kdp)|(train st.+moving)|(\|lc)|(penalty))"</v>
      </c>
      <c r="AG163" s="228" t="str">
        <f t="shared" si="82"/>
        <v>NW</v>
      </c>
      <c r="AH163" s="229" t="str">
        <f t="shared" si="83"/>
        <v>"%USERPROFILE%\Documents\GitHub\eaglep3\Utilities\RefineRTDCRunTimes.py" --tripid 801-03 --locoid 4044 --swversion DE.1.0.9.0 --startMP 204:985 --initTime 2017-10-03T05:34:55 --startdatetime 2017-10-03T05:39:36 --delay 75 --endMP 300:58937 --enddatetime 2017-10-03T05:53:15 --enforcementcount 0 &gt;&gt;%USERPROFILE%\Documents\GitHub\eaglep3-reporting\EC\2017-10-03-refined-times.txt</v>
      </c>
      <c r="AI16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{"issue":{"subject":"","project_id":79,"tracker_id":40,"status_id":1,"priority_id":2,"assigned_to_id":338,"start_date":"2017-10-03","description":"","custom_fields":[{"id":1,"name":"Subdivision","value":"NW"},{"id":4,"name":"Milepost","value":"5.8937"},{"id":17,"name":"Train ID","value":"801-03"},{"id":16,"name":"Locomotive ID","value":"4044"},{"id":130,"name":"Impact","value":""},{"id":150,"name":"Time of Event (Mountain Time)","value":"05:53:15"},{"id":151,"name":"Denver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10"/>
      <c r="AK163" s="225"/>
      <c r="AL163" s="225"/>
      <c r="AM163" s="231" t="str">
        <f t="shared" si="85"/>
        <v>start /low /b %USERPROFILE%\Documents\GitHub\eaglep3\Utilities\DownloadLogsFromS3.py --loco 4044 --day 2017-10-03</v>
      </c>
      <c r="AN16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10" t="str">
        <f t="shared" si="87"/>
        <v>https://d0f6bd738d7f1b3e5a7ca70fe4ff75f0.us-east-1.aws.found.io/app/kibana#/discover/Steve-Slow-Train-Analysis-(2080s-and-2083s)?_g=(refreshInterval:(display:Off,pause:!f,section:0,value:0),time:(from:'2017-10-03T04:34:55-0600',mode:absolute,to:'2017-10-03T06:53:15-0600'))&amp;_a=(columns:!('Message%20ID',Summary),filters:!(),index:'emp_*',interval:auto,query:(query_string:(analyze_wildcard:!t,query:'%22rtdc.l.rtdc.4044%22')),sort:!(Time.ISO8601,asc))</v>
      </c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  <c r="BM163" s="210"/>
      <c r="BN163" s="210"/>
      <c r="BO163" s="210"/>
      <c r="BP163" s="210"/>
      <c r="BQ163" s="210"/>
      <c r="BR163" s="210"/>
      <c r="BS163" s="210"/>
      <c r="BT163" s="210"/>
      <c r="BU163" s="210"/>
      <c r="BV163" s="210"/>
      <c r="BW163" s="210"/>
      <c r="BX163" s="210"/>
      <c r="BY163" s="210"/>
      <c r="BZ163" s="210"/>
      <c r="CA163" s="210"/>
      <c r="CB163" s="210"/>
      <c r="CC163" s="210"/>
      <c r="CD163" s="210"/>
      <c r="CE163" s="210"/>
      <c r="CF163" s="210"/>
      <c r="CG163" s="210"/>
      <c r="CH163" s="210"/>
      <c r="CI163" s="210"/>
      <c r="CJ163" s="210"/>
      <c r="CK163" s="210"/>
      <c r="CL163" s="210"/>
      <c r="CM163" s="210"/>
    </row>
    <row r="164" spans="1:91" s="20" customFormat="1" x14ac:dyDescent="0.25">
      <c r="A164" s="32" t="s">
        <v>656</v>
      </c>
      <c r="B164" s="7">
        <v>4043</v>
      </c>
      <c r="C164" s="21" t="s">
        <v>194</v>
      </c>
      <c r="D164" s="21" t="s">
        <v>944</v>
      </c>
      <c r="E164" s="13">
        <v>43011.246423611112</v>
      </c>
      <c r="F164" s="13">
        <v>43011.259016203701</v>
      </c>
      <c r="G164" s="7">
        <v>95</v>
      </c>
      <c r="H164" s="21" t="s">
        <v>461</v>
      </c>
      <c r="I164" s="13">
        <v>43011.268148148149</v>
      </c>
      <c r="J164" s="7">
        <v>0</v>
      </c>
      <c r="K164" s="85" t="str">
        <f t="shared" si="71"/>
        <v>4043/4044</v>
      </c>
      <c r="L164" s="179" t="str">
        <f>VLOOKUP(A164,'Trips&amp;Operators'!$C$1:$G$99911,5,FALSE)</f>
        <v>LANGERAK WILLIAM</v>
      </c>
      <c r="M164" s="6">
        <f t="shared" si="72"/>
        <v>9.1319444472901523E-3</v>
      </c>
      <c r="N164" s="7">
        <f t="shared" si="88"/>
        <v>13.150000004097819</v>
      </c>
      <c r="O164" s="7"/>
      <c r="P164" s="7"/>
      <c r="Q164" s="22"/>
      <c r="R164" s="169"/>
      <c r="S164" s="202">
        <f t="shared" si="89"/>
        <v>1</v>
      </c>
      <c r="T164" s="169" t="str">
        <f t="shared" si="73"/>
        <v>Southbound</v>
      </c>
      <c r="U164" s="22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2" t="str">
        <f t="shared" si="74"/>
        <v>https://d0f6bd738d7f1b3e5a7ca70fe4ff75f0.us-east-1.aws.found.io/app/kibana#/discover/Steve-Slow-Train-Analysis-(2080s-and-2083s)?_g=(refreshInterval:(display:Off,pause:!f,section:0,value:0),time:(from:'2017-10-03T04:54:51-0600',mode:absolute,to:'2017-10-03T07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23" t="str">
        <f>IF(AA164&lt;VLOOKUP(AG164,Variables!$AC$3:$AD$8,2,FALSE),"Y","N")</f>
        <v>N</v>
      </c>
      <c r="X164" s="223">
        <f t="shared" si="75"/>
        <v>1</v>
      </c>
      <c r="Y164" s="223">
        <f t="shared" si="95"/>
        <v>5.8632</v>
      </c>
      <c r="Z164" s="223">
        <f t="shared" si="96"/>
        <v>6.8400000000000002E-2</v>
      </c>
      <c r="AA164" s="223">
        <f t="shared" si="78"/>
        <v>5.7948000000000004</v>
      </c>
      <c r="AB164" s="224" t="e">
        <f>VLOOKUP(A164,Enforcements!$C$7:$K$11,8,0)</f>
        <v>#N/A</v>
      </c>
      <c r="AC164" s="224" t="e">
        <f>VLOOKUP(A164,Enforcements!$C$7:$E$11,3,0)</f>
        <v>#N/A</v>
      </c>
      <c r="AD164" s="225">
        <f t="shared" si="79"/>
        <v>802</v>
      </c>
      <c r="AE164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64" s="227" t="str">
        <f t="shared" si="81"/>
        <v>"C:\Program Files (x86)\AstroGrep\AstroGrep.exe" /e /r /s /spath="%USERPROFILE%\AppData\Local\Temp\OnboardLogs" /stypes="app*4043*20171003*" /stext=" 12:.+((SYSTEM_STATE.+slice.+state.+changed )|(ment ac)|(multiple cpu faults)|(system.+state.+changed )|(\[timeout)|(PRM\|1\|D)|(kpr)|(kdp)|(train st.+moving)|(\|lc)|(penalty))"</v>
      </c>
      <c r="AG164" s="228" t="str">
        <f t="shared" si="82"/>
        <v>NW</v>
      </c>
      <c r="AH164" s="229" t="str">
        <f t="shared" si="83"/>
        <v>"%USERPROFILE%\Documents\GitHub\eaglep3\Utilities\RefineRTDCRunTimes.py" --tripid 802-03 --locoid 4043 --swversion DE.1.0.9.0 --startMP 300:58632 --initTime 2017-10-03T05:54:51 --startdatetime 2017-10-03T06:12:59 --delay 95 --endMP 204:684 --enddatetime 2017-10-03T06:26:08 --enforcementcount 0 &gt;&gt;%USERPROFILE%\Documents\GitHub\eaglep3-reporting\EC\2017-10-03-refined-times.txt</v>
      </c>
      <c r="AI16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{"issue":{"subject":"","project_id":79,"tracker_id":40,"status_id":1,"priority_id":2,"assigned_to_id":338,"start_date":"2017-10-03","description":"","custom_fields":[{"id":1,"name":"Subdivision","value":"NW"},{"id":4,"name":"Milepost","value":"0.0684"},{"id":17,"name":"Train ID","value":"802-03"},{"id":16,"name":"Locomotive ID","value":"4043"},{"id":130,"name":"Impact","value":""},{"id":150,"name":"Time of Event (Mountain Time)","value":"06:26:08"},{"id":151,"name":"Denver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10"/>
      <c r="AK164" s="225"/>
      <c r="AL164" s="225"/>
      <c r="AM164" s="231" t="str">
        <f t="shared" si="85"/>
        <v>start /low /b %USERPROFILE%\Documents\GitHub\eaglep3\Utilities\DownloadLogsFromS3.py --loco 4043 --day 2017-10-03</v>
      </c>
      <c r="AN16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10" t="str">
        <f t="shared" si="87"/>
        <v>https://d0f6bd738d7f1b3e5a7ca70fe4ff75f0.us-east-1.aws.found.io/app/kibana#/discover/Steve-Slow-Train-Analysis-(2080s-and-2083s)?_g=(refreshInterval:(display:Off,pause:!f,section:0,value:0),time:(from:'2017-10-03T04:54:51-0600',mode:absolute,to:'2017-10-03T07:26:08-0600'))&amp;_a=(columns:!('Message%20ID',Summary),filters:!(),index:'emp_*',interval:auto,query:(query_string:(analyze_wildcard:!t,query:'%22rtdc.l.rtdc.4043%22')),sort:!(Time.ISO8601,asc))</v>
      </c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  <c r="BM164" s="210"/>
      <c r="BN164" s="210"/>
      <c r="BO164" s="210"/>
      <c r="BP164" s="210"/>
      <c r="BQ164" s="210"/>
      <c r="BR164" s="210"/>
      <c r="BS164" s="210"/>
      <c r="BT164" s="210"/>
      <c r="BU164" s="210"/>
      <c r="BV164" s="210"/>
      <c r="BW164" s="210"/>
      <c r="BX164" s="210"/>
      <c r="BY164" s="210"/>
      <c r="BZ164" s="210"/>
      <c r="CA164" s="210"/>
      <c r="CB164" s="210"/>
      <c r="CC164" s="210"/>
      <c r="CD164" s="210"/>
      <c r="CE164" s="210"/>
      <c r="CF164" s="210"/>
      <c r="CG164" s="210"/>
      <c r="CH164" s="210"/>
      <c r="CI164" s="210"/>
      <c r="CJ164" s="210"/>
      <c r="CK164" s="210"/>
      <c r="CL164" s="210"/>
      <c r="CM164" s="210"/>
    </row>
    <row r="165" spans="1:91" s="20" customFormat="1" x14ac:dyDescent="0.25">
      <c r="A165" s="32" t="s">
        <v>660</v>
      </c>
      <c r="B165" s="7">
        <v>4008</v>
      </c>
      <c r="C165" s="21" t="s">
        <v>194</v>
      </c>
      <c r="D165" s="21" t="s">
        <v>578</v>
      </c>
      <c r="E165" s="13">
        <v>43011.259247685186</v>
      </c>
      <c r="F165" s="13">
        <v>43011.260752314818</v>
      </c>
      <c r="G165" s="7">
        <v>58</v>
      </c>
      <c r="H165" s="21" t="s">
        <v>945</v>
      </c>
      <c r="I165" s="13">
        <v>43011.270868055559</v>
      </c>
      <c r="J165" s="7">
        <v>0</v>
      </c>
      <c r="K165" s="85" t="str">
        <f t="shared" si="71"/>
        <v>4007/4008</v>
      </c>
      <c r="L165" s="179" t="str">
        <f>VLOOKUP(A165,'Trips&amp;Operators'!$C$1:$G$99911,5,FALSE)</f>
        <v>FORTUNATO FRANK</v>
      </c>
      <c r="M165" s="6">
        <f t="shared" si="72"/>
        <v>1.0115740740729962E-2</v>
      </c>
      <c r="N165" s="7">
        <f t="shared" si="88"/>
        <v>14.566666666651145</v>
      </c>
      <c r="O165" s="7"/>
      <c r="P165" s="7"/>
      <c r="Q165" s="22"/>
      <c r="R165" s="169"/>
      <c r="S165" s="202">
        <f t="shared" si="89"/>
        <v>1</v>
      </c>
      <c r="T165" s="169" t="str">
        <f t="shared" si="73"/>
        <v>NorthBound</v>
      </c>
      <c r="U165" s="22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2" t="str">
        <f t="shared" si="74"/>
        <v>https://d0f6bd738d7f1b3e5a7ca70fe4ff75f0.us-east-1.aws.found.io/app/kibana#/discover/Steve-Slow-Train-Analysis-(2080s-and-2083s)?_g=(refreshInterval:(display:Off,pause:!f,section:0,value:0),time:(from:'2017-10-03T05:13:19-0600',mode:absolute,to:'2017-10-03T07:30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223" t="str">
        <f>IF(AA165&lt;VLOOKUP(AG165,Variables!$AC$3:$AD$8,2,FALSE),"Y","N")</f>
        <v>N</v>
      </c>
      <c r="X165" s="223">
        <f t="shared" si="75"/>
        <v>1</v>
      </c>
      <c r="Y165" s="223">
        <f t="shared" si="95"/>
        <v>9.8599999999999993E-2</v>
      </c>
      <c r="Z165" s="223">
        <f t="shared" si="96"/>
        <v>5.8967000000000001</v>
      </c>
      <c r="AA165" s="223">
        <f t="shared" si="78"/>
        <v>5.7980999999999998</v>
      </c>
      <c r="AB165" s="224" t="e">
        <f>VLOOKUP(A165,Enforcements!$C$7:$K$11,8,0)</f>
        <v>#N/A</v>
      </c>
      <c r="AC165" s="224" t="e">
        <f>VLOOKUP(A165,Enforcements!$C$7:$E$11,3,0)</f>
        <v>#N/A</v>
      </c>
      <c r="AD165" s="225">
        <f t="shared" si="79"/>
        <v>803</v>
      </c>
      <c r="AE16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65" s="227" t="str">
        <f t="shared" si="81"/>
        <v>"C:\Program Files (x86)\AstroGrep\AstroGrep.exe" /e /r /s /spath="%USERPROFILE%\AppData\Local\Temp\OnboardLogs" /stypes="app*4008*20171003*" /stext=" 12:.+((SYSTEM_STATE.+slice.+state.+changed )|(ment ac)|(multiple cpu faults)|(system.+state.+changed )|(\[timeout)|(PRM\|1\|D)|(kpr)|(kdp)|(train st.+moving)|(\|lc)|(penalty))"</v>
      </c>
      <c r="AG165" s="228" t="str">
        <f t="shared" si="82"/>
        <v>NW</v>
      </c>
      <c r="AH165" s="229" t="str">
        <f t="shared" si="83"/>
        <v>"%USERPROFILE%\Documents\GitHub\eaglep3\Utilities\RefineRTDCRunTimes.py" --tripid 803-03 --locoid 4008 --swversion DE.1.0.9.0 --startMP 204:986 --initTime 2017-10-03T06:13:19 --startdatetime 2017-10-03T06:15:29 --delay 58 --endMP 300:58967 --enddatetime 2017-10-03T06:30:03 --enforcementcount 0 &gt;&gt;%USERPROFILE%\Documents\GitHub\eaglep3-reporting\EC\2017-10-03-refined-times.txt</v>
      </c>
      <c r="AI16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{"issue":{"subject":"","project_id":79,"tracker_id":40,"status_id":1,"priority_id":2,"assigned_to_id":338,"start_date":"2017-10-03","description":"","custom_fields":[{"id":1,"name":"Subdivision","value":"NW"},{"id":4,"name":"Milepost","value":"5.8967"},{"id":17,"name":"Train ID","value":"803-03"},{"id":16,"name":"Locomotive ID","value":"4008"},{"id":130,"name":"Impact","value":""},{"id":150,"name":"Time of Event (Mountain Time)","value":"06:30:03"},{"id":151,"name":"Denver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10"/>
      <c r="AK165" s="225"/>
      <c r="AL165" s="225"/>
      <c r="AM165" s="231" t="str">
        <f t="shared" si="85"/>
        <v>start /low /b %USERPROFILE%\Documents\GitHub\eaglep3\Utilities\DownloadLogsFromS3.py --loco 4008 --day 2017-10-03</v>
      </c>
      <c r="AN16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12:30:03"},{"id":29,"name":"Sharepoint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10" t="str">
        <f t="shared" si="87"/>
        <v>https://d0f6bd738d7f1b3e5a7ca70fe4ff75f0.us-east-1.aws.found.io/app/kibana#/discover/Steve-Slow-Train-Analysis-(2080s-and-2083s)?_g=(refreshInterval:(display:Off,pause:!f,section:0,value:0),time:(from:'2017-10-03T05:13:19-0600',mode:absolute,to:'2017-10-03T07:30:03-0600'))&amp;_a=(columns:!('Message%20ID',Summary),filters:!(),index:'emp_*',interval:auto,query:(query_string:(analyze_wildcard:!t,query:'%22rtdc.l.rtdc.4008%22')),sort:!(Time.ISO8601,asc))</v>
      </c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  <c r="BM165" s="210"/>
      <c r="BN165" s="210"/>
      <c r="BO165" s="210"/>
      <c r="BP165" s="210"/>
      <c r="BQ165" s="210"/>
      <c r="BR165" s="210"/>
      <c r="BS165" s="210"/>
      <c r="BT165" s="210"/>
      <c r="BU165" s="210"/>
      <c r="BV165" s="210"/>
      <c r="BW165" s="210"/>
      <c r="BX165" s="210"/>
      <c r="BY165" s="210"/>
      <c r="BZ165" s="210"/>
      <c r="CA165" s="210"/>
      <c r="CB165" s="210"/>
      <c r="CC165" s="210"/>
      <c r="CD165" s="210"/>
      <c r="CE165" s="210"/>
      <c r="CF165" s="210"/>
      <c r="CG165" s="210"/>
      <c r="CH165" s="210"/>
      <c r="CI165" s="210"/>
      <c r="CJ165" s="210"/>
      <c r="CK165" s="210"/>
      <c r="CL165" s="210"/>
      <c r="CM165" s="210"/>
    </row>
    <row r="166" spans="1:91" s="20" customFormat="1" x14ac:dyDescent="0.25">
      <c r="A166" s="32" t="s">
        <v>600</v>
      </c>
      <c r="B166" s="7">
        <v>4007</v>
      </c>
      <c r="C166" s="21" t="s">
        <v>194</v>
      </c>
      <c r="D166" s="21" t="s">
        <v>946</v>
      </c>
      <c r="E166" s="13">
        <v>43011.271886574075</v>
      </c>
      <c r="F166" s="13">
        <v>43011.279895833337</v>
      </c>
      <c r="G166" s="7">
        <v>60</v>
      </c>
      <c r="H166" s="21" t="s">
        <v>947</v>
      </c>
      <c r="I166" s="13">
        <v>43011.286851851852</v>
      </c>
      <c r="J166" s="7">
        <v>0</v>
      </c>
      <c r="K166" s="85" t="str">
        <f t="shared" si="71"/>
        <v>4007/4008</v>
      </c>
      <c r="L166" s="179" t="str">
        <f>VLOOKUP(A166,'Trips&amp;Operators'!$C$1:$G$99911,5,FALSE)</f>
        <v>FORTUNATO FRANK</v>
      </c>
      <c r="M166" s="6">
        <f t="shared" si="72"/>
        <v>6.956018514756579E-3</v>
      </c>
      <c r="N166" s="7">
        <f t="shared" si="88"/>
        <v>10.016666661249474</v>
      </c>
      <c r="O166" s="7"/>
      <c r="P166" s="7"/>
      <c r="Q166" s="22"/>
      <c r="R166" s="169" t="s">
        <v>1018</v>
      </c>
      <c r="S166" s="202">
        <f t="shared" si="89"/>
        <v>1</v>
      </c>
      <c r="T166" s="169" t="str">
        <f t="shared" si="73"/>
        <v>Southbound</v>
      </c>
      <c r="U166" s="22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2" t="str">
        <f t="shared" si="74"/>
        <v>https://d0f6bd738d7f1b3e5a7ca70fe4ff75f0.us-east-1.aws.found.io/app/kibana#/discover/Steve-Slow-Train-Analysis-(2080s-and-2083s)?_g=(refreshInterval:(display:Off,pause:!f,section:0,value:0),time:(from:'2017-10-03T05:31:31-0600',mode:absolute,to:'2017-10-03T07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223" t="str">
        <f>IF(AA166&lt;VLOOKUP(AG166,Variables!$AC$3:$AD$8,2,FALSE),"Y","N")</f>
        <v>Y</v>
      </c>
      <c r="X166" s="223">
        <f t="shared" si="75"/>
        <v>1</v>
      </c>
      <c r="Y166" s="223">
        <f t="shared" si="95"/>
        <v>5.8644999999999996</v>
      </c>
      <c r="Z166" s="223">
        <f t="shared" si="96"/>
        <v>0.45650000000000002</v>
      </c>
      <c r="AA166" s="223">
        <f t="shared" si="78"/>
        <v>5.4079999999999995</v>
      </c>
      <c r="AB166" s="224" t="e">
        <f>VLOOKUP(A166,Enforcements!$C$7:$K$11,8,0)</f>
        <v>#N/A</v>
      </c>
      <c r="AC166" s="224" t="e">
        <f>VLOOKUP(A166,Enforcements!$C$7:$E$11,3,0)</f>
        <v>#N/A</v>
      </c>
      <c r="AD166" s="225">
        <f t="shared" si="79"/>
        <v>804</v>
      </c>
      <c r="AE16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66" s="227" t="str">
        <f t="shared" si="81"/>
        <v>"C:\Program Files (x86)\AstroGrep\AstroGrep.exe" /e /r /s /spath="%USERPROFILE%\AppData\Local\Temp\OnboardLogs" /stypes="app*4007*20171003*" /stext=" 12:.+((SYSTEM_STATE.+slice.+state.+changed )|(ment ac)|(multiple cpu faults)|(system.+state.+changed )|(\[timeout)|(PRM\|1\|D)|(kpr)|(kdp)|(train st.+moving)|(\|lc)|(penalty))"</v>
      </c>
      <c r="AG166" s="228" t="str">
        <f t="shared" si="82"/>
        <v>NW</v>
      </c>
      <c r="AH166" s="229" t="str">
        <f t="shared" si="83"/>
        <v>"%USERPROFILE%\Documents\GitHub\eaglep3\Utilities\RefineRTDCRunTimes.py" --tripid 804-03 --locoid 4007 --swversion DE.1.0.9.0 --startMP 300:58645 --initTime 2017-10-03T06:31:31 --startdatetime 2017-10-03T06:43:03 --delay 60 --endMP 204:4565 --enddatetime 2017-10-03T06:53:04 --enforcementcount 0 &gt;&gt;%USERPROFILE%\Documents\GitHub\eaglep3-reporting\EC\2017-10-03-refined-times.txt</v>
      </c>
      <c r="AI166" s="230" t="str">
        <f t="shared" si="84"/>
        <v>echo {"issue":{"subject":"Poor GPS under Wewatta St. overpass","project_id":79,"tracker_id":40,"status_id":1,"priority_id":2,"assigned_to_id":338,"start_date":"2017-10-03","description":"","custom_fields":[{"id":1,"name":"Subdivision","value":"NW"},{"id":4,"name":"Milepost","value":"0.4565"},{"id":17,"name":"Train ID","value":"804-03"},{"id":16,"name":"Locomotive ID","value":"4007"},{"id":130,"name":"Impact","value":""},{"id":150,"name":"Time of Event (Mountain Time)","value":"06:53:04"},{"id":151,"name":"Denver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10"/>
      <c r="AK166" s="225"/>
      <c r="AL166" s="225"/>
      <c r="AM166" s="231" t="str">
        <f t="shared" si="85"/>
        <v>start /low /b %USERPROFILE%\Documents\GitHub\eaglep3\Utilities\DownloadLogsFromS3.py --loco 4007 --day 2017-10-03</v>
      </c>
      <c r="AN166" s="232" t="str">
        <f t="shared" si="86"/>
        <v>echo {"issue":{"subject":"Poor GPS under Wewatta St. overpass","project_id":30,"tracker_id":4,"status_id":1,"priority_id":1,"assigned_to_id":10,"start_date":"2017-10-03","description":"","custom_fields":[{"id":30,"name":"Category","value":"Issue"},{"id":3,"name":"Functional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10" t="str">
        <f t="shared" si="87"/>
        <v>https://d0f6bd738d7f1b3e5a7ca70fe4ff75f0.us-east-1.aws.found.io/app/kibana#/discover/Steve-Slow-Train-Analysis-(2080s-and-2083s)?_g=(refreshInterval:(display:Off,pause:!f,section:0,value:0),time:(from:'2017-10-03T05:31:31-0600',mode:absolute,to:'2017-10-03T07:53:04-0600'))&amp;_a=(columns:!('Message%20ID',Summary),filters:!(),index:'emp_*',interval:auto,query:(query_string:(analyze_wildcard:!t,query:'%22rtdc.l.rtdc.4007%22')),sort:!(Time.ISO8601,asc))</v>
      </c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  <c r="BM166" s="210"/>
      <c r="BN166" s="210"/>
      <c r="BO166" s="210"/>
      <c r="BP166" s="210"/>
      <c r="BQ166" s="210"/>
      <c r="BR166" s="210"/>
      <c r="BS166" s="210"/>
      <c r="BT166" s="210"/>
      <c r="BU166" s="210"/>
      <c r="BV166" s="210"/>
      <c r="BW166" s="210"/>
      <c r="BX166" s="210"/>
      <c r="BY166" s="210"/>
      <c r="BZ166" s="210"/>
      <c r="CA166" s="210"/>
      <c r="CB166" s="210"/>
      <c r="CC166" s="210"/>
      <c r="CD166" s="210"/>
      <c r="CE166" s="210"/>
      <c r="CF166" s="210"/>
      <c r="CG166" s="210"/>
      <c r="CH166" s="210"/>
      <c r="CI166" s="210"/>
      <c r="CJ166" s="210"/>
      <c r="CK166" s="210"/>
      <c r="CL166" s="210"/>
      <c r="CM166" s="210"/>
    </row>
    <row r="167" spans="1:91" s="20" customFormat="1" x14ac:dyDescent="0.25">
      <c r="A167" s="32" t="s">
        <v>663</v>
      </c>
      <c r="B167" s="7">
        <v>4044</v>
      </c>
      <c r="C167" s="21" t="s">
        <v>194</v>
      </c>
      <c r="D167" s="21" t="s">
        <v>948</v>
      </c>
      <c r="E167" s="13">
        <v>43011.275243055556</v>
      </c>
      <c r="F167" s="13">
        <v>43011.277303240742</v>
      </c>
      <c r="G167" s="7">
        <v>70</v>
      </c>
      <c r="H167" s="21" t="s">
        <v>583</v>
      </c>
      <c r="I167" s="13">
        <v>43011.286898148152</v>
      </c>
      <c r="J167" s="7">
        <v>0</v>
      </c>
      <c r="K167" s="85" t="str">
        <f t="shared" si="71"/>
        <v>4043/4044</v>
      </c>
      <c r="L167" s="179" t="str">
        <f>VLOOKUP(A167,'Trips&amp;Operators'!$C$1:$G$99911,5,FALSE)</f>
        <v>YANG JAN</v>
      </c>
      <c r="M167" s="6">
        <f t="shared" si="72"/>
        <v>9.5949074093368836E-3</v>
      </c>
      <c r="N167" s="7">
        <f t="shared" si="88"/>
        <v>13.816666669445112</v>
      </c>
      <c r="O167" s="7"/>
      <c r="P167" s="7"/>
      <c r="Q167" s="22"/>
      <c r="R167" s="169"/>
      <c r="S167" s="202">
        <f t="shared" si="89"/>
        <v>1</v>
      </c>
      <c r="T167" s="169" t="str">
        <f t="shared" si="73"/>
        <v>NorthBound</v>
      </c>
      <c r="U167" s="22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2" t="str">
        <f t="shared" si="74"/>
        <v>https://d0f6bd738d7f1b3e5a7ca70fe4ff75f0.us-east-1.aws.found.io/app/kibana#/discover/Steve-Slow-Train-Analysis-(2080s-and-2083s)?_g=(refreshInterval:(display:Off,pause:!f,section:0,value:0),time:(from:'2017-10-03T05:36:21-0600',mode:absolute,to:'2017-10-03T07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223" t="str">
        <f>IF(AA167&lt;VLOOKUP(AG167,Variables!$AC$3:$AD$8,2,FALSE),"Y","N")</f>
        <v>N</v>
      </c>
      <c r="X167" s="223">
        <f t="shared" si="75"/>
        <v>1</v>
      </c>
      <c r="Y167" s="223">
        <f t="shared" si="95"/>
        <v>9.7199999999999995E-2</v>
      </c>
      <c r="Z167" s="223">
        <f t="shared" si="96"/>
        <v>5.8929</v>
      </c>
      <c r="AA167" s="223">
        <f t="shared" si="78"/>
        <v>5.7957000000000001</v>
      </c>
      <c r="AB167" s="224" t="e">
        <f>VLOOKUP(A167,Enforcements!$C$7:$K$11,8,0)</f>
        <v>#N/A</v>
      </c>
      <c r="AC167" s="224" t="e">
        <f>VLOOKUP(A167,Enforcements!$C$7:$E$11,3,0)</f>
        <v>#N/A</v>
      </c>
      <c r="AD167" s="225">
        <f t="shared" si="79"/>
        <v>805</v>
      </c>
      <c r="AE167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67" s="227" t="str">
        <f t="shared" si="81"/>
        <v>"C:\Program Files (x86)\AstroGrep\AstroGrep.exe" /e /r /s /spath="%USERPROFILE%\AppData\Local\Temp\OnboardLogs" /stypes="app*4044*20171003*" /stext=" 12:.+((SYSTEM_STATE.+slice.+state.+changed )|(ment ac)|(multiple cpu faults)|(system.+state.+changed )|(\[timeout)|(PRM\|1\|D)|(kpr)|(kdp)|(train st.+moving)|(\|lc)|(penalty))"</v>
      </c>
      <c r="AG167" s="228" t="str">
        <f t="shared" si="82"/>
        <v>NW</v>
      </c>
      <c r="AH167" s="229" t="str">
        <f t="shared" si="83"/>
        <v>"%USERPROFILE%\Documents\GitHub\eaglep3\Utilities\RefineRTDCRunTimes.py" --tripid 805-03 --locoid 4044 --swversion DE.1.0.9.0 --startMP 204:972 --initTime 2017-10-03T06:36:21 --startdatetime 2017-10-03T06:39:19 --delay 70 --endMP 300:58929 --enddatetime 2017-10-03T06:53:08 --enforcementcount 0 &gt;&gt;%USERPROFILE%\Documents\GitHub\eaglep3-reporting\EC\2017-10-03-refined-times.txt</v>
      </c>
      <c r="AI16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ID","value":"805-03"},{"id":16,"name":"Locomotive ID","value":"4044"},{"id":130,"name":"Impact","value":""},{"id":150,"name":"Time of Event (Mountain Time)","value":"06:53:08"},{"id":151,"name":"Denver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10"/>
      <c r="AK167" s="225"/>
      <c r="AL167" s="225"/>
      <c r="AM167" s="231" t="str">
        <f t="shared" si="85"/>
        <v>start /low /b %USERPROFILE%\Documents\GitHub\eaglep3\Utilities\DownloadLogsFromS3.py --loco 4044 --day 2017-10-03</v>
      </c>
      <c r="AN16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10" t="str">
        <f t="shared" si="87"/>
        <v>https://d0f6bd738d7f1b3e5a7ca70fe4ff75f0.us-east-1.aws.found.io/app/kibana#/discover/Steve-Slow-Train-Analysis-(2080s-and-2083s)?_g=(refreshInterval:(display:Off,pause:!f,section:0,value:0),time:(from:'2017-10-03T05:36:21-0600',mode:absolute,to:'2017-10-03T07:53:08-0600'))&amp;_a=(columns:!('Message%20ID',Summary),filters:!(),index:'emp_*',interval:auto,query:(query_string:(analyze_wildcard:!t,query:'%22rtdc.l.rtdc.4044%22')),sort:!(Time.ISO8601,asc))</v>
      </c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  <c r="BM167" s="210"/>
      <c r="BN167" s="210"/>
      <c r="BO167" s="210"/>
      <c r="BP167" s="210"/>
      <c r="BQ167" s="210"/>
      <c r="BR167" s="210"/>
      <c r="BS167" s="210"/>
      <c r="BT167" s="210"/>
      <c r="BU167" s="210"/>
      <c r="BV167" s="210"/>
      <c r="BW167" s="210"/>
      <c r="BX167" s="210"/>
      <c r="BY167" s="210"/>
      <c r="BZ167" s="210"/>
      <c r="CA167" s="210"/>
      <c r="CB167" s="210"/>
      <c r="CC167" s="210"/>
      <c r="CD167" s="210"/>
      <c r="CE167" s="210"/>
      <c r="CF167" s="210"/>
      <c r="CG167" s="210"/>
      <c r="CH167" s="210"/>
      <c r="CI167" s="210"/>
      <c r="CJ167" s="210"/>
      <c r="CK167" s="210"/>
      <c r="CL167" s="210"/>
      <c r="CM167" s="210"/>
    </row>
    <row r="168" spans="1:91" s="20" customFormat="1" x14ac:dyDescent="0.25">
      <c r="A168" s="32" t="s">
        <v>667</v>
      </c>
      <c r="B168" s="7">
        <v>4043</v>
      </c>
      <c r="C168" s="21" t="s">
        <v>194</v>
      </c>
      <c r="D168" s="21" t="s">
        <v>949</v>
      </c>
      <c r="E168" s="13">
        <v>43011.288865740738</v>
      </c>
      <c r="F168" s="13">
        <v>43011.293310185189</v>
      </c>
      <c r="G168" s="7">
        <v>107</v>
      </c>
      <c r="H168" s="21" t="s">
        <v>950</v>
      </c>
      <c r="I168" s="13">
        <v>43011.309062499997</v>
      </c>
      <c r="J168" s="7">
        <v>0</v>
      </c>
      <c r="K168" s="85" t="str">
        <f t="shared" si="71"/>
        <v>4043/4044</v>
      </c>
      <c r="L168" s="179" t="str">
        <f>VLOOKUP(A168,'Trips&amp;Operators'!$C$1:$G$99911,5,FALSE)</f>
        <v>YANG JAN</v>
      </c>
      <c r="M168" s="6">
        <f t="shared" si="72"/>
        <v>1.5752314808196388E-2</v>
      </c>
      <c r="N168" s="7">
        <f t="shared" si="88"/>
        <v>22.683333323802799</v>
      </c>
      <c r="O168" s="7"/>
      <c r="P168" s="7"/>
      <c r="Q168" s="22"/>
      <c r="R168" s="169"/>
      <c r="S168" s="202">
        <f t="shared" si="89"/>
        <v>1</v>
      </c>
      <c r="T168" s="169" t="str">
        <f t="shared" si="73"/>
        <v>Southbound</v>
      </c>
      <c r="U168" s="22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2" t="str">
        <f t="shared" si="74"/>
        <v>https://d0f6bd738d7f1b3e5a7ca70fe4ff75f0.us-east-1.aws.found.io/app/kibana#/discover/Steve-Slow-Train-Analysis-(2080s-and-2083s)?_g=(refreshInterval:(display:Off,pause:!f,section:0,value:0),time:(from:'2017-10-03T05:55:58-0600',mode:absolute,to:'2017-10-03T08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223" t="str">
        <f>IF(AA168&lt;VLOOKUP(AG168,Variables!$AC$3:$AD$8,2,FALSE),"Y","N")</f>
        <v>N</v>
      </c>
      <c r="X168" s="223">
        <f t="shared" si="75"/>
        <v>1</v>
      </c>
      <c r="Y168" s="223">
        <f t="shared" si="95"/>
        <v>5.8615000000000004</v>
      </c>
      <c r="Z168" s="223">
        <f t="shared" si="96"/>
        <v>6.9900000000000004E-2</v>
      </c>
      <c r="AA168" s="223">
        <f t="shared" si="78"/>
        <v>5.7916000000000007</v>
      </c>
      <c r="AB168" s="224" t="e">
        <f>VLOOKUP(A168,Enforcements!$C$7:$K$11,8,0)</f>
        <v>#N/A</v>
      </c>
      <c r="AC168" s="224" t="e">
        <f>VLOOKUP(A168,Enforcements!$C$7:$E$11,3,0)</f>
        <v>#N/A</v>
      </c>
      <c r="AD168" s="225">
        <f t="shared" si="79"/>
        <v>806</v>
      </c>
      <c r="AE168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68" s="227" t="str">
        <f t="shared" si="81"/>
        <v>"C:\Program Files (x86)\AstroGrep\AstroGrep.exe" /e /r /s /spath="%USERPROFILE%\AppData\Local\Temp\OnboardLogs" /stypes="app*4043*20171003*" /stext=" 13:.+((SYSTEM_STATE.+slice.+state.+changed )|(ment ac)|(multiple cpu faults)|(system.+state.+changed )|(\[timeout)|(PRM\|1\|D)|(kpr)|(kdp)|(train st.+moving)|(\|lc)|(penalty))"</v>
      </c>
      <c r="AG168" s="228" t="str">
        <f t="shared" si="82"/>
        <v>NW</v>
      </c>
      <c r="AH168" s="229" t="str">
        <f t="shared" si="83"/>
        <v>"%USERPROFILE%\Documents\GitHub\eaglep3\Utilities\RefineRTDCRunTimes.py" --tripid 806-03 --locoid 4043 --swversion DE.1.0.9.0 --startMP 300:58615 --initTime 2017-10-03T06:55:58 --startdatetime 2017-10-03T07:02:22 --delay 107 --endMP 204:699 --enddatetime 2017-10-03T07:25:03 --enforcementcount 0 &gt;&gt;%USERPROFILE%\Documents\GitHub\eaglep3-reporting\EC\2017-10-03-refined-times.txt</v>
      </c>
      <c r="AI168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{"issue":{"subject":"","project_id":79,"tracker_id":40,"status_id":1,"priority_id":2,"assigned_to_id":338,"start_date":"2017-10-03","description":"","custom_fields":[{"id":1,"name":"Subdivision","value":"NW"},{"id":4,"name":"Milepost","value":"0.0699"},{"id":17,"name":"Train ID","value":"806-03"},{"id":16,"name":"Locomotive ID","value":"4043"},{"id":130,"name":"Impact","value":""},{"id":150,"name":"Time of Event (Mountain Time)","value":"07:25:03"},{"id":151,"name":"Denver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10"/>
      <c r="AK168" s="225"/>
      <c r="AL168" s="225"/>
      <c r="AM168" s="231" t="str">
        <f t="shared" si="85"/>
        <v>start /low /b %USERPROFILE%\Documents\GitHub\eaglep3\Utilities\DownloadLogsFromS3.py --loco 4043 --day 2017-10-03</v>
      </c>
      <c r="AN168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10" t="str">
        <f t="shared" si="87"/>
        <v>https://d0f6bd738d7f1b3e5a7ca70fe4ff75f0.us-east-1.aws.found.io/app/kibana#/discover/Steve-Slow-Train-Analysis-(2080s-and-2083s)?_g=(refreshInterval:(display:Off,pause:!f,section:0,value:0),time:(from:'2017-10-03T05:55:58-0600',mode:absolute,to:'2017-10-03T08:25:03-0600'))&amp;_a=(columns:!('Message%20ID',Summary),filters:!(),index:'emp_*',interval:auto,query:(query_string:(analyze_wildcard:!t,query:'%22rtdc.l.rtdc.4043%22')),sort:!(Time.ISO8601,asc))</v>
      </c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  <c r="BM168" s="210"/>
      <c r="BN168" s="210"/>
      <c r="BO168" s="210"/>
      <c r="BP168" s="210"/>
      <c r="BQ168" s="210"/>
      <c r="BR168" s="210"/>
      <c r="BS168" s="210"/>
      <c r="BT168" s="210"/>
      <c r="BU168" s="210"/>
      <c r="BV168" s="210"/>
      <c r="BW168" s="210"/>
      <c r="BX168" s="210"/>
      <c r="BY168" s="210"/>
      <c r="BZ168" s="210"/>
      <c r="CA168" s="210"/>
      <c r="CB168" s="210"/>
      <c r="CC168" s="210"/>
      <c r="CD168" s="210"/>
      <c r="CE168" s="210"/>
      <c r="CF168" s="210"/>
      <c r="CG168" s="210"/>
      <c r="CH168" s="210"/>
      <c r="CI168" s="210"/>
      <c r="CJ168" s="210"/>
      <c r="CK168" s="210"/>
      <c r="CL168" s="210"/>
      <c r="CM168" s="210"/>
    </row>
    <row r="169" spans="1:91" s="20" customFormat="1" x14ac:dyDescent="0.25">
      <c r="A169" s="32" t="s">
        <v>668</v>
      </c>
      <c r="B169" s="7">
        <v>4008</v>
      </c>
      <c r="C169" s="21" t="s">
        <v>194</v>
      </c>
      <c r="D169" s="21" t="s">
        <v>951</v>
      </c>
      <c r="E169" s="13">
        <v>43011.290752314817</v>
      </c>
      <c r="F169" s="13">
        <v>43011.298101851855</v>
      </c>
      <c r="G169" s="7">
        <v>62</v>
      </c>
      <c r="H169" s="21" t="s">
        <v>952</v>
      </c>
      <c r="I169" s="13">
        <v>43011.307962962965</v>
      </c>
      <c r="J169" s="7">
        <v>0</v>
      </c>
      <c r="K169" s="85" t="str">
        <f t="shared" si="71"/>
        <v>4007/4008</v>
      </c>
      <c r="L169" s="179" t="str">
        <f>VLOOKUP(A169,'Trips&amp;Operators'!$C$1:$G$99911,5,FALSE)</f>
        <v>FORTUNATO FRANK</v>
      </c>
      <c r="M169" s="6">
        <f t="shared" si="72"/>
        <v>9.8611111097852699E-3</v>
      </c>
      <c r="N169" s="7">
        <f t="shared" si="88"/>
        <v>14.199999998090789</v>
      </c>
      <c r="O169" s="7"/>
      <c r="P169" s="7"/>
      <c r="Q169" s="22"/>
      <c r="R169" s="169"/>
      <c r="S169" s="202">
        <f t="shared" si="89"/>
        <v>1</v>
      </c>
      <c r="T169" s="169" t="str">
        <f t="shared" si="73"/>
        <v>NorthBound</v>
      </c>
      <c r="U169" s="22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2" t="str">
        <f t="shared" si="74"/>
        <v>https://d0f6bd738d7f1b3e5a7ca70fe4ff75f0.us-east-1.aws.found.io/app/kibana#/discover/Steve-Slow-Train-Analysis-(2080s-and-2083s)?_g=(refreshInterval:(display:Off,pause:!f,section:0,value:0),time:(from:'2017-10-03T05:58:41-0600',mode:absolute,to:'2017-10-03T08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223" t="str">
        <f>IF(AA169&lt;VLOOKUP(AG169,Variables!$AC$3:$AD$8,2,FALSE),"Y","N")</f>
        <v>N</v>
      </c>
      <c r="X169" s="223">
        <f t="shared" si="75"/>
        <v>1</v>
      </c>
      <c r="Y169" s="223">
        <f t="shared" si="95"/>
        <v>9.9000000000000005E-2</v>
      </c>
      <c r="Z169" s="223">
        <f t="shared" si="96"/>
        <v>5.8992000000000004</v>
      </c>
      <c r="AA169" s="223">
        <f t="shared" si="78"/>
        <v>5.8002000000000002</v>
      </c>
      <c r="AB169" s="224" t="e">
        <f>VLOOKUP(A169,Enforcements!$C$7:$K$11,8,0)</f>
        <v>#N/A</v>
      </c>
      <c r="AC169" s="224" t="e">
        <f>VLOOKUP(A169,Enforcements!$C$7:$E$11,3,0)</f>
        <v>#N/A</v>
      </c>
      <c r="AD169" s="225">
        <f t="shared" si="79"/>
        <v>807</v>
      </c>
      <c r="AE169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69" s="227" t="str">
        <f t="shared" si="81"/>
        <v>"C:\Program Files (x86)\AstroGrep\AstroGrep.exe" /e /r /s /spath="%USERPROFILE%\AppData\Local\Temp\OnboardLogs" /stypes="app*4008*20171003*" /stext=" 13:.+((SYSTEM_STATE.+slice.+state.+changed )|(ment ac)|(multiple cpu faults)|(system.+state.+changed )|(\[timeout)|(PRM\|1\|D)|(kpr)|(kdp)|(train st.+moving)|(\|lc)|(penalty))"</v>
      </c>
      <c r="AG169" s="228" t="str">
        <f t="shared" si="82"/>
        <v>NW</v>
      </c>
      <c r="AH169" s="229" t="str">
        <f t="shared" si="83"/>
        <v>"%USERPROFILE%\Documents\GitHub\eaglep3\Utilities\RefineRTDCRunTimes.py" --tripid 807-03 --locoid 4008 --swversion DE.1.0.9.0 --startMP 204:990 --initTime 2017-10-03T06:58:41 --startdatetime 2017-10-03T07:09:16 --delay 62 --endMP 300:58992 --enddatetime 2017-10-03T07:23:28 --enforcementcount 0 &gt;&gt;%USERPROFILE%\Documents\GitHub\eaglep3-reporting\EC\2017-10-03-refined-times.txt</v>
      </c>
      <c r="AI16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{"issue":{"subject":"","project_id":79,"tracker_id":40,"status_id":1,"priority_id":2,"assigned_to_id":338,"start_date":"2017-10-03","description":"","custom_fields":[{"id":1,"name":"Subdivision","value":"NW"},{"id":4,"name":"Milepost","value":"5.8992"},{"id":17,"name":"Train ID","value":"807-03"},{"id":16,"name":"Locomotive ID","value":"4008"},{"id":130,"name":"Impact","value":""},{"id":150,"name":"Time of Event (Mountain Time)","value":"07:23:28"},{"id":151,"name":"Denver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10"/>
      <c r="AK169" s="225"/>
      <c r="AL169" s="225"/>
      <c r="AM169" s="231" t="str">
        <f t="shared" si="85"/>
        <v>start /low /b %USERPROFILE%\Documents\GitHub\eaglep3\Utilities\DownloadLogsFromS3.py --loco 4008 --day 2017-10-03</v>
      </c>
      <c r="AN169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10" t="str">
        <f t="shared" si="87"/>
        <v>https://d0f6bd738d7f1b3e5a7ca70fe4ff75f0.us-east-1.aws.found.io/app/kibana#/discover/Steve-Slow-Train-Analysis-(2080s-and-2083s)?_g=(refreshInterval:(display:Off,pause:!f,section:0,value:0),time:(from:'2017-10-03T05:58:41-0600',mode:absolute,to:'2017-10-03T08:23:28-0600'))&amp;_a=(columns:!('Message%20ID',Summary),filters:!(),index:'emp_*',interval:auto,query:(query_string:(analyze_wildcard:!t,query:'%22rtdc.l.rtdc.4008%22')),sort:!(Time.ISO8601,asc))</v>
      </c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  <c r="BM169" s="210"/>
      <c r="BN169" s="210"/>
      <c r="BO169" s="210"/>
      <c r="BP169" s="210"/>
      <c r="BQ169" s="210"/>
      <c r="BR169" s="210"/>
      <c r="BS169" s="210"/>
      <c r="BT169" s="210"/>
      <c r="BU169" s="210"/>
      <c r="BV169" s="210"/>
      <c r="BW169" s="210"/>
      <c r="BX169" s="210"/>
      <c r="BY169" s="210"/>
      <c r="BZ169" s="210"/>
      <c r="CA169" s="210"/>
      <c r="CB169" s="210"/>
      <c r="CC169" s="210"/>
      <c r="CD169" s="210"/>
      <c r="CE169" s="210"/>
      <c r="CF169" s="210"/>
      <c r="CG169" s="210"/>
      <c r="CH169" s="210"/>
      <c r="CI169" s="210"/>
      <c r="CJ169" s="210"/>
      <c r="CK169" s="210"/>
      <c r="CL169" s="210"/>
      <c r="CM169" s="210"/>
    </row>
    <row r="170" spans="1:91" s="20" customFormat="1" x14ac:dyDescent="0.25">
      <c r="A170" s="32" t="s">
        <v>671</v>
      </c>
      <c r="B170" s="7">
        <v>4007</v>
      </c>
      <c r="C170" s="21" t="s">
        <v>194</v>
      </c>
      <c r="D170" s="21" t="s">
        <v>953</v>
      </c>
      <c r="E170" s="13">
        <v>43011.309293981481</v>
      </c>
      <c r="F170" s="13">
        <v>43011.321585648147</v>
      </c>
      <c r="G170" s="7">
        <v>52</v>
      </c>
      <c r="H170" s="21" t="s">
        <v>515</v>
      </c>
      <c r="I170" s="13">
        <v>43011.330104166664</v>
      </c>
      <c r="J170" s="7">
        <v>0</v>
      </c>
      <c r="K170" s="85" t="str">
        <f t="shared" si="71"/>
        <v>4007/4008</v>
      </c>
      <c r="L170" s="179" t="str">
        <f>VLOOKUP(A170,'Trips&amp;Operators'!$C$1:$G$99911,5,FALSE)</f>
        <v>FORTUNATO FRANK</v>
      </c>
      <c r="M170" s="6">
        <f t="shared" si="72"/>
        <v>8.5185185162117705E-3</v>
      </c>
      <c r="N170" s="7">
        <f t="shared" si="88"/>
        <v>12.266666663344949</v>
      </c>
      <c r="O170" s="7"/>
      <c r="P170" s="7"/>
      <c r="Q170" s="22"/>
      <c r="R170" s="169"/>
      <c r="S170" s="202">
        <f t="shared" si="89"/>
        <v>1</v>
      </c>
      <c r="T170" s="169" t="str">
        <f t="shared" si="73"/>
        <v>Southbound</v>
      </c>
      <c r="U170" s="22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2" t="str">
        <f t="shared" si="74"/>
        <v>https://d0f6bd738d7f1b3e5a7ca70fe4ff75f0.us-east-1.aws.found.io/app/kibana#/discover/Steve-Slow-Train-Analysis-(2080s-and-2083s)?_g=(refreshInterval:(display:Off,pause:!f,section:0,value:0),time:(from:'2017-10-03T06:25:23-0600',mode:absolute,to:'2017-10-03T08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223" t="str">
        <f>IF(AA170&lt;VLOOKUP(AG170,Variables!$AC$3:$AD$8,2,FALSE),"Y","N")</f>
        <v>N</v>
      </c>
      <c r="X170" s="223">
        <f t="shared" si="75"/>
        <v>1</v>
      </c>
      <c r="Y170" s="223">
        <f t="shared" si="95"/>
        <v>5.8673000000000002</v>
      </c>
      <c r="Z170" s="223">
        <f t="shared" si="96"/>
        <v>6.8500000000000005E-2</v>
      </c>
      <c r="AA170" s="223">
        <f t="shared" si="78"/>
        <v>5.7988</v>
      </c>
      <c r="AB170" s="224" t="e">
        <f>VLOOKUP(A170,Enforcements!$C$7:$K$11,8,0)</f>
        <v>#N/A</v>
      </c>
      <c r="AC170" s="224" t="e">
        <f>VLOOKUP(A170,Enforcements!$C$7:$E$11,3,0)</f>
        <v>#N/A</v>
      </c>
      <c r="AD170" s="225">
        <f t="shared" si="79"/>
        <v>808</v>
      </c>
      <c r="AE170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0" s="227" t="str">
        <f t="shared" si="81"/>
        <v>"C:\Program Files (x86)\AstroGrep\AstroGrep.exe" /e /r /s /spath="%USERPROFILE%\AppData\Local\Temp\OnboardLogs" /stypes="app*4007*20171003*" /stext=" 13:.+((SYSTEM_STATE.+slice.+state.+changed )|(ment ac)|(multiple cpu faults)|(system.+state.+changed )|(\[timeout)|(PRM\|1\|D)|(kpr)|(kdp)|(train st.+moving)|(\|lc)|(penalty))"</v>
      </c>
      <c r="AG170" s="228" t="str">
        <f t="shared" si="82"/>
        <v>NW</v>
      </c>
      <c r="AH170" s="229" t="str">
        <f t="shared" si="83"/>
        <v>"%USERPROFILE%\Documents\GitHub\eaglep3\Utilities\RefineRTDCRunTimes.py" --tripid 808-03 --locoid 4007 --swversion DE.1.0.9.0 --startMP 300:58673 --initTime 2017-10-03T07:25:23 --startdatetime 2017-10-03T07:43:05 --delay 52 --endMP 204:685 --enddatetime 2017-10-03T07:55:21 --enforcementcount 0 &gt;&gt;%USERPROFILE%\Documents\GitHub\eaglep3-reporting\EC\2017-10-03-refined-times.txt</v>
      </c>
      <c r="AI17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{"issue":{"subject":"","project_id":79,"tracker_id":40,"status_id":1,"priority_id":2,"assigned_to_id":338,"start_date":"2017-10-03","description":"","custom_fields":[{"id":1,"name":"Subdivision","value":"NW"},{"id":4,"name":"Milepost","value":"0.0685"},{"id":17,"name":"Train ID","value":"808-03"},{"id":16,"name":"Locomotive ID","value":"4007"},{"id":130,"name":"Impact","value":""},{"id":150,"name":"Time of Event (Mountain Time)","value":"07:55:21"},{"id":151,"name":"Denver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10"/>
      <c r="AK170" s="225"/>
      <c r="AL170" s="225"/>
      <c r="AM170" s="231" t="str">
        <f t="shared" si="85"/>
        <v>start /low /b %USERPROFILE%\Documents\GitHub\eaglep3\Utilities\DownloadLogsFromS3.py --loco 4007 --day 2017-10-03</v>
      </c>
      <c r="AN170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10" t="str">
        <f t="shared" si="87"/>
        <v>https://d0f6bd738d7f1b3e5a7ca70fe4ff75f0.us-east-1.aws.found.io/app/kibana#/discover/Steve-Slow-Train-Analysis-(2080s-and-2083s)?_g=(refreshInterval:(display:Off,pause:!f,section:0,value:0),time:(from:'2017-10-03T06:25:23-0600',mode:absolute,to:'2017-10-03T08:55:21-0600'))&amp;_a=(columns:!('Message%20ID',Summary),filters:!(),index:'emp_*',interval:auto,query:(query_string:(analyze_wildcard:!t,query:'%22rtdc.l.rtdc.4007%22')),sort:!(Time.ISO8601,asc))</v>
      </c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  <c r="BM170" s="210"/>
      <c r="BN170" s="210"/>
      <c r="BO170" s="210"/>
      <c r="BP170" s="210"/>
      <c r="BQ170" s="210"/>
      <c r="BR170" s="210"/>
      <c r="BS170" s="210"/>
      <c r="BT170" s="210"/>
      <c r="BU170" s="210"/>
      <c r="BV170" s="210"/>
      <c r="BW170" s="210"/>
      <c r="BX170" s="210"/>
      <c r="BY170" s="210"/>
      <c r="BZ170" s="210"/>
      <c r="CA170" s="210"/>
      <c r="CB170" s="210"/>
      <c r="CC170" s="210"/>
      <c r="CD170" s="210"/>
      <c r="CE170" s="210"/>
      <c r="CF170" s="210"/>
      <c r="CG170" s="210"/>
      <c r="CH170" s="210"/>
      <c r="CI170" s="210"/>
      <c r="CJ170" s="210"/>
      <c r="CK170" s="210"/>
      <c r="CL170" s="210"/>
      <c r="CM170" s="210"/>
    </row>
    <row r="171" spans="1:91" s="20" customFormat="1" x14ac:dyDescent="0.25">
      <c r="A171" s="32" t="s">
        <v>673</v>
      </c>
      <c r="B171" s="7">
        <v>4044</v>
      </c>
      <c r="C171" s="21" t="s">
        <v>194</v>
      </c>
      <c r="D171" s="21" t="s">
        <v>516</v>
      </c>
      <c r="E171" s="13">
        <v>43011.312685185185</v>
      </c>
      <c r="F171" s="13">
        <v>43011.318958333337</v>
      </c>
      <c r="G171" s="7">
        <v>57</v>
      </c>
      <c r="H171" s="21" t="s">
        <v>583</v>
      </c>
      <c r="I171" s="13">
        <v>43011.328622685185</v>
      </c>
      <c r="J171" s="7">
        <v>0</v>
      </c>
      <c r="K171" s="85" t="str">
        <f t="shared" si="71"/>
        <v>4043/4044</v>
      </c>
      <c r="L171" s="179" t="str">
        <f>VLOOKUP(A171,'Trips&amp;Operators'!$C$1:$G$99911,5,FALSE)</f>
        <v>YANG JAN</v>
      </c>
      <c r="M171" s="6">
        <f t="shared" si="72"/>
        <v>9.6643518481869251E-3</v>
      </c>
      <c r="N171" s="7">
        <f t="shared" si="88"/>
        <v>13.916666661389172</v>
      </c>
      <c r="O171" s="7"/>
      <c r="P171" s="7"/>
      <c r="Q171" s="22"/>
      <c r="R171" s="169"/>
      <c r="S171" s="202">
        <f t="shared" si="89"/>
        <v>1</v>
      </c>
      <c r="T171" s="169" t="str">
        <f t="shared" si="73"/>
        <v>NorthBound</v>
      </c>
      <c r="U171" s="22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2" t="str">
        <f t="shared" si="74"/>
        <v>https://d0f6bd738d7f1b3e5a7ca70fe4ff75f0.us-east-1.aws.found.io/app/kibana#/discover/Steve-Slow-Train-Analysis-(2080s-and-2083s)?_g=(refreshInterval:(display:Off,pause:!f,section:0,value:0),time:(from:'2017-10-03T06:30:16-0600',mode:absolute,to:'2017-10-03T08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223" t="str">
        <f>IF(AA171&lt;VLOOKUP(AG171,Variables!$AC$3:$AD$8,2,FALSE),"Y","N")</f>
        <v>N</v>
      </c>
      <c r="X171" s="223">
        <f t="shared" si="75"/>
        <v>1</v>
      </c>
      <c r="Y171" s="223">
        <f t="shared" si="95"/>
        <v>9.74E-2</v>
      </c>
      <c r="Z171" s="223">
        <f t="shared" si="96"/>
        <v>5.8929</v>
      </c>
      <c r="AA171" s="223">
        <f t="shared" si="78"/>
        <v>5.7954999999999997</v>
      </c>
      <c r="AB171" s="224" t="e">
        <f>VLOOKUP(A171,Enforcements!$C$7:$K$11,8,0)</f>
        <v>#N/A</v>
      </c>
      <c r="AC171" s="224" t="e">
        <f>VLOOKUP(A171,Enforcements!$C$7:$E$11,3,0)</f>
        <v>#N/A</v>
      </c>
      <c r="AD171" s="225">
        <f t="shared" si="79"/>
        <v>809</v>
      </c>
      <c r="AE171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71" s="227" t="str">
        <f t="shared" si="81"/>
        <v>"C:\Program Files (x86)\AstroGrep\AstroGrep.exe" /e /r /s /spath="%USERPROFILE%\AppData\Local\Temp\OnboardLogs" /stypes="app*4044*20171003*" /stext=" 13:.+((SYSTEM_STATE.+slice.+state.+changed )|(ment ac)|(multiple cpu faults)|(system.+state.+changed )|(\[timeout)|(PRM\|1\|D)|(kpr)|(kdp)|(train st.+moving)|(\|lc)|(penalty))"</v>
      </c>
      <c r="AG171" s="228" t="str">
        <f t="shared" si="82"/>
        <v>NW</v>
      </c>
      <c r="AH171" s="229" t="str">
        <f t="shared" si="83"/>
        <v>"%USERPROFILE%\Documents\GitHub\eaglep3\Utilities\RefineRTDCRunTimes.py" --tripid 809-03 --locoid 4044 --swversion DE.1.0.9.0 --startMP 204:974 --initTime 2017-10-03T07:30:16 --startdatetime 2017-10-03T07:39:18 --delay 57 --endMP 300:58929 --enddatetime 2017-10-03T07:53:13 --enforcementcount 0 &gt;&gt;%USERPROFILE%\Documents\GitHub\eaglep3-reporting\EC\2017-10-03-refined-times.txt</v>
      </c>
      <c r="AI17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ID","value":"809-03"},{"id":16,"name":"Locomotive ID","value":"4044"},{"id":130,"name":"Impact","value":""},{"id":150,"name":"Time of Event (Mountain Time)","value":"07:53:13"},{"id":151,"name":"Denver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10"/>
      <c r="AK171" s="225"/>
      <c r="AL171" s="225"/>
      <c r="AM171" s="231" t="str">
        <f t="shared" si="85"/>
        <v>start /low /b %USERPROFILE%\Documents\GitHub\eaglep3\Utilities\DownloadLogsFromS3.py --loco 4044 --day 2017-10-03</v>
      </c>
      <c r="AN171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10" t="str">
        <f t="shared" si="87"/>
        <v>https://d0f6bd738d7f1b3e5a7ca70fe4ff75f0.us-east-1.aws.found.io/app/kibana#/discover/Steve-Slow-Train-Analysis-(2080s-and-2083s)?_g=(refreshInterval:(display:Off,pause:!f,section:0,value:0),time:(from:'2017-10-03T06:30:16-0600',mode:absolute,to:'2017-10-03T08:53:13-0600'))&amp;_a=(columns:!('Message%20ID',Summary),filters:!(),index:'emp_*',interval:auto,query:(query_string:(analyze_wildcard:!t,query:'%22rtdc.l.rtdc.4044%22')),sort:!(Time.ISO8601,asc))</v>
      </c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  <c r="BM171" s="210"/>
      <c r="BN171" s="210"/>
      <c r="BO171" s="210"/>
      <c r="BP171" s="210"/>
      <c r="BQ171" s="210"/>
      <c r="BR171" s="210"/>
      <c r="BS171" s="210"/>
      <c r="BT171" s="210"/>
      <c r="BU171" s="210"/>
      <c r="BV171" s="210"/>
      <c r="BW171" s="210"/>
      <c r="BX171" s="210"/>
      <c r="BY171" s="210"/>
      <c r="BZ171" s="210"/>
      <c r="CA171" s="210"/>
      <c r="CB171" s="210"/>
      <c r="CC171" s="210"/>
      <c r="CD171" s="210"/>
      <c r="CE171" s="210"/>
      <c r="CF171" s="210"/>
      <c r="CG171" s="210"/>
      <c r="CH171" s="210"/>
      <c r="CI171" s="210"/>
      <c r="CJ171" s="210"/>
      <c r="CK171" s="210"/>
      <c r="CL171" s="210"/>
      <c r="CM171" s="210"/>
    </row>
    <row r="172" spans="1:91" s="20" customFormat="1" x14ac:dyDescent="0.25">
      <c r="A172" s="32" t="s">
        <v>677</v>
      </c>
      <c r="B172" s="7">
        <v>4043</v>
      </c>
      <c r="C172" s="21" t="s">
        <v>194</v>
      </c>
      <c r="D172" s="21" t="s">
        <v>954</v>
      </c>
      <c r="E172" s="13">
        <v>43011.330092592594</v>
      </c>
      <c r="F172" s="13">
        <v>43011.334398148145</v>
      </c>
      <c r="G172" s="7">
        <v>59</v>
      </c>
      <c r="H172" s="21" t="s">
        <v>955</v>
      </c>
      <c r="I172" s="13">
        <v>43011.350694444445</v>
      </c>
      <c r="J172" s="7">
        <v>0</v>
      </c>
      <c r="K172" s="85" t="str">
        <f t="shared" si="71"/>
        <v>4043/4044</v>
      </c>
      <c r="L172" s="179" t="str">
        <f>VLOOKUP(A172,'Trips&amp;Operators'!$C$1:$G$99911,5,FALSE)</f>
        <v>YANG JAN</v>
      </c>
      <c r="M172" s="6">
        <f t="shared" si="72"/>
        <v>1.6296296300424729E-2</v>
      </c>
      <c r="N172" s="7">
        <f t="shared" si="88"/>
        <v>23.466666672611609</v>
      </c>
      <c r="O172" s="7"/>
      <c r="P172" s="7"/>
      <c r="Q172" s="22"/>
      <c r="R172" s="169"/>
      <c r="S172" s="202">
        <f t="shared" si="89"/>
        <v>1</v>
      </c>
      <c r="T172" s="169" t="str">
        <f t="shared" si="73"/>
        <v>Southbound</v>
      </c>
      <c r="U172" s="22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2" t="str">
        <f t="shared" si="74"/>
        <v>https://d0f6bd738d7f1b3e5a7ca70fe4ff75f0.us-east-1.aws.found.io/app/kibana#/discover/Steve-Slow-Train-Analysis-(2080s-and-2083s)?_g=(refreshInterval:(display:Off,pause:!f,section:0,value:0),time:(from:'2017-10-03T06:55:20-0600',mode:absolute,to:'2017-10-03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223" t="str">
        <f>IF(AA172&lt;VLOOKUP(AG172,Variables!$AC$3:$AD$8,2,FALSE),"Y","N")</f>
        <v>N</v>
      </c>
      <c r="X172" s="223">
        <f t="shared" si="75"/>
        <v>1</v>
      </c>
      <c r="Y172" s="223">
        <f t="shared" si="95"/>
        <v>5.8625999999999996</v>
      </c>
      <c r="Z172" s="223">
        <f t="shared" si="96"/>
        <v>6.7799999999999999E-2</v>
      </c>
      <c r="AA172" s="223">
        <f t="shared" si="78"/>
        <v>5.7947999999999995</v>
      </c>
      <c r="AB172" s="224" t="e">
        <f>VLOOKUP(A172,Enforcements!$C$7:$K$11,8,0)</f>
        <v>#N/A</v>
      </c>
      <c r="AC172" s="224" t="e">
        <f>VLOOKUP(A172,Enforcements!$C$7:$E$11,3,0)</f>
        <v>#N/A</v>
      </c>
      <c r="AD172" s="225">
        <f t="shared" si="79"/>
        <v>810</v>
      </c>
      <c r="AE172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72" s="227" t="str">
        <f t="shared" si="81"/>
        <v>"C:\Program Files (x86)\AstroGrep\AstroGrep.exe" /e /r /s /spath="%USERPROFILE%\AppData\Local\Temp\OnboardLogs" /stypes="app*4043*20171003*" /stext=" 14:.+((SYSTEM_STATE.+slice.+state.+changed )|(ment ac)|(multiple cpu faults)|(system.+state.+changed )|(\[timeout)|(PRM\|1\|D)|(kpr)|(kdp)|(train st.+moving)|(\|lc)|(penalty))"</v>
      </c>
      <c r="AG172" s="228" t="str">
        <f t="shared" si="82"/>
        <v>NW</v>
      </c>
      <c r="AH172" s="229" t="str">
        <f t="shared" si="83"/>
        <v>"%USERPROFILE%\Documents\GitHub\eaglep3\Utilities\RefineRTDCRunTimes.py" --tripid 810-03 --locoid 4043 --swversion DE.1.0.9.0 --startMP 300:58626 --initTime 2017-10-03T07:55:20 --startdatetime 2017-10-03T08:01:32 --delay 59 --endMP 204:678 --enddatetime 2017-10-03T08:25:00 --enforcementcount 0 &gt;&gt;%USERPROFILE%\Documents\GitHub\eaglep3-reporting\EC\2017-10-03-refined-times.txt</v>
      </c>
      <c r="AI17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{"issue":{"subject":"","project_id":79,"tracker_id":40,"status_id":1,"priority_id":2,"assigned_to_id":338,"start_date":"2017-10-03","description":"","custom_fields":[{"id":1,"name":"Subdivision","value":"NW"},{"id":4,"name":"Milepost","value":"0.0678"},{"id":17,"name":"Train ID","value":"810-03"},{"id":16,"name":"Locomotive ID","value":"4043"},{"id":130,"name":"Impact","value":""},{"id":150,"name":"Time of Event (Mountain Time)","value":"08:25:00"},{"id":151,"name":"Denver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10"/>
      <c r="AK172" s="225"/>
      <c r="AL172" s="225"/>
      <c r="AM172" s="231" t="str">
        <f t="shared" si="85"/>
        <v>start /low /b %USERPROFILE%\Documents\GitHub\eaglep3\Utilities\DownloadLogsFromS3.py --loco 4043 --day 2017-10-03</v>
      </c>
      <c r="AN172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10" t="str">
        <f t="shared" si="87"/>
        <v>https://d0f6bd738d7f1b3e5a7ca70fe4ff75f0.us-east-1.aws.found.io/app/kibana#/discover/Steve-Slow-Train-Analysis-(2080s-and-2083s)?_g=(refreshInterval:(display:Off,pause:!f,section:0,value:0),time:(from:'2017-10-03T06:55:20-0600',mode:absolute,to:'2017-10-03T09:25:00-0600'))&amp;_a=(columns:!('Message%20ID',Summary),filters:!(),index:'emp_*',interval:auto,query:(query_string:(analyze_wildcard:!t,query:'%22rtdc.l.rtdc.4043%22')),sort:!(Time.ISO8601,asc))</v>
      </c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  <c r="BM172" s="210"/>
      <c r="BN172" s="210"/>
      <c r="BO172" s="210"/>
      <c r="BP172" s="210"/>
      <c r="BQ172" s="210"/>
      <c r="BR172" s="210"/>
      <c r="BS172" s="210"/>
      <c r="BT172" s="210"/>
      <c r="BU172" s="210"/>
      <c r="BV172" s="210"/>
      <c r="BW172" s="210"/>
      <c r="BX172" s="210"/>
      <c r="BY172" s="210"/>
      <c r="BZ172" s="210"/>
      <c r="CA172" s="210"/>
      <c r="CB172" s="210"/>
      <c r="CC172" s="210"/>
      <c r="CD172" s="210"/>
      <c r="CE172" s="210"/>
      <c r="CF172" s="210"/>
      <c r="CG172" s="210"/>
      <c r="CH172" s="210"/>
      <c r="CI172" s="210"/>
      <c r="CJ172" s="210"/>
      <c r="CK172" s="210"/>
      <c r="CL172" s="210"/>
      <c r="CM172" s="210"/>
    </row>
    <row r="173" spans="1:91" s="20" customFormat="1" x14ac:dyDescent="0.25">
      <c r="A173" s="32" t="s">
        <v>678</v>
      </c>
      <c r="B173" s="7">
        <v>4008</v>
      </c>
      <c r="C173" s="21" t="s">
        <v>194</v>
      </c>
      <c r="D173" s="21" t="s">
        <v>580</v>
      </c>
      <c r="E173" s="13">
        <v>43011.331666666665</v>
      </c>
      <c r="F173" s="13">
        <v>43011.339849537035</v>
      </c>
      <c r="G173" s="7">
        <v>49</v>
      </c>
      <c r="H173" s="21" t="s">
        <v>945</v>
      </c>
      <c r="I173" s="13">
        <v>43011.349606481483</v>
      </c>
      <c r="J173" s="7">
        <v>0</v>
      </c>
      <c r="K173" s="85" t="str">
        <f t="shared" ref="K173:K208" si="97">IF(ISEVEN(B173),(B173-1)&amp;"/"&amp;B173,B173&amp;"/"&amp;(B173+1))</f>
        <v>4007/4008</v>
      </c>
      <c r="L173" s="179" t="str">
        <f>VLOOKUP(A173,'Trips&amp;Operators'!$C$1:$G$99911,5,FALSE)</f>
        <v>FORTUNATO FRANK</v>
      </c>
      <c r="M173" s="6">
        <f t="shared" ref="M173:M208" si="98">I173-F173</f>
        <v>9.7569444478722289E-3</v>
      </c>
      <c r="N173" s="7">
        <f t="shared" si="88"/>
        <v>14.05000000493601</v>
      </c>
      <c r="O173" s="7"/>
      <c r="P173" s="7"/>
      <c r="Q173" s="22"/>
      <c r="R173" s="169"/>
      <c r="S173" s="202">
        <f t="shared" si="89"/>
        <v>1</v>
      </c>
      <c r="T173" s="169" t="str">
        <f t="shared" ref="T173:T208" si="99">IF(ISEVEN(LEFT(AD173,4)),"Southbound","NorthBound")</f>
        <v>NorthBound</v>
      </c>
      <c r="U173" s="22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2" t="str">
        <f t="shared" si="74"/>
        <v>https://d0f6bd738d7f1b3e5a7ca70fe4ff75f0.us-east-1.aws.found.io/app/kibana#/discover/Steve-Slow-Train-Analysis-(2080s-and-2083s)?_g=(refreshInterval:(display:Off,pause:!f,section:0,value:0),time:(from:'2017-10-03T06:57:36-0600',mode:absolute,to:'2017-10-03T09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223" t="str">
        <f>IF(AA173&lt;VLOOKUP(AG173,Variables!$AC$3:$AD$8,2,FALSE),"Y","N")</f>
        <v>N</v>
      </c>
      <c r="X173" s="223">
        <f t="shared" ref="X173:X208" si="100">VALUE(LEFT(AD173,4))-VALUE(LEFT(AD172,4))</f>
        <v>1</v>
      </c>
      <c r="Y173" s="223">
        <f t="shared" si="95"/>
        <v>9.8299999999999998E-2</v>
      </c>
      <c r="Z173" s="223">
        <f t="shared" si="96"/>
        <v>5.8967000000000001</v>
      </c>
      <c r="AA173" s="223">
        <f t="shared" ref="AA173:AA204" si="101">ABS(Z173-Y173)</f>
        <v>5.7984</v>
      </c>
      <c r="AB173" s="224" t="e">
        <f>VLOOKUP(A173,Enforcements!$C$7:$K$11,8,0)</f>
        <v>#N/A</v>
      </c>
      <c r="AC173" s="224" t="e">
        <f>VLOOKUP(A173,Enforcements!$C$7:$E$11,3,0)</f>
        <v>#N/A</v>
      </c>
      <c r="AD173" s="225">
        <f t="shared" ref="AD173:AD208" si="102">VALUE(LEFT(A173,LEN(A173)-3))</f>
        <v>811</v>
      </c>
      <c r="AE173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3" s="227" t="str">
        <f t="shared" si="81"/>
        <v>"C:\Program Files (x86)\AstroGrep\AstroGrep.exe" /e /r /s /spath="%USERPROFILE%\AppData\Local\Temp\OnboardLogs" /stypes="app*4008*20171003*" /stext=" 14:.+((SYSTEM_STATE.+slice.+state.+changed )|(ment ac)|(multiple cpu faults)|(system.+state.+changed )|(\[timeout)|(PRM\|1\|D)|(kpr)|(kdp)|(train st.+moving)|(\|lc)|(penalty))"</v>
      </c>
      <c r="AG173" s="228" t="str">
        <f t="shared" ref="AG173:AG208" si="103">DetSubdiv(A173)</f>
        <v>NW</v>
      </c>
      <c r="AH173" s="229" t="str">
        <f t="shared" si="83"/>
        <v>"%USERPROFILE%\Documents\GitHub\eaglep3\Utilities\RefineRTDCRunTimes.py" --tripid 811-03 --locoid 4008 --swversion DE.1.0.9.0 --startMP 204:983 --initTime 2017-10-03T07:57:36 --startdatetime 2017-10-03T08:09:23 --delay 49 --endMP 300:58967 --enddatetime 2017-10-03T08:23:26 --enforcementcount 0 &gt;&gt;%USERPROFILE%\Documents\GitHub\eaglep3-reporting\EC\2017-10-03-refined-times.txt</v>
      </c>
      <c r="AI17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{"issue":{"subject":"","project_id":79,"tracker_id":40,"status_id":1,"priority_id":2,"assigned_to_id":338,"start_date":"2017-10-03","description":"","custom_fields":[{"id":1,"name":"Subdivision","value":"NW"},{"id":4,"name":"Milepost","value":"5.8967"},{"id":17,"name":"Train ID","value":"811-03"},{"id":16,"name":"Locomotive ID","value":"4008"},{"id":130,"name":"Impact","value":""},{"id":150,"name":"Time of Event (Mountain Time)","value":"08:23:26"},{"id":151,"name":"Denver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10"/>
      <c r="AK173" s="225"/>
      <c r="AL173" s="225"/>
      <c r="AM173" s="231" t="str">
        <f t="shared" si="85"/>
        <v>start /low /b %USERPROFILE%\Documents\GitHub\eaglep3\Utilities\DownloadLogsFromS3.py --loco 4008 --day 2017-10-03</v>
      </c>
      <c r="AN17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10" t="str">
        <f t="shared" si="87"/>
        <v>https://d0f6bd738d7f1b3e5a7ca70fe4ff75f0.us-east-1.aws.found.io/app/kibana#/discover/Steve-Slow-Train-Analysis-(2080s-and-2083s)?_g=(refreshInterval:(display:Off,pause:!f,section:0,value:0),time:(from:'2017-10-03T06:57:36-0600',mode:absolute,to:'2017-10-03T09:23:26-0600'))&amp;_a=(columns:!('Message%20ID',Summary),filters:!(),index:'emp_*',interval:auto,query:(query_string:(analyze_wildcard:!t,query:'%22rtdc.l.rtdc.4008%22')),sort:!(Time.ISO8601,asc))</v>
      </c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  <c r="BM173" s="210"/>
      <c r="BN173" s="210"/>
      <c r="BO173" s="210"/>
      <c r="BP173" s="210"/>
      <c r="BQ173" s="210"/>
      <c r="BR173" s="210"/>
      <c r="BS173" s="210"/>
      <c r="BT173" s="210"/>
      <c r="BU173" s="210"/>
      <c r="BV173" s="210"/>
      <c r="BW173" s="210"/>
      <c r="BX173" s="210"/>
      <c r="BY173" s="210"/>
      <c r="BZ173" s="210"/>
      <c r="CA173" s="210"/>
      <c r="CB173" s="210"/>
      <c r="CC173" s="210"/>
      <c r="CD173" s="210"/>
      <c r="CE173" s="210"/>
      <c r="CF173" s="210"/>
      <c r="CG173" s="210"/>
      <c r="CH173" s="210"/>
      <c r="CI173" s="210"/>
      <c r="CJ173" s="210"/>
      <c r="CK173" s="210"/>
      <c r="CL173" s="210"/>
      <c r="CM173" s="210"/>
    </row>
    <row r="174" spans="1:91" s="20" customFormat="1" x14ac:dyDescent="0.25">
      <c r="A174" s="32" t="s">
        <v>682</v>
      </c>
      <c r="B174" s="7">
        <v>4007</v>
      </c>
      <c r="C174" s="21" t="s">
        <v>194</v>
      </c>
      <c r="D174" s="21" t="s">
        <v>956</v>
      </c>
      <c r="E174" s="13">
        <v>43011.351203703707</v>
      </c>
      <c r="F174" s="13">
        <v>43011.362951388888</v>
      </c>
      <c r="G174" s="7">
        <v>69</v>
      </c>
      <c r="H174" s="21" t="s">
        <v>588</v>
      </c>
      <c r="I174" s="13">
        <v>43011.371979166666</v>
      </c>
      <c r="J174" s="7">
        <v>0</v>
      </c>
      <c r="K174" s="85" t="str">
        <f t="shared" si="97"/>
        <v>4007/4008</v>
      </c>
      <c r="L174" s="179" t="str">
        <f>VLOOKUP(A174,'Trips&amp;Operators'!$C$1:$G$99911,5,FALSE)</f>
        <v>FORTUNATO FRANK</v>
      </c>
      <c r="M174" s="6">
        <f t="shared" si="98"/>
        <v>9.0277777781011537E-3</v>
      </c>
      <c r="N174" s="7">
        <f t="shared" si="88"/>
        <v>13.000000000465661</v>
      </c>
      <c r="O174" s="7"/>
      <c r="P174" s="7"/>
      <c r="Q174" s="22"/>
      <c r="R174" s="169"/>
      <c r="S174" s="202">
        <f t="shared" si="89"/>
        <v>1</v>
      </c>
      <c r="T174" s="169" t="str">
        <f t="shared" si="99"/>
        <v>Southbound</v>
      </c>
      <c r="U174" s="22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2" t="str">
        <f t="shared" si="74"/>
        <v>https://d0f6bd738d7f1b3e5a7ca70fe4ff75f0.us-east-1.aws.found.io/app/kibana#/discover/Steve-Slow-Train-Analysis-(2080s-and-2083s)?_g=(refreshInterval:(display:Off,pause:!f,section:0,value:0),time:(from:'2017-10-03T07:25:44-0600',mode:absolute,to:'2017-10-03T09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223" t="str">
        <f>IF(AA174&lt;VLOOKUP(AG174,Variables!$AC$3:$AD$8,2,FALSE),"Y","N")</f>
        <v>N</v>
      </c>
      <c r="X174" s="223">
        <f t="shared" si="100"/>
        <v>1</v>
      </c>
      <c r="Y174" s="223">
        <f t="shared" si="95"/>
        <v>5.8666</v>
      </c>
      <c r="Z174" s="223">
        <f t="shared" si="96"/>
        <v>6.8000000000000005E-2</v>
      </c>
      <c r="AA174" s="223">
        <f t="shared" si="101"/>
        <v>5.7986000000000004</v>
      </c>
      <c r="AB174" s="224" t="e">
        <f>VLOOKUP(A174,Enforcements!$C$7:$K$11,8,0)</f>
        <v>#N/A</v>
      </c>
      <c r="AC174" s="224" t="e">
        <f>VLOOKUP(A174,Enforcements!$C$7:$E$11,3,0)</f>
        <v>#N/A</v>
      </c>
      <c r="AD174" s="225">
        <f t="shared" si="102"/>
        <v>812</v>
      </c>
      <c r="AE174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4" s="227" t="str">
        <f t="shared" si="81"/>
        <v>"C:\Program Files (x86)\AstroGrep\AstroGrep.exe" /e /r /s /spath="%USERPROFILE%\AppData\Local\Temp\OnboardLogs" /stypes="app*4007*20171003*" /stext=" 14:.+((SYSTEM_STATE.+slice.+state.+changed )|(ment ac)|(multiple cpu faults)|(system.+state.+changed )|(\[timeout)|(PRM\|1\|D)|(kpr)|(kdp)|(train st.+moving)|(\|lc)|(penalty))"</v>
      </c>
      <c r="AG174" s="228" t="str">
        <f t="shared" si="103"/>
        <v>NW</v>
      </c>
      <c r="AH174" s="229" t="str">
        <f t="shared" si="83"/>
        <v>"%USERPROFILE%\Documents\GitHub\eaglep3\Utilities\RefineRTDCRunTimes.py" --tripid 812-03 --locoid 4007 --swversion DE.1.0.9.0 --startMP 300:58666 --initTime 2017-10-03T08:25:44 --startdatetime 2017-10-03T08:42:39 --delay 69 --endMP 204:680 --enddatetime 2017-10-03T08:55:39 --enforcementcount 0 &gt;&gt;%USERPROFILE%\Documents\GitHub\eaglep3-reporting\EC\2017-10-03-refined-times.txt</v>
      </c>
      <c r="AI17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{"issue":{"subject":"","project_id":79,"tracker_id":40,"status_id":1,"priority_id":2,"assigned_to_id":338,"start_date":"2017-10-03","description":"","custom_fields":[{"id":1,"name":"Subdivision","value":"NW"},{"id":4,"name":"Milepost","value":"0.068"},{"id":17,"name":"Train ID","value":"812-03"},{"id":16,"name":"Locomotive ID","value":"4007"},{"id":130,"name":"Impact","value":""},{"id":150,"name":"Time of Event (Mountain Time)","value":"08:55:39"},{"id":151,"name":"Denver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10"/>
      <c r="AK174" s="225"/>
      <c r="AL174" s="225"/>
      <c r="AM174" s="231" t="str">
        <f t="shared" si="85"/>
        <v>start /low /b %USERPROFILE%\Documents\GitHub\eaglep3\Utilities\DownloadLogsFromS3.py --loco 4007 --day 2017-10-03</v>
      </c>
      <c r="AN17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10" t="str">
        <f t="shared" si="87"/>
        <v>https://d0f6bd738d7f1b3e5a7ca70fe4ff75f0.us-east-1.aws.found.io/app/kibana#/discover/Steve-Slow-Train-Analysis-(2080s-and-2083s)?_g=(refreshInterval:(display:Off,pause:!f,section:0,value:0),time:(from:'2017-10-03T07:25:44-0600',mode:absolute,to:'2017-10-03T09:55:39-0600'))&amp;_a=(columns:!('Message%20ID',Summary),filters:!(),index:'emp_*',interval:auto,query:(query_string:(analyze_wildcard:!t,query:'%22rtdc.l.rtdc.4007%22')),sort:!(Time.ISO8601,asc))</v>
      </c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  <c r="BM174" s="210"/>
      <c r="BN174" s="210"/>
      <c r="BO174" s="210"/>
      <c r="BP174" s="210"/>
      <c r="BQ174" s="210"/>
      <c r="BR174" s="210"/>
      <c r="BS174" s="210"/>
      <c r="BT174" s="210"/>
      <c r="BU174" s="210"/>
      <c r="BV174" s="210"/>
      <c r="BW174" s="210"/>
      <c r="BX174" s="210"/>
      <c r="BY174" s="210"/>
      <c r="BZ174" s="210"/>
      <c r="CA174" s="210"/>
      <c r="CB174" s="210"/>
      <c r="CC174" s="210"/>
      <c r="CD174" s="210"/>
      <c r="CE174" s="210"/>
      <c r="CF174" s="210"/>
      <c r="CG174" s="210"/>
      <c r="CH174" s="210"/>
      <c r="CI174" s="210"/>
      <c r="CJ174" s="210"/>
      <c r="CK174" s="210"/>
      <c r="CL174" s="210"/>
      <c r="CM174" s="210"/>
    </row>
    <row r="175" spans="1:91" s="20" customFormat="1" x14ac:dyDescent="0.25">
      <c r="A175" s="32" t="s">
        <v>686</v>
      </c>
      <c r="B175" s="7">
        <v>4008</v>
      </c>
      <c r="C175" s="21" t="s">
        <v>194</v>
      </c>
      <c r="D175" s="21" t="s">
        <v>578</v>
      </c>
      <c r="E175" s="13">
        <v>43011.373368055552</v>
      </c>
      <c r="F175" s="13">
        <v>43011.381782407407</v>
      </c>
      <c r="G175" s="7">
        <v>52</v>
      </c>
      <c r="H175" s="21" t="s">
        <v>957</v>
      </c>
      <c r="I175" s="13">
        <v>43011.391493055555</v>
      </c>
      <c r="J175" s="7">
        <v>0</v>
      </c>
      <c r="K175" s="85" t="str">
        <f t="shared" si="97"/>
        <v>4007/4008</v>
      </c>
      <c r="L175" s="179" t="str">
        <f>VLOOKUP(A175,'Trips&amp;Operators'!$C$1:$G$99911,5,FALSE)</f>
        <v>FORTUNATO FRANK</v>
      </c>
      <c r="M175" s="6">
        <f t="shared" si="98"/>
        <v>9.710648148029577E-3</v>
      </c>
      <c r="N175" s="7">
        <f t="shared" si="88"/>
        <v>13.983333333162591</v>
      </c>
      <c r="O175" s="7"/>
      <c r="P175" s="7"/>
      <c r="Q175" s="22"/>
      <c r="R175" s="169"/>
      <c r="S175" s="202">
        <f t="shared" si="89"/>
        <v>1</v>
      </c>
      <c r="T175" s="169" t="str">
        <f t="shared" si="99"/>
        <v>NorthBound</v>
      </c>
      <c r="U175" s="22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2" t="str">
        <f t="shared" si="74"/>
        <v>https://d0f6bd738d7f1b3e5a7ca70fe4ff75f0.us-east-1.aws.found.io/app/kibana#/discover/Steve-Slow-Train-Analysis-(2080s-and-2083s)?_g=(refreshInterval:(display:Off,pause:!f,section:0,value:0),time:(from:'2017-10-03T07:57:39-0600',mode:absolute,to:'2017-10-03T10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223" t="str">
        <f>IF(AA175&lt;VLOOKUP(AG175,Variables!$AC$3:$AD$8,2,FALSE),"Y","N")</f>
        <v>N</v>
      </c>
      <c r="X175" s="223">
        <f t="shared" si="100"/>
        <v>1</v>
      </c>
      <c r="Y175" s="223">
        <f t="shared" si="95"/>
        <v>9.8599999999999993E-2</v>
      </c>
      <c r="Z175" s="223">
        <f t="shared" si="96"/>
        <v>5.8986000000000001</v>
      </c>
      <c r="AA175" s="223">
        <f t="shared" si="101"/>
        <v>5.8</v>
      </c>
      <c r="AB175" s="224" t="e">
        <f>VLOOKUP(A175,Enforcements!$C$7:$K$11,8,0)</f>
        <v>#N/A</v>
      </c>
      <c r="AC175" s="224" t="e">
        <f>VLOOKUP(A175,Enforcements!$C$7:$E$11,3,0)</f>
        <v>#N/A</v>
      </c>
      <c r="AD175" s="225">
        <f t="shared" si="102"/>
        <v>813</v>
      </c>
      <c r="AE17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5" s="227" t="str">
        <f t="shared" si="81"/>
        <v>"C:\Program Files (x86)\AstroGrep\AstroGrep.exe" /e /r /s /spath="%USERPROFILE%\AppData\Local\Temp\OnboardLogs" /stypes="app*4008*20171003*" /stext=" 15:.+((SYSTEM_STATE.+slice.+state.+changed )|(ment ac)|(multiple cpu faults)|(system.+state.+changed )|(\[timeout)|(PRM\|1\|D)|(kpr)|(kdp)|(train st.+moving)|(\|lc)|(penalty))"</v>
      </c>
      <c r="AG175" s="228" t="str">
        <f t="shared" si="103"/>
        <v>NW</v>
      </c>
      <c r="AH175" s="229" t="str">
        <f t="shared" si="83"/>
        <v>"%USERPROFILE%\Documents\GitHub\eaglep3\Utilities\RefineRTDCRunTimes.py" --tripid 813-03 --locoid 4008 --swversion DE.1.0.9.0 --startMP 204:986 --initTime 2017-10-03T08:57:39 --startdatetime 2017-10-03T09:09:46 --delay 52 --endMP 300:58986 --enddatetime 2017-10-03T09:23:45 --enforcementcount 0 &gt;&gt;%USERPROFILE%\Documents\GitHub\eaglep3-reporting\EC\2017-10-03-refined-times.txt</v>
      </c>
      <c r="AI17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{"issue":{"subject":"","project_id":79,"tracker_id":40,"status_id":1,"priority_id":2,"assigned_to_id":338,"start_date":"2017-10-03","description":"","custom_fields":[{"id":1,"name":"Subdivision","value":"NW"},{"id":4,"name":"Milepost","value":"5.8986"},{"id":17,"name":"Train ID","value":"813-03"},{"id":16,"name":"Locomotive ID","value":"4008"},{"id":130,"name":"Impact","value":""},{"id":150,"name":"Time of Event (Mountain Time)","value":"09:23:45"},{"id":151,"name":"Denver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10"/>
      <c r="AK175" s="225"/>
      <c r="AL175" s="225"/>
      <c r="AM175" s="231" t="str">
        <f t="shared" si="85"/>
        <v>start /low /b %USERPROFILE%\Documents\GitHub\eaglep3\Utilities\DownloadLogsFromS3.py --loco 4008 --day 2017-10-03</v>
      </c>
      <c r="AN17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10" t="str">
        <f t="shared" si="87"/>
        <v>https://d0f6bd738d7f1b3e5a7ca70fe4ff75f0.us-east-1.aws.found.io/app/kibana#/discover/Steve-Slow-Train-Analysis-(2080s-and-2083s)?_g=(refreshInterval:(display:Off,pause:!f,section:0,value:0),time:(from:'2017-10-03T07:57:39-0600',mode:absolute,to:'2017-10-03T10:23:45-0600'))&amp;_a=(columns:!('Message%20ID',Summary),filters:!(),index:'emp_*',interval:auto,query:(query_string:(analyze_wildcard:!t,query:'%22rtdc.l.rtdc.4008%22')),sort:!(Time.ISO8601,asc))</v>
      </c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  <c r="BM175" s="210"/>
      <c r="BN175" s="210"/>
      <c r="BO175" s="210"/>
      <c r="BP175" s="210"/>
      <c r="BQ175" s="210"/>
      <c r="BR175" s="210"/>
      <c r="BS175" s="210"/>
      <c r="BT175" s="210"/>
      <c r="BU175" s="210"/>
      <c r="BV175" s="210"/>
      <c r="BW175" s="210"/>
      <c r="BX175" s="210"/>
      <c r="BY175" s="210"/>
      <c r="BZ175" s="210"/>
      <c r="CA175" s="210"/>
      <c r="CB175" s="210"/>
      <c r="CC175" s="210"/>
      <c r="CD175" s="210"/>
      <c r="CE175" s="210"/>
      <c r="CF175" s="210"/>
      <c r="CG175" s="210"/>
      <c r="CH175" s="210"/>
      <c r="CI175" s="210"/>
      <c r="CJ175" s="210"/>
      <c r="CK175" s="210"/>
      <c r="CL175" s="210"/>
      <c r="CM175" s="210"/>
    </row>
    <row r="176" spans="1:91" s="20" customFormat="1" x14ac:dyDescent="0.25">
      <c r="A176" s="32" t="s">
        <v>691</v>
      </c>
      <c r="B176" s="7">
        <v>4007</v>
      </c>
      <c r="C176" s="21" t="s">
        <v>194</v>
      </c>
      <c r="D176" s="21" t="s">
        <v>958</v>
      </c>
      <c r="E176" s="13">
        <v>43011.392743055556</v>
      </c>
      <c r="F176" s="13">
        <v>43011.404872685183</v>
      </c>
      <c r="G176" s="7">
        <v>52</v>
      </c>
      <c r="H176" s="21" t="s">
        <v>959</v>
      </c>
      <c r="I176" s="13">
        <v>43011.413460648146</v>
      </c>
      <c r="J176" s="7">
        <v>0</v>
      </c>
      <c r="K176" s="85" t="str">
        <f t="shared" si="97"/>
        <v>4007/4008</v>
      </c>
      <c r="L176" s="179" t="str">
        <f>VLOOKUP(A176,'Trips&amp;Operators'!$C$1:$G$99911,5,FALSE)</f>
        <v>FORTUNATO FRANK</v>
      </c>
      <c r="M176" s="6">
        <f t="shared" si="98"/>
        <v>8.5879629623377696E-3</v>
      </c>
      <c r="N176" s="7">
        <f t="shared" si="88"/>
        <v>12.366666665766388</v>
      </c>
      <c r="O176" s="7"/>
      <c r="P176" s="7"/>
      <c r="Q176" s="22"/>
      <c r="R176" s="169"/>
      <c r="S176" s="202">
        <f t="shared" si="89"/>
        <v>1</v>
      </c>
      <c r="T176" s="169" t="str">
        <f t="shared" si="99"/>
        <v>Southbound</v>
      </c>
      <c r="U176" s="22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2" t="str">
        <f t="shared" si="74"/>
        <v>https://d0f6bd738d7f1b3e5a7ca70fe4ff75f0.us-east-1.aws.found.io/app/kibana#/discover/Steve-Slow-Train-Analysis-(2080s-and-2083s)?_g=(refreshInterval:(display:Off,pause:!f,section:0,value:0),time:(from:'2017-10-03T08:25:33-0600',mode:absolute,to:'2017-10-03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223" t="str">
        <f>IF(AA176&lt;VLOOKUP(AG176,Variables!$AC$3:$AD$8,2,FALSE),"Y","N")</f>
        <v>N</v>
      </c>
      <c r="X176" s="223">
        <f t="shared" si="100"/>
        <v>1</v>
      </c>
      <c r="Y176" s="223">
        <f t="shared" si="95"/>
        <v>5.8663999999999996</v>
      </c>
      <c r="Z176" s="223">
        <f t="shared" si="96"/>
        <v>7.2599999999999998E-2</v>
      </c>
      <c r="AA176" s="223">
        <f t="shared" si="101"/>
        <v>5.7937999999999992</v>
      </c>
      <c r="AB176" s="224" t="e">
        <f>VLOOKUP(A176,Enforcements!$C$7:$K$11,8,0)</f>
        <v>#N/A</v>
      </c>
      <c r="AC176" s="224" t="e">
        <f>VLOOKUP(A176,Enforcements!$C$7:$E$11,3,0)</f>
        <v>#N/A</v>
      </c>
      <c r="AD176" s="225">
        <f t="shared" si="102"/>
        <v>814</v>
      </c>
      <c r="AE17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6" s="227" t="str">
        <f t="shared" si="81"/>
        <v>"C:\Program Files (x86)\AstroGrep\AstroGrep.exe" /e /r /s /spath="%USERPROFILE%\AppData\Local\Temp\OnboardLogs" /stypes="app*4007*20171003*" /stext=" 15:.+((SYSTEM_STATE.+slice.+state.+changed )|(ment ac)|(multiple cpu faults)|(system.+state.+changed )|(\[timeout)|(PRM\|1\|D)|(kpr)|(kdp)|(train st.+moving)|(\|lc)|(penalty))"</v>
      </c>
      <c r="AG176" s="228" t="str">
        <f t="shared" si="103"/>
        <v>NW</v>
      </c>
      <c r="AH176" s="229" t="str">
        <f t="shared" si="83"/>
        <v>"%USERPROFILE%\Documents\GitHub\eaglep3\Utilities\RefineRTDCRunTimes.py" --tripid 814-03 --locoid 4007 --swversion DE.1.0.9.0 --startMP 300:58664 --initTime 2017-10-03T09:25:33 --startdatetime 2017-10-03T09:43:01 --delay 52 --endMP 204:726 --enddatetime 2017-10-03T09:55:23 --enforcementcount 0 &gt;&gt;%USERPROFILE%\Documents\GitHub\eaglep3-reporting\EC\2017-10-03-refined-times.txt</v>
      </c>
      <c r="AI17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{"issue":{"subject":"","project_id":79,"tracker_id":40,"status_id":1,"priority_id":2,"assigned_to_id":338,"start_date":"2017-10-03","description":"","custom_fields":[{"id":1,"name":"Subdivision","value":"NW"},{"id":4,"name":"Milepost","value":"0.0726"},{"id":17,"name":"Train ID","value":"814-03"},{"id":16,"name":"Locomotive ID","value":"4007"},{"id":130,"name":"Impact","value":""},{"id":150,"name":"Time of Event (Mountain Time)","value":"09:55:23"},{"id":151,"name":"Denver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10"/>
      <c r="AK176" s="225"/>
      <c r="AL176" s="225"/>
      <c r="AM176" s="231" t="str">
        <f t="shared" si="85"/>
        <v>start /low /b %USERPROFILE%\Documents\GitHub\eaglep3\Utilities\DownloadLogsFromS3.py --loco 4007 --day 2017-10-03</v>
      </c>
      <c r="AN176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10" t="str">
        <f t="shared" si="87"/>
        <v>https://d0f6bd738d7f1b3e5a7ca70fe4ff75f0.us-east-1.aws.found.io/app/kibana#/discover/Steve-Slow-Train-Analysis-(2080s-and-2083s)?_g=(refreshInterval:(display:Off,pause:!f,section:0,value:0),time:(from:'2017-10-03T08:25:33-0600',mode:absolute,to:'2017-10-03T10:55:23-0600'))&amp;_a=(columns:!('Message%20ID',Summary),filters:!(),index:'emp_*',interval:auto,query:(query_string:(analyze_wildcard:!t,query:'%22rtdc.l.rtdc.4007%22')),sort:!(Time.ISO8601,asc))</v>
      </c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  <c r="BM176" s="210"/>
      <c r="BN176" s="210"/>
      <c r="BO176" s="210"/>
      <c r="BP176" s="210"/>
      <c r="BQ176" s="210"/>
      <c r="BR176" s="210"/>
      <c r="BS176" s="210"/>
      <c r="BT176" s="210"/>
      <c r="BU176" s="210"/>
      <c r="BV176" s="210"/>
      <c r="BW176" s="210"/>
      <c r="BX176" s="210"/>
      <c r="BY176" s="210"/>
      <c r="BZ176" s="210"/>
      <c r="CA176" s="210"/>
      <c r="CB176" s="210"/>
      <c r="CC176" s="210"/>
      <c r="CD176" s="210"/>
      <c r="CE176" s="210"/>
      <c r="CF176" s="210"/>
      <c r="CG176" s="210"/>
      <c r="CH176" s="210"/>
      <c r="CI176" s="210"/>
      <c r="CJ176" s="210"/>
      <c r="CK176" s="210"/>
      <c r="CL176" s="210"/>
      <c r="CM176" s="210"/>
    </row>
    <row r="177" spans="1:91" s="20" customFormat="1" x14ac:dyDescent="0.25">
      <c r="A177" s="32" t="s">
        <v>694</v>
      </c>
      <c r="B177" s="7">
        <v>4008</v>
      </c>
      <c r="C177" s="21" t="s">
        <v>194</v>
      </c>
      <c r="D177" s="21" t="s">
        <v>960</v>
      </c>
      <c r="E177" s="13">
        <v>43011.414826388886</v>
      </c>
      <c r="F177" s="13">
        <v>43011.423472222225</v>
      </c>
      <c r="G177" s="7">
        <v>51</v>
      </c>
      <c r="H177" s="21" t="s">
        <v>961</v>
      </c>
      <c r="I177" s="13">
        <v>43011.433171296296</v>
      </c>
      <c r="J177" s="7">
        <v>0</v>
      </c>
      <c r="K177" s="85" t="str">
        <f t="shared" si="97"/>
        <v>4007/4008</v>
      </c>
      <c r="L177" s="179" t="str">
        <f>VLOOKUP(A177,'Trips&amp;Operators'!$C$1:$G$99911,5,FALSE)</f>
        <v>FORTUNATO FRANK</v>
      </c>
      <c r="M177" s="6">
        <f t="shared" si="98"/>
        <v>9.6990740712499246E-3</v>
      </c>
      <c r="N177" s="7">
        <f t="shared" si="88"/>
        <v>13.966666662599891</v>
      </c>
      <c r="O177" s="7"/>
      <c r="P177" s="7"/>
      <c r="Q177" s="22"/>
      <c r="R177" s="169"/>
      <c r="S177" s="202">
        <f t="shared" si="89"/>
        <v>1</v>
      </c>
      <c r="T177" s="169" t="str">
        <f t="shared" si="99"/>
        <v>NorthBound</v>
      </c>
      <c r="U177" s="22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2" t="str">
        <f t="shared" si="74"/>
        <v>https://d0f6bd738d7f1b3e5a7ca70fe4ff75f0.us-east-1.aws.found.io/app/kibana#/discover/Steve-Slow-Train-Analysis-(2080s-and-2083s)?_g=(refreshInterval:(display:Off,pause:!f,section:0,value:0),time:(from:'2017-10-03T08:57:21-0600',mode:absolute,to:'2017-10-03T11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223" t="str">
        <f>IF(AA177&lt;VLOOKUP(AG177,Variables!$AC$3:$AD$8,2,FALSE),"Y","N")</f>
        <v>N</v>
      </c>
      <c r="X177" s="223">
        <f t="shared" si="100"/>
        <v>1</v>
      </c>
      <c r="Y177" s="223">
        <f t="shared" si="95"/>
        <v>0.1007</v>
      </c>
      <c r="Z177" s="223">
        <f t="shared" si="96"/>
        <v>5.8979999999999997</v>
      </c>
      <c r="AA177" s="223">
        <f t="shared" si="101"/>
        <v>5.7972999999999999</v>
      </c>
      <c r="AB177" s="224" t="e">
        <f>VLOOKUP(A177,Enforcements!$C$7:$K$11,8,0)</f>
        <v>#N/A</v>
      </c>
      <c r="AC177" s="224" t="e">
        <f>VLOOKUP(A177,Enforcements!$C$7:$E$11,3,0)</f>
        <v>#N/A</v>
      </c>
      <c r="AD177" s="225">
        <f t="shared" si="102"/>
        <v>815</v>
      </c>
      <c r="AE177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7" s="227" t="str">
        <f t="shared" si="81"/>
        <v>"C:\Program Files (x86)\AstroGrep\AstroGrep.exe" /e /r /s /spath="%USERPROFILE%\AppData\Local\Temp\OnboardLogs" /stypes="app*4008*20171003*" /stext=" 16:.+((SYSTEM_STATE.+slice.+state.+changed )|(ment ac)|(multiple cpu faults)|(system.+state.+changed )|(\[timeout)|(PRM\|1\|D)|(kpr)|(kdp)|(train st.+moving)|(\|lc)|(penalty))"</v>
      </c>
      <c r="AG177" s="228" t="str">
        <f t="shared" si="103"/>
        <v>NW</v>
      </c>
      <c r="AH177" s="229" t="str">
        <f t="shared" si="83"/>
        <v>"%USERPROFILE%\Documents\GitHub\eaglep3\Utilities\RefineRTDCRunTimes.py" --tripid 815-03 --locoid 4008 --swversion DE.1.0.9.0 --startMP 204:1007 --initTime 2017-10-03T09:57:21 --startdatetime 2017-10-03T10:09:48 --delay 51 --endMP 300:58980 --enddatetime 2017-10-03T10:23:46 --enforcementcount 0 &gt;&gt;%USERPROFILE%\Documents\GitHub\eaglep3-reporting\EC\2017-10-03-refined-times.txt</v>
      </c>
      <c r="AI17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{"issue":{"subject":"","project_id":79,"tracker_id":40,"status_id":1,"priority_id":2,"assigned_to_id":338,"start_date":"2017-10-03","description":"","custom_fields":[{"id":1,"name":"Subdivision","value":"NW"},{"id":4,"name":"Milepost","value":"5.898"},{"id":17,"name":"Train ID","value":"815-03"},{"id":16,"name":"Locomotive ID","value":"4008"},{"id":130,"name":"Impact","value":""},{"id":150,"name":"Time of Event (Mountain Time)","value":"10:23:46"},{"id":151,"name":"Denver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10"/>
      <c r="AK177" s="225"/>
      <c r="AL177" s="225"/>
      <c r="AM177" s="231" t="str">
        <f t="shared" si="85"/>
        <v>start /low /b %USERPROFILE%\Documents\GitHub\eaglep3\Utilities\DownloadLogsFromS3.py --loco 4008 --day 2017-10-03</v>
      </c>
      <c r="AN17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10" t="str">
        <f t="shared" si="87"/>
        <v>https://d0f6bd738d7f1b3e5a7ca70fe4ff75f0.us-east-1.aws.found.io/app/kibana#/discover/Steve-Slow-Train-Analysis-(2080s-and-2083s)?_g=(refreshInterval:(display:Off,pause:!f,section:0,value:0),time:(from:'2017-10-03T08:57:21-0600',mode:absolute,to:'2017-10-03T11:23:46-0600'))&amp;_a=(columns:!('Message%20ID',Summary),filters:!(),index:'emp_*',interval:auto,query:(query_string:(analyze_wildcard:!t,query:'%22rtdc.l.rtdc.4008%22')),sort:!(Time.ISO8601,asc))</v>
      </c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  <c r="BX177" s="210"/>
      <c r="BY177" s="210"/>
      <c r="BZ177" s="210"/>
      <c r="CA177" s="210"/>
      <c r="CB177" s="210"/>
      <c r="CC177" s="210"/>
      <c r="CD177" s="210"/>
      <c r="CE177" s="210"/>
      <c r="CF177" s="210"/>
      <c r="CG177" s="210"/>
      <c r="CH177" s="210"/>
      <c r="CI177" s="210"/>
      <c r="CJ177" s="210"/>
      <c r="CK177" s="210"/>
      <c r="CL177" s="210"/>
      <c r="CM177" s="210"/>
    </row>
    <row r="178" spans="1:91" s="20" customFormat="1" x14ac:dyDescent="0.25">
      <c r="A178" s="32" t="s">
        <v>699</v>
      </c>
      <c r="B178" s="7">
        <v>4007</v>
      </c>
      <c r="C178" s="21" t="s">
        <v>194</v>
      </c>
      <c r="D178" s="21" t="s">
        <v>962</v>
      </c>
      <c r="E178" s="13">
        <v>43011.434641203705</v>
      </c>
      <c r="F178" s="13">
        <v>43011.446608796294</v>
      </c>
      <c r="G178" s="7">
        <v>49</v>
      </c>
      <c r="H178" s="21" t="s">
        <v>963</v>
      </c>
      <c r="I178" s="13">
        <v>43011.45511574074</v>
      </c>
      <c r="J178" s="7">
        <v>0</v>
      </c>
      <c r="K178" s="85" t="str">
        <f t="shared" si="97"/>
        <v>4007/4008</v>
      </c>
      <c r="L178" s="179" t="str">
        <f>VLOOKUP(A178,'Trips&amp;Operators'!$C$1:$G$99911,5,FALSE)</f>
        <v>FORTUNATO FRANK</v>
      </c>
      <c r="M178" s="6">
        <f t="shared" si="98"/>
        <v>8.5069444467080757E-3</v>
      </c>
      <c r="N178" s="7">
        <f t="shared" si="88"/>
        <v>12.250000003259629</v>
      </c>
      <c r="O178" s="7"/>
      <c r="P178" s="7"/>
      <c r="Q178" s="22"/>
      <c r="R178" s="169"/>
      <c r="S178" s="202">
        <f t="shared" si="89"/>
        <v>1</v>
      </c>
      <c r="T178" s="169" t="str">
        <f t="shared" si="99"/>
        <v>Southbound</v>
      </c>
      <c r="U178" s="22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2" t="str">
        <f t="shared" si="74"/>
        <v>https://d0f6bd738d7f1b3e5a7ca70fe4ff75f0.us-east-1.aws.found.io/app/kibana#/discover/Steve-Slow-Train-Analysis-(2080s-and-2083s)?_g=(refreshInterval:(display:Off,pause:!f,section:0,value:0),time:(from:'2017-10-03T09:25:53-0600',mode:absolute,to:'2017-10-03T11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223" t="str">
        <f>IF(AA178&lt;VLOOKUP(AG178,Variables!$AC$3:$AD$8,2,FALSE),"Y","N")</f>
        <v>N</v>
      </c>
      <c r="X178" s="223">
        <f t="shared" si="100"/>
        <v>1</v>
      </c>
      <c r="Y178" s="223">
        <f t="shared" si="95"/>
        <v>5.8654999999999999</v>
      </c>
      <c r="Z178" s="223">
        <f t="shared" si="96"/>
        <v>7.3300000000000004E-2</v>
      </c>
      <c r="AA178" s="223">
        <f t="shared" si="101"/>
        <v>5.7922000000000002</v>
      </c>
      <c r="AB178" s="224" t="e">
        <f>VLOOKUP(A178,Enforcements!$C$7:$K$11,8,0)</f>
        <v>#N/A</v>
      </c>
      <c r="AC178" s="224" t="e">
        <f>VLOOKUP(A178,Enforcements!$C$7:$E$11,3,0)</f>
        <v>#N/A</v>
      </c>
      <c r="AD178" s="225">
        <f t="shared" si="102"/>
        <v>816</v>
      </c>
      <c r="AE178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8" s="227" t="str">
        <f t="shared" si="81"/>
        <v>"C:\Program Files (x86)\AstroGrep\AstroGrep.exe" /e /r /s /spath="%USERPROFILE%\AppData\Local\Temp\OnboardLogs" /stypes="app*4007*20171003*" /stext=" 16:.+((SYSTEM_STATE.+slice.+state.+changed )|(ment ac)|(multiple cpu faults)|(system.+state.+changed )|(\[timeout)|(PRM\|1\|D)|(kpr)|(kdp)|(train st.+moving)|(\|lc)|(penalty))"</v>
      </c>
      <c r="AG178" s="228" t="str">
        <f t="shared" si="103"/>
        <v>NW</v>
      </c>
      <c r="AH178" s="229" t="str">
        <f t="shared" si="83"/>
        <v>"%USERPROFILE%\Documents\GitHub\eaglep3\Utilities\RefineRTDCRunTimes.py" --tripid 816-03 --locoid 4007 --swversion DE.1.0.9.0 --startMP 300:58655 --initTime 2017-10-03T10:25:53 --startdatetime 2017-10-03T10:43:07 --delay 49 --endMP 204:733 --enddatetime 2017-10-03T10:55:22 --enforcementcount 0 &gt;&gt;%USERPROFILE%\Documents\GitHub\eaglep3-reporting\EC\2017-10-03-refined-times.txt</v>
      </c>
      <c r="AI178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{"issue":{"subject":"","project_id":79,"tracker_id":40,"status_id":1,"priority_id":2,"assigned_to_id":338,"start_date":"2017-10-03","description":"","custom_fields":[{"id":1,"name":"Subdivision","value":"NW"},{"id":4,"name":"Milepost","value":"0.0733"},{"id":17,"name":"Train ID","value":"816-03"},{"id":16,"name":"Locomotive ID","value":"4007"},{"id":130,"name":"Impact","value":""},{"id":150,"name":"Time of Event (Mountain Time)","value":"10:55:22"},{"id":151,"name":"Denver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10"/>
      <c r="AK178" s="225"/>
      <c r="AL178" s="225"/>
      <c r="AM178" s="231" t="str">
        <f t="shared" si="85"/>
        <v>start /low /b %USERPROFILE%\Documents\GitHub\eaglep3\Utilities\DownloadLogsFromS3.py --loco 4007 --day 2017-10-03</v>
      </c>
      <c r="AN178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10" t="str">
        <f t="shared" si="87"/>
        <v>https://d0f6bd738d7f1b3e5a7ca70fe4ff75f0.us-east-1.aws.found.io/app/kibana#/discover/Steve-Slow-Train-Analysis-(2080s-and-2083s)?_g=(refreshInterval:(display:Off,pause:!f,section:0,value:0),time:(from:'2017-10-03T09:25:53-0600',mode:absolute,to:'2017-10-03T11:55:22-0600'))&amp;_a=(columns:!('Message%20ID',Summary),filters:!(),index:'emp_*',interval:auto,query:(query_string:(analyze_wildcard:!t,query:'%22rtdc.l.rtdc.4007%22')),sort:!(Time.ISO8601,asc))</v>
      </c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  <c r="BM178" s="210"/>
      <c r="BN178" s="210"/>
      <c r="BO178" s="210"/>
      <c r="BP178" s="210"/>
      <c r="BQ178" s="210"/>
      <c r="BR178" s="210"/>
      <c r="BS178" s="210"/>
      <c r="BT178" s="210"/>
      <c r="BU178" s="210"/>
      <c r="BV178" s="210"/>
      <c r="BW178" s="210"/>
      <c r="BX178" s="210"/>
      <c r="BY178" s="210"/>
      <c r="BZ178" s="210"/>
      <c r="CA178" s="210"/>
      <c r="CB178" s="210"/>
      <c r="CC178" s="210"/>
      <c r="CD178" s="210"/>
      <c r="CE178" s="210"/>
      <c r="CF178" s="210"/>
      <c r="CG178" s="210"/>
      <c r="CH178" s="210"/>
      <c r="CI178" s="210"/>
      <c r="CJ178" s="210"/>
      <c r="CK178" s="210"/>
      <c r="CL178" s="210"/>
      <c r="CM178" s="210"/>
    </row>
    <row r="179" spans="1:91" s="20" customFormat="1" x14ac:dyDescent="0.25">
      <c r="A179" s="32" t="s">
        <v>706</v>
      </c>
      <c r="B179" s="7">
        <v>4008</v>
      </c>
      <c r="C179" s="21" t="s">
        <v>194</v>
      </c>
      <c r="D179" s="21" t="s">
        <v>964</v>
      </c>
      <c r="E179" s="13">
        <v>43011.45716435185</v>
      </c>
      <c r="F179" s="13">
        <v>43011.464733796296</v>
      </c>
      <c r="G179" s="7">
        <v>54</v>
      </c>
      <c r="H179" s="21" t="s">
        <v>965</v>
      </c>
      <c r="I179" s="13">
        <v>43011.474502314813</v>
      </c>
      <c r="J179" s="7">
        <v>0</v>
      </c>
      <c r="K179" s="85" t="str">
        <f t="shared" si="97"/>
        <v>4007/4008</v>
      </c>
      <c r="L179" s="179" t="str">
        <f>VLOOKUP(A179,'Trips&amp;Operators'!$C$1:$G$99911,5,FALSE)</f>
        <v>FORTUNATO FRANK</v>
      </c>
      <c r="M179" s="6">
        <f t="shared" si="98"/>
        <v>9.7685185173759237E-3</v>
      </c>
      <c r="N179" s="7">
        <f t="shared" si="88"/>
        <v>14.06666666502133</v>
      </c>
      <c r="O179" s="7"/>
      <c r="P179" s="7"/>
      <c r="Q179" s="22"/>
      <c r="R179" s="169"/>
      <c r="S179" s="202">
        <f t="shared" si="89"/>
        <v>1</v>
      </c>
      <c r="T179" s="169" t="str">
        <f t="shared" si="99"/>
        <v>NorthBound</v>
      </c>
      <c r="U179" s="22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2" t="str">
        <f t="shared" si="74"/>
        <v>https://d0f6bd738d7f1b3e5a7ca70fe4ff75f0.us-east-1.aws.found.io/app/kibana#/discover/Steve-Slow-Train-Analysis-(2080s-and-2083s)?_g=(refreshInterval:(display:Off,pause:!f,section:0,value:0),time:(from:'2017-10-03T09:58:19-0600',mode:absolute,to:'2017-10-03T12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223" t="str">
        <f>IF(AA179&lt;VLOOKUP(AG179,Variables!$AC$3:$AD$8,2,FALSE),"Y","N")</f>
        <v>N</v>
      </c>
      <c r="X179" s="223">
        <f t="shared" si="100"/>
        <v>1</v>
      </c>
      <c r="Y179" s="223">
        <f t="shared" si="95"/>
        <v>0.1011</v>
      </c>
      <c r="Z179" s="223">
        <f t="shared" si="96"/>
        <v>5.8998999999999997</v>
      </c>
      <c r="AA179" s="223">
        <f t="shared" si="101"/>
        <v>5.7988</v>
      </c>
      <c r="AB179" s="224" t="e">
        <f>VLOOKUP(A179,Enforcements!$C$7:$K$11,8,0)</f>
        <v>#N/A</v>
      </c>
      <c r="AC179" s="224" t="e">
        <f>VLOOKUP(A179,Enforcements!$C$7:$E$11,3,0)</f>
        <v>#N/A</v>
      </c>
      <c r="AD179" s="225">
        <f t="shared" si="102"/>
        <v>817</v>
      </c>
      <c r="AE179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9" s="227" t="str">
        <f t="shared" si="81"/>
        <v>"C:\Program Files (x86)\AstroGrep\AstroGrep.exe" /e /r /s /spath="%USERPROFILE%\AppData\Local\Temp\OnboardLogs" /stypes="app*4008*20171003*" /stext=" 17:.+((SYSTEM_STATE.+slice.+state.+changed )|(ment ac)|(multiple cpu faults)|(system.+state.+changed )|(\[timeout)|(PRM\|1\|D)|(kpr)|(kdp)|(train st.+moving)|(\|lc)|(penalty))"</v>
      </c>
      <c r="AG179" s="228" t="str">
        <f t="shared" si="103"/>
        <v>NW</v>
      </c>
      <c r="AH179" s="229" t="str">
        <f t="shared" si="83"/>
        <v>"%USERPROFILE%\Documents\GitHub\eaglep3\Utilities\RefineRTDCRunTimes.py" --tripid 817-03 --locoid 4008 --swversion DE.1.0.9.0 --startMP 204:1011 --initTime 2017-10-03T10:58:19 --startdatetime 2017-10-03T11:09:13 --delay 54 --endMP 300:58999 --enddatetime 2017-10-03T11:23:17 --enforcementcount 0 &gt;&gt;%USERPROFILE%\Documents\GitHub\eaglep3-reporting\EC\2017-10-03-refined-times.txt</v>
      </c>
      <c r="AI17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{"issue":{"subject":"","project_id":79,"tracker_id":40,"status_id":1,"priority_id":2,"assigned_to_id":338,"start_date":"2017-10-03","description":"","custom_fields":[{"id":1,"name":"Subdivision","value":"NW"},{"id":4,"name":"Milepost","value":"5.8999"},{"id":17,"name":"Train ID","value":"817-03"},{"id":16,"name":"Locomotive ID","value":"4008"},{"id":130,"name":"Impact","value":""},{"id":150,"name":"Time of Event (Mountain Time)","value":"11:23:17"},{"id":151,"name":"Denver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10"/>
      <c r="AK179" s="225"/>
      <c r="AL179" s="225"/>
      <c r="AM179" s="231" t="str">
        <f t="shared" si="85"/>
        <v>start /low /b %USERPROFILE%\Documents\GitHub\eaglep3\Utilities\DownloadLogsFromS3.py --loco 4008 --day 2017-10-03</v>
      </c>
      <c r="AN179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10" t="str">
        <f t="shared" si="87"/>
        <v>https://d0f6bd738d7f1b3e5a7ca70fe4ff75f0.us-east-1.aws.found.io/app/kibana#/discover/Steve-Slow-Train-Analysis-(2080s-and-2083s)?_g=(refreshInterval:(display:Off,pause:!f,section:0,value:0),time:(from:'2017-10-03T09:58:19-0600',mode:absolute,to:'2017-10-03T12:23:17-0600'))&amp;_a=(columns:!('Message%20ID',Summary),filters:!(),index:'emp_*',interval:auto,query:(query_string:(analyze_wildcard:!t,query:'%22rtdc.l.rtdc.4008%22')),sort:!(Time.ISO8601,asc))</v>
      </c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  <c r="BM179" s="210"/>
      <c r="BN179" s="210"/>
      <c r="BO179" s="210"/>
      <c r="BP179" s="210"/>
      <c r="BQ179" s="210"/>
      <c r="BR179" s="210"/>
      <c r="BS179" s="210"/>
      <c r="BT179" s="210"/>
      <c r="BU179" s="210"/>
      <c r="BV179" s="210"/>
      <c r="BW179" s="210"/>
      <c r="BX179" s="210"/>
      <c r="BY179" s="210"/>
      <c r="BZ179" s="210"/>
      <c r="CA179" s="210"/>
      <c r="CB179" s="210"/>
      <c r="CC179" s="210"/>
      <c r="CD179" s="210"/>
      <c r="CE179" s="210"/>
      <c r="CF179" s="210"/>
      <c r="CG179" s="210"/>
      <c r="CH179" s="210"/>
      <c r="CI179" s="210"/>
      <c r="CJ179" s="210"/>
      <c r="CK179" s="210"/>
      <c r="CL179" s="210"/>
      <c r="CM179" s="210"/>
    </row>
    <row r="180" spans="1:91" s="20" customFormat="1" x14ac:dyDescent="0.25">
      <c r="A180" s="32" t="s">
        <v>713</v>
      </c>
      <c r="B180" s="7">
        <v>4007</v>
      </c>
      <c r="C180" s="21" t="s">
        <v>194</v>
      </c>
      <c r="D180" s="21" t="s">
        <v>966</v>
      </c>
      <c r="E180" s="13">
        <v>43011.475856481484</v>
      </c>
      <c r="F180" s="13">
        <v>43011.488437499997</v>
      </c>
      <c r="G180" s="7">
        <v>56</v>
      </c>
      <c r="H180" s="21" t="s">
        <v>967</v>
      </c>
      <c r="I180" s="13">
        <v>43011.496840277781</v>
      </c>
      <c r="J180" s="7">
        <v>0</v>
      </c>
      <c r="K180" s="85" t="str">
        <f t="shared" si="97"/>
        <v>4007/4008</v>
      </c>
      <c r="L180" s="179" t="str">
        <f>VLOOKUP(A180,'Trips&amp;Operators'!$C$1:$G$99911,5,FALSE)</f>
        <v>FORTUNATO FRANK</v>
      </c>
      <c r="M180" s="6">
        <f t="shared" si="98"/>
        <v>8.4027777847950347E-3</v>
      </c>
      <c r="N180" s="7">
        <f t="shared" si="88"/>
        <v>12.10000001010485</v>
      </c>
      <c r="O180" s="7"/>
      <c r="P180" s="7"/>
      <c r="Q180" s="22"/>
      <c r="R180" s="169"/>
      <c r="S180" s="202">
        <f t="shared" si="89"/>
        <v>1</v>
      </c>
      <c r="T180" s="169" t="str">
        <f t="shared" si="99"/>
        <v>Southbound</v>
      </c>
      <c r="U180" s="22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2" t="str">
        <f t="shared" si="74"/>
        <v>https://d0f6bd738d7f1b3e5a7ca70fe4ff75f0.us-east-1.aws.found.io/app/kibana#/discover/Steve-Slow-Train-Analysis-(2080s-and-2083s)?_g=(refreshInterval:(display:Off,pause:!f,section:0,value:0),time:(from:'2017-10-03T10:25:14-0600',mode:absolute,to:'2017-10-03T12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23" t="str">
        <f>IF(AA180&lt;VLOOKUP(AG180,Variables!$AC$3:$AD$8,2,FALSE),"Y","N")</f>
        <v>N</v>
      </c>
      <c r="X180" s="223">
        <f t="shared" si="100"/>
        <v>1</v>
      </c>
      <c r="Y180" s="223">
        <f t="shared" si="95"/>
        <v>5.8678999999999997</v>
      </c>
      <c r="Z180" s="223">
        <f t="shared" si="96"/>
        <v>6.7500000000000004E-2</v>
      </c>
      <c r="AA180" s="223">
        <f t="shared" si="101"/>
        <v>5.8003999999999998</v>
      </c>
      <c r="AB180" s="224" t="e">
        <f>VLOOKUP(A180,Enforcements!$C$7:$K$11,8,0)</f>
        <v>#N/A</v>
      </c>
      <c r="AC180" s="224" t="e">
        <f>VLOOKUP(A180,Enforcements!$C$7:$E$11,3,0)</f>
        <v>#N/A</v>
      </c>
      <c r="AD180" s="225">
        <f t="shared" si="102"/>
        <v>818</v>
      </c>
      <c r="AE180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0" s="227" t="str">
        <f t="shared" si="81"/>
        <v>"C:\Program Files (x86)\AstroGrep\AstroGrep.exe" /e /r /s /spath="%USERPROFILE%\AppData\Local\Temp\OnboardLogs" /stypes="app*4007*20171003*" /stext=" 17:.+((SYSTEM_STATE.+slice.+state.+changed )|(ment ac)|(multiple cpu faults)|(system.+state.+changed )|(\[timeout)|(PRM\|1\|D)|(kpr)|(kdp)|(train st.+moving)|(\|lc)|(penalty))"</v>
      </c>
      <c r="AG180" s="228" t="str">
        <f t="shared" si="103"/>
        <v>NW</v>
      </c>
      <c r="AH180" s="229" t="str">
        <f t="shared" si="83"/>
        <v>"%USERPROFILE%\Documents\GitHub\eaglep3\Utilities\RefineRTDCRunTimes.py" --tripid 818-03 --locoid 4007 --swversion DE.1.0.9.0 --startMP 300:58679 --initTime 2017-10-03T11:25:14 --startdatetime 2017-10-03T11:43:21 --delay 56 --endMP 204:675 --enddatetime 2017-10-03T11:55:27 --enforcementcount 0 &gt;&gt;%USERPROFILE%\Documents\GitHub\eaglep3-reporting\EC\2017-10-03-refined-times.txt</v>
      </c>
      <c r="AI18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{"issue":{"subject":"","project_id":79,"tracker_id":40,"status_id":1,"priority_id":2,"assigned_to_id":338,"start_date":"2017-10-03","description":"","custom_fields":[{"id":1,"name":"Subdivision","value":"NW"},{"id":4,"name":"Milepost","value":"0.0675"},{"id":17,"name":"Train ID","value":"818-03"},{"id":16,"name":"Locomotive ID","value":"4007"},{"id":130,"name":"Impact","value":""},{"id":150,"name":"Time of Event (Mountain Time)","value":"11:55:27"},{"id":151,"name":"Denver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10"/>
      <c r="AK180" s="225"/>
      <c r="AL180" s="225"/>
      <c r="AM180" s="231" t="str">
        <f t="shared" si="85"/>
        <v>start /low /b %USERPROFILE%\Documents\GitHub\eaglep3\Utilities\DownloadLogsFromS3.py --loco 4007 --day 2017-10-03</v>
      </c>
      <c r="AN180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10" t="str">
        <f t="shared" si="87"/>
        <v>https://d0f6bd738d7f1b3e5a7ca70fe4ff75f0.us-east-1.aws.found.io/app/kibana#/discover/Steve-Slow-Train-Analysis-(2080s-and-2083s)?_g=(refreshInterval:(display:Off,pause:!f,section:0,value:0),time:(from:'2017-10-03T10:25:14-0600',mode:absolute,to:'2017-10-03T12:55:27-0600'))&amp;_a=(columns:!('Message%20ID',Summary),filters:!(),index:'emp_*',interval:auto,query:(query_string:(analyze_wildcard:!t,query:'%22rtdc.l.rtdc.4007%22')),sort:!(Time.ISO8601,asc))</v>
      </c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  <c r="BM180" s="210"/>
      <c r="BN180" s="210"/>
      <c r="BO180" s="210"/>
      <c r="BP180" s="210"/>
      <c r="BQ180" s="210"/>
      <c r="BR180" s="210"/>
      <c r="BS180" s="210"/>
      <c r="BT180" s="210"/>
      <c r="BU180" s="210"/>
      <c r="BV180" s="210"/>
      <c r="BW180" s="210"/>
      <c r="BX180" s="210"/>
      <c r="BY180" s="210"/>
      <c r="BZ180" s="210"/>
      <c r="CA180" s="210"/>
      <c r="CB180" s="210"/>
      <c r="CC180" s="210"/>
      <c r="CD180" s="210"/>
      <c r="CE180" s="210"/>
      <c r="CF180" s="210"/>
      <c r="CG180" s="210"/>
      <c r="CH180" s="210"/>
      <c r="CI180" s="210"/>
      <c r="CJ180" s="210"/>
      <c r="CK180" s="210"/>
      <c r="CL180" s="210"/>
      <c r="CM180" s="210"/>
    </row>
    <row r="181" spans="1:91" s="20" customFormat="1" x14ac:dyDescent="0.25">
      <c r="A181" s="32" t="s">
        <v>722</v>
      </c>
      <c r="B181" s="7">
        <v>4008</v>
      </c>
      <c r="C181" s="21" t="s">
        <v>194</v>
      </c>
      <c r="D181" s="21" t="s">
        <v>576</v>
      </c>
      <c r="E181" s="13">
        <v>43011.498113425929</v>
      </c>
      <c r="F181" s="13">
        <v>43011.506423611114</v>
      </c>
      <c r="G181" s="7">
        <v>49</v>
      </c>
      <c r="H181" s="21" t="s">
        <v>968</v>
      </c>
      <c r="I181" s="13">
        <v>43011.516770833332</v>
      </c>
      <c r="J181" s="7">
        <v>0</v>
      </c>
      <c r="K181" s="85" t="str">
        <f t="shared" si="97"/>
        <v>4007/4008</v>
      </c>
      <c r="L181" s="179" t="str">
        <f>VLOOKUP(A181,'Trips&amp;Operators'!$C$1:$G$99911,5,FALSE)</f>
        <v>FORTUNATO FRANK</v>
      </c>
      <c r="M181" s="6">
        <f t="shared" si="98"/>
        <v>1.0347222218115348E-2</v>
      </c>
      <c r="N181" s="7">
        <f t="shared" si="88"/>
        <v>14.899999994086102</v>
      </c>
      <c r="O181" s="7"/>
      <c r="P181" s="7"/>
      <c r="Q181" s="22"/>
      <c r="R181" s="169"/>
      <c r="S181" s="202">
        <f t="shared" si="89"/>
        <v>1</v>
      </c>
      <c r="T181" s="169" t="str">
        <f t="shared" si="99"/>
        <v>NorthBound</v>
      </c>
      <c r="U181" s="22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2" t="str">
        <f t="shared" si="74"/>
        <v>https://d0f6bd738d7f1b3e5a7ca70fe4ff75f0.us-east-1.aws.found.io/app/kibana#/discover/Steve-Slow-Train-Analysis-(2080s-and-2083s)?_g=(refreshInterval:(display:Off,pause:!f,section:0,value:0),time:(from:'2017-10-03T10:57:17-0600',mode:absolute,to:'2017-10-03T13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23" t="str">
        <f>IF(AA181&lt;VLOOKUP(AG181,Variables!$AC$3:$AD$8,2,FALSE),"Y","N")</f>
        <v>N</v>
      </c>
      <c r="X181" s="223">
        <f t="shared" si="100"/>
        <v>1</v>
      </c>
      <c r="Y181" s="223">
        <f t="shared" si="95"/>
        <v>9.7100000000000006E-2</v>
      </c>
      <c r="Z181" s="223">
        <f t="shared" si="96"/>
        <v>5.8983999999999996</v>
      </c>
      <c r="AA181" s="223">
        <f t="shared" si="101"/>
        <v>5.8012999999999995</v>
      </c>
      <c r="AB181" s="224" t="e">
        <f>VLOOKUP(A181,Enforcements!$C$7:$K$11,8,0)</f>
        <v>#N/A</v>
      </c>
      <c r="AC181" s="224" t="e">
        <f>VLOOKUP(A181,Enforcements!$C$7:$E$11,3,0)</f>
        <v>#N/A</v>
      </c>
      <c r="AD181" s="225">
        <f t="shared" si="102"/>
        <v>819</v>
      </c>
      <c r="AE181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1" s="227" t="str">
        <f t="shared" si="81"/>
        <v>"C:\Program Files (x86)\AstroGrep\AstroGrep.exe" /e /r /s /spath="%USERPROFILE%\AppData\Local\Temp\OnboardLogs" /stypes="app*4008*20171003*" /stext=" 18:.+((SYSTEM_STATE.+slice.+state.+changed )|(ment ac)|(multiple cpu faults)|(system.+state.+changed )|(\[timeout)|(PRM\|1\|D)|(kpr)|(kdp)|(train st.+moving)|(\|lc)|(penalty))"</v>
      </c>
      <c r="AG181" s="228" t="str">
        <f t="shared" si="103"/>
        <v>NW</v>
      </c>
      <c r="AH181" s="229" t="str">
        <f t="shared" si="83"/>
        <v>"%USERPROFILE%\Documents\GitHub\eaglep3\Utilities\RefineRTDCRunTimes.py" --tripid 819-03 --locoid 4008 --swversion DE.1.0.9.0 --startMP 204:971 --initTime 2017-10-03T11:57:17 --startdatetime 2017-10-03T12:09:15 --delay 49 --endMP 300:58984 --enddatetime 2017-10-03T12:24:09 --enforcementcount 0 &gt;&gt;%USERPROFILE%\Documents\GitHub\eaglep3-reporting\EC\2017-10-03-refined-times.txt</v>
      </c>
      <c r="AI18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{"issue":{"subject":"","project_id":79,"tracker_id":40,"status_id":1,"priority_id":2,"assigned_to_id":338,"start_date":"2017-10-03","description":"","custom_fields":[{"id":1,"name":"Subdivision","value":"NW"},{"id":4,"name":"Milepost","value":"5.8984"},{"id":17,"name":"Train ID","value":"819-03"},{"id":16,"name":"Locomotive ID","value":"4008"},{"id":130,"name":"Impact","value":""},{"id":150,"name":"Time of Event (Mountain Time)","value":"12:24:09"},{"id":151,"name":"Denver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10"/>
      <c r="AK181" s="225"/>
      <c r="AL181" s="225"/>
      <c r="AM181" s="231" t="str">
        <f t="shared" si="85"/>
        <v>start /low /b %USERPROFILE%\Documents\GitHub\eaglep3\Utilities\DownloadLogsFromS3.py --loco 4008 --day 2017-10-03</v>
      </c>
      <c r="AN181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10" t="str">
        <f t="shared" si="87"/>
        <v>https://d0f6bd738d7f1b3e5a7ca70fe4ff75f0.us-east-1.aws.found.io/app/kibana#/discover/Steve-Slow-Train-Analysis-(2080s-and-2083s)?_g=(refreshInterval:(display:Off,pause:!f,section:0,value:0),time:(from:'2017-10-03T10:57:17-0600',mode:absolute,to:'2017-10-03T13:24:09-0600'))&amp;_a=(columns:!('Message%20ID',Summary),filters:!(),index:'emp_*',interval:auto,query:(query_string:(analyze_wildcard:!t,query:'%22rtdc.l.rtdc.4008%22')),sort:!(Time.ISO8601,asc))</v>
      </c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  <c r="BM181" s="210"/>
      <c r="BN181" s="210"/>
      <c r="BO181" s="210"/>
      <c r="BP181" s="210"/>
      <c r="BQ181" s="210"/>
      <c r="BR181" s="210"/>
      <c r="BS181" s="210"/>
      <c r="BT181" s="210"/>
      <c r="BU181" s="210"/>
      <c r="BV181" s="210"/>
      <c r="BW181" s="210"/>
      <c r="BX181" s="210"/>
      <c r="BY181" s="210"/>
      <c r="BZ181" s="210"/>
      <c r="CA181" s="210"/>
      <c r="CB181" s="210"/>
      <c r="CC181" s="210"/>
      <c r="CD181" s="210"/>
      <c r="CE181" s="210"/>
      <c r="CF181" s="210"/>
      <c r="CG181" s="210"/>
      <c r="CH181" s="210"/>
      <c r="CI181" s="210"/>
      <c r="CJ181" s="210"/>
      <c r="CK181" s="210"/>
      <c r="CL181" s="210"/>
      <c r="CM181" s="210"/>
    </row>
    <row r="182" spans="1:91" s="20" customFormat="1" x14ac:dyDescent="0.25">
      <c r="A182" s="32" t="s">
        <v>729</v>
      </c>
      <c r="B182" s="7">
        <v>4007</v>
      </c>
      <c r="C182" s="21" t="s">
        <v>194</v>
      </c>
      <c r="D182" s="21" t="s">
        <v>969</v>
      </c>
      <c r="E182" s="13">
        <v>43011.518125000002</v>
      </c>
      <c r="F182" s="13">
        <v>43011.529398148145</v>
      </c>
      <c r="G182" s="7">
        <v>47</v>
      </c>
      <c r="H182" s="21" t="s">
        <v>579</v>
      </c>
      <c r="I182" s="13">
        <v>43011.538449074076</v>
      </c>
      <c r="J182" s="7">
        <v>0</v>
      </c>
      <c r="K182" s="85" t="str">
        <f t="shared" si="97"/>
        <v>4007/4008</v>
      </c>
      <c r="L182" s="179" t="str">
        <f>VLOOKUP(A182,'Trips&amp;Operators'!$C$1:$G$99911,5,FALSE)</f>
        <v>FORTUNATO FRANK</v>
      </c>
      <c r="M182" s="6">
        <f t="shared" si="98"/>
        <v>9.0509259316604584E-3</v>
      </c>
      <c r="N182" s="7">
        <f t="shared" si="88"/>
        <v>13.03333334159106</v>
      </c>
      <c r="O182" s="7"/>
      <c r="P182" s="7"/>
      <c r="Q182" s="22"/>
      <c r="R182" s="169" t="s">
        <v>1020</v>
      </c>
      <c r="S182" s="202">
        <f t="shared" si="89"/>
        <v>1</v>
      </c>
      <c r="T182" s="169" t="str">
        <f t="shared" si="99"/>
        <v>Southbound</v>
      </c>
      <c r="U182" s="22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2" t="str">
        <f t="shared" si="74"/>
        <v>https://d0f6bd738d7f1b3e5a7ca70fe4ff75f0.us-east-1.aws.found.io/app/kibana#/discover/Steve-Slow-Train-Analysis-(2080s-and-2083s)?_g=(refreshInterval:(display:Off,pause:!f,section:0,value:0),time:(from:'2017-10-03T11:26:06-0600',mode:absolute,to:'2017-10-03T13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223" t="str">
        <f>IF(AA182&lt;VLOOKUP(AG182,Variables!$AC$3:$AD$8,2,FALSE),"Y","N")</f>
        <v>N</v>
      </c>
      <c r="X182" s="223">
        <f t="shared" si="100"/>
        <v>1</v>
      </c>
      <c r="Y182" s="223">
        <f t="shared" si="95"/>
        <v>5.8659999999999997</v>
      </c>
      <c r="Z182" s="223">
        <f t="shared" si="96"/>
        <v>7.0499999999999993E-2</v>
      </c>
      <c r="AA182" s="223">
        <f t="shared" si="101"/>
        <v>5.7954999999999997</v>
      </c>
      <c r="AB182" s="224" t="e">
        <f>VLOOKUP(A182,Enforcements!$C$7:$K$11,8,0)</f>
        <v>#N/A</v>
      </c>
      <c r="AC182" s="224" t="e">
        <f>VLOOKUP(A182,Enforcements!$C$7:$E$11,3,0)</f>
        <v>#N/A</v>
      </c>
      <c r="AD182" s="225">
        <f t="shared" si="102"/>
        <v>820</v>
      </c>
      <c r="AE182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2" s="227" t="str">
        <f t="shared" si="81"/>
        <v>"C:\Program Files (x86)\AstroGrep\AstroGrep.exe" /e /r /s /spath="%USERPROFILE%\AppData\Local\Temp\OnboardLogs" /stypes="app*4007*20171003*" /stext=" 18:.+((SYSTEM_STATE.+slice.+state.+changed )|(ment ac)|(multiple cpu faults)|(system.+state.+changed )|(\[timeout)|(PRM\|1\|D)|(kpr)|(kdp)|(train st.+moving)|(\|lc)|(penalty))"</v>
      </c>
      <c r="AG182" s="228" t="str">
        <f t="shared" si="103"/>
        <v>NW</v>
      </c>
      <c r="AH182" s="229" t="str">
        <f t="shared" si="83"/>
        <v>"%USERPROFILE%\Documents\GitHub\eaglep3\Utilities\RefineRTDCRunTimes.py" --tripid 820-03 --locoid 4007 --swversion DE.1.0.9.0 --startMP 300:58660 --initTime 2017-10-03T12:26:06 --startdatetime 2017-10-03T12:42:20 --delay 47 --endMP 204:705 --enddatetime 2017-10-03T12:55:22 --enforcementcount 0 &gt;&gt;%USERPROFILE%\Documents\GitHub\eaglep3-reporting\EC\2017-10-03-refined-times.txt</v>
      </c>
      <c r="AI182" s="230" t="str">
        <f t="shared" si="84"/>
        <v>echo {"issue":{"subject":"No evidence of red fence in onboard logs","project_id":79,"tracker_id":40,"status_id":1,"priority_id":2,"assigned_to_id":338,"start_date":"2017-10-03","description":"","custom_fields":[{"id":1,"name":"Subdivision","value":"NW"},{"id":4,"name":"Milepost","value":"0.0705"},{"id":17,"name":"Train ID","value":"820-03"},{"id":16,"name":"Locomotive ID","value":"4007"},{"id":130,"name":"Impact","value":""},{"id":150,"name":"Time of Event (Mountain Time)","value":"12:55:22"},{"id":151,"name":"Denver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10"/>
      <c r="AK182" s="225"/>
      <c r="AL182" s="225"/>
      <c r="AM182" s="231" t="str">
        <f t="shared" si="85"/>
        <v>start /low /b %USERPROFILE%\Documents\GitHub\eaglep3\Utilities\DownloadLogsFromS3.py --loco 4007 --day 2017-10-03</v>
      </c>
      <c r="AN182" s="232" t="str">
        <f t="shared" si="86"/>
        <v>echo {"issue":{"subject":"No evidence of red fence in onboard logs","project_id":30,"tracker_id":4,"status_id":1,"priority_id":1,"assigned_to_id":10,"start_date":"2017-10-03","description":"","custom_fields":[{"id":30,"name":"Category","value":"Issue"},{"id":3,"name":"Functional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10" t="str">
        <f t="shared" si="87"/>
        <v>https://d0f6bd738d7f1b3e5a7ca70fe4ff75f0.us-east-1.aws.found.io/app/kibana#/discover/Steve-Slow-Train-Analysis-(2080s-and-2083s)?_g=(refreshInterval:(display:Off,pause:!f,section:0,value:0),time:(from:'2017-10-03T11:26:06-0600',mode:absolute,to:'2017-10-03T13:55:22-0600'))&amp;_a=(columns:!('Message%20ID',Summary),filters:!(),index:'emp_*',interval:auto,query:(query_string:(analyze_wildcard:!t,query:'%22rtdc.l.rtdc.4007%22')),sort:!(Time.ISO8601,asc))</v>
      </c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  <c r="BM182" s="210"/>
      <c r="BN182" s="210"/>
      <c r="BO182" s="210"/>
      <c r="BP182" s="210"/>
      <c r="BQ182" s="210"/>
      <c r="BR182" s="210"/>
      <c r="BS182" s="210"/>
      <c r="BT182" s="210"/>
      <c r="BU182" s="210"/>
      <c r="BV182" s="210"/>
      <c r="BW182" s="210"/>
      <c r="BX182" s="210"/>
      <c r="BY182" s="210"/>
      <c r="BZ182" s="210"/>
      <c r="CA182" s="210"/>
      <c r="CB182" s="210"/>
      <c r="CC182" s="210"/>
      <c r="CD182" s="210"/>
      <c r="CE182" s="210"/>
      <c r="CF182" s="210"/>
      <c r="CG182" s="210"/>
      <c r="CH182" s="210"/>
      <c r="CI182" s="210"/>
      <c r="CJ182" s="210"/>
      <c r="CK182" s="210"/>
      <c r="CL182" s="210"/>
      <c r="CM182" s="210"/>
    </row>
    <row r="183" spans="1:91" s="20" customFormat="1" x14ac:dyDescent="0.25">
      <c r="A183" s="32" t="s">
        <v>734</v>
      </c>
      <c r="B183" s="7">
        <v>4008</v>
      </c>
      <c r="C183" s="21" t="s">
        <v>194</v>
      </c>
      <c r="D183" s="21" t="s">
        <v>516</v>
      </c>
      <c r="E183" s="13">
        <v>43011.541759259257</v>
      </c>
      <c r="F183" s="13">
        <v>43011.548090277778</v>
      </c>
      <c r="G183" s="7">
        <v>98</v>
      </c>
      <c r="H183" s="21" t="s">
        <v>583</v>
      </c>
      <c r="I183" s="13">
        <v>43011.557523148149</v>
      </c>
      <c r="J183" s="7">
        <v>0</v>
      </c>
      <c r="K183" s="85" t="str">
        <f t="shared" si="97"/>
        <v>4007/4008</v>
      </c>
      <c r="L183" s="179" t="str">
        <f>VLOOKUP(A183,'Trips&amp;Operators'!$C$1:$G$99911,5,FALSE)</f>
        <v>GUZMAN DANNY</v>
      </c>
      <c r="M183" s="6">
        <f t="shared" si="98"/>
        <v>9.4328703708015382E-3</v>
      </c>
      <c r="N183" s="7">
        <f t="shared" ref="N183:N208" si="104">24*60*SUM($M183:$M183)</f>
        <v>13.583333333954215</v>
      </c>
      <c r="O183" s="7"/>
      <c r="P183" s="7"/>
      <c r="Q183" s="22"/>
      <c r="R183" s="169"/>
      <c r="S183" s="202">
        <f t="shared" ref="S183:S208" si="105">1/IF(AG183="EC",12,1)*SUM(U183:U183)</f>
        <v>1</v>
      </c>
      <c r="T183" s="169" t="str">
        <f t="shared" si="99"/>
        <v>NorthBound</v>
      </c>
      <c r="U183" s="22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2" t="str">
        <f t="shared" si="74"/>
        <v>https://d0f6bd738d7f1b3e5a7ca70fe4ff75f0.us-east-1.aws.found.io/app/kibana#/discover/Steve-Slow-Train-Analysis-(2080s-and-2083s)?_g=(refreshInterval:(display:Off,pause:!f,section:0,value:0),time:(from:'2017-10-03T12:00:08-0600',mode:absolute,to:'2017-10-03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223" t="str">
        <f>IF(AA183&lt;VLOOKUP(AG183,Variables!$AC$3:$AD$8,2,FALSE),"Y","N")</f>
        <v>N</v>
      </c>
      <c r="X183" s="223">
        <f t="shared" si="100"/>
        <v>1</v>
      </c>
      <c r="Y183" s="223">
        <f t="shared" si="95"/>
        <v>9.74E-2</v>
      </c>
      <c r="Z183" s="223">
        <f t="shared" si="96"/>
        <v>5.8929</v>
      </c>
      <c r="AA183" s="223">
        <f t="shared" si="101"/>
        <v>5.7954999999999997</v>
      </c>
      <c r="AB183" s="224" t="e">
        <f>VLOOKUP(A183,Enforcements!$C$7:$K$11,8,0)</f>
        <v>#N/A</v>
      </c>
      <c r="AC183" s="224" t="e">
        <f>VLOOKUP(A183,Enforcements!$C$7:$E$11,3,0)</f>
        <v>#N/A</v>
      </c>
      <c r="AD183" s="225">
        <f t="shared" si="102"/>
        <v>821</v>
      </c>
      <c r="AE183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3" s="227" t="str">
        <f t="shared" si="81"/>
        <v>"C:\Program Files (x86)\AstroGrep\AstroGrep.exe" /e /r /s /spath="%USERPROFILE%\AppData\Local\Temp\OnboardLogs" /stypes="app*4008*20171003*" /stext=" 19:.+((SYSTEM_STATE.+slice.+state.+changed )|(ment ac)|(multiple cpu faults)|(system.+state.+changed )|(\[timeout)|(PRM\|1\|D)|(kpr)|(kdp)|(train st.+moving)|(\|lc)|(penalty))"</v>
      </c>
      <c r="AG183" s="228" t="str">
        <f t="shared" si="103"/>
        <v>NW</v>
      </c>
      <c r="AH183" s="229" t="str">
        <f t="shared" si="83"/>
        <v>"%USERPROFILE%\Documents\GitHub\eaglep3\Utilities\RefineRTDCRunTimes.py" --tripid 821-03 --locoid 4008 --swversion DE.1.0.9.0 --startMP 204:974 --initTime 2017-10-03T13:00:08 --startdatetime 2017-10-03T13:09:15 --delay 98 --endMP 300:58929 --enddatetime 2017-10-03T13:22:50 --enforcementcount 0 &gt;&gt;%USERPROFILE%\Documents\GitHub\eaglep3-reporting\EC\2017-10-03-refined-times.txt</v>
      </c>
      <c r="AI18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ID","value":"821-03"},{"id":16,"name":"Locomotive ID","value":"4008"},{"id":130,"name":"Impact","value":""},{"id":150,"name":"Time of Event (Mountain Time)","value":"13:22:50"},{"id":151,"name":"Denver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10"/>
      <c r="AK183" s="225"/>
      <c r="AL183" s="225"/>
      <c r="AM183" s="231" t="str">
        <f t="shared" si="85"/>
        <v>start /low /b %USERPROFILE%\Documents\GitHub\eaglep3\Utilities\DownloadLogsFromS3.py --loco 4008 --day 2017-10-03</v>
      </c>
      <c r="AN18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10" t="str">
        <f t="shared" si="87"/>
        <v>https://d0f6bd738d7f1b3e5a7ca70fe4ff75f0.us-east-1.aws.found.io/app/kibana#/discover/Steve-Slow-Train-Analysis-(2080s-and-2083s)?_g=(refreshInterval:(display:Off,pause:!f,section:0,value:0),time:(from:'2017-10-03T12:00:08-0600',mode:absolute,to:'2017-10-03T14:22:50-0600'))&amp;_a=(columns:!('Message%20ID',Summary),filters:!(),index:'emp_*',interval:auto,query:(query_string:(analyze_wildcard:!t,query:'%22rtdc.l.rtdc.4008%22')),sort:!(Time.ISO8601,asc))</v>
      </c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  <c r="BM183" s="210"/>
      <c r="BN183" s="210"/>
      <c r="BO183" s="210"/>
      <c r="BP183" s="210"/>
      <c r="BQ183" s="210"/>
      <c r="BR183" s="210"/>
      <c r="BS183" s="210"/>
      <c r="BT183" s="210"/>
      <c r="BU183" s="210"/>
      <c r="BV183" s="210"/>
      <c r="BW183" s="210"/>
      <c r="BX183" s="210"/>
      <c r="BY183" s="210"/>
      <c r="BZ183" s="210"/>
      <c r="CA183" s="210"/>
      <c r="CB183" s="210"/>
      <c r="CC183" s="210"/>
      <c r="CD183" s="210"/>
      <c r="CE183" s="210"/>
      <c r="CF183" s="210"/>
      <c r="CG183" s="210"/>
      <c r="CH183" s="210"/>
      <c r="CI183" s="210"/>
      <c r="CJ183" s="210"/>
      <c r="CK183" s="210"/>
      <c r="CL183" s="210"/>
      <c r="CM183" s="210"/>
    </row>
    <row r="184" spans="1:91" s="20" customFormat="1" x14ac:dyDescent="0.25">
      <c r="A184" s="32" t="s">
        <v>738</v>
      </c>
      <c r="B184" s="7">
        <v>4007</v>
      </c>
      <c r="C184" s="21" t="s">
        <v>194</v>
      </c>
      <c r="D184" s="21" t="s">
        <v>949</v>
      </c>
      <c r="E184" s="13">
        <v>43011.558819444443</v>
      </c>
      <c r="F184" s="13">
        <v>43011.568182870367</v>
      </c>
      <c r="G184" s="7">
        <v>65</v>
      </c>
      <c r="H184" s="21" t="s">
        <v>970</v>
      </c>
      <c r="I184" s="13">
        <v>43011.579988425925</v>
      </c>
      <c r="J184" s="7">
        <v>0</v>
      </c>
      <c r="K184" s="85" t="str">
        <f t="shared" si="97"/>
        <v>4007/4008</v>
      </c>
      <c r="L184" s="179" t="str">
        <f>VLOOKUP(A184,'Trips&amp;Operators'!$C$1:$G$99911,5,FALSE)</f>
        <v>GUZMAN DANNY</v>
      </c>
      <c r="M184" s="6">
        <f t="shared" si="98"/>
        <v>1.1805555557657499E-2</v>
      </c>
      <c r="N184" s="7">
        <f t="shared" si="104"/>
        <v>17.000000003026798</v>
      </c>
      <c r="O184" s="7"/>
      <c r="P184" s="7"/>
      <c r="Q184" s="22"/>
      <c r="R184" s="169"/>
      <c r="S184" s="202">
        <f t="shared" si="105"/>
        <v>1</v>
      </c>
      <c r="T184" s="169" t="str">
        <f t="shared" si="99"/>
        <v>Southbound</v>
      </c>
      <c r="U184" s="22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2" t="str">
        <f t="shared" si="74"/>
        <v>https://d0f6bd738d7f1b3e5a7ca70fe4ff75f0.us-east-1.aws.found.io/app/kibana#/discover/Steve-Slow-Train-Analysis-(2080s-and-2083s)?_g=(refreshInterval:(display:Off,pause:!f,section:0,value:0),time:(from:'2017-10-03T12:24:42-0600',mode:absolute,to:'2017-10-03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223" t="str">
        <f>IF(AA184&lt;VLOOKUP(AG184,Variables!$AC$3:$AD$8,2,FALSE),"Y","N")</f>
        <v>N</v>
      </c>
      <c r="X184" s="223">
        <f t="shared" si="100"/>
        <v>1</v>
      </c>
      <c r="Y184" s="223">
        <f t="shared" si="95"/>
        <v>5.8615000000000004</v>
      </c>
      <c r="Z184" s="223">
        <f t="shared" si="96"/>
        <v>7.0800000000000002E-2</v>
      </c>
      <c r="AA184" s="223">
        <f t="shared" si="101"/>
        <v>5.7907000000000002</v>
      </c>
      <c r="AB184" s="224" t="e">
        <f>VLOOKUP(A184,Enforcements!$C$7:$K$11,8,0)</f>
        <v>#N/A</v>
      </c>
      <c r="AC184" s="224" t="e">
        <f>VLOOKUP(A184,Enforcements!$C$7:$E$11,3,0)</f>
        <v>#N/A</v>
      </c>
      <c r="AD184" s="225">
        <f t="shared" si="102"/>
        <v>822</v>
      </c>
      <c r="AE184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4" s="227" t="str">
        <f t="shared" si="81"/>
        <v>"C:\Program Files (x86)\AstroGrep\AstroGrep.exe" /e /r /s /spath="%USERPROFILE%\AppData\Local\Temp\OnboardLogs" /stypes="app*4007*20171003*" /stext=" 19:.+((SYSTEM_STATE.+slice.+state.+changed )|(ment ac)|(multiple cpu faults)|(system.+state.+changed )|(\[timeout)|(PRM\|1\|D)|(kpr)|(kdp)|(train st.+moving)|(\|lc)|(penalty))"</v>
      </c>
      <c r="AG184" s="228" t="str">
        <f t="shared" si="103"/>
        <v>NW</v>
      </c>
      <c r="AH184" s="229" t="str">
        <f t="shared" si="83"/>
        <v>"%USERPROFILE%\Documents\GitHub\eaglep3\Utilities\RefineRTDCRunTimes.py" --tripid 822-03 --locoid 4007 --swversion DE.1.0.9.0 --startMP 300:58615 --initTime 2017-10-03T13:24:42 --startdatetime 2017-10-03T13:38:11 --delay 65 --endMP 204:708 --enddatetime 2017-10-03T13:55:11 --enforcementcount 0 &gt;&gt;%USERPROFILE%\Documents\GitHub\eaglep3-reporting\EC\2017-10-03-refined-times.txt</v>
      </c>
      <c r="AI18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{"issue":{"subject":"","project_id":79,"tracker_id":40,"status_id":1,"priority_id":2,"assigned_to_id":338,"start_date":"2017-10-03","description":"","custom_fields":[{"id":1,"name":"Subdivision","value":"NW"},{"id":4,"name":"Milepost","value":"0.0708"},{"id":17,"name":"Train ID","value":"822-03"},{"id":16,"name":"Locomotive ID","value":"4007"},{"id":130,"name":"Impact","value":""},{"id":150,"name":"Time of Event (Mountain Time)","value":"13:55:11"},{"id":151,"name":"Denver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10"/>
      <c r="AK184" s="225"/>
      <c r="AL184" s="225"/>
      <c r="AM184" s="231" t="str">
        <f t="shared" si="85"/>
        <v>start /low /b %USERPROFILE%\Documents\GitHub\eaglep3\Utilities\DownloadLogsFromS3.py --loco 4007 --day 2017-10-03</v>
      </c>
      <c r="AN18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10" t="str">
        <f t="shared" si="87"/>
        <v>https://d0f6bd738d7f1b3e5a7ca70fe4ff75f0.us-east-1.aws.found.io/app/kibana#/discover/Steve-Slow-Train-Analysis-(2080s-and-2083s)?_g=(refreshInterval:(display:Off,pause:!f,section:0,value:0),time:(from:'2017-10-03T12:24:42-0600',mode:absolute,to:'2017-10-03T14:55:11-0600'))&amp;_a=(columns:!('Message%20ID',Summary),filters:!(),index:'emp_*',interval:auto,query:(query_string:(analyze_wildcard:!t,query:'%22rtdc.l.rtdc.4007%22')),sort:!(Time.ISO8601,asc))</v>
      </c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  <c r="BM184" s="210"/>
      <c r="BN184" s="210"/>
      <c r="BO184" s="210"/>
      <c r="BP184" s="210"/>
      <c r="BQ184" s="210"/>
      <c r="BR184" s="210"/>
      <c r="BS184" s="210"/>
      <c r="BT184" s="210"/>
      <c r="BU184" s="210"/>
      <c r="BV184" s="210"/>
      <c r="BW184" s="210"/>
      <c r="BX184" s="210"/>
      <c r="BY184" s="210"/>
      <c r="BZ184" s="210"/>
      <c r="CA184" s="210"/>
      <c r="CB184" s="210"/>
      <c r="CC184" s="210"/>
      <c r="CD184" s="210"/>
      <c r="CE184" s="210"/>
      <c r="CF184" s="210"/>
      <c r="CG184" s="210"/>
      <c r="CH184" s="210"/>
      <c r="CI184" s="210"/>
      <c r="CJ184" s="210"/>
      <c r="CK184" s="210"/>
      <c r="CL184" s="210"/>
      <c r="CM184" s="210"/>
    </row>
    <row r="185" spans="1:91" s="20" customFormat="1" x14ac:dyDescent="0.25">
      <c r="A185" s="32" t="s">
        <v>744</v>
      </c>
      <c r="B185" s="7">
        <v>4008</v>
      </c>
      <c r="C185" s="21" t="s">
        <v>194</v>
      </c>
      <c r="D185" s="21" t="s">
        <v>971</v>
      </c>
      <c r="E185" s="13">
        <v>43011.586168981485</v>
      </c>
      <c r="F185" s="13">
        <v>43011.590092592596</v>
      </c>
      <c r="G185" s="7">
        <v>50</v>
      </c>
      <c r="H185" s="21" t="s">
        <v>583</v>
      </c>
      <c r="I185" s="13">
        <v>43011.599317129629</v>
      </c>
      <c r="J185" s="7">
        <v>0</v>
      </c>
      <c r="K185" s="85" t="str">
        <f t="shared" si="97"/>
        <v>4007/4008</v>
      </c>
      <c r="L185" s="179" t="str">
        <f>VLOOKUP(A185,'Trips&amp;Operators'!$C$1:$G$99911,5,FALSE)</f>
        <v>GUZMAN DANNY</v>
      </c>
      <c r="M185" s="6">
        <f t="shared" si="98"/>
        <v>9.2245370324235409E-3</v>
      </c>
      <c r="N185" s="7">
        <f t="shared" si="104"/>
        <v>13.283333326689899</v>
      </c>
      <c r="O185" s="7"/>
      <c r="P185" s="7"/>
      <c r="Q185" s="22"/>
      <c r="R185" s="169"/>
      <c r="S185" s="202">
        <f t="shared" si="105"/>
        <v>1</v>
      </c>
      <c r="T185" s="169" t="str">
        <f t="shared" si="99"/>
        <v>NorthBound</v>
      </c>
      <c r="U185" s="22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2" t="str">
        <f t="shared" si="74"/>
        <v>https://d0f6bd738d7f1b3e5a7ca70fe4ff75f0.us-east-1.aws.found.io/app/kibana#/discover/Steve-Slow-Train-Analysis-(2080s-and-2083s)?_g=(refreshInterval:(display:Off,pause:!f,section:0,value:0),time:(from:'2017-10-03T13:04:05-0600',mode:absolute,to:'2017-10-03T15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223" t="str">
        <f>IF(AA185&lt;VLOOKUP(AG185,Variables!$AC$3:$AD$8,2,FALSE),"Y","N")</f>
        <v>N</v>
      </c>
      <c r="X185" s="223">
        <f t="shared" si="100"/>
        <v>1</v>
      </c>
      <c r="Y185" s="223">
        <f t="shared" si="95"/>
        <v>9.6500000000000002E-2</v>
      </c>
      <c r="Z185" s="223">
        <f t="shared" si="96"/>
        <v>5.8929</v>
      </c>
      <c r="AA185" s="223">
        <f t="shared" si="101"/>
        <v>5.7964000000000002</v>
      </c>
      <c r="AB185" s="224" t="e">
        <f>VLOOKUP(A185,Enforcements!$C$7:$K$11,8,0)</f>
        <v>#N/A</v>
      </c>
      <c r="AC185" s="224" t="e">
        <f>VLOOKUP(A185,Enforcements!$C$7:$E$11,3,0)</f>
        <v>#N/A</v>
      </c>
      <c r="AD185" s="225">
        <f t="shared" si="102"/>
        <v>823</v>
      </c>
      <c r="AE18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5" s="227" t="str">
        <f t="shared" si="81"/>
        <v>"C:\Program Files (x86)\AstroGrep\AstroGrep.exe" /e /r /s /spath="%USERPROFILE%\AppData\Local\Temp\OnboardLogs" /stypes="app*4008*20171003*" /stext=" 20:.+((SYSTEM_STATE.+slice.+state.+changed )|(ment ac)|(multiple cpu faults)|(system.+state.+changed )|(\[timeout)|(PRM\|1\|D)|(kpr)|(kdp)|(train st.+moving)|(\|lc)|(penalty))"</v>
      </c>
      <c r="AG185" s="228" t="str">
        <f t="shared" si="103"/>
        <v>NW</v>
      </c>
      <c r="AH185" s="229" t="str">
        <f t="shared" si="83"/>
        <v>"%USERPROFILE%\Documents\GitHub\eaglep3\Utilities\RefineRTDCRunTimes.py" --tripid 823-03 --locoid 4008 --swversion DE.1.0.9.0 --startMP 204:965 --initTime 2017-10-03T14:04:05 --startdatetime 2017-10-03T14:09:44 --delay 50 --endMP 300:58929 --enddatetime 2017-10-03T14:23:01 --enforcementcount 0 &gt;&gt;%USERPROFILE%\Documents\GitHub\eaglep3-reporting\EC\2017-10-03-refined-times.txt</v>
      </c>
      <c r="AI18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ID","value":"823-03"},{"id":16,"name":"Locomotive ID","value":"4008"},{"id":130,"name":"Impact","value":""},{"id":150,"name":"Time of Event (Mountain Time)","value":"14:23:01"},{"id":151,"name":"Denver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10"/>
      <c r="AK185" s="225"/>
      <c r="AL185" s="225"/>
      <c r="AM185" s="231" t="str">
        <f t="shared" si="85"/>
        <v>start /low /b %USERPROFILE%\Documents\GitHub\eaglep3\Utilities\DownloadLogsFromS3.py --loco 4008 --day 2017-10-03</v>
      </c>
      <c r="AN18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10" t="str">
        <f t="shared" si="87"/>
        <v>https://d0f6bd738d7f1b3e5a7ca70fe4ff75f0.us-east-1.aws.found.io/app/kibana#/discover/Steve-Slow-Train-Analysis-(2080s-and-2083s)?_g=(refreshInterval:(display:Off,pause:!f,section:0,value:0),time:(from:'2017-10-03T13:04:05-0600',mode:absolute,to:'2017-10-03T15:23:01-0600'))&amp;_a=(columns:!('Message%20ID',Summary),filters:!(),index:'emp_*',interval:auto,query:(query_string:(analyze_wildcard:!t,query:'%22rtdc.l.rtdc.4008%22')),sort:!(Time.ISO8601,asc))</v>
      </c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  <c r="BM185" s="210"/>
      <c r="BN185" s="210"/>
      <c r="BO185" s="210"/>
      <c r="BP185" s="210"/>
      <c r="BQ185" s="210"/>
      <c r="BR185" s="210"/>
      <c r="BS185" s="210"/>
      <c r="BT185" s="210"/>
      <c r="BU185" s="210"/>
      <c r="BV185" s="210"/>
      <c r="BW185" s="210"/>
      <c r="BX185" s="210"/>
      <c r="BY185" s="210"/>
      <c r="BZ185" s="210"/>
      <c r="CA185" s="210"/>
      <c r="CB185" s="210"/>
      <c r="CC185" s="210"/>
      <c r="CD185" s="210"/>
      <c r="CE185" s="210"/>
      <c r="CF185" s="210"/>
      <c r="CG185" s="210"/>
      <c r="CH185" s="210"/>
      <c r="CI185" s="210"/>
      <c r="CJ185" s="210"/>
      <c r="CK185" s="210"/>
      <c r="CL185" s="210"/>
      <c r="CM185" s="210"/>
    </row>
    <row r="186" spans="1:91" s="20" customFormat="1" x14ac:dyDescent="0.25">
      <c r="A186" s="32" t="s">
        <v>747</v>
      </c>
      <c r="B186" s="7">
        <v>4007</v>
      </c>
      <c r="C186" s="21" t="s">
        <v>194</v>
      </c>
      <c r="D186" s="21" t="s">
        <v>577</v>
      </c>
      <c r="E186" s="13">
        <v>43011.600324074076</v>
      </c>
      <c r="F186" s="13">
        <v>43011.610034722224</v>
      </c>
      <c r="G186" s="7">
        <v>55</v>
      </c>
      <c r="H186" s="21" t="s">
        <v>950</v>
      </c>
      <c r="I186" s="13">
        <v>43011.62164351852</v>
      </c>
      <c r="J186" s="7">
        <v>0</v>
      </c>
      <c r="K186" s="85" t="str">
        <f t="shared" si="97"/>
        <v>4007/4008</v>
      </c>
      <c r="L186" s="179" t="str">
        <f>VLOOKUP(A186,'Trips&amp;Operators'!$C$1:$G$99911,5,FALSE)</f>
        <v>GUZMAN DANNY</v>
      </c>
      <c r="M186" s="6">
        <f t="shared" si="98"/>
        <v>1.1608796296059154E-2</v>
      </c>
      <c r="N186" s="7">
        <f t="shared" si="104"/>
        <v>16.716666666325182</v>
      </c>
      <c r="O186" s="7"/>
      <c r="P186" s="7"/>
      <c r="Q186" s="22"/>
      <c r="R186" s="169"/>
      <c r="S186" s="202">
        <f t="shared" si="105"/>
        <v>1</v>
      </c>
      <c r="T186" s="169" t="str">
        <f t="shared" si="99"/>
        <v>Southbound</v>
      </c>
      <c r="U186" s="22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2" t="str">
        <f t="shared" si="74"/>
        <v>https://d0f6bd738d7f1b3e5a7ca70fe4ff75f0.us-east-1.aws.found.io/app/kibana#/discover/Steve-Slow-Train-Analysis-(2080s-and-2083s)?_g=(refreshInterval:(display:Off,pause:!f,section:0,value:0),time:(from:'2017-10-03T13:24:28-0600',mode:absolute,to:'2017-10-03T15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223" t="str">
        <f>IF(AA186&lt;VLOOKUP(AG186,Variables!$AC$3:$AD$8,2,FALSE),"Y","N")</f>
        <v>N</v>
      </c>
      <c r="X186" s="223">
        <f t="shared" si="100"/>
        <v>1</v>
      </c>
      <c r="Y186" s="223">
        <f t="shared" ref="Y186:Y204" si="106">RIGHT(D186,LEN(D186)-4)/10000</f>
        <v>5.8613</v>
      </c>
      <c r="Z186" s="223">
        <f t="shared" ref="Z186:Z204" si="107">RIGHT(H186,LEN(H186)-4)/10000</f>
        <v>6.9900000000000004E-2</v>
      </c>
      <c r="AA186" s="223">
        <f t="shared" si="101"/>
        <v>5.7914000000000003</v>
      </c>
      <c r="AB186" s="224" t="e">
        <f>VLOOKUP(A186,Enforcements!$C$7:$K$11,8,0)</f>
        <v>#N/A</v>
      </c>
      <c r="AC186" s="224" t="e">
        <f>VLOOKUP(A186,Enforcements!$C$7:$E$11,3,0)</f>
        <v>#N/A</v>
      </c>
      <c r="AD186" s="225">
        <f t="shared" si="102"/>
        <v>824</v>
      </c>
      <c r="AE18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6" s="227" t="str">
        <f t="shared" si="81"/>
        <v>"C:\Program Files (x86)\AstroGrep\AstroGrep.exe" /e /r /s /spath="%USERPROFILE%\AppData\Local\Temp\OnboardLogs" /stypes="app*4007*20171003*" /stext=" 20:.+((SYSTEM_STATE.+slice.+state.+changed )|(ment ac)|(multiple cpu faults)|(system.+state.+changed )|(\[timeout)|(PRM\|1\|D)|(kpr)|(kdp)|(train st.+moving)|(\|lc)|(penalty))"</v>
      </c>
      <c r="AG186" s="228" t="str">
        <f t="shared" si="103"/>
        <v>NW</v>
      </c>
      <c r="AH186" s="229" t="str">
        <f t="shared" si="83"/>
        <v>"%USERPROFILE%\Documents\GitHub\eaglep3\Utilities\RefineRTDCRunTimes.py" --tripid 824-03 --locoid 4007 --swversion DE.1.0.9.0 --startMP 300:58613 --initTime 2017-10-03T14:24:28 --startdatetime 2017-10-03T14:38:27 --delay 55 --endMP 204:699 --enddatetime 2017-10-03T14:55:10 --enforcementcount 0 &gt;&gt;%USERPROFILE%\Documents\GitHub\eaglep3-reporting\EC\2017-10-03-refined-times.txt</v>
      </c>
      <c r="AI18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{"issue":{"subject":"","project_id":79,"tracker_id":40,"status_id":1,"priority_id":2,"assigned_to_id":338,"start_date":"2017-10-03","description":"","custom_fields":[{"id":1,"name":"Subdivision","value":"NW"},{"id":4,"name":"Milepost","value":"0.0699"},{"id":17,"name":"Train ID","value":"824-03"},{"id":16,"name":"Locomotive ID","value":"4007"},{"id":130,"name":"Impact","value":""},{"id":150,"name":"Time of Event (Mountain Time)","value":"14:55:10"},{"id":151,"name":"Denver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10"/>
      <c r="AK186" s="225"/>
      <c r="AL186" s="225"/>
      <c r="AM186" s="231" t="str">
        <f t="shared" si="85"/>
        <v>start /low /b %USERPROFILE%\Documents\GitHub\eaglep3\Utilities\DownloadLogsFromS3.py --loco 4007 --day 2017-10-03</v>
      </c>
      <c r="AN186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10" t="str">
        <f t="shared" si="87"/>
        <v>https://d0f6bd738d7f1b3e5a7ca70fe4ff75f0.us-east-1.aws.found.io/app/kibana#/discover/Steve-Slow-Train-Analysis-(2080s-and-2083s)?_g=(refreshInterval:(display:Off,pause:!f,section:0,value:0),time:(from:'2017-10-03T13:24:28-0600',mode:absolute,to:'2017-10-03T15:55:10-0600'))&amp;_a=(columns:!('Message%20ID',Summary),filters:!(),index:'emp_*',interval:auto,query:(query_string:(analyze_wildcard:!t,query:'%22rtdc.l.rtdc.4007%22')),sort:!(Time.ISO8601,asc))</v>
      </c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  <c r="BM186" s="210"/>
      <c r="BN186" s="210"/>
      <c r="BO186" s="210"/>
      <c r="BP186" s="210"/>
      <c r="BQ186" s="210"/>
      <c r="BR186" s="210"/>
      <c r="BS186" s="210"/>
      <c r="BT186" s="210"/>
      <c r="BU186" s="210"/>
      <c r="BV186" s="210"/>
      <c r="BW186" s="210"/>
      <c r="BX186" s="210"/>
      <c r="BY186" s="210"/>
      <c r="BZ186" s="210"/>
      <c r="CA186" s="210"/>
      <c r="CB186" s="210"/>
      <c r="CC186" s="210"/>
      <c r="CD186" s="210"/>
      <c r="CE186" s="210"/>
      <c r="CF186" s="210"/>
      <c r="CG186" s="210"/>
      <c r="CH186" s="210"/>
      <c r="CI186" s="210"/>
      <c r="CJ186" s="210"/>
      <c r="CK186" s="210"/>
      <c r="CL186" s="210"/>
      <c r="CM186" s="210"/>
    </row>
    <row r="187" spans="1:91" s="20" customFormat="1" x14ac:dyDescent="0.25">
      <c r="A187" s="32" t="s">
        <v>752</v>
      </c>
      <c r="B187" s="7">
        <v>4008</v>
      </c>
      <c r="C187" s="21" t="s">
        <v>194</v>
      </c>
      <c r="D187" s="21" t="s">
        <v>516</v>
      </c>
      <c r="E187" s="13">
        <v>43011.627291666664</v>
      </c>
      <c r="F187" s="13">
        <v>43011.631458333337</v>
      </c>
      <c r="G187" s="7">
        <v>57</v>
      </c>
      <c r="H187" s="21" t="s">
        <v>590</v>
      </c>
      <c r="I187" s="13">
        <v>43011.640787037039</v>
      </c>
      <c r="J187" s="7">
        <v>0</v>
      </c>
      <c r="K187" s="85" t="str">
        <f t="shared" si="97"/>
        <v>4007/4008</v>
      </c>
      <c r="L187" s="179" t="str">
        <f>VLOOKUP(A187,'Trips&amp;Operators'!$C$1:$G$99911,5,FALSE)</f>
        <v>GUZMAN DANNY</v>
      </c>
      <c r="M187" s="6">
        <f t="shared" si="98"/>
        <v>9.3287037016125396E-3</v>
      </c>
      <c r="N187" s="7">
        <f t="shared" si="104"/>
        <v>13.433333330322057</v>
      </c>
      <c r="O187" s="7"/>
      <c r="P187" s="7"/>
      <c r="Q187" s="22"/>
      <c r="R187" s="169"/>
      <c r="S187" s="202">
        <f t="shared" si="105"/>
        <v>1</v>
      </c>
      <c r="T187" s="169" t="str">
        <f t="shared" si="99"/>
        <v>NorthBound</v>
      </c>
      <c r="U187" s="22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2" t="str">
        <f t="shared" si="74"/>
        <v>https://d0f6bd738d7f1b3e5a7ca70fe4ff75f0.us-east-1.aws.found.io/app/kibana#/discover/Steve-Slow-Train-Analysis-(2080s-and-2083s)?_g=(refreshInterval:(display:Off,pause:!f,section:0,value:0),time:(from:'2017-10-03T14:03:18-0600',mode:absolute,to:'2017-10-03T16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223" t="str">
        <f>IF(AA187&lt;VLOOKUP(AG187,Variables!$AC$3:$AD$8,2,FALSE),"Y","N")</f>
        <v>N</v>
      </c>
      <c r="X187" s="223">
        <f t="shared" si="100"/>
        <v>1</v>
      </c>
      <c r="Y187" s="223">
        <f t="shared" si="106"/>
        <v>9.74E-2</v>
      </c>
      <c r="Z187" s="223">
        <f t="shared" si="107"/>
        <v>5.8933</v>
      </c>
      <c r="AA187" s="223">
        <f t="shared" si="101"/>
        <v>5.7958999999999996</v>
      </c>
      <c r="AB187" s="224" t="e">
        <f>VLOOKUP(A187,Enforcements!$C$7:$K$11,8,0)</f>
        <v>#N/A</v>
      </c>
      <c r="AC187" s="224" t="e">
        <f>VLOOKUP(A187,Enforcements!$C$7:$E$11,3,0)</f>
        <v>#N/A</v>
      </c>
      <c r="AD187" s="225">
        <f t="shared" si="102"/>
        <v>825</v>
      </c>
      <c r="AE187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7" s="227" t="str">
        <f t="shared" si="81"/>
        <v>"C:\Program Files (x86)\AstroGrep\AstroGrep.exe" /e /r /s /spath="%USERPROFILE%\AppData\Local\Temp\OnboardLogs" /stypes="app*4008*20171003*" /stext=" 21:.+((SYSTEM_STATE.+slice.+state.+changed )|(ment ac)|(multiple cpu faults)|(system.+state.+changed )|(\[timeout)|(PRM\|1\|D)|(kpr)|(kdp)|(train st.+moving)|(\|lc)|(penalty))"</v>
      </c>
      <c r="AG187" s="228" t="str">
        <f t="shared" si="103"/>
        <v>NW</v>
      </c>
      <c r="AH187" s="229" t="str">
        <f t="shared" si="83"/>
        <v>"%USERPROFILE%\Documents\GitHub\eaglep3\Utilities\RefineRTDCRunTimes.py" --tripid 825-03 --locoid 4008 --swversion DE.1.0.9.0 --startMP 204:974 --initTime 2017-10-03T15:03:18 --startdatetime 2017-10-03T15:09:18 --delay 57 --endMP 300:58933 --enddatetime 2017-10-03T15:22:44 --enforcementcount 0 &gt;&gt;%USERPROFILE%\Documents\GitHub\eaglep3-reporting\EC\2017-10-03-refined-times.txt</v>
      </c>
      <c r="AI18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{"issue":{"subject":"","project_id":79,"tracker_id":40,"status_id":1,"priority_id":2,"assigned_to_id":338,"start_date":"2017-10-03","description":"","custom_fields":[{"id":1,"name":"Subdivision","value":"NW"},{"id":4,"name":"Milepost","value":"5.8933"},{"id":17,"name":"Train ID","value":"825-03"},{"id":16,"name":"Locomotive ID","value":"4008"},{"id":130,"name":"Impact","value":""},{"id":150,"name":"Time of Event (Mountain Time)","value":"15:22:44"},{"id":151,"name":"Denver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10"/>
      <c r="AK187" s="225"/>
      <c r="AL187" s="225"/>
      <c r="AM187" s="231" t="str">
        <f t="shared" si="85"/>
        <v>start /low /b %USERPROFILE%\Documents\GitHub\eaglep3\Utilities\DownloadLogsFromS3.py --loco 4008 --day 2017-10-03</v>
      </c>
      <c r="AN18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10" t="str">
        <f t="shared" si="87"/>
        <v>https://d0f6bd738d7f1b3e5a7ca70fe4ff75f0.us-east-1.aws.found.io/app/kibana#/discover/Steve-Slow-Train-Analysis-(2080s-and-2083s)?_g=(refreshInterval:(display:Off,pause:!f,section:0,value:0),time:(from:'2017-10-03T14:03:18-0600',mode:absolute,to:'2017-10-03T16:22:44-0600'))&amp;_a=(columns:!('Message%20ID',Summary),filters:!(),index:'emp_*',interval:auto,query:(query_string:(analyze_wildcard:!t,query:'%22rtdc.l.rtdc.4008%22')),sort:!(Time.ISO8601,asc))</v>
      </c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  <c r="BM187" s="210"/>
      <c r="BN187" s="210"/>
      <c r="BO187" s="210"/>
      <c r="BP187" s="210"/>
      <c r="BQ187" s="210"/>
      <c r="BR187" s="210"/>
      <c r="BS187" s="210"/>
      <c r="BT187" s="210"/>
      <c r="BU187" s="210"/>
      <c r="BV187" s="210"/>
      <c r="BW187" s="210"/>
      <c r="BX187" s="210"/>
      <c r="BY187" s="210"/>
      <c r="BZ187" s="210"/>
      <c r="CA187" s="210"/>
      <c r="CB187" s="210"/>
      <c r="CC187" s="210"/>
      <c r="CD187" s="210"/>
      <c r="CE187" s="210"/>
      <c r="CF187" s="210"/>
      <c r="CG187" s="210"/>
      <c r="CH187" s="210"/>
      <c r="CI187" s="210"/>
      <c r="CJ187" s="210"/>
      <c r="CK187" s="210"/>
      <c r="CL187" s="210"/>
      <c r="CM187" s="210"/>
    </row>
    <row r="188" spans="1:91" s="20" customFormat="1" x14ac:dyDescent="0.25">
      <c r="A188" s="32" t="s">
        <v>617</v>
      </c>
      <c r="B188" s="7">
        <v>4007</v>
      </c>
      <c r="C188" s="21" t="s">
        <v>194</v>
      </c>
      <c r="D188" s="21" t="s">
        <v>577</v>
      </c>
      <c r="E188" s="13">
        <v>43011.641967592594</v>
      </c>
      <c r="F188" s="13">
        <v>43011.651724537034</v>
      </c>
      <c r="G188" s="7">
        <v>53</v>
      </c>
      <c r="H188" s="21" t="s">
        <v>972</v>
      </c>
      <c r="I188" s="13">
        <v>43011.663124999999</v>
      </c>
      <c r="J188" s="7">
        <v>0</v>
      </c>
      <c r="K188" s="85" t="str">
        <f t="shared" si="97"/>
        <v>4007/4008</v>
      </c>
      <c r="L188" s="179" t="str">
        <f>VLOOKUP(A188,'Trips&amp;Operators'!$C$1:$G$99911,5,FALSE)</f>
        <v>GUZMAN DANNY</v>
      </c>
      <c r="M188" s="6">
        <f t="shared" si="98"/>
        <v>1.1400462964957114E-2</v>
      </c>
      <c r="N188" s="7">
        <f t="shared" si="104"/>
        <v>16.416666669538245</v>
      </c>
      <c r="O188" s="7"/>
      <c r="P188" s="7"/>
      <c r="Q188" s="22"/>
      <c r="R188" s="169" t="s">
        <v>1021</v>
      </c>
      <c r="S188" s="202">
        <f t="shared" si="105"/>
        <v>1</v>
      </c>
      <c r="T188" s="169" t="str">
        <f t="shared" si="99"/>
        <v>Southbound</v>
      </c>
      <c r="U188" s="22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2" t="str">
        <f t="shared" si="74"/>
        <v>https://d0f6bd738d7f1b3e5a7ca70fe4ff75f0.us-east-1.aws.found.io/app/kibana#/discover/Steve-Slow-Train-Analysis-(2080s-and-2083s)?_g=(refreshInterval:(display:Off,pause:!f,section:0,value:0),time:(from:'2017-10-03T14:24:26-0600',mode:absolute,to:'2017-10-03T16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223" t="str">
        <f>IF(AA188&lt;VLOOKUP(AG188,Variables!$AC$3:$AD$8,2,FALSE),"Y","N")</f>
        <v>Y</v>
      </c>
      <c r="X188" s="223">
        <f t="shared" si="100"/>
        <v>1</v>
      </c>
      <c r="Y188" s="223">
        <f t="shared" si="106"/>
        <v>5.8613</v>
      </c>
      <c r="Z188" s="223">
        <f t="shared" si="107"/>
        <v>0.45610000000000001</v>
      </c>
      <c r="AA188" s="223">
        <f t="shared" si="101"/>
        <v>5.4051999999999998</v>
      </c>
      <c r="AB188" s="224" t="e">
        <f>VLOOKUP(A188,Enforcements!$C$7:$K$11,8,0)</f>
        <v>#N/A</v>
      </c>
      <c r="AC188" s="224" t="e">
        <f>VLOOKUP(A188,Enforcements!$C$7:$E$11,3,0)</f>
        <v>#N/A</v>
      </c>
      <c r="AD188" s="225">
        <f t="shared" si="102"/>
        <v>826</v>
      </c>
      <c r="AE188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8" s="227" t="str">
        <f t="shared" si="81"/>
        <v>"C:\Program Files (x86)\AstroGrep\AstroGrep.exe" /e /r /s /spath="%USERPROFILE%\AppData\Local\Temp\OnboardLogs" /stypes="app*4007*20171003*" /stext=" 21:.+((SYSTEM_STATE.+slice.+state.+changed )|(ment ac)|(multiple cpu faults)|(system.+state.+changed )|(\[timeout)|(PRM\|1\|D)|(kpr)|(kdp)|(train st.+moving)|(\|lc)|(penalty))"</v>
      </c>
      <c r="AG188" s="228" t="str">
        <f t="shared" si="103"/>
        <v>NW</v>
      </c>
      <c r="AH188" s="229" t="str">
        <f t="shared" si="83"/>
        <v>"%USERPROFILE%\Documents\GitHub\eaglep3\Utilities\RefineRTDCRunTimes.py" --tripid 826-03 --locoid 4007 --swversion DE.1.0.9.0 --startMP 300:58613 --initTime 2017-10-03T15:24:26 --startdatetime 2017-10-03T15:38:29 --delay 53 --endMP 204:4561 --enddatetime 2017-10-03T15:54:54 --enforcementcount 0 &gt;&gt;%USERPROFILE%\Documents\GitHub\eaglep3-reporting\EC\2017-10-03-refined-times.txt</v>
      </c>
      <c r="AI188" s="230" t="str">
        <f t="shared" si="84"/>
        <v>echo {"issue":{"subject":"Went active past Westminster 2S, Poor GPS under Wewatta St. overpass","project_id":79,"tracker_id":40,"status_id":1,"priority_id":2,"assigned_to_id":338,"start_date":"2017-10-03","description":"","custom_fields":[{"id":1,"name":"Subdivision","value":"NW"},{"id":4,"name":"Milepost","value":"0.4561"},{"id":17,"name":"Train ID","value":"826-03"},{"id":16,"name":"Locomotive ID","value":"4007"},{"id":130,"name":"Impact","value":""},{"id":150,"name":"Time of Event (Mountain Time)","value":"15:54:54"},{"id":151,"name":"Denver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10"/>
      <c r="AK188" s="225"/>
      <c r="AL188" s="225"/>
      <c r="AM188" s="231" t="str">
        <f t="shared" si="85"/>
        <v>start /low /b %USERPROFILE%\Documents\GitHub\eaglep3\Utilities\DownloadLogsFromS3.py --loco 4007 --day 2017-10-03</v>
      </c>
      <c r="AN188" s="232" t="str">
        <f t="shared" si="86"/>
        <v>echo {"issue":{"subject":"Went active past Westminster 2S, Poor GPS under Wewatta St. overpass","project_id":30,"tracker_id":4,"status_id":1,"priority_id":1,"assigned_to_id":10,"start_date":"2017-10-03","description":"","custom_fields":[{"id":30,"name":"Category","value":"Issue"},{"id":3,"name":"Functional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10" t="str">
        <f t="shared" si="87"/>
        <v>https://d0f6bd738d7f1b3e5a7ca70fe4ff75f0.us-east-1.aws.found.io/app/kibana#/discover/Steve-Slow-Train-Analysis-(2080s-and-2083s)?_g=(refreshInterval:(display:Off,pause:!f,section:0,value:0),time:(from:'2017-10-03T14:24:26-0600',mode:absolute,to:'2017-10-03T16:54:54-0600'))&amp;_a=(columns:!('Message%20ID',Summary),filters:!(),index:'emp_*',interval:auto,query:(query_string:(analyze_wildcard:!t,query:'%22rtdc.l.rtdc.4007%22')),sort:!(Time.ISO8601,asc))</v>
      </c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  <c r="BM188" s="210"/>
      <c r="BN188" s="210"/>
      <c r="BO188" s="210"/>
      <c r="BP188" s="210"/>
      <c r="BQ188" s="210"/>
      <c r="BR188" s="210"/>
      <c r="BS188" s="210"/>
      <c r="BT188" s="210"/>
      <c r="BU188" s="210"/>
      <c r="BV188" s="210"/>
      <c r="BW188" s="210"/>
      <c r="BX188" s="210"/>
      <c r="BY188" s="210"/>
      <c r="BZ188" s="210"/>
      <c r="CA188" s="210"/>
      <c r="CB188" s="210"/>
      <c r="CC188" s="210"/>
      <c r="CD188" s="210"/>
      <c r="CE188" s="210"/>
      <c r="CF188" s="210"/>
      <c r="CG188" s="210"/>
      <c r="CH188" s="210"/>
      <c r="CI188" s="210"/>
      <c r="CJ188" s="210"/>
      <c r="CK188" s="210"/>
      <c r="CL188" s="210"/>
      <c r="CM188" s="210"/>
    </row>
    <row r="189" spans="1:91" s="20" customFormat="1" x14ac:dyDescent="0.25">
      <c r="A189" s="32" t="s">
        <v>758</v>
      </c>
      <c r="B189" s="7">
        <v>4044</v>
      </c>
      <c r="C189" s="21" t="s">
        <v>194</v>
      </c>
      <c r="D189" s="21" t="s">
        <v>586</v>
      </c>
      <c r="E189" s="13">
        <v>43011.648055555554</v>
      </c>
      <c r="F189" s="13">
        <v>43011.65247685185</v>
      </c>
      <c r="G189" s="7">
        <v>76</v>
      </c>
      <c r="H189" s="21" t="s">
        <v>968</v>
      </c>
      <c r="I189" s="13">
        <v>43011.663553240738</v>
      </c>
      <c r="J189" s="7">
        <v>0</v>
      </c>
      <c r="K189" s="85" t="str">
        <f t="shared" si="97"/>
        <v>4043/4044</v>
      </c>
      <c r="L189" s="179" t="str">
        <f>VLOOKUP(A189,'Trips&amp;Operators'!$C$1:$G$99911,5,FALSE)</f>
        <v>DE LA ROSA ALEX</v>
      </c>
      <c r="M189" s="6">
        <f t="shared" si="98"/>
        <v>1.1076388887886424E-2</v>
      </c>
      <c r="N189" s="7">
        <f t="shared" si="104"/>
        <v>15.94999999855645</v>
      </c>
      <c r="O189" s="7"/>
      <c r="P189" s="7"/>
      <c r="Q189" s="22"/>
      <c r="R189" s="169"/>
      <c r="S189" s="202">
        <f t="shared" si="105"/>
        <v>1</v>
      </c>
      <c r="T189" s="169" t="str">
        <f t="shared" si="99"/>
        <v>NorthBound</v>
      </c>
      <c r="U189" s="22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2" t="str">
        <f t="shared" si="74"/>
        <v>https://d0f6bd738d7f1b3e5a7ca70fe4ff75f0.us-east-1.aws.found.io/app/kibana#/discover/Steve-Slow-Train-Analysis-(2080s-and-2083s)?_g=(refreshInterval:(display:Off,pause:!f,section:0,value:0),time:(from:'2017-10-03T14:33:12-0600',mode:absolute,to:'2017-10-03T16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23" t="str">
        <f>IF(AA189&lt;VLOOKUP(AG189,Variables!$AC$3:$AD$8,2,FALSE),"Y","N")</f>
        <v>N</v>
      </c>
      <c r="X189" s="223">
        <f t="shared" si="100"/>
        <v>1</v>
      </c>
      <c r="Y189" s="223">
        <f t="shared" si="106"/>
        <v>9.5299999999999996E-2</v>
      </c>
      <c r="Z189" s="223">
        <f t="shared" si="107"/>
        <v>5.8983999999999996</v>
      </c>
      <c r="AA189" s="223">
        <f t="shared" si="101"/>
        <v>5.8030999999999997</v>
      </c>
      <c r="AB189" s="224" t="e">
        <f>VLOOKUP(A189,Enforcements!$C$7:$K$11,8,0)</f>
        <v>#N/A</v>
      </c>
      <c r="AC189" s="224" t="e">
        <f>VLOOKUP(A189,Enforcements!$C$7:$E$11,3,0)</f>
        <v>#N/A</v>
      </c>
      <c r="AD189" s="225">
        <f t="shared" si="102"/>
        <v>827</v>
      </c>
      <c r="AE189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89" s="227" t="str">
        <f t="shared" si="81"/>
        <v>"C:\Program Files (x86)\AstroGrep\AstroGrep.exe" /e /r /s /spath="%USERPROFILE%\AppData\Local\Temp\OnboardLogs" /stypes="app*4044*20171003*" /stext=" 21:.+((SYSTEM_STATE.+slice.+state.+changed )|(ment ac)|(multiple cpu faults)|(system.+state.+changed )|(\[timeout)|(PRM\|1\|D)|(kpr)|(kdp)|(train st.+moving)|(\|lc)|(penalty))"</v>
      </c>
      <c r="AG189" s="228" t="str">
        <f t="shared" si="103"/>
        <v>NW</v>
      </c>
      <c r="AH189" s="229" t="str">
        <f t="shared" si="83"/>
        <v>"%USERPROFILE%\Documents\GitHub\eaglep3\Utilities\RefineRTDCRunTimes.py" --tripid 827-03 --locoid 4044 --swversion DE.1.0.9.0 --startMP 204:953 --initTime 2017-10-03T15:33:12 --startdatetime 2017-10-03T15:39:34 --delay 76 --endMP 300:58984 --enddatetime 2017-10-03T15:55:31 --enforcementcount 0 &gt;&gt;%USERPROFILE%\Documents\GitHub\eaglep3-reporting\EC\2017-10-03-refined-times.txt</v>
      </c>
      <c r="AI18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{"issue":{"subject":"","project_id":79,"tracker_id":40,"status_id":1,"priority_id":2,"assigned_to_id":338,"start_date":"2017-10-03","description":"","custom_fields":[{"id":1,"name":"Subdivision","value":"NW"},{"id":4,"name":"Milepost","value":"5.8984"},{"id":17,"name":"Train ID","value":"827-03"},{"id":16,"name":"Locomotive ID","value":"4044"},{"id":130,"name":"Impact","value":""},{"id":150,"name":"Time of Event (Mountain Time)","value":"15:55:31"},{"id":151,"name":"Denver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10"/>
      <c r="AK189" s="225"/>
      <c r="AL189" s="225"/>
      <c r="AM189" s="231" t="str">
        <f t="shared" si="85"/>
        <v>start /low /b %USERPROFILE%\Documents\GitHub\eaglep3\Utilities\DownloadLogsFromS3.py --loco 4044 --day 2017-10-03</v>
      </c>
      <c r="AN189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10" t="str">
        <f t="shared" si="87"/>
        <v>https://d0f6bd738d7f1b3e5a7ca70fe4ff75f0.us-east-1.aws.found.io/app/kibana#/discover/Steve-Slow-Train-Analysis-(2080s-and-2083s)?_g=(refreshInterval:(display:Off,pause:!f,section:0,value:0),time:(from:'2017-10-03T14:33:12-0600',mode:absolute,to:'2017-10-03T16:55:31-0600'))&amp;_a=(columns:!('Message%20ID',Summary),filters:!(),index:'emp_*',interval:auto,query:(query_string:(analyze_wildcard:!t,query:'%22rtdc.l.rtdc.4044%22')),sort:!(Time.ISO8601,asc))</v>
      </c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  <c r="BM189" s="210"/>
      <c r="BN189" s="210"/>
      <c r="BO189" s="210"/>
      <c r="BP189" s="210"/>
      <c r="BQ189" s="210"/>
      <c r="BR189" s="210"/>
      <c r="BS189" s="210"/>
      <c r="BT189" s="210"/>
      <c r="BU189" s="210"/>
      <c r="BV189" s="210"/>
      <c r="BW189" s="210"/>
      <c r="BX189" s="210"/>
      <c r="BY189" s="210"/>
      <c r="BZ189" s="210"/>
      <c r="CA189" s="210"/>
      <c r="CB189" s="210"/>
      <c r="CC189" s="210"/>
      <c r="CD189" s="210"/>
      <c r="CE189" s="210"/>
      <c r="CF189" s="210"/>
      <c r="CG189" s="210"/>
      <c r="CH189" s="210"/>
      <c r="CI189" s="210"/>
      <c r="CJ189" s="210"/>
      <c r="CK189" s="210"/>
      <c r="CL189" s="210"/>
      <c r="CM189" s="210"/>
    </row>
    <row r="190" spans="1:91" s="20" customFormat="1" x14ac:dyDescent="0.25">
      <c r="A190" s="32" t="s">
        <v>767</v>
      </c>
      <c r="B190" s="7">
        <v>4043</v>
      </c>
      <c r="C190" s="21" t="s">
        <v>194</v>
      </c>
      <c r="D190" s="21" t="s">
        <v>973</v>
      </c>
      <c r="E190" s="13">
        <v>43011.673402777778</v>
      </c>
      <c r="F190" s="13">
        <v>43011.675046296295</v>
      </c>
      <c r="G190" s="7">
        <v>70</v>
      </c>
      <c r="H190" s="21" t="s">
        <v>974</v>
      </c>
      <c r="I190" s="13">
        <v>43011.684791666667</v>
      </c>
      <c r="J190" s="7">
        <v>0</v>
      </c>
      <c r="K190" s="85" t="str">
        <f t="shared" si="97"/>
        <v>4043/4044</v>
      </c>
      <c r="L190" s="179" t="str">
        <f>VLOOKUP(A190,'Trips&amp;Operators'!$C$1:$G$99911,5,FALSE)</f>
        <v>DE LA ROSA ALEX</v>
      </c>
      <c r="M190" s="6">
        <f t="shared" si="98"/>
        <v>9.7453703710925765E-3</v>
      </c>
      <c r="N190" s="7">
        <f t="shared" si="104"/>
        <v>14.03333333437331</v>
      </c>
      <c r="O190" s="7"/>
      <c r="P190" s="7"/>
      <c r="Q190" s="22"/>
      <c r="R190" s="169"/>
      <c r="S190" s="202">
        <f t="shared" si="105"/>
        <v>1</v>
      </c>
      <c r="T190" s="169" t="str">
        <f t="shared" si="99"/>
        <v>Southbound</v>
      </c>
      <c r="U190" s="22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2" t="str">
        <f t="shared" si="74"/>
        <v>https://d0f6bd738d7f1b3e5a7ca70fe4ff75f0.us-east-1.aws.found.io/app/kibana#/discover/Steve-Slow-Train-Analysis-(2080s-and-2083s)?_g=(refreshInterval:(display:Off,pause:!f,section:0,value:0),time:(from:'2017-10-03T15:09:42-0600',mode:absolute,to:'2017-10-03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23" t="str">
        <f>IF(AA190&lt;VLOOKUP(AG190,Variables!$AC$3:$AD$8,2,FALSE),"Y","N")</f>
        <v>N</v>
      </c>
      <c r="X190" s="223">
        <f t="shared" si="100"/>
        <v>1</v>
      </c>
      <c r="Y190" s="223">
        <f t="shared" si="106"/>
        <v>5.8674999999999997</v>
      </c>
      <c r="Z190" s="223">
        <f t="shared" si="107"/>
        <v>7.0300000000000001E-2</v>
      </c>
      <c r="AA190" s="223">
        <f t="shared" si="101"/>
        <v>5.7972000000000001</v>
      </c>
      <c r="AB190" s="224" t="e">
        <f>VLOOKUP(A190,Enforcements!$C$7:$K$11,8,0)</f>
        <v>#N/A</v>
      </c>
      <c r="AC190" s="224" t="e">
        <f>VLOOKUP(A190,Enforcements!$C$7:$E$11,3,0)</f>
        <v>#N/A</v>
      </c>
      <c r="AD190" s="225">
        <f t="shared" si="102"/>
        <v>828</v>
      </c>
      <c r="AE190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90" s="227" t="str">
        <f t="shared" si="81"/>
        <v>"C:\Program Files (x86)\AstroGrep\AstroGrep.exe" /e /r /s /spath="%USERPROFILE%\AppData\Local\Temp\OnboardLogs" /stypes="app*4043*20171003*" /stext=" 22:.+((SYSTEM_STATE.+slice.+state.+changed )|(ment ac)|(multiple cpu faults)|(system.+state.+changed )|(\[timeout)|(PRM\|1\|D)|(kpr)|(kdp)|(train st.+moving)|(\|lc)|(penalty))"</v>
      </c>
      <c r="AG190" s="228" t="str">
        <f t="shared" si="103"/>
        <v>NW</v>
      </c>
      <c r="AH190" s="229" t="str">
        <f t="shared" si="83"/>
        <v>"%USERPROFILE%\Documents\GitHub\eaglep3\Utilities\RefineRTDCRunTimes.py" --tripid 828-03 --locoid 4043 --swversion DE.1.0.9.0 --startMP 300:58675 --initTime 2017-10-03T16:09:42 --startdatetime 2017-10-03T16:12:04 --delay 70 --endMP 204:703 --enddatetime 2017-10-03T16:26:06 --enforcementcount 0 &gt;&gt;%USERPROFILE%\Documents\GitHub\eaglep3-reporting\EC\2017-10-03-refined-times.txt</v>
      </c>
      <c r="AI19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{"issue":{"subject":"","project_id":79,"tracker_id":40,"status_id":1,"priority_id":2,"assigned_to_id":338,"start_date":"2017-10-03","description":"","custom_fields":[{"id":1,"name":"Subdivision","value":"NW"},{"id":4,"name":"Milepost","value":"0.0703"},{"id":17,"name":"Train ID","value":"828-03"},{"id":16,"name":"Locomotive ID","value":"4043"},{"id":130,"name":"Impact","value":""},{"id":150,"name":"Time of Event (Mountain Time)","value":"16:26:06"},{"id":151,"name":"Denver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10"/>
      <c r="AK190" s="225"/>
      <c r="AL190" s="225"/>
      <c r="AM190" s="231" t="str">
        <f t="shared" si="85"/>
        <v>start /low /b %USERPROFILE%\Documents\GitHub\eaglep3\Utilities\DownloadLogsFromS3.py --loco 4043 --day 2017-10-03</v>
      </c>
      <c r="AN190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10" t="str">
        <f t="shared" si="87"/>
        <v>https://d0f6bd738d7f1b3e5a7ca70fe4ff75f0.us-east-1.aws.found.io/app/kibana#/discover/Steve-Slow-Train-Analysis-(2080s-and-2083s)?_g=(refreshInterval:(display:Off,pause:!f,section:0,value:0),time:(from:'2017-10-03T15:09:42-0600',mode:absolute,to:'2017-10-03T17:26:06-0600'))&amp;_a=(columns:!('Message%20ID',Summary),filters:!(),index:'emp_*',interval:auto,query:(query_string:(analyze_wildcard:!t,query:'%22rtdc.l.rtdc.4043%22')),sort:!(Time.ISO8601,asc))</v>
      </c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  <c r="BM190" s="210"/>
      <c r="BN190" s="210"/>
      <c r="BO190" s="210"/>
      <c r="BP190" s="210"/>
      <c r="BQ190" s="210"/>
      <c r="BR190" s="210"/>
      <c r="BS190" s="210"/>
      <c r="BT190" s="210"/>
      <c r="BU190" s="210"/>
      <c r="BV190" s="210"/>
      <c r="BW190" s="210"/>
      <c r="BX190" s="210"/>
      <c r="BY190" s="210"/>
      <c r="BZ190" s="210"/>
      <c r="CA190" s="210"/>
      <c r="CB190" s="210"/>
      <c r="CC190" s="210"/>
      <c r="CD190" s="210"/>
      <c r="CE190" s="210"/>
      <c r="CF190" s="210"/>
      <c r="CG190" s="210"/>
      <c r="CH190" s="210"/>
      <c r="CI190" s="210"/>
      <c r="CJ190" s="210"/>
      <c r="CK190" s="210"/>
      <c r="CL190" s="210"/>
      <c r="CM190" s="210"/>
    </row>
    <row r="191" spans="1:91" s="20" customFormat="1" x14ac:dyDescent="0.25">
      <c r="A191" s="32" t="s">
        <v>763</v>
      </c>
      <c r="B191" s="7">
        <v>4008</v>
      </c>
      <c r="C191" s="21" t="s">
        <v>194</v>
      </c>
      <c r="D191" s="21" t="s">
        <v>975</v>
      </c>
      <c r="E191" s="13">
        <v>43011.668263888889</v>
      </c>
      <c r="F191" s="13">
        <v>43011.673125000001</v>
      </c>
      <c r="G191" s="7">
        <v>91</v>
      </c>
      <c r="H191" s="21" t="s">
        <v>976</v>
      </c>
      <c r="I191" s="13">
        <v>43011.685659722221</v>
      </c>
      <c r="J191" s="7">
        <v>0</v>
      </c>
      <c r="K191" s="85" t="str">
        <f t="shared" si="97"/>
        <v>4007/4008</v>
      </c>
      <c r="L191" s="179" t="str">
        <f>VLOOKUP(A191,'Trips&amp;Operators'!$C$1:$G$99911,5,FALSE)</f>
        <v>NELSON ARIANE</v>
      </c>
      <c r="M191" s="6">
        <f t="shared" si="98"/>
        <v>1.2534722220152617E-2</v>
      </c>
      <c r="N191" s="7">
        <f t="shared" si="104"/>
        <v>18.049999997019768</v>
      </c>
      <c r="O191" s="7"/>
      <c r="P191" s="7"/>
      <c r="Q191" s="22"/>
      <c r="R191" s="169"/>
      <c r="S191" s="202">
        <f t="shared" si="105"/>
        <v>1</v>
      </c>
      <c r="T191" s="169" t="str">
        <f t="shared" si="99"/>
        <v>NorthBound</v>
      </c>
      <c r="U191" s="22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2" t="str">
        <f t="shared" si="74"/>
        <v>https://d0f6bd738d7f1b3e5a7ca70fe4ff75f0.us-east-1.aws.found.io/app/kibana#/discover/Steve-Slow-Train-Analysis-(2080s-and-2083s)?_g=(refreshInterval:(display:Off,pause:!f,section:0,value:0),time:(from:'2017-10-03T15:02:18-0600',mode:absolute,to:'2017-10-03T17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223" t="str">
        <f>IF(AA191&lt;VLOOKUP(AG191,Variables!$AC$3:$AD$8,2,FALSE),"Y","N")</f>
        <v>N</v>
      </c>
      <c r="X191" s="223">
        <f t="shared" si="100"/>
        <v>1</v>
      </c>
      <c r="Y191" s="223">
        <f t="shared" si="106"/>
        <v>9.01E-2</v>
      </c>
      <c r="Z191" s="223">
        <f t="shared" si="107"/>
        <v>5.8973000000000004</v>
      </c>
      <c r="AA191" s="223">
        <f t="shared" si="101"/>
        <v>5.8072000000000008</v>
      </c>
      <c r="AB191" s="224" t="e">
        <f>VLOOKUP(A191,Enforcements!$C$7:$K$11,8,0)</f>
        <v>#N/A</v>
      </c>
      <c r="AC191" s="224" t="e">
        <f>VLOOKUP(A191,Enforcements!$C$7:$E$11,3,0)</f>
        <v>#N/A</v>
      </c>
      <c r="AD191" s="225">
        <f t="shared" si="102"/>
        <v>829</v>
      </c>
      <c r="AE191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91" s="227" t="str">
        <f t="shared" si="81"/>
        <v>"C:\Program Files (x86)\AstroGrep\AstroGrep.exe" /e /r /s /spath="%USERPROFILE%\AppData\Local\Temp\OnboardLogs" /stypes="app*4008*20171003*" /stext=" 22:.+((SYSTEM_STATE.+slice.+state.+changed )|(ment ac)|(multiple cpu faults)|(system.+state.+changed )|(\[timeout)|(PRM\|1\|D)|(kpr)|(kdp)|(train st.+moving)|(\|lc)|(penalty))"</v>
      </c>
      <c r="AG191" s="228" t="str">
        <f t="shared" si="103"/>
        <v>NW</v>
      </c>
      <c r="AH191" s="229" t="str">
        <f t="shared" si="83"/>
        <v>"%USERPROFILE%\Documents\GitHub\eaglep3\Utilities\RefineRTDCRunTimes.py" --tripid 829-03 --locoid 4008 --swversion DE.1.0.9.0 --startMP 204:901 --initTime 2017-10-03T16:02:18 --startdatetime 2017-10-03T16:09:18 --delay 91 --endMP 300:58973 --enddatetime 2017-10-03T16:27:21 --enforcementcount 0 &gt;&gt;%USERPROFILE%\Documents\GitHub\eaglep3-reporting\EC\2017-10-03-refined-times.txt</v>
      </c>
      <c r="AI19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{"issue":{"subject":"","project_id":79,"tracker_id":40,"status_id":1,"priority_id":2,"assigned_to_id":338,"start_date":"2017-10-03","description":"","custom_fields":[{"id":1,"name":"Subdivision","value":"NW"},{"id":4,"name":"Milepost","value":"5.8973"},{"id":17,"name":"Train ID","value":"829-03"},{"id":16,"name":"Locomotive ID","value":"4008"},{"id":130,"name":"Impact","value":""},{"id":150,"name":"Time of Event (Mountain Time)","value":"16:27:21"},{"id":151,"name":"Denver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10"/>
      <c r="AK191" s="225"/>
      <c r="AL191" s="225"/>
      <c r="AM191" s="231" t="str">
        <f t="shared" si="85"/>
        <v>start /low /b %USERPROFILE%\Documents\GitHub\eaglep3\Utilities\DownloadLogsFromS3.py --loco 4008 --day 2017-10-03</v>
      </c>
      <c r="AN191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10" t="str">
        <f t="shared" si="87"/>
        <v>https://d0f6bd738d7f1b3e5a7ca70fe4ff75f0.us-east-1.aws.found.io/app/kibana#/discover/Steve-Slow-Train-Analysis-(2080s-and-2083s)?_g=(refreshInterval:(display:Off,pause:!f,section:0,value:0),time:(from:'2017-10-03T15:02:18-0600',mode:absolute,to:'2017-10-03T17:27:21-0600'))&amp;_a=(columns:!('Message%20ID',Summary),filters:!(),index:'emp_*',interval:auto,query:(query_string:(analyze_wildcard:!t,query:'%22rtdc.l.rtdc.4008%22')),sort:!(Time.ISO8601,asc))</v>
      </c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  <c r="BM191" s="210"/>
      <c r="BN191" s="210"/>
      <c r="BO191" s="210"/>
      <c r="BP191" s="210"/>
      <c r="BQ191" s="210"/>
      <c r="BR191" s="210"/>
      <c r="BS191" s="210"/>
      <c r="BT191" s="210"/>
      <c r="BU191" s="210"/>
      <c r="BV191" s="210"/>
      <c r="BW191" s="210"/>
      <c r="BX191" s="210"/>
      <c r="BY191" s="210"/>
      <c r="BZ191" s="210"/>
      <c r="CA191" s="210"/>
      <c r="CB191" s="210"/>
      <c r="CC191" s="210"/>
      <c r="CD191" s="210"/>
      <c r="CE191" s="210"/>
      <c r="CF191" s="210"/>
      <c r="CG191" s="210"/>
      <c r="CH191" s="210"/>
      <c r="CI191" s="210"/>
      <c r="CJ191" s="210"/>
      <c r="CK191" s="210"/>
      <c r="CL191" s="210"/>
      <c r="CM191" s="210"/>
    </row>
    <row r="192" spans="1:91" s="20" customFormat="1" x14ac:dyDescent="0.25">
      <c r="A192" s="32" t="s">
        <v>773</v>
      </c>
      <c r="B192" s="7">
        <v>4007</v>
      </c>
      <c r="C192" s="21" t="s">
        <v>194</v>
      </c>
      <c r="D192" s="21" t="s">
        <v>958</v>
      </c>
      <c r="E192" s="13">
        <v>43011.692245370374</v>
      </c>
      <c r="F192" s="13">
        <v>43011.694641203707</v>
      </c>
      <c r="G192" s="7">
        <v>108</v>
      </c>
      <c r="H192" s="21" t="s">
        <v>592</v>
      </c>
      <c r="I192" s="13">
        <v>43011.706296296295</v>
      </c>
      <c r="J192" s="7">
        <v>0</v>
      </c>
      <c r="K192" s="85" t="str">
        <f t="shared" si="97"/>
        <v>4007/4008</v>
      </c>
      <c r="L192" s="179" t="str">
        <f>VLOOKUP(A192,'Trips&amp;Operators'!$C$1:$G$99911,5,FALSE)</f>
        <v>NELSON ARIANE</v>
      </c>
      <c r="M192" s="6">
        <f t="shared" si="98"/>
        <v>1.1655092588625848E-2</v>
      </c>
      <c r="N192" s="7">
        <f t="shared" si="104"/>
        <v>16.783333327621222</v>
      </c>
      <c r="O192" s="7"/>
      <c r="P192" s="7"/>
      <c r="Q192" s="22"/>
      <c r="R192" s="169"/>
      <c r="S192" s="202">
        <f t="shared" si="105"/>
        <v>1</v>
      </c>
      <c r="T192" s="169" t="str">
        <f t="shared" si="99"/>
        <v>Southbound</v>
      </c>
      <c r="U192" s="22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2" t="str">
        <f t="shared" si="74"/>
        <v>https://d0f6bd738d7f1b3e5a7ca70fe4ff75f0.us-east-1.aws.found.io/app/kibana#/discover/Steve-Slow-Train-Analysis-(2080s-and-2083s)?_g=(refreshInterval:(display:Off,pause:!f,section:0,value:0),time:(from:'2017-10-03T15:36:50-0600',mode:absolute,to:'2017-10-03T17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223" t="str">
        <f>IF(AA192&lt;VLOOKUP(AG192,Variables!$AC$3:$AD$8,2,FALSE),"Y","N")</f>
        <v>N</v>
      </c>
      <c r="X192" s="223">
        <f t="shared" si="100"/>
        <v>1</v>
      </c>
      <c r="Y192" s="223">
        <f t="shared" si="106"/>
        <v>5.8663999999999996</v>
      </c>
      <c r="Z192" s="223">
        <f t="shared" si="107"/>
        <v>6.7699999999999996E-2</v>
      </c>
      <c r="AA192" s="223">
        <f t="shared" si="101"/>
        <v>5.7986999999999993</v>
      </c>
      <c r="AB192" s="224" t="e">
        <f>VLOOKUP(A192,Enforcements!$C$7:$K$11,8,0)</f>
        <v>#N/A</v>
      </c>
      <c r="AC192" s="224" t="e">
        <f>VLOOKUP(A192,Enforcements!$C$7:$E$11,3,0)</f>
        <v>#N/A</v>
      </c>
      <c r="AD192" s="225">
        <f t="shared" si="102"/>
        <v>830</v>
      </c>
      <c r="AE192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92" s="227" t="str">
        <f t="shared" si="81"/>
        <v>"C:\Program Files (x86)\AstroGrep\AstroGrep.exe" /e /r /s /spath="%USERPROFILE%\AppData\Local\Temp\OnboardLogs" /stypes="app*4007*20171003*" /stext=" 22:.+((SYSTEM_STATE.+slice.+state.+changed )|(ment ac)|(multiple cpu faults)|(system.+state.+changed )|(\[timeout)|(PRM\|1\|D)|(kpr)|(kdp)|(train st.+moving)|(\|lc)|(penalty))"</v>
      </c>
      <c r="AG192" s="228" t="str">
        <f t="shared" si="103"/>
        <v>NW</v>
      </c>
      <c r="AH192" s="229" t="str">
        <f t="shared" si="83"/>
        <v>"%USERPROFILE%\Documents\GitHub\eaglep3\Utilities\RefineRTDCRunTimes.py" --tripid 830-03 --locoid 4007 --swversion DE.1.0.9.0 --startMP 300:58664 --initTime 2017-10-03T16:36:50 --startdatetime 2017-10-03T16:40:17 --delay 108 --endMP 204:677 --enddatetime 2017-10-03T16:57:04 --enforcementcount 0 &gt;&gt;%USERPROFILE%\Documents\GitHub\eaglep3-reporting\EC\2017-10-03-refined-times.txt</v>
      </c>
      <c r="AI19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{"issue":{"subject":"","project_id":79,"tracker_id":40,"status_id":1,"priority_id":2,"assigned_to_id":338,"start_date":"2017-10-03","description":"","custom_fields":[{"id":1,"name":"Subdivision","value":"NW"},{"id":4,"name":"Milepost","value":"0.0677"},{"id":17,"name":"Train ID","value":"830-03"},{"id":16,"name":"Locomotive ID","value":"4007"},{"id":130,"name":"Impact","value":""},{"id":150,"name":"Time of Event (Mountain Time)","value":"16:57:04"},{"id":151,"name":"Denver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10"/>
      <c r="AK192" s="225"/>
      <c r="AL192" s="225"/>
      <c r="AM192" s="231" t="str">
        <f t="shared" si="85"/>
        <v>start /low /b %USERPROFILE%\Documents\GitHub\eaglep3\Utilities\DownloadLogsFromS3.py --loco 4007 --day 2017-10-03</v>
      </c>
      <c r="AN192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10" t="str">
        <f t="shared" si="87"/>
        <v>https://d0f6bd738d7f1b3e5a7ca70fe4ff75f0.us-east-1.aws.found.io/app/kibana#/discover/Steve-Slow-Train-Analysis-(2080s-and-2083s)?_g=(refreshInterval:(display:Off,pause:!f,section:0,value:0),time:(from:'2017-10-03T15:36:50-0600',mode:absolute,to:'2017-10-03T17:57:04-0600'))&amp;_a=(columns:!('Message%20ID',Summary),filters:!(),index:'emp_*',interval:auto,query:(query_string:(analyze_wildcard:!t,query:'%22rtdc.l.rtdc.4007%22')),sort:!(Time.ISO8601,asc))</v>
      </c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210"/>
      <c r="BT192" s="210"/>
      <c r="BU192" s="210"/>
      <c r="BV192" s="210"/>
      <c r="BW192" s="210"/>
      <c r="BX192" s="210"/>
      <c r="BY192" s="210"/>
      <c r="BZ192" s="210"/>
      <c r="CA192" s="210"/>
      <c r="CB192" s="210"/>
      <c r="CC192" s="210"/>
      <c r="CD192" s="210"/>
      <c r="CE192" s="210"/>
      <c r="CF192" s="210"/>
      <c r="CG192" s="210"/>
      <c r="CH192" s="210"/>
      <c r="CI192" s="210"/>
      <c r="CJ192" s="210"/>
      <c r="CK192" s="210"/>
      <c r="CL192" s="210"/>
      <c r="CM192" s="210"/>
    </row>
    <row r="193" spans="1:91" s="20" customFormat="1" x14ac:dyDescent="0.25">
      <c r="A193" s="32" t="s">
        <v>772</v>
      </c>
      <c r="B193" s="7">
        <v>4044</v>
      </c>
      <c r="C193" s="21" t="s">
        <v>194</v>
      </c>
      <c r="D193" s="21" t="s">
        <v>977</v>
      </c>
      <c r="E193" s="13">
        <v>43011.691620370373</v>
      </c>
      <c r="F193" s="13">
        <v>43011.694224537037</v>
      </c>
      <c r="G193" s="7">
        <v>77</v>
      </c>
      <c r="H193" s="21" t="s">
        <v>978</v>
      </c>
      <c r="I193" s="13">
        <v>43011.703819444447</v>
      </c>
      <c r="J193" s="7">
        <v>0</v>
      </c>
      <c r="K193" s="85" t="str">
        <f t="shared" si="97"/>
        <v>4043/4044</v>
      </c>
      <c r="L193" s="179" t="str">
        <f>VLOOKUP(A193,'Trips&amp;Operators'!$C$1:$G$99911,5,FALSE)</f>
        <v>STAMBAUGH JAMES</v>
      </c>
      <c r="M193" s="6">
        <f t="shared" si="98"/>
        <v>9.5949074093368836E-3</v>
      </c>
      <c r="N193" s="7">
        <f t="shared" si="104"/>
        <v>13.816666669445112</v>
      </c>
      <c r="O193" s="7"/>
      <c r="P193" s="7"/>
      <c r="Q193" s="22"/>
      <c r="R193" s="169"/>
      <c r="S193" s="202">
        <f t="shared" si="105"/>
        <v>1</v>
      </c>
      <c r="T193" s="169" t="str">
        <f t="shared" si="99"/>
        <v>NorthBound</v>
      </c>
      <c r="U193" s="22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2" t="str">
        <f t="shared" si="74"/>
        <v>https://d0f6bd738d7f1b3e5a7ca70fe4ff75f0.us-east-1.aws.found.io/app/kibana#/discover/Steve-Slow-Train-Analysis-(2080s-and-2083s)?_g=(refreshInterval:(display:Off,pause:!f,section:0,value:0),time:(from:'2017-10-03T15:35:56-0600',mode:absolute,to:'2017-10-03T17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23" t="str">
        <f>IF(AA193&lt;VLOOKUP(AG193,Variables!$AC$3:$AD$8,2,FALSE),"Y","N")</f>
        <v>N</v>
      </c>
      <c r="X193" s="223">
        <f t="shared" si="100"/>
        <v>1</v>
      </c>
      <c r="Y193" s="223">
        <f t="shared" si="106"/>
        <v>9.7799999999999998E-2</v>
      </c>
      <c r="Z193" s="223">
        <f t="shared" si="107"/>
        <v>5.8948</v>
      </c>
      <c r="AA193" s="223">
        <f t="shared" si="101"/>
        <v>5.7969999999999997</v>
      </c>
      <c r="AB193" s="224" t="e">
        <f>VLOOKUP(A193,Enforcements!$C$7:$K$11,8,0)</f>
        <v>#N/A</v>
      </c>
      <c r="AC193" s="224" t="e">
        <f>VLOOKUP(A193,Enforcements!$C$7:$E$11,3,0)</f>
        <v>#N/A</v>
      </c>
      <c r="AD193" s="225">
        <f t="shared" si="102"/>
        <v>831</v>
      </c>
      <c r="AE193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93" s="227" t="str">
        <f t="shared" si="81"/>
        <v>"C:\Program Files (x86)\AstroGrep\AstroGrep.exe" /e /r /s /spath="%USERPROFILE%\AppData\Local\Temp\OnboardLogs" /stypes="app*4044*20171003*" /stext=" 22:.+((SYSTEM_STATE.+slice.+state.+changed )|(ment ac)|(multiple cpu faults)|(system.+state.+changed )|(\[timeout)|(PRM\|1\|D)|(kpr)|(kdp)|(train st.+moving)|(\|lc)|(penalty))"</v>
      </c>
      <c r="AG193" s="228" t="str">
        <f t="shared" si="103"/>
        <v>NW</v>
      </c>
      <c r="AH193" s="229" t="str">
        <f t="shared" si="83"/>
        <v>"%USERPROFILE%\Documents\GitHub\eaglep3\Utilities\RefineRTDCRunTimes.py" --tripid 831-03 --locoid 4044 --swversion DE.1.0.9.0 --startMP 204:978 --initTime 2017-10-03T16:35:56 --startdatetime 2017-10-03T16:39:41 --delay 77 --endMP 300:58948 --enddatetime 2017-10-03T16:53:30 --enforcementcount 0 &gt;&gt;%USERPROFILE%\Documents\GitHub\eaglep3-reporting\EC\2017-10-03-refined-times.txt</v>
      </c>
      <c r="AI19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{"issue":{"subject":"","project_id":79,"tracker_id":40,"status_id":1,"priority_id":2,"assigned_to_id":338,"start_date":"2017-10-03","description":"","custom_fields":[{"id":1,"name":"Subdivision","value":"NW"},{"id":4,"name":"Milepost","value":"5.8948"},{"id":17,"name":"Train ID","value":"831-03"},{"id":16,"name":"Locomotive ID","value":"4044"},{"id":130,"name":"Impact","value":""},{"id":150,"name":"Time of Event (Mountain Time)","value":"16:53:30"},{"id":151,"name":"Denver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10"/>
      <c r="AK193" s="225"/>
      <c r="AL193" s="225"/>
      <c r="AM193" s="231" t="str">
        <f t="shared" si="85"/>
        <v>start /low /b %USERPROFILE%\Documents\GitHub\eaglep3\Utilities\DownloadLogsFromS3.py --loco 4044 --day 2017-10-03</v>
      </c>
      <c r="AN19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10" t="str">
        <f t="shared" si="87"/>
        <v>https://d0f6bd738d7f1b3e5a7ca70fe4ff75f0.us-east-1.aws.found.io/app/kibana#/discover/Steve-Slow-Train-Analysis-(2080s-and-2083s)?_g=(refreshInterval:(display:Off,pause:!f,section:0,value:0),time:(from:'2017-10-03T15:35:56-0600',mode:absolute,to:'2017-10-03T17:53:30-0600'))&amp;_a=(columns:!('Message%20ID',Summary),filters:!(),index:'emp_*',interval:auto,query:(query_string:(analyze_wildcard:!t,query:'%22rtdc.l.rtdc.4044%22')),sort:!(Time.ISO8601,asc))</v>
      </c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  <c r="BM193" s="210"/>
      <c r="BN193" s="210"/>
      <c r="BO193" s="210"/>
      <c r="BP193" s="210"/>
      <c r="BQ193" s="210"/>
      <c r="BR193" s="210"/>
      <c r="BS193" s="210"/>
      <c r="BT193" s="210"/>
      <c r="BU193" s="210"/>
      <c r="BV193" s="210"/>
      <c r="BW193" s="210"/>
      <c r="BX193" s="210"/>
      <c r="BY193" s="210"/>
      <c r="BZ193" s="210"/>
      <c r="CA193" s="210"/>
      <c r="CB193" s="210"/>
      <c r="CC193" s="210"/>
      <c r="CD193" s="210"/>
      <c r="CE193" s="210"/>
      <c r="CF193" s="210"/>
      <c r="CG193" s="210"/>
      <c r="CH193" s="210"/>
      <c r="CI193" s="210"/>
      <c r="CJ193" s="210"/>
      <c r="CK193" s="210"/>
      <c r="CL193" s="210"/>
      <c r="CM193" s="210"/>
    </row>
    <row r="194" spans="1:91" s="20" customFormat="1" x14ac:dyDescent="0.25">
      <c r="A194" s="32" t="s">
        <v>619</v>
      </c>
      <c r="B194" s="7">
        <v>4043</v>
      </c>
      <c r="C194" s="21" t="s">
        <v>194</v>
      </c>
      <c r="D194" s="21" t="s">
        <v>591</v>
      </c>
      <c r="E194" s="13">
        <v>43011.704618055555</v>
      </c>
      <c r="F194" s="13">
        <v>43011.71665509259</v>
      </c>
      <c r="G194" s="7">
        <v>59</v>
      </c>
      <c r="H194" s="21" t="s">
        <v>979</v>
      </c>
      <c r="I194" s="13">
        <v>43011.726006944446</v>
      </c>
      <c r="J194" s="7">
        <v>0</v>
      </c>
      <c r="K194" s="85" t="str">
        <f t="shared" si="97"/>
        <v>4043/4044</v>
      </c>
      <c r="L194" s="179" t="str">
        <f>VLOOKUP(A194,'Trips&amp;Operators'!$C$1:$G$99911,5,FALSE)</f>
        <v>STAMBAUGH JAMES</v>
      </c>
      <c r="M194" s="6">
        <f t="shared" si="98"/>
        <v>9.3518518551718444E-3</v>
      </c>
      <c r="N194" s="7">
        <f t="shared" si="104"/>
        <v>13.466666671447456</v>
      </c>
      <c r="O194" s="7"/>
      <c r="P194" s="7"/>
      <c r="Q194" s="22"/>
      <c r="R194" s="169"/>
      <c r="S194" s="202">
        <f t="shared" si="105"/>
        <v>1</v>
      </c>
      <c r="T194" s="169" t="str">
        <f t="shared" si="99"/>
        <v>Southbound</v>
      </c>
      <c r="U194" s="22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2" t="str">
        <f t="shared" si="74"/>
        <v>https://d0f6bd738d7f1b3e5a7ca70fe4ff75f0.us-east-1.aws.found.io/app/kibana#/discover/Steve-Slow-Train-Analysis-(2080s-and-2083s)?_g=(refreshInterval:(display:Off,pause:!f,section:0,value:0),time:(from:'2017-10-03T15:54:39-0600',mode:absolute,to:'2017-10-03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23" t="str">
        <f>IF(AA194&lt;VLOOKUP(AG194,Variables!$AC$3:$AD$8,2,FALSE),"Y","N")</f>
        <v>N</v>
      </c>
      <c r="X194" s="223">
        <f t="shared" si="100"/>
        <v>1</v>
      </c>
      <c r="Y194" s="223">
        <f t="shared" si="106"/>
        <v>5.8639999999999999</v>
      </c>
      <c r="Z194" s="223">
        <f t="shared" si="107"/>
        <v>6.6400000000000001E-2</v>
      </c>
      <c r="AA194" s="223">
        <f t="shared" si="101"/>
        <v>5.7976000000000001</v>
      </c>
      <c r="AB194" s="224" t="e">
        <f>VLOOKUP(A194,Enforcements!$C$7:$K$11,8,0)</f>
        <v>#N/A</v>
      </c>
      <c r="AC194" s="224" t="e">
        <f>VLOOKUP(A194,Enforcements!$C$7:$E$11,3,0)</f>
        <v>#N/A</v>
      </c>
      <c r="AD194" s="225">
        <f t="shared" si="102"/>
        <v>832</v>
      </c>
      <c r="AE194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94" s="227" t="str">
        <f t="shared" si="81"/>
        <v>"C:\Program Files (x86)\AstroGrep\AstroGrep.exe" /e /r /s /spath="%USERPROFILE%\AppData\Local\Temp\OnboardLogs" /stypes="app*4043*20171003*" /stext=" 23:.+((SYSTEM_STATE.+slice.+state.+changed )|(ment ac)|(multiple cpu faults)|(system.+state.+changed )|(\[timeout)|(PRM\|1\|D)|(kpr)|(kdp)|(train st.+moving)|(\|lc)|(penalty))"</v>
      </c>
      <c r="AG194" s="228" t="str">
        <f t="shared" si="103"/>
        <v>NW</v>
      </c>
      <c r="AH194" s="229" t="str">
        <f t="shared" si="83"/>
        <v>"%USERPROFILE%\Documents\GitHub\eaglep3\Utilities\RefineRTDCRunTimes.py" --tripid 832-03 --locoid 4043 --swversion DE.1.0.9.0 --startMP 300:58640 --initTime 2017-10-03T16:54:39 --startdatetime 2017-10-03T17:11:59 --delay 59 --endMP 204:664 --enddatetime 2017-10-03T17:25:27 --enforcementcount 0 &gt;&gt;%USERPROFILE%\Documents\GitHub\eaglep3-reporting\EC\2017-10-03-refined-times.txt</v>
      </c>
      <c r="AI19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{"issue":{"subject":"","project_id":79,"tracker_id":40,"status_id":1,"priority_id":2,"assigned_to_id":338,"start_date":"2017-10-03","description":"","custom_fields":[{"id":1,"name":"Subdivision","value":"NW"},{"id":4,"name":"Milepost","value":"0.0664"},{"id":17,"name":"Train ID","value":"832-03"},{"id":16,"name":"Locomotive ID","value":"4043"},{"id":130,"name":"Impact","value":""},{"id":150,"name":"Time of Event (Mountain Time)","value":"17:25:27"},{"id":151,"name":"Denver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10"/>
      <c r="AK194" s="225"/>
      <c r="AL194" s="225"/>
      <c r="AM194" s="231" t="str">
        <f t="shared" si="85"/>
        <v>start /low /b %USERPROFILE%\Documents\GitHub\eaglep3\Utilities\DownloadLogsFromS3.py --loco 4043 --day 2017-10-03</v>
      </c>
      <c r="AN19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10" t="str">
        <f t="shared" si="87"/>
        <v>https://d0f6bd738d7f1b3e5a7ca70fe4ff75f0.us-east-1.aws.found.io/app/kibana#/discover/Steve-Slow-Train-Analysis-(2080s-and-2083s)?_g=(refreshInterval:(display:Off,pause:!f,section:0,value:0),time:(from:'2017-10-03T15:54:39-0600',mode:absolute,to:'2017-10-03T18:25:27-0600'))&amp;_a=(columns:!('Message%20ID',Summary),filters:!(),index:'emp_*',interval:auto,query:(query_string:(analyze_wildcard:!t,query:'%22rtdc.l.rtdc.4043%22')),sort:!(Time.ISO8601,asc))</v>
      </c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  <c r="BM194" s="210"/>
      <c r="BN194" s="210"/>
      <c r="BO194" s="210"/>
      <c r="BP194" s="210"/>
      <c r="BQ194" s="210"/>
      <c r="BR194" s="210"/>
      <c r="BS194" s="210"/>
      <c r="BT194" s="210"/>
      <c r="BU194" s="210"/>
      <c r="BV194" s="210"/>
      <c r="BW194" s="210"/>
      <c r="BX194" s="210"/>
      <c r="BY194" s="210"/>
      <c r="BZ194" s="210"/>
      <c r="CA194" s="210"/>
      <c r="CB194" s="210"/>
      <c r="CC194" s="210"/>
      <c r="CD194" s="210"/>
      <c r="CE194" s="210"/>
      <c r="CF194" s="210"/>
      <c r="CG194" s="210"/>
      <c r="CH194" s="210"/>
      <c r="CI194" s="210"/>
      <c r="CJ194" s="210"/>
      <c r="CK194" s="210"/>
      <c r="CL194" s="210"/>
      <c r="CM194" s="210"/>
    </row>
    <row r="195" spans="1:91" s="20" customFormat="1" x14ac:dyDescent="0.25">
      <c r="A195" s="32" t="s">
        <v>777</v>
      </c>
      <c r="B195" s="7">
        <v>4008</v>
      </c>
      <c r="C195" s="21" t="s">
        <v>194</v>
      </c>
      <c r="D195" s="21" t="s">
        <v>971</v>
      </c>
      <c r="E195" s="13">
        <v>43011.708194444444</v>
      </c>
      <c r="F195" s="13">
        <v>43011.714756944442</v>
      </c>
      <c r="G195" s="7">
        <v>62</v>
      </c>
      <c r="H195" s="21" t="s">
        <v>980</v>
      </c>
      <c r="I195" s="13">
        <v>43011.725729166668</v>
      </c>
      <c r="J195" s="7">
        <v>0</v>
      </c>
      <c r="K195" s="85" t="str">
        <f t="shared" si="97"/>
        <v>4007/4008</v>
      </c>
      <c r="L195" s="179" t="str">
        <f>VLOOKUP(A195,'Trips&amp;Operators'!$C$1:$G$99911,5,FALSE)</f>
        <v>GUZMAN DANNY</v>
      </c>
      <c r="M195" s="6">
        <f t="shared" si="98"/>
        <v>1.0972222225973383E-2</v>
      </c>
      <c r="N195" s="7">
        <f t="shared" si="104"/>
        <v>15.800000005401671</v>
      </c>
      <c r="O195" s="7"/>
      <c r="P195" s="7"/>
      <c r="Q195" s="22"/>
      <c r="R195" s="169"/>
      <c r="S195" s="202">
        <f t="shared" si="105"/>
        <v>1</v>
      </c>
      <c r="T195" s="169" t="str">
        <f t="shared" si="99"/>
        <v>NorthBound</v>
      </c>
      <c r="U195" s="22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2" t="str">
        <f t="shared" si="74"/>
        <v>https://d0f6bd738d7f1b3e5a7ca70fe4ff75f0.us-east-1.aws.found.io/app/kibana#/discover/Steve-Slow-Train-Analysis-(2080s-and-2083s)?_g=(refreshInterval:(display:Off,pause:!f,section:0,value:0),time:(from:'2017-10-03T15:59:48-0600',mode:absolute,to:'2017-10-03T18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223" t="str">
        <f>IF(AA195&lt;VLOOKUP(AG195,Variables!$AC$3:$AD$8,2,FALSE),"Y","N")</f>
        <v>N</v>
      </c>
      <c r="X195" s="223">
        <f t="shared" si="100"/>
        <v>1</v>
      </c>
      <c r="Y195" s="223">
        <f t="shared" si="106"/>
        <v>9.6500000000000002E-2</v>
      </c>
      <c r="Z195" s="223">
        <f t="shared" si="107"/>
        <v>5.8935000000000004</v>
      </c>
      <c r="AA195" s="223">
        <f t="shared" si="101"/>
        <v>5.7970000000000006</v>
      </c>
      <c r="AB195" s="224" t="e">
        <f>VLOOKUP(A195,Enforcements!$C$7:$K$11,8,0)</f>
        <v>#N/A</v>
      </c>
      <c r="AC195" s="224" t="e">
        <f>VLOOKUP(A195,Enforcements!$C$7:$E$11,3,0)</f>
        <v>#N/A</v>
      </c>
      <c r="AD195" s="225">
        <f t="shared" si="102"/>
        <v>833</v>
      </c>
      <c r="AE19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95" s="227" t="str">
        <f t="shared" si="81"/>
        <v>"C:\Program Files (x86)\AstroGrep\AstroGrep.exe" /e /r /s /spath="%USERPROFILE%\AppData\Local\Temp\OnboardLogs" /stypes="app*4008*20171003*" /stext=" 23:.+((SYSTEM_STATE.+slice.+state.+changed )|(ment ac)|(multiple cpu faults)|(system.+state.+changed )|(\[timeout)|(PRM\|1\|D)|(kpr)|(kdp)|(train st.+moving)|(\|lc)|(penalty))"</v>
      </c>
      <c r="AG195" s="228" t="str">
        <f t="shared" si="103"/>
        <v>NW</v>
      </c>
      <c r="AH195" s="229" t="str">
        <f t="shared" si="83"/>
        <v>"%USERPROFILE%\Documents\GitHub\eaglep3\Utilities\RefineRTDCRunTimes.py" --tripid 833-03 --locoid 4008 --swversion DE.1.0.9.0 --startMP 204:965 --initTime 2017-10-03T16:59:48 --startdatetime 2017-10-03T17:09:15 --delay 62 --endMP 300:58935 --enddatetime 2017-10-03T17:25:03 --enforcementcount 0 &gt;&gt;%USERPROFILE%\Documents\GitHub\eaglep3-reporting\EC\2017-10-03-refined-times.txt</v>
      </c>
      <c r="AI19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ID","value":"833-03"},{"id":16,"name":"Locomotive ID","value":"4008"},{"id":130,"name":"Impact","value":""},{"id":150,"name":"Time of Event (Mountain Time)","value":"17:25:03"},{"id":151,"name":"Denver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10"/>
      <c r="AK195" s="225"/>
      <c r="AL195" s="225"/>
      <c r="AM195" s="231" t="str">
        <f t="shared" si="85"/>
        <v>start /low /b %USERPROFILE%\Documents\GitHub\eaglep3\Utilities\DownloadLogsFromS3.py --loco 4008 --day 2017-10-03</v>
      </c>
      <c r="AN19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10" t="str">
        <f t="shared" si="87"/>
        <v>https://d0f6bd738d7f1b3e5a7ca70fe4ff75f0.us-east-1.aws.found.io/app/kibana#/discover/Steve-Slow-Train-Analysis-(2080s-and-2083s)?_g=(refreshInterval:(display:Off,pause:!f,section:0,value:0),time:(from:'2017-10-03T15:59:48-0600',mode:absolute,to:'2017-10-03T18:25:03-0600'))&amp;_a=(columns:!('Message%20ID',Summary),filters:!(),index:'emp_*',interval:auto,query:(query_string:(analyze_wildcard:!t,query:'%22rtdc.l.rtdc.4008%22')),sort:!(Time.ISO8601,asc))</v>
      </c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  <c r="BM195" s="210"/>
      <c r="BN195" s="210"/>
      <c r="BO195" s="210"/>
      <c r="BP195" s="210"/>
      <c r="BQ195" s="210"/>
      <c r="BR195" s="210"/>
      <c r="BS195" s="210"/>
      <c r="BT195" s="210"/>
      <c r="BU195" s="210"/>
      <c r="BV195" s="210"/>
      <c r="BW195" s="210"/>
      <c r="BX195" s="210"/>
      <c r="BY195" s="210"/>
      <c r="BZ195" s="210"/>
      <c r="CA195" s="210"/>
      <c r="CB195" s="210"/>
      <c r="CC195" s="210"/>
      <c r="CD195" s="210"/>
      <c r="CE195" s="210"/>
      <c r="CF195" s="210"/>
      <c r="CG195" s="210"/>
      <c r="CH195" s="210"/>
      <c r="CI195" s="210"/>
      <c r="CJ195" s="210"/>
      <c r="CK195" s="210"/>
      <c r="CL195" s="210"/>
      <c r="CM195" s="210"/>
    </row>
    <row r="196" spans="1:91" s="20" customFormat="1" x14ac:dyDescent="0.25">
      <c r="A196" s="32" t="s">
        <v>785</v>
      </c>
      <c r="B196" s="7">
        <v>4007</v>
      </c>
      <c r="C196" s="21" t="s">
        <v>194</v>
      </c>
      <c r="D196" s="21" t="s">
        <v>581</v>
      </c>
      <c r="E196" s="13">
        <v>43011.726655092592</v>
      </c>
      <c r="F196" s="13">
        <v>43011.735092592593</v>
      </c>
      <c r="G196" s="7">
        <v>63</v>
      </c>
      <c r="H196" s="21" t="s">
        <v>950</v>
      </c>
      <c r="I196" s="13">
        <v>43011.746666666666</v>
      </c>
      <c r="J196" s="7">
        <v>0</v>
      </c>
      <c r="K196" s="85" t="str">
        <f t="shared" si="97"/>
        <v>4007/4008</v>
      </c>
      <c r="L196" s="179" t="str">
        <f>VLOOKUP(A196,'Trips&amp;Operators'!$C$1:$G$99911,5,FALSE)</f>
        <v>GUZMAN DANNY</v>
      </c>
      <c r="M196" s="6">
        <f t="shared" si="98"/>
        <v>1.1574074072996154E-2</v>
      </c>
      <c r="N196" s="7">
        <f t="shared" si="104"/>
        <v>16.666666665114462</v>
      </c>
      <c r="O196" s="7"/>
      <c r="P196" s="7"/>
      <c r="Q196" s="22"/>
      <c r="R196" s="169"/>
      <c r="S196" s="202">
        <f t="shared" si="105"/>
        <v>1</v>
      </c>
      <c r="T196" s="169" t="str">
        <f t="shared" si="99"/>
        <v>Southbound</v>
      </c>
      <c r="U196" s="22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2" t="str">
        <f t="shared" si="74"/>
        <v>https://d0f6bd738d7f1b3e5a7ca70fe4ff75f0.us-east-1.aws.found.io/app/kibana#/discover/Steve-Slow-Train-Analysis-(2080s-and-2083s)?_g=(refreshInterval:(display:Off,pause:!f,section:0,value:0),time:(from:'2017-10-03T16:26:23-0600',mode:absolute,to:'2017-10-03T18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223" t="str">
        <f>IF(AA196&lt;VLOOKUP(AG196,Variables!$AC$3:$AD$8,2,FALSE),"Y","N")</f>
        <v>N</v>
      </c>
      <c r="X196" s="223">
        <f t="shared" si="100"/>
        <v>1</v>
      </c>
      <c r="Y196" s="223">
        <f t="shared" si="106"/>
        <v>5.8619000000000003</v>
      </c>
      <c r="Z196" s="223">
        <f t="shared" si="107"/>
        <v>6.9900000000000004E-2</v>
      </c>
      <c r="AA196" s="223">
        <f t="shared" si="101"/>
        <v>5.7920000000000007</v>
      </c>
      <c r="AB196" s="224" t="e">
        <f>VLOOKUP(A196,Enforcements!$C$7:$K$11,8,0)</f>
        <v>#N/A</v>
      </c>
      <c r="AC196" s="224" t="e">
        <f>VLOOKUP(A196,Enforcements!$C$7:$E$11,3,0)</f>
        <v>#N/A</v>
      </c>
      <c r="AD196" s="225">
        <f t="shared" si="102"/>
        <v>834</v>
      </c>
      <c r="AE19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96" s="227" t="str">
        <f t="shared" si="81"/>
        <v>"C:\Program Files (x86)\AstroGrep\AstroGrep.exe" /e /r /s /spath="%USERPROFILE%\AppData\Local\Temp\OnboardLogs" /stypes="app*4007*20171003*" /stext=" 23:.+((SYSTEM_STATE.+slice.+state.+changed )|(ment ac)|(multiple cpu faults)|(system.+state.+changed )|(\[timeout)|(PRM\|1\|D)|(kpr)|(kdp)|(train st.+moving)|(\|lc)|(penalty))"</v>
      </c>
      <c r="AG196" s="228" t="str">
        <f t="shared" si="103"/>
        <v>NW</v>
      </c>
      <c r="AH196" s="229" t="str">
        <f t="shared" si="83"/>
        <v>"%USERPROFILE%\Documents\GitHub\eaglep3\Utilities\RefineRTDCRunTimes.py" --tripid 834-03 --locoid 4007 --swversion DE.1.0.9.0 --startMP 300:58619 --initTime 2017-10-03T17:26:23 --startdatetime 2017-10-03T17:38:32 --delay 63 --endMP 204:699 --enddatetime 2017-10-03T17:55:12 --enforcementcount 0 &gt;&gt;%USERPROFILE%\Documents\GitHub\eaglep3-reporting\EC\2017-10-03-refined-times.txt</v>
      </c>
      <c r="AI19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{"issue":{"subject":"","project_id":79,"tracker_id":40,"status_id":1,"priority_id":2,"assigned_to_id":338,"start_date":"2017-10-03","description":"","custom_fields":[{"id":1,"name":"Subdivision","value":"NW"},{"id":4,"name":"Milepost","value":"0.0699"},{"id":17,"name":"Train ID","value":"834-03"},{"id":16,"name":"Locomotive ID","value":"4007"},{"id":130,"name":"Impact","value":""},{"id":150,"name":"Time of Event (Mountain Time)","value":"17:55:12"},{"id":151,"name":"Denver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10"/>
      <c r="AK196" s="225"/>
      <c r="AL196" s="225"/>
      <c r="AM196" s="231" t="str">
        <f t="shared" si="85"/>
        <v>start /low /b %USERPROFILE%\Documents\GitHub\eaglep3\Utilities\DownloadLogsFromS3.py --loco 4007 --day 2017-10-03</v>
      </c>
      <c r="AN196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10" t="str">
        <f t="shared" si="87"/>
        <v>https://d0f6bd738d7f1b3e5a7ca70fe4ff75f0.us-east-1.aws.found.io/app/kibana#/discover/Steve-Slow-Train-Analysis-(2080s-and-2083s)?_g=(refreshInterval:(display:Off,pause:!f,section:0,value:0),time:(from:'2017-10-03T16:26:23-0600',mode:absolute,to:'2017-10-03T18:55:12-0600'))&amp;_a=(columns:!('Message%20ID',Summary),filters:!(),index:'emp_*',interval:auto,query:(query_string:(analyze_wildcard:!t,query:'%22rtdc.l.rtdc.4007%22')),sort:!(Time.ISO8601,asc))</v>
      </c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  <c r="BX196" s="210"/>
      <c r="BY196" s="210"/>
      <c r="BZ196" s="210"/>
      <c r="CA196" s="210"/>
      <c r="CB196" s="210"/>
      <c r="CC196" s="210"/>
      <c r="CD196" s="210"/>
      <c r="CE196" s="210"/>
      <c r="CF196" s="210"/>
      <c r="CG196" s="210"/>
      <c r="CH196" s="210"/>
      <c r="CI196" s="210"/>
      <c r="CJ196" s="210"/>
      <c r="CK196" s="210"/>
      <c r="CL196" s="210"/>
      <c r="CM196" s="210"/>
    </row>
    <row r="197" spans="1:91" s="20" customFormat="1" x14ac:dyDescent="0.25">
      <c r="A197" s="32" t="s">
        <v>620</v>
      </c>
      <c r="B197" s="7">
        <v>4044</v>
      </c>
      <c r="C197" s="21" t="s">
        <v>194</v>
      </c>
      <c r="D197" s="21" t="s">
        <v>948</v>
      </c>
      <c r="E197" s="13">
        <v>43011.732824074075</v>
      </c>
      <c r="F197" s="13">
        <v>43011.736307870371</v>
      </c>
      <c r="G197" s="7">
        <v>51</v>
      </c>
      <c r="H197" s="21" t="s">
        <v>981</v>
      </c>
      <c r="I197" s="13">
        <v>43011.745810185188</v>
      </c>
      <c r="J197" s="7">
        <v>0</v>
      </c>
      <c r="K197" s="85" t="str">
        <f t="shared" si="97"/>
        <v>4043/4044</v>
      </c>
      <c r="L197" s="179" t="str">
        <f>VLOOKUP(A197,'Trips&amp;Operators'!$C$1:$G$99911,5,FALSE)</f>
        <v>STAMBAUGH JAMES</v>
      </c>
      <c r="M197" s="6">
        <f t="shared" si="98"/>
        <v>9.5023148169275373E-3</v>
      </c>
      <c r="N197" s="7">
        <f t="shared" si="104"/>
        <v>13.683333336375654</v>
      </c>
      <c r="O197" s="7"/>
      <c r="P197" s="7"/>
      <c r="Q197" s="22"/>
      <c r="R197" s="169"/>
      <c r="S197" s="202">
        <f t="shared" si="105"/>
        <v>1</v>
      </c>
      <c r="T197" s="169" t="str">
        <f t="shared" si="99"/>
        <v>NorthBound</v>
      </c>
      <c r="U197" s="22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2" t="str">
        <f t="shared" si="74"/>
        <v>https://d0f6bd738d7f1b3e5a7ca70fe4ff75f0.us-east-1.aws.found.io/app/kibana#/discover/Steve-Slow-Train-Analysis-(2080s-and-2083s)?_g=(refreshInterval:(display:Off,pause:!f,section:0,value:0),time:(from:'2017-10-03T16:35:16-0600',mode:absolute,to:'2017-10-03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223" t="str">
        <f>IF(AA197&lt;VLOOKUP(AG197,Variables!$AC$3:$AD$8,2,FALSE),"Y","N")</f>
        <v>N</v>
      </c>
      <c r="X197" s="223">
        <f t="shared" si="100"/>
        <v>1</v>
      </c>
      <c r="Y197" s="223">
        <f t="shared" si="106"/>
        <v>9.7199999999999995E-2</v>
      </c>
      <c r="Z197" s="223">
        <f t="shared" si="107"/>
        <v>5.8917999999999999</v>
      </c>
      <c r="AA197" s="223">
        <f t="shared" si="101"/>
        <v>5.7946</v>
      </c>
      <c r="AB197" s="224" t="e">
        <f>VLOOKUP(A197,Enforcements!$C$7:$K$11,8,0)</f>
        <v>#N/A</v>
      </c>
      <c r="AC197" s="224" t="e">
        <f>VLOOKUP(A197,Enforcements!$C$7:$E$11,3,0)</f>
        <v>#N/A</v>
      </c>
      <c r="AD197" s="225">
        <f t="shared" si="102"/>
        <v>835</v>
      </c>
      <c r="AE197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97" s="227" t="str">
        <f t="shared" si="81"/>
        <v>"C:\Program Files (x86)\AstroGrep\AstroGrep.exe" /e /r /s /spath="%USERPROFILE%\AppData\Local\Temp\OnboardLogs" /stypes="app*4044*20171003*" /stext=" 23:.+((SYSTEM_STATE.+slice.+state.+changed )|(ment ac)|(multiple cpu faults)|(system.+state.+changed )|(\[timeout)|(PRM\|1\|D)|(kpr)|(kdp)|(train st.+moving)|(\|lc)|(penalty))"</v>
      </c>
      <c r="AG197" s="228" t="str">
        <f t="shared" si="103"/>
        <v>NW</v>
      </c>
      <c r="AH197" s="229" t="str">
        <f t="shared" si="83"/>
        <v>"%USERPROFILE%\Documents\GitHub\eaglep3\Utilities\RefineRTDCRunTimes.py" --tripid 835-03 --locoid 4044 --swversion DE.1.0.9.0 --startMP 204:972 --initTime 2017-10-03T17:35:16 --startdatetime 2017-10-03T17:40:17 --delay 51 --endMP 300:58918 --enddatetime 2017-10-03T17:53:58 --enforcementcount 0 &gt;&gt;%USERPROFILE%\Documents\GitHub\eaglep3-reporting\EC\2017-10-03-refined-times.txt</v>
      </c>
      <c r="AI19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{"issue":{"subject":"","project_id":79,"tracker_id":40,"status_id":1,"priority_id":2,"assigned_to_id":338,"start_date":"2017-10-03","description":"","custom_fields":[{"id":1,"name":"Subdivision","value":"NW"},{"id":4,"name":"Milepost","value":"5.8918"},{"id":17,"name":"Train ID","value":"835-03"},{"id":16,"name":"Locomotive ID","value":"4044"},{"id":130,"name":"Impact","value":""},{"id":150,"name":"Time of Event (Mountain Time)","value":"17:53:58"},{"id":151,"name":"Denver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10"/>
      <c r="AK197" s="225"/>
      <c r="AL197" s="225"/>
      <c r="AM197" s="231" t="str">
        <f t="shared" si="85"/>
        <v>start /low /b %USERPROFILE%\Documents\GitHub\eaglep3\Utilities\DownloadLogsFromS3.py --loco 4044 --day 2017-10-03</v>
      </c>
      <c r="AN19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10" t="str">
        <f t="shared" si="87"/>
        <v>https://d0f6bd738d7f1b3e5a7ca70fe4ff75f0.us-east-1.aws.found.io/app/kibana#/discover/Steve-Slow-Train-Analysis-(2080s-and-2083s)?_g=(refreshInterval:(display:Off,pause:!f,section:0,value:0),time:(from:'2017-10-03T16:35:16-0600',mode:absolute,to:'2017-10-03T18:53:58-0600'))&amp;_a=(columns:!('Message%20ID',Summary),filters:!(),index:'emp_*',interval:auto,query:(query_string:(analyze_wildcard:!t,query:'%22rtdc.l.rtdc.4044%22')),sort:!(Time.ISO8601,asc))</v>
      </c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  <c r="BM197" s="210"/>
      <c r="BN197" s="210"/>
      <c r="BO197" s="210"/>
      <c r="BP197" s="210"/>
      <c r="BQ197" s="210"/>
      <c r="BR197" s="210"/>
      <c r="BS197" s="210"/>
      <c r="BT197" s="210"/>
      <c r="BU197" s="210"/>
      <c r="BV197" s="210"/>
      <c r="BW197" s="210"/>
      <c r="BX197" s="210"/>
      <c r="BY197" s="210"/>
      <c r="BZ197" s="210"/>
      <c r="CA197" s="210"/>
      <c r="CB197" s="210"/>
      <c r="CC197" s="210"/>
      <c r="CD197" s="210"/>
      <c r="CE197" s="210"/>
      <c r="CF197" s="210"/>
      <c r="CG197" s="210"/>
      <c r="CH197" s="210"/>
      <c r="CI197" s="210"/>
      <c r="CJ197" s="210"/>
      <c r="CK197" s="210"/>
      <c r="CL197" s="210"/>
      <c r="CM197" s="210"/>
    </row>
    <row r="198" spans="1:91" s="20" customFormat="1" x14ac:dyDescent="0.25">
      <c r="A198" s="32" t="s">
        <v>792</v>
      </c>
      <c r="B198" s="7">
        <v>4043</v>
      </c>
      <c r="C198" s="21" t="s">
        <v>194</v>
      </c>
      <c r="D198" s="21" t="s">
        <v>982</v>
      </c>
      <c r="E198" s="13">
        <v>43011.747349537036</v>
      </c>
      <c r="F198" s="13">
        <v>43011.758275462962</v>
      </c>
      <c r="G198" s="7">
        <v>138</v>
      </c>
      <c r="H198" s="21" t="s">
        <v>967</v>
      </c>
      <c r="I198" s="13">
        <v>43011.766782407409</v>
      </c>
      <c r="J198" s="7">
        <v>0</v>
      </c>
      <c r="K198" s="85" t="str">
        <f t="shared" si="97"/>
        <v>4043/4044</v>
      </c>
      <c r="L198" s="179" t="str">
        <f>VLOOKUP(A198,'Trips&amp;Operators'!$C$1:$G$99911,5,FALSE)</f>
        <v>STAMBAUGH JAMES</v>
      </c>
      <c r="M198" s="6">
        <f t="shared" si="98"/>
        <v>8.5069444467080757E-3</v>
      </c>
      <c r="N198" s="7">
        <f t="shared" si="104"/>
        <v>12.250000003259629</v>
      </c>
      <c r="O198" s="7"/>
      <c r="P198" s="7"/>
      <c r="Q198" s="22"/>
      <c r="R198" s="169"/>
      <c r="S198" s="202">
        <f t="shared" si="105"/>
        <v>1</v>
      </c>
      <c r="T198" s="169" t="str">
        <f t="shared" si="99"/>
        <v>Southbound</v>
      </c>
      <c r="U198" s="22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2" t="str">
        <f t="shared" si="74"/>
        <v>https://d0f6bd738d7f1b3e5a7ca70fe4ff75f0.us-east-1.aws.found.io/app/kibana#/discover/Steve-Slow-Train-Analysis-(2080s-and-2083s)?_g=(refreshInterval:(display:Off,pause:!f,section:0,value:0),time:(from:'2017-10-03T16:56:11-0600',mode:absolute,to:'2017-10-03T19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223" t="str">
        <f>IF(AA198&lt;VLOOKUP(AG198,Variables!$AC$3:$AD$8,2,FALSE),"Y","N")</f>
        <v>N</v>
      </c>
      <c r="X198" s="223">
        <f t="shared" si="100"/>
        <v>1</v>
      </c>
      <c r="Y198" s="223">
        <f t="shared" si="106"/>
        <v>5.8605999999999998</v>
      </c>
      <c r="Z198" s="223">
        <f t="shared" si="107"/>
        <v>6.7500000000000004E-2</v>
      </c>
      <c r="AA198" s="223">
        <f t="shared" si="101"/>
        <v>5.7930999999999999</v>
      </c>
      <c r="AB198" s="224" t="e">
        <f>VLOOKUP(A198,Enforcements!$C$7:$K$11,8,0)</f>
        <v>#N/A</v>
      </c>
      <c r="AC198" s="224" t="e">
        <f>VLOOKUP(A198,Enforcements!$C$7:$E$11,3,0)</f>
        <v>#N/A</v>
      </c>
      <c r="AD198" s="225">
        <f t="shared" si="102"/>
        <v>836</v>
      </c>
      <c r="AE198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98" s="227" t="str">
        <f t="shared" si="81"/>
        <v>"C:\Program Files (x86)\AstroGrep\AstroGrep.exe" /e /r /s /spath="%USERPROFILE%\AppData\Local\Temp\OnboardLogs" /stypes="app*4043*20171004*" /stext=" 00:.+((SYSTEM_STATE.+slice.+state.+changed )|(ment ac)|(multiple cpu faults)|(system.+state.+changed )|(\[timeout)|(PRM\|1\|D)|(kpr)|(kdp)|(train st.+moving)|(\|lc)|(penalty))"</v>
      </c>
      <c r="AG198" s="228" t="str">
        <f t="shared" si="103"/>
        <v>NW</v>
      </c>
      <c r="AH198" s="229" t="str">
        <f t="shared" si="83"/>
        <v>"%USERPROFILE%\Documents\GitHub\eaglep3\Utilities\RefineRTDCRunTimes.py" --tripid 836-03 --locoid 4043 --swversion DE.1.0.9.0 --startMP 300:58606 --initTime 2017-10-03T17:56:11 --startdatetime 2017-10-03T18:11:55 --delay 138 --endMP 204:675 --enddatetime 2017-10-03T18:24:10 --enforcementcount 0 &gt;&gt;%USERPROFILE%\Documents\GitHub\eaglep3-reporting\EC\2017-10-03-refined-times.txt</v>
      </c>
      <c r="AI198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{"issue":{"subject":"","project_id":79,"tracker_id":40,"status_id":1,"priority_id":2,"assigned_to_id":338,"start_date":"2017-10-03","description":"","custom_fields":[{"id":1,"name":"Subdivision","value":"NW"},{"id":4,"name":"Milepost","value":"0.0675"},{"id":17,"name":"Train ID","value":"836-03"},{"id":16,"name":"Locomotive ID","value":"4043"},{"id":130,"name":"Impact","value":""},{"id":150,"name":"Time of Event (Mountain Time)","value":"18:24:10"},{"id":151,"name":"Denver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10"/>
      <c r="AK198" s="225"/>
      <c r="AL198" s="225"/>
      <c r="AM198" s="231" t="str">
        <f t="shared" si="85"/>
        <v>start /low /b %USERPROFILE%\Documents\GitHub\eaglep3\Utilities\DownloadLogsFromS3.py --loco 4043 --day 2017-10-03</v>
      </c>
      <c r="AN198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10" t="str">
        <f t="shared" si="87"/>
        <v>https://d0f6bd738d7f1b3e5a7ca70fe4ff75f0.us-east-1.aws.found.io/app/kibana#/discover/Steve-Slow-Train-Analysis-(2080s-and-2083s)?_g=(refreshInterval:(display:Off,pause:!f,section:0,value:0),time:(from:'2017-10-03T16:56:11-0600',mode:absolute,to:'2017-10-03T19:24:10-0600'))&amp;_a=(columns:!('Message%20ID',Summary),filters:!(),index:'emp_*',interval:auto,query:(query_string:(analyze_wildcard:!t,query:'%22rtdc.l.rtdc.4043%22')),sort:!(Time.ISO8601,asc))</v>
      </c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  <c r="BM198" s="210"/>
      <c r="BN198" s="210"/>
      <c r="BO198" s="210"/>
      <c r="BP198" s="210"/>
      <c r="BQ198" s="210"/>
      <c r="BR198" s="210"/>
      <c r="BS198" s="210"/>
      <c r="BT198" s="210"/>
      <c r="BU198" s="210"/>
      <c r="BV198" s="210"/>
      <c r="BW198" s="210"/>
      <c r="BX198" s="210"/>
      <c r="BY198" s="210"/>
      <c r="BZ198" s="210"/>
      <c r="CA198" s="210"/>
      <c r="CB198" s="210"/>
      <c r="CC198" s="210"/>
      <c r="CD198" s="210"/>
      <c r="CE198" s="210"/>
      <c r="CF198" s="210"/>
      <c r="CG198" s="210"/>
      <c r="CH198" s="210"/>
      <c r="CI198" s="210"/>
      <c r="CJ198" s="210"/>
      <c r="CK198" s="210"/>
      <c r="CL198" s="210"/>
      <c r="CM198" s="210"/>
    </row>
    <row r="199" spans="1:91" s="20" customFormat="1" x14ac:dyDescent="0.25">
      <c r="A199" s="32" t="s">
        <v>793</v>
      </c>
      <c r="B199" s="7">
        <v>4008</v>
      </c>
      <c r="C199" s="21" t="s">
        <v>194</v>
      </c>
      <c r="D199" s="21" t="s">
        <v>983</v>
      </c>
      <c r="E199" s="13">
        <v>43011.750405092593</v>
      </c>
      <c r="F199" s="13">
        <v>43011.756469907406</v>
      </c>
      <c r="G199" s="7">
        <v>75</v>
      </c>
      <c r="H199" s="21" t="s">
        <v>957</v>
      </c>
      <c r="I199" s="13">
        <v>43011.766863425924</v>
      </c>
      <c r="J199" s="7">
        <v>0</v>
      </c>
      <c r="K199" s="85" t="str">
        <f t="shared" si="97"/>
        <v>4007/4008</v>
      </c>
      <c r="L199" s="179" t="str">
        <f>VLOOKUP(A199,'Trips&amp;Operators'!$C$1:$G$99911,5,FALSE)</f>
        <v>ZEWDU DEREJE</v>
      </c>
      <c r="M199" s="6">
        <f t="shared" si="98"/>
        <v>1.0393518517958E-2</v>
      </c>
      <c r="N199" s="7">
        <f t="shared" si="104"/>
        <v>14.96666666585952</v>
      </c>
      <c r="O199" s="7"/>
      <c r="P199" s="7"/>
      <c r="Q199" s="22"/>
      <c r="R199" s="169"/>
      <c r="S199" s="202">
        <f t="shared" si="105"/>
        <v>1</v>
      </c>
      <c r="T199" s="169" t="str">
        <f t="shared" si="99"/>
        <v>NorthBound</v>
      </c>
      <c r="U199" s="22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2" t="str">
        <f t="shared" si="74"/>
        <v>https://d0f6bd738d7f1b3e5a7ca70fe4ff75f0.us-east-1.aws.found.io/app/kibana#/discover/Steve-Slow-Train-Analysis-(2080s-and-2083s)?_g=(refreshInterval:(display:Off,pause:!f,section:0,value:0),time:(from:'2017-10-03T17:00:35-0600',mode:absolute,to:'2017-10-03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223" t="str">
        <f>IF(AA199&lt;VLOOKUP(AG199,Variables!$AC$3:$AD$8,2,FALSE),"Y","N")</f>
        <v>N</v>
      </c>
      <c r="X199" s="223">
        <f t="shared" si="100"/>
        <v>1</v>
      </c>
      <c r="Y199" s="223">
        <f t="shared" si="106"/>
        <v>9.9299999999999999E-2</v>
      </c>
      <c r="Z199" s="223">
        <f t="shared" si="107"/>
        <v>5.8986000000000001</v>
      </c>
      <c r="AA199" s="223">
        <f t="shared" si="101"/>
        <v>5.7992999999999997</v>
      </c>
      <c r="AB199" s="224" t="e">
        <f>VLOOKUP(A199,Enforcements!$C$7:$K$11,8,0)</f>
        <v>#N/A</v>
      </c>
      <c r="AC199" s="224" t="e">
        <f>VLOOKUP(A199,Enforcements!$C$7:$E$11,3,0)</f>
        <v>#N/A</v>
      </c>
      <c r="AD199" s="225">
        <f t="shared" si="102"/>
        <v>837</v>
      </c>
      <c r="AE199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99" s="227" t="str">
        <f t="shared" si="81"/>
        <v>"C:\Program Files (x86)\AstroGrep\AstroGrep.exe" /e /r /s /spath="%USERPROFILE%\AppData\Local\Temp\OnboardLogs" /stypes="app*4008*20171004*" /stext=" 00:.+((SYSTEM_STATE.+slice.+state.+changed )|(ment ac)|(multiple cpu faults)|(system.+state.+changed )|(\[timeout)|(PRM\|1\|D)|(kpr)|(kdp)|(train st.+moving)|(\|lc)|(penalty))"</v>
      </c>
      <c r="AG199" s="228" t="str">
        <f t="shared" si="103"/>
        <v>NW</v>
      </c>
      <c r="AH199" s="229" t="str">
        <f t="shared" si="83"/>
        <v>"%USERPROFILE%\Documents\GitHub\eaglep3\Utilities\RefineRTDCRunTimes.py" --tripid 837-03 --locoid 4008 --swversion DE.1.0.9.0 --startMP 204:993 --initTime 2017-10-03T18:00:35 --startdatetime 2017-10-03T18:09:19 --delay 75 --endMP 300:58986 --enddatetime 2017-10-03T18:24:17 --enforcementcount 0 &gt;&gt;%USERPROFILE%\Documents\GitHub\eaglep3-reporting\EC\2017-10-03-refined-times.txt</v>
      </c>
      <c r="AI19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{"issue":{"subject":"","project_id":79,"tracker_id":40,"status_id":1,"priority_id":2,"assigned_to_id":338,"start_date":"2017-10-03","description":"","custom_fields":[{"id":1,"name":"Subdivision","value":"NW"},{"id":4,"name":"Milepost","value":"5.8986"},{"id":17,"name":"Train ID","value":"837-03"},{"id":16,"name":"Locomotive ID","value":"4008"},{"id":130,"name":"Impact","value":""},{"id":150,"name":"Time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10"/>
      <c r="AK199" s="225"/>
      <c r="AL199" s="225"/>
      <c r="AM199" s="231" t="str">
        <f t="shared" si="85"/>
        <v>start /low /b %USERPROFILE%\Documents\GitHub\eaglep3\Utilities\DownloadLogsFromS3.py --loco 4008 --day 2017-10-03</v>
      </c>
      <c r="AN199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10" t="str">
        <f t="shared" si="87"/>
        <v>https://d0f6bd738d7f1b3e5a7ca70fe4ff75f0.us-east-1.aws.found.io/app/kibana#/discover/Steve-Slow-Train-Analysis-(2080s-and-2083s)?_g=(refreshInterval:(display:Off,pause:!f,section:0,value:0),time:(from:'2017-10-03T17:00:35-0600',mode:absolute,to:'2017-10-03T19:24:17-0600'))&amp;_a=(columns:!('Message%20ID',Summary),filters:!(),index:'emp_*',interval:auto,query:(query_string:(analyze_wildcard:!t,query:'%22rtdc.l.rtdc.4008%22')),sort:!(Time.ISO8601,asc))</v>
      </c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  <c r="BM199" s="210"/>
      <c r="BN199" s="210"/>
      <c r="BO199" s="210"/>
      <c r="BP199" s="210"/>
      <c r="BQ199" s="210"/>
      <c r="BR199" s="210"/>
      <c r="BS199" s="210"/>
      <c r="BT199" s="210"/>
      <c r="BU199" s="210"/>
      <c r="BV199" s="210"/>
      <c r="BW199" s="210"/>
      <c r="BX199" s="210"/>
      <c r="BY199" s="210"/>
      <c r="BZ199" s="210"/>
      <c r="CA199" s="210"/>
      <c r="CB199" s="210"/>
      <c r="CC199" s="210"/>
      <c r="CD199" s="210"/>
      <c r="CE199" s="210"/>
      <c r="CF199" s="210"/>
      <c r="CG199" s="210"/>
      <c r="CH199" s="210"/>
      <c r="CI199" s="210"/>
      <c r="CJ199" s="210"/>
      <c r="CK199" s="210"/>
      <c r="CL199" s="210"/>
      <c r="CM199" s="210"/>
    </row>
    <row r="200" spans="1:91" s="20" customFormat="1" x14ac:dyDescent="0.25">
      <c r="A200" s="32" t="s">
        <v>799</v>
      </c>
      <c r="B200" s="7">
        <v>4007</v>
      </c>
      <c r="C200" s="21" t="s">
        <v>194</v>
      </c>
      <c r="D200" s="21" t="s">
        <v>984</v>
      </c>
      <c r="E200" s="13">
        <v>43011.773599537039</v>
      </c>
      <c r="F200" s="13">
        <v>43011.775775462964</v>
      </c>
      <c r="G200" s="7">
        <v>84</v>
      </c>
      <c r="H200" s="21" t="s">
        <v>985</v>
      </c>
      <c r="I200" s="13">
        <v>43011.788576388892</v>
      </c>
      <c r="J200" s="7">
        <v>0</v>
      </c>
      <c r="K200" s="85" t="str">
        <f t="shared" si="97"/>
        <v>4007/4008</v>
      </c>
      <c r="L200" s="179" t="str">
        <f>VLOOKUP(A200,'Trips&amp;Operators'!$C$1:$G$99911,5,FALSE)</f>
        <v>ZEWDU DEREJE</v>
      </c>
      <c r="M200" s="6">
        <f t="shared" si="98"/>
        <v>1.280092592787696E-2</v>
      </c>
      <c r="N200" s="7">
        <f t="shared" si="104"/>
        <v>18.433333336142823</v>
      </c>
      <c r="O200" s="7"/>
      <c r="P200" s="7"/>
      <c r="Q200" s="22"/>
      <c r="R200" s="169"/>
      <c r="S200" s="202">
        <f t="shared" si="105"/>
        <v>1</v>
      </c>
      <c r="T200" s="169" t="str">
        <f t="shared" si="99"/>
        <v>Southbound</v>
      </c>
      <c r="U200" s="22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2" t="str">
        <f t="shared" si="74"/>
        <v>https://d0f6bd738d7f1b3e5a7ca70fe4ff75f0.us-east-1.aws.found.io/app/kibana#/discover/Steve-Slow-Train-Analysis-(2080s-and-2083s)?_g=(refreshInterval:(display:Off,pause:!f,section:0,value:0),time:(from:'2017-10-03T17:33:59-0600',mode:absolute,to:'2017-10-03T19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223" t="str">
        <f>IF(AA200&lt;VLOOKUP(AG200,Variables!$AC$3:$AD$8,2,FALSE),"Y","N")</f>
        <v>N</v>
      </c>
      <c r="X200" s="223">
        <f t="shared" si="100"/>
        <v>1</v>
      </c>
      <c r="Y200" s="223">
        <f t="shared" si="106"/>
        <v>5.867</v>
      </c>
      <c r="Z200" s="223">
        <f t="shared" si="107"/>
        <v>6.9199999999999998E-2</v>
      </c>
      <c r="AA200" s="223">
        <f t="shared" si="101"/>
        <v>5.7977999999999996</v>
      </c>
      <c r="AB200" s="224" t="e">
        <f>VLOOKUP(A200,Enforcements!$C$7:$K$11,8,0)</f>
        <v>#N/A</v>
      </c>
      <c r="AC200" s="224" t="e">
        <f>VLOOKUP(A200,Enforcements!$C$7:$E$11,3,0)</f>
        <v>#N/A</v>
      </c>
      <c r="AD200" s="225">
        <f t="shared" si="102"/>
        <v>838</v>
      </c>
      <c r="AE200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0" s="227" t="str">
        <f t="shared" si="81"/>
        <v>"C:\Program Files (x86)\AstroGrep\AstroGrep.exe" /e /r /s /spath="%USERPROFILE%\AppData\Local\Temp\OnboardLogs" /stypes="app*4007*20171004*" /stext=" 00:.+((SYSTEM_STATE.+slice.+state.+changed )|(ment ac)|(multiple cpu faults)|(system.+state.+changed )|(\[timeout)|(PRM\|1\|D)|(kpr)|(kdp)|(train st.+moving)|(\|lc)|(penalty))"</v>
      </c>
      <c r="AG200" s="228" t="str">
        <f t="shared" si="103"/>
        <v>NW</v>
      </c>
      <c r="AH200" s="229" t="str">
        <f t="shared" si="83"/>
        <v>"%USERPROFILE%\Documents\GitHub\eaglep3\Utilities\RefineRTDCRunTimes.py" --tripid 838-03 --locoid 4007 --swversion DE.1.0.9.0 --startMP 300:58670 --initTime 2017-10-03T18:33:59 --startdatetime 2017-10-03T18:37:07 --delay 84 --endMP 204:692 --enddatetime 2017-10-03T18:55:33 --enforcementcount 0 &gt;&gt;%USERPROFILE%\Documents\GitHub\eaglep3-reporting\EC\2017-10-03-refined-times.txt</v>
      </c>
      <c r="AI20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{"issue":{"subject":"","project_id":79,"tracker_id":40,"status_id":1,"priority_id":2,"assigned_to_id":338,"start_date":"2017-10-03","description":"","custom_fields":[{"id":1,"name":"Subdivision","value":"NW"},{"id":4,"name":"Milepost","value":"0.0692"},{"id":17,"name":"Train ID","value":"838-03"},{"id":16,"name":"Locomotive ID","value":"4007"},{"id":130,"name":"Impact","value":""},{"id":150,"name":"Time of Event (Mountain Time)","value":"18:55:33"},{"id":151,"name":"Denver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10"/>
      <c r="AK200" s="225"/>
      <c r="AL200" s="225"/>
      <c r="AM200" s="231" t="str">
        <f t="shared" si="85"/>
        <v>start /low /b %USERPROFILE%\Documents\GitHub\eaglep3\Utilities\DownloadLogsFromS3.py --loco 4007 --day 2017-10-03</v>
      </c>
      <c r="AN200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10" t="str">
        <f t="shared" si="87"/>
        <v>https://d0f6bd738d7f1b3e5a7ca70fe4ff75f0.us-east-1.aws.found.io/app/kibana#/discover/Steve-Slow-Train-Analysis-(2080s-and-2083s)?_g=(refreshInterval:(display:Off,pause:!f,section:0,value:0),time:(from:'2017-10-03T17:33:59-0600',mode:absolute,to:'2017-10-03T19:55:33-0600'))&amp;_a=(columns:!('Message%20ID',Summary),filters:!(),index:'emp_*',interval:auto,query:(query_string:(analyze_wildcard:!t,query:'%22rtdc.l.rtdc.4007%22')),sort:!(Time.ISO8601,asc))</v>
      </c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  <c r="BM200" s="210"/>
      <c r="BN200" s="210"/>
      <c r="BO200" s="210"/>
      <c r="BP200" s="210"/>
      <c r="BQ200" s="210"/>
      <c r="BR200" s="210"/>
      <c r="BS200" s="210"/>
      <c r="BT200" s="210"/>
      <c r="BU200" s="210"/>
      <c r="BV200" s="210"/>
      <c r="BW200" s="210"/>
      <c r="BX200" s="210"/>
      <c r="BY200" s="210"/>
      <c r="BZ200" s="210"/>
      <c r="CA200" s="210"/>
      <c r="CB200" s="210"/>
      <c r="CC200" s="210"/>
      <c r="CD200" s="210"/>
      <c r="CE200" s="210"/>
      <c r="CF200" s="210"/>
      <c r="CG200" s="210"/>
      <c r="CH200" s="210"/>
      <c r="CI200" s="210"/>
      <c r="CJ200" s="210"/>
      <c r="CK200" s="210"/>
      <c r="CL200" s="210"/>
      <c r="CM200" s="210"/>
    </row>
    <row r="201" spans="1:91" s="20" customFormat="1" x14ac:dyDescent="0.25">
      <c r="A201" s="32" t="s">
        <v>800</v>
      </c>
      <c r="B201" s="7">
        <v>4044</v>
      </c>
      <c r="C201" s="21" t="s">
        <v>194</v>
      </c>
      <c r="D201" s="21" t="s">
        <v>584</v>
      </c>
      <c r="E201" s="13">
        <v>43011.775069444448</v>
      </c>
      <c r="F201" s="13">
        <v>43011.777349537035</v>
      </c>
      <c r="G201" s="7">
        <v>57</v>
      </c>
      <c r="H201" s="21" t="s">
        <v>589</v>
      </c>
      <c r="I201" s="13">
        <v>43011.787048611113</v>
      </c>
      <c r="J201" s="7">
        <v>0</v>
      </c>
      <c r="K201" s="85" t="str">
        <f t="shared" si="97"/>
        <v>4043/4044</v>
      </c>
      <c r="L201" s="179" t="str">
        <f>VLOOKUP(A201,'Trips&amp;Operators'!$C$1:$G$99911,5,FALSE)</f>
        <v>STAMBAUGH JAMES</v>
      </c>
      <c r="M201" s="6">
        <f t="shared" si="98"/>
        <v>9.6990740785258822E-3</v>
      </c>
      <c r="N201" s="7">
        <f t="shared" si="104"/>
        <v>13.96666667307727</v>
      </c>
      <c r="O201" s="7"/>
      <c r="P201" s="7"/>
      <c r="Q201" s="22"/>
      <c r="R201" s="169"/>
      <c r="S201" s="202">
        <f t="shared" si="105"/>
        <v>1</v>
      </c>
      <c r="T201" s="169" t="str">
        <f t="shared" si="99"/>
        <v>NorthBound</v>
      </c>
      <c r="U201" s="22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2" t="str">
        <f t="shared" si="74"/>
        <v>https://d0f6bd738d7f1b3e5a7ca70fe4ff75f0.us-east-1.aws.found.io/app/kibana#/discover/Steve-Slow-Train-Analysis-(2080s-and-2083s)?_g=(refreshInterval:(display:Off,pause:!f,section:0,value:0),time:(from:'2017-10-03T17:36:06-0600',mode:absolute,to:'2017-10-03T19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23" t="str">
        <f>IF(AA201&lt;VLOOKUP(AG201,Variables!$AC$3:$AD$8,2,FALSE),"Y","N")</f>
        <v>N</v>
      </c>
      <c r="X201" s="223">
        <f t="shared" si="100"/>
        <v>1</v>
      </c>
      <c r="Y201" s="223">
        <f t="shared" si="106"/>
        <v>9.5799999999999996E-2</v>
      </c>
      <c r="Z201" s="223">
        <f t="shared" si="107"/>
        <v>5.8949999999999996</v>
      </c>
      <c r="AA201" s="223">
        <f t="shared" si="101"/>
        <v>5.7991999999999999</v>
      </c>
      <c r="AB201" s="224" t="e">
        <f>VLOOKUP(A201,Enforcements!$C$7:$K$11,8,0)</f>
        <v>#N/A</v>
      </c>
      <c r="AC201" s="224" t="e">
        <f>VLOOKUP(A201,Enforcements!$C$7:$E$11,3,0)</f>
        <v>#N/A</v>
      </c>
      <c r="AD201" s="225">
        <f t="shared" si="102"/>
        <v>839</v>
      </c>
      <c r="AE201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201" s="227" t="str">
        <f t="shared" si="81"/>
        <v>"C:\Program Files (x86)\AstroGrep\AstroGrep.exe" /e /r /s /spath="%USERPROFILE%\AppData\Local\Temp\OnboardLogs" /stypes="app*4044*20171004*" /stext=" 00:.+((SYSTEM_STATE.+slice.+state.+changed )|(ment ac)|(multiple cpu faults)|(system.+state.+changed )|(\[timeout)|(PRM\|1\|D)|(kpr)|(kdp)|(train st.+moving)|(\|lc)|(penalty))"</v>
      </c>
      <c r="AG201" s="228" t="str">
        <f t="shared" si="103"/>
        <v>NW</v>
      </c>
      <c r="AH201" s="229" t="str">
        <f t="shared" si="83"/>
        <v>"%USERPROFILE%\Documents\GitHub\eaglep3\Utilities\RefineRTDCRunTimes.py" --tripid 839-03 --locoid 4044 --swversion DE.1.0.9.0 --startMP 204:958 --initTime 2017-10-03T18:36:06 --startdatetime 2017-10-03T18:39:23 --delay 57 --endMP 300:58950 --enddatetime 2017-10-03T18:53:21 --enforcementcount 0 &gt;&gt;%USERPROFILE%\Documents\GitHub\eaglep3-reporting\EC\2017-10-03-refined-times.txt</v>
      </c>
      <c r="AI20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{"issue":{"subject":"","project_id":79,"tracker_id":40,"status_id":1,"priority_id":2,"assigned_to_id":338,"start_date":"2017-10-03","description":"","custom_fields":[{"id":1,"name":"Subdivision","value":"NW"},{"id":4,"name":"Milepost","value":"5.895"},{"id":17,"name":"Train ID","value":"839-03"},{"id":16,"name":"Locomotive ID","value":"4044"},{"id":130,"name":"Impact","value":""},{"id":150,"name":"Time of Event (Mountain Time)","value":"18:53:21"},{"id":151,"name":"Denver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10"/>
      <c r="AK201" s="225"/>
      <c r="AL201" s="225"/>
      <c r="AM201" s="231" t="str">
        <f t="shared" si="85"/>
        <v>start /low /b %USERPROFILE%\Documents\GitHub\eaglep3\Utilities\DownloadLogsFromS3.py --loco 4044 --day 2017-10-03</v>
      </c>
      <c r="AN201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10" t="str">
        <f t="shared" si="87"/>
        <v>https://d0f6bd738d7f1b3e5a7ca70fe4ff75f0.us-east-1.aws.found.io/app/kibana#/discover/Steve-Slow-Train-Analysis-(2080s-and-2083s)?_g=(refreshInterval:(display:Off,pause:!f,section:0,value:0),time:(from:'2017-10-03T17:36:06-0600',mode:absolute,to:'2017-10-03T19:53:21-0600'))&amp;_a=(columns:!('Message%20ID',Summary),filters:!(),index:'emp_*',interval:auto,query:(query_string:(analyze_wildcard:!t,query:'%22rtdc.l.rtdc.4044%22')),sort:!(Time.ISO8601,asc))</v>
      </c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  <c r="BM201" s="210"/>
      <c r="BN201" s="210"/>
      <c r="BO201" s="210"/>
      <c r="BP201" s="210"/>
      <c r="BQ201" s="210"/>
      <c r="BR201" s="210"/>
      <c r="BS201" s="210"/>
      <c r="BT201" s="210"/>
      <c r="BU201" s="210"/>
      <c r="BV201" s="210"/>
      <c r="BW201" s="210"/>
      <c r="BX201" s="210"/>
      <c r="BY201" s="210"/>
      <c r="BZ201" s="210"/>
      <c r="CA201" s="210"/>
      <c r="CB201" s="210"/>
      <c r="CC201" s="210"/>
      <c r="CD201" s="210"/>
      <c r="CE201" s="210"/>
      <c r="CF201" s="210"/>
      <c r="CG201" s="210"/>
      <c r="CH201" s="210"/>
      <c r="CI201" s="210"/>
      <c r="CJ201" s="210"/>
      <c r="CK201" s="210"/>
      <c r="CL201" s="210"/>
      <c r="CM201" s="210"/>
    </row>
    <row r="202" spans="1:91" s="20" customFormat="1" x14ac:dyDescent="0.25">
      <c r="A202" s="32" t="s">
        <v>807</v>
      </c>
      <c r="B202" s="7">
        <v>4007</v>
      </c>
      <c r="C202" s="21" t="s">
        <v>194</v>
      </c>
      <c r="D202" s="21" t="s">
        <v>986</v>
      </c>
      <c r="E202" s="13">
        <v>43011.816192129627</v>
      </c>
      <c r="F202" s="13">
        <v>43011.817928240744</v>
      </c>
      <c r="G202" s="7">
        <v>61</v>
      </c>
      <c r="H202" s="21" t="s">
        <v>987</v>
      </c>
      <c r="I202" s="13">
        <v>43011.830474537041</v>
      </c>
      <c r="J202" s="7">
        <v>0</v>
      </c>
      <c r="K202" s="85" t="str">
        <f t="shared" si="97"/>
        <v>4007/4008</v>
      </c>
      <c r="L202" s="179" t="str">
        <f>VLOOKUP(A202,'Trips&amp;Operators'!$C$1:$G$99911,5,FALSE)</f>
        <v>ZEWDU DEREJE</v>
      </c>
      <c r="M202" s="6">
        <f t="shared" si="98"/>
        <v>1.2546296296932269E-2</v>
      </c>
      <c r="N202" s="7">
        <f t="shared" si="104"/>
        <v>18.066666667582467</v>
      </c>
      <c r="O202" s="7"/>
      <c r="P202" s="7"/>
      <c r="Q202" s="22"/>
      <c r="R202" s="169"/>
      <c r="S202" s="202">
        <f t="shared" si="105"/>
        <v>1</v>
      </c>
      <c r="T202" s="169" t="str">
        <f t="shared" si="99"/>
        <v>Southbound</v>
      </c>
      <c r="U202" s="22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2" t="str">
        <f t="shared" si="74"/>
        <v>https://d0f6bd738d7f1b3e5a7ca70fe4ff75f0.us-east-1.aws.found.io/app/kibana#/discover/Steve-Slow-Train-Analysis-(2080s-and-2083s)?_g=(refreshInterval:(display:Off,pause:!f,section:0,value:0),time:(from:'2017-10-03T18:35:19-0600',mode:absolute,to:'2017-10-03T20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223" t="str">
        <f>IF(AA202&lt;VLOOKUP(AG202,Variables!$AC$3:$AD$8,2,FALSE),"Y","N")</f>
        <v>N</v>
      </c>
      <c r="X202" s="223">
        <f t="shared" si="100"/>
        <v>1</v>
      </c>
      <c r="Y202" s="223">
        <f t="shared" si="106"/>
        <v>5.8677000000000001</v>
      </c>
      <c r="Z202" s="223">
        <f t="shared" si="107"/>
        <v>7.3099999999999998E-2</v>
      </c>
      <c r="AA202" s="223">
        <f t="shared" si="101"/>
        <v>5.7946</v>
      </c>
      <c r="AB202" s="224" t="e">
        <f>VLOOKUP(A202,Enforcements!$C$7:$K$11,8,0)</f>
        <v>#N/A</v>
      </c>
      <c r="AC202" s="224" t="e">
        <f>VLOOKUP(A202,Enforcements!$C$7:$E$11,3,0)</f>
        <v>#N/A</v>
      </c>
      <c r="AD202" s="225">
        <f t="shared" si="102"/>
        <v>840</v>
      </c>
      <c r="AE202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2" s="227" t="str">
        <f t="shared" si="81"/>
        <v>"C:\Program Files (x86)\AstroGrep\AstroGrep.exe" /e /r /s /spath="%USERPROFILE%\AppData\Local\Temp\OnboardLogs" /stypes="app*4007*20171004*" /stext=" 01:.+((SYSTEM_STATE.+slice.+state.+changed )|(ment ac)|(multiple cpu faults)|(system.+state.+changed )|(\[timeout)|(PRM\|1\|D)|(kpr)|(kdp)|(train st.+moving)|(\|lc)|(penalty))"</v>
      </c>
      <c r="AG202" s="228" t="str">
        <f t="shared" si="103"/>
        <v>NW</v>
      </c>
      <c r="AH202" s="229" t="str">
        <f t="shared" si="83"/>
        <v>"%USERPROFILE%\Documents\GitHub\eaglep3\Utilities\RefineRTDCRunTimes.py" --tripid 840-03 --locoid 4007 --swversion DE.1.0.9.0 --startMP 300:58677 --initTime 2017-10-03T19:35:19 --startdatetime 2017-10-03T19:37:49 --delay 61 --endMP 204:731 --enddatetime 2017-10-03T19:55:53 --enforcementcount 0 &gt;&gt;%USERPROFILE%\Documents\GitHub\eaglep3-reporting\EC\2017-10-03-refined-times.txt</v>
      </c>
      <c r="AI20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{"issue":{"subject":"","project_id":79,"tracker_id":40,"status_id":1,"priority_id":2,"assigned_to_id":338,"start_date":"2017-10-03","description":"","custom_fields":[{"id":1,"name":"Subdivision","value":"NW"},{"id":4,"name":"Milepost","value":"0.0731"},{"id":17,"name":"Train ID","value":"840-03"},{"id":16,"name":"Locomotive ID","value":"4007"},{"id":130,"name":"Impact","value":""},{"id":150,"name":"Time of Event (Mountain Time)","value":"19:55:53"},{"id":151,"name":"Denver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10"/>
      <c r="AK202" s="225"/>
      <c r="AL202" s="225"/>
      <c r="AM202" s="231" t="str">
        <f t="shared" si="85"/>
        <v>start /low /b %USERPROFILE%\Documents\GitHub\eaglep3\Utilities\DownloadLogsFromS3.py --loco 4007 --day 2017-10-03</v>
      </c>
      <c r="AN202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10" t="str">
        <f t="shared" si="87"/>
        <v>https://d0f6bd738d7f1b3e5a7ca70fe4ff75f0.us-east-1.aws.found.io/app/kibana#/discover/Steve-Slow-Train-Analysis-(2080s-and-2083s)?_g=(refreshInterval:(display:Off,pause:!f,section:0,value:0),time:(from:'2017-10-03T18:35:19-0600',mode:absolute,to:'2017-10-03T20:55:53-0600'))&amp;_a=(columns:!('Message%20ID',Summary),filters:!(),index:'emp_*',interval:auto,query:(query_string:(analyze_wildcard:!t,query:'%22rtdc.l.rtdc.4007%22')),sort:!(Time.ISO8601,asc))</v>
      </c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  <c r="BM202" s="210"/>
      <c r="BN202" s="210"/>
      <c r="BO202" s="210"/>
      <c r="BP202" s="210"/>
      <c r="BQ202" s="210"/>
      <c r="BR202" s="210"/>
      <c r="BS202" s="210"/>
      <c r="BT202" s="210"/>
      <c r="BU202" s="210"/>
      <c r="BV202" s="210"/>
      <c r="BW202" s="210"/>
      <c r="BX202" s="210"/>
      <c r="BY202" s="210"/>
      <c r="BZ202" s="210"/>
      <c r="CA202" s="210"/>
      <c r="CB202" s="210"/>
      <c r="CC202" s="210"/>
      <c r="CD202" s="210"/>
      <c r="CE202" s="210"/>
      <c r="CF202" s="210"/>
      <c r="CG202" s="210"/>
      <c r="CH202" s="210"/>
      <c r="CI202" s="210"/>
      <c r="CJ202" s="210"/>
      <c r="CK202" s="210"/>
      <c r="CL202" s="210"/>
      <c r="CM202" s="210"/>
    </row>
    <row r="203" spans="1:91" s="20" customFormat="1" x14ac:dyDescent="0.25">
      <c r="A203" s="32" t="s">
        <v>808</v>
      </c>
      <c r="B203" s="7">
        <v>4008</v>
      </c>
      <c r="C203" s="21" t="s">
        <v>194</v>
      </c>
      <c r="D203" s="21" t="s">
        <v>951</v>
      </c>
      <c r="E203" s="13">
        <v>43011.793425925927</v>
      </c>
      <c r="F203" s="13">
        <v>43011.798148148147</v>
      </c>
      <c r="G203" s="7">
        <v>87</v>
      </c>
      <c r="H203" s="21" t="s">
        <v>988</v>
      </c>
      <c r="I203" s="13">
        <v>43011.808379629627</v>
      </c>
      <c r="J203" s="7">
        <v>0</v>
      </c>
      <c r="K203" s="85" t="str">
        <f t="shared" si="97"/>
        <v>4007/4008</v>
      </c>
      <c r="L203" s="179" t="str">
        <f>VLOOKUP(A203,'Trips&amp;Operators'!$C$1:$G$99911,5,FALSE)</f>
        <v>ZEWDU DEREJE</v>
      </c>
      <c r="M203" s="6">
        <f t="shared" si="98"/>
        <v>1.0231481479422655E-2</v>
      </c>
      <c r="N203" s="7">
        <f t="shared" si="104"/>
        <v>14.733333330368623</v>
      </c>
      <c r="O203" s="7"/>
      <c r="P203" s="7"/>
      <c r="Q203" s="22"/>
      <c r="R203" s="169"/>
      <c r="S203" s="202">
        <f t="shared" si="105"/>
        <v>1</v>
      </c>
      <c r="T203" s="169" t="str">
        <f t="shared" si="99"/>
        <v>NorthBound</v>
      </c>
      <c r="U203" s="22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2" t="str">
        <f t="shared" si="74"/>
        <v>https://d0f6bd738d7f1b3e5a7ca70fe4ff75f0.us-east-1.aws.found.io/app/kibana#/discover/Steve-Slow-Train-Analysis-(2080s-and-2083s)?_g=(refreshInterval:(display:Off,pause:!f,section:0,value:0),time:(from:'2017-10-03T18:02:32-0600',mode:absolute,to:'2017-10-03T20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223" t="str">
        <f>IF(AA203&lt;VLOOKUP(AG203,Variables!$AC$3:$AD$8,2,FALSE),"Y","N")</f>
        <v>N</v>
      </c>
      <c r="X203" s="223">
        <f t="shared" si="100"/>
        <v>1</v>
      </c>
      <c r="Y203" s="223">
        <f t="shared" si="106"/>
        <v>9.9000000000000005E-2</v>
      </c>
      <c r="Z203" s="223">
        <f t="shared" si="107"/>
        <v>5.8982000000000001</v>
      </c>
      <c r="AA203" s="223">
        <f t="shared" si="101"/>
        <v>5.7991999999999999</v>
      </c>
      <c r="AB203" s="224" t="e">
        <f>VLOOKUP(A203,Enforcements!$C$7:$K$11,8,0)</f>
        <v>#N/A</v>
      </c>
      <c r="AC203" s="224" t="e">
        <f>VLOOKUP(A203,Enforcements!$C$7:$E$11,3,0)</f>
        <v>#N/A</v>
      </c>
      <c r="AD203" s="225">
        <f t="shared" si="102"/>
        <v>841</v>
      </c>
      <c r="AE203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03" s="227" t="str">
        <f t="shared" si="81"/>
        <v>"C:\Program Files (x86)\AstroGrep\AstroGrep.exe" /e /r /s /spath="%USERPROFILE%\AppData\Local\Temp\OnboardLogs" /stypes="app*4008*20171004*" /stext=" 01:.+((SYSTEM_STATE.+slice.+state.+changed )|(ment ac)|(multiple cpu faults)|(system.+state.+changed )|(\[timeout)|(PRM\|1\|D)|(kpr)|(kdp)|(train st.+moving)|(\|lc)|(penalty))"</v>
      </c>
      <c r="AG203" s="228" t="str">
        <f t="shared" si="103"/>
        <v>NW</v>
      </c>
      <c r="AH203" s="229" t="str">
        <f t="shared" si="83"/>
        <v>"%USERPROFILE%\Documents\GitHub\eaglep3\Utilities\RefineRTDCRunTimes.py" --tripid 841-03 --locoid 4008 --swversion DE.1.0.9.0 --startMP 204:990 --initTime 2017-10-03T19:02:32 --startdatetime 2017-10-03T19:09:20 --delay 87 --endMP 300:58982 --enddatetime 2017-10-03T19:24:04 --enforcementcount 0 &gt;&gt;%USERPROFILE%\Documents\GitHub\eaglep3-reporting\EC\2017-10-03-refined-times.txt</v>
      </c>
      <c r="AI20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{"issue":{"subject":"","project_id":79,"tracker_id":40,"status_id":1,"priority_id":2,"assigned_to_id":338,"start_date":"2017-10-03","description":"","custom_fields":[{"id":1,"name":"Subdivision","value":"NW"},{"id":4,"name":"Milepost","value":"5.8982"},{"id":17,"name":"Train ID","value":"841-03"},{"id":16,"name":"Locomotive ID","value":"4008"},{"id":130,"name":"Impact","value":""},{"id":150,"name":"Time of Event (Mountain Time)","value":"19:24:04"},{"id":151,"name":"Denver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10"/>
      <c r="AK203" s="225"/>
      <c r="AL203" s="225"/>
      <c r="AM203" s="231" t="str">
        <f t="shared" si="85"/>
        <v>start /low /b %USERPROFILE%\Documents\GitHub\eaglep3\Utilities\DownloadLogsFromS3.py --loco 4008 --day 2017-10-03</v>
      </c>
      <c r="AN203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10" t="str">
        <f t="shared" si="87"/>
        <v>https://d0f6bd738d7f1b3e5a7ca70fe4ff75f0.us-east-1.aws.found.io/app/kibana#/discover/Steve-Slow-Train-Analysis-(2080s-and-2083s)?_g=(refreshInterval:(display:Off,pause:!f,section:0,value:0),time:(from:'2017-10-03T18:02:32-0600',mode:absolute,to:'2017-10-03T20:24:04-0600'))&amp;_a=(columns:!('Message%20ID',Summary),filters:!(),index:'emp_*',interval:auto,query:(query_string:(analyze_wildcard:!t,query:'%22rtdc.l.rtdc.4008%22')),sort:!(Time.ISO8601,asc))</v>
      </c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  <c r="BM203" s="210"/>
      <c r="BN203" s="210"/>
      <c r="BO203" s="210"/>
      <c r="BP203" s="210"/>
      <c r="BQ203" s="210"/>
      <c r="BR203" s="210"/>
      <c r="BS203" s="210"/>
      <c r="BT203" s="210"/>
      <c r="BU203" s="210"/>
      <c r="BV203" s="210"/>
      <c r="BW203" s="210"/>
      <c r="BX203" s="210"/>
      <c r="BY203" s="210"/>
      <c r="BZ203" s="210"/>
      <c r="CA203" s="210"/>
      <c r="CB203" s="210"/>
      <c r="CC203" s="210"/>
      <c r="CD203" s="210"/>
      <c r="CE203" s="210"/>
      <c r="CF203" s="210"/>
      <c r="CG203" s="210"/>
      <c r="CH203" s="210"/>
      <c r="CI203" s="210"/>
      <c r="CJ203" s="210"/>
      <c r="CK203" s="210"/>
      <c r="CL203" s="210"/>
      <c r="CM203" s="210"/>
    </row>
    <row r="204" spans="1:91" s="20" customFormat="1" x14ac:dyDescent="0.25">
      <c r="A204" s="32" t="s">
        <v>818</v>
      </c>
      <c r="B204" s="7">
        <v>4007</v>
      </c>
      <c r="C204" s="21" t="s">
        <v>194</v>
      </c>
      <c r="D204" s="21" t="s">
        <v>954</v>
      </c>
      <c r="E204" s="13">
        <v>43011.851168981484</v>
      </c>
      <c r="F204" s="13">
        <v>43011.859675925924</v>
      </c>
      <c r="G204" s="7">
        <v>231</v>
      </c>
      <c r="H204" s="21" t="s">
        <v>582</v>
      </c>
      <c r="I204" s="13">
        <v>43011.871967592589</v>
      </c>
      <c r="J204" s="7">
        <v>0</v>
      </c>
      <c r="K204" s="85" t="str">
        <f t="shared" si="97"/>
        <v>4007/4008</v>
      </c>
      <c r="L204" s="179" t="str">
        <f>VLOOKUP(A204,'Trips&amp;Operators'!$C$1:$G$99911,5,FALSE)</f>
        <v>GUZMAN DANNY</v>
      </c>
      <c r="M204" s="6">
        <f t="shared" si="98"/>
        <v>1.2291666665987577E-2</v>
      </c>
      <c r="N204" s="7">
        <f t="shared" si="104"/>
        <v>17.699999999022111</v>
      </c>
      <c r="O204" s="7"/>
      <c r="P204" s="7"/>
      <c r="Q204" s="22"/>
      <c r="R204" s="169"/>
      <c r="S204" s="202">
        <f t="shared" si="105"/>
        <v>1</v>
      </c>
      <c r="T204" s="169" t="str">
        <f t="shared" si="99"/>
        <v>Southbound</v>
      </c>
      <c r="U204" s="22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2" t="str">
        <f t="shared" si="74"/>
        <v>https://d0f6bd738d7f1b3e5a7ca70fe4ff75f0.us-east-1.aws.found.io/app/kibana#/discover/Steve-Slow-Train-Analysis-(2080s-and-2083s)?_g=(refreshInterval:(display:Off,pause:!f,section:0,value:0),time:(from:'2017-10-03T19:25:41-0600',mode:absolute,to:'2017-10-03T21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223" t="str">
        <f>IF(AA204&lt;VLOOKUP(AG204,Variables!$AC$3:$AD$8,2,FALSE),"Y","N")</f>
        <v>N</v>
      </c>
      <c r="X204" s="223">
        <f t="shared" si="100"/>
        <v>1</v>
      </c>
      <c r="Y204" s="223">
        <f t="shared" si="106"/>
        <v>5.8625999999999996</v>
      </c>
      <c r="Z204" s="223">
        <f t="shared" si="107"/>
        <v>6.9400000000000003E-2</v>
      </c>
      <c r="AA204" s="223">
        <f t="shared" si="101"/>
        <v>5.7931999999999997</v>
      </c>
      <c r="AB204" s="224" t="e">
        <f>VLOOKUP(A204,Enforcements!$C$7:$K$11,8,0)</f>
        <v>#N/A</v>
      </c>
      <c r="AC204" s="224" t="e">
        <f>VLOOKUP(A204,Enforcements!$C$7:$E$11,3,0)</f>
        <v>#N/A</v>
      </c>
      <c r="AD204" s="225">
        <f t="shared" si="102"/>
        <v>842</v>
      </c>
      <c r="AE204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4" s="227" t="str">
        <f t="shared" si="81"/>
        <v>"C:\Program Files (x86)\AstroGrep\AstroGrep.exe" /e /r /s /spath="%USERPROFILE%\AppData\Local\Temp\OnboardLogs" /stypes="app*4007*20171004*" /stext=" 02:.+((SYSTEM_STATE.+slice.+state.+changed )|(ment ac)|(multiple cpu faults)|(system.+state.+changed )|(\[timeout)|(PRM\|1\|D)|(kpr)|(kdp)|(train st.+moving)|(\|lc)|(penalty))"</v>
      </c>
      <c r="AG204" s="228" t="str">
        <f t="shared" si="103"/>
        <v>NW</v>
      </c>
      <c r="AH204" s="229" t="str">
        <f t="shared" si="83"/>
        <v>"%USERPROFILE%\Documents\GitHub\eaglep3\Utilities\RefineRTDCRunTimes.py" --tripid 842-03 --locoid 4007 --swversion DE.1.0.9.0 --startMP 300:58626 --initTime 2017-10-03T20:25:41 --startdatetime 2017-10-03T20:37:56 --delay 231 --endMP 204:694 --enddatetime 2017-10-03T20:55:38 --enforcementcount 0 &gt;&gt;%USERPROFILE%\Documents\GitHub\eaglep3-reporting\EC\2017-10-03-refined-times.txt</v>
      </c>
      <c r="AI20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{"issue":{"subject":"","project_id":79,"tracker_id":40,"status_id":1,"priority_id":2,"assigned_to_id":338,"start_date":"2017-10-03","description":"","custom_fields":[{"id":1,"name":"Subdivision","value":"NW"},{"id":4,"name":"Milepost","value":"0.0694"},{"id":17,"name":"Train ID","value":"842-03"},{"id":16,"name":"Locomotive ID","value":"4007"},{"id":130,"name":"Impact","value":""},{"id":150,"name":"Time of Event (Mountain Time)","value":"20:55:38"},{"id":151,"name":"Denver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10"/>
      <c r="AK204" s="225"/>
      <c r="AL204" s="225"/>
      <c r="AM204" s="231" t="str">
        <f t="shared" si="85"/>
        <v>start /low /b %USERPROFILE%\Documents\GitHub\eaglep3\Utilities\DownloadLogsFromS3.py --loco 4007 --day 2017-10-03</v>
      </c>
      <c r="AN204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10" t="str">
        <f t="shared" si="87"/>
        <v>https://d0f6bd738d7f1b3e5a7ca70fe4ff75f0.us-east-1.aws.found.io/app/kibana#/discover/Steve-Slow-Train-Analysis-(2080s-and-2083s)?_g=(refreshInterval:(display:Off,pause:!f,section:0,value:0),time:(from:'2017-10-03T19:25:41-0600',mode:absolute,to:'2017-10-03T21:55:38-0600'))&amp;_a=(columns:!('Message%20ID',Summary),filters:!(),index:'emp_*',interval:auto,query:(query_string:(analyze_wildcard:!t,query:'%22rtdc.l.rtdc.4007%22')),sort:!(Time.ISO8601,asc))</v>
      </c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  <c r="BM204" s="210"/>
      <c r="BN204" s="210"/>
      <c r="BO204" s="210"/>
      <c r="BP204" s="210"/>
      <c r="BQ204" s="210"/>
      <c r="BR204" s="210"/>
      <c r="BS204" s="210"/>
      <c r="BT204" s="210"/>
      <c r="BU204" s="210"/>
      <c r="BV204" s="210"/>
      <c r="BW204" s="210"/>
      <c r="BX204" s="210"/>
      <c r="BY204" s="210"/>
      <c r="BZ204" s="210"/>
      <c r="CA204" s="210"/>
      <c r="CB204" s="210"/>
      <c r="CC204" s="210"/>
      <c r="CD204" s="210"/>
      <c r="CE204" s="210"/>
      <c r="CF204" s="210"/>
      <c r="CG204" s="210"/>
      <c r="CH204" s="210"/>
      <c r="CI204" s="210"/>
      <c r="CJ204" s="210"/>
      <c r="CK204" s="210"/>
      <c r="CL204" s="210"/>
      <c r="CM204" s="210"/>
    </row>
    <row r="205" spans="1:91" s="20" customFormat="1" x14ac:dyDescent="0.25">
      <c r="A205" s="32" t="s">
        <v>815</v>
      </c>
      <c r="B205" s="7">
        <v>4008</v>
      </c>
      <c r="C205" s="21" t="s">
        <v>194</v>
      </c>
      <c r="D205" s="21" t="s">
        <v>954</v>
      </c>
      <c r="E205" s="13">
        <v>43011.851168981484</v>
      </c>
      <c r="F205" s="13">
        <v>43011.839641203704</v>
      </c>
      <c r="G205" s="7">
        <v>231</v>
      </c>
      <c r="H205" s="21" t="s">
        <v>582</v>
      </c>
      <c r="I205" s="13">
        <v>43011.850023148145</v>
      </c>
      <c r="J205" s="7">
        <v>0</v>
      </c>
      <c r="K205" s="85" t="str">
        <f t="shared" si="97"/>
        <v>4007/4008</v>
      </c>
      <c r="L205" s="179" t="str">
        <f>VLOOKUP(A205,'Trips&amp;Operators'!$C$1:$G$99911,5,FALSE)</f>
        <v>GUZMAN DANNY</v>
      </c>
      <c r="M205" s="6">
        <f t="shared" si="98"/>
        <v>1.0381944441178348E-2</v>
      </c>
      <c r="N205" s="7">
        <f t="shared" si="104"/>
        <v>14.949999995296821</v>
      </c>
      <c r="O205" s="7"/>
      <c r="P205" s="7"/>
      <c r="Q205" s="22"/>
      <c r="R205" s="169"/>
      <c r="S205" s="202">
        <f t="shared" si="105"/>
        <v>1</v>
      </c>
      <c r="T205" s="169" t="str">
        <f t="shared" si="99"/>
        <v>NorthBound</v>
      </c>
      <c r="U205" s="22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2" t="str">
        <f t="shared" ref="V205:V245" si="10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-03T19:25:41-0600',mode:absolute,to:'2017-10-03T21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223" t="str">
        <f>IF(AA205&lt;VLOOKUP(AG205,Variables!$AC$3:$AD$8,2,FALSE),"Y","N")</f>
        <v>N</v>
      </c>
      <c r="X205" s="223">
        <f t="shared" si="100"/>
        <v>1</v>
      </c>
      <c r="Y205" s="223">
        <v>9.9000000000000005E-2</v>
      </c>
      <c r="Z205" s="223">
        <v>5.8982000000000001</v>
      </c>
      <c r="AA205" s="223">
        <f t="shared" ref="AA205:AA208" si="109">ABS(Z205-Y205)</f>
        <v>5.7991999999999999</v>
      </c>
      <c r="AB205" s="224" t="e">
        <f>VLOOKUP(A205,Enforcements!$C$7:$K$11,8,0)</f>
        <v>#N/A</v>
      </c>
      <c r="AC205" s="224" t="e">
        <f>VLOOKUP(A205,Enforcements!$C$7:$E$11,3,0)</f>
        <v>#N/A</v>
      </c>
      <c r="AD205" s="225">
        <f t="shared" si="102"/>
        <v>843</v>
      </c>
      <c r="AE205" s="226" t="str">
        <f t="shared" ref="AE205:AE245" si="11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05" s="227" t="str">
        <f t="shared" ref="AF205:AF245" si="11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/stypes="app*4008*20171004*" /stext=" 02:.+((SYSTEM_STATE.+slice.+state.+changed )|(ment ac)|(multiple cpu faults)|(system.+state.+changed )|(\[timeout)|(PRM\|1\|D)|(kpr)|(kdp)|(train st.+moving)|(\|lc)|(penalty))"</v>
      </c>
      <c r="AG205" s="228" t="str">
        <f t="shared" si="103"/>
        <v>NW</v>
      </c>
      <c r="AH205" s="229" t="str">
        <f t="shared" ref="AH205" si="11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843-03 --locoid 4008 --swversion DE.1.0.9.0 --startMP 300:58626 --initTime 2017-10-03T20:25:41 --startdatetime 2017-10-03T20:09:05 --delay 231 --endMP 204:694 --enddatetime 2017-10-03T20:24:02 --enforcementcount 0 &gt;&gt;%USERPROFILE%\Documents\GitHub\eaglep3-reporting\EC\2017-10-03-refined-times.txt</v>
      </c>
      <c r="AI205" s="230" t="str">
        <f t="shared" ref="AI205" si="11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{"issue":{"subject":"","project_id":79,"tracker_id":40,"status_id":1,"priority_id":2,"assigned_to_id":338,"start_date":"2017-10-03","description":"","custom_fields":[{"id":1,"name":"Subdivision","value":"NW"},{"id":4,"name":"Milepost","value":"5.8982"},{"id":17,"name":"Train ID","value":"843-03"},{"id":16,"name":"Locomotive ID","value":"4008"},{"id":130,"name":"Impact","value":""},{"id":150,"name":"Time of Event (Mountain Time)","value":"20:24:02"},{"id":151,"name":"Denver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10"/>
      <c r="AK205" s="225"/>
      <c r="AL205" s="225"/>
      <c r="AM205" s="231" t="str">
        <f t="shared" ref="AM205" si="114">"start /low /b "&amp;dls3logs&amp;" --loco "&amp;B205&amp;" --day "&amp;TEXT(F205,"YYYY-MM-DD")</f>
        <v>start /low /b %USERPROFILE%\Documents\GitHub\eaglep3\Utilities\DownloadLogsFromS3.py --loco 4008 --day 2017-10-03</v>
      </c>
      <c r="AN205" s="232" t="str">
        <f t="shared" ref="AN205" si="11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10" t="str">
        <f t="shared" ref="AO205" si="11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-03T19:25:41-0600',mode:absolute,to:'2017-10-03T21:24:02-0600'))&amp;_a=(columns:!('Message%20ID',Summary),filters:!(),index:'emp_*',interval:auto,query:(query_string:(analyze_wildcard:!t,query:'%22rtdc.l.rtdc.4008%22')),sort:!(Time.ISO8601,asc))</v>
      </c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  <c r="BM205" s="210"/>
      <c r="BN205" s="210"/>
      <c r="BO205" s="210"/>
      <c r="BP205" s="210"/>
      <c r="BQ205" s="210"/>
      <c r="BR205" s="210"/>
      <c r="BS205" s="210"/>
      <c r="BT205" s="210"/>
      <c r="BU205" s="210"/>
      <c r="BV205" s="210"/>
      <c r="BW205" s="210"/>
      <c r="BX205" s="210"/>
      <c r="BY205" s="210"/>
      <c r="BZ205" s="210"/>
      <c r="CA205" s="210"/>
      <c r="CB205" s="210"/>
      <c r="CC205" s="210"/>
      <c r="CD205" s="210"/>
      <c r="CE205" s="210"/>
      <c r="CF205" s="210"/>
      <c r="CG205" s="210"/>
      <c r="CH205" s="210"/>
      <c r="CI205" s="210"/>
      <c r="CJ205" s="210"/>
      <c r="CK205" s="210"/>
      <c r="CL205" s="210"/>
      <c r="CM205" s="210"/>
    </row>
    <row r="206" spans="1:91" s="20" customFormat="1" x14ac:dyDescent="0.25">
      <c r="A206" s="32" t="s">
        <v>824</v>
      </c>
      <c r="B206" s="7">
        <v>4007</v>
      </c>
      <c r="C206" s="21" t="s">
        <v>194</v>
      </c>
      <c r="D206" s="21" t="s">
        <v>587</v>
      </c>
      <c r="E206" s="13">
        <v>43011.893067129633</v>
      </c>
      <c r="F206" s="13">
        <v>43011.904120370367</v>
      </c>
      <c r="G206" s="7">
        <v>62</v>
      </c>
      <c r="H206" s="21" t="s">
        <v>928</v>
      </c>
      <c r="I206" s="13">
        <v>43011.912615740737</v>
      </c>
      <c r="J206" s="7">
        <v>0</v>
      </c>
      <c r="K206" s="85" t="str">
        <f t="shared" si="97"/>
        <v>4007/4008</v>
      </c>
      <c r="L206" s="179" t="str">
        <f>VLOOKUP(A206,'Trips&amp;Operators'!$C$1:$G$99911,5,FALSE)</f>
        <v>STAMBAUGH JAMES</v>
      </c>
      <c r="M206" s="6">
        <f t="shared" si="98"/>
        <v>8.4953703699284233E-3</v>
      </c>
      <c r="N206" s="7">
        <f t="shared" si="104"/>
        <v>12.23333333269693</v>
      </c>
      <c r="O206" s="7"/>
      <c r="P206" s="7"/>
      <c r="Q206" s="22"/>
      <c r="R206" s="169"/>
      <c r="S206" s="202">
        <f t="shared" si="105"/>
        <v>1</v>
      </c>
      <c r="T206" s="169" t="str">
        <f t="shared" si="99"/>
        <v>Southbound</v>
      </c>
      <c r="U206" s="22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2" t="str">
        <f t="shared" si="108"/>
        <v>https://d0f6bd738d7f1b3e5a7ca70fe4ff75f0.us-east-1.aws.found.io/app/kibana#/discover/Steve-Slow-Train-Analysis-(2080s-and-2083s)?_g=(refreshInterval:(display:Off,pause:!f,section:0,value:0),time:(from:'2017-10-03T20:26:01-0600',mode:absolute,to:'2017-10-03T22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223" t="str">
        <f>IF(AA206&lt;VLOOKUP(AG206,Variables!$AC$3:$AD$8,2,FALSE),"Y","N")</f>
        <v>N</v>
      </c>
      <c r="X206" s="223">
        <f t="shared" si="100"/>
        <v>1</v>
      </c>
      <c r="Y206" s="223">
        <f>RIGHT(D206,LEN(D206)-4)/10000</f>
        <v>5.8623000000000003</v>
      </c>
      <c r="Z206" s="223">
        <f>RIGHT(H206,LEN(H206)-4)/10000</f>
        <v>1.37E-2</v>
      </c>
      <c r="AA206" s="223">
        <f t="shared" si="109"/>
        <v>5.8486000000000002</v>
      </c>
      <c r="AB206" s="224" t="e">
        <f>VLOOKUP(A206,Enforcements!$C$7:$K$11,8,0)</f>
        <v>#N/A</v>
      </c>
      <c r="AC206" s="224" t="e">
        <f>VLOOKUP(A206,Enforcements!$C$7:$E$11,3,0)</f>
        <v>#N/A</v>
      </c>
      <c r="AD206" s="225">
        <f t="shared" si="102"/>
        <v>844</v>
      </c>
      <c r="AE206" s="226" t="str">
        <f t="shared" si="11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6" s="227" t="str">
        <f t="shared" si="111"/>
        <v>"C:\Program Files (x86)\AstroGrep\AstroGrep.exe" /e /r /s /spath="%USERPROFILE%\AppData\Local\Temp\OnboardLogs" /stypes="app*4007*20171004*" /stext=" 03:.+((SYSTEM_STATE.+slice.+state.+changed )|(ment ac)|(multiple cpu faults)|(system.+state.+changed )|(\[timeout)|(PRM\|1\|D)|(kpr)|(kdp)|(train st.+moving)|(\|lc)|(penalty))"</v>
      </c>
      <c r="AG206" s="228" t="str">
        <f t="shared" si="103"/>
        <v>NW</v>
      </c>
      <c r="AH206" s="229" t="str">
        <f t="shared" si="83"/>
        <v>"%USERPROFILE%\Documents\GitHub\eaglep3\Utilities\RefineRTDCRunTimes.py" --tripid 844-03 --locoid 4007 --swversion DE.1.0.9.0 --startMP 300:58623 --initTime 2017-10-03T21:26:01 --startdatetime 2017-10-03T21:41:56 --delay 62 --endMP 204:137 --enddatetime 2017-10-03T21:54:10 --enforcementcount 0 &gt;&gt;%USERPROFILE%\Documents\GitHub\eaglep3-reporting\EC\2017-10-03-refined-times.txt</v>
      </c>
      <c r="AI20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{"issue":{"subject":"","project_id":79,"tracker_id":40,"status_id":1,"priority_id":2,"assigned_to_id":338,"start_date":"2017-10-03","description":"","custom_fields":[{"id":1,"name":"Subdivision","value":"NW"},{"id":4,"name":"Milepost","value":"0.0137"},{"id":17,"name":"Train ID","value":"844-03"},{"id":16,"name":"Locomotive ID","value":"4007"},{"id":130,"name":"Impact","value":""},{"id":150,"name":"Time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10"/>
      <c r="AK206" s="225"/>
      <c r="AL206" s="225"/>
      <c r="AM206" s="231" t="str">
        <f t="shared" si="85"/>
        <v>start /low /b %USERPROFILE%\Documents\GitHub\eaglep3\Utilities\DownloadLogsFromS3.py --loco 4007 --day 2017-10-03</v>
      </c>
      <c r="AN206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10" t="str">
        <f t="shared" si="87"/>
        <v>https://d0f6bd738d7f1b3e5a7ca70fe4ff75f0.us-east-1.aws.found.io/app/kibana#/discover/Steve-Slow-Train-Analysis-(2080s-and-2083s)?_g=(refreshInterval:(display:Off,pause:!f,section:0,value:0),time:(from:'2017-10-03T20:26:01-0600',mode:absolute,to:'2017-10-03T22:54:10-0600'))&amp;_a=(columns:!('Message%20ID',Summary),filters:!(),index:'emp_*',interval:auto,query:(query_string:(analyze_wildcard:!t,query:'%22rtdc.l.rtdc.4007%22')),sort:!(Time.ISO8601,asc))</v>
      </c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  <c r="BM206" s="210"/>
      <c r="BN206" s="210"/>
      <c r="BO206" s="210"/>
      <c r="BP206" s="210"/>
      <c r="BQ206" s="210"/>
      <c r="BR206" s="210"/>
      <c r="BS206" s="210"/>
      <c r="BT206" s="210"/>
      <c r="BU206" s="210"/>
      <c r="BV206" s="210"/>
      <c r="BW206" s="210"/>
      <c r="BX206" s="210"/>
      <c r="BY206" s="210"/>
      <c r="BZ206" s="210"/>
      <c r="CA206" s="210"/>
      <c r="CB206" s="210"/>
      <c r="CC206" s="210"/>
      <c r="CD206" s="210"/>
      <c r="CE206" s="210"/>
      <c r="CF206" s="210"/>
      <c r="CG206" s="210"/>
      <c r="CH206" s="210"/>
      <c r="CI206" s="210"/>
      <c r="CJ206" s="210"/>
      <c r="CK206" s="210"/>
      <c r="CL206" s="210"/>
      <c r="CM206" s="210"/>
    </row>
    <row r="207" spans="1:91" s="20" customFormat="1" x14ac:dyDescent="0.25">
      <c r="A207" s="32" t="s">
        <v>821</v>
      </c>
      <c r="B207" s="7">
        <v>4008</v>
      </c>
      <c r="C207" s="21" t="s">
        <v>194</v>
      </c>
      <c r="D207" s="21" t="s">
        <v>989</v>
      </c>
      <c r="E207" s="13">
        <v>43011.877893518518</v>
      </c>
      <c r="F207" s="13">
        <v>43011.904120370367</v>
      </c>
      <c r="G207" s="7">
        <v>69</v>
      </c>
      <c r="H207" s="21" t="s">
        <v>980</v>
      </c>
      <c r="I207" s="13">
        <v>43011.912615740737</v>
      </c>
      <c r="J207" s="7">
        <v>0</v>
      </c>
      <c r="K207" s="85" t="str">
        <f t="shared" si="97"/>
        <v>4007/4008</v>
      </c>
      <c r="L207" s="179" t="str">
        <f>VLOOKUP(A207,'Trips&amp;Operators'!$C$1:$G$99911,5,FALSE)</f>
        <v>STAMBAUGH JAMES</v>
      </c>
      <c r="M207" s="6">
        <f t="shared" si="98"/>
        <v>8.4953703699284233E-3</v>
      </c>
      <c r="N207" s="7">
        <f t="shared" si="104"/>
        <v>12.23333333269693</v>
      </c>
      <c r="O207" s="7"/>
      <c r="P207" s="7"/>
      <c r="Q207" s="22"/>
      <c r="R207" s="169"/>
      <c r="S207" s="202">
        <f t="shared" si="105"/>
        <v>1</v>
      </c>
      <c r="T207" s="169" t="str">
        <f t="shared" si="99"/>
        <v>NorthBound</v>
      </c>
      <c r="U207" s="22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2" t="str">
        <f t="shared" si="108"/>
        <v>https://d0f6bd738d7f1b3e5a7ca70fe4ff75f0.us-east-1.aws.found.io/app/kibana#/discover/Steve-Slow-Train-Analysis-(2080s-and-2083s)?_g=(refreshInterval:(display:Off,pause:!f,section:0,value:0),time:(from:'2017-10-03T20:04:10-0600',mode:absolute,to:'2017-10-03T22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223" t="str">
        <f>IF(AA207&lt;VLOOKUP(AG207,Variables!$AC$3:$AD$8,2,FALSE),"Y","N")</f>
        <v>N</v>
      </c>
      <c r="X207" s="223">
        <f t="shared" si="100"/>
        <v>1</v>
      </c>
      <c r="Y207" s="223">
        <f>RIGHT(D207,LEN(D207)-4)/10000</f>
        <v>9.5699999999999993E-2</v>
      </c>
      <c r="Z207" s="223">
        <f>RIGHT(H207,LEN(H207)-4)/10000</f>
        <v>5.8935000000000004</v>
      </c>
      <c r="AA207" s="223">
        <f t="shared" si="109"/>
        <v>5.7978000000000005</v>
      </c>
      <c r="AB207" s="224" t="e">
        <f>VLOOKUP(A207,Enforcements!$C$7:$K$11,8,0)</f>
        <v>#N/A</v>
      </c>
      <c r="AC207" s="224" t="e">
        <f>VLOOKUP(A207,Enforcements!$C$7:$E$11,3,0)</f>
        <v>#N/A</v>
      </c>
      <c r="AD207" s="225">
        <f t="shared" si="102"/>
        <v>845</v>
      </c>
      <c r="AE207" s="226" t="str">
        <f t="shared" si="11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07" s="227" t="str">
        <f t="shared" si="111"/>
        <v>"C:\Program Files (x86)\AstroGrep\AstroGrep.exe" /e /r /s /spath="%USERPROFILE%\AppData\Local\Temp\OnboardLogs" /stypes="app*4008*20171004*" /stext=" 03:.+((SYSTEM_STATE.+slice.+state.+changed )|(ment ac)|(multiple cpu faults)|(system.+state.+changed )|(\[timeout)|(PRM\|1\|D)|(kpr)|(kdp)|(train st.+moving)|(\|lc)|(penalty))"</v>
      </c>
      <c r="AG207" s="228" t="str">
        <f t="shared" si="103"/>
        <v>NW</v>
      </c>
      <c r="AH207" s="229" t="str">
        <f t="shared" si="83"/>
        <v>"%USERPROFILE%\Documents\GitHub\eaglep3\Utilities\RefineRTDCRunTimes.py" --tripid 845-03 --locoid 4008 --swversion DE.1.0.9.0 --startMP 204:957 --initTime 2017-10-03T21:04:10 --startdatetime 2017-10-03T21:41:56 --delay 69 --endMP 300:58935 --enddatetime 2017-10-03T21:54:10 --enforcementcount 0 &gt;&gt;%USERPROFILE%\Documents\GitHub\eaglep3-reporting\EC\2017-10-03-refined-times.txt</v>
      </c>
      <c r="AI20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ID","value":"845-03"},{"id":16,"name":"Locomotive ID","value":"4008"},{"id":130,"name":"Impact","value":""},{"id":150,"name":"Time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10"/>
      <c r="AK207" s="225"/>
      <c r="AL207" s="225"/>
      <c r="AM207" s="231" t="str">
        <f t="shared" si="85"/>
        <v>start /low /b %USERPROFILE%\Documents\GitHub\eaglep3\Utilities\DownloadLogsFromS3.py --loco 4008 --day 2017-10-03</v>
      </c>
      <c r="AN207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10" t="str">
        <f t="shared" si="87"/>
        <v>https://d0f6bd738d7f1b3e5a7ca70fe4ff75f0.us-east-1.aws.found.io/app/kibana#/discover/Steve-Slow-Train-Analysis-(2080s-and-2083s)?_g=(refreshInterval:(display:Off,pause:!f,section:0,value:0),time:(from:'2017-10-03T20:04:10-0600',mode:absolute,to:'2017-10-03T22:54:10-0600'))&amp;_a=(columns:!('Message%20ID',Summary),filters:!(),index:'emp_*',interval:auto,query:(query_string:(analyze_wildcard:!t,query:'%22rtdc.l.rtdc.4008%22')),sort:!(Time.ISO8601,asc))</v>
      </c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  <c r="BM207" s="210"/>
      <c r="BN207" s="210"/>
      <c r="BO207" s="210"/>
      <c r="BP207" s="210"/>
      <c r="BQ207" s="210"/>
      <c r="BR207" s="210"/>
      <c r="BS207" s="210"/>
      <c r="BT207" s="210"/>
      <c r="BU207" s="210"/>
      <c r="BV207" s="210"/>
      <c r="BW207" s="210"/>
      <c r="BX207" s="210"/>
      <c r="BY207" s="210"/>
      <c r="BZ207" s="210"/>
      <c r="CA207" s="210"/>
      <c r="CB207" s="210"/>
      <c r="CC207" s="210"/>
      <c r="CD207" s="210"/>
      <c r="CE207" s="210"/>
      <c r="CF207" s="210"/>
      <c r="CG207" s="210"/>
      <c r="CH207" s="210"/>
      <c r="CI207" s="210"/>
      <c r="CJ207" s="210"/>
      <c r="CK207" s="210"/>
      <c r="CL207" s="210"/>
      <c r="CM207" s="210"/>
    </row>
    <row r="208" spans="1:91" s="20" customFormat="1" x14ac:dyDescent="0.25">
      <c r="A208" s="32" t="s">
        <v>622</v>
      </c>
      <c r="B208" s="7">
        <v>4001</v>
      </c>
      <c r="C208" s="21" t="s">
        <v>194</v>
      </c>
      <c r="D208" s="21" t="s">
        <v>944</v>
      </c>
      <c r="E208" s="13">
        <v>43011.933321759258</v>
      </c>
      <c r="F208" s="13">
        <v>43011.944988425923</v>
      </c>
      <c r="G208" s="7">
        <v>65</v>
      </c>
      <c r="H208" s="21" t="s">
        <v>990</v>
      </c>
      <c r="I208" s="13">
        <v>43011.954062500001</v>
      </c>
      <c r="J208" s="7">
        <v>0</v>
      </c>
      <c r="K208" s="85" t="str">
        <f t="shared" si="97"/>
        <v>4001/4002</v>
      </c>
      <c r="L208" s="179" t="str">
        <f>VLOOKUP(A208,'Trips&amp;Operators'!$C$1:$G$99911,5,FALSE)</f>
        <v>STAMBAUGH JAMES</v>
      </c>
      <c r="M208" s="6">
        <f t="shared" si="98"/>
        <v>9.0740740779438056E-3</v>
      </c>
      <c r="N208" s="7">
        <f t="shared" si="104"/>
        <v>13.06666667223908</v>
      </c>
      <c r="O208" s="7"/>
      <c r="P208" s="7"/>
      <c r="Q208" s="22"/>
      <c r="R208" s="169"/>
      <c r="S208" s="202">
        <f t="shared" si="105"/>
        <v>1</v>
      </c>
      <c r="T208" s="169" t="str">
        <f t="shared" si="99"/>
        <v>Southbound</v>
      </c>
      <c r="U208" s="22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2" t="str">
        <f t="shared" si="108"/>
        <v>https://d0f6bd738d7f1b3e5a7ca70fe4ff75f0.us-east-1.aws.found.io/app/kibana#/discover/Steve-Slow-Train-Analysis-(2080s-and-2083s)?_g=(refreshInterval:(display:Off,pause:!f,section:0,value:0),time:(from:'2017-10-03T21:23:59-0600',mode:absolute,to:'2017-10-03T23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223" t="str">
        <f>IF(AA208&lt;VLOOKUP(AG208,Variables!$AC$3:$AD$8,2,FALSE),"Y","N")</f>
        <v>N</v>
      </c>
      <c r="X208" s="223">
        <f t="shared" si="100"/>
        <v>1</v>
      </c>
      <c r="Y208" s="223">
        <f>RIGHT(D208,LEN(D208)-4)/10000</f>
        <v>5.8632</v>
      </c>
      <c r="Z208" s="223">
        <f>RIGHT(H208,LEN(H208)-4)/10000</f>
        <v>0.1356</v>
      </c>
      <c r="AA208" s="223">
        <f t="shared" si="109"/>
        <v>5.7275999999999998</v>
      </c>
      <c r="AB208" s="224" t="e">
        <f>VLOOKUP(A208,Enforcements!$C$7:$K$11,8,0)</f>
        <v>#N/A</v>
      </c>
      <c r="AC208" s="224" t="e">
        <f>VLOOKUP(A208,Enforcements!$C$7:$E$11,3,0)</f>
        <v>#N/A</v>
      </c>
      <c r="AD208" s="225">
        <f t="shared" si="102"/>
        <v>846</v>
      </c>
      <c r="AE208" s="226" t="str">
        <f t="shared" si="110"/>
        <v>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 &amp; aws s3 cp s3://rtdc.mdm.uploadarchive.raw/RTDC4001/ "%USERPROFILE%\AppData\Local\Temp\OnboardLogs"\RTDC4001\2017-10-04 --exclude "*" --recursive --include "*20171004*" &amp; "%USERPROFILE%\Documents\GitHub\mrs-test-scripts\Headless Mode &amp; Sideloading\WalkAndUnGZ.bat" "%USERPROFILE%\AppData\Local\Temp\OnboardLogs"\RTDC4001\2017-10-04</v>
      </c>
      <c r="AF208" s="227" t="str">
        <f t="shared" si="111"/>
        <v>"C:\Program Files (x86)\AstroGrep\AstroGrep.exe" /e /r /s /spath="%USERPROFILE%\AppData\Local\Temp\OnboardLogs" /stypes="app*4001*20171004*" /stext=" 04:.+((SYSTEM_STATE.+slice.+state.+changed )|(ment ac)|(multiple cpu faults)|(system.+state.+changed )|(\[timeout)|(PRM\|1\|D)|(kpr)|(kdp)|(train st.+moving)|(\|lc)|(penalty))"</v>
      </c>
      <c r="AG208" s="228" t="str">
        <f t="shared" si="103"/>
        <v>NW</v>
      </c>
      <c r="AH208" s="229" t="str">
        <f t="shared" ref="AH208:AH245" si="11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846-03 --locoid 4001 --swversion DE.1.0.9.0 --startMP 300:58632 --initTime 2017-10-03T22:23:59 --startdatetime 2017-10-03T22:40:47 --delay 65 --endMP 204:1356 --enddatetime 2017-10-03T22:53:51 --enforcementcount 0 &gt;&gt;%USERPROFILE%\Documents\GitHub\eaglep3-reporting\EC\2017-10-03-refined-times.txt</v>
      </c>
      <c r="AI208" s="230" t="str">
        <f t="shared" ref="AI208:AI245" si="11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{"issue":{"subject":"","project_id":79,"tracker_id":40,"status_id":1,"priority_id":2,"assigned_to_id":338,"start_date":"2017-10-03","description":"","custom_fields":[{"id":1,"name":"Subdivision","value":"NW"},{"id":4,"name":"Milepost","value":"0.1356"},{"id":17,"name":"Train ID","value":"846-03"},{"id":16,"name":"Locomotive ID","value":"4001"},{"id":130,"name":"Impact","value":""},{"id":150,"name":"Time of Event (Mountain Time)","value":"22:53:51"},{"id":151,"name":"Denver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10"/>
      <c r="AK208" s="225"/>
      <c r="AL208" s="225"/>
      <c r="AM208" s="231" t="str">
        <f t="shared" ref="AM208:AM245" si="119">"start /low /b "&amp;dls3logs&amp;" --loco "&amp;B208&amp;" --day "&amp;TEXT(F208,"YYYY-MM-DD")</f>
        <v>start /low /b %USERPROFILE%\Documents\GitHub\eaglep3\Utilities\DownloadLogsFromS3.py --loco 4001 --day 2017-10-03</v>
      </c>
      <c r="AN208" s="232" t="str">
        <f t="shared" ref="AN208:AN245" si="120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10" t="str">
        <f t="shared" ref="AO208:AO245" si="121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-03T21:23:59-0600',mode:absolute,to:'2017-10-03T23:53:51-0600'))&amp;_a=(columns:!('Message%20ID',Summary),filters:!(),index:'emp_*',interval:auto,query:(query_string:(analyze_wildcard:!t,query:'%22rtdc.l.rtdc.4001%22')),sort:!(Time.ISO8601,asc))</v>
      </c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  <c r="BM208" s="210"/>
      <c r="BN208" s="210"/>
      <c r="BO208" s="210"/>
      <c r="BP208" s="210"/>
      <c r="BQ208" s="210"/>
      <c r="BR208" s="210"/>
      <c r="BS208" s="210"/>
      <c r="BT208" s="210"/>
      <c r="BU208" s="210"/>
      <c r="BV208" s="210"/>
      <c r="BW208" s="210"/>
      <c r="BX208" s="210"/>
      <c r="BY208" s="210"/>
      <c r="BZ208" s="210"/>
      <c r="CA208" s="210"/>
      <c r="CB208" s="210"/>
      <c r="CC208" s="210"/>
      <c r="CD208" s="210"/>
      <c r="CE208" s="210"/>
      <c r="CF208" s="210"/>
      <c r="CG208" s="210"/>
      <c r="CH208" s="210"/>
      <c r="CI208" s="210"/>
      <c r="CJ208" s="210"/>
      <c r="CK208" s="210"/>
      <c r="CL208" s="210"/>
      <c r="CM208" s="210"/>
    </row>
    <row r="209" spans="1:91" s="20" customFormat="1" x14ac:dyDescent="0.25">
      <c r="A209" s="32" t="s">
        <v>827</v>
      </c>
      <c r="B209" s="7">
        <v>4002</v>
      </c>
      <c r="C209" s="21" t="s">
        <v>194</v>
      </c>
      <c r="D209" s="21" t="s">
        <v>944</v>
      </c>
      <c r="E209" s="13">
        <v>43011.933321759258</v>
      </c>
      <c r="F209" s="13">
        <v>43011.923449074071</v>
      </c>
      <c r="G209" s="7">
        <v>65</v>
      </c>
      <c r="H209" s="21" t="s">
        <v>990</v>
      </c>
      <c r="I209" s="13">
        <v>43011.932511574072</v>
      </c>
      <c r="J209" s="7">
        <v>0</v>
      </c>
      <c r="K209" s="85" t="str">
        <f t="shared" ref="K209:K210" si="122">IF(ISEVEN(B209),(B209-1)&amp;"/"&amp;B209,B209&amp;"/"&amp;(B209+1))</f>
        <v>4001/4002</v>
      </c>
      <c r="L209" s="179" t="str">
        <f>VLOOKUP(A209,'Trips&amp;Operators'!$C$1:$G$99911,5,FALSE)</f>
        <v>STAMBAUGH JAMES</v>
      </c>
      <c r="M209" s="6">
        <f t="shared" ref="M209:M210" si="123">I209-F209</f>
        <v>9.0625000011641532E-3</v>
      </c>
      <c r="N209" s="7">
        <f t="shared" ref="N209:N210" si="124">24*60*SUM($M209:$M209)</f>
        <v>13.050000001676381</v>
      </c>
      <c r="O209" s="7"/>
      <c r="P209" s="7"/>
      <c r="Q209" s="22"/>
      <c r="R209" s="169"/>
      <c r="S209" s="202">
        <f t="shared" ref="S209:S210" si="125">1/IF(AG209="EC",12,1)*SUM(U209:U209)</f>
        <v>1</v>
      </c>
      <c r="T209" s="169" t="str">
        <f t="shared" ref="T209:T210" si="126">IF(ISEVEN(LEFT(AD209,4)),"Southbound","NorthBound")</f>
        <v>NorthBound</v>
      </c>
      <c r="U209" s="22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2" t="str">
        <f t="shared" si="108"/>
        <v>https://d0f6bd738d7f1b3e5a7ca70fe4ff75f0.us-east-1.aws.found.io/app/kibana#/discover/Steve-Slow-Train-Analysis-(2080s-and-2083s)?_g=(refreshInterval:(display:Off,pause:!f,section:0,value:0),time:(from:'2017-10-03T21:23:59-0600',mode:absolute,to:'2017-10-03T23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23" t="str">
        <f>IF(AA209&lt;VLOOKUP(AG209,Variables!$AC$3:$AD$8,2,FALSE),"Y","N")</f>
        <v>N</v>
      </c>
      <c r="X209" s="223">
        <f t="shared" ref="X209:X210" si="127">VALUE(LEFT(AD209,4))-VALUE(LEFT(AD208,4))</f>
        <v>1</v>
      </c>
      <c r="Y209" s="223">
        <v>9.5699999999999993E-2</v>
      </c>
      <c r="Z209" s="223">
        <v>5.8935000000000004</v>
      </c>
      <c r="AA209" s="223">
        <f t="shared" ref="AA209:AA210" si="128">ABS(Z209-Y209)</f>
        <v>5.7978000000000005</v>
      </c>
      <c r="AB209" s="224" t="e">
        <f>VLOOKUP(A209,Enforcements!$C$7:$K$11,8,0)</f>
        <v>#N/A</v>
      </c>
      <c r="AC209" s="224" t="e">
        <f>VLOOKUP(A209,Enforcements!$C$7:$E$11,3,0)</f>
        <v>#N/A</v>
      </c>
      <c r="AD209" s="225">
        <f t="shared" ref="AD209:AD210" si="129">VALUE(LEFT(A209,LEN(A209)-3))</f>
        <v>847</v>
      </c>
      <c r="AE209" s="226" t="str">
        <f t="shared" si="110"/>
        <v>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 &amp; aws s3 cp s3://rtdc.mdm.uploadarchive.raw/RTDC4002/ "%USERPROFILE%\AppData\Local\Temp\OnboardLogs"\RTDC4002\2017-10-04 --exclude "*" --recursive --include "*20171004*" &amp; "%USERPROFILE%\Documents\GitHub\mrs-test-scripts\Headless Mode &amp; Sideloading\WalkAndUnGZ.bat" "%USERPROFILE%\AppData\Local\Temp\OnboardLogs"\RTDC4002\2017-10-04</v>
      </c>
      <c r="AF209" s="227" t="str">
        <f t="shared" si="111"/>
        <v>"C:\Program Files (x86)\AstroGrep\AstroGrep.exe" /e /r /s /spath="%USERPROFILE%\AppData\Local\Temp\OnboardLogs" /stypes="app*4002*20171004*" /stext=" 04:.+((SYSTEM_STATE.+slice.+state.+changed )|(ment ac)|(multiple cpu faults)|(system.+state.+changed )|(\[timeout)|(PRM\|1\|D)|(kpr)|(kdp)|(train st.+moving)|(\|lc)|(penalty))"</v>
      </c>
      <c r="AG209" s="228" t="str">
        <f t="shared" ref="AG209:AG210" si="130">DetSubdiv(A209)</f>
        <v>NW</v>
      </c>
      <c r="AH209" s="229" t="str">
        <f t="shared" ref="AH209:AH210" si="131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847-03 --locoid 4002 --swversion DE.1.0.9.0 --startMP 300:58632 --initTime 2017-10-03T22:23:59 --startdatetime 2017-10-03T22:09:46 --delay 65 --endMP 204:1356 --enddatetime 2017-10-03T22:22:49 --enforcementcount 0 &gt;&gt;%USERPROFILE%\Documents\GitHub\eaglep3-reporting\EC\2017-10-03-refined-times.txt</v>
      </c>
      <c r="AI209" s="230" t="str">
        <f t="shared" ref="AI209:AI210" si="132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ID","value":"847-03"},{"id":16,"name":"Locomotive ID","value":"4002"},{"id":130,"name":"Impact","value":""},{"id":150,"name":"Time of Event (Mountain Time)","value":"22:22:49"},{"id":151,"name":"Denver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10"/>
      <c r="AK209" s="225"/>
      <c r="AL209" s="225"/>
      <c r="AM209" s="231" t="str">
        <f t="shared" ref="AM209:AM210" si="133">"start /low /b "&amp;dls3logs&amp;" --loco "&amp;B209&amp;" --day "&amp;TEXT(F209,"YYYY-MM-DD")</f>
        <v>start /low /b %USERPROFILE%\Documents\GitHub\eaglep3\Utilities\DownloadLogsFromS3.py --loco 4002 --day 2017-10-03</v>
      </c>
      <c r="AN209" s="232" t="str">
        <f t="shared" ref="AN209:AN210" si="134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10" t="str">
        <f t="shared" ref="AO209:AO210" si="135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-03T21:23:59-0600',mode:absolute,to:'2017-10-03T23:22:49-0600'))&amp;_a=(columns:!('Message%20ID',Summary),filters:!(),index:'emp_*',interval:auto,query:(query_string:(analyze_wildcard:!t,query:'%22rtdc.l.rtdc.4002%22')),sort:!(Time.ISO8601,asc))</v>
      </c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  <c r="BM209" s="210"/>
      <c r="BN209" s="210"/>
      <c r="BO209" s="210"/>
      <c r="BP209" s="210"/>
      <c r="BQ209" s="210"/>
      <c r="BR209" s="210"/>
      <c r="BS209" s="210"/>
      <c r="BT209" s="210"/>
      <c r="BU209" s="210"/>
      <c r="BV209" s="210"/>
      <c r="BW209" s="210"/>
      <c r="BX209" s="210"/>
      <c r="BY209" s="210"/>
      <c r="BZ209" s="210"/>
      <c r="CA209" s="210"/>
      <c r="CB209" s="210"/>
      <c r="CC209" s="210"/>
      <c r="CD209" s="210"/>
      <c r="CE209" s="210"/>
      <c r="CF209" s="210"/>
      <c r="CG209" s="210"/>
      <c r="CH209" s="210"/>
      <c r="CI209" s="210"/>
      <c r="CJ209" s="210"/>
      <c r="CK209" s="210"/>
      <c r="CL209" s="210"/>
      <c r="CM209" s="210"/>
    </row>
    <row r="210" spans="1:91" s="20" customFormat="1" x14ac:dyDescent="0.25">
      <c r="A210" s="32" t="s">
        <v>832</v>
      </c>
      <c r="B210" s="7">
        <v>4008</v>
      </c>
      <c r="C210" s="21" t="s">
        <v>194</v>
      </c>
      <c r="D210" s="21" t="s">
        <v>944</v>
      </c>
      <c r="E210" s="13">
        <v>43011.933321759258</v>
      </c>
      <c r="F210" s="13">
        <v>43011.96503472222</v>
      </c>
      <c r="G210" s="7">
        <v>65</v>
      </c>
      <c r="H210" s="21" t="s">
        <v>990</v>
      </c>
      <c r="I210" s="13">
        <v>43011.974097222221</v>
      </c>
      <c r="J210" s="7">
        <v>0</v>
      </c>
      <c r="K210" s="85" t="str">
        <f t="shared" si="122"/>
        <v>4007/4008</v>
      </c>
      <c r="L210" s="179" t="str">
        <f>VLOOKUP(A210,'Trips&amp;Operators'!$C$1:$G$99911,5,FALSE)</f>
        <v>STAMBAUGH JAMES</v>
      </c>
      <c r="M210" s="6">
        <f t="shared" si="123"/>
        <v>9.0625000011641532E-3</v>
      </c>
      <c r="N210" s="7">
        <f t="shared" si="124"/>
        <v>13.050000001676381</v>
      </c>
      <c r="O210" s="7"/>
      <c r="P210" s="7"/>
      <c r="Q210" s="22"/>
      <c r="R210" s="169"/>
      <c r="S210" s="202">
        <f t="shared" si="125"/>
        <v>1</v>
      </c>
      <c r="T210" s="169" t="str">
        <f t="shared" si="126"/>
        <v>NorthBound</v>
      </c>
      <c r="U210" s="22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2" t="str">
        <f t="shared" si="108"/>
        <v>https://d0f6bd738d7f1b3e5a7ca70fe4ff75f0.us-east-1.aws.found.io/app/kibana#/discover/Steve-Slow-Train-Analysis-(2080s-and-2083s)?_g=(refreshInterval:(display:Off,pause:!f,section:0,value:0),time:(from:'2017-10-03T21:23:59-0600',mode:absolute,to:'2017-10-04T00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223" t="str">
        <f>IF(AA210&lt;VLOOKUP(AG210,Variables!$AC$3:$AD$8,2,FALSE),"Y","N")</f>
        <v>N</v>
      </c>
      <c r="X210" s="223">
        <f t="shared" si="127"/>
        <v>2</v>
      </c>
      <c r="Y210" s="223">
        <v>9.5699999999999993E-2</v>
      </c>
      <c r="Z210" s="223">
        <v>5.8935000000000004</v>
      </c>
      <c r="AA210" s="223">
        <f t="shared" si="128"/>
        <v>5.7978000000000005</v>
      </c>
      <c r="AB210" s="224" t="e">
        <f>VLOOKUP(A210,Enforcements!$C$7:$K$11,8,0)</f>
        <v>#N/A</v>
      </c>
      <c r="AC210" s="224" t="e">
        <f>VLOOKUP(A210,Enforcements!$C$7:$E$11,3,0)</f>
        <v>#N/A</v>
      </c>
      <c r="AD210" s="225">
        <f t="shared" si="129"/>
        <v>849</v>
      </c>
      <c r="AE210" s="226" t="str">
        <f t="shared" si="11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10" s="227" t="str">
        <f t="shared" si="111"/>
        <v>"C:\Program Files (x86)\AstroGrep\AstroGrep.exe" /e /r /s /spath="%USERPROFILE%\AppData\Local\Temp\OnboardLogs" /stypes="app*4008*20171004*" /stext=" 05:.+((SYSTEM_STATE.+slice.+state.+changed )|(ment ac)|(multiple cpu faults)|(system.+state.+changed )|(\[timeout)|(PRM\|1\|D)|(kpr)|(kdp)|(train st.+moving)|(\|lc)|(penalty))"</v>
      </c>
      <c r="AG210" s="228" t="str">
        <f t="shared" si="130"/>
        <v>NW</v>
      </c>
      <c r="AH210" s="229" t="str">
        <f t="shared" si="131"/>
        <v>"%USERPROFILE%\Documents\GitHub\eaglep3\Utilities\RefineRTDCRunTimes.py" --tripid 849-03 --locoid 4008 --swversion DE.1.0.9.0 --startMP 300:58632 --initTime 2017-10-03T22:23:59 --startdatetime 2017-10-03T23:09:39 --delay 65 --endMP 204:1356 --enddatetime 2017-10-03T23:22:42 --enforcementcount 0 &gt;&gt;%USERPROFILE%\Documents\GitHub\eaglep3-reporting\EC\2017-10-03-refined-times.txt</v>
      </c>
      <c r="AI210" s="230" t="str">
        <f t="shared" si="132"/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ID","value":"849-03"},{"id":16,"name":"Locomotive ID","value":"4008"},{"id":130,"name":"Impact","value":""},{"id":150,"name":"Time of Event (Mountain Time)","value":"23:22:42"},{"id":151,"name":"Denver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10"/>
      <c r="AK210" s="225"/>
      <c r="AL210" s="225"/>
      <c r="AM210" s="231" t="str">
        <f t="shared" si="133"/>
        <v>start /low /b %USERPROFILE%\Documents\GitHub\eaglep3\Utilities\DownloadLogsFromS3.py --loco 4008 --day 2017-10-03</v>
      </c>
      <c r="AN210" s="232" t="str">
        <f t="shared" si="13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10" t="str">
        <f t="shared" si="135"/>
        <v>https://d0f6bd738d7f1b3e5a7ca70fe4ff75f0.us-east-1.aws.found.io/app/kibana#/discover/Steve-Slow-Train-Analysis-(2080s-and-2083s)?_g=(refreshInterval:(display:Off,pause:!f,section:0,value:0),time:(from:'2017-10-03T21:23:59-0600',mode:absolute,to:'2017-10-04T00:22:42-0600'))&amp;_a=(columns:!('Message%20ID',Summary),filters:!(),index:'emp_*',interval:auto,query:(query_string:(analyze_wildcard:!t,query:'%22rtdc.l.rtdc.4008%22')),sort:!(Time.ISO8601,asc))</v>
      </c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  <c r="BM210" s="210"/>
      <c r="BN210" s="210"/>
      <c r="BO210" s="210"/>
      <c r="BP210" s="210"/>
      <c r="BQ210" s="210"/>
      <c r="BR210" s="210"/>
      <c r="BS210" s="210"/>
      <c r="BT210" s="210"/>
      <c r="BU210" s="210"/>
      <c r="BV210" s="210"/>
      <c r="BW210" s="210"/>
      <c r="BX210" s="210"/>
      <c r="BY210" s="210"/>
      <c r="BZ210" s="210"/>
      <c r="CA210" s="210"/>
      <c r="CB210" s="210"/>
      <c r="CC210" s="210"/>
      <c r="CD210" s="210"/>
      <c r="CE210" s="210"/>
      <c r="CF210" s="210"/>
      <c r="CG210" s="210"/>
      <c r="CH210" s="210"/>
      <c r="CI210" s="210"/>
      <c r="CJ210" s="210"/>
      <c r="CK210" s="210"/>
      <c r="CL210" s="210"/>
      <c r="CM210" s="210"/>
    </row>
    <row r="211" spans="1:91" s="20" customFormat="1" x14ac:dyDescent="0.25">
      <c r="A211" s="32" t="s">
        <v>547</v>
      </c>
      <c r="B211" s="7">
        <v>4061</v>
      </c>
      <c r="C211" s="21" t="s">
        <v>194</v>
      </c>
      <c r="D211" s="21" t="s">
        <v>904</v>
      </c>
      <c r="E211" s="13">
        <v>43011.114745370367</v>
      </c>
      <c r="F211" s="13">
        <v>43011.116875</v>
      </c>
      <c r="G211" s="7">
        <v>50</v>
      </c>
      <c r="H211" s="21" t="s">
        <v>335</v>
      </c>
      <c r="I211" s="13">
        <v>43011.121666666666</v>
      </c>
      <c r="J211" s="7">
        <v>0</v>
      </c>
      <c r="K211" s="85" t="str">
        <f t="shared" ref="K211:K245" si="136">IF(ISEVEN(B211),(B211-1)&amp;"/"&amp;B211,B211&amp;"/"&amp;(B211+1))</f>
        <v>4061/4062</v>
      </c>
      <c r="L211" s="179" t="str">
        <f>VLOOKUP(A211,'Trips&amp;Operators'!$C$1:$G$99911,5,FALSE)</f>
        <v>YORK EDGAR</v>
      </c>
      <c r="M211" s="6">
        <f t="shared" ref="M211:M245" si="137">I211-F211</f>
        <v>4.7916666662786156E-3</v>
      </c>
      <c r="N211" s="7">
        <f t="shared" ref="N211:N245" si="138">24*60*SUM($M211:$M211)</f>
        <v>6.8999999994412065</v>
      </c>
      <c r="O211" s="7"/>
      <c r="P211" s="7"/>
      <c r="Q211" s="22"/>
      <c r="R211" s="169"/>
      <c r="S211" s="202">
        <f t="shared" ref="S211:S245" si="139">1/IF(AG211="EC",12,1)*SUM(U211:U211)</f>
        <v>1</v>
      </c>
      <c r="T211" s="169" t="str">
        <f t="shared" ref="T211:T245" si="140">IF(ISEVEN(LEFT(AD211,4)),"Southbound","NorthBound")</f>
        <v>Southbound</v>
      </c>
      <c r="U211" s="22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2" t="str">
        <f t="shared" si="108"/>
        <v>https://d0f6bd738d7f1b3e5a7ca70fe4ff75f0.us-east-1.aws.found.io/app/kibana#/discover/Steve-Slow-Train-Analysis-(2080s-and-2083s)?_g=(refreshInterval:(display:Off,pause:!f,section:0,value:0),time:(from:'2017-10-03T01:45:14-0600',mode:absolute,to:'2017-10-03T03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1" s="223" t="str">
        <f>IF(AA211&lt;VLOOKUP(AG211,Variables!$AC$3:$AD$8,2,FALSE),"Y","N")</f>
        <v>Y</v>
      </c>
      <c r="X211" s="223">
        <f>VALUE(LEFT(AD211,4))-VALUE(LEFT(AD208,4))</f>
        <v>-546</v>
      </c>
      <c r="Y211" s="223">
        <f t="shared" ref="Y211:Y245" si="141">RIGHT(D211,LEN(D211)-4)/10000</f>
        <v>2.2528999999999999</v>
      </c>
      <c r="Z211" s="223">
        <f t="shared" ref="Z211:Z245" si="142">RIGHT(H211,LEN(H211)-4)/10000</f>
        <v>1.4999999999999999E-2</v>
      </c>
      <c r="AA211" s="223">
        <f t="shared" ref="AA211:AA245" si="143">ABS(Z211-Y211)</f>
        <v>2.2378999999999998</v>
      </c>
      <c r="AB211" s="224" t="e">
        <f>VLOOKUP(A211,Enforcements!$C$7:$K$11,8,0)</f>
        <v>#N/A</v>
      </c>
      <c r="AC211" s="224" t="e">
        <f>VLOOKUP(A211,Enforcements!$C$7:$E$11,3,0)</f>
        <v>#N/A</v>
      </c>
      <c r="AD211" s="225">
        <f t="shared" ref="AD211:AD245" si="144">VALUE(LEFT(A211,LEN(A211)-3))</f>
        <v>300</v>
      </c>
      <c r="AE211" s="226" t="str">
        <f t="shared" si="11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211" s="227" t="str">
        <f t="shared" si="111"/>
        <v>"C:\Program Files (x86)\AstroGrep\AstroGrep.exe" /e /r /s /spath="%USERPROFILE%\AppData\Local\Temp\OnboardLogs" /stypes="app*4061*20171003*" /stext=" 08:.+((SYSTEM_STATE.+slice.+state.+changed )|(ment ac)|(multiple cpu faults)|(system.+state.+changed )|(\[timeout)|(PRM\|1\|D)|(kpr)|(kdp)|(train st.+moving)|(\|lc)|(penalty))"</v>
      </c>
      <c r="AG211" s="228" t="str">
        <f t="shared" ref="AG211:AG245" si="145">DetSubdiv(A211)</f>
        <v>Other</v>
      </c>
      <c r="AH211" s="229" t="str">
        <f t="shared" si="117"/>
        <v>"%USERPROFILE%\Documents\GitHub\eaglep3\Utilities\RefineRTDCRunTimes.py" --tripid 300-03 --locoid 4061 --swversion DE.1.0.9.0 --startMP 300:22529 --initTime 2017-10-03T02:45:14 --startdatetime 2017-10-03T02:48:18 --delay 50 --endMP 204:150 --enddatetime 2017-10-03T02:55:12 --enforcementcount 0 &gt;&gt;%USERPROFILE%\Documents\GitHub\eaglep3-reporting\EC\2017-10-03-refined-times.txt</v>
      </c>
      <c r="AI211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{"issue":{"subject":"","project_id":79,"tracker_id":40,"status_id":1,"priority_id":2,"assigned_to_id":338,"start_date":"2017-10-03","description":"","custom_fields":[{"id":1,"name":"Subdivision","value":"Other"},{"id":4,"name":"Milepost","value":"0.015"},{"id":17,"name":"Train ID","value":"300-03"},{"id":16,"name":"Locomotive ID","value":"4061"},{"id":130,"name":"Impact","value":""},{"id":150,"name":"Time of Event (Mountain Time)","value":"02:55:12"},{"id":151,"name":"Denver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10"/>
      <c r="AK211" s="225"/>
      <c r="AL211" s="225"/>
      <c r="AM211" s="231" t="str">
        <f t="shared" si="119"/>
        <v>start /low /b %USERPROFILE%\Documents\GitHub\eaglep3\Utilities\DownloadLogsFromS3.py --loco 4061 --day 2017-10-03</v>
      </c>
      <c r="AN21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08:55:12"},{"id":29,"name":"Sharepoint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10" t="str">
        <f t="shared" si="121"/>
        <v>https://d0f6bd738d7f1b3e5a7ca70fe4ff75f0.us-east-1.aws.found.io/app/kibana#/discover/Steve-Slow-Train-Analysis-(2080s-and-2083s)?_g=(refreshInterval:(display:Off,pause:!f,section:0,value:0),time:(from:'2017-10-03T01:45:14-0600',mode:absolute,to:'2017-10-03T03:55:12-0600'))&amp;_a=(columns:!('Message%20ID',Summary),filters:!(),index:'emp_*',interval:auto,query:(query_string:(analyze_wildcard:!t,query:'%22rtdc.l.rtdc.4061%22')),sort:!(Time.ISO8601,asc))</v>
      </c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  <c r="BM211" s="210"/>
      <c r="BN211" s="210"/>
      <c r="BO211" s="210"/>
      <c r="BP211" s="210"/>
      <c r="BQ211" s="210"/>
      <c r="BR211" s="210"/>
      <c r="BS211" s="210"/>
      <c r="BT211" s="210"/>
      <c r="BU211" s="210"/>
      <c r="BV211" s="210"/>
      <c r="BW211" s="210"/>
      <c r="BX211" s="210"/>
      <c r="BY211" s="210"/>
      <c r="BZ211" s="210"/>
      <c r="CA211" s="210"/>
      <c r="CB211" s="210"/>
      <c r="CC211" s="210"/>
      <c r="CD211" s="210"/>
      <c r="CE211" s="210"/>
      <c r="CF211" s="210"/>
      <c r="CG211" s="210"/>
      <c r="CH211" s="210"/>
      <c r="CI211" s="210"/>
      <c r="CJ211" s="210"/>
      <c r="CK211" s="210"/>
      <c r="CL211" s="210"/>
      <c r="CM211" s="210"/>
    </row>
    <row r="212" spans="1:91" s="20" customFormat="1" x14ac:dyDescent="0.25">
      <c r="A212" s="32" t="s">
        <v>801</v>
      </c>
      <c r="B212" s="7">
        <v>4060</v>
      </c>
      <c r="C212" s="21" t="s">
        <v>194</v>
      </c>
      <c r="D212" s="21" t="s">
        <v>905</v>
      </c>
      <c r="E212" s="13">
        <v>43011.775196759256</v>
      </c>
      <c r="F212" s="13">
        <v>43011.777129629627</v>
      </c>
      <c r="G212" s="7">
        <v>91</v>
      </c>
      <c r="H212" s="21" t="s">
        <v>906</v>
      </c>
      <c r="I212" s="13">
        <v>43011.783043981479</v>
      </c>
      <c r="J212" s="7">
        <v>0</v>
      </c>
      <c r="K212" s="85" t="str">
        <f t="shared" si="136"/>
        <v>4059/4060</v>
      </c>
      <c r="L212" s="179" t="str">
        <f>VLOOKUP(A212,'Trips&amp;Operators'!$C$1:$G$99911,5,FALSE)</f>
        <v>LEVIN SCOTT</v>
      </c>
      <c r="M212" s="6">
        <f t="shared" si="137"/>
        <v>5.914351851970423E-3</v>
      </c>
      <c r="N212" s="7">
        <f t="shared" si="138"/>
        <v>8.5166666668374091</v>
      </c>
      <c r="O212" s="7"/>
      <c r="P212" s="7"/>
      <c r="Q212" s="22"/>
      <c r="R212" s="169"/>
      <c r="S212" s="202">
        <f t="shared" si="139"/>
        <v>1</v>
      </c>
      <c r="T212" s="169" t="str">
        <f t="shared" si="140"/>
        <v>NorthBound</v>
      </c>
      <c r="U212" s="22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2" t="str">
        <f t="shared" si="108"/>
        <v>https://d0f6bd738d7f1b3e5a7ca70fe4ff75f0.us-east-1.aws.found.io/app/kibana#/discover/Steve-Slow-Train-Analysis-(2080s-and-2083s)?_g=(refreshInterval:(display:Off,pause:!f,section:0,value:0),time:(from:'2017-10-03T17:36:17-0600',mode:absolute,to:'2017-10-03T19:47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223" t="str">
        <f>IF(AA212&lt;VLOOKUP(AG212,Variables!$AC$3:$AD$8,2,FALSE),"Y","N")</f>
        <v>Y</v>
      </c>
      <c r="X212" s="223">
        <f t="shared" ref="X212:X245" si="146">VALUE(LEFT(AD212,4))-VALUE(LEFT(AD211,4))</f>
        <v>1</v>
      </c>
      <c r="Y212" s="223">
        <f t="shared" si="141"/>
        <v>4.3499999999999997E-2</v>
      </c>
      <c r="Z212" s="223">
        <f t="shared" si="142"/>
        <v>2.3346</v>
      </c>
      <c r="AA212" s="223">
        <f t="shared" si="143"/>
        <v>2.2911000000000001</v>
      </c>
      <c r="AB212" s="224" t="e">
        <f>VLOOKUP(A212,Enforcements!$C$7:$K$11,8,0)</f>
        <v>#N/A</v>
      </c>
      <c r="AC212" s="224" t="e">
        <f>VLOOKUP(A212,Enforcements!$C$7:$E$11,3,0)</f>
        <v>#N/A</v>
      </c>
      <c r="AD212" s="225">
        <f t="shared" si="144"/>
        <v>301</v>
      </c>
      <c r="AE212" s="226" t="str">
        <f t="shared" si="11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212" s="227" t="str">
        <f t="shared" si="111"/>
        <v>"C:\Program Files (x86)\AstroGrep\AstroGrep.exe" /e /r /s /spath="%USERPROFILE%\AppData\Local\Temp\OnboardLogs" /stypes="app*4060*20171004*" /stext=" 00:.+((SYSTEM_STATE.+slice.+state.+changed )|(ment ac)|(multiple cpu faults)|(system.+state.+changed )|(\[timeout)|(PRM\|1\|D)|(kpr)|(kdp)|(train st.+moving)|(\|lc)|(penalty))"</v>
      </c>
      <c r="AG212" s="228" t="str">
        <f t="shared" si="145"/>
        <v>Other</v>
      </c>
      <c r="AH212" s="229" t="str">
        <f t="shared" si="117"/>
        <v>"%USERPROFILE%\Documents\GitHub\eaglep3\Utilities\RefineRTDCRunTimes.py" --tripid 301-03 --locoid 4060 --swversion DE.1.0.9.0 --startMP 204:435 --initTime 2017-10-03T18:36:17 --startdatetime 2017-10-03T18:39:04 --delay 91 --endMP 300:23346 --enddatetime 2017-10-03T18:47:35 --enforcementcount 0 &gt;&gt;%USERPROFILE%\Documents\GitHub\eaglep3-reporting\EC\2017-10-03-refined-times.txt</v>
      </c>
      <c r="AI212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{"issue":{"subject":"","project_id":79,"tracker_id":40,"status_id":1,"priority_id":2,"assigned_to_id":338,"start_date":"2017-10-03","description":"","custom_fields":[{"id":1,"name":"Subdivision","value":"Other"},{"id":4,"name":"Milepost","value":"2.3346"},{"id":17,"name":"Train ID","value":"301-03"},{"id":16,"name":"Locomotive ID","value":"4060"},{"id":130,"name":"Impact","value":""},{"id":150,"name":"Time of Event (Mountain Time)","value":"18:47:35"},{"id":151,"name":"Denver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10"/>
      <c r="AK212" s="225"/>
      <c r="AL212" s="225"/>
      <c r="AM212" s="231" t="str">
        <f t="shared" si="119"/>
        <v>start /low /b %USERPROFILE%\Documents\GitHub\eaglep3\Utilities\DownloadLogsFromS3.py --loco 4060 --day 2017-10-03</v>
      </c>
      <c r="AN212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00:47:35"},{"id":29,"name":"Sharepoint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10" t="str">
        <f t="shared" si="121"/>
        <v>https://d0f6bd738d7f1b3e5a7ca70fe4ff75f0.us-east-1.aws.found.io/app/kibana#/discover/Steve-Slow-Train-Analysis-(2080s-and-2083s)?_g=(refreshInterval:(display:Off,pause:!f,section:0,value:0),time:(from:'2017-10-03T17:36:17-0600',mode:absolute,to:'2017-10-03T19:47:35-0600'))&amp;_a=(columns:!('Message%20ID',Summary),filters:!(),index:'emp_*',interval:auto,query:(query_string:(analyze_wildcard:!t,query:'%22rtdc.l.rtdc.4060%22')),sort:!(Time.ISO8601,asc))</v>
      </c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  <c r="BM212" s="210"/>
      <c r="BN212" s="210"/>
      <c r="BO212" s="210"/>
      <c r="BP212" s="210"/>
      <c r="BQ212" s="210"/>
      <c r="BR212" s="210"/>
      <c r="BS212" s="210"/>
      <c r="BT212" s="210"/>
      <c r="BU212" s="210"/>
      <c r="BV212" s="210"/>
      <c r="BW212" s="210"/>
      <c r="BX212" s="210"/>
      <c r="BY212" s="210"/>
      <c r="BZ212" s="210"/>
      <c r="CA212" s="210"/>
      <c r="CB212" s="210"/>
      <c r="CC212" s="210"/>
      <c r="CD212" s="210"/>
      <c r="CE212" s="210"/>
      <c r="CF212" s="210"/>
      <c r="CG212" s="210"/>
      <c r="CH212" s="210"/>
      <c r="CI212" s="210"/>
      <c r="CJ212" s="210"/>
      <c r="CK212" s="210"/>
      <c r="CL212" s="210"/>
      <c r="CM212" s="210"/>
    </row>
    <row r="213" spans="1:91" s="20" customFormat="1" x14ac:dyDescent="0.25">
      <c r="A213" s="32" t="s">
        <v>628</v>
      </c>
      <c r="B213" s="7">
        <v>4041</v>
      </c>
      <c r="C213" s="21" t="s">
        <v>194</v>
      </c>
      <c r="D213" s="21" t="s">
        <v>907</v>
      </c>
      <c r="E213" s="13">
        <v>43011.139074074075</v>
      </c>
      <c r="F213" s="13">
        <v>43011.142106481479</v>
      </c>
      <c r="G213" s="7">
        <v>68</v>
      </c>
      <c r="H213" s="21" t="s">
        <v>362</v>
      </c>
      <c r="I213" s="13">
        <v>43011.147638888891</v>
      </c>
      <c r="J213" s="7">
        <v>0</v>
      </c>
      <c r="K213" s="85" t="str">
        <f t="shared" si="136"/>
        <v>4041/4042</v>
      </c>
      <c r="L213" s="179" t="str">
        <f>VLOOKUP(A213,'Trips&amp;Operators'!$C$1:$G$99911,5,FALSE)</f>
        <v>BONDS REYNALDO</v>
      </c>
      <c r="M213" s="6">
        <f t="shared" si="137"/>
        <v>5.5324074128293432E-3</v>
      </c>
      <c r="N213" s="7">
        <f t="shared" si="138"/>
        <v>7.9666666744742543</v>
      </c>
      <c r="O213" s="7"/>
      <c r="P213" s="7"/>
      <c r="Q213" s="22"/>
      <c r="R213" s="169"/>
      <c r="S213" s="202">
        <f t="shared" si="139"/>
        <v>1</v>
      </c>
      <c r="T213" s="169" t="str">
        <f t="shared" si="140"/>
        <v>Southbound</v>
      </c>
      <c r="U213" s="22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2" t="str">
        <f t="shared" si="108"/>
        <v>https://d0f6bd738d7f1b3e5a7ca70fe4ff75f0.us-east-1.aws.found.io/app/kibana#/discover/Steve-Slow-Train-Analysis-(2080s-and-2083s)?_g=(refreshInterval:(display:Off,pause:!f,section:0,value:0),time:(from:'2017-10-03T02:20:16-0600',mode:absolute,to:'2017-10-03T04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223" t="str">
        <f>IF(AA213&lt;VLOOKUP(AG213,Variables!$AC$3:$AD$8,2,FALSE),"Y","N")</f>
        <v>Y</v>
      </c>
      <c r="X213" s="223">
        <f t="shared" si="146"/>
        <v>1</v>
      </c>
      <c r="Y213" s="223">
        <f t="shared" si="141"/>
        <v>2.3464</v>
      </c>
      <c r="Z213" s="223">
        <f t="shared" si="142"/>
        <v>1.5599999999999999E-2</v>
      </c>
      <c r="AA213" s="223">
        <f t="shared" si="143"/>
        <v>2.3308</v>
      </c>
      <c r="AB213" s="224" t="e">
        <f>VLOOKUP(A213,Enforcements!$C$7:$K$11,8,0)</f>
        <v>#N/A</v>
      </c>
      <c r="AC213" s="224" t="e">
        <f>VLOOKUP(A213,Enforcements!$C$7:$E$11,3,0)</f>
        <v>#N/A</v>
      </c>
      <c r="AD213" s="225">
        <f t="shared" si="144"/>
        <v>302</v>
      </c>
      <c r="AE213" s="226" t="str">
        <f t="shared" si="11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213" s="227" t="str">
        <f t="shared" si="111"/>
        <v>"C:\Program Files (x86)\AstroGrep\AstroGrep.exe" /e /r /s /spath="%USERPROFILE%\AppData\Local\Temp\OnboardLogs" /stypes="app*4041*20171003*" /stext=" 09:.+((SYSTEM_STATE.+slice.+state.+changed )|(ment ac)|(multiple cpu faults)|(system.+state.+changed )|(\[timeout)|(PRM\|1\|D)|(kpr)|(kdp)|(train st.+moving)|(\|lc)|(penalty))"</v>
      </c>
      <c r="AG213" s="228" t="str">
        <f t="shared" si="145"/>
        <v>Other</v>
      </c>
      <c r="AH213" s="229" t="str">
        <f t="shared" si="117"/>
        <v>"%USERPROFILE%\Documents\GitHub\eaglep3\Utilities\RefineRTDCRunTimes.py" --tripid 302-03 --locoid 4041 --swversion DE.1.0.9.0 --startMP 300:23464 --initTime 2017-10-03T03:20:16 --startdatetime 2017-10-03T03:24:38 --delay 68 --endMP 204:156 --enddatetime 2017-10-03T03:32:36 --enforcementcount 0 &gt;&gt;%USERPROFILE%\Documents\GitHub\eaglep3-reporting\EC\2017-10-03-refined-times.txt</v>
      </c>
      <c r="AI213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{"issue":{"subject":"","project_id":79,"tracker_id":40,"status_id":1,"priority_id":2,"assigned_to_id":338,"start_date":"2017-10-03","description":"","custom_fields":[{"id":1,"name":"Subdivision","value":"Other"},{"id":4,"name":"Milepost","value":"0.0156"},{"id":17,"name":"Train ID","value":"302-03"},{"id":16,"name":"Locomotive ID","value":"4041"},{"id":130,"name":"Impact","value":""},{"id":150,"name":"Time of Event (Mountain Time)","value":"03:32:36"},{"id":151,"name":"Denver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10"/>
      <c r="AK213" s="225"/>
      <c r="AL213" s="225"/>
      <c r="AM213" s="231" t="str">
        <f t="shared" si="119"/>
        <v>start /low /b %USERPROFILE%\Documents\GitHub\eaglep3\Utilities\DownloadLogsFromS3.py --loco 4041 --day 2017-10-03</v>
      </c>
      <c r="AN21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09:32:36"},{"id":29,"name":"Sharepoint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10" t="str">
        <f t="shared" si="121"/>
        <v>https://d0f6bd738d7f1b3e5a7ca70fe4ff75f0.us-east-1.aws.found.io/app/kibana#/discover/Steve-Slow-Train-Analysis-(2080s-and-2083s)?_g=(refreshInterval:(display:Off,pause:!f,section:0,value:0),time:(from:'2017-10-03T02:20:16-0600',mode:absolute,to:'2017-10-03T04:32:36-0600'))&amp;_a=(columns:!('Message%20ID',Summary),filters:!(),index:'emp_*',interval:auto,query:(query_string:(analyze_wildcard:!t,query:'%22rtdc.l.rtdc.4041%22')),sort:!(Time.ISO8601,asc))</v>
      </c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  <c r="BM213" s="210"/>
      <c r="BN213" s="210"/>
      <c r="BO213" s="210"/>
      <c r="BP213" s="210"/>
      <c r="BQ213" s="210"/>
      <c r="BR213" s="210"/>
      <c r="BS213" s="210"/>
      <c r="BT213" s="210"/>
      <c r="BU213" s="210"/>
      <c r="BV213" s="210"/>
      <c r="BW213" s="210"/>
      <c r="BX213" s="210"/>
      <c r="BY213" s="210"/>
      <c r="BZ213" s="210"/>
      <c r="CA213" s="210"/>
      <c r="CB213" s="210"/>
      <c r="CC213" s="210"/>
      <c r="CD213" s="210"/>
      <c r="CE213" s="210"/>
      <c r="CF213" s="210"/>
      <c r="CG213" s="210"/>
      <c r="CH213" s="210"/>
      <c r="CI213" s="210"/>
      <c r="CJ213" s="210"/>
      <c r="CK213" s="210"/>
      <c r="CL213" s="210"/>
      <c r="CM213" s="210"/>
    </row>
    <row r="214" spans="1:91" s="20" customFormat="1" x14ac:dyDescent="0.25">
      <c r="A214" s="32" t="s">
        <v>809</v>
      </c>
      <c r="B214" s="7">
        <v>4050</v>
      </c>
      <c r="C214" s="21" t="s">
        <v>194</v>
      </c>
      <c r="D214" s="21" t="s">
        <v>453</v>
      </c>
      <c r="E214" s="13">
        <v>43011.797164351854</v>
      </c>
      <c r="F214" s="13">
        <v>43011.798657407409</v>
      </c>
      <c r="G214" s="7">
        <v>57</v>
      </c>
      <c r="H214" s="21" t="s">
        <v>575</v>
      </c>
      <c r="I214" s="13">
        <v>43011.806064814817</v>
      </c>
      <c r="J214" s="7">
        <v>0</v>
      </c>
      <c r="K214" s="85" t="str">
        <f t="shared" si="136"/>
        <v>4049/4050</v>
      </c>
      <c r="L214" s="179" t="str">
        <f>VLOOKUP(A214,'Trips&amp;Operators'!$C$1:$G$99911,5,FALSE)</f>
        <v>SAFIEF AEIMEN</v>
      </c>
      <c r="M214" s="6">
        <f t="shared" si="137"/>
        <v>7.4074074072996154E-3</v>
      </c>
      <c r="N214" s="7">
        <f t="shared" si="138"/>
        <v>10.666666666511446</v>
      </c>
      <c r="O214" s="7"/>
      <c r="P214" s="7"/>
      <c r="Q214" s="22"/>
      <c r="R214" s="169"/>
      <c r="S214" s="202">
        <f t="shared" si="139"/>
        <v>1</v>
      </c>
      <c r="T214" s="169" t="str">
        <f t="shared" si="140"/>
        <v>NorthBound</v>
      </c>
      <c r="U214" s="22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2" t="str">
        <f t="shared" si="108"/>
        <v>https://d0f6bd738d7f1b3e5a7ca70fe4ff75f0.us-east-1.aws.found.io/app/kibana#/discover/Steve-Slow-Train-Analysis-(2080s-and-2083s)?_g=(refreshInterval:(display:Off,pause:!f,section:0,value:0),time:(from:'2017-10-03T18:07:55-0600',mode:absolute,to:'2017-10-03T20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23" t="str">
        <f>IF(AA214&lt;VLOOKUP(AG214,Variables!$AC$3:$AD$8,2,FALSE),"Y","N")</f>
        <v>Y</v>
      </c>
      <c r="X214" s="223">
        <f t="shared" si="146"/>
        <v>1</v>
      </c>
      <c r="Y214" s="223">
        <f t="shared" si="141"/>
        <v>4.6699999999999998E-2</v>
      </c>
      <c r="Z214" s="223">
        <f t="shared" si="142"/>
        <v>2.3296999999999999</v>
      </c>
      <c r="AA214" s="223">
        <f t="shared" si="143"/>
        <v>2.2829999999999999</v>
      </c>
      <c r="AB214" s="224" t="e">
        <f>VLOOKUP(A214,Enforcements!$C$7:$K$11,8,0)</f>
        <v>#N/A</v>
      </c>
      <c r="AC214" s="224" t="e">
        <f>VLOOKUP(A214,Enforcements!$C$7:$E$11,3,0)</f>
        <v>#N/A</v>
      </c>
      <c r="AD214" s="225">
        <f t="shared" si="144"/>
        <v>303</v>
      </c>
      <c r="AE214" s="226" t="str">
        <f t="shared" si="11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214" s="227" t="str">
        <f t="shared" si="111"/>
        <v>"C:\Program Files (x86)\AstroGrep\AstroGrep.exe" /e /r /s /spath="%USERPROFILE%\AppData\Local\Temp\OnboardLogs" /stypes="app*4050*20171004*" /stext=" 01:.+((SYSTEM_STATE.+slice.+state.+changed )|(ment ac)|(multiple cpu faults)|(system.+state.+changed )|(\[timeout)|(PRM\|1\|D)|(kpr)|(kdp)|(train st.+moving)|(\|lc)|(penalty))"</v>
      </c>
      <c r="AG214" s="228" t="str">
        <f t="shared" si="145"/>
        <v>Other</v>
      </c>
      <c r="AH214" s="229" t="str">
        <f t="shared" si="117"/>
        <v>"%USERPROFILE%\Documents\GitHub\eaglep3\Utilities\RefineRTDCRunTimes.py" --tripid 303-03 --locoid 4050 --swversion DE.1.0.9.0 --startMP 204:467 --initTime 2017-10-03T19:07:55 --startdatetime 2017-10-03T19:10:04 --delay 57 --endMP 300:23297 --enddatetime 2017-10-03T19:20:44 --enforcementcount 0 &gt;&gt;%USERPROFILE%\Documents\GitHub\eaglep3-reporting\EC\2017-10-03-refined-times.txt</v>
      </c>
      <c r="AI214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{"issue":{"subject":"","project_id":79,"tracker_id":40,"status_id":1,"priority_id":2,"assigned_to_id":338,"start_date":"2017-10-03","description":"","custom_fields":[{"id":1,"name":"Subdivision","value":"Other"},{"id":4,"name":"Milepost","value":"2.3297"},{"id":17,"name":"Train ID","value":"303-03"},{"id":16,"name":"Locomotive ID","value":"4050"},{"id":130,"name":"Impact","value":""},{"id":150,"name":"Time of Event (Mountain Time)","value":"19:20:44"},{"id":151,"name":"Denver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10"/>
      <c r="AK214" s="225"/>
      <c r="AL214" s="225"/>
      <c r="AM214" s="231" t="str">
        <f t="shared" si="119"/>
        <v>start /low /b %USERPROFILE%\Documents\GitHub\eaglep3\Utilities\DownloadLogsFromS3.py --loco 4050 --day 2017-10-03</v>
      </c>
      <c r="AN214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10" t="str">
        <f t="shared" si="121"/>
        <v>https://d0f6bd738d7f1b3e5a7ca70fe4ff75f0.us-east-1.aws.found.io/app/kibana#/discover/Steve-Slow-Train-Analysis-(2080s-and-2083s)?_g=(refreshInterval:(display:Off,pause:!f,section:0,value:0),time:(from:'2017-10-03T18:07:55-0600',mode:absolute,to:'2017-10-03T20:20:44-0600'))&amp;_a=(columns:!('Message%20ID',Summary),filters:!(),index:'emp_*',interval:auto,query:(query_string:(analyze_wildcard:!t,query:'%22rtdc.l.rtdc.4050%22')),sort:!(Time.ISO8601,asc))</v>
      </c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  <c r="BM214" s="210"/>
      <c r="BN214" s="210"/>
      <c r="BO214" s="210"/>
      <c r="BP214" s="210"/>
      <c r="BQ214" s="210"/>
      <c r="BR214" s="210"/>
      <c r="BS214" s="210"/>
      <c r="BT214" s="210"/>
      <c r="BU214" s="210"/>
      <c r="BV214" s="210"/>
      <c r="BW214" s="210"/>
      <c r="BX214" s="210"/>
      <c r="BY214" s="210"/>
      <c r="BZ214" s="210"/>
      <c r="CA214" s="210"/>
      <c r="CB214" s="210"/>
      <c r="CC214" s="210"/>
      <c r="CD214" s="210"/>
      <c r="CE214" s="210"/>
      <c r="CF214" s="210"/>
      <c r="CG214" s="210"/>
      <c r="CH214" s="210"/>
      <c r="CI214" s="210"/>
      <c r="CJ214" s="210"/>
      <c r="CK214" s="210"/>
      <c r="CL214" s="210"/>
      <c r="CM214" s="210"/>
    </row>
    <row r="215" spans="1:91" s="20" customFormat="1" x14ac:dyDescent="0.25">
      <c r="A215" s="32" t="s">
        <v>632</v>
      </c>
      <c r="B215" s="7">
        <v>4031</v>
      </c>
      <c r="C215" s="21" t="s">
        <v>194</v>
      </c>
      <c r="D215" s="21" t="s">
        <v>908</v>
      </c>
      <c r="E215" s="13">
        <v>43011.16101851852</v>
      </c>
      <c r="F215" s="13">
        <v>43011.166064814817</v>
      </c>
      <c r="G215" s="7">
        <v>136</v>
      </c>
      <c r="H215" s="21" t="s">
        <v>360</v>
      </c>
      <c r="I215" s="13">
        <v>43011.172465277778</v>
      </c>
      <c r="J215" s="7">
        <v>0</v>
      </c>
      <c r="K215" s="85" t="str">
        <f t="shared" si="136"/>
        <v>4031/4032</v>
      </c>
      <c r="L215" s="179" t="str">
        <f>VLOOKUP(A215,'Trips&amp;Operators'!$C$1:$G$99911,5,FALSE)</f>
        <v>THOMPSON LESTER</v>
      </c>
      <c r="M215" s="6">
        <f t="shared" si="137"/>
        <v>6.4004629603005014E-3</v>
      </c>
      <c r="N215" s="7">
        <f t="shared" si="138"/>
        <v>9.2166666628327221</v>
      </c>
      <c r="O215" s="7"/>
      <c r="P215" s="7"/>
      <c r="Q215" s="22"/>
      <c r="R215" s="169"/>
      <c r="S215" s="202">
        <f t="shared" si="139"/>
        <v>1</v>
      </c>
      <c r="T215" s="169" t="str">
        <f t="shared" si="140"/>
        <v>Southbound</v>
      </c>
      <c r="U215" s="22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2" t="str">
        <f t="shared" si="108"/>
        <v>https://d0f6bd738d7f1b3e5a7ca70fe4ff75f0.us-east-1.aws.found.io/app/kibana#/discover/Steve-Slow-Train-Analysis-(2080s-and-2083s)?_g=(refreshInterval:(display:Off,pause:!f,section:0,value:0),time:(from:'2017-10-03T02:51:52-0600',mode:absolute,to:'2017-10-03T05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5" s="223" t="str">
        <f>IF(AA215&lt;VLOOKUP(AG215,Variables!$AC$3:$AD$8,2,FALSE),"Y","N")</f>
        <v>Y</v>
      </c>
      <c r="X215" s="223">
        <f t="shared" si="146"/>
        <v>1</v>
      </c>
      <c r="Y215" s="223">
        <f t="shared" si="141"/>
        <v>2.3437999999999999</v>
      </c>
      <c r="Z215" s="223">
        <f t="shared" si="142"/>
        <v>1.4500000000000001E-2</v>
      </c>
      <c r="AA215" s="223">
        <f t="shared" si="143"/>
        <v>2.3292999999999999</v>
      </c>
      <c r="AB215" s="224" t="e">
        <f>VLOOKUP(A215,Enforcements!$C$7:$K$11,8,0)</f>
        <v>#N/A</v>
      </c>
      <c r="AC215" s="224" t="e">
        <f>VLOOKUP(A215,Enforcements!$C$7:$E$11,3,0)</f>
        <v>#N/A</v>
      </c>
      <c r="AD215" s="225">
        <f t="shared" si="144"/>
        <v>304</v>
      </c>
      <c r="AE215" s="226" t="str">
        <f t="shared" si="11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215" s="227" t="str">
        <f t="shared" si="111"/>
        <v>"C:\Program Files (x86)\AstroGrep\AstroGrep.exe" /e /r /s /spath="%USERPROFILE%\AppData\Local\Temp\OnboardLogs" /stypes="app*4031*20171003*" /stext=" 10:.+((SYSTEM_STATE.+slice.+state.+changed )|(ment ac)|(multiple cpu faults)|(system.+state.+changed )|(\[timeout)|(PRM\|1\|D)|(kpr)|(kdp)|(train st.+moving)|(\|lc)|(penalty))"</v>
      </c>
      <c r="AG215" s="228" t="str">
        <f t="shared" si="145"/>
        <v>Other</v>
      </c>
      <c r="AH215" s="229" t="str">
        <f t="shared" si="117"/>
        <v>"%USERPROFILE%\Documents\GitHub\eaglep3\Utilities\RefineRTDCRunTimes.py" --tripid 304-03 --locoid 4031 --swversion DE.1.0.9.0 --startMP 300:23438 --initTime 2017-10-03T03:51:52 --startdatetime 2017-10-03T03:59:08 --delay 136 --endMP 204:145 --enddatetime 2017-10-03T04:08:21 --enforcementcount 0 &gt;&gt;%USERPROFILE%\Documents\GitHub\eaglep3-reporting\EC\2017-10-03-refined-times.txt</v>
      </c>
      <c r="AI215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{"issue":{"subject":"","project_id":79,"tracker_id":40,"status_id":1,"priority_id":2,"assigned_to_id":338,"start_date":"2017-10-03","description":"","custom_fields":[{"id":1,"name":"Subdivision","value":"Other"},{"id":4,"name":"Milepost","value":"0.0145"},{"id":17,"name":"Train ID","value":"304-03"},{"id":16,"name":"Locomotive ID","value":"4031"},{"id":130,"name":"Impact","value":""},{"id":150,"name":"Time of Event (Mountain Time)","value":"04:08:21"},{"id":151,"name":"Denver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10"/>
      <c r="AK215" s="225"/>
      <c r="AL215" s="225"/>
      <c r="AM215" s="231" t="str">
        <f t="shared" si="119"/>
        <v>start /low /b %USERPROFILE%\Documents\GitHub\eaglep3\Utilities\DownloadLogsFromS3.py --loco 4031 --day 2017-10-03</v>
      </c>
      <c r="AN21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10" t="str">
        <f t="shared" si="121"/>
        <v>https://d0f6bd738d7f1b3e5a7ca70fe4ff75f0.us-east-1.aws.found.io/app/kibana#/discover/Steve-Slow-Train-Analysis-(2080s-and-2083s)?_g=(refreshInterval:(display:Off,pause:!f,section:0,value:0),time:(from:'2017-10-03T02:51:52-0600',mode:absolute,to:'2017-10-03T05:08:21-0600'))&amp;_a=(columns:!('Message%20ID',Summary),filters:!(),index:'emp_*',interval:auto,query:(query_string:(analyze_wildcard:!t,query:'%22rtdc.l.rtdc.4031%22')),sort:!(Time.ISO8601,asc))</v>
      </c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  <c r="BX215" s="210"/>
      <c r="BY215" s="210"/>
      <c r="BZ215" s="210"/>
      <c r="CA215" s="210"/>
      <c r="CB215" s="210"/>
      <c r="CC215" s="210"/>
      <c r="CD215" s="210"/>
      <c r="CE215" s="210"/>
      <c r="CF215" s="210"/>
      <c r="CG215" s="210"/>
      <c r="CH215" s="210"/>
      <c r="CI215" s="210"/>
      <c r="CJ215" s="210"/>
      <c r="CK215" s="210"/>
      <c r="CL215" s="210"/>
      <c r="CM215" s="210"/>
    </row>
    <row r="216" spans="1:91" s="20" customFormat="1" x14ac:dyDescent="0.25">
      <c r="A216" s="32" t="s">
        <v>812</v>
      </c>
      <c r="B216" s="7">
        <v>4012</v>
      </c>
      <c r="C216" s="21" t="s">
        <v>194</v>
      </c>
      <c r="D216" s="21" t="s">
        <v>355</v>
      </c>
      <c r="E216" s="13">
        <v>43011.81827546296</v>
      </c>
      <c r="F216" s="13">
        <v>43011.819652777776</v>
      </c>
      <c r="G216" s="7">
        <v>59</v>
      </c>
      <c r="H216" s="21" t="s">
        <v>573</v>
      </c>
      <c r="I216" s="13">
        <v>43011.830405092594</v>
      </c>
      <c r="J216" s="7">
        <v>0</v>
      </c>
      <c r="K216" s="85" t="str">
        <f t="shared" si="136"/>
        <v>4011/4012</v>
      </c>
      <c r="L216" s="179" t="str">
        <f>VLOOKUP(A216,'Trips&amp;Operators'!$C$1:$G$99911,5,FALSE)</f>
        <v>SMITH MICHAEL</v>
      </c>
      <c r="M216" s="6">
        <f t="shared" si="137"/>
        <v>1.0752314818091691E-2</v>
      </c>
      <c r="N216" s="7">
        <f t="shared" si="138"/>
        <v>15.483333338052034</v>
      </c>
      <c r="O216" s="7"/>
      <c r="P216" s="7"/>
      <c r="Q216" s="22"/>
      <c r="R216" s="169"/>
      <c r="S216" s="202">
        <f t="shared" si="139"/>
        <v>1</v>
      </c>
      <c r="T216" s="169" t="str">
        <f t="shared" si="140"/>
        <v>NorthBound</v>
      </c>
      <c r="U216" s="22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2" t="str">
        <f t="shared" si="108"/>
        <v>https://d0f6bd738d7f1b3e5a7ca70fe4ff75f0.us-east-1.aws.found.io/app/kibana#/discover/Steve-Slow-Train-Analysis-(2080s-and-2083s)?_g=(refreshInterval:(display:Off,pause:!f,section:0,value:0),time:(from:'2017-10-03T18:38:19-0600',mode:absolute,to:'2017-10-03T20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23" t="str">
        <f>IF(AA216&lt;VLOOKUP(AG216,Variables!$AC$3:$AD$8,2,FALSE),"Y","N")</f>
        <v>Y</v>
      </c>
      <c r="X216" s="223">
        <f t="shared" si="146"/>
        <v>1</v>
      </c>
      <c r="Y216" s="223">
        <f t="shared" si="141"/>
        <v>4.58E-2</v>
      </c>
      <c r="Z216" s="223">
        <f t="shared" si="142"/>
        <v>2.3304</v>
      </c>
      <c r="AA216" s="223">
        <f t="shared" si="143"/>
        <v>2.2846000000000002</v>
      </c>
      <c r="AB216" s="224" t="e">
        <f>VLOOKUP(A216,Enforcements!$C$7:$K$11,8,0)</f>
        <v>#N/A</v>
      </c>
      <c r="AC216" s="224" t="e">
        <f>VLOOKUP(A216,Enforcements!$C$7:$E$11,3,0)</f>
        <v>#N/A</v>
      </c>
      <c r="AD216" s="225">
        <f t="shared" si="144"/>
        <v>305</v>
      </c>
      <c r="AE216" s="226" t="str">
        <f t="shared" si="11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216" s="227" t="str">
        <f t="shared" si="111"/>
        <v>"C:\Program Files (x86)\AstroGrep\AstroGrep.exe" /e /r /s /spath="%USERPROFILE%\AppData\Local\Temp\OnboardLogs" /stypes="app*4012*20171004*" /stext=" 01:.+((SYSTEM_STATE.+slice.+state.+changed )|(ment ac)|(multiple cpu faults)|(system.+state.+changed )|(\[timeout)|(PRM\|1\|D)|(kpr)|(kdp)|(train st.+moving)|(\|lc)|(penalty))"</v>
      </c>
      <c r="AG216" s="228" t="str">
        <f t="shared" si="145"/>
        <v>Other</v>
      </c>
      <c r="AH216" s="229" t="str">
        <f t="shared" si="117"/>
        <v>"%USERPROFILE%\Documents\GitHub\eaglep3\Utilities\RefineRTDCRunTimes.py" --tripid 305-03 --locoid 4012 --swversion DE.1.0.9.0 --startMP 204:458 --initTime 2017-10-03T19:38:19 --startdatetime 2017-10-03T19:40:18 --delay 59 --endMP 300:23304 --enddatetime 2017-10-03T19:55:47 --enforcementcount 0 &gt;&gt;%USERPROFILE%\Documents\GitHub\eaglep3-reporting\EC\2017-10-03-refined-times.txt</v>
      </c>
      <c r="AI216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{"issue":{"subject":"","project_id":79,"tracker_id":40,"status_id":1,"priority_id":2,"assigned_to_id":338,"start_date":"2017-10-03","description":"","custom_fields":[{"id":1,"name":"Subdivision","value":"Other"},{"id":4,"name":"Milepost","value":"2.3304"},{"id":17,"name":"Train ID","value":"305-03"},{"id":16,"name":"Locomotive ID","value":"4012"},{"id":130,"name":"Impact","value":""},{"id":150,"name":"Time of Event (Mountain Time)","value":"19:55:47"},{"id":151,"name":"Denver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10"/>
      <c r="AK216" s="225"/>
      <c r="AL216" s="225"/>
      <c r="AM216" s="231" t="str">
        <f t="shared" si="119"/>
        <v>start /low /b %USERPROFILE%\Documents\GitHub\eaglep3\Utilities\DownloadLogsFromS3.py --loco 4012 --day 2017-10-03</v>
      </c>
      <c r="AN216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10" t="str">
        <f t="shared" si="121"/>
        <v>https://d0f6bd738d7f1b3e5a7ca70fe4ff75f0.us-east-1.aws.found.io/app/kibana#/discover/Steve-Slow-Train-Analysis-(2080s-and-2083s)?_g=(refreshInterval:(display:Off,pause:!f,section:0,value:0),time:(from:'2017-10-03T18:38:19-0600',mode:absolute,to:'2017-10-03T20:55:47-0600'))&amp;_a=(columns:!('Message%20ID',Summary),filters:!(),index:'emp_*',interval:auto,query:(query_string:(analyze_wildcard:!t,query:'%22rtdc.l.rtdc.4012%22')),sort:!(Time.ISO8601,asc))</v>
      </c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  <c r="BM216" s="210"/>
      <c r="BN216" s="210"/>
      <c r="BO216" s="210"/>
      <c r="BP216" s="210"/>
      <c r="BQ216" s="210"/>
      <c r="BR216" s="210"/>
      <c r="BS216" s="210"/>
      <c r="BT216" s="210"/>
      <c r="BU216" s="210"/>
      <c r="BV216" s="210"/>
      <c r="BW216" s="210"/>
      <c r="BX216" s="210"/>
      <c r="BY216" s="210"/>
      <c r="BZ216" s="210"/>
      <c r="CA216" s="210"/>
      <c r="CB216" s="210"/>
      <c r="CC216" s="210"/>
      <c r="CD216" s="210"/>
      <c r="CE216" s="210"/>
      <c r="CF216" s="210"/>
      <c r="CG216" s="210"/>
      <c r="CH216" s="210"/>
      <c r="CI216" s="210"/>
      <c r="CJ216" s="210"/>
      <c r="CK216" s="210"/>
      <c r="CL216" s="210"/>
      <c r="CM216" s="210"/>
    </row>
    <row r="217" spans="1:91" s="20" customFormat="1" x14ac:dyDescent="0.25">
      <c r="A217" s="32" t="s">
        <v>633</v>
      </c>
      <c r="B217" s="7">
        <v>4055</v>
      </c>
      <c r="C217" s="21" t="s">
        <v>194</v>
      </c>
      <c r="D217" s="21" t="s">
        <v>909</v>
      </c>
      <c r="E217" s="13">
        <v>43011.165335648147</v>
      </c>
      <c r="F217" s="13">
        <v>43011.170474537037</v>
      </c>
      <c r="G217" s="7">
        <v>88</v>
      </c>
      <c r="H217" s="21" t="s">
        <v>362</v>
      </c>
      <c r="I217" s="13">
        <v>43011.180335648147</v>
      </c>
      <c r="J217" s="7">
        <v>0</v>
      </c>
      <c r="K217" s="85" t="str">
        <f t="shared" si="136"/>
        <v>4055/4056</v>
      </c>
      <c r="L217" s="179" t="str">
        <f>VLOOKUP(A217,'Trips&amp;Operators'!$C$1:$G$99911,5,FALSE)</f>
        <v>LALONDE GREGORY</v>
      </c>
      <c r="M217" s="6">
        <f t="shared" si="137"/>
        <v>9.8611111097852699E-3</v>
      </c>
      <c r="N217" s="7">
        <f t="shared" si="138"/>
        <v>14.199999998090789</v>
      </c>
      <c r="O217" s="7"/>
      <c r="P217" s="7"/>
      <c r="Q217" s="22"/>
      <c r="R217" s="169"/>
      <c r="S217" s="202">
        <f t="shared" si="139"/>
        <v>1</v>
      </c>
      <c r="T217" s="169" t="str">
        <f t="shared" si="140"/>
        <v>Southbound</v>
      </c>
      <c r="U217" s="22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2" t="str">
        <f t="shared" si="108"/>
        <v>https://d0f6bd738d7f1b3e5a7ca70fe4ff75f0.us-east-1.aws.found.io/app/kibana#/discover/Steve-Slow-Train-Analysis-(2080s-and-2083s)?_g=(refreshInterval:(display:Off,pause:!f,section:0,value:0),time:(from:'2017-10-03T02:58:05-0600',mode:absolute,to:'2017-10-03T05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7" s="223" t="str">
        <f>IF(AA217&lt;VLOOKUP(AG217,Variables!$AC$3:$AD$8,2,FALSE),"Y","N")</f>
        <v>Y</v>
      </c>
      <c r="X217" s="223">
        <f t="shared" si="146"/>
        <v>1</v>
      </c>
      <c r="Y217" s="223">
        <f t="shared" si="141"/>
        <v>2.3589000000000002</v>
      </c>
      <c r="Z217" s="223">
        <f t="shared" si="142"/>
        <v>1.5599999999999999E-2</v>
      </c>
      <c r="AA217" s="223">
        <f t="shared" si="143"/>
        <v>2.3433000000000002</v>
      </c>
      <c r="AB217" s="224" t="e">
        <f>VLOOKUP(A217,Enforcements!$C$7:$K$11,8,0)</f>
        <v>#N/A</v>
      </c>
      <c r="AC217" s="224" t="e">
        <f>VLOOKUP(A217,Enforcements!$C$7:$E$11,3,0)</f>
        <v>#N/A</v>
      </c>
      <c r="AD217" s="225">
        <f t="shared" si="144"/>
        <v>306</v>
      </c>
      <c r="AE217" s="226" t="str">
        <f t="shared" si="11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217" s="227" t="str">
        <f t="shared" si="111"/>
        <v>"C:\Program Files (x86)\AstroGrep\AstroGrep.exe" /e /r /s /spath="%USERPROFILE%\AppData\Local\Temp\OnboardLogs" /stypes="app*4055*20171003*" /stext=" 10:.+((SYSTEM_STATE.+slice.+state.+changed )|(ment ac)|(multiple cpu faults)|(system.+state.+changed )|(\[timeout)|(PRM\|1\|D)|(kpr)|(kdp)|(train st.+moving)|(\|lc)|(penalty))"</v>
      </c>
      <c r="AG217" s="228" t="str">
        <f t="shared" si="145"/>
        <v>Other</v>
      </c>
      <c r="AH217" s="229" t="str">
        <f t="shared" si="117"/>
        <v>"%USERPROFILE%\Documents\GitHub\eaglep3\Utilities\RefineRTDCRunTimes.py" --tripid 306-03 --locoid 4055 --swversion DE.1.0.9.0 --startMP 300:23589 --initTime 2017-10-03T03:58:05 --startdatetime 2017-10-03T04:05:29 --delay 88 --endMP 204:156 --enddatetime 2017-10-03T04:19:41 --enforcementcount 0 &gt;&gt;%USERPROFILE%\Documents\GitHub\eaglep3-reporting\EC\2017-10-03-refined-times.txt</v>
      </c>
      <c r="AI217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{"issue":{"subject":"","project_id":79,"tracker_id":40,"status_id":1,"priority_id":2,"assigned_to_id":338,"start_date":"2017-10-03","description":"","custom_fields":[{"id":1,"name":"Subdivision","value":"Other"},{"id":4,"name":"Milepost","value":"0.0156"},{"id":17,"name":"Train ID","value":"306-03"},{"id":16,"name":"Locomotive ID","value":"4055"},{"id":130,"name":"Impact","value":""},{"id":150,"name":"Time of Event (Mountain Time)","value":"04:19:41"},{"id":151,"name":"Denver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10"/>
      <c r="AK217" s="225"/>
      <c r="AL217" s="225"/>
      <c r="AM217" s="231" t="str">
        <f t="shared" si="119"/>
        <v>start /low /b %USERPROFILE%\Documents\GitHub\eaglep3\Utilities\DownloadLogsFromS3.py --loco 4055 --day 2017-10-03</v>
      </c>
      <c r="AN217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10" t="str">
        <f t="shared" si="121"/>
        <v>https://d0f6bd738d7f1b3e5a7ca70fe4ff75f0.us-east-1.aws.found.io/app/kibana#/discover/Steve-Slow-Train-Analysis-(2080s-and-2083s)?_g=(refreshInterval:(display:Off,pause:!f,section:0,value:0),time:(from:'2017-10-03T02:58:05-0600',mode:absolute,to:'2017-10-03T05:19:41-0600'))&amp;_a=(columns:!('Message%20ID',Summary),filters:!(),index:'emp_*',interval:auto,query:(query_string:(analyze_wildcard:!t,query:'%22rtdc.l.rtdc.4055%22')),sort:!(Time.ISO8601,asc))</v>
      </c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  <c r="BM217" s="210"/>
      <c r="BN217" s="210"/>
      <c r="BO217" s="210"/>
      <c r="BP217" s="210"/>
      <c r="BQ217" s="210"/>
      <c r="BR217" s="210"/>
      <c r="BS217" s="210"/>
      <c r="BT217" s="210"/>
      <c r="BU217" s="210"/>
      <c r="BV217" s="210"/>
      <c r="BW217" s="210"/>
      <c r="BX217" s="210"/>
      <c r="BY217" s="210"/>
      <c r="BZ217" s="210"/>
      <c r="CA217" s="210"/>
      <c r="CB217" s="210"/>
      <c r="CC217" s="210"/>
      <c r="CD217" s="210"/>
      <c r="CE217" s="210"/>
      <c r="CF217" s="210"/>
      <c r="CG217" s="210"/>
      <c r="CH217" s="210"/>
      <c r="CI217" s="210"/>
      <c r="CJ217" s="210"/>
      <c r="CK217" s="210"/>
      <c r="CL217" s="210"/>
      <c r="CM217" s="210"/>
    </row>
    <row r="218" spans="1:91" s="20" customFormat="1" x14ac:dyDescent="0.25">
      <c r="A218" s="32" t="s">
        <v>840</v>
      </c>
      <c r="B218" s="7">
        <v>4042</v>
      </c>
      <c r="C218" s="21" t="s">
        <v>194</v>
      </c>
      <c r="D218" s="21" t="s">
        <v>457</v>
      </c>
      <c r="E218" s="13">
        <v>43012.045520833337</v>
      </c>
      <c r="F218" s="13">
        <v>43012.048009259262</v>
      </c>
      <c r="G218" s="7">
        <v>65</v>
      </c>
      <c r="H218" s="21" t="s">
        <v>910</v>
      </c>
      <c r="I218" s="13">
        <v>43012.056666666664</v>
      </c>
      <c r="J218" s="7">
        <v>0</v>
      </c>
      <c r="K218" s="85" t="str">
        <f t="shared" si="136"/>
        <v>4041/4042</v>
      </c>
      <c r="L218" s="179" t="str">
        <f>VLOOKUP(A218,'Trips&amp;Operators'!$C$1:$G$99911,5,FALSE)</f>
        <v>LOZA FIDEL</v>
      </c>
      <c r="M218" s="6">
        <f t="shared" si="137"/>
        <v>8.657407401187811E-3</v>
      </c>
      <c r="N218" s="7">
        <f t="shared" si="138"/>
        <v>12.466666657710448</v>
      </c>
      <c r="O218" s="7"/>
      <c r="P218" s="7"/>
      <c r="Q218" s="22"/>
      <c r="R218" s="169"/>
      <c r="S218" s="202">
        <f t="shared" si="139"/>
        <v>1</v>
      </c>
      <c r="T218" s="169" t="str">
        <f t="shared" si="140"/>
        <v>NorthBound</v>
      </c>
      <c r="U218" s="22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2" t="str">
        <f t="shared" si="108"/>
        <v>https://d0f6bd738d7f1b3e5a7ca70fe4ff75f0.us-east-1.aws.found.io/app/kibana#/discover/Steve-Slow-Train-Analysis-(2080s-and-2083s)?_g=(refreshInterval:(display:Off,pause:!f,section:0,value:0),time:(from:'2017-10-04T00:05:33-0600',mode:absolute,to:'2017-10-04T02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223" t="str">
        <f>IF(AA218&lt;VLOOKUP(AG218,Variables!$AC$3:$AD$8,2,FALSE),"Y","N")</f>
        <v>Y</v>
      </c>
      <c r="X218" s="223">
        <f t="shared" si="146"/>
        <v>1</v>
      </c>
      <c r="Y218" s="223">
        <f t="shared" si="141"/>
        <v>4.7300000000000002E-2</v>
      </c>
      <c r="Z218" s="223">
        <f t="shared" si="142"/>
        <v>2.3302</v>
      </c>
      <c r="AA218" s="223">
        <f t="shared" si="143"/>
        <v>2.2829000000000002</v>
      </c>
      <c r="AB218" s="224" t="e">
        <f>VLOOKUP(A218,Enforcements!$C$7:$K$11,8,0)</f>
        <v>#N/A</v>
      </c>
      <c r="AC218" s="224" t="e">
        <f>VLOOKUP(A218,Enforcements!$C$7:$E$11,3,0)</f>
        <v>#N/A</v>
      </c>
      <c r="AD218" s="225">
        <f t="shared" si="144"/>
        <v>307</v>
      </c>
      <c r="AE218" s="226" t="str">
        <f t="shared" si="110"/>
        <v>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 &amp; aws s3 cp s3://rtdc.mdm.uploadarchive.raw/RTDC4042/ "%USERPROFILE%\AppData\Local\Temp\OnboardLogs"\RTDC4042\2017-10-05 --exclude "*" --recursive --include "*20171005*" &amp; "%USERPROFILE%\Documents\GitHub\mrs-test-scripts\Headless Mode &amp; Sideloading\WalkAndUnGZ.bat" "%USERPROFILE%\AppData\Local\Temp\OnboardLogs"\RTDC4042\2017-10-05</v>
      </c>
      <c r="AF218" s="227" t="str">
        <f t="shared" si="111"/>
        <v>"C:\Program Files (x86)\AstroGrep\AstroGrep.exe" /e /r /s /spath="%USERPROFILE%\AppData\Local\Temp\OnboardLogs" /stypes="app*4042*20171004*" /stext=" 07:.+((SYSTEM_STATE.+slice.+state.+changed )|(ment ac)|(multiple cpu faults)|(system.+state.+changed )|(\[timeout)|(PRM\|1\|D)|(kpr)|(kdp)|(train st.+moving)|(\|lc)|(penalty))"</v>
      </c>
      <c r="AG218" s="228" t="str">
        <f t="shared" si="145"/>
        <v>Other</v>
      </c>
      <c r="AH218" s="229" t="str">
        <f t="shared" si="117"/>
        <v>"%USERPROFILE%\Documents\GitHub\eaglep3\Utilities\RefineRTDCRunTimes.py" --tripid 307-03 --locoid 4042 --swversion DE.1.0.9.0 --startMP 204:473 --initTime 2017-10-04T01:05:33 --startdatetime 2017-10-04T01:09:08 --delay 65 --endMP 300:23302 --enddatetime 2017-10-04T01:21:36 --enforcementcount 0 &gt;&gt;%USERPROFILE%\Documents\GitHub\eaglep3-reporting\EC\2017-10-03-refined-times.txt</v>
      </c>
      <c r="AI218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{"issue":{"subject":"","project_id":79,"tracker_id":40,"status_id":1,"priority_id":2,"assigned_to_id":338,"start_date":"2017-10-04","description":"","custom_fields":[{"id":1,"name":"Subdivision","value":"Other"},{"id":4,"name":"Milepost","value":"2.3302"},{"id":17,"name":"Train ID","value":"307-03"},{"id":16,"name":"Locomotive ID","value":"4042"},{"id":130,"name":"Impact","value":""},{"id":150,"name":"Time of Event (Mountain Time)","value":"01:21:36"},{"id":151,"name":"Denver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10"/>
      <c r="AK218" s="225"/>
      <c r="AL218" s="225"/>
      <c r="AM218" s="231" t="str">
        <f t="shared" si="119"/>
        <v>start /low /b %USERPROFILE%\Documents\GitHub\eaglep3\Utilities\DownloadLogsFromS3.py --loco 4042 --day 2017-10-04</v>
      </c>
      <c r="AN218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10" t="str">
        <f t="shared" si="121"/>
        <v>https://d0f6bd738d7f1b3e5a7ca70fe4ff75f0.us-east-1.aws.found.io/app/kibana#/discover/Steve-Slow-Train-Analysis-(2080s-and-2083s)?_g=(refreshInterval:(display:Off,pause:!f,section:0,value:0),time:(from:'2017-10-04T00:05:33-0600',mode:absolute,to:'2017-10-04T02:21:36-0600'))&amp;_a=(columns:!('Message%20ID',Summary),filters:!(),index:'emp_*',interval:auto,query:(query_string:(analyze_wildcard:!t,query:'%22rtdc.l.rtdc.4042%22')),sort:!(Time.ISO8601,asc))</v>
      </c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  <c r="BM218" s="210"/>
      <c r="BN218" s="210"/>
      <c r="BO218" s="210"/>
      <c r="BP218" s="210"/>
      <c r="BQ218" s="210"/>
      <c r="BR218" s="210"/>
      <c r="BS218" s="210"/>
      <c r="BT218" s="210"/>
      <c r="BU218" s="210"/>
      <c r="BV218" s="210"/>
      <c r="BW218" s="210"/>
      <c r="BX218" s="210"/>
      <c r="BY218" s="210"/>
      <c r="BZ218" s="210"/>
      <c r="CA218" s="210"/>
      <c r="CB218" s="210"/>
      <c r="CC218" s="210"/>
      <c r="CD218" s="210"/>
      <c r="CE218" s="210"/>
      <c r="CF218" s="210"/>
      <c r="CG218" s="210"/>
      <c r="CH218" s="210"/>
      <c r="CI218" s="210"/>
      <c r="CJ218" s="210"/>
      <c r="CK218" s="210"/>
      <c r="CL218" s="210"/>
      <c r="CM218" s="210"/>
    </row>
    <row r="219" spans="1:91" s="20" customFormat="1" x14ac:dyDescent="0.25">
      <c r="A219" s="32" t="s">
        <v>635</v>
      </c>
      <c r="B219" s="7">
        <v>4059</v>
      </c>
      <c r="C219" s="21" t="s">
        <v>194</v>
      </c>
      <c r="D219" s="21" t="s">
        <v>911</v>
      </c>
      <c r="E219" s="13">
        <v>43011.18209490741</v>
      </c>
      <c r="F219" s="13">
        <v>43011.185358796298</v>
      </c>
      <c r="G219" s="7">
        <v>98</v>
      </c>
      <c r="H219" s="21" t="s">
        <v>335</v>
      </c>
      <c r="I219" s="13">
        <v>43011.191006944442</v>
      </c>
      <c r="J219" s="7">
        <v>0</v>
      </c>
      <c r="K219" s="85" t="str">
        <f t="shared" si="136"/>
        <v>4059/4060</v>
      </c>
      <c r="L219" s="179" t="str">
        <f>VLOOKUP(A219,'Trips&amp;Operators'!$C$1:$G$99911,5,FALSE)</f>
        <v>LAMAR NEKESHA</v>
      </c>
      <c r="M219" s="6">
        <f t="shared" si="137"/>
        <v>5.648148144246079E-3</v>
      </c>
      <c r="N219" s="7">
        <f t="shared" si="138"/>
        <v>8.1333333277143538</v>
      </c>
      <c r="O219" s="7"/>
      <c r="P219" s="7"/>
      <c r="Q219" s="22"/>
      <c r="R219" s="169"/>
      <c r="S219" s="202">
        <f t="shared" si="139"/>
        <v>1</v>
      </c>
      <c r="T219" s="169" t="str">
        <f t="shared" si="140"/>
        <v>Southbound</v>
      </c>
      <c r="U219" s="22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2" t="str">
        <f t="shared" si="108"/>
        <v>https://d0f6bd738d7f1b3e5a7ca70fe4ff75f0.us-east-1.aws.found.io/app/kibana#/discover/Steve-Slow-Train-Analysis-(2080s-and-2083s)?_g=(refreshInterval:(display:Off,pause:!f,section:0,value:0),time:(from:'2017-10-03T03:22:13-0600',mode:absolute,to:'2017-10-03T05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9" s="223" t="str">
        <f>IF(AA219&lt;VLOOKUP(AG219,Variables!$AC$3:$AD$8,2,FALSE),"Y","N")</f>
        <v>Y</v>
      </c>
      <c r="X219" s="223">
        <f t="shared" si="146"/>
        <v>1</v>
      </c>
      <c r="Y219" s="223">
        <f t="shared" si="141"/>
        <v>2.33</v>
      </c>
      <c r="Z219" s="223">
        <f t="shared" si="142"/>
        <v>1.4999999999999999E-2</v>
      </c>
      <c r="AA219" s="223">
        <f t="shared" si="143"/>
        <v>2.3149999999999999</v>
      </c>
      <c r="AB219" s="224" t="e">
        <f>VLOOKUP(A219,Enforcements!$C$7:$K$11,8,0)</f>
        <v>#N/A</v>
      </c>
      <c r="AC219" s="224" t="e">
        <f>VLOOKUP(A219,Enforcements!$C$7:$E$11,3,0)</f>
        <v>#N/A</v>
      </c>
      <c r="AD219" s="225">
        <f t="shared" si="144"/>
        <v>308</v>
      </c>
      <c r="AE219" s="226" t="str">
        <f t="shared" si="11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219" s="227" t="str">
        <f t="shared" si="111"/>
        <v>"C:\Program Files (x86)\AstroGrep\AstroGrep.exe" /e /r /s /spath="%USERPROFILE%\AppData\Local\Temp\OnboardLogs" /stypes="app*4059*20171003*" /stext=" 10:.+((SYSTEM_STATE.+slice.+state.+changed )|(ment ac)|(multiple cpu faults)|(system.+state.+changed )|(\[timeout)|(PRM\|1\|D)|(kpr)|(kdp)|(train st.+moving)|(\|lc)|(penalty))"</v>
      </c>
      <c r="AG219" s="228" t="str">
        <f t="shared" si="145"/>
        <v>Other</v>
      </c>
      <c r="AH219" s="229" t="str">
        <f t="shared" si="117"/>
        <v>"%USERPROFILE%\Documents\GitHub\eaglep3\Utilities\RefineRTDCRunTimes.py" --tripid 308-03 --locoid 4059 --swversion DE.1.0.9.0 --startMP 300:23300 --initTime 2017-10-03T04:22:13 --startdatetime 2017-10-03T04:26:55 --delay 98 --endMP 204:150 --enddatetime 2017-10-03T04:35:03 --enforcementcount 0 &gt;&gt;%USERPROFILE%\Documents\GitHub\eaglep3-reporting\EC\2017-10-03-refined-times.txt</v>
      </c>
      <c r="AI219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{"issue":{"subject":"","project_id":79,"tracker_id":40,"status_id":1,"priority_id":2,"assigned_to_id":338,"start_date":"2017-10-03","description":"","custom_fields":[{"id":1,"name":"Subdivision","value":"Other"},{"id":4,"name":"Milepost","value":"0.015"},{"id":17,"name":"Train ID","value":"308-03"},{"id":16,"name":"Locomotive ID","value":"4059"},{"id":130,"name":"Impact","value":""},{"id":150,"name":"Time of Event (Mountain Time)","value":"04:35:03"},{"id":151,"name":"Denver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10"/>
      <c r="AK219" s="225"/>
      <c r="AL219" s="225"/>
      <c r="AM219" s="231" t="str">
        <f t="shared" si="119"/>
        <v>start /low /b %USERPROFILE%\Documents\GitHub\eaglep3\Utilities\DownloadLogsFromS3.py --loco 4059 --day 2017-10-03</v>
      </c>
      <c r="AN219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10" t="str">
        <f t="shared" si="121"/>
        <v>https://d0f6bd738d7f1b3e5a7ca70fe4ff75f0.us-east-1.aws.found.io/app/kibana#/discover/Steve-Slow-Train-Analysis-(2080s-and-2083s)?_g=(refreshInterval:(display:Off,pause:!f,section:0,value:0),time:(from:'2017-10-03T03:22:13-0600',mode:absolute,to:'2017-10-03T05:35:03-0600'))&amp;_a=(columns:!('Message%20ID',Summary),filters:!(),index:'emp_*',interval:auto,query:(query_string:(analyze_wildcard:!t,query:'%22rtdc.l.rtdc.4059%22')),sort:!(Time.ISO8601,asc))</v>
      </c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  <c r="BM219" s="210"/>
      <c r="BN219" s="210"/>
      <c r="BO219" s="210"/>
      <c r="BP219" s="210"/>
      <c r="BQ219" s="210"/>
      <c r="BR219" s="210"/>
      <c r="BS219" s="210"/>
      <c r="BT219" s="210"/>
      <c r="BU219" s="210"/>
      <c r="BV219" s="210"/>
      <c r="BW219" s="210"/>
      <c r="BX219" s="210"/>
      <c r="BY219" s="210"/>
      <c r="BZ219" s="210"/>
      <c r="CA219" s="210"/>
      <c r="CB219" s="210"/>
      <c r="CC219" s="210"/>
      <c r="CD219" s="210"/>
      <c r="CE219" s="210"/>
      <c r="CF219" s="210"/>
      <c r="CG219" s="210"/>
      <c r="CH219" s="210"/>
      <c r="CI219" s="210"/>
      <c r="CJ219" s="210"/>
      <c r="CK219" s="210"/>
      <c r="CL219" s="210"/>
      <c r="CM219" s="210"/>
    </row>
    <row r="220" spans="1:91" s="20" customFormat="1" x14ac:dyDescent="0.25">
      <c r="A220" s="32" t="s">
        <v>842</v>
      </c>
      <c r="B220" s="7">
        <v>4032</v>
      </c>
      <c r="C220" s="21" t="s">
        <v>194</v>
      </c>
      <c r="D220" s="21" t="s">
        <v>912</v>
      </c>
      <c r="E220" s="13">
        <v>43012.068067129629</v>
      </c>
      <c r="F220" s="13">
        <v>43012.070057870369</v>
      </c>
      <c r="G220" s="7">
        <v>56</v>
      </c>
      <c r="H220" s="21" t="s">
        <v>910</v>
      </c>
      <c r="I220" s="13">
        <v>43012.097962962966</v>
      </c>
      <c r="J220" s="7">
        <v>0</v>
      </c>
      <c r="K220" s="85" t="str">
        <f t="shared" si="136"/>
        <v>4031/4032</v>
      </c>
      <c r="L220" s="179" t="str">
        <f>VLOOKUP(A220,'Trips&amp;Operators'!$C$1:$G$99911,5,FALSE)</f>
        <v>RESPASS AARON</v>
      </c>
      <c r="M220" s="6">
        <f t="shared" si="137"/>
        <v>2.7905092596483883E-2</v>
      </c>
      <c r="N220" s="7">
        <f t="shared" si="138"/>
        <v>40.183333338936791</v>
      </c>
      <c r="O220" s="7"/>
      <c r="P220" s="7"/>
      <c r="Q220" s="22"/>
      <c r="R220" s="169"/>
      <c r="S220" s="202">
        <f t="shared" si="139"/>
        <v>1</v>
      </c>
      <c r="T220" s="169" t="str">
        <f t="shared" si="140"/>
        <v>NorthBound</v>
      </c>
      <c r="U220" s="22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2" t="str">
        <f t="shared" si="108"/>
        <v>https://d0f6bd738d7f1b3e5a7ca70fe4ff75f0.us-east-1.aws.found.io/app/kibana#/discover/Steve-Slow-Train-Analysis-(2080s-and-2083s)?_g=(refreshInterval:(display:Off,pause:!f,section:0,value:0),time:(from:'2017-10-04T00:38:01-0600',mode:absolute,to:'2017-10-04T03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223" t="str">
        <f>IF(AA220&lt;VLOOKUP(AG220,Variables!$AC$3:$AD$8,2,FALSE),"Y","N")</f>
        <v>Y</v>
      </c>
      <c r="X220" s="223">
        <f t="shared" si="146"/>
        <v>1</v>
      </c>
      <c r="Y220" s="223">
        <f t="shared" si="141"/>
        <v>4.82E-2</v>
      </c>
      <c r="Z220" s="223">
        <f t="shared" si="142"/>
        <v>2.3302</v>
      </c>
      <c r="AA220" s="223">
        <f t="shared" si="143"/>
        <v>2.282</v>
      </c>
      <c r="AB220" s="224" t="e">
        <f>VLOOKUP(A220,Enforcements!$C$7:$K$11,8,0)</f>
        <v>#N/A</v>
      </c>
      <c r="AC220" s="224" t="e">
        <f>VLOOKUP(A220,Enforcements!$C$7:$E$11,3,0)</f>
        <v>#N/A</v>
      </c>
      <c r="AD220" s="225">
        <f t="shared" si="144"/>
        <v>309</v>
      </c>
      <c r="AE220" s="226" t="str">
        <f t="shared" si="110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220" s="227" t="str">
        <f t="shared" si="111"/>
        <v>"C:\Program Files (x86)\AstroGrep\AstroGrep.exe" /e /r /s /spath="%USERPROFILE%\AppData\Local\Temp\OnboardLogs" /stypes="app*4032*20171004*" /stext=" 08:.+((SYSTEM_STATE.+slice.+state.+changed )|(ment ac)|(multiple cpu faults)|(system.+state.+changed )|(\[timeout)|(PRM\|1\|D)|(kpr)|(kdp)|(train st.+moving)|(\|lc)|(penalty))"</v>
      </c>
      <c r="AG220" s="228" t="str">
        <f t="shared" si="145"/>
        <v>Other</v>
      </c>
      <c r="AH220" s="229" t="str">
        <f t="shared" si="117"/>
        <v>"%USERPROFILE%\Documents\GitHub\eaglep3\Utilities\RefineRTDCRunTimes.py" --tripid 309-03 --locoid 4032 --swversion DE.1.0.9.0 --startMP 204:482 --initTime 2017-10-04T01:38:01 --startdatetime 2017-10-04T01:40:53 --delay 56 --endMP 300:23302 --enddatetime 2017-10-04T02:21:04 --enforcementcount 0 &gt;&gt;%USERPROFILE%\Documents\GitHub\eaglep3-reporting\EC\2017-10-03-refined-times.txt</v>
      </c>
      <c r="AI220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{"issue":{"subject":"","project_id":79,"tracker_id":40,"status_id":1,"priority_id":2,"assigned_to_id":338,"start_date":"2017-10-04","description":"","custom_fields":[{"id":1,"name":"Subdivision","value":"Other"},{"id":4,"name":"Milepost","value":"2.3302"},{"id":17,"name":"Train ID","value":"309-03"},{"id":16,"name":"Locomotive ID","value":"4032"},{"id":130,"name":"Impact","value":""},{"id":150,"name":"Time of Event (Mountain Time)","value":"02:21:04"},{"id":151,"name":"Denver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10"/>
      <c r="AK220" s="225"/>
      <c r="AL220" s="225"/>
      <c r="AM220" s="231" t="str">
        <f t="shared" si="119"/>
        <v>start /low /b %USERPROFILE%\Documents\GitHub\eaglep3\Utilities\DownloadLogsFromS3.py --loco 4032 --day 2017-10-04</v>
      </c>
      <c r="AN220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08:21:04"},{"id":29,"name":"Sharepoint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10" t="str">
        <f t="shared" si="121"/>
        <v>https://d0f6bd738d7f1b3e5a7ca70fe4ff75f0.us-east-1.aws.found.io/app/kibana#/discover/Steve-Slow-Train-Analysis-(2080s-and-2083s)?_g=(refreshInterval:(display:Off,pause:!f,section:0,value:0),time:(from:'2017-10-04T00:38:01-0600',mode:absolute,to:'2017-10-04T03:21:04-0600'))&amp;_a=(columns:!('Message%20ID',Summary),filters:!(),index:'emp_*',interval:auto,query:(query_string:(analyze_wildcard:!t,query:'%22rtdc.l.rtdc.4032%22')),sort:!(Time.ISO8601,asc))</v>
      </c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  <c r="BM220" s="210"/>
      <c r="BN220" s="210"/>
      <c r="BO220" s="210"/>
      <c r="BP220" s="210"/>
      <c r="BQ220" s="210"/>
      <c r="BR220" s="210"/>
      <c r="BS220" s="210"/>
      <c r="BT220" s="210"/>
      <c r="BU220" s="210"/>
      <c r="BV220" s="210"/>
      <c r="BW220" s="210"/>
      <c r="BX220" s="210"/>
      <c r="BY220" s="210"/>
      <c r="BZ220" s="210"/>
      <c r="CA220" s="210"/>
      <c r="CB220" s="210"/>
      <c r="CC220" s="210"/>
      <c r="CD220" s="210"/>
      <c r="CE220" s="210"/>
      <c r="CF220" s="210"/>
      <c r="CG220" s="210"/>
      <c r="CH220" s="210"/>
      <c r="CI220" s="210"/>
      <c r="CJ220" s="210"/>
      <c r="CK220" s="210"/>
      <c r="CL220" s="210"/>
      <c r="CM220" s="210"/>
    </row>
    <row r="221" spans="1:91" s="20" customFormat="1" x14ac:dyDescent="0.25">
      <c r="A221" s="32" t="s">
        <v>639</v>
      </c>
      <c r="B221" s="7">
        <v>4019</v>
      </c>
      <c r="C221" s="21" t="s">
        <v>194</v>
      </c>
      <c r="D221" s="21" t="s">
        <v>913</v>
      </c>
      <c r="E221" s="13">
        <v>43011.197476851848</v>
      </c>
      <c r="F221" s="13">
        <v>43011.199687499997</v>
      </c>
      <c r="G221" s="7">
        <v>58</v>
      </c>
      <c r="H221" s="21" t="s">
        <v>339</v>
      </c>
      <c r="I221" s="13">
        <v>43011.205254629633</v>
      </c>
      <c r="J221" s="7">
        <v>0</v>
      </c>
      <c r="K221" s="85" t="str">
        <f t="shared" si="136"/>
        <v>4019/4020</v>
      </c>
      <c r="L221" s="179" t="str">
        <f>VLOOKUP(A221,'Trips&amp;Operators'!$C$1:$G$99911,5,FALSE)</f>
        <v>YANAI IAN</v>
      </c>
      <c r="M221" s="6">
        <f t="shared" si="137"/>
        <v>5.5671296358923428E-3</v>
      </c>
      <c r="N221" s="7">
        <f t="shared" si="138"/>
        <v>8.0166666756849736</v>
      </c>
      <c r="O221" s="7"/>
      <c r="P221" s="7"/>
      <c r="Q221" s="22"/>
      <c r="R221" s="169"/>
      <c r="S221" s="202">
        <f t="shared" si="139"/>
        <v>1</v>
      </c>
      <c r="T221" s="169" t="str">
        <f t="shared" si="140"/>
        <v>Southbound</v>
      </c>
      <c r="U221" s="22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22" t="str">
        <f t="shared" si="108"/>
        <v>https://d0f6bd738d7f1b3e5a7ca70fe4ff75f0.us-east-1.aws.found.io/app/kibana#/discover/Steve-Slow-Train-Analysis-(2080s-and-2083s)?_g=(refreshInterval:(display:Off,pause:!f,section:0,value:0),time:(from:'2017-10-03T03:44:22-0600',mode:absolute,to:'2017-10-03T05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223" t="str">
        <f>IF(AA221&lt;VLOOKUP(AG221,Variables!$AC$3:$AD$8,2,FALSE),"Y","N")</f>
        <v>Y</v>
      </c>
      <c r="X221" s="223">
        <f t="shared" si="146"/>
        <v>1</v>
      </c>
      <c r="Y221" s="223">
        <f t="shared" si="141"/>
        <v>2.3690000000000002</v>
      </c>
      <c r="Z221" s="223">
        <f t="shared" si="142"/>
        <v>1.41E-2</v>
      </c>
      <c r="AA221" s="223">
        <f t="shared" si="143"/>
        <v>2.3549000000000002</v>
      </c>
      <c r="AB221" s="224" t="e">
        <f>VLOOKUP(A221,Enforcements!$C$7:$K$11,8,0)</f>
        <v>#N/A</v>
      </c>
      <c r="AC221" s="224" t="e">
        <f>VLOOKUP(A221,Enforcements!$C$7:$E$11,3,0)</f>
        <v>#N/A</v>
      </c>
      <c r="AD221" s="225">
        <f t="shared" si="144"/>
        <v>310</v>
      </c>
      <c r="AE221" s="226" t="str">
        <f t="shared" si="110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221" s="227" t="str">
        <f t="shared" si="111"/>
        <v>"C:\Program Files (x86)\AstroGrep\AstroGrep.exe" /e /r /s /spath="%USERPROFILE%\AppData\Local\Temp\OnboardLogs" /stypes="app*4019*20171003*" /stext=" 10:.+((SYSTEM_STATE.+slice.+state.+changed )|(ment ac)|(multiple cpu faults)|(system.+state.+changed )|(\[timeout)|(PRM\|1\|D)|(kpr)|(kdp)|(train st.+moving)|(\|lc)|(penalty))"</v>
      </c>
      <c r="AG221" s="228" t="str">
        <f t="shared" si="145"/>
        <v>Other</v>
      </c>
      <c r="AH221" s="229" t="str">
        <f t="shared" si="117"/>
        <v>"%USERPROFILE%\Documents\GitHub\eaglep3\Utilities\RefineRTDCRunTimes.py" --tripid 310-03 --locoid 4019 --swversion DE.1.0.9.0 --startMP 300:23690 --initTime 2017-10-03T04:44:22 --startdatetime 2017-10-03T04:47:33 --delay 58 --endMP 204:141 --enddatetime 2017-10-03T04:55:34 --enforcementcount 0 &gt;&gt;%USERPROFILE%\Documents\GitHub\eaglep3-reporting\EC\2017-10-03-refined-times.txt</v>
      </c>
      <c r="AI221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{"issue":{"subject":"","project_id":79,"tracker_id":40,"status_id":1,"priority_id":2,"assigned_to_id":338,"start_date":"2017-10-03","description":"","custom_fields":[{"id":1,"name":"Subdivision","value":"Other"},{"id":4,"name":"Milepost","value":"0.0141"},{"id":17,"name":"Train ID","value":"310-03"},{"id":16,"name":"Locomotive ID","value":"4019"},{"id":130,"name":"Impact","value":""},{"id":150,"name":"Time of Event (Mountain Time)","value":"04:55:34"},{"id":151,"name":"Denver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10"/>
      <c r="AK221" s="225"/>
      <c r="AL221" s="225"/>
      <c r="AM221" s="231" t="str">
        <f t="shared" si="119"/>
        <v>start /low /b %USERPROFILE%\Documents\GitHub\eaglep3\Utilities\DownloadLogsFromS3.py --loco 4019 --day 2017-10-03</v>
      </c>
      <c r="AN22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10" t="str">
        <f t="shared" si="121"/>
        <v>https://d0f6bd738d7f1b3e5a7ca70fe4ff75f0.us-east-1.aws.found.io/app/kibana#/discover/Steve-Slow-Train-Analysis-(2080s-and-2083s)?_g=(refreshInterval:(display:Off,pause:!f,section:0,value:0),time:(from:'2017-10-03T03:44:22-0600',mode:absolute,to:'2017-10-03T05:55:34-0600'))&amp;_a=(columns:!('Message%20ID',Summary),filters:!(),index:'emp_*',interval:auto,query:(query_string:(analyze_wildcard:!t,query:'%22rtdc.l.rtdc.4019%22')),sort:!(Time.ISO8601,asc))</v>
      </c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  <c r="BM221" s="210"/>
      <c r="BN221" s="210"/>
      <c r="BO221" s="210"/>
      <c r="BP221" s="210"/>
      <c r="BQ221" s="210"/>
      <c r="BR221" s="210"/>
      <c r="BS221" s="210"/>
      <c r="BT221" s="210"/>
      <c r="BU221" s="210"/>
      <c r="BV221" s="210"/>
      <c r="BW221" s="210"/>
      <c r="BX221" s="210"/>
      <c r="BY221" s="210"/>
      <c r="BZ221" s="210"/>
      <c r="CA221" s="210"/>
      <c r="CB221" s="210"/>
      <c r="CC221" s="210"/>
      <c r="CD221" s="210"/>
      <c r="CE221" s="210"/>
      <c r="CF221" s="210"/>
      <c r="CG221" s="210"/>
      <c r="CH221" s="210"/>
      <c r="CI221" s="210"/>
      <c r="CJ221" s="210"/>
      <c r="CK221" s="210"/>
      <c r="CL221" s="210"/>
      <c r="CM221" s="210"/>
    </row>
    <row r="222" spans="1:91" s="20" customFormat="1" x14ac:dyDescent="0.25">
      <c r="A222" s="32" t="s">
        <v>843</v>
      </c>
      <c r="B222" s="7">
        <v>4056</v>
      </c>
      <c r="C222" s="21" t="s">
        <v>194</v>
      </c>
      <c r="D222" s="21" t="s">
        <v>457</v>
      </c>
      <c r="E222" s="13">
        <v>43012.086759259262</v>
      </c>
      <c r="F222" s="13">
        <v>43012.088067129633</v>
      </c>
      <c r="G222" s="7">
        <v>49</v>
      </c>
      <c r="H222" s="21" t="s">
        <v>910</v>
      </c>
      <c r="I222" s="13">
        <v>43012.095358796294</v>
      </c>
      <c r="J222" s="7">
        <v>0</v>
      </c>
      <c r="K222" s="85" t="str">
        <f t="shared" si="136"/>
        <v>4055/4056</v>
      </c>
      <c r="L222" s="179" t="str">
        <f>VLOOKUP(A222,'Trips&amp;Operators'!$C$1:$G$99911,5,FALSE)</f>
        <v>HART KEVIN</v>
      </c>
      <c r="M222" s="6">
        <f t="shared" si="137"/>
        <v>7.2916666613309644E-3</v>
      </c>
      <c r="N222" s="7">
        <f t="shared" si="138"/>
        <v>10.499999992316589</v>
      </c>
      <c r="O222" s="7"/>
      <c r="P222" s="7"/>
      <c r="Q222" s="22"/>
      <c r="R222" s="169"/>
      <c r="S222" s="202">
        <f t="shared" si="139"/>
        <v>1</v>
      </c>
      <c r="T222" s="169" t="str">
        <f t="shared" si="140"/>
        <v>NorthBound</v>
      </c>
      <c r="U222" s="22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22" t="str">
        <f t="shared" si="108"/>
        <v>https://d0f6bd738d7f1b3e5a7ca70fe4ff75f0.us-east-1.aws.found.io/app/kibana#/discover/Steve-Slow-Train-Analysis-(2080s-and-2083s)?_g=(refreshInterval:(display:Off,pause:!f,section:0,value:0),time:(from:'2017-10-04T01:04:56-0600',mode:absolute,to:'2017-10-04T03:17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223" t="str">
        <f>IF(AA222&lt;VLOOKUP(AG222,Variables!$AC$3:$AD$8,2,FALSE),"Y","N")</f>
        <v>Y</v>
      </c>
      <c r="X222" s="223">
        <f t="shared" si="146"/>
        <v>1</v>
      </c>
      <c r="Y222" s="223">
        <f t="shared" si="141"/>
        <v>4.7300000000000002E-2</v>
      </c>
      <c r="Z222" s="223">
        <f t="shared" si="142"/>
        <v>2.3302</v>
      </c>
      <c r="AA222" s="223">
        <f t="shared" si="143"/>
        <v>2.2829000000000002</v>
      </c>
      <c r="AB222" s="224" t="e">
        <f>VLOOKUP(A222,Enforcements!$C$7:$K$11,8,0)</f>
        <v>#N/A</v>
      </c>
      <c r="AC222" s="224" t="e">
        <f>VLOOKUP(A222,Enforcements!$C$7:$E$11,3,0)</f>
        <v>#N/A</v>
      </c>
      <c r="AD222" s="225">
        <f t="shared" si="144"/>
        <v>311</v>
      </c>
      <c r="AE222" s="226" t="str">
        <f t="shared" si="110"/>
        <v>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 &amp; aws s3 cp s3://rtdc.mdm.uploadarchive.raw/RTDC4056/ "%USERPROFILE%\AppData\Local\Temp\OnboardLogs"\RTDC4056\2017-10-05 --exclude "*" --recursive --include "*20171005*" &amp; "%USERPROFILE%\Documents\GitHub\mrs-test-scripts\Headless Mode &amp; Sideloading\WalkAndUnGZ.bat" "%USERPROFILE%\AppData\Local\Temp\OnboardLogs"\RTDC4056\2017-10-05</v>
      </c>
      <c r="AF222" s="227" t="str">
        <f t="shared" si="111"/>
        <v>"C:\Program Files (x86)\AstroGrep\AstroGrep.exe" /e /r /s /spath="%USERPROFILE%\AppData\Local\Temp\OnboardLogs" /stypes="app*4056*20171004*" /stext=" 08:.+((SYSTEM_STATE.+slice.+state.+changed )|(ment ac)|(multiple cpu faults)|(system.+state.+changed )|(\[timeout)|(PRM\|1\|D)|(kpr)|(kdp)|(train st.+moving)|(\|lc)|(penalty))"</v>
      </c>
      <c r="AG222" s="228" t="str">
        <f t="shared" si="145"/>
        <v>Other</v>
      </c>
      <c r="AH222" s="229" t="str">
        <f t="shared" si="117"/>
        <v>"%USERPROFILE%\Documents\GitHub\eaglep3\Utilities\RefineRTDCRunTimes.py" --tripid 311-03 --locoid 4056 --swversion DE.1.0.9.0 --startMP 204:473 --initTime 2017-10-04T02:04:56 --startdatetime 2017-10-04T02:06:49 --delay 49 --endMP 300:23302 --enddatetime 2017-10-04T02:17:19 --enforcementcount 0 &gt;&gt;%USERPROFILE%\Documents\GitHub\eaglep3-reporting\EC\2017-10-03-refined-times.txt</v>
      </c>
      <c r="AI222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{"issue":{"subject":"","project_id":79,"tracker_id":40,"status_id":1,"priority_id":2,"assigned_to_id":338,"start_date":"2017-10-04","description":"","custom_fields":[{"id":1,"name":"Subdivision","value":"Other"},{"id":4,"name":"Milepost","value":"2.3302"},{"id":17,"name":"Train ID","value":"311-03"},{"id":16,"name":"Locomotive ID","value":"4056"},{"id":130,"name":"Impact","value":""},{"id":150,"name":"Time of Event (Mountain Time)","value":"02:17:19"},{"id":151,"name":"Denver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10"/>
      <c r="AK222" s="225"/>
      <c r="AL222" s="225"/>
      <c r="AM222" s="231" t="str">
        <f t="shared" si="119"/>
        <v>start /low /b %USERPROFILE%\Documents\GitHub\eaglep3\Utilities\DownloadLogsFromS3.py --loco 4056 --day 2017-10-04</v>
      </c>
      <c r="AN222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08:17:19"},{"id":29,"name":"Sharepoint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10" t="str">
        <f t="shared" si="121"/>
        <v>https://d0f6bd738d7f1b3e5a7ca70fe4ff75f0.us-east-1.aws.found.io/app/kibana#/discover/Steve-Slow-Train-Analysis-(2080s-and-2083s)?_g=(refreshInterval:(display:Off,pause:!f,section:0,value:0),time:(from:'2017-10-04T01:04:56-0600',mode:absolute,to:'2017-10-04T03:17:19-0600'))&amp;_a=(columns:!('Message%20ID',Summary),filters:!(),index:'emp_*',interval:auto,query:(query_string:(analyze_wildcard:!t,query:'%22rtdc.l.rtdc.4056%22')),sort:!(Time.ISO8601,asc))</v>
      </c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  <c r="BR222" s="210"/>
      <c r="BS222" s="210"/>
      <c r="BT222" s="210"/>
      <c r="BU222" s="210"/>
      <c r="BV222" s="210"/>
      <c r="BW222" s="210"/>
      <c r="BX222" s="210"/>
      <c r="BY222" s="210"/>
      <c r="BZ222" s="210"/>
      <c r="CA222" s="210"/>
      <c r="CB222" s="210"/>
      <c r="CC222" s="210"/>
      <c r="CD222" s="210"/>
      <c r="CE222" s="210"/>
      <c r="CF222" s="210"/>
      <c r="CG222" s="210"/>
      <c r="CH222" s="210"/>
      <c r="CI222" s="210"/>
      <c r="CJ222" s="210"/>
      <c r="CK222" s="210"/>
      <c r="CL222" s="210"/>
      <c r="CM222" s="210"/>
    </row>
    <row r="223" spans="1:91" s="20" customFormat="1" x14ac:dyDescent="0.25">
      <c r="A223" s="32" t="s">
        <v>646</v>
      </c>
      <c r="B223" s="7">
        <v>4011</v>
      </c>
      <c r="C223" s="21" t="s">
        <v>194</v>
      </c>
      <c r="D223" s="21" t="s">
        <v>914</v>
      </c>
      <c r="E223" s="13">
        <v>43011.222546296296</v>
      </c>
      <c r="F223" s="13">
        <v>43011.226689814815</v>
      </c>
      <c r="G223" s="7">
        <v>162</v>
      </c>
      <c r="H223" s="21" t="s">
        <v>519</v>
      </c>
      <c r="I223" s="13">
        <v>43011.232662037037</v>
      </c>
      <c r="J223" s="7">
        <v>0</v>
      </c>
      <c r="K223" s="85" t="str">
        <f t="shared" si="136"/>
        <v>4011/4012</v>
      </c>
      <c r="L223" s="179" t="str">
        <f>VLOOKUP(A223,'Trips&amp;Operators'!$C$1:$G$99911,5,FALSE)</f>
        <v>MACDONALD THOMAS</v>
      </c>
      <c r="M223" s="6">
        <f t="shared" si="137"/>
        <v>5.9722222213167697E-3</v>
      </c>
      <c r="N223" s="7">
        <f t="shared" si="138"/>
        <v>8.5999999986961484</v>
      </c>
      <c r="O223" s="7"/>
      <c r="P223" s="7"/>
      <c r="Q223" s="22"/>
      <c r="R223" s="169"/>
      <c r="S223" s="202">
        <f t="shared" si="139"/>
        <v>1</v>
      </c>
      <c r="T223" s="169" t="str">
        <f t="shared" si="140"/>
        <v>Southbound</v>
      </c>
      <c r="U223" s="22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2" t="str">
        <f t="shared" si="108"/>
        <v>https://d0f6bd738d7f1b3e5a7ca70fe4ff75f0.us-east-1.aws.found.io/app/kibana#/discover/Steve-Slow-Train-Analysis-(2080s-and-2083s)?_g=(refreshInterval:(display:Off,pause:!f,section:0,value:0),time:(from:'2017-10-03T04:20:28-0600',mode:absolute,to:'2017-10-03T06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223" t="str">
        <f>IF(AA223&lt;VLOOKUP(AG223,Variables!$AC$3:$AD$8,2,FALSE),"Y","N")</f>
        <v>Y</v>
      </c>
      <c r="X223" s="223">
        <f t="shared" si="146"/>
        <v>1</v>
      </c>
      <c r="Y223" s="223">
        <f t="shared" si="141"/>
        <v>2.3571</v>
      </c>
      <c r="Z223" s="223">
        <f t="shared" si="142"/>
        <v>1.6E-2</v>
      </c>
      <c r="AA223" s="223">
        <f t="shared" si="143"/>
        <v>2.3411</v>
      </c>
      <c r="AB223" s="224" t="e">
        <f>VLOOKUP(A223,Enforcements!$C$7:$K$11,8,0)</f>
        <v>#N/A</v>
      </c>
      <c r="AC223" s="224" t="e">
        <f>VLOOKUP(A223,Enforcements!$C$7:$E$11,3,0)</f>
        <v>#N/A</v>
      </c>
      <c r="AD223" s="225">
        <f t="shared" si="144"/>
        <v>312</v>
      </c>
      <c r="AE223" s="226" t="str">
        <f t="shared" si="11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223" s="227" t="str">
        <f t="shared" si="111"/>
        <v>"C:\Program Files (x86)\AstroGrep\AstroGrep.exe" /e /r /s /spath="%USERPROFILE%\AppData\Local\Temp\OnboardLogs" /stypes="app*4011*20171003*" /stext=" 11:.+((SYSTEM_STATE.+slice.+state.+changed )|(ment ac)|(multiple cpu faults)|(system.+state.+changed )|(\[timeout)|(PRM\|1\|D)|(kpr)|(kdp)|(train st.+moving)|(\|lc)|(penalty))"</v>
      </c>
      <c r="AG223" s="228" t="str">
        <f t="shared" si="145"/>
        <v>Other</v>
      </c>
      <c r="AH223" s="229" t="str">
        <f t="shared" si="117"/>
        <v>"%USERPROFILE%\Documents\GitHub\eaglep3\Utilities\RefineRTDCRunTimes.py" --tripid 312-03 --locoid 4011 --swversion DE.1.0.9.0 --startMP 300:23571 --initTime 2017-10-03T05:20:28 --startdatetime 2017-10-03T05:26:26 --delay 162 --endMP 204:160 --enddatetime 2017-10-03T05:35:02 --enforcementcount 0 &gt;&gt;%USERPROFILE%\Documents\GitHub\eaglep3-reporting\EC\2017-10-03-refined-times.txt</v>
      </c>
      <c r="AI223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{"issue":{"subject":"","project_id":79,"tracker_id":40,"status_id":1,"priority_id":2,"assigned_to_id":338,"start_date":"2017-10-03","description":"","custom_fields":[{"id":1,"name":"Subdivision","value":"Other"},{"id":4,"name":"Milepost","value":"0.016"},{"id":17,"name":"Train ID","value":"312-03"},{"id":16,"name":"Locomotive ID","value":"4011"},{"id":130,"name":"Impact","value":""},{"id":150,"name":"Time of Event (Mountain Time)","value":"05:35:02"},{"id":151,"name":"Denver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10"/>
      <c r="AK223" s="225"/>
      <c r="AL223" s="225"/>
      <c r="AM223" s="231" t="str">
        <f t="shared" si="119"/>
        <v>start /low /b %USERPROFILE%\Documents\GitHub\eaglep3\Utilities\DownloadLogsFromS3.py --loco 4011 --day 2017-10-03</v>
      </c>
      <c r="AN22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10" t="str">
        <f t="shared" si="121"/>
        <v>https://d0f6bd738d7f1b3e5a7ca70fe4ff75f0.us-east-1.aws.found.io/app/kibana#/discover/Steve-Slow-Train-Analysis-(2080s-and-2083s)?_g=(refreshInterval:(display:Off,pause:!f,section:0,value:0),time:(from:'2017-10-03T04:20:28-0600',mode:absolute,to:'2017-10-03T06:35:02-0600'))&amp;_a=(columns:!('Message%20ID',Summary),filters:!(),index:'emp_*',interval:auto,query:(query_string:(analyze_wildcard:!t,query:'%22rtdc.l.rtdc.4011%22')),sort:!(Time.ISO8601,asc))</v>
      </c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  <c r="BM223" s="210"/>
      <c r="BN223" s="210"/>
      <c r="BO223" s="210"/>
      <c r="BP223" s="210"/>
      <c r="BQ223" s="210"/>
      <c r="BR223" s="210"/>
      <c r="BS223" s="210"/>
      <c r="BT223" s="210"/>
      <c r="BU223" s="210"/>
      <c r="BV223" s="210"/>
      <c r="BW223" s="210"/>
      <c r="BX223" s="210"/>
      <c r="BY223" s="210"/>
      <c r="BZ223" s="210"/>
      <c r="CA223" s="210"/>
      <c r="CB223" s="210"/>
      <c r="CC223" s="210"/>
      <c r="CD223" s="210"/>
      <c r="CE223" s="210"/>
      <c r="CF223" s="210"/>
      <c r="CG223" s="210"/>
      <c r="CH223" s="210"/>
      <c r="CI223" s="210"/>
      <c r="CJ223" s="210"/>
      <c r="CK223" s="210"/>
      <c r="CL223" s="210"/>
      <c r="CM223" s="210"/>
    </row>
    <row r="224" spans="1:91" s="20" customFormat="1" x14ac:dyDescent="0.25">
      <c r="A224" s="32" t="s">
        <v>839</v>
      </c>
      <c r="B224" s="7">
        <v>4062</v>
      </c>
      <c r="C224" s="21" t="s">
        <v>194</v>
      </c>
      <c r="D224" s="21" t="s">
        <v>505</v>
      </c>
      <c r="E224" s="13">
        <v>43012.026562500003</v>
      </c>
      <c r="F224" s="13">
        <v>43012.028067129628</v>
      </c>
      <c r="G224" s="7">
        <v>83</v>
      </c>
      <c r="H224" s="21" t="s">
        <v>906</v>
      </c>
      <c r="I224" s="13">
        <v>43012.034479166665</v>
      </c>
      <c r="J224" s="7">
        <v>0</v>
      </c>
      <c r="K224" s="85" t="str">
        <f t="shared" si="136"/>
        <v>4061/4062</v>
      </c>
      <c r="L224" s="179" t="str">
        <f>VLOOKUP(A224,'Trips&amp;Operators'!$C$1:$G$99911,5,FALSE)</f>
        <v>DUNCAN SHEILA</v>
      </c>
      <c r="M224" s="6">
        <f t="shared" si="137"/>
        <v>6.4120370370801538E-3</v>
      </c>
      <c r="N224" s="7">
        <f t="shared" si="138"/>
        <v>9.2333333333954215</v>
      </c>
      <c r="O224" s="7"/>
      <c r="P224" s="7"/>
      <c r="Q224" s="22"/>
      <c r="R224" s="169"/>
      <c r="S224" s="202">
        <f t="shared" si="139"/>
        <v>1</v>
      </c>
      <c r="T224" s="169" t="str">
        <f t="shared" si="140"/>
        <v>NorthBound</v>
      </c>
      <c r="U224" s="22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22" t="str">
        <f t="shared" si="108"/>
        <v>https://d0f6bd738d7f1b3e5a7ca70fe4ff75f0.us-east-1.aws.found.io/app/kibana#/discover/Steve-Slow-Train-Analysis-(2080s-and-2083s)?_g=(refreshInterval:(display:Off,pause:!f,section:0,value:0),time:(from:'2017-10-03T23:38:15-0600',mode:absolute,to:'2017-10-04T01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4" s="223" t="str">
        <f>IF(AA224&lt;VLOOKUP(AG224,Variables!$AC$3:$AD$8,2,FALSE),"Y","N")</f>
        <v>Y</v>
      </c>
      <c r="X224" s="223">
        <f t="shared" si="146"/>
        <v>1</v>
      </c>
      <c r="Y224" s="223">
        <f t="shared" si="141"/>
        <v>4.7500000000000001E-2</v>
      </c>
      <c r="Z224" s="223">
        <f t="shared" si="142"/>
        <v>2.3346</v>
      </c>
      <c r="AA224" s="223">
        <f t="shared" si="143"/>
        <v>2.2871000000000001</v>
      </c>
      <c r="AB224" s="224" t="e">
        <f>VLOOKUP(A224,Enforcements!$C$7:$K$11,8,0)</f>
        <v>#N/A</v>
      </c>
      <c r="AC224" s="224" t="e">
        <f>VLOOKUP(A224,Enforcements!$C$7:$E$11,3,0)</f>
        <v>#N/A</v>
      </c>
      <c r="AD224" s="225">
        <f t="shared" si="144"/>
        <v>313</v>
      </c>
      <c r="AE224" s="226" t="str">
        <f t="shared" si="110"/>
        <v>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 &amp; aws s3 cp s3://rtdc.mdm.uploadarchive.raw/RTDC4062/ "%USERPROFILE%\AppData\Local\Temp\OnboardLogs"\RTDC4062\2017-10-05 --exclude "*" --recursive --include "*20171005*" &amp; "%USERPROFILE%\Documents\GitHub\mrs-test-scripts\Headless Mode &amp; Sideloading\WalkAndUnGZ.bat" "%USERPROFILE%\AppData\Local\Temp\OnboardLogs"\RTDC4062\2017-10-05</v>
      </c>
      <c r="AF224" s="227" t="str">
        <f t="shared" si="111"/>
        <v>"C:\Program Files (x86)\AstroGrep\AstroGrep.exe" /e /r /s /spath="%USERPROFILE%\AppData\Local\Temp\OnboardLogs" /stypes="app*4062*20171004*" /stext=" 06:.+((SYSTEM_STATE.+slice.+state.+changed )|(ment ac)|(multiple cpu faults)|(system.+state.+changed )|(\[timeout)|(PRM\|1\|D)|(kpr)|(kdp)|(train st.+moving)|(\|lc)|(penalty))"</v>
      </c>
      <c r="AG224" s="228" t="str">
        <f t="shared" si="145"/>
        <v>Other</v>
      </c>
      <c r="AH224" s="229" t="str">
        <f t="shared" si="117"/>
        <v>"%USERPROFILE%\Documents\GitHub\eaglep3\Utilities\RefineRTDCRunTimes.py" --tripid 313-03 --locoid 4062 --swversion DE.1.0.9.0 --startMP 204:475 --initTime 2017-10-04T00:38:15 --startdatetime 2017-10-04T00:40:25 --delay 83 --endMP 300:23346 --enddatetime 2017-10-04T00:49:39 --enforcementcount 0 &gt;&gt;%USERPROFILE%\Documents\GitHub\eaglep3-reporting\EC\2017-10-03-refined-times.txt</v>
      </c>
      <c r="AI224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{"issue":{"subject":"","project_id":79,"tracker_id":40,"status_id":1,"priority_id":2,"assigned_to_id":338,"start_date":"2017-10-04","description":"","custom_fields":[{"id":1,"name":"Subdivision","value":"Other"},{"id":4,"name":"Milepost","value":"2.3346"},{"id":17,"name":"Train ID","value":"313-03"},{"id":16,"name":"Locomotive ID","value":"4062"},{"id":130,"name":"Impact","value":""},{"id":150,"name":"Time of Event (Mountain Time)","value":"00:49:39"},{"id":151,"name":"Denver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10"/>
      <c r="AK224" s="225"/>
      <c r="AL224" s="225"/>
      <c r="AM224" s="231" t="str">
        <f t="shared" si="119"/>
        <v>start /low /b %USERPROFILE%\Documents\GitHub\eaglep3\Utilities\DownloadLogsFromS3.py --loco 4062 --day 2017-10-04</v>
      </c>
      <c r="AN224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10" t="str">
        <f t="shared" si="121"/>
        <v>https://d0f6bd738d7f1b3e5a7ca70fe4ff75f0.us-east-1.aws.found.io/app/kibana#/discover/Steve-Slow-Train-Analysis-(2080s-and-2083s)?_g=(refreshInterval:(display:Off,pause:!f,section:0,value:0),time:(from:'2017-10-03T23:38:15-0600',mode:absolute,to:'2017-10-04T01:49:39-0600'))&amp;_a=(columns:!('Message%20ID',Summary),filters:!(),index:'emp_*',interval:auto,query:(query_string:(analyze_wildcard:!t,query:'%22rtdc.l.rtdc.4062%22')),sort:!(Time.ISO8601,asc))</v>
      </c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  <c r="BM224" s="210"/>
      <c r="BN224" s="210"/>
      <c r="BO224" s="210"/>
      <c r="BP224" s="210"/>
      <c r="BQ224" s="210"/>
      <c r="BR224" s="210"/>
      <c r="BS224" s="210"/>
      <c r="BT224" s="210"/>
      <c r="BU224" s="210"/>
      <c r="BV224" s="210"/>
      <c r="BW224" s="210"/>
      <c r="BX224" s="210"/>
      <c r="BY224" s="210"/>
      <c r="BZ224" s="210"/>
      <c r="CA224" s="210"/>
      <c r="CB224" s="210"/>
      <c r="CC224" s="210"/>
      <c r="CD224" s="210"/>
      <c r="CE224" s="210"/>
      <c r="CF224" s="210"/>
      <c r="CG224" s="210"/>
      <c r="CH224" s="210"/>
      <c r="CI224" s="210"/>
      <c r="CJ224" s="210"/>
      <c r="CK224" s="210"/>
      <c r="CL224" s="210"/>
      <c r="CM224" s="210"/>
    </row>
    <row r="225" spans="1:91" s="20" customFormat="1" x14ac:dyDescent="0.25">
      <c r="A225" s="32" t="s">
        <v>640</v>
      </c>
      <c r="B225" s="7">
        <v>4044</v>
      </c>
      <c r="C225" s="21" t="s">
        <v>194</v>
      </c>
      <c r="D225" s="21" t="s">
        <v>991</v>
      </c>
      <c r="E225" s="13">
        <v>43011.196585648147</v>
      </c>
      <c r="F225" s="13">
        <v>43011.201956018522</v>
      </c>
      <c r="G225" s="7">
        <v>104</v>
      </c>
      <c r="H225" s="21" t="s">
        <v>590</v>
      </c>
      <c r="I225" s="13">
        <v>43011.207546296297</v>
      </c>
      <c r="J225" s="7">
        <v>0</v>
      </c>
      <c r="K225" s="85" t="str">
        <f t="shared" si="136"/>
        <v>4043/4044</v>
      </c>
      <c r="L225" s="179" t="str">
        <f>VLOOKUP(A225,'Trips&amp;Operators'!$C$1:$G$99911,5,FALSE)</f>
        <v>YANG JAN</v>
      </c>
      <c r="M225" s="6">
        <f t="shared" si="137"/>
        <v>5.5902777748997323E-3</v>
      </c>
      <c r="N225" s="7">
        <f t="shared" si="138"/>
        <v>8.0499999958556145</v>
      </c>
      <c r="O225" s="7"/>
      <c r="P225" s="7"/>
      <c r="Q225" s="22"/>
      <c r="R225" s="169"/>
      <c r="S225" s="202">
        <f t="shared" si="139"/>
        <v>0</v>
      </c>
      <c r="T225" s="169" t="str">
        <f t="shared" si="140"/>
        <v>NorthBound</v>
      </c>
      <c r="U225" s="22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22" t="str">
        <f t="shared" si="108"/>
        <v>https://d0f6bd738d7f1b3e5a7ca70fe4ff75f0.us-east-1.aws.found.io/app/kibana#/discover/Steve-Slow-Train-Analysis-(2080s-and-2083s)?_g=(refreshInterval:(display:Off,pause:!f,section:0,value:0),time:(from:'2017-10-03T03:43:05-0600',mode:absolute,to:'2017-10-03T05:58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5" s="223" t="str">
        <f>IF(AA225&lt;VLOOKUP(AG225,Variables!$AC$3:$AD$8,2,FALSE),"Y","N")</f>
        <v>Y</v>
      </c>
      <c r="X225" s="223">
        <f t="shared" si="146"/>
        <v>588</v>
      </c>
      <c r="Y225" s="223">
        <f t="shared" si="141"/>
        <v>2.9990999999999999</v>
      </c>
      <c r="Z225" s="223">
        <f t="shared" si="142"/>
        <v>5.8933</v>
      </c>
      <c r="AA225" s="223">
        <f t="shared" si="143"/>
        <v>2.8942000000000001</v>
      </c>
      <c r="AB225" s="224" t="e">
        <f>VLOOKUP(A225,Enforcements!$C$7:$K$11,8,0)</f>
        <v>#N/A</v>
      </c>
      <c r="AC225" s="224" t="e">
        <f>VLOOKUP(A225,Enforcements!$C$7:$E$11,3,0)</f>
        <v>#N/A</v>
      </c>
      <c r="AD225" s="225">
        <f t="shared" si="144"/>
        <v>901</v>
      </c>
      <c r="AE225" s="226" t="str">
        <f t="shared" si="11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225" s="227" t="str">
        <f t="shared" si="111"/>
        <v>"C:\Program Files (x86)\AstroGrep\AstroGrep.exe" /e /r /s /spath="%USERPROFILE%\AppData\Local\Temp\OnboardLogs" /stypes="app*4044*20171003*" /stext=" 10:.+((SYSTEM_STATE.+slice.+state.+changed )|(ment ac)|(multiple cpu faults)|(system.+state.+changed )|(\[timeout)|(PRM\|1\|D)|(kpr)|(kdp)|(train st.+moving)|(\|lc)|(penalty))"</v>
      </c>
      <c r="AG225" s="228" t="str">
        <f t="shared" si="145"/>
        <v>Other</v>
      </c>
      <c r="AH225" s="229" t="str">
        <f t="shared" si="117"/>
        <v>"%USERPROFILE%\Documents\GitHub\eaglep3\Utilities\RefineRTDCRunTimes.py" --tripid 901-03 --locoid 4044 --swversion DE.1.0.9.0 --startMP 300:29991 --initTime 2017-10-03T04:43:05 --startdatetime 2017-10-03T04:50:49 --delay 104 --endMP 300:58933 --enddatetime 2017-10-03T04:58:52 --enforcementcount 0 &gt;&gt;%USERPROFILE%\Documents\GitHub\eaglep3-reporting\EC\2017-10-03-refined-times.txt</v>
      </c>
      <c r="AI225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{"issue":{"subject":"","project_id":79,"tracker_id":40,"status_id":1,"priority_id":2,"assigned_to_id":338,"start_date":"2017-10-03","description":"","custom_fields":[{"id":1,"name":"Subdivision","value":"Other"},{"id":4,"name":"Milepost","value":"5.8933"},{"id":17,"name":"Train ID","value":"901-03"},{"id":16,"name":"Locomotive ID","value":"4044"},{"id":130,"name":"Impact","value":""},{"id":150,"name":"Time of Event (Mountain Time)","value":"04:58:52"},{"id":151,"name":"Denver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10"/>
      <c r="AK225" s="225"/>
      <c r="AL225" s="225"/>
      <c r="AM225" s="231" t="str">
        <f t="shared" si="119"/>
        <v>start /low /b %USERPROFILE%\Documents\GitHub\eaglep3\Utilities\DownloadLogsFromS3.py --loco 4044 --day 2017-10-03</v>
      </c>
      <c r="AN22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10" t="str">
        <f t="shared" si="121"/>
        <v>https://d0f6bd738d7f1b3e5a7ca70fe4ff75f0.us-east-1.aws.found.io/app/kibana#/discover/Steve-Slow-Train-Analysis-(2080s-and-2083s)?_g=(refreshInterval:(display:Off,pause:!f,section:0,value:0),time:(from:'2017-10-03T03:43:05-0600',mode:absolute,to:'2017-10-03T05:58:52-0600'))&amp;_a=(columns:!('Message%20ID',Summary),filters:!(),index:'emp_*',interval:auto,query:(query_string:(analyze_wildcard:!t,query:'%22rtdc.l.rtdc.4044%22')),sort:!(Time.ISO8601,asc))</v>
      </c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  <c r="BM225" s="210"/>
      <c r="BN225" s="210"/>
      <c r="BO225" s="210"/>
      <c r="BP225" s="210"/>
      <c r="BQ225" s="210"/>
      <c r="BR225" s="210"/>
      <c r="BS225" s="210"/>
      <c r="BT225" s="210"/>
      <c r="BU225" s="210"/>
      <c r="BV225" s="210"/>
      <c r="BW225" s="210"/>
      <c r="BX225" s="210"/>
      <c r="BY225" s="210"/>
      <c r="BZ225" s="210"/>
      <c r="CA225" s="210"/>
      <c r="CB225" s="210"/>
      <c r="CC225" s="210"/>
      <c r="CD225" s="210"/>
      <c r="CE225" s="210"/>
      <c r="CF225" s="210"/>
      <c r="CG225" s="210"/>
      <c r="CH225" s="210"/>
      <c r="CI225" s="210"/>
      <c r="CJ225" s="210"/>
      <c r="CK225" s="210"/>
      <c r="CL225" s="210"/>
      <c r="CM225" s="210"/>
    </row>
    <row r="226" spans="1:91" s="20" customFormat="1" x14ac:dyDescent="0.25">
      <c r="A226" s="32" t="s">
        <v>652</v>
      </c>
      <c r="B226" s="7">
        <v>4007</v>
      </c>
      <c r="C226" s="21" t="s">
        <v>194</v>
      </c>
      <c r="D226" s="21" t="s">
        <v>992</v>
      </c>
      <c r="E226" s="13">
        <v>43011.248993055553</v>
      </c>
      <c r="F226" s="13">
        <v>43011.252256944441</v>
      </c>
      <c r="G226" s="7">
        <v>77</v>
      </c>
      <c r="H226" s="21" t="s">
        <v>515</v>
      </c>
      <c r="I226" s="13">
        <v>43011.258275462962</v>
      </c>
      <c r="J226" s="7">
        <v>0</v>
      </c>
      <c r="K226" s="85" t="str">
        <f t="shared" si="136"/>
        <v>4007/4008</v>
      </c>
      <c r="L226" s="179" t="str">
        <f>VLOOKUP(A226,'Trips&amp;Operators'!$C$1:$G$99911,5,FALSE)</f>
        <v>FORTUNATO FRANK</v>
      </c>
      <c r="M226" s="6">
        <f t="shared" si="137"/>
        <v>6.0185185211594217E-3</v>
      </c>
      <c r="N226" s="7">
        <f t="shared" si="138"/>
        <v>8.6666666704695672</v>
      </c>
      <c r="O226" s="7"/>
      <c r="P226" s="7"/>
      <c r="Q226" s="22"/>
      <c r="R226" s="169"/>
      <c r="S226" s="202">
        <f t="shared" si="139"/>
        <v>1</v>
      </c>
      <c r="T226" s="169" t="str">
        <f t="shared" si="140"/>
        <v>Southbound</v>
      </c>
      <c r="U226" s="22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22" t="str">
        <f t="shared" si="108"/>
        <v>https://d0f6bd738d7f1b3e5a7ca70fe4ff75f0.us-east-1.aws.found.io/app/kibana#/discover/Steve-Slow-Train-Analysis-(2080s-and-2083s)?_g=(refreshInterval:(display:Off,pause:!f,section:0,value:0),time:(from:'2017-10-03T04:58:33-0600',mode:absolute,to:'2017-10-03T07:11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6" s="223" t="str">
        <f>IF(AA226&lt;VLOOKUP(AG226,Variables!$AC$3:$AD$8,2,FALSE),"Y","N")</f>
        <v>Y</v>
      </c>
      <c r="X226" s="223">
        <f t="shared" si="146"/>
        <v>1</v>
      </c>
      <c r="Y226" s="223">
        <f t="shared" si="141"/>
        <v>2.3496999999999999</v>
      </c>
      <c r="Z226" s="223">
        <f t="shared" si="142"/>
        <v>6.8500000000000005E-2</v>
      </c>
      <c r="AA226" s="223">
        <f t="shared" si="143"/>
        <v>2.2812000000000001</v>
      </c>
      <c r="AB226" s="224" t="e">
        <f>VLOOKUP(A226,Enforcements!$C$7:$K$11,8,0)</f>
        <v>#N/A</v>
      </c>
      <c r="AC226" s="224" t="e">
        <f>VLOOKUP(A226,Enforcements!$C$7:$E$11,3,0)</f>
        <v>#N/A</v>
      </c>
      <c r="AD226" s="225">
        <f t="shared" si="144"/>
        <v>902</v>
      </c>
      <c r="AE226" s="226" t="str">
        <f t="shared" si="11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26" s="227" t="str">
        <f t="shared" si="111"/>
        <v>"C:\Program Files (x86)\AstroGrep\AstroGrep.exe" /e /r /s /spath="%USERPROFILE%\AppData\Local\Temp\OnboardLogs" /stypes="app*4007*20171003*" /stext=" 12:.+((SYSTEM_STATE.+slice.+state.+changed )|(ment ac)|(multiple cpu faults)|(system.+state.+changed )|(\[timeout)|(PRM\|1\|D)|(kpr)|(kdp)|(train st.+moving)|(\|lc)|(penalty))"</v>
      </c>
      <c r="AG226" s="228" t="str">
        <f t="shared" si="145"/>
        <v>Other</v>
      </c>
      <c r="AH226" s="229" t="str">
        <f t="shared" si="117"/>
        <v>"%USERPROFILE%\Documents\GitHub\eaglep3\Utilities\RefineRTDCRunTimes.py" --tripid 902-03 --locoid 4007 --swversion DE.1.0.9.0 --startMP 300:23497 --initTime 2017-10-03T05:58:33 --startdatetime 2017-10-03T06:03:15 --delay 77 --endMP 204:685 --enddatetime 2017-10-03T06:11:55 --enforcementcount 0 &gt;&gt;%USERPROFILE%\Documents\GitHub\eaglep3-reporting\EC\2017-10-03-refined-times.txt</v>
      </c>
      <c r="AI226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{"issue":{"subject":"","project_id":79,"tracker_id":40,"status_id":1,"priority_id":2,"assigned_to_id":338,"start_date":"2017-10-03","description":"","custom_fields":[{"id":1,"name":"Subdivision","value":"Other"},{"id":4,"name":"Milepost","value":"0.0685"},{"id":17,"name":"Train ID","value":"902-03"},{"id":16,"name":"Locomotive ID","value":"4007"},{"id":130,"name":"Impact","value":""},{"id":150,"name":"Time of Event (Mountain Time)","value":"06:11:55"},{"id":151,"name":"Denver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10"/>
      <c r="AK226" s="225"/>
      <c r="AL226" s="225"/>
      <c r="AM226" s="231" t="str">
        <f t="shared" si="119"/>
        <v>start /low /b %USERPROFILE%\Documents\GitHub\eaglep3\Utilities\DownloadLogsFromS3.py --loco 4007 --day 2017-10-03</v>
      </c>
      <c r="AN226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12:11:55"},{"id":29,"name":"Sharepoint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10" t="str">
        <f t="shared" si="121"/>
        <v>https://d0f6bd738d7f1b3e5a7ca70fe4ff75f0.us-east-1.aws.found.io/app/kibana#/discover/Steve-Slow-Train-Analysis-(2080s-and-2083s)?_g=(refreshInterval:(display:Off,pause:!f,section:0,value:0),time:(from:'2017-10-03T04:58:33-0600',mode:absolute,to:'2017-10-03T07:11:55-0600'))&amp;_a=(columns:!('Message%20ID',Summary),filters:!(),index:'emp_*',interval:auto,query:(query_string:(analyze_wildcard:!t,query:'%22rtdc.l.rtdc.4007%22')),sort:!(Time.ISO8601,asc))</v>
      </c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  <c r="BM226" s="210"/>
      <c r="BN226" s="210"/>
      <c r="BO226" s="210"/>
      <c r="BP226" s="210"/>
      <c r="BQ226" s="210"/>
      <c r="BR226" s="210"/>
      <c r="BS226" s="210"/>
      <c r="BT226" s="210"/>
      <c r="BU226" s="210"/>
      <c r="BV226" s="210"/>
      <c r="BW226" s="210"/>
      <c r="BX226" s="210"/>
      <c r="BY226" s="210"/>
      <c r="BZ226" s="210"/>
      <c r="CA226" s="210"/>
      <c r="CB226" s="210"/>
      <c r="CC226" s="210"/>
      <c r="CD226" s="210"/>
      <c r="CE226" s="210"/>
      <c r="CF226" s="210"/>
      <c r="CG226" s="210"/>
      <c r="CH226" s="210"/>
      <c r="CI226" s="210"/>
      <c r="CJ226" s="210"/>
      <c r="CK226" s="210"/>
      <c r="CL226" s="210"/>
      <c r="CM226" s="210"/>
    </row>
    <row r="227" spans="1:91" s="20" customFormat="1" x14ac:dyDescent="0.25">
      <c r="A227" s="32" t="s">
        <v>652</v>
      </c>
      <c r="B227" s="7">
        <v>4035</v>
      </c>
      <c r="C227" s="21" t="s">
        <v>194</v>
      </c>
      <c r="D227" s="21" t="s">
        <v>923</v>
      </c>
      <c r="E227" s="13">
        <v>43011.236932870372</v>
      </c>
      <c r="F227" s="13">
        <v>25568.708333333332</v>
      </c>
      <c r="G227" s="7">
        <v>150</v>
      </c>
      <c r="H227" s="21" t="s">
        <v>924</v>
      </c>
      <c r="I227" s="13">
        <v>25568.708333333332</v>
      </c>
      <c r="J227" s="7">
        <v>0</v>
      </c>
      <c r="K227" s="85" t="str">
        <f t="shared" si="136"/>
        <v>4035/4036</v>
      </c>
      <c r="L227" s="179" t="str">
        <f>VLOOKUP(A227,'Trips&amp;Operators'!$C$1:$G$99911,5,FALSE)</f>
        <v>FORTUNATO FRANK</v>
      </c>
      <c r="M227" s="6">
        <f t="shared" si="137"/>
        <v>0</v>
      </c>
      <c r="N227" s="7">
        <f t="shared" si="138"/>
        <v>0</v>
      </c>
      <c r="O227" s="7"/>
      <c r="P227" s="7"/>
      <c r="Q227" s="22"/>
      <c r="R227" s="169"/>
      <c r="S227" s="202">
        <f t="shared" si="139"/>
        <v>1</v>
      </c>
      <c r="T227" s="169" t="str">
        <f t="shared" si="140"/>
        <v>Southbound</v>
      </c>
      <c r="U227" s="22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22" t="str">
        <f t="shared" si="108"/>
        <v>https://d0f6bd738d7f1b3e5a7ca70fe4ff75f0.us-east-1.aws.found.io/app/kibana#/discover/Steve-Slow-Train-Analysis-(2080s-and-2083s)?_g=(refreshInterval:(display:Off,pause:!f,section:0,value:0),time:(from:'2017-10-03T04:41:11-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223" t="str">
        <f>IF(AA227&lt;VLOOKUP(AG227,Variables!$AC$3:$AD$8,2,FALSE),"Y","N")</f>
        <v>Y</v>
      </c>
      <c r="X227" s="223">
        <f t="shared" si="146"/>
        <v>0</v>
      </c>
      <c r="Y227" s="223">
        <f t="shared" si="141"/>
        <v>2.2113</v>
      </c>
      <c r="Z227" s="223">
        <f t="shared" si="142"/>
        <v>1.26E-2</v>
      </c>
      <c r="AA227" s="223">
        <f t="shared" si="143"/>
        <v>2.1987000000000001</v>
      </c>
      <c r="AB227" s="224" t="e">
        <f>VLOOKUP(A227,Enforcements!$C$7:$K$11,8,0)</f>
        <v>#N/A</v>
      </c>
      <c r="AC227" s="224" t="e">
        <f>VLOOKUP(A227,Enforcements!$C$7:$E$11,3,0)</f>
        <v>#N/A</v>
      </c>
      <c r="AD227" s="225">
        <f t="shared" si="144"/>
        <v>902</v>
      </c>
      <c r="AE227" s="226" t="str">
        <f t="shared" si="110"/>
        <v>aws s3 cp s3://rtdc.mdm.uploadarchive.raw/RTDC4035/ "%USERPROFILE%\AppData\Local\Temp\OnboardLogs"\RTDC4035\1969-12-31 --exclude "*" --recursive --include "*19691231*" &amp; "%USERPROFILE%\Documents\GitHub\mrs-test-scripts\Headless Mode &amp; Sideloading\WalkAndUnGZ.bat" "%USERPROFILE%\AppData\Local\Temp\OnboardLogs"\RTDC4035\1969-12-31 &amp; aws s3 cp s3://rtdc.mdm.uploadarchive.raw/RTDC4035/ "%USERPROFILE%\AppData\Local\Temp\OnboardLogs"\RTDC4035\1970-01-01 --exclude "*" --recursive --include "*19700101*" &amp; "%USERPROFILE%\Documents\GitHub\mrs-test-scripts\Headless Mode &amp; Sideloading\WalkAndUnGZ.bat" "%USERPROFILE%\AppData\Local\Temp\OnboardLogs"\RTDC4035\1970-01-01</v>
      </c>
      <c r="AF227" s="227" t="str">
        <f t="shared" si="111"/>
        <v>"C:\Program Files (x86)\AstroGrep\AstroGrep.exe" /e /r /s /spath="%USERPROFILE%\AppData\Local\Temp\OnboardLogs" /stypes="app*4035*19691231*" /stext=" 23:.+((SYSTEM_STATE.+slice.+state.+changed )|(ment ac)|(multiple cpu faults)|(system.+state.+changed )|(\[timeout)|(PRM\|1\|D)|(kpr)|(kdp)|(train st.+moving)|(\|lc)|(penalty))"</v>
      </c>
      <c r="AG227" s="228" t="str">
        <f t="shared" si="145"/>
        <v>Other</v>
      </c>
      <c r="AH227" s="229" t="str">
        <f t="shared" si="117"/>
        <v>"%USERPROFILE%\Documents\GitHub\eaglep3\Utilities\RefineRTDCRunTimes.py" --tripid 902-03 --locoid 4035 --swversion DE.1.0.9.0 --startMP 300:22113 --initTime 2017-10-03T05:41:11 --startdatetime 1969-12-31T17:00:00 --delay 150 --endMP 204:126 --enddatetime 1969-12-31T17:00:00 --enforcementcount 0 &gt;&gt;%USERPROFILE%\Documents\GitHub\eaglep3-reporting\EC\2017-10-03-refined-times.txt</v>
      </c>
      <c r="AI227" s="230" t="str">
        <f t="shared" si="118"/>
        <v>echo {"issue":{"subject":"","project_id":79,"tracker_id":40,"status_id":1,"priority_id":2,"assigned_to_id":338,"start_date":"1969-12-31","description":"","custom_fields":[{"id":1,"name":"Subdivision","value":"Other"},{"id":4,"name":"Milepost","value":"0.0126"},{"id":17,"name":"Train ID","value":"902-03"},{"id":16,"name":"Locomotive ID","value":"4035"},{"id":130,"name":"Impact","value":""},{"id":150,"name":"Time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10"/>
      <c r="AK227" s="225"/>
      <c r="AL227" s="225"/>
      <c r="AM227" s="231" t="str">
        <f t="shared" si="119"/>
        <v>start /low /b %USERPROFILE%\Documents\GitHub\eaglep3\Utilities\DownloadLogsFromS3.py --loco 4035 --day 1969-12-31</v>
      </c>
      <c r="AN227" s="232" t="str">
        <f t="shared" si="1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10" t="str">
        <f t="shared" si="121"/>
        <v>https://d0f6bd738d7f1b3e5a7ca70fe4ff75f0.us-east-1.aws.found.io/app/kibana#/discover/Steve-Slow-Train-Analysis-(2080s-and-2083s)?_g=(refreshInterval:(display:Off,pause:!f,section:0,value:0),time:(from:'2017-10-03T04:41:11-0600',mode:absolute,to:'1969-12-31T18:00:00-0600'))&amp;_a=(columns:!('Message%20ID',Summary),filters:!(),index:'emp_*',interval:auto,query:(query_string:(analyze_wildcard:!t,query:'%22rtdc.l.rtdc.4035%22')),sort:!(Time.ISO8601,asc))</v>
      </c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  <c r="BM227" s="210"/>
      <c r="BN227" s="210"/>
      <c r="BO227" s="210"/>
      <c r="BP227" s="210"/>
      <c r="BQ227" s="210"/>
      <c r="BR227" s="210"/>
      <c r="BS227" s="210"/>
      <c r="BT227" s="210"/>
      <c r="BU227" s="210"/>
      <c r="BV227" s="210"/>
      <c r="BW227" s="210"/>
      <c r="BX227" s="210"/>
      <c r="BY227" s="210"/>
      <c r="BZ227" s="210"/>
      <c r="CA227" s="210"/>
      <c r="CB227" s="210"/>
      <c r="CC227" s="210"/>
      <c r="CD227" s="210"/>
      <c r="CE227" s="210"/>
      <c r="CF227" s="210"/>
      <c r="CG227" s="210"/>
      <c r="CH227" s="210"/>
      <c r="CI227" s="210"/>
      <c r="CJ227" s="210"/>
      <c r="CK227" s="210"/>
      <c r="CL227" s="210"/>
      <c r="CM227" s="210"/>
    </row>
    <row r="228" spans="1:91" x14ac:dyDescent="0.25">
      <c r="A228" s="32" t="s">
        <v>683</v>
      </c>
      <c r="B228" s="7">
        <v>4044</v>
      </c>
      <c r="C228" s="21" t="s">
        <v>194</v>
      </c>
      <c r="D228" s="21" t="s">
        <v>948</v>
      </c>
      <c r="E228" s="13">
        <v>43011.352743055555</v>
      </c>
      <c r="F228" s="13">
        <v>43011.356412037036</v>
      </c>
      <c r="G228" s="7">
        <v>99</v>
      </c>
      <c r="H228" s="21" t="s">
        <v>993</v>
      </c>
      <c r="I228" s="13">
        <v>43011.362939814811</v>
      </c>
      <c r="J228" s="7">
        <v>0</v>
      </c>
      <c r="K228" s="85" t="str">
        <f t="shared" si="136"/>
        <v>4043/4044</v>
      </c>
      <c r="L228" s="179" t="str">
        <f>VLOOKUP(A228,'Trips&amp;Operators'!$C$1:$G$99911,5,FALSE)</f>
        <v>YANG JAN</v>
      </c>
      <c r="M228" s="6">
        <f t="shared" si="137"/>
        <v>6.5277777757728472E-3</v>
      </c>
      <c r="N228" s="7">
        <f t="shared" si="138"/>
        <v>9.3999999971129</v>
      </c>
      <c r="O228" s="7"/>
      <c r="P228" s="7"/>
      <c r="Q228" s="22"/>
      <c r="R228" s="169"/>
      <c r="S228" s="202">
        <f t="shared" si="139"/>
        <v>1</v>
      </c>
      <c r="T228" s="169" t="str">
        <f t="shared" si="140"/>
        <v>NorthBound</v>
      </c>
      <c r="U228" s="22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22" t="str">
        <f t="shared" si="108"/>
        <v>https://d0f6bd738d7f1b3e5a7ca70fe4ff75f0.us-east-1.aws.found.io/app/kibana#/discover/Steve-Slow-Train-Analysis-(2080s-and-2083s)?_g=(refreshInterval:(display:Off,pause:!f,section:0,value:0),time:(from:'2017-10-03T07:27:57-0600',mode:absolute,to:'2017-10-03T09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8" s="223" t="str">
        <f>IF(AA228&lt;VLOOKUP(AG228,Variables!$AC$3:$AD$8,2,FALSE),"Y","N")</f>
        <v>Y</v>
      </c>
      <c r="X228" s="223">
        <f t="shared" si="146"/>
        <v>1</v>
      </c>
      <c r="Y228" s="223">
        <f t="shared" si="141"/>
        <v>9.7199999999999995E-2</v>
      </c>
      <c r="Z228" s="223">
        <f t="shared" si="142"/>
        <v>2.4203000000000001</v>
      </c>
      <c r="AA228" s="223">
        <f t="shared" si="143"/>
        <v>2.3231000000000002</v>
      </c>
      <c r="AB228" s="224" t="e">
        <f>VLOOKUP(A228,Enforcements!$C$7:$K$11,8,0)</f>
        <v>#N/A</v>
      </c>
      <c r="AC228" s="224" t="e">
        <f>VLOOKUP(A228,Enforcements!$C$7:$E$11,3,0)</f>
        <v>#N/A</v>
      </c>
      <c r="AD228" s="225">
        <f t="shared" si="144"/>
        <v>903</v>
      </c>
      <c r="AE228" s="226" t="str">
        <f t="shared" si="11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228" s="227" t="str">
        <f t="shared" si="111"/>
        <v>"C:\Program Files (x86)\AstroGrep\AstroGrep.exe" /e /r /s /spath="%USERPROFILE%\AppData\Local\Temp\OnboardLogs" /stypes="app*4044*20171003*" /stext=" 14:.+((SYSTEM_STATE.+slice.+state.+changed )|(ment ac)|(multiple cpu faults)|(system.+state.+changed )|(\[timeout)|(PRM\|1\|D)|(kpr)|(kdp)|(train st.+moving)|(\|lc)|(penalty))"</v>
      </c>
      <c r="AG228" s="228" t="str">
        <f t="shared" si="145"/>
        <v>Other</v>
      </c>
      <c r="AH228" s="229" t="str">
        <f t="shared" si="117"/>
        <v>"%USERPROFILE%\Documents\GitHub\eaglep3\Utilities\RefineRTDCRunTimes.py" --tripid 903-03 --locoid 4044 --swversion DE.1.0.9.0 --startMP 204:972 --initTime 2017-10-03T08:27:57 --startdatetime 2017-10-03T08:33:14 --delay 99 --endMP 300:24203 --enddatetime 2017-10-03T08:42:38 --enforcementcount 0 &gt;&gt;%USERPROFILE%\Documents\GitHub\eaglep3-reporting\EC\2017-10-03-refined-times.txt</v>
      </c>
      <c r="AI228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{"issue":{"subject":"","project_id":79,"tracker_id":40,"status_id":1,"priority_id":2,"assigned_to_id":338,"start_date":"2017-10-03","description":"","custom_fields":[{"id":1,"name":"Subdivision","value":"Other"},{"id":4,"name":"Milepost","value":"2.4203"},{"id":17,"name":"Train ID","value":"903-03"},{"id":16,"name":"Locomotive ID","value":"4044"},{"id":130,"name":"Impact","value":""},{"id":150,"name":"Time of Event (Mountain Time)","value":"08:42:38"},{"id":151,"name":"Denver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10"/>
      <c r="AK228" s="225"/>
      <c r="AL228" s="225"/>
      <c r="AM228" s="231" t="str">
        <f t="shared" si="119"/>
        <v>start /low /b %USERPROFILE%\Documents\GitHub\eaglep3\Utilities\DownloadLogsFromS3.py --loco 4044 --day 2017-10-03</v>
      </c>
      <c r="AN228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10" t="str">
        <f t="shared" si="121"/>
        <v>https://d0f6bd738d7f1b3e5a7ca70fe4ff75f0.us-east-1.aws.found.io/app/kibana#/discover/Steve-Slow-Train-Analysis-(2080s-and-2083s)?_g=(refreshInterval:(display:Off,pause:!f,section:0,value:0),time:(from:'2017-10-03T07:27:57-0600',mode:absolute,to:'2017-10-03T09:42:38-0600'))&amp;_a=(columns:!('Message%20ID',Summary),filters:!(),index:'emp_*',interval:auto,query:(query_string:(analyze_wildcard:!t,query:'%22rtdc.l.rtdc.4044%22')),sort:!(Time.ISO8601,asc))</v>
      </c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  <c r="BM228" s="210"/>
      <c r="BN228" s="210"/>
      <c r="BO228" s="210"/>
      <c r="BP228" s="210"/>
      <c r="BQ228" s="210"/>
      <c r="BR228" s="210"/>
      <c r="BS228" s="210"/>
      <c r="BT228" s="210"/>
      <c r="BU228" s="210"/>
      <c r="BV228" s="210"/>
      <c r="BW228" s="210"/>
      <c r="BX228" s="210"/>
      <c r="BY228" s="210"/>
      <c r="BZ228" s="210"/>
      <c r="CA228" s="210"/>
      <c r="CB228" s="210"/>
      <c r="CC228" s="210"/>
      <c r="CD228" s="210"/>
      <c r="CE228" s="210"/>
      <c r="CF228" s="210"/>
      <c r="CG228" s="210"/>
      <c r="CH228" s="210"/>
      <c r="CI228" s="210"/>
      <c r="CJ228" s="210"/>
      <c r="CK228" s="210"/>
      <c r="CL228" s="210"/>
      <c r="CM228" s="210"/>
    </row>
    <row r="229" spans="1:91" s="20" customFormat="1" x14ac:dyDescent="0.25">
      <c r="A229" s="32" t="s">
        <v>755</v>
      </c>
      <c r="B229" s="7">
        <v>4043</v>
      </c>
      <c r="C229" s="21" t="s">
        <v>194</v>
      </c>
      <c r="D229" s="21" t="s">
        <v>994</v>
      </c>
      <c r="E229" s="13">
        <v>43011.632187499999</v>
      </c>
      <c r="F229" s="13">
        <v>43011.636493055557</v>
      </c>
      <c r="G229" s="7">
        <v>83</v>
      </c>
      <c r="H229" s="21" t="s">
        <v>585</v>
      </c>
      <c r="I229" s="13">
        <v>43011.64167824074</v>
      </c>
      <c r="J229" s="7">
        <v>0</v>
      </c>
      <c r="K229" s="85" t="str">
        <f t="shared" si="136"/>
        <v>4043/4044</v>
      </c>
      <c r="L229" s="179" t="str">
        <f>VLOOKUP(A229,'Trips&amp;Operators'!$C$1:$G$99911,5,FALSE)</f>
        <v>STAMBAUGH JAMES</v>
      </c>
      <c r="M229" s="6">
        <f t="shared" si="137"/>
        <v>5.1851851821993478E-3</v>
      </c>
      <c r="N229" s="7">
        <f t="shared" si="138"/>
        <v>7.4666666623670608</v>
      </c>
      <c r="O229" s="7"/>
      <c r="P229" s="7"/>
      <c r="Q229" s="22"/>
      <c r="R229" s="169"/>
      <c r="S229" s="202">
        <f t="shared" si="139"/>
        <v>1</v>
      </c>
      <c r="T229" s="169" t="str">
        <f t="shared" si="140"/>
        <v>Southbound</v>
      </c>
      <c r="U229" s="22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22" t="str">
        <f t="shared" si="108"/>
        <v>https://d0f6bd738d7f1b3e5a7ca70fe4ff75f0.us-east-1.aws.found.io/app/kibana#/discover/Steve-Slow-Train-Analysis-(2080s-and-2083s)?_g=(refreshInterval:(display:Off,pause:!f,section:0,value:0),time:(from:'2017-10-03T14:10:21-0600',mode:absolute,to:'2017-10-03T16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223" t="str">
        <f>IF(AA229&lt;VLOOKUP(AG229,Variables!$AC$3:$AD$8,2,FALSE),"Y","N")</f>
        <v>Y</v>
      </c>
      <c r="X229" s="223">
        <f t="shared" si="146"/>
        <v>1</v>
      </c>
      <c r="Y229" s="223">
        <f t="shared" si="141"/>
        <v>2.3317000000000001</v>
      </c>
      <c r="Z229" s="223">
        <f t="shared" si="142"/>
        <v>6.7100000000000007E-2</v>
      </c>
      <c r="AA229" s="223">
        <f t="shared" si="143"/>
        <v>2.2646000000000002</v>
      </c>
      <c r="AB229" s="224" t="e">
        <f>VLOOKUP(A229,Enforcements!$C$7:$K$11,8,0)</f>
        <v>#N/A</v>
      </c>
      <c r="AC229" s="224" t="e">
        <f>VLOOKUP(A229,Enforcements!$C$7:$E$11,3,0)</f>
        <v>#N/A</v>
      </c>
      <c r="AD229" s="225">
        <f t="shared" si="144"/>
        <v>904</v>
      </c>
      <c r="AE229" s="226" t="str">
        <f t="shared" si="11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229" s="227" t="str">
        <f t="shared" si="111"/>
        <v>"C:\Program Files (x86)\AstroGrep\AstroGrep.exe" /e /r /s /spath="%USERPROFILE%\AppData\Local\Temp\OnboardLogs" /stypes="app*4043*20171003*" /stext=" 21:.+((SYSTEM_STATE.+slice.+state.+changed )|(ment ac)|(multiple cpu faults)|(system.+state.+changed )|(\[timeout)|(PRM\|1\|D)|(kpr)|(kdp)|(train st.+moving)|(\|lc)|(penalty))"</v>
      </c>
      <c r="AG229" s="228" t="str">
        <f t="shared" si="145"/>
        <v>Other</v>
      </c>
      <c r="AH229" s="229" t="str">
        <f t="shared" si="117"/>
        <v>"%USERPROFILE%\Documents\GitHub\eaglep3\Utilities\RefineRTDCRunTimes.py" --tripid 904-03 --locoid 4043 --swversion DE.1.0.9.0 --startMP 300:23317 --initTime 2017-10-03T15:10:21 --startdatetime 2017-10-03T15:16:33 --delay 83 --endMP 204:671 --enddatetime 2017-10-03T15:24:01 --enforcementcount 0 &gt;&gt;%USERPROFILE%\Documents\GitHub\eaglep3-reporting\EC\2017-10-03-refined-times.txt</v>
      </c>
      <c r="AI229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{"issue":{"subject":"","project_id":79,"tracker_id":40,"status_id":1,"priority_id":2,"assigned_to_id":338,"start_date":"2017-10-03","description":"","custom_fields":[{"id":1,"name":"Subdivision","value":"Other"},{"id":4,"name":"Milepost","value":"0.0671"},{"id":17,"name":"Train ID","value":"904-03"},{"id":16,"name":"Locomotive ID","value":"4043"},{"id":130,"name":"Impact","value":""},{"id":150,"name":"Time of Event (Mountain Time)","value":"15:24:01"},{"id":151,"name":"Denver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10"/>
      <c r="AK229" s="225"/>
      <c r="AL229" s="225"/>
      <c r="AM229" s="231" t="str">
        <f t="shared" si="119"/>
        <v>start /low /b %USERPROFILE%\Documents\GitHub\eaglep3\Utilities\DownloadLogsFromS3.py --loco 4043 --day 2017-10-03</v>
      </c>
      <c r="AN229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10" t="str">
        <f t="shared" si="121"/>
        <v>https://d0f6bd738d7f1b3e5a7ca70fe4ff75f0.us-east-1.aws.found.io/app/kibana#/discover/Steve-Slow-Train-Analysis-(2080s-and-2083s)?_g=(refreshInterval:(display:Off,pause:!f,section:0,value:0),time:(from:'2017-10-03T14:10:21-0600',mode:absolute,to:'2017-10-03T16:24:01-0600'))&amp;_a=(columns:!('Message%20ID',Summary),filters:!(),index:'emp_*',interval:auto,query:(query_string:(analyze_wildcard:!t,query:'%22rtdc.l.rtdc.4043%22')),sort:!(Time.ISO8601,asc))</v>
      </c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  <c r="BM229" s="210"/>
      <c r="BN229" s="210"/>
      <c r="BO229" s="210"/>
      <c r="BP229" s="210"/>
      <c r="BQ229" s="210"/>
      <c r="BR229" s="210"/>
      <c r="BS229" s="210"/>
      <c r="BT229" s="210"/>
      <c r="BU229" s="210"/>
      <c r="BV229" s="210"/>
      <c r="BW229" s="210"/>
      <c r="BX229" s="210"/>
      <c r="BY229" s="210"/>
      <c r="BZ229" s="210"/>
      <c r="CA229" s="210"/>
      <c r="CB229" s="210"/>
      <c r="CC229" s="210"/>
      <c r="CD229" s="210"/>
      <c r="CE229" s="210"/>
      <c r="CF229" s="210"/>
      <c r="CG229" s="210"/>
      <c r="CH229" s="210"/>
      <c r="CI229" s="210"/>
      <c r="CJ229" s="210"/>
      <c r="CK229" s="210"/>
      <c r="CL229" s="210"/>
      <c r="CM229" s="210"/>
    </row>
    <row r="230" spans="1:91" s="20" customFormat="1" x14ac:dyDescent="0.25">
      <c r="A230" s="32" t="s">
        <v>806</v>
      </c>
      <c r="B230" s="7">
        <v>4043</v>
      </c>
      <c r="C230" s="21" t="s">
        <v>194</v>
      </c>
      <c r="D230" s="21" t="s">
        <v>995</v>
      </c>
      <c r="E230" s="13">
        <v>43011.788101851853</v>
      </c>
      <c r="F230" s="13">
        <v>43011.790370370371</v>
      </c>
      <c r="G230" s="7">
        <v>92</v>
      </c>
      <c r="H230" s="21" t="s">
        <v>996</v>
      </c>
      <c r="I230" s="13">
        <v>43011.796886574077</v>
      </c>
      <c r="J230" s="7">
        <v>0</v>
      </c>
      <c r="K230" s="85" t="str">
        <f t="shared" si="136"/>
        <v>4043/4044</v>
      </c>
      <c r="L230" s="179" t="str">
        <f>VLOOKUP(A230,'Trips&amp;Operators'!$C$1:$G$99911,5,FALSE)</f>
        <v>STAMBAUGH JAMES</v>
      </c>
      <c r="M230" s="6">
        <f t="shared" si="137"/>
        <v>6.5162037062691525E-3</v>
      </c>
      <c r="N230" s="7">
        <f t="shared" si="138"/>
        <v>9.3833333370275795</v>
      </c>
      <c r="O230" s="7"/>
      <c r="P230" s="7"/>
      <c r="Q230" s="22"/>
      <c r="R230" s="169"/>
      <c r="S230" s="202">
        <f t="shared" si="139"/>
        <v>0</v>
      </c>
      <c r="T230" s="169" t="str">
        <f t="shared" si="140"/>
        <v>Southbound</v>
      </c>
      <c r="U230" s="22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22" t="str">
        <f t="shared" si="108"/>
        <v>https://d0f6bd738d7f1b3e5a7ca70fe4ff75f0.us-east-1.aws.found.io/app/kibana#/discover/Steve-Slow-Train-Analysis-(2080s-and-2083s)?_g=(refreshInterval:(display:Off,pause:!f,section:0,value:0),time:(from:'2017-10-03T17:54:52-0600',mode:absolute,to:'2017-10-03T20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223" t="str">
        <f>IF(AA230&lt;VLOOKUP(AG230,Variables!$AC$3:$AD$8,2,FALSE),"Y","N")</f>
        <v>Y</v>
      </c>
      <c r="X230" s="223">
        <f t="shared" si="146"/>
        <v>2</v>
      </c>
      <c r="Y230" s="223">
        <f t="shared" si="141"/>
        <v>5.8635999999999999</v>
      </c>
      <c r="Z230" s="223">
        <f t="shared" si="142"/>
        <v>2.8784000000000001</v>
      </c>
      <c r="AA230" s="223">
        <f t="shared" si="143"/>
        <v>2.9851999999999999</v>
      </c>
      <c r="AB230" s="224" t="e">
        <f>VLOOKUP(A230,Enforcements!$C$7:$K$11,8,0)</f>
        <v>#N/A</v>
      </c>
      <c r="AC230" s="224" t="e">
        <f>VLOOKUP(A230,Enforcements!$C$7:$E$11,3,0)</f>
        <v>#N/A</v>
      </c>
      <c r="AD230" s="225">
        <f t="shared" si="144"/>
        <v>906</v>
      </c>
      <c r="AE230" s="226" t="str">
        <f t="shared" si="11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230" s="227" t="str">
        <f t="shared" si="111"/>
        <v>"C:\Program Files (x86)\AstroGrep\AstroGrep.exe" /e /r /s /spath="%USERPROFILE%\AppData\Local\Temp\OnboardLogs" /stypes="app*4043*20171004*" /stext=" 01:.+((SYSTEM_STATE.+slice.+state.+changed )|(ment ac)|(multiple cpu faults)|(system.+state.+changed )|(\[timeout)|(PRM\|1\|D)|(kpr)|(kdp)|(train st.+moving)|(\|lc)|(penalty))"</v>
      </c>
      <c r="AG230" s="228" t="str">
        <f t="shared" si="145"/>
        <v>Other</v>
      </c>
      <c r="AH230" s="229" t="str">
        <f t="shared" si="117"/>
        <v>"%USERPROFILE%\Documents\GitHub\eaglep3\Utilities\RefineRTDCRunTimes.py" --tripid 906-03 --locoid 4043 --swversion DE.1.0.9.0 --startMP 300:58636 --initTime 2017-10-03T18:54:52 --startdatetime 2017-10-03T18:58:08 --delay 92 --endMP 300:28784 --enddatetime 2017-10-03T19:07:31 --enforcementcount 0 &gt;&gt;%USERPROFILE%\Documents\GitHub\eaglep3-reporting\EC\2017-10-03-refined-times.txt</v>
      </c>
      <c r="AI230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{"issue":{"subject":"","project_id":79,"tracker_id":40,"status_id":1,"priority_id":2,"assigned_to_id":338,"start_date":"2017-10-03","description":"","custom_fields":[{"id":1,"name":"Subdivision","value":"Other"},{"id":4,"name":"Milepost","value":"2.8784"},{"id":17,"name":"Train ID","value":"906-03"},{"id":16,"name":"Locomotive ID","value":"4043"},{"id":130,"name":"Impact","value":""},{"id":150,"name":"Time of Event (Mountain Time)","value":"19:07:31"},{"id":151,"name":"Denver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10"/>
      <c r="AK230" s="225"/>
      <c r="AL230" s="225"/>
      <c r="AM230" s="231" t="str">
        <f t="shared" si="119"/>
        <v>start /low /b %USERPROFILE%\Documents\GitHub\eaglep3\Utilities\DownloadLogsFromS3.py --loco 4043 --day 2017-10-03</v>
      </c>
      <c r="AN230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10" t="str">
        <f t="shared" si="121"/>
        <v>https://d0f6bd738d7f1b3e5a7ca70fe4ff75f0.us-east-1.aws.found.io/app/kibana#/discover/Steve-Slow-Train-Analysis-(2080s-and-2083s)?_g=(refreshInterval:(display:Off,pause:!f,section:0,value:0),time:(from:'2017-10-03T17:54:52-0600',mode:absolute,to:'2017-10-03T20:07:31-0600'))&amp;_a=(columns:!('Message%20ID',Summary),filters:!(),index:'emp_*',interval:auto,query:(query_string:(analyze_wildcard:!t,query:'%22rtdc.l.rtdc.4043%22')),sort:!(Time.ISO8601,asc))</v>
      </c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  <c r="BM230" s="210"/>
      <c r="BN230" s="210"/>
      <c r="BO230" s="210"/>
      <c r="BP230" s="210"/>
      <c r="BQ230" s="210"/>
      <c r="BR230" s="210"/>
      <c r="BS230" s="210"/>
      <c r="BT230" s="210"/>
      <c r="BU230" s="210"/>
      <c r="BV230" s="210"/>
      <c r="BW230" s="210"/>
      <c r="BX230" s="210"/>
      <c r="BY230" s="210"/>
      <c r="BZ230" s="210"/>
      <c r="CA230" s="210"/>
      <c r="CB230" s="210"/>
      <c r="CC230" s="210"/>
      <c r="CD230" s="210"/>
      <c r="CE230" s="210"/>
      <c r="CF230" s="210"/>
      <c r="CG230" s="210"/>
      <c r="CH230" s="210"/>
      <c r="CI230" s="210"/>
      <c r="CJ230" s="210"/>
      <c r="CK230" s="210"/>
      <c r="CL230" s="210"/>
      <c r="CM230" s="210"/>
    </row>
    <row r="231" spans="1:91" s="20" customFormat="1" x14ac:dyDescent="0.25">
      <c r="A231" s="32" t="s">
        <v>627</v>
      </c>
      <c r="B231" s="7">
        <v>4061</v>
      </c>
      <c r="C231" s="21" t="s">
        <v>194</v>
      </c>
      <c r="D231" s="21" t="s">
        <v>915</v>
      </c>
      <c r="E231" s="13">
        <v>43011.138854166667</v>
      </c>
      <c r="F231" s="13">
        <v>43011.140370370369</v>
      </c>
      <c r="G231" s="7">
        <v>69</v>
      </c>
      <c r="H231" s="21" t="s">
        <v>916</v>
      </c>
      <c r="I231" s="13">
        <v>43011.141516203701</v>
      </c>
      <c r="J231" s="7">
        <v>0</v>
      </c>
      <c r="K231" s="85" t="str">
        <f t="shared" si="136"/>
        <v>4061/4062</v>
      </c>
      <c r="L231" s="179" t="str">
        <f>VLOOKUP(A231,'Trips&amp;Operators'!$C$1:$G$99911,5,FALSE)</f>
        <v>SPECTOR MICHAEL</v>
      </c>
      <c r="M231" s="6">
        <f t="shared" si="137"/>
        <v>1.1458333319751546E-3</v>
      </c>
      <c r="N231" s="7">
        <f t="shared" si="138"/>
        <v>1.6499999980442226</v>
      </c>
      <c r="O231" s="7"/>
      <c r="P231" s="7"/>
      <c r="Q231" s="22"/>
      <c r="R231" s="169"/>
      <c r="S231" s="202">
        <f t="shared" si="139"/>
        <v>0</v>
      </c>
      <c r="T231" s="169" t="str">
        <f t="shared" si="140"/>
        <v>Southbound</v>
      </c>
      <c r="U231" s="22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2" t="str">
        <f t="shared" si="108"/>
        <v>https://d0f6bd738d7f1b3e5a7ca70fe4ff75f0.us-east-1.aws.found.io/app/kibana#/discover/Steve-Slow-Train-Analysis-(2080s-and-2083s)?_g=(refreshInterval:(display:Off,pause:!f,section:0,value:0),time:(from:'2017-10-03T02:19:57-0600',mode:absolute,to:'2017-10-03T04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1" s="223" t="str">
        <f>IF(AA231&lt;VLOOKUP(AG231,Variables!$AC$3:$AD$8,2,FALSE),"Y","N")</f>
        <v>Y</v>
      </c>
      <c r="X231" s="223">
        <f t="shared" si="146"/>
        <v>-856</v>
      </c>
      <c r="Y231" s="223">
        <f t="shared" si="141"/>
        <v>0.32369999999999999</v>
      </c>
      <c r="Z231" s="223">
        <f t="shared" si="142"/>
        <v>0.1181</v>
      </c>
      <c r="AA231" s="223">
        <f t="shared" si="143"/>
        <v>0.2056</v>
      </c>
      <c r="AB231" s="224" t="e">
        <f>VLOOKUP(A231,Enforcements!$C$7:$K$11,8,0)</f>
        <v>#N/A</v>
      </c>
      <c r="AC231" s="224" t="e">
        <f>VLOOKUP(A231,Enforcements!$C$7:$E$11,3,0)</f>
        <v>#N/A</v>
      </c>
      <c r="AD231" s="225">
        <f t="shared" si="144"/>
        <v>50</v>
      </c>
      <c r="AE231" s="226" t="str">
        <f t="shared" si="11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231" s="227" t="str">
        <f t="shared" si="111"/>
        <v>"C:\Program Files (x86)\AstroGrep\AstroGrep.exe" /e /r /s /spath="%USERPROFILE%\AppData\Local\Temp\OnboardLogs" /stypes="app*4061*20171003*" /stext=" 09:.+((SYSTEM_STATE.+slice.+state.+changed )|(ment ac)|(multiple cpu faults)|(system.+state.+changed )|(\[timeout)|(PRM\|1\|D)|(kpr)|(kdp)|(train st.+moving)|(\|lc)|(penalty))"</v>
      </c>
      <c r="AG231" s="228" t="str">
        <f t="shared" si="145"/>
        <v>Shuttle/Test</v>
      </c>
      <c r="AH231" s="229" t="str">
        <f t="shared" si="117"/>
        <v>"%USERPROFILE%\Documents\GitHub\eaglep3\Utilities\RefineRTDCRunTimes.py" --tripid 50-03 --locoid 4061 --swversion DE.1.0.9.0 --startMP 204:3237 --initTime 2017-10-03T03:19:57 --startdatetime 2017-10-03T03:22:08 --delay 69 --endMP 204:1181 --enddatetime 2017-10-03T03:23:47 --enforcementcount 0 &gt;&gt;%USERPROFILE%\Documents\GitHub\eaglep3-reporting\EC\2017-10-03-refined-times.txt</v>
      </c>
      <c r="AI231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0.1181"},{"id":17,"name":"Train ID","value":"50-03"},{"id":16,"name":"Locomotive ID","value":"4061"},{"id":130,"name":"Impact","value":""},{"id":150,"name":"Time of Event (Mountain Time)","value":"03:23:47"},{"id":151,"name":"Denver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10"/>
      <c r="AK231" s="225"/>
      <c r="AL231" s="225"/>
      <c r="AM231" s="231" t="str">
        <f t="shared" si="119"/>
        <v>start /low /b %USERPROFILE%\Documents\GitHub\eaglep3\Utilities\DownloadLogsFromS3.py --loco 4061 --day 2017-10-03</v>
      </c>
      <c r="AN23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10" t="str">
        <f t="shared" si="121"/>
        <v>https://d0f6bd738d7f1b3e5a7ca70fe4ff75f0.us-east-1.aws.found.io/app/kibana#/discover/Steve-Slow-Train-Analysis-(2080s-and-2083s)?_g=(refreshInterval:(display:Off,pause:!f,section:0,value:0),time:(from:'2017-10-03T02:19:57-0600',mode:absolute,to:'2017-10-03T04:23:47-0600'))&amp;_a=(columns:!('Message%20ID',Summary),filters:!(),index:'emp_*',interval:auto,query:(query_string:(analyze_wildcard:!t,query:'%22rtdc.l.rtdc.4061%22')),sort:!(Time.ISO8601,asc))</v>
      </c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  <c r="BM231" s="210"/>
      <c r="BN231" s="210"/>
      <c r="BO231" s="210"/>
      <c r="BP231" s="210"/>
      <c r="BQ231" s="210"/>
      <c r="BR231" s="210"/>
      <c r="BS231" s="210"/>
      <c r="BT231" s="210"/>
      <c r="BU231" s="210"/>
      <c r="BV231" s="210"/>
      <c r="BW231" s="210"/>
      <c r="BX231" s="210"/>
      <c r="BY231" s="210"/>
      <c r="BZ231" s="210"/>
      <c r="CA231" s="210"/>
      <c r="CB231" s="210"/>
      <c r="CC231" s="210"/>
      <c r="CD231" s="210"/>
      <c r="CE231" s="210"/>
      <c r="CF231" s="210"/>
      <c r="CG231" s="210"/>
      <c r="CH231" s="210"/>
      <c r="CI231" s="210"/>
      <c r="CJ231" s="210"/>
      <c r="CK231" s="210"/>
      <c r="CL231" s="210"/>
      <c r="CM231" s="210"/>
    </row>
    <row r="232" spans="1:91" s="20" customFormat="1" x14ac:dyDescent="0.25">
      <c r="A232" s="32" t="s">
        <v>625</v>
      </c>
      <c r="B232" s="7">
        <v>4062</v>
      </c>
      <c r="C232" s="21" t="s">
        <v>194</v>
      </c>
      <c r="D232" s="21" t="s">
        <v>917</v>
      </c>
      <c r="E232" s="13">
        <v>43011.123310185183</v>
      </c>
      <c r="F232" s="13">
        <v>43011.136747685188</v>
      </c>
      <c r="G232" s="7">
        <v>110</v>
      </c>
      <c r="H232" s="21" t="s">
        <v>918</v>
      </c>
      <c r="I232" s="13">
        <v>43011.137870370374</v>
      </c>
      <c r="J232" s="7">
        <v>0</v>
      </c>
      <c r="K232" s="85" t="str">
        <f t="shared" si="136"/>
        <v>4061/4062</v>
      </c>
      <c r="L232" s="179" t="str">
        <f>VLOOKUP(A232,'Trips&amp;Operators'!$C$1:$G$99911,5,FALSE)</f>
        <v>SPECTOR MICHAEL</v>
      </c>
      <c r="M232" s="6">
        <f t="shared" si="137"/>
        <v>1.1226851856918074E-3</v>
      </c>
      <c r="N232" s="7">
        <f t="shared" si="138"/>
        <v>1.6166666673962027</v>
      </c>
      <c r="O232" s="7"/>
      <c r="P232" s="7"/>
      <c r="Q232" s="22"/>
      <c r="R232" s="169"/>
      <c r="S232" s="202">
        <f t="shared" si="139"/>
        <v>0</v>
      </c>
      <c r="T232" s="169" t="str">
        <f t="shared" si="140"/>
        <v>NorthBound</v>
      </c>
      <c r="U232" s="22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22" t="str">
        <f t="shared" si="108"/>
        <v>https://d0f6bd738d7f1b3e5a7ca70fe4ff75f0.us-east-1.aws.found.io/app/kibana#/discover/Steve-Slow-Train-Analysis-(2080s-and-2083s)?_g=(refreshInterval:(display:Off,pause:!f,section:0,value:0),time:(from:'2017-10-03T01:57:34-0600',mode:absolute,to:'2017-10-03T04:18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2" s="223" t="str">
        <f>IF(AA232&lt;VLOOKUP(AG232,Variables!$AC$3:$AD$8,2,FALSE),"Y","N")</f>
        <v>Y</v>
      </c>
      <c r="X232" s="223">
        <f t="shared" si="146"/>
        <v>1</v>
      </c>
      <c r="Y232" s="223">
        <f t="shared" si="141"/>
        <v>4.1799999999999997E-2</v>
      </c>
      <c r="Z232" s="223">
        <f t="shared" si="142"/>
        <v>0.35720000000000002</v>
      </c>
      <c r="AA232" s="223">
        <f t="shared" si="143"/>
        <v>0.31540000000000001</v>
      </c>
      <c r="AB232" s="224" t="e">
        <f>VLOOKUP(A232,Enforcements!$C$7:$K$11,8,0)</f>
        <v>#N/A</v>
      </c>
      <c r="AC232" s="224" t="e">
        <f>VLOOKUP(A232,Enforcements!$C$7:$E$11,3,0)</f>
        <v>#N/A</v>
      </c>
      <c r="AD232" s="225">
        <f t="shared" si="144"/>
        <v>51</v>
      </c>
      <c r="AE232" s="226" t="str">
        <f t="shared" si="11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232" s="227" t="str">
        <f t="shared" si="111"/>
        <v>"C:\Program Files (x86)\AstroGrep\AstroGrep.exe" /e /r /s /spath="%USERPROFILE%\AppData\Local\Temp\OnboardLogs" /stypes="app*4062*20171003*" /stext=" 09:.+((SYSTEM_STATE.+slice.+state.+changed )|(ment ac)|(multiple cpu faults)|(system.+state.+changed )|(\[timeout)|(PRM\|1\|D)|(kpr)|(kdp)|(train st.+moving)|(\|lc)|(penalty))"</v>
      </c>
      <c r="AG232" s="228" t="str">
        <f t="shared" si="145"/>
        <v>Shuttle/Test</v>
      </c>
      <c r="AH232" s="229" t="str">
        <f t="shared" si="117"/>
        <v>"%USERPROFILE%\Documents\GitHub\eaglep3\Utilities\RefineRTDCRunTimes.py" --tripid 51-03 --locoid 4062 --swversion DE.1.0.9.0 --startMP 204:418 --initTime 2017-10-03T02:57:34 --startdatetime 2017-10-03T03:16:55 --delay 110 --endMP 204:3572 --enddatetime 2017-10-03T03:18:32 --enforcementcount 0 &gt;&gt;%USERPROFILE%\Documents\GitHub\eaglep3-reporting\EC\2017-10-03-refined-times.txt</v>
      </c>
      <c r="AI232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0.3572"},{"id":17,"name":"Train ID","value":"51-03"},{"id":16,"name":"Locomotive ID","value":"4062"},{"id":130,"name":"Impact","value":""},{"id":150,"name":"Time of Event (Mountain Time)","value":"03:18:32"},{"id":151,"name":"Denver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10"/>
      <c r="AK232" s="225"/>
      <c r="AL232" s="225"/>
      <c r="AM232" s="231" t="str">
        <f t="shared" si="119"/>
        <v>start /low /b %USERPROFILE%\Documents\GitHub\eaglep3\Utilities\DownloadLogsFromS3.py --loco 4062 --day 2017-10-03</v>
      </c>
      <c r="AN232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09:18:32"},{"id":29,"name":"Sharepoint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10" t="str">
        <f t="shared" si="121"/>
        <v>https://d0f6bd738d7f1b3e5a7ca70fe4ff75f0.us-east-1.aws.found.io/app/kibana#/discover/Steve-Slow-Train-Analysis-(2080s-and-2083s)?_g=(refreshInterval:(display:Off,pause:!f,section:0,value:0),time:(from:'2017-10-03T01:57:34-0600',mode:absolute,to:'2017-10-03T04:18:32-0600'))&amp;_a=(columns:!('Message%20ID',Summary),filters:!(),index:'emp_*',interval:auto,query:(query_string:(analyze_wildcard:!t,query:'%22rtdc.l.rtdc.4062%22')),sort:!(Time.ISO8601,asc))</v>
      </c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  <c r="BM232" s="210"/>
      <c r="BN232" s="210"/>
      <c r="BO232" s="210"/>
      <c r="BP232" s="210"/>
      <c r="BQ232" s="210"/>
      <c r="BR232" s="210"/>
      <c r="BS232" s="210"/>
      <c r="BT232" s="210"/>
      <c r="BU232" s="210"/>
      <c r="BV232" s="210"/>
      <c r="BW232" s="210"/>
      <c r="BX232" s="210"/>
      <c r="BY232" s="210"/>
      <c r="BZ232" s="210"/>
      <c r="CA232" s="210"/>
      <c r="CB232" s="210"/>
      <c r="CC232" s="210"/>
      <c r="CD232" s="210"/>
      <c r="CE232" s="210"/>
      <c r="CF232" s="210"/>
      <c r="CG232" s="210"/>
      <c r="CH232" s="210"/>
      <c r="CI232" s="210"/>
      <c r="CJ232" s="210"/>
      <c r="CK232" s="210"/>
      <c r="CL232" s="210"/>
      <c r="CM232" s="210"/>
    </row>
    <row r="233" spans="1:91" s="20" customFormat="1" x14ac:dyDescent="0.25">
      <c r="A233" s="32" t="s">
        <v>625</v>
      </c>
      <c r="B233" s="7">
        <v>4050</v>
      </c>
      <c r="C233" s="21" t="s">
        <v>194</v>
      </c>
      <c r="D233" s="21" t="s">
        <v>919</v>
      </c>
      <c r="E233" s="13">
        <v>43011.360555555555</v>
      </c>
      <c r="F233" s="13">
        <v>43011.364351851851</v>
      </c>
      <c r="G233" s="7">
        <v>54</v>
      </c>
      <c r="H233" s="21" t="s">
        <v>920</v>
      </c>
      <c r="I233" s="13">
        <v>43011.365416666667</v>
      </c>
      <c r="J233" s="7">
        <v>0</v>
      </c>
      <c r="K233" s="85" t="str">
        <f t="shared" si="136"/>
        <v>4049/4050</v>
      </c>
      <c r="L233" s="179" t="str">
        <f>VLOOKUP(A233,'Trips&amp;Operators'!$C$1:$G$99911,5,FALSE)</f>
        <v>SPECTOR MICHAEL</v>
      </c>
      <c r="M233" s="6">
        <f t="shared" si="137"/>
        <v>1.0648148163454607E-3</v>
      </c>
      <c r="N233" s="7">
        <f t="shared" si="138"/>
        <v>1.5333333355374634</v>
      </c>
      <c r="O233" s="7"/>
      <c r="P233" s="7"/>
      <c r="Q233" s="22"/>
      <c r="R233" s="169"/>
      <c r="S233" s="202">
        <f t="shared" si="139"/>
        <v>0</v>
      </c>
      <c r="T233" s="169" t="str">
        <f t="shared" si="140"/>
        <v>NorthBound</v>
      </c>
      <c r="U233" s="22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22" t="str">
        <f t="shared" si="108"/>
        <v>https://d0f6bd738d7f1b3e5a7ca70fe4ff75f0.us-east-1.aws.found.io/app/kibana#/discover/Steve-Slow-Train-Analysis-(2080s-and-2083s)?_g=(refreshInterval:(display:Off,pause:!f,section:0,value:0),time:(from:'2017-10-03T07:39:12-0600',mode:absolute,to:'2017-10-03T09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223" t="str">
        <f>IF(AA233&lt;VLOOKUP(AG233,Variables!$AC$3:$AD$8,2,FALSE),"Y","N")</f>
        <v>Y</v>
      </c>
      <c r="X233" s="223">
        <f t="shared" si="146"/>
        <v>0</v>
      </c>
      <c r="Y233" s="223">
        <f t="shared" si="141"/>
        <v>3.2000000000000001E-2</v>
      </c>
      <c r="Z233" s="223">
        <f t="shared" si="142"/>
        <v>0.35320000000000001</v>
      </c>
      <c r="AA233" s="223">
        <f t="shared" si="143"/>
        <v>0.32120000000000004</v>
      </c>
      <c r="AB233" s="224" t="e">
        <f>VLOOKUP(A233,Enforcements!$C$7:$K$11,8,0)</f>
        <v>#N/A</v>
      </c>
      <c r="AC233" s="224" t="e">
        <f>VLOOKUP(A233,Enforcements!$C$7:$E$11,3,0)</f>
        <v>#N/A</v>
      </c>
      <c r="AD233" s="225">
        <f t="shared" si="144"/>
        <v>51</v>
      </c>
      <c r="AE233" s="226" t="str">
        <f t="shared" si="11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233" s="227" t="str">
        <f t="shared" si="111"/>
        <v>"C:\Program Files (x86)\AstroGrep\AstroGrep.exe" /e /r /s /spath="%USERPROFILE%\AppData\Local\Temp\OnboardLogs" /stypes="app*4050*20171003*" /stext=" 14:.+((SYSTEM_STATE.+slice.+state.+changed )|(ment ac)|(multiple cpu faults)|(system.+state.+changed )|(\[timeout)|(PRM\|1\|D)|(kpr)|(kdp)|(train st.+moving)|(\|lc)|(penalty))"</v>
      </c>
      <c r="AG233" s="228" t="str">
        <f t="shared" si="145"/>
        <v>Shuttle/Test</v>
      </c>
      <c r="AH233" s="229" t="str">
        <f t="shared" si="117"/>
        <v>"%USERPROFILE%\Documents\GitHub\eaglep3\Utilities\RefineRTDCRunTimes.py" --tripid 51-03 --locoid 4050 --swversion DE.1.0.9.0 --startMP 204:320 --initTime 2017-10-03T08:39:12 --startdatetime 2017-10-03T08:44:40 --delay 54 --endMP 204:3532 --enddatetime 2017-10-03T08:46:12 --enforcementcount 0 &gt;&gt;%USERPROFILE%\Documents\GitHub\eaglep3-reporting\EC\2017-10-03-refined-times.txt</v>
      </c>
      <c r="AI233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0.3532"},{"id":17,"name":"Train ID","value":"51-03"},{"id":16,"name":"Locomotive ID","value":"4050"},{"id":130,"name":"Impact","value":""},{"id":150,"name":"Time of Event (Mountain Time)","value":"08:46:12"},{"id":151,"name":"Denver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10"/>
      <c r="AK233" s="225"/>
      <c r="AL233" s="225"/>
      <c r="AM233" s="231" t="str">
        <f t="shared" si="119"/>
        <v>start /low /b %USERPROFILE%\Documents\GitHub\eaglep3\Utilities\DownloadLogsFromS3.py --loco 4050 --day 2017-10-03</v>
      </c>
      <c r="AN23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10" t="str">
        <f t="shared" si="121"/>
        <v>https://d0f6bd738d7f1b3e5a7ca70fe4ff75f0.us-east-1.aws.found.io/app/kibana#/discover/Steve-Slow-Train-Analysis-(2080s-and-2083s)?_g=(refreshInterval:(display:Off,pause:!f,section:0,value:0),time:(from:'2017-10-03T07:39:12-0600',mode:absolute,to:'2017-10-03T09:46:12-0600'))&amp;_a=(columns:!('Message%20ID',Summary),filters:!(),index:'emp_*',interval:auto,query:(query_string:(analyze_wildcard:!t,query:'%22rtdc.l.rtdc.4050%22')),sort:!(Time.ISO8601,asc))</v>
      </c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  <c r="BM233" s="210"/>
      <c r="BN233" s="210"/>
      <c r="BO233" s="210"/>
      <c r="BP233" s="210"/>
      <c r="BQ233" s="210"/>
      <c r="BR233" s="210"/>
      <c r="BS233" s="210"/>
      <c r="BT233" s="210"/>
      <c r="BU233" s="210"/>
      <c r="BV233" s="210"/>
      <c r="BW233" s="210"/>
      <c r="BX233" s="210"/>
      <c r="BY233" s="210"/>
      <c r="BZ233" s="210"/>
      <c r="CA233" s="210"/>
      <c r="CB233" s="210"/>
      <c r="CC233" s="210"/>
      <c r="CD233" s="210"/>
      <c r="CE233" s="210"/>
      <c r="CF233" s="210"/>
      <c r="CG233" s="210"/>
      <c r="CH233" s="210"/>
      <c r="CI233" s="210"/>
      <c r="CJ233" s="210"/>
      <c r="CK233" s="210"/>
      <c r="CL233" s="210"/>
      <c r="CM233" s="210"/>
    </row>
    <row r="234" spans="1:91" x14ac:dyDescent="0.25">
      <c r="A234" s="32" t="s">
        <v>625</v>
      </c>
      <c r="B234" s="7">
        <v>4049</v>
      </c>
      <c r="C234" s="21" t="s">
        <v>194</v>
      </c>
      <c r="D234" s="21" t="s">
        <v>921</v>
      </c>
      <c r="E234" s="13">
        <v>43011.363287037035</v>
      </c>
      <c r="F234" s="13">
        <v>43011.364351851851</v>
      </c>
      <c r="G234" s="7">
        <v>43</v>
      </c>
      <c r="H234" s="21" t="s">
        <v>922</v>
      </c>
      <c r="I234" s="13">
        <v>43011.365416666667</v>
      </c>
      <c r="J234" s="7">
        <v>0</v>
      </c>
      <c r="K234" s="85" t="str">
        <f t="shared" si="136"/>
        <v>4049/4050</v>
      </c>
      <c r="L234" s="179" t="str">
        <f>VLOOKUP(A234,'Trips&amp;Operators'!$C$1:$G$99911,5,FALSE)</f>
        <v>SPECTOR MICHAEL</v>
      </c>
      <c r="M234" s="6">
        <f t="shared" si="137"/>
        <v>1.0648148163454607E-3</v>
      </c>
      <c r="N234" s="7">
        <f t="shared" si="138"/>
        <v>1.5333333355374634</v>
      </c>
      <c r="O234" s="7"/>
      <c r="P234" s="7"/>
      <c r="Q234" s="22"/>
      <c r="R234" s="169"/>
      <c r="S234" s="202">
        <f t="shared" si="139"/>
        <v>0</v>
      </c>
      <c r="T234" s="169" t="str">
        <f t="shared" si="140"/>
        <v>NorthBound</v>
      </c>
      <c r="U234" s="22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22" t="str">
        <f t="shared" si="108"/>
        <v>https://d0f6bd738d7f1b3e5a7ca70fe4ff75f0.us-east-1.aws.found.io/app/kibana#/discover/Steve-Slow-Train-Analysis-(2080s-and-2083s)?_g=(refreshInterval:(display:Off,pause:!f,section:0,value:0),time:(from:'2017-10-03T07:43:08-0600',mode:absolute,to:'2017-10-03T09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4" s="223" t="str">
        <f>IF(AA234&lt;VLOOKUP(AG234,Variables!$AC$3:$AD$8,2,FALSE),"Y","N")</f>
        <v>Y</v>
      </c>
      <c r="X234" s="223">
        <f t="shared" si="146"/>
        <v>0</v>
      </c>
      <c r="Y234" s="223">
        <f t="shared" si="141"/>
        <v>0.32119999999999999</v>
      </c>
      <c r="Z234" s="223">
        <f t="shared" si="142"/>
        <v>0.1158</v>
      </c>
      <c r="AA234" s="223">
        <f t="shared" si="143"/>
        <v>0.20539999999999997</v>
      </c>
      <c r="AB234" s="224" t="e">
        <f>VLOOKUP(A234,Enforcements!$C$7:$K$11,8,0)</f>
        <v>#N/A</v>
      </c>
      <c r="AC234" s="224" t="e">
        <f>VLOOKUP(A234,Enforcements!$C$7:$E$11,3,0)</f>
        <v>#N/A</v>
      </c>
      <c r="AD234" s="225">
        <f t="shared" si="144"/>
        <v>51</v>
      </c>
      <c r="AE234" s="226" t="str">
        <f t="shared" si="11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234" s="227" t="str">
        <f t="shared" si="111"/>
        <v>"C:\Program Files (x86)\AstroGrep\AstroGrep.exe" /e /r /s /spath="%USERPROFILE%\AppData\Local\Temp\OnboardLogs" /stypes="app*4049*20171003*" /stext=" 14:.+((SYSTEM_STATE.+slice.+state.+changed )|(ment ac)|(multiple cpu faults)|(system.+state.+changed )|(\[timeout)|(PRM\|1\|D)|(kpr)|(kdp)|(train st.+moving)|(\|lc)|(penalty))"</v>
      </c>
      <c r="AG234" s="228" t="str">
        <f t="shared" si="145"/>
        <v>Shuttle/Test</v>
      </c>
      <c r="AH234" s="229" t="str">
        <f t="shared" si="117"/>
        <v>"%USERPROFILE%\Documents\GitHub\eaglep3\Utilities\RefineRTDCRunTimes.py" --tripid 51-03 --locoid 4049 --swversion DE.1.0.9.0 --startMP 204:3212 --initTime 2017-10-03T08:43:08 --startdatetime 2017-10-03T08:44:40 --delay 43 --endMP 204:1158 --enddatetime 2017-10-03T08:46:12 --enforcementcount 0 &gt;&gt;%USERPROFILE%\Documents\GitHub\eaglep3-reporting\EC\2017-10-03-refined-times.txt</v>
      </c>
      <c r="AI234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0.1158"},{"id":17,"name":"Train ID","value":"51-03"},{"id":16,"name":"Locomotive ID","value":"4049"},{"id":130,"name":"Impact","value":""},{"id":150,"name":"Time of Event (Mountain Time)","value":"08:46:12"},{"id":151,"name":"Denver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10"/>
      <c r="AK234" s="225"/>
      <c r="AL234" s="225"/>
      <c r="AM234" s="231" t="str">
        <f t="shared" si="119"/>
        <v>start /low /b %USERPROFILE%\Documents\GitHub\eaglep3\Utilities\DownloadLogsFromS3.py --loco 4049 --day 2017-10-03</v>
      </c>
      <c r="AN234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10" t="str">
        <f t="shared" si="121"/>
        <v>https://d0f6bd738d7f1b3e5a7ca70fe4ff75f0.us-east-1.aws.found.io/app/kibana#/discover/Steve-Slow-Train-Analysis-(2080s-and-2083s)?_g=(refreshInterval:(display:Off,pause:!f,section:0,value:0),time:(from:'2017-10-03T07:43:08-0600',mode:absolute,to:'2017-10-03T09:46:12-0600'))&amp;_a=(columns:!('Message%20ID',Summary),filters:!(),index:'emp_*',interval:auto,query:(query_string:(analyze_wildcard:!t,query:'%22rtdc.l.rtdc.4049%22')),sort:!(Time.ISO8601,asc))</v>
      </c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  <c r="BX234" s="210"/>
      <c r="BY234" s="210"/>
      <c r="BZ234" s="210"/>
      <c r="CA234" s="210"/>
      <c r="CB234" s="210"/>
      <c r="CC234" s="210"/>
      <c r="CD234" s="210"/>
      <c r="CE234" s="210"/>
      <c r="CF234" s="210"/>
      <c r="CG234" s="210"/>
      <c r="CH234" s="210"/>
      <c r="CI234" s="210"/>
      <c r="CJ234" s="210"/>
      <c r="CK234" s="210"/>
      <c r="CL234" s="210"/>
      <c r="CM234" s="210"/>
    </row>
    <row r="235" spans="1:91" x14ac:dyDescent="0.25">
      <c r="A235" s="32" t="s">
        <v>702</v>
      </c>
      <c r="B235" s="7">
        <v>4035</v>
      </c>
      <c r="C235" s="21" t="s">
        <v>194</v>
      </c>
      <c r="D235" s="21" t="s">
        <v>923</v>
      </c>
      <c r="E235" s="13">
        <v>43011.44425925926</v>
      </c>
      <c r="F235" s="13">
        <v>43011.447210648148</v>
      </c>
      <c r="G235" s="7">
        <v>71</v>
      </c>
      <c r="H235" s="21" t="s">
        <v>924</v>
      </c>
      <c r="I235" s="13">
        <v>43011.452685185184</v>
      </c>
      <c r="J235" s="7">
        <v>0</v>
      </c>
      <c r="K235" s="85" t="str">
        <f t="shared" si="136"/>
        <v>4035/4036</v>
      </c>
      <c r="L235" s="179" t="str">
        <f>VLOOKUP(A235,'Trips&amp;Operators'!$C$1:$G$99911,5,FALSE)</f>
        <v>MOSES BRADLEY</v>
      </c>
      <c r="M235" s="6">
        <f t="shared" si="137"/>
        <v>5.4745370362070389E-3</v>
      </c>
      <c r="N235" s="7">
        <f t="shared" si="138"/>
        <v>7.883333332138136</v>
      </c>
      <c r="O235" s="7"/>
      <c r="P235" s="7"/>
      <c r="Q235" s="22"/>
      <c r="R235" s="169"/>
      <c r="S235" s="202">
        <f t="shared" si="139"/>
        <v>1</v>
      </c>
      <c r="T235" s="169" t="str">
        <f t="shared" si="140"/>
        <v>Southbound</v>
      </c>
      <c r="U235" s="22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22" t="str">
        <f t="shared" si="108"/>
        <v>https://d0f6bd738d7f1b3e5a7ca70fe4ff75f0.us-east-1.aws.found.io/app/kibana#/discover/Steve-Slow-Train-Analysis-(2080s-and-2083s)?_g=(refreshInterval:(display:Off,pause:!f,section:0,value:0),time:(from:'2017-10-03T09:39:44-0600',mode:absolute,to:'2017-10-03T11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5" s="223" t="str">
        <f>IF(AA235&lt;VLOOKUP(AG235,Variables!$AC$3:$AD$8,2,FALSE),"Y","N")</f>
        <v>Y</v>
      </c>
      <c r="X235" s="223">
        <f t="shared" si="146"/>
        <v>1</v>
      </c>
      <c r="Y235" s="223">
        <f t="shared" si="141"/>
        <v>2.2113</v>
      </c>
      <c r="Z235" s="223">
        <f t="shared" si="142"/>
        <v>1.26E-2</v>
      </c>
      <c r="AA235" s="223">
        <f t="shared" si="143"/>
        <v>2.1987000000000001</v>
      </c>
      <c r="AB235" s="224" t="e">
        <f>VLOOKUP(A235,Enforcements!$C$7:$K$11,8,0)</f>
        <v>#N/A</v>
      </c>
      <c r="AC235" s="224" t="e">
        <f>VLOOKUP(A235,Enforcements!$C$7:$E$11,3,0)</f>
        <v>#N/A</v>
      </c>
      <c r="AD235" s="225">
        <f t="shared" si="144"/>
        <v>52</v>
      </c>
      <c r="AE235" s="226" t="str">
        <f t="shared" si="110"/>
        <v>aws s3 cp s3://rtdc.mdm.uploadarchive.raw/RTDC4035/ "%USERPROFILE%\AppData\Local\Temp\OnboardLogs"\RTDC4035\2017-10-03 --exclude "*" --recursive --include "*20171003*" &amp; "%USERPROFILE%\Documents\GitHub\mrs-test-scripts\Headless Mode &amp; Sideloading\WalkAndUnGZ.bat" "%USERPROFILE%\AppData\Local\Temp\OnboardLogs"\RTDC4035\2017-10-03 &amp; aws s3 cp s3://rtdc.mdm.uploadarchive.raw/RTDC4035/ "%USERPROFILE%\AppData\Local\Temp\OnboardLogs"\RTDC4035\2017-10-04 --exclude "*" --recursive --include "*20171004*" &amp; "%USERPROFILE%\Documents\GitHub\mrs-test-scripts\Headless Mode &amp; Sideloading\WalkAndUnGZ.bat" "%USERPROFILE%\AppData\Local\Temp\OnboardLogs"\RTDC4035\2017-10-04</v>
      </c>
      <c r="AF235" s="227" t="str">
        <f t="shared" si="111"/>
        <v>"C:\Program Files (x86)\AstroGrep\AstroGrep.exe" /e /r /s /spath="%USERPROFILE%\AppData\Local\Temp\OnboardLogs" /stypes="app*4035*20171003*" /stext=" 16:.+((SYSTEM_STATE.+slice.+state.+changed )|(ment ac)|(multiple cpu faults)|(system.+state.+changed )|(\[timeout)|(PRM\|1\|D)|(kpr)|(kdp)|(train st.+moving)|(\|lc)|(penalty))"</v>
      </c>
      <c r="AG235" s="228" t="str">
        <f t="shared" si="145"/>
        <v>Shuttle/Test</v>
      </c>
      <c r="AH235" s="229" t="str">
        <f t="shared" si="117"/>
        <v>"%USERPROFILE%\Documents\GitHub\eaglep3\Utilities\RefineRTDCRunTimes.py" --tripid 52-03 --locoid 4035 --swversion DE.1.0.9.0 --startMP 300:22113 --initTime 2017-10-03T10:39:44 --startdatetime 2017-10-03T10:43:59 --delay 71 --endMP 204:126 --enddatetime 2017-10-03T10:51:52 --enforcementcount 0 &gt;&gt;%USERPROFILE%\Documents\GitHub\eaglep3-reporting\EC\2017-10-03-refined-times.txt</v>
      </c>
      <c r="AI235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0.0126"},{"id":17,"name":"Train ID","value":"52-03"},{"id":16,"name":"Locomotive ID","value":"4035"},{"id":130,"name":"Impact","value":""},{"id":150,"name":"Time of Event (Mountain Time)","value":"10:51:52"},{"id":151,"name":"Denver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10"/>
      <c r="AK235" s="225"/>
      <c r="AL235" s="225"/>
      <c r="AM235" s="231" t="str">
        <f t="shared" si="119"/>
        <v>start /low /b %USERPROFILE%\Documents\GitHub\eaglep3\Utilities\DownloadLogsFromS3.py --loco 4035 --day 2017-10-03</v>
      </c>
      <c r="AN23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10" t="str">
        <f t="shared" si="121"/>
        <v>https://d0f6bd738d7f1b3e5a7ca70fe4ff75f0.us-east-1.aws.found.io/app/kibana#/discover/Steve-Slow-Train-Analysis-(2080s-and-2083s)?_g=(refreshInterval:(display:Off,pause:!f,section:0,value:0),time:(from:'2017-10-03T09:39:44-0600',mode:absolute,to:'2017-10-03T11:51:52-0600'))&amp;_a=(columns:!('Message%20ID',Summary),filters:!(),index:'emp_*',interval:auto,query:(query_string:(analyze_wildcard:!t,query:'%22rtdc.l.rtdc.4035%22')),sort:!(Time.ISO8601,asc))</v>
      </c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  <c r="BM235" s="210"/>
      <c r="BN235" s="210"/>
      <c r="BO235" s="210"/>
      <c r="BP235" s="210"/>
      <c r="BQ235" s="210"/>
      <c r="BR235" s="210"/>
      <c r="BS235" s="210"/>
      <c r="BT235" s="210"/>
      <c r="BU235" s="210"/>
      <c r="BV235" s="210"/>
      <c r="BW235" s="210"/>
      <c r="BX235" s="210"/>
      <c r="BY235" s="210"/>
      <c r="BZ235" s="210"/>
      <c r="CA235" s="210"/>
      <c r="CB235" s="210"/>
      <c r="CC235" s="210"/>
      <c r="CD235" s="210"/>
      <c r="CE235" s="210"/>
      <c r="CF235" s="210"/>
      <c r="CG235" s="210"/>
      <c r="CH235" s="210"/>
      <c r="CI235" s="210"/>
      <c r="CJ235" s="210"/>
      <c r="CK235" s="210"/>
      <c r="CL235" s="210"/>
      <c r="CM235" s="210"/>
    </row>
    <row r="236" spans="1:91" s="20" customFormat="1" x14ac:dyDescent="0.25">
      <c r="A236" s="32" t="s">
        <v>715</v>
      </c>
      <c r="B236" s="7">
        <v>4036</v>
      </c>
      <c r="C236" s="21" t="s">
        <v>194</v>
      </c>
      <c r="D236" s="21" t="s">
        <v>925</v>
      </c>
      <c r="E236" s="13">
        <v>43011.476041666669</v>
      </c>
      <c r="F236" s="13">
        <v>43011.477789351855</v>
      </c>
      <c r="G236" s="7">
        <v>86</v>
      </c>
      <c r="H236" s="21" t="s">
        <v>926</v>
      </c>
      <c r="I236" s="13">
        <v>43011.483483796299</v>
      </c>
      <c r="J236" s="7">
        <v>0</v>
      </c>
      <c r="K236" s="85" t="str">
        <f t="shared" si="136"/>
        <v>4035/4036</v>
      </c>
      <c r="L236" s="179" t="str">
        <f>VLOOKUP(A236,'Trips&amp;Operators'!$C$1:$G$99911,5,FALSE)</f>
        <v>ROMERO CHAD</v>
      </c>
      <c r="M236" s="6">
        <f t="shared" si="137"/>
        <v>5.694444444088731E-3</v>
      </c>
      <c r="N236" s="7">
        <f t="shared" si="138"/>
        <v>8.1999999994877726</v>
      </c>
      <c r="O236" s="7"/>
      <c r="P236" s="7"/>
      <c r="Q236" s="22"/>
      <c r="R236" s="169"/>
      <c r="S236" s="202">
        <f t="shared" si="139"/>
        <v>1</v>
      </c>
      <c r="T236" s="169" t="str">
        <f t="shared" si="140"/>
        <v>NorthBound</v>
      </c>
      <c r="U236" s="22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22" t="str">
        <f t="shared" si="108"/>
        <v>https://d0f6bd738d7f1b3e5a7ca70fe4ff75f0.us-east-1.aws.found.io/app/kibana#/discover/Steve-Slow-Train-Analysis-(2080s-and-2083s)?_g=(refreshInterval:(display:Off,pause:!f,section:0,value:0),time:(from:'2017-10-03T10:25:30-0600',mode:absolute,to:'2017-10-03T12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6" s="223" t="str">
        <f>IF(AA236&lt;VLOOKUP(AG236,Variables!$AC$3:$AD$8,2,FALSE),"Y","N")</f>
        <v>Y</v>
      </c>
      <c r="X236" s="223">
        <f t="shared" si="146"/>
        <v>1</v>
      </c>
      <c r="Y236" s="223">
        <f t="shared" si="141"/>
        <v>4.3299999999999998E-2</v>
      </c>
      <c r="Z236" s="223">
        <f t="shared" si="142"/>
        <v>2.4289999999999998</v>
      </c>
      <c r="AA236" s="223">
        <f t="shared" si="143"/>
        <v>2.3856999999999999</v>
      </c>
      <c r="AB236" s="224" t="e">
        <f>VLOOKUP(A236,Enforcements!$C$7:$K$11,8,0)</f>
        <v>#N/A</v>
      </c>
      <c r="AC236" s="224" t="e">
        <f>VLOOKUP(A236,Enforcements!$C$7:$E$11,3,0)</f>
        <v>#N/A</v>
      </c>
      <c r="AD236" s="225">
        <f t="shared" si="144"/>
        <v>53</v>
      </c>
      <c r="AE236" s="226" t="str">
        <f t="shared" si="110"/>
        <v>aws s3 cp s3://rtdc.mdm.uploadarchive.raw/RTDC4036/ "%USERPROFILE%\AppData\Local\Temp\OnboardLogs"\RTDC4036\2017-10-03 --exclude "*" --recursive --include "*20171003*" &amp; "%USERPROFILE%\Documents\GitHub\mrs-test-scripts\Headless Mode &amp; Sideloading\WalkAndUnGZ.bat" "%USERPROFILE%\AppData\Local\Temp\OnboardLogs"\RTDC4036\2017-10-03 &amp; aws s3 cp s3://rtdc.mdm.uploadarchive.raw/RTDC4036/ "%USERPROFILE%\AppData\Local\Temp\OnboardLogs"\RTDC4036\2017-10-04 --exclude "*" --recursive --include "*20171004*" &amp; "%USERPROFILE%\Documents\GitHub\mrs-test-scripts\Headless Mode &amp; Sideloading\WalkAndUnGZ.bat" "%USERPROFILE%\AppData\Local\Temp\OnboardLogs"\RTDC4036\2017-10-04</v>
      </c>
      <c r="AF236" s="227" t="str">
        <f t="shared" si="111"/>
        <v>"C:\Program Files (x86)\AstroGrep\AstroGrep.exe" /e /r /s /spath="%USERPROFILE%\AppData\Local\Temp\OnboardLogs" /stypes="app*4036*20171003*" /stext=" 17:.+((SYSTEM_STATE.+slice.+state.+changed )|(ment ac)|(multiple cpu faults)|(system.+state.+changed )|(\[timeout)|(PRM\|1\|D)|(kpr)|(kdp)|(train st.+moving)|(\|lc)|(penalty))"</v>
      </c>
      <c r="AG236" s="228" t="str">
        <f t="shared" si="145"/>
        <v>Shuttle/Test</v>
      </c>
      <c r="AH236" s="229" t="str">
        <f t="shared" si="117"/>
        <v>"%USERPROFILE%\Documents\GitHub\eaglep3\Utilities\RefineRTDCRunTimes.py" --tripid 53-03 --locoid 4036 --swversion DE.1.0.9.0 --startMP 204:433 --initTime 2017-10-03T11:25:30 --startdatetime 2017-10-03T11:28:01 --delay 86 --endMP 300:24290 --enddatetime 2017-10-03T11:36:13 --enforcementcount 0 &gt;&gt;%USERPROFILE%\Documents\GitHub\eaglep3-reporting\EC\2017-10-03-refined-times.txt</v>
      </c>
      <c r="AI236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2.429"},{"id":17,"name":"Train ID","value":"53-03"},{"id":16,"name":"Locomotive ID","value":"4036"},{"id":130,"name":"Impact","value":""},{"id":150,"name":"Time of Event (Mountain Time)","value":"11:36:13"},{"id":151,"name":"Denver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10"/>
      <c r="AK236" s="225"/>
      <c r="AL236" s="225"/>
      <c r="AM236" s="231" t="str">
        <f t="shared" si="119"/>
        <v>start /low /b %USERPROFILE%\Documents\GitHub\eaglep3\Utilities\DownloadLogsFromS3.py --loco 4036 --day 2017-10-03</v>
      </c>
      <c r="AN236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10" t="str">
        <f t="shared" si="121"/>
        <v>https://d0f6bd738d7f1b3e5a7ca70fe4ff75f0.us-east-1.aws.found.io/app/kibana#/discover/Steve-Slow-Train-Analysis-(2080s-and-2083s)?_g=(refreshInterval:(display:Off,pause:!f,section:0,value:0),time:(from:'2017-10-03T10:25:30-0600',mode:absolute,to:'2017-10-03T12:36:13-0600'))&amp;_a=(columns:!('Message%20ID',Summary),filters:!(),index:'emp_*',interval:auto,query:(query_string:(analyze_wildcard:!t,query:'%22rtdc.l.rtdc.4036%22')),sort:!(Time.ISO8601,asc))</v>
      </c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  <c r="BM236" s="210"/>
      <c r="BN236" s="210"/>
      <c r="BO236" s="210"/>
      <c r="BP236" s="210"/>
      <c r="BQ236" s="210"/>
      <c r="BR236" s="210"/>
      <c r="BS236" s="210"/>
      <c r="BT236" s="210"/>
      <c r="BU236" s="210"/>
      <c r="BV236" s="210"/>
      <c r="BW236" s="210"/>
      <c r="BX236" s="210"/>
      <c r="BY236" s="210"/>
      <c r="BZ236" s="210"/>
      <c r="CA236" s="210"/>
      <c r="CB236" s="210"/>
      <c r="CC236" s="210"/>
      <c r="CD236" s="210"/>
      <c r="CE236" s="210"/>
      <c r="CF236" s="210"/>
      <c r="CG236" s="210"/>
      <c r="CH236" s="210"/>
      <c r="CI236" s="210"/>
      <c r="CJ236" s="210"/>
      <c r="CK236" s="210"/>
      <c r="CL236" s="210"/>
      <c r="CM236" s="210"/>
    </row>
    <row r="237" spans="1:91" s="20" customFormat="1" x14ac:dyDescent="0.25">
      <c r="A237" s="32" t="s">
        <v>718</v>
      </c>
      <c r="B237" s="7">
        <v>4035</v>
      </c>
      <c r="C237" s="21" t="s">
        <v>194</v>
      </c>
      <c r="D237" s="21" t="s">
        <v>927</v>
      </c>
      <c r="E237" s="13">
        <v>43011.494942129626</v>
      </c>
      <c r="F237" s="13">
        <v>43011.499537037038</v>
      </c>
      <c r="G237" s="7">
        <v>82</v>
      </c>
      <c r="H237" s="21" t="s">
        <v>928</v>
      </c>
      <c r="I237" s="13">
        <v>43011.509097222224</v>
      </c>
      <c r="J237" s="7">
        <v>0</v>
      </c>
      <c r="K237" s="85" t="str">
        <f t="shared" si="136"/>
        <v>4035/4036</v>
      </c>
      <c r="L237" s="179" t="str">
        <f>VLOOKUP(A237,'Trips&amp;Operators'!$C$1:$G$99911,5,FALSE)</f>
        <v>SMITH MICHAEL</v>
      </c>
      <c r="M237" s="6">
        <f t="shared" si="137"/>
        <v>9.560185186273884E-3</v>
      </c>
      <c r="N237" s="7">
        <f t="shared" si="138"/>
        <v>13.766666668234393</v>
      </c>
      <c r="O237" s="7"/>
      <c r="P237" s="7"/>
      <c r="Q237" s="22"/>
      <c r="R237" s="169"/>
      <c r="S237" s="202">
        <f t="shared" si="139"/>
        <v>1</v>
      </c>
      <c r="T237" s="169" t="str">
        <f t="shared" si="140"/>
        <v>Southbound</v>
      </c>
      <c r="U237" s="22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22" t="str">
        <f t="shared" si="108"/>
        <v>https://d0f6bd738d7f1b3e5a7ca70fe4ff75f0.us-east-1.aws.found.io/app/kibana#/discover/Steve-Slow-Train-Analysis-(2080s-and-2083s)?_g=(refreshInterval:(display:Off,pause:!f,section:0,value:0),time:(from:'2017-10-03T10:52:43-0600',mode:absolute,to:'2017-10-03T13:13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7" s="223" t="str">
        <f>IF(AA237&lt;VLOOKUP(AG237,Variables!$AC$3:$AD$8,2,FALSE),"Y","N")</f>
        <v>Y</v>
      </c>
      <c r="X237" s="223">
        <f t="shared" si="146"/>
        <v>1</v>
      </c>
      <c r="Y237" s="223">
        <f t="shared" si="141"/>
        <v>2.3285999999999998</v>
      </c>
      <c r="Z237" s="223">
        <f t="shared" si="142"/>
        <v>1.37E-2</v>
      </c>
      <c r="AA237" s="223">
        <f t="shared" si="143"/>
        <v>2.3148999999999997</v>
      </c>
      <c r="AB237" s="224" t="e">
        <f>VLOOKUP(A237,Enforcements!$C$7:$K$11,8,0)</f>
        <v>#N/A</v>
      </c>
      <c r="AC237" s="224" t="e">
        <f>VLOOKUP(A237,Enforcements!$C$7:$E$11,3,0)</f>
        <v>#N/A</v>
      </c>
      <c r="AD237" s="225">
        <f t="shared" si="144"/>
        <v>54</v>
      </c>
      <c r="AE237" s="226" t="str">
        <f t="shared" si="110"/>
        <v>aws s3 cp s3://rtdc.mdm.uploadarchive.raw/RTDC4035/ "%USERPROFILE%\AppData\Local\Temp\OnboardLogs"\RTDC4035\2017-10-03 --exclude "*" --recursive --include "*20171003*" &amp; "%USERPROFILE%\Documents\GitHub\mrs-test-scripts\Headless Mode &amp; Sideloading\WalkAndUnGZ.bat" "%USERPROFILE%\AppData\Local\Temp\OnboardLogs"\RTDC4035\2017-10-03 &amp; aws s3 cp s3://rtdc.mdm.uploadarchive.raw/RTDC4035/ "%USERPROFILE%\AppData\Local\Temp\OnboardLogs"\RTDC4035\2017-10-04 --exclude "*" --recursive --include "*20171004*" &amp; "%USERPROFILE%\Documents\GitHub\mrs-test-scripts\Headless Mode &amp; Sideloading\WalkAndUnGZ.bat" "%USERPROFILE%\AppData\Local\Temp\OnboardLogs"\RTDC4035\2017-10-04</v>
      </c>
      <c r="AF237" s="227" t="str">
        <f t="shared" si="111"/>
        <v>"C:\Program Files (x86)\AstroGrep\AstroGrep.exe" /e /r /s /spath="%USERPROFILE%\AppData\Local\Temp\OnboardLogs" /stypes="app*4035*20171003*" /stext=" 18:.+((SYSTEM_STATE.+slice.+state.+changed )|(ment ac)|(multiple cpu faults)|(system.+state.+changed )|(\[timeout)|(PRM\|1\|D)|(kpr)|(kdp)|(train st.+moving)|(\|lc)|(penalty))"</v>
      </c>
      <c r="AG237" s="228" t="str">
        <f t="shared" si="145"/>
        <v>Shuttle/Test</v>
      </c>
      <c r="AH237" s="229" t="str">
        <f t="shared" si="117"/>
        <v>"%USERPROFILE%\Documents\GitHub\eaglep3\Utilities\RefineRTDCRunTimes.py" --tripid 54-03 --locoid 4035 --swversion DE.1.0.9.0 --startMP 300:23286 --initTime 2017-10-03T11:52:43 --startdatetime 2017-10-03T11:59:20 --delay 82 --endMP 204:137 --enddatetime 2017-10-03T12:13:06 --enforcementcount 0 &gt;&gt;%USERPROFILE%\Documents\GitHub\eaglep3-reporting\EC\2017-10-03-refined-times.txt</v>
      </c>
      <c r="AI237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0.0137"},{"id":17,"name":"Train ID","value":"54-03"},{"id":16,"name":"Locomotive ID","value":"4035"},{"id":130,"name":"Impact","value":""},{"id":150,"name":"Time of Event (Mountain Time)","value":"12:13:06"},{"id":151,"name":"Denver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10"/>
      <c r="AK237" s="225"/>
      <c r="AL237" s="225"/>
      <c r="AM237" s="231" t="str">
        <f t="shared" si="119"/>
        <v>start /low /b %USERPROFILE%\Documents\GitHub\eaglep3\Utilities\DownloadLogsFromS3.py --loco 4035 --day 2017-10-03</v>
      </c>
      <c r="AN237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18:13:06"},{"id":29,"name":"Sharepoint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10" t="str">
        <f t="shared" si="121"/>
        <v>https://d0f6bd738d7f1b3e5a7ca70fe4ff75f0.us-east-1.aws.found.io/app/kibana#/discover/Steve-Slow-Train-Analysis-(2080s-and-2083s)?_g=(refreshInterval:(display:Off,pause:!f,section:0,value:0),time:(from:'2017-10-03T10:52:43-0600',mode:absolute,to:'2017-10-03T13:13:06-0600'))&amp;_a=(columns:!('Message%20ID',Summary),filters:!(),index:'emp_*',interval:auto,query:(query_string:(analyze_wildcard:!t,query:'%22rtdc.l.rtdc.4035%22')),sort:!(Time.ISO8601,asc))</v>
      </c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  <c r="BM237" s="210"/>
      <c r="BN237" s="210"/>
      <c r="BO237" s="210"/>
      <c r="BP237" s="210"/>
      <c r="BQ237" s="210"/>
      <c r="BR237" s="210"/>
      <c r="BS237" s="210"/>
      <c r="BT237" s="210"/>
      <c r="BU237" s="210"/>
      <c r="BV237" s="210"/>
      <c r="BW237" s="210"/>
      <c r="BX237" s="210"/>
      <c r="BY237" s="210"/>
      <c r="BZ237" s="210"/>
      <c r="CA237" s="210"/>
      <c r="CB237" s="210"/>
      <c r="CC237" s="210"/>
      <c r="CD237" s="210"/>
      <c r="CE237" s="210"/>
      <c r="CF237" s="210"/>
      <c r="CG237" s="210"/>
      <c r="CH237" s="210"/>
      <c r="CI237" s="210"/>
      <c r="CJ237" s="210"/>
      <c r="CK237" s="210"/>
      <c r="CL237" s="210"/>
      <c r="CM237" s="210"/>
    </row>
    <row r="238" spans="1:91" s="20" customFormat="1" x14ac:dyDescent="0.25">
      <c r="A238" s="32" t="s">
        <v>613</v>
      </c>
      <c r="B238" s="7">
        <v>4020</v>
      </c>
      <c r="C238" s="21" t="s">
        <v>194</v>
      </c>
      <c r="D238" s="21" t="s">
        <v>929</v>
      </c>
      <c r="E238" s="13">
        <v>43011.491539351853</v>
      </c>
      <c r="F238" s="13">
        <v>43011.497407407405</v>
      </c>
      <c r="G238" s="7">
        <v>436</v>
      </c>
      <c r="H238" s="21" t="s">
        <v>930</v>
      </c>
      <c r="I238" s="13">
        <v>25568.708333333332</v>
      </c>
      <c r="J238" s="7">
        <v>0</v>
      </c>
      <c r="K238" s="85" t="str">
        <f t="shared" si="136"/>
        <v>4019/4020</v>
      </c>
      <c r="L238" s="179" t="str">
        <f>VLOOKUP(A238,'Trips&amp;Operators'!$C$1:$G$99911,5,FALSE)</f>
        <v>NEWELL JAMES</v>
      </c>
      <c r="M238" s="6">
        <f t="shared" si="137"/>
        <v>-17442.789074074073</v>
      </c>
      <c r="N238" s="7">
        <f t="shared" si="138"/>
        <v>-25117616.266666666</v>
      </c>
      <c r="O238" s="7"/>
      <c r="P238" s="7"/>
      <c r="Q238" s="22"/>
      <c r="R238" s="169"/>
      <c r="S238" s="202">
        <f t="shared" si="139"/>
        <v>0</v>
      </c>
      <c r="T238" s="169" t="str">
        <f t="shared" si="140"/>
        <v>NorthBound</v>
      </c>
      <c r="U238" s="22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22" t="str">
        <f t="shared" si="108"/>
        <v>https://d0f6bd738d7f1b3e5a7ca70fe4ff75f0.us-east-1.aws.found.io/app/kibana#/discover/Steve-Slow-Train-Analysis-(2080s-and-2083s)?_g=(refreshInterval:(display:Off,pause:!f,section:0,value:0),time:(from:'2017-10-03T10:47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8" s="223" t="str">
        <f>IF(AA238&lt;VLOOKUP(AG238,Variables!$AC$3:$AD$8,2,FALSE),"Y","N")</f>
        <v>Y</v>
      </c>
      <c r="X238" s="223">
        <f t="shared" si="146"/>
        <v>3</v>
      </c>
      <c r="Y238" s="223">
        <f t="shared" si="141"/>
        <v>0.15129999999999999</v>
      </c>
      <c r="Z238" s="223">
        <f t="shared" si="142"/>
        <v>0.15890000000000001</v>
      </c>
      <c r="AA238" s="223">
        <f t="shared" si="143"/>
        <v>7.6000000000000234E-3</v>
      </c>
      <c r="AB238" s="224" t="e">
        <f>VLOOKUP(A238,Enforcements!$C$7:$K$11,8,0)</f>
        <v>#N/A</v>
      </c>
      <c r="AC238" s="224" t="e">
        <f>VLOOKUP(A238,Enforcements!$C$7:$E$11,3,0)</f>
        <v>#N/A</v>
      </c>
      <c r="AD238" s="225">
        <f t="shared" si="144"/>
        <v>57</v>
      </c>
      <c r="AE238" s="226" t="str">
        <f t="shared" si="110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238" s="227" t="str">
        <f t="shared" si="111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)|(\[timeout)|(PRM\|1\|D)|(kpr)|(kdp)|(train st.+moving)|(\|lc)|(penalty))"</v>
      </c>
      <c r="AG238" s="228" t="str">
        <f t="shared" si="145"/>
        <v>Shuttle/Test</v>
      </c>
      <c r="AH238" s="229" t="str">
        <f t="shared" si="117"/>
        <v>"%USERPROFILE%\Documents\GitHub\eaglep3\Utilities\RefineRTDCRunTimes.py" --tripid 57-03 --locoid 4020 --swversion DE.1.0.9.0 --startMP 204:1513 --initTime 2017-10-03T11:47:49 --startdatetime 2017-10-03T11:56:16 --delay 436 --endMP 204:1589 --enddatetime 1969-12-31T17:00:00 --enforcementcount 0 &gt;&gt;%USERPROFILE%\Documents\GitHub\eaglep3-reporting\EC\2017-10-03-refined-times.txt</v>
      </c>
      <c r="AI238" s="230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0.1589"},{"id":17,"name":"Train ID","value":"57-03"},{"id":16,"name":"Locomotive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10"/>
      <c r="AK238" s="225"/>
      <c r="AL238" s="225"/>
      <c r="AM238" s="231" t="str">
        <f t="shared" si="119"/>
        <v>start /low /b %USERPROFILE%\Documents\GitHub\eaglep3\Utilities\DownloadLogsFromS3.py --loco 4020 --day 2017-10-03</v>
      </c>
      <c r="AN238" s="232" t="str">
        <f t="shared" si="1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10" t="str">
        <f t="shared" si="121"/>
        <v>https://d0f6bd738d7f1b3e5a7ca70fe4ff75f0.us-east-1.aws.found.io/app/kibana#/discover/Steve-Slow-Train-Analysis-(2080s-and-2083s)?_g=(refreshInterval:(display:Off,pause:!f,section:0,value:0),time:(from:'2017-10-03T10:47:49-0600',mode:absolute,to:'1969-12-31T18:00:00-0600'))&amp;_a=(columns:!('Message%20ID',Summary),filters:!(),index:'emp_*',interval:auto,query:(query_string:(analyze_wildcard:!t,query:'%22rtdc.l.rtdc.4020%22')),sort:!(Time.ISO8601,asc))</v>
      </c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  <c r="BM238" s="210"/>
      <c r="BN238" s="210"/>
      <c r="BO238" s="210"/>
      <c r="BP238" s="210"/>
      <c r="BQ238" s="210"/>
      <c r="BR238" s="210"/>
      <c r="BS238" s="210"/>
      <c r="BT238" s="210"/>
      <c r="BU238" s="210"/>
      <c r="BV238" s="210"/>
      <c r="BW238" s="210"/>
      <c r="BX238" s="210"/>
      <c r="BY238" s="210"/>
      <c r="BZ238" s="210"/>
      <c r="CA238" s="210"/>
      <c r="CB238" s="210"/>
      <c r="CC238" s="210"/>
      <c r="CD238" s="210"/>
      <c r="CE238" s="210"/>
      <c r="CF238" s="210"/>
      <c r="CG238" s="210"/>
      <c r="CH238" s="210"/>
      <c r="CI238" s="210"/>
      <c r="CJ238" s="210"/>
      <c r="CK238" s="210"/>
      <c r="CL238" s="210"/>
      <c r="CM238" s="210"/>
    </row>
    <row r="239" spans="1:91" s="20" customFormat="1" x14ac:dyDescent="0.25">
      <c r="A239" s="32" t="s">
        <v>613</v>
      </c>
      <c r="B239" s="7">
        <v>4020</v>
      </c>
      <c r="C239" s="21" t="s">
        <v>194</v>
      </c>
      <c r="D239" s="21" t="s">
        <v>931</v>
      </c>
      <c r="E239" s="13">
        <v>43011.533125000002</v>
      </c>
      <c r="F239" s="13">
        <v>43011.536354166667</v>
      </c>
      <c r="G239" s="7">
        <v>81</v>
      </c>
      <c r="H239" s="21" t="s">
        <v>932</v>
      </c>
      <c r="I239" s="13">
        <v>43011.542013888888</v>
      </c>
      <c r="J239" s="7">
        <v>0</v>
      </c>
      <c r="K239" s="85" t="str">
        <f t="shared" si="136"/>
        <v>4019/4020</v>
      </c>
      <c r="L239" s="179" t="str">
        <f>VLOOKUP(A239,'Trips&amp;Operators'!$C$1:$G$99911,5,FALSE)</f>
        <v>NEWELL JAMES</v>
      </c>
      <c r="M239" s="6">
        <f t="shared" si="137"/>
        <v>5.6597222210257314E-3</v>
      </c>
      <c r="N239" s="7">
        <f t="shared" si="138"/>
        <v>8.1499999982770532</v>
      </c>
      <c r="O239" s="7"/>
      <c r="P239" s="7"/>
      <c r="Q239" s="22"/>
      <c r="R239" s="169"/>
      <c r="S239" s="202">
        <f t="shared" si="139"/>
        <v>0</v>
      </c>
      <c r="T239" s="169" t="str">
        <f t="shared" si="140"/>
        <v>NorthBound</v>
      </c>
      <c r="U239" s="22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22" t="str">
        <f t="shared" si="108"/>
        <v>https://d0f6bd738d7f1b3e5a7ca70fe4ff75f0.us-east-1.aws.found.io/app/kibana#/discover/Steve-Slow-Train-Analysis-(2080s-and-2083s)?_g=(refreshInterval:(display:Off,pause:!f,section:0,value:0),time:(from:'2017-10-03T11:47:42-0600',mode:absolute,to:'2017-10-03T14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223" t="str">
        <f>IF(AA239&lt;VLOOKUP(AG239,Variables!$AC$3:$AD$8,2,FALSE),"Y","N")</f>
        <v>Y</v>
      </c>
      <c r="X239" s="223">
        <f t="shared" si="146"/>
        <v>0</v>
      </c>
      <c r="Y239" s="223">
        <f t="shared" si="141"/>
        <v>0.15859999999999999</v>
      </c>
      <c r="Z239" s="223">
        <f t="shared" si="142"/>
        <v>0.21099999999999999</v>
      </c>
      <c r="AA239" s="223">
        <f t="shared" si="143"/>
        <v>5.2400000000000002E-2</v>
      </c>
      <c r="AB239" s="224" t="e">
        <f>VLOOKUP(A239,Enforcements!$C$7:$K$11,8,0)</f>
        <v>#N/A</v>
      </c>
      <c r="AC239" s="224" t="e">
        <f>VLOOKUP(A239,Enforcements!$C$7:$E$11,3,0)</f>
        <v>#N/A</v>
      </c>
      <c r="AD239" s="225">
        <f t="shared" si="144"/>
        <v>57</v>
      </c>
      <c r="AE239" s="226" t="str">
        <f t="shared" si="110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239" s="227" t="str">
        <f t="shared" si="111"/>
        <v>"C:\Program Files (x86)\AstroGrep\AstroGrep.exe" /e /r /s /spath="%USERPROFILE%\AppData\Local\Temp\OnboardLogs" /stypes="app*4020*20171003*" /stext=" 19:.+((SYSTEM_STATE.+slice.+state.+changed )|(ment ac)|(multiple cpu faults)|(system.+state.+changed )|(\[timeout)|(PRM\|1\|D)|(kpr)|(kdp)|(train st.+moving)|(\|lc)|(penalty))"</v>
      </c>
      <c r="AG239" s="228" t="str">
        <f t="shared" si="145"/>
        <v>Shuttle/Test</v>
      </c>
      <c r="AH239" s="229" t="str">
        <f t="shared" si="117"/>
        <v>"%USERPROFILE%\Documents\GitHub\eaglep3\Utilities\RefineRTDCRunTimes.py" --tripid 57-03 --locoid 4020 --swversion DE.1.0.9.0 --startMP 204:1586 --initTime 2017-10-03T12:47:42 --startdatetime 2017-10-03T12:52:21 --delay 81 --endMP 204:2110 --enddatetime 2017-10-03T13:00:30 --enforcementcount 0 &gt;&gt;%USERPROFILE%\Documents\GitHub\eaglep3-reporting\EC\2017-10-03-refined-times.txt</v>
      </c>
      <c r="AI239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0.211"},{"id":17,"name":"Train ID","value":"57-03"},{"id":16,"name":"Locomotive ID","value":"4020"},{"id":130,"name":"Impact","value":""},{"id":150,"name":"Time of Event (Mountain Time)","value":"13:00:30"},{"id":151,"name":"Denver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10"/>
      <c r="AK239" s="225"/>
      <c r="AL239" s="225"/>
      <c r="AM239" s="231" t="str">
        <f t="shared" si="119"/>
        <v>start /low /b %USERPROFILE%\Documents\GitHub\eaglep3\Utilities\DownloadLogsFromS3.py --loco 4020 --day 2017-10-03</v>
      </c>
      <c r="AN239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19:00:30"},{"id":29,"name":"Sharepoint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10" t="str">
        <f t="shared" si="121"/>
        <v>https://d0f6bd738d7f1b3e5a7ca70fe4ff75f0.us-east-1.aws.found.io/app/kibana#/discover/Steve-Slow-Train-Analysis-(2080s-and-2083s)?_g=(refreshInterval:(display:Off,pause:!f,section:0,value:0),time:(from:'2017-10-03T11:47:42-0600',mode:absolute,to:'2017-10-03T14:00:30-0600'))&amp;_a=(columns:!('Message%20ID',Summary),filters:!(),index:'emp_*',interval:auto,query:(query_string:(analyze_wildcard:!t,query:'%22rtdc.l.rtdc.4020%22')),sort:!(Time.ISO8601,asc))</v>
      </c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  <c r="BM239" s="210"/>
      <c r="BN239" s="210"/>
      <c r="BO239" s="210"/>
      <c r="BP239" s="210"/>
      <c r="BQ239" s="210"/>
      <c r="BR239" s="210"/>
      <c r="BS239" s="210"/>
      <c r="BT239" s="210"/>
      <c r="BU239" s="210"/>
      <c r="BV239" s="210"/>
      <c r="BW239" s="210"/>
      <c r="BX239" s="210"/>
      <c r="BY239" s="210"/>
      <c r="BZ239" s="210"/>
      <c r="CA239" s="210"/>
      <c r="CB239" s="210"/>
      <c r="CC239" s="210"/>
      <c r="CD239" s="210"/>
      <c r="CE239" s="210"/>
      <c r="CF239" s="210"/>
      <c r="CG239" s="210"/>
      <c r="CH239" s="210"/>
      <c r="CI239" s="210"/>
      <c r="CJ239" s="210"/>
      <c r="CK239" s="210"/>
      <c r="CL239" s="210"/>
      <c r="CM239" s="210"/>
    </row>
    <row r="240" spans="1:91" s="20" customFormat="1" x14ac:dyDescent="0.25">
      <c r="A240" s="32" t="s">
        <v>726</v>
      </c>
      <c r="B240" s="7">
        <v>4035</v>
      </c>
      <c r="C240" s="21" t="s">
        <v>194</v>
      </c>
      <c r="D240" s="21" t="s">
        <v>933</v>
      </c>
      <c r="E240" s="13">
        <v>43011.520925925928</v>
      </c>
      <c r="F240" s="13">
        <v>43011.524606481478</v>
      </c>
      <c r="G240" s="7">
        <v>45</v>
      </c>
      <c r="H240" s="21" t="s">
        <v>934</v>
      </c>
      <c r="I240" s="13">
        <v>43011.527013888888</v>
      </c>
      <c r="J240" s="7">
        <v>0</v>
      </c>
      <c r="K240" s="85" t="str">
        <f t="shared" si="136"/>
        <v>4035/4036</v>
      </c>
      <c r="L240" s="179" t="str">
        <f>VLOOKUP(A240,'Trips&amp;Operators'!$C$1:$G$99911,5,FALSE)</f>
        <v>DE LA ROSA ALEX</v>
      </c>
      <c r="M240" s="6">
        <f t="shared" si="137"/>
        <v>2.4074074099189602E-3</v>
      </c>
      <c r="N240" s="7">
        <f t="shared" si="138"/>
        <v>3.4666666702833027</v>
      </c>
      <c r="O240" s="7"/>
      <c r="P240" s="7"/>
      <c r="Q240" s="22"/>
      <c r="R240" s="169"/>
      <c r="S240" s="202">
        <f t="shared" si="139"/>
        <v>0</v>
      </c>
      <c r="T240" s="169" t="str">
        <f t="shared" si="140"/>
        <v>NorthBound</v>
      </c>
      <c r="U240" s="22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22" t="str">
        <f t="shared" si="108"/>
        <v>https://d0f6bd738d7f1b3e5a7ca70fe4ff75f0.us-east-1.aws.found.io/app/kibana#/discover/Steve-Slow-Train-Analysis-(2080s-and-2083s)?_g=(refreshInterval:(display:Off,pause:!f,section:0,value:0),time:(from:'2017-10-03T11:30:08-0600',mode:absolute,to:'2017-10-03T13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0" s="223" t="str">
        <f>IF(AA240&lt;VLOOKUP(AG240,Variables!$AC$3:$AD$8,2,FALSE),"Y","N")</f>
        <v>Y</v>
      </c>
      <c r="X240" s="223">
        <f t="shared" si="146"/>
        <v>2</v>
      </c>
      <c r="Y240" s="223">
        <f t="shared" si="141"/>
        <v>0.52510000000000001</v>
      </c>
      <c r="Z240" s="223">
        <f t="shared" si="142"/>
        <v>0.11600000000000001</v>
      </c>
      <c r="AA240" s="223">
        <f t="shared" si="143"/>
        <v>0.40910000000000002</v>
      </c>
      <c r="AB240" s="224" t="e">
        <f>VLOOKUP(A240,Enforcements!$C$7:$K$11,8,0)</f>
        <v>#N/A</v>
      </c>
      <c r="AC240" s="224" t="e">
        <f>VLOOKUP(A240,Enforcements!$C$7:$E$11,3,0)</f>
        <v>#N/A</v>
      </c>
      <c r="AD240" s="225">
        <f t="shared" si="144"/>
        <v>59</v>
      </c>
      <c r="AE240" s="226" t="str">
        <f t="shared" si="110"/>
        <v>aws s3 cp s3://rtdc.mdm.uploadarchive.raw/RTDC4035/ "%USERPROFILE%\AppData\Local\Temp\OnboardLogs"\RTDC4035\2017-10-03 --exclude "*" --recursive --include "*20171003*" &amp; "%USERPROFILE%\Documents\GitHub\mrs-test-scripts\Headless Mode &amp; Sideloading\WalkAndUnGZ.bat" "%USERPROFILE%\AppData\Local\Temp\OnboardLogs"\RTDC4035\2017-10-03 &amp; aws s3 cp s3://rtdc.mdm.uploadarchive.raw/RTDC4035/ "%USERPROFILE%\AppData\Local\Temp\OnboardLogs"\RTDC4035\2017-10-04 --exclude "*" --recursive --include "*20171004*" &amp; "%USERPROFILE%\Documents\GitHub\mrs-test-scripts\Headless Mode &amp; Sideloading\WalkAndUnGZ.bat" "%USERPROFILE%\AppData\Local\Temp\OnboardLogs"\RTDC4035\2017-10-04</v>
      </c>
      <c r="AF240" s="227" t="str">
        <f t="shared" si="111"/>
        <v>"C:\Program Files (x86)\AstroGrep\AstroGrep.exe" /e /r /s /spath="%USERPROFILE%\AppData\Local\Temp\OnboardLogs" /stypes="app*4035*20171003*" /stext=" 18:.+((SYSTEM_STATE.+slice.+state.+changed )|(ment ac)|(multiple cpu faults)|(system.+state.+changed )|(\[timeout)|(PRM\|1\|D)|(kpr)|(kdp)|(train st.+moving)|(\|lc)|(penalty))"</v>
      </c>
      <c r="AG240" s="228" t="str">
        <f t="shared" si="145"/>
        <v>Shuttle/Test</v>
      </c>
      <c r="AH240" s="229" t="str">
        <f t="shared" si="117"/>
        <v>"%USERPROFILE%\Documents\GitHub\eaglep3\Utilities\RefineRTDCRunTimes.py" --tripid 59-03 --locoid 4035 --swversion DE.1.0.9.0 --startMP 300:5251 --initTime 2017-10-03T12:30:08 --startdatetime 2017-10-03T12:35:26 --delay 45 --endMP 204:1160 --enddatetime 2017-10-03T12:38:54 --enforcementcount 0 &gt;&gt;%USERPROFILE%\Documents\GitHub\eaglep3-reporting\EC\2017-10-03-refined-times.txt</v>
      </c>
      <c r="AI240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0.116"},{"id":17,"name":"Train ID","value":"59-03"},{"id":16,"name":"Locomotive ID","value":"4035"},{"id":130,"name":"Impact","value":""},{"id":150,"name":"Time of Event (Mountain Time)","value":"12:38:54"},{"id":151,"name":"Denver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10"/>
      <c r="AK240" s="225"/>
      <c r="AL240" s="225"/>
      <c r="AM240" s="231" t="str">
        <f t="shared" si="119"/>
        <v>start /low /b %USERPROFILE%\Documents\GitHub\eaglep3\Utilities\DownloadLogsFromS3.py --loco 4035 --day 2017-10-03</v>
      </c>
      <c r="AN240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10" t="str">
        <f t="shared" si="121"/>
        <v>https://d0f6bd738d7f1b3e5a7ca70fe4ff75f0.us-east-1.aws.found.io/app/kibana#/discover/Steve-Slow-Train-Analysis-(2080s-and-2083s)?_g=(refreshInterval:(display:Off,pause:!f,section:0,value:0),time:(from:'2017-10-03T11:30:08-0600',mode:absolute,to:'2017-10-03T13:38:54-0600'))&amp;_a=(columns:!('Message%20ID',Summary),filters:!(),index:'emp_*',interval:auto,query:(query_string:(analyze_wildcard:!t,query:'%22rtdc.l.rtdc.4035%22')),sort:!(Time.ISO8601,asc))</v>
      </c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210"/>
      <c r="BT240" s="210"/>
      <c r="BU240" s="210"/>
      <c r="BV240" s="210"/>
      <c r="BW240" s="210"/>
      <c r="BX240" s="210"/>
      <c r="BY240" s="210"/>
      <c r="BZ240" s="210"/>
      <c r="CA240" s="210"/>
      <c r="CB240" s="210"/>
      <c r="CC240" s="210"/>
      <c r="CD240" s="210"/>
      <c r="CE240" s="210"/>
      <c r="CF240" s="210"/>
      <c r="CG240" s="210"/>
      <c r="CH240" s="210"/>
      <c r="CI240" s="210"/>
      <c r="CJ240" s="210"/>
      <c r="CK240" s="210"/>
      <c r="CL240" s="210"/>
      <c r="CM240" s="210"/>
    </row>
    <row r="241" spans="1:91" s="20" customFormat="1" x14ac:dyDescent="0.25">
      <c r="A241" s="32" t="s">
        <v>726</v>
      </c>
      <c r="B241" s="7">
        <v>4036</v>
      </c>
      <c r="C241" s="21" t="s">
        <v>194</v>
      </c>
      <c r="D241" s="21" t="s">
        <v>338</v>
      </c>
      <c r="E241" s="13">
        <v>43011.516238425924</v>
      </c>
      <c r="F241" s="13">
        <v>43011.524606481478</v>
      </c>
      <c r="G241" s="7">
        <v>72</v>
      </c>
      <c r="H241" s="21" t="s">
        <v>935</v>
      </c>
      <c r="I241" s="13">
        <v>43011.527013888888</v>
      </c>
      <c r="J241" s="7">
        <v>0</v>
      </c>
      <c r="K241" s="85" t="str">
        <f t="shared" si="136"/>
        <v>4035/4036</v>
      </c>
      <c r="L241" s="179" t="str">
        <f>VLOOKUP(A241,'Trips&amp;Operators'!$C$1:$G$99911,5,FALSE)</f>
        <v>DE LA ROSA ALEX</v>
      </c>
      <c r="M241" s="6">
        <f t="shared" si="137"/>
        <v>2.4074074099189602E-3</v>
      </c>
      <c r="N241" s="7">
        <f t="shared" si="138"/>
        <v>3.4666666702833027</v>
      </c>
      <c r="O241" s="7"/>
      <c r="P241" s="7"/>
      <c r="Q241" s="22"/>
      <c r="R241" s="169"/>
      <c r="S241" s="202">
        <f t="shared" si="139"/>
        <v>0</v>
      </c>
      <c r="T241" s="169" t="str">
        <f t="shared" si="140"/>
        <v>NorthBound</v>
      </c>
      <c r="U241" s="22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22" t="str">
        <f t="shared" si="108"/>
        <v>https://d0f6bd738d7f1b3e5a7ca70fe4ff75f0.us-east-1.aws.found.io/app/kibana#/discover/Steve-Slow-Train-Analysis-(2080s-and-2083s)?_g=(refreshInterval:(display:Off,pause:!f,section:0,value:0),time:(from:'2017-10-03T11:23:23-0600',mode:absolute,to:'2017-10-03T13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1" s="223" t="str">
        <f>IF(AA241&lt;VLOOKUP(AG241,Variables!$AC$3:$AD$8,2,FALSE),"Y","N")</f>
        <v>Y</v>
      </c>
      <c r="X241" s="223">
        <f t="shared" si="146"/>
        <v>0</v>
      </c>
      <c r="Y241" s="223">
        <f t="shared" si="141"/>
        <v>4.53E-2</v>
      </c>
      <c r="Z241" s="223">
        <f t="shared" si="142"/>
        <v>0.55030000000000001</v>
      </c>
      <c r="AA241" s="223">
        <f t="shared" si="143"/>
        <v>0.505</v>
      </c>
      <c r="AB241" s="224" t="e">
        <f>VLOOKUP(A241,Enforcements!$C$7:$K$11,8,0)</f>
        <v>#N/A</v>
      </c>
      <c r="AC241" s="224" t="e">
        <f>VLOOKUP(A241,Enforcements!$C$7:$E$11,3,0)</f>
        <v>#N/A</v>
      </c>
      <c r="AD241" s="225">
        <f t="shared" si="144"/>
        <v>59</v>
      </c>
      <c r="AE241" s="226" t="str">
        <f t="shared" si="110"/>
        <v>aws s3 cp s3://rtdc.mdm.uploadarchive.raw/RTDC4036/ "%USERPROFILE%\AppData\Local\Temp\OnboardLogs"\RTDC4036\2017-10-03 --exclude "*" --recursive --include "*20171003*" &amp; "%USERPROFILE%\Documents\GitHub\mrs-test-scripts\Headless Mode &amp; Sideloading\WalkAndUnGZ.bat" "%USERPROFILE%\AppData\Local\Temp\OnboardLogs"\RTDC4036\2017-10-03 &amp; aws s3 cp s3://rtdc.mdm.uploadarchive.raw/RTDC4036/ "%USERPROFILE%\AppData\Local\Temp\OnboardLogs"\RTDC4036\2017-10-04 --exclude "*" --recursive --include "*20171004*" &amp; "%USERPROFILE%\Documents\GitHub\mrs-test-scripts\Headless Mode &amp; Sideloading\WalkAndUnGZ.bat" "%USERPROFILE%\AppData\Local\Temp\OnboardLogs"\RTDC4036\2017-10-04</v>
      </c>
      <c r="AF241" s="227" t="str">
        <f t="shared" si="111"/>
        <v>"C:\Program Files (x86)\AstroGrep\AstroGrep.exe" /e /r /s /spath="%USERPROFILE%\AppData\Local\Temp\OnboardLogs" /stypes="app*4036*20171003*" /stext=" 18:.+((SYSTEM_STATE.+slice.+state.+changed )|(ment ac)|(multiple cpu faults)|(system.+state.+changed )|(\[timeout)|(PRM\|1\|D)|(kpr)|(kdp)|(train st.+moving)|(\|lc)|(penalty))"</v>
      </c>
      <c r="AG241" s="228" t="str">
        <f t="shared" si="145"/>
        <v>Shuttle/Test</v>
      </c>
      <c r="AH241" s="229" t="str">
        <f t="shared" si="117"/>
        <v>"%USERPROFILE%\Documents\GitHub\eaglep3\Utilities\RefineRTDCRunTimes.py" --tripid 59-03 --locoid 4036 --swversion DE.1.0.9.0 --startMP 204:453 --initTime 2017-10-03T12:23:23 --startdatetime 2017-10-03T12:35:26 --delay 72 --endMP 300:5503 --enddatetime 2017-10-03T12:38:54 --enforcementcount 0 &gt;&gt;%USERPROFILE%\Documents\GitHub\eaglep3-reporting\EC\2017-10-03-refined-times.txt</v>
      </c>
      <c r="AI241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0.5503"},{"id":17,"name":"Train ID","value":"59-03"},{"id":16,"name":"Locomotive ID","value":"4036"},{"id":130,"name":"Impact","value":""},{"id":150,"name":"Time of Event (Mountain Time)","value":"12:38:54"},{"id":151,"name":"Denver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10"/>
      <c r="AK241" s="225"/>
      <c r="AL241" s="225"/>
      <c r="AM241" s="231" t="str">
        <f t="shared" si="119"/>
        <v>start /low /b %USERPROFILE%\Documents\GitHub\eaglep3\Utilities\DownloadLogsFromS3.py --loco 4036 --day 2017-10-03</v>
      </c>
      <c r="AN24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10" t="str">
        <f t="shared" si="121"/>
        <v>https://d0f6bd738d7f1b3e5a7ca70fe4ff75f0.us-east-1.aws.found.io/app/kibana#/discover/Steve-Slow-Train-Analysis-(2080s-and-2083s)?_g=(refreshInterval:(display:Off,pause:!f,section:0,value:0),time:(from:'2017-10-03T11:23:23-0600',mode:absolute,to:'2017-10-03T13:38:54-0600'))&amp;_a=(columns:!('Message%20ID',Summary),filters:!(),index:'emp_*',interval:auto,query:(query_string:(analyze_wildcard:!t,query:'%22rtdc.l.rtdc.4036%22')),sort:!(Time.ISO8601,asc))</v>
      </c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  <c r="BM241" s="210"/>
      <c r="BN241" s="210"/>
      <c r="BO241" s="210"/>
      <c r="BP241" s="210"/>
      <c r="BQ241" s="210"/>
      <c r="BR241" s="210"/>
      <c r="BS241" s="210"/>
      <c r="BT241" s="210"/>
      <c r="BU241" s="210"/>
      <c r="BV241" s="210"/>
      <c r="BW241" s="210"/>
      <c r="BX241" s="210"/>
      <c r="BY241" s="210"/>
      <c r="BZ241" s="210"/>
      <c r="CA241" s="210"/>
      <c r="CB241" s="210"/>
      <c r="CC241" s="210"/>
      <c r="CD241" s="210"/>
      <c r="CE241" s="210"/>
      <c r="CF241" s="210"/>
      <c r="CG241" s="210"/>
      <c r="CH241" s="210"/>
      <c r="CI241" s="210"/>
      <c r="CJ241" s="210"/>
      <c r="CK241" s="210"/>
      <c r="CL241" s="210"/>
      <c r="CM241" s="210"/>
    </row>
    <row r="242" spans="1:91" x14ac:dyDescent="0.25">
      <c r="A242" s="32" t="s">
        <v>823</v>
      </c>
      <c r="B242" s="7">
        <v>4002</v>
      </c>
      <c r="C242" s="21" t="s">
        <v>194</v>
      </c>
      <c r="D242" s="21" t="s">
        <v>574</v>
      </c>
      <c r="E242" s="13">
        <v>43011.889143518521</v>
      </c>
      <c r="F242" s="13">
        <v>43011.898287037038</v>
      </c>
      <c r="G242" s="7">
        <v>66</v>
      </c>
      <c r="H242" s="21" t="s">
        <v>936</v>
      </c>
      <c r="I242" s="13">
        <v>43011.900775462964</v>
      </c>
      <c r="J242" s="7">
        <v>0</v>
      </c>
      <c r="K242" s="85" t="str">
        <f t="shared" si="136"/>
        <v>4001/4002</v>
      </c>
      <c r="L242" s="179" t="str">
        <f>VLOOKUP(A242,'Trips&amp;Operators'!$C$1:$G$99911,5,FALSE)</f>
        <v>ANDERS STEVEN</v>
      </c>
      <c r="M242" s="6">
        <f t="shared" si="137"/>
        <v>2.488425925548654E-3</v>
      </c>
      <c r="N242" s="7">
        <f t="shared" si="138"/>
        <v>3.5833333327900618</v>
      </c>
      <c r="O242" s="7"/>
      <c r="P242" s="7"/>
      <c r="Q242" s="22"/>
      <c r="R242" s="169" t="s">
        <v>1023</v>
      </c>
      <c r="S242" s="202">
        <f t="shared" si="139"/>
        <v>0</v>
      </c>
      <c r="T242" s="169" t="str">
        <f t="shared" si="140"/>
        <v>NorthBound</v>
      </c>
      <c r="U242" s="22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22" t="str">
        <f t="shared" si="108"/>
        <v>https://d0f6bd738d7f1b3e5a7ca70fe4ff75f0.us-east-1.aws.found.io/app/kibana#/discover/Steve-Slow-Train-Analysis-(2080s-and-2083s)?_g=(refreshInterval:(display:Off,pause:!f,section:0,value:0),time:(from:'2017-10-03T20:20:22-0600',mode:absolute,to:'2017-10-03T22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2" s="223" t="str">
        <f>IF(AA242&lt;VLOOKUP(AG242,Variables!$AC$3:$AD$8,2,FALSE),"Y","N")</f>
        <v>Y</v>
      </c>
      <c r="X242" s="223">
        <f t="shared" si="146"/>
        <v>12</v>
      </c>
      <c r="Y242" s="223">
        <f t="shared" si="141"/>
        <v>0.1154</v>
      </c>
      <c r="Z242" s="223">
        <f t="shared" si="142"/>
        <v>0.57040000000000002</v>
      </c>
      <c r="AA242" s="223">
        <f t="shared" si="143"/>
        <v>0.45500000000000002</v>
      </c>
      <c r="AB242" s="224" t="e">
        <f>VLOOKUP(A242,Enforcements!$C$7:$K$11,8,0)</f>
        <v>#N/A</v>
      </c>
      <c r="AC242" s="224" t="e">
        <f>VLOOKUP(A242,Enforcements!$C$7:$E$11,3,0)</f>
        <v>#N/A</v>
      </c>
      <c r="AD242" s="225">
        <f t="shared" si="144"/>
        <v>71</v>
      </c>
      <c r="AE242" s="226" t="str">
        <f t="shared" si="110"/>
        <v>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 &amp; aws s3 cp s3://rtdc.mdm.uploadarchive.raw/RTDC4002/ "%USERPROFILE%\AppData\Local\Temp\OnboardLogs"\RTDC4002\2017-10-04 --exclude "*" --recursive --include "*20171004*" &amp; "%USERPROFILE%\Documents\GitHub\mrs-test-scripts\Headless Mode &amp; Sideloading\WalkAndUnGZ.bat" "%USERPROFILE%\AppData\Local\Temp\OnboardLogs"\RTDC4002\2017-10-04</v>
      </c>
      <c r="AF242" s="227" t="str">
        <f t="shared" si="111"/>
        <v>"C:\Program Files (x86)\AstroGrep\AstroGrep.exe" /e /r /s /spath="%USERPROFILE%\AppData\Local\Temp\OnboardLogs" /stypes="app*4002*20171004*" /stext=" 03:.+((SYSTEM_STATE.+slice.+state.+changed )|(ment ac)|(multiple cpu faults)|(system.+state.+changed )|(\[timeout)|(PRM\|1\|D)|(kpr)|(kdp)|(train st.+moving)|(\|lc)|(penalty))"</v>
      </c>
      <c r="AG242" s="228" t="str">
        <f t="shared" si="145"/>
        <v>Shuttle/Test</v>
      </c>
      <c r="AH242" s="229" t="str">
        <f t="shared" si="117"/>
        <v>"%USERPROFILE%\Documents\GitHub\eaglep3\Utilities\RefineRTDCRunTimes.py" --tripid 71-03 --locoid 4002 --swversion DE.1.0.9.0 --startMP 204:1154 --initTime 2017-10-03T21:20:22 --startdatetime 2017-10-03T21:33:32 --delay 66 --endMP 300:5704 --enddatetime 2017-10-03T21:37:07 --enforcementcount 0 &gt;&gt;%USERPROFILE%\Documents\GitHub\eaglep3-reporting\EC\2017-10-03-refined-times.txt</v>
      </c>
      <c r="AI242" s="230" t="str">
        <f t="shared" si="118"/>
        <v>echo {"issue":{"subject":"Main 3 move, active crossing session, brakes applied as intended","project_id":79,"tracker_id":40,"status_id":1,"priority_id":2,"assigned_to_id":338,"start_date":"2017-10-03","description":"","custom_fields":[{"id":1,"name":"Subdivision","value":"Shuttle/Test"},{"id":4,"name":"Milepost","value":"0.5704"},{"id":17,"name":"Train ID","value":"71-03"},{"id":16,"name":"Locomotive ID","value":"4002"},{"id":130,"name":"Impact","value":""},{"id":150,"name":"Time of Event (Mountain Time)","value":"21:37:07"},{"id":151,"name":"Denver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10"/>
      <c r="AK242" s="225"/>
      <c r="AL242" s="225"/>
      <c r="AM242" s="231" t="str">
        <f t="shared" si="119"/>
        <v>start /low /b %USERPROFILE%\Documents\GitHub\eaglep3\Utilities\DownloadLogsFromS3.py --loco 4002 --day 2017-10-03</v>
      </c>
      <c r="AN242" s="232" t="str">
        <f t="shared" si="120"/>
        <v>echo {"issue":{"subject":"Main 3 move, active crossing session, brakes applied as intended","project_id":30,"tracker_id":4,"status_id":1,"priority_id":1,"assigned_to_id":10,"start_date":"2017-10-04","description":"","custom_fields":[{"id":30,"name":"Category","value":"Issue"},{"id":3,"name":"Functional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10" t="str">
        <f t="shared" si="121"/>
        <v>https://d0f6bd738d7f1b3e5a7ca70fe4ff75f0.us-east-1.aws.found.io/app/kibana#/discover/Steve-Slow-Train-Analysis-(2080s-and-2083s)?_g=(refreshInterval:(display:Off,pause:!f,section:0,value:0),time:(from:'2017-10-03T20:20:22-0600',mode:absolute,to:'2017-10-03T22:37:07-0600'))&amp;_a=(columns:!('Message%20ID',Summary),filters:!(),index:'emp_*',interval:auto,query:(query_string:(analyze_wildcard:!t,query:'%22rtdc.l.rtdc.4002%22')),sort:!(Time.ISO8601,asc))</v>
      </c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  <c r="BM242" s="210"/>
      <c r="BN242" s="210"/>
      <c r="BO242" s="210"/>
      <c r="BP242" s="210"/>
      <c r="BQ242" s="210"/>
      <c r="BR242" s="210"/>
      <c r="BS242" s="210"/>
      <c r="BT242" s="210"/>
      <c r="BU242" s="210"/>
      <c r="BV242" s="210"/>
      <c r="BW242" s="210"/>
      <c r="BX242" s="210"/>
      <c r="BY242" s="210"/>
      <c r="BZ242" s="210"/>
      <c r="CA242" s="210"/>
      <c r="CB242" s="210"/>
      <c r="CC242" s="210"/>
      <c r="CD242" s="210"/>
      <c r="CE242" s="210"/>
      <c r="CF242" s="210"/>
      <c r="CG242" s="210"/>
      <c r="CH242" s="210"/>
      <c r="CI242" s="210"/>
      <c r="CJ242" s="210"/>
      <c r="CK242" s="210"/>
      <c r="CL242" s="210"/>
      <c r="CM242" s="210"/>
    </row>
    <row r="243" spans="1:91" s="20" customFormat="1" x14ac:dyDescent="0.25">
      <c r="A243" s="32" t="s">
        <v>788</v>
      </c>
      <c r="B243" s="7">
        <v>4001</v>
      </c>
      <c r="C243" s="21" t="s">
        <v>194</v>
      </c>
      <c r="D243" s="21" t="s">
        <v>937</v>
      </c>
      <c r="E243" s="13">
        <v>43011.739050925928</v>
      </c>
      <c r="F243" s="13">
        <v>43011.741828703707</v>
      </c>
      <c r="G243" s="7">
        <v>70</v>
      </c>
      <c r="H243" s="21" t="s">
        <v>938</v>
      </c>
      <c r="I243" s="13">
        <v>43011.746516203704</v>
      </c>
      <c r="J243" s="7">
        <v>0</v>
      </c>
      <c r="K243" s="85" t="str">
        <f t="shared" si="136"/>
        <v>4001/4002</v>
      </c>
      <c r="L243" s="179" t="str">
        <f>VLOOKUP(A243,'Trips&amp;Operators'!$C$1:$G$99911,5,FALSE)</f>
        <v>GUNTHIER ERIC</v>
      </c>
      <c r="M243" s="6">
        <f t="shared" si="137"/>
        <v>4.687499997089617E-3</v>
      </c>
      <c r="N243" s="7">
        <f t="shared" si="138"/>
        <v>6.7499999958090484</v>
      </c>
      <c r="O243" s="7"/>
      <c r="P243" s="7"/>
      <c r="Q243" s="22"/>
      <c r="R243" s="169"/>
      <c r="S243" s="202">
        <f t="shared" si="139"/>
        <v>1</v>
      </c>
      <c r="T243" s="169" t="str">
        <f t="shared" si="140"/>
        <v>Southbound</v>
      </c>
      <c r="U243" s="22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22" t="str">
        <f t="shared" si="108"/>
        <v>https://d0f6bd738d7f1b3e5a7ca70fe4ff75f0.us-east-1.aws.found.io/app/kibana#/discover/Steve-Slow-Train-Analysis-(2080s-and-2083s)?_g=(refreshInterval:(display:Off,pause:!f,section:0,value:0),time:(from:'2017-10-03T16:44:14-0600',mode:absolute,to:'2017-10-03T18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3" s="223" t="str">
        <f>IF(AA243&lt;VLOOKUP(AG243,Variables!$AC$3:$AD$8,2,FALSE),"Y","N")</f>
        <v>Y</v>
      </c>
      <c r="X243" s="223">
        <f t="shared" si="146"/>
        <v>3</v>
      </c>
      <c r="Y243" s="223">
        <f t="shared" si="141"/>
        <v>2.3351000000000002</v>
      </c>
      <c r="Z243" s="223">
        <f t="shared" si="142"/>
        <v>0.27179999999999999</v>
      </c>
      <c r="AA243" s="223">
        <f t="shared" si="143"/>
        <v>2.0633000000000004</v>
      </c>
      <c r="AB243" s="224" t="e">
        <f>VLOOKUP(A243,Enforcements!$C$7:$K$11,8,0)</f>
        <v>#N/A</v>
      </c>
      <c r="AC243" s="224" t="e">
        <f>VLOOKUP(A243,Enforcements!$C$7:$E$11,3,0)</f>
        <v>#N/A</v>
      </c>
      <c r="AD243" s="225">
        <f t="shared" si="144"/>
        <v>74</v>
      </c>
      <c r="AE243" s="226" t="str">
        <f t="shared" si="110"/>
        <v>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 &amp; aws s3 cp s3://rtdc.mdm.uploadarchive.raw/RTDC4001/ "%USERPROFILE%\AppData\Local\Temp\OnboardLogs"\RTDC4001\2017-10-04 --exclude "*" --recursive --include "*20171004*" &amp; "%USERPROFILE%\Documents\GitHub\mrs-test-scripts\Headless Mode &amp; Sideloading\WalkAndUnGZ.bat" "%USERPROFILE%\AppData\Local\Temp\OnboardLogs"\RTDC4001\2017-10-04</v>
      </c>
      <c r="AF243" s="227" t="str">
        <f t="shared" si="111"/>
        <v>"C:\Program Files (x86)\AstroGrep\AstroGrep.exe" /e /r /s /spath="%USERPROFILE%\AppData\Local\Temp\OnboardLogs" /stypes="app*4001*20171003*" /stext=" 23:.+((SYSTEM_STATE.+slice.+state.+changed )|(ment ac)|(multiple cpu faults)|(system.+state.+changed )|(\[timeout)|(PRM\|1\|D)|(kpr)|(kdp)|(train st.+moving)|(\|lc)|(penalty))"</v>
      </c>
      <c r="AG243" s="228" t="str">
        <f t="shared" si="145"/>
        <v>Shuttle/Test</v>
      </c>
      <c r="AH243" s="229" t="str">
        <f t="shared" si="117"/>
        <v>"%USERPROFILE%\Documents\GitHub\eaglep3\Utilities\RefineRTDCRunTimes.py" --tripid 74-03 --locoid 4001 --swversion DE.1.0.9.0 --startMP 300:23351 --initTime 2017-10-03T17:44:14 --startdatetime 2017-10-03T17:48:14 --delay 70 --endMP 204:2718 --enddatetime 2017-10-03T17:54:59 --enforcementcount 0 &gt;&gt;%USERPROFILE%\Documents\GitHub\eaglep3-reporting\EC\2017-10-03-refined-times.txt</v>
      </c>
      <c r="AI243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0.2718"},{"id":17,"name":"Train ID","value":"74-03"},{"id":16,"name":"Locomotive ID","value":"4001"},{"id":130,"name":"Impact","value":""},{"id":150,"name":"Time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10"/>
      <c r="AK243" s="225"/>
      <c r="AL243" s="225"/>
      <c r="AM243" s="231" t="str">
        <f t="shared" si="119"/>
        <v>start /low /b %USERPROFILE%\Documents\GitHub\eaglep3\Utilities\DownloadLogsFromS3.py --loco 4001 --day 2017-10-03</v>
      </c>
      <c r="AN24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10" t="str">
        <f t="shared" si="121"/>
        <v>https://d0f6bd738d7f1b3e5a7ca70fe4ff75f0.us-east-1.aws.found.io/app/kibana#/discover/Steve-Slow-Train-Analysis-(2080s-and-2083s)?_g=(refreshInterval:(display:Off,pause:!f,section:0,value:0),time:(from:'2017-10-03T16:44:14-0600',mode:absolute,to:'2017-10-03T18:54:59-0600'))&amp;_a=(columns:!('Message%20ID',Summary),filters:!(),index:'emp_*',interval:auto,query:(query_string:(analyze_wildcard:!t,query:'%22rtdc.l.rtdc.4001%22')),sort:!(Time.ISO8601,asc))</v>
      </c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  <c r="BM243" s="210"/>
      <c r="BN243" s="210"/>
      <c r="BO243" s="210"/>
      <c r="BP243" s="210"/>
      <c r="BQ243" s="210"/>
      <c r="BR243" s="210"/>
      <c r="BS243" s="210"/>
      <c r="BT243" s="210"/>
      <c r="BU243" s="210"/>
      <c r="BV243" s="210"/>
      <c r="BW243" s="210"/>
      <c r="BX243" s="210"/>
      <c r="BY243" s="210"/>
      <c r="BZ243" s="210"/>
      <c r="CA243" s="210"/>
      <c r="CB243" s="210"/>
      <c r="CC243" s="210"/>
      <c r="CD243" s="210"/>
      <c r="CE243" s="210"/>
      <c r="CF243" s="210"/>
      <c r="CG243" s="210"/>
      <c r="CH243" s="210"/>
      <c r="CI243" s="210"/>
      <c r="CJ243" s="210"/>
      <c r="CK243" s="210"/>
      <c r="CL243" s="210"/>
      <c r="CM243" s="210"/>
    </row>
    <row r="244" spans="1:91" x14ac:dyDescent="0.25">
      <c r="A244" s="32" t="s">
        <v>771</v>
      </c>
      <c r="B244" s="7">
        <v>4036</v>
      </c>
      <c r="C244" s="21" t="s">
        <v>194</v>
      </c>
      <c r="D244" s="21" t="s">
        <v>939</v>
      </c>
      <c r="E244" s="13">
        <v>43011.690451388888</v>
      </c>
      <c r="F244" s="13">
        <v>43011.692175925928</v>
      </c>
      <c r="G244" s="7">
        <v>64</v>
      </c>
      <c r="H244" s="21" t="s">
        <v>940</v>
      </c>
      <c r="I244" s="13">
        <v>43011.702141203707</v>
      </c>
      <c r="J244" s="7">
        <v>0</v>
      </c>
      <c r="K244" s="85" t="str">
        <f t="shared" si="136"/>
        <v>4035/4036</v>
      </c>
      <c r="L244" s="179" t="str">
        <f>VLOOKUP(A244,'Trips&amp;Operators'!$C$1:$G$99911,5,FALSE)</f>
        <v>NEWELL JAMES</v>
      </c>
      <c r="M244" s="6">
        <f t="shared" si="137"/>
        <v>9.9652777789742686E-3</v>
      </c>
      <c r="N244" s="7">
        <f t="shared" si="138"/>
        <v>14.350000001722947</v>
      </c>
      <c r="O244" s="7"/>
      <c r="P244" s="7"/>
      <c r="Q244" s="22"/>
      <c r="R244" s="169"/>
      <c r="S244" s="202">
        <f t="shared" si="139"/>
        <v>1</v>
      </c>
      <c r="T244" s="169" t="str">
        <f t="shared" si="140"/>
        <v>NorthBound</v>
      </c>
      <c r="U244" s="22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22" t="str">
        <f t="shared" si="108"/>
        <v>https://d0f6bd738d7f1b3e5a7ca70fe4ff75f0.us-east-1.aws.found.io/app/kibana#/discover/Steve-Slow-Train-Analysis-(2080s-and-2083s)?_g=(refreshInterval:(display:Off,pause:!f,section:0,value:0),time:(from:'2017-10-03T15:34:15-0600',mode:absolute,to:'2017-10-03T17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4" s="223" t="str">
        <f>IF(AA244&lt;VLOOKUP(AG244,Variables!$AC$3:$AD$8,2,FALSE),"Y","N")</f>
        <v>Y</v>
      </c>
      <c r="X244" s="223">
        <f t="shared" si="146"/>
        <v>1</v>
      </c>
      <c r="Y244" s="223">
        <f t="shared" si="141"/>
        <v>0.1492</v>
      </c>
      <c r="Z244" s="223">
        <f t="shared" si="142"/>
        <v>2.3298999999999999</v>
      </c>
      <c r="AA244" s="223">
        <f t="shared" si="143"/>
        <v>2.1806999999999999</v>
      </c>
      <c r="AB244" s="224" t="e">
        <f>VLOOKUP(A244,Enforcements!$C$7:$K$11,8,0)</f>
        <v>#N/A</v>
      </c>
      <c r="AC244" s="224" t="e">
        <f>VLOOKUP(A244,Enforcements!$C$7:$E$11,3,0)</f>
        <v>#N/A</v>
      </c>
      <c r="AD244" s="225">
        <f t="shared" si="144"/>
        <v>75</v>
      </c>
      <c r="AE244" s="226" t="str">
        <f t="shared" si="110"/>
        <v>aws s3 cp s3://rtdc.mdm.uploadarchive.raw/RTDC4036/ "%USERPROFILE%\AppData\Local\Temp\OnboardLogs"\RTDC4036\2017-10-03 --exclude "*" --recursive --include "*20171003*" &amp; "%USERPROFILE%\Documents\GitHub\mrs-test-scripts\Headless Mode &amp; Sideloading\WalkAndUnGZ.bat" "%USERPROFILE%\AppData\Local\Temp\OnboardLogs"\RTDC4036\2017-10-03 &amp; aws s3 cp s3://rtdc.mdm.uploadarchive.raw/RTDC4036/ "%USERPROFILE%\AppData\Local\Temp\OnboardLogs"\RTDC4036\2017-10-04 --exclude "*" --recursive --include "*20171004*" &amp; "%USERPROFILE%\Documents\GitHub\mrs-test-scripts\Headless Mode &amp; Sideloading\WalkAndUnGZ.bat" "%USERPROFILE%\AppData\Local\Temp\OnboardLogs"\RTDC4036\2017-10-04</v>
      </c>
      <c r="AF244" s="227" t="str">
        <f t="shared" si="111"/>
        <v>"C:\Program Files (x86)\AstroGrep\AstroGrep.exe" /e /r /s /spath="%USERPROFILE%\AppData\Local\Temp\OnboardLogs" /stypes="app*4036*20171003*" /stext=" 22:.+((SYSTEM_STATE.+slice.+state.+changed )|(ment ac)|(multiple cpu faults)|(system.+state.+changed )|(\[timeout)|(PRM\|1\|D)|(kpr)|(kdp)|(train st.+moving)|(\|lc)|(penalty))"</v>
      </c>
      <c r="AG244" s="228" t="str">
        <f t="shared" si="145"/>
        <v>Shuttle/Test</v>
      </c>
      <c r="AH244" s="229" t="str">
        <f t="shared" si="117"/>
        <v>"%USERPROFILE%\Documents\GitHub\eaglep3\Utilities\RefineRTDCRunTimes.py" --tripid 75-03 --locoid 4036 --swversion DE.1.0.9.0 --startMP 204:1492 --initTime 2017-10-03T16:34:15 --startdatetime 2017-10-03T16:36:44 --delay 64 --endMP 300:23299 --enddatetime 2017-10-03T16:51:05 --enforcementcount 0 &gt;&gt;%USERPROFILE%\Documents\GitHub\eaglep3-reporting\EC\2017-10-03-refined-times.txt</v>
      </c>
      <c r="AI244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2.3299"},{"id":17,"name":"Train ID","value":"75-03"},{"id":16,"name":"Locomotive ID","value":"4036"},{"id":130,"name":"Impact","value":""},{"id":150,"name":"Time of Event (Mountain Time)","value":"16:51:05"},{"id":151,"name":"Denver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10"/>
      <c r="AK244" s="225"/>
      <c r="AL244" s="225"/>
      <c r="AM244" s="231" t="str">
        <f t="shared" si="119"/>
        <v>start /low /b %USERPROFILE%\Documents\GitHub\eaglep3\Utilities\DownloadLogsFromS3.py --loco 4036 --day 2017-10-03</v>
      </c>
      <c r="AN244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10" t="str">
        <f t="shared" si="121"/>
        <v>https://d0f6bd738d7f1b3e5a7ca70fe4ff75f0.us-east-1.aws.found.io/app/kibana#/discover/Steve-Slow-Train-Analysis-(2080s-and-2083s)?_g=(refreshInterval:(display:Off,pause:!f,section:0,value:0),time:(from:'2017-10-03T15:34:15-0600',mode:absolute,to:'2017-10-03T17:51:05-0600'))&amp;_a=(columns:!('Message%20ID',Summary),filters:!(),index:'emp_*',interval:auto,query:(query_string:(analyze_wildcard:!t,query:'%22rtdc.l.rtdc.4036%22')),sort:!(Time.ISO8601,asc))</v>
      </c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  <c r="BM244" s="210"/>
      <c r="BN244" s="210"/>
      <c r="BO244" s="210"/>
      <c r="BP244" s="210"/>
      <c r="BQ244" s="210"/>
      <c r="BR244" s="210"/>
      <c r="BS244" s="210"/>
      <c r="BT244" s="210"/>
      <c r="BU244" s="210"/>
      <c r="BV244" s="210"/>
      <c r="BW244" s="210"/>
      <c r="BX244" s="210"/>
      <c r="BY244" s="210"/>
      <c r="BZ244" s="210"/>
      <c r="CA244" s="210"/>
      <c r="CB244" s="210"/>
      <c r="CC244" s="210"/>
      <c r="CD244" s="210"/>
      <c r="CE244" s="210"/>
      <c r="CF244" s="210"/>
      <c r="CG244" s="210"/>
      <c r="CH244" s="210"/>
      <c r="CI244" s="210"/>
      <c r="CJ244" s="210"/>
      <c r="CK244" s="210"/>
      <c r="CL244" s="210"/>
      <c r="CM244" s="210"/>
    </row>
    <row r="245" spans="1:91" s="20" customFormat="1" x14ac:dyDescent="0.25">
      <c r="A245" s="32" t="s">
        <v>786</v>
      </c>
      <c r="B245" s="7">
        <v>4016</v>
      </c>
      <c r="C245" s="21" t="s">
        <v>194</v>
      </c>
      <c r="D245" s="21" t="s">
        <v>941</v>
      </c>
      <c r="E245" s="13">
        <v>43011.727986111109</v>
      </c>
      <c r="F245" s="13">
        <v>43011.734351851854</v>
      </c>
      <c r="G245" s="7">
        <v>68</v>
      </c>
      <c r="H245" s="21" t="s">
        <v>906</v>
      </c>
      <c r="I245" s="13">
        <v>43011.741759259261</v>
      </c>
      <c r="J245" s="7">
        <v>0</v>
      </c>
      <c r="K245" s="85" t="str">
        <f t="shared" si="136"/>
        <v>4015/4016</v>
      </c>
      <c r="L245" s="179" t="str">
        <f>VLOOKUP(A245,'Trips&amp;Operators'!$C$1:$G$99911,5,FALSE)</f>
        <v>MOSES BRADLEY</v>
      </c>
      <c r="M245" s="6">
        <f t="shared" si="137"/>
        <v>7.4074074072996154E-3</v>
      </c>
      <c r="N245" s="7">
        <f t="shared" si="138"/>
        <v>10.666666666511446</v>
      </c>
      <c r="O245" s="7"/>
      <c r="P245" s="7"/>
      <c r="Q245" s="22"/>
      <c r="R245" s="169"/>
      <c r="S245" s="202">
        <f t="shared" si="139"/>
        <v>1</v>
      </c>
      <c r="T245" s="169" t="str">
        <f t="shared" si="140"/>
        <v>NorthBound</v>
      </c>
      <c r="U245" s="22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22" t="str">
        <f t="shared" si="108"/>
        <v>https://d0f6bd738d7f1b3e5a7ca70fe4ff75f0.us-east-1.aws.found.io/app/kibana#/discover/Steve-Slow-Train-Analysis-(2080s-and-2083s)?_g=(refreshInterval:(display:Off,pause:!f,section:0,value:0),time:(from:'2017-10-03T16:28:18-0600',mode:absolute,to:'2017-10-03T18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5" s="223" t="str">
        <f>IF(AA245&lt;VLOOKUP(AG245,Variables!$AC$3:$AD$8,2,FALSE),"Y","N")</f>
        <v>Y</v>
      </c>
      <c r="X245" s="223">
        <f t="shared" si="146"/>
        <v>2</v>
      </c>
      <c r="Y245" s="223">
        <f t="shared" si="141"/>
        <v>0.11559999999999999</v>
      </c>
      <c r="Z245" s="223">
        <f t="shared" si="142"/>
        <v>2.3346</v>
      </c>
      <c r="AA245" s="223">
        <f t="shared" si="143"/>
        <v>2.2189999999999999</v>
      </c>
      <c r="AB245" s="224" t="e">
        <f>VLOOKUP(A245,Enforcements!$C$7:$K$11,8,0)</f>
        <v>#N/A</v>
      </c>
      <c r="AC245" s="224" t="e">
        <f>VLOOKUP(A245,Enforcements!$C$7:$E$11,3,0)</f>
        <v>#N/A</v>
      </c>
      <c r="AD245" s="225">
        <f t="shared" si="144"/>
        <v>77</v>
      </c>
      <c r="AE245" s="226" t="str">
        <f t="shared" si="110"/>
        <v>aws s3 cp s3://rtdc.mdm.uploadarchive.raw/RTDC4016/ "%USERPROFILE%\AppData\Local\Temp\OnboardLogs"\RTDC4016\2017-10-03 --exclude "*" --recursive --include "*20171003*" &amp; "%USERPROFILE%\Documents\GitHub\mrs-test-scripts\Headless Mode &amp; Sideloading\WalkAndUnGZ.bat" "%USERPROFILE%\AppData\Local\Temp\OnboardLogs"\RTDC4016\2017-10-03 &amp; aws s3 cp s3://rtdc.mdm.uploadarchive.raw/RTDC4016/ "%USERPROFILE%\AppData\Local\Temp\OnboardLogs"\RTDC4016\2017-10-04 --exclude "*" --recursive --include "*20171004*" &amp; "%USERPROFILE%\Documents\GitHub\mrs-test-scripts\Headless Mode &amp; Sideloading\WalkAndUnGZ.bat" "%USERPROFILE%\AppData\Local\Temp\OnboardLogs"\RTDC4016\2017-10-04</v>
      </c>
      <c r="AF245" s="227" t="str">
        <f t="shared" si="111"/>
        <v>"C:\Program Files (x86)\AstroGrep\AstroGrep.exe" /e /r /s /spath="%USERPROFILE%\AppData\Local\Temp\OnboardLogs" /stypes="app*4016*20171003*" /stext=" 23:.+((SYSTEM_STATE.+slice.+state.+changed )|(ment ac)|(multiple cpu faults)|(system.+state.+changed )|(\[timeout)|(PRM\|1\|D)|(kpr)|(kdp)|(train st.+moving)|(\|lc)|(penalty))"</v>
      </c>
      <c r="AG245" s="228" t="str">
        <f t="shared" si="145"/>
        <v>Shuttle/Test</v>
      </c>
      <c r="AH245" s="229" t="str">
        <f t="shared" si="117"/>
        <v>"%USERPROFILE%\Documents\GitHub\eaglep3\Utilities\RefineRTDCRunTimes.py" --tripid 77-03 --locoid 4016 --swversion DE.1.0.9.0 --startMP 204:1156 --initTime 2017-10-03T17:28:18 --startdatetime 2017-10-03T17:37:28 --delay 68 --endMP 300:23346 --enddatetime 2017-10-03T17:48:08 --enforcementcount 0 &gt;&gt;%USERPROFILE%\Documents\GitHub\eaglep3-reporting\EC\2017-10-03-refined-times.txt</v>
      </c>
      <c r="AI245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2.3346"},{"id":17,"name":"Train ID","value":"77-03"},{"id":16,"name":"Locomotive ID","value":"4016"},{"id":130,"name":"Impact","value":""},{"id":150,"name":"Time of Event (Mountain Time)","value":"17:48:08"},{"id":151,"name":"Denver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10"/>
      <c r="AK245" s="225"/>
      <c r="AL245" s="225"/>
      <c r="AM245" s="231" t="str">
        <f t="shared" si="119"/>
        <v>start /low /b %USERPROFILE%\Documents\GitHub\eaglep3\Utilities\DownloadLogsFromS3.py --loco 4016 --day 2017-10-03</v>
      </c>
      <c r="AN24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10" t="str">
        <f t="shared" si="121"/>
        <v>https://d0f6bd738d7f1b3e5a7ca70fe4ff75f0.us-east-1.aws.found.io/app/kibana#/discover/Steve-Slow-Train-Analysis-(2080s-and-2083s)?_g=(refreshInterval:(display:Off,pause:!f,section:0,value:0),time:(from:'2017-10-03T16:28:18-0600',mode:absolute,to:'2017-10-03T18:48:08-0600'))&amp;_a=(columns:!('Message%20ID',Summary),filters:!(),index:'emp_*',interval:auto,query:(query_string:(analyze_wildcard:!t,query:'%22rtdc.l.rtdc.4016%22')),sort:!(Time.ISO8601,asc))</v>
      </c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  <c r="BM245" s="210"/>
      <c r="BN245" s="210"/>
      <c r="BO245" s="210"/>
      <c r="BP245" s="210"/>
      <c r="BQ245" s="210"/>
      <c r="BR245" s="210"/>
      <c r="BS245" s="210"/>
      <c r="BT245" s="210"/>
      <c r="BU245" s="210"/>
      <c r="BV245" s="210"/>
      <c r="BW245" s="210"/>
      <c r="BX245" s="210"/>
      <c r="BY245" s="210"/>
      <c r="BZ245" s="210"/>
      <c r="CA245" s="210"/>
      <c r="CB245" s="210"/>
      <c r="CC245" s="210"/>
      <c r="CD245" s="210"/>
      <c r="CE245" s="210"/>
      <c r="CF245" s="210"/>
      <c r="CG245" s="210"/>
      <c r="CH245" s="210"/>
      <c r="CI245" s="210"/>
      <c r="CJ245" s="210"/>
      <c r="CK245" s="210"/>
      <c r="CL245" s="210"/>
      <c r="CM245" s="210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  <c r="BM246" s="210"/>
      <c r="BN246" s="210"/>
      <c r="BO246" s="210"/>
      <c r="BP246" s="210"/>
      <c r="BQ246" s="210"/>
      <c r="BR246" s="210"/>
      <c r="BS246" s="210"/>
      <c r="BT246" s="210"/>
      <c r="BU246" s="210"/>
      <c r="BV246" s="210"/>
      <c r="BW246" s="210"/>
      <c r="BX246" s="210"/>
      <c r="BY246" s="210"/>
      <c r="BZ246" s="210"/>
      <c r="CA246" s="210"/>
      <c r="CB246" s="210"/>
      <c r="CC246" s="210"/>
      <c r="CD246" s="210"/>
      <c r="CE246" s="210"/>
      <c r="CF246" s="210"/>
      <c r="CG246" s="210"/>
      <c r="CH246" s="210"/>
      <c r="CI246" s="210"/>
      <c r="CJ246" s="210"/>
      <c r="CK246" s="210"/>
      <c r="CL246" s="210"/>
      <c r="CM246" s="210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  <c r="BM247" s="210"/>
      <c r="BN247" s="210"/>
      <c r="BO247" s="210"/>
      <c r="BP247" s="210"/>
      <c r="BQ247" s="210"/>
      <c r="BR247" s="210"/>
      <c r="BS247" s="210"/>
      <c r="BT247" s="210"/>
      <c r="BU247" s="210"/>
      <c r="BV247" s="210"/>
      <c r="BW247" s="210"/>
      <c r="BX247" s="210"/>
      <c r="BY247" s="210"/>
      <c r="BZ247" s="210"/>
      <c r="CA247" s="210"/>
      <c r="CB247" s="210"/>
      <c r="CC247" s="210"/>
      <c r="CD247" s="210"/>
      <c r="CE247" s="210"/>
      <c r="CF247" s="210"/>
      <c r="CG247" s="210"/>
      <c r="CH247" s="210"/>
      <c r="CI247" s="210"/>
      <c r="CJ247" s="210"/>
      <c r="CK247" s="210"/>
      <c r="CL247" s="210"/>
      <c r="CM247" s="210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  <c r="BM248" s="210"/>
      <c r="BN248" s="210"/>
      <c r="BO248" s="210"/>
      <c r="BP248" s="210"/>
      <c r="BQ248" s="210"/>
      <c r="BR248" s="210"/>
      <c r="BS248" s="210"/>
      <c r="BT248" s="210"/>
      <c r="BU248" s="210"/>
      <c r="BV248" s="210"/>
      <c r="BW248" s="210"/>
      <c r="BX248" s="210"/>
      <c r="BY248" s="210"/>
      <c r="BZ248" s="210"/>
      <c r="CA248" s="210"/>
      <c r="CB248" s="210"/>
      <c r="CC248" s="210"/>
      <c r="CD248" s="210"/>
      <c r="CE248" s="210"/>
      <c r="CF248" s="210"/>
      <c r="CG248" s="210"/>
      <c r="CH248" s="210"/>
      <c r="CI248" s="210"/>
      <c r="CJ248" s="210"/>
      <c r="CK248" s="210"/>
      <c r="CL248" s="210"/>
      <c r="CM248" s="210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  <c r="BM249" s="210"/>
      <c r="BN249" s="210"/>
      <c r="BO249" s="210"/>
      <c r="BP249" s="210"/>
      <c r="BQ249" s="210"/>
      <c r="BR249" s="210"/>
      <c r="BS249" s="210"/>
      <c r="BT249" s="210"/>
      <c r="BU249" s="210"/>
      <c r="BV249" s="210"/>
      <c r="BW249" s="210"/>
      <c r="BX249" s="210"/>
      <c r="BY249" s="210"/>
      <c r="BZ249" s="210"/>
      <c r="CA249" s="210"/>
      <c r="CB249" s="210"/>
      <c r="CC249" s="210"/>
      <c r="CD249" s="210"/>
      <c r="CE249" s="210"/>
      <c r="CF249" s="210"/>
      <c r="CG249" s="210"/>
      <c r="CH249" s="210"/>
      <c r="CI249" s="210"/>
      <c r="CJ249" s="210"/>
      <c r="CK249" s="210"/>
      <c r="CL249" s="210"/>
      <c r="CM249" s="210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  <c r="BM250" s="210"/>
      <c r="BN250" s="210"/>
      <c r="BO250" s="210"/>
      <c r="BP250" s="210"/>
      <c r="BQ250" s="210"/>
      <c r="BR250" s="210"/>
      <c r="BS250" s="210"/>
      <c r="BT250" s="210"/>
      <c r="BU250" s="210"/>
      <c r="BV250" s="210"/>
      <c r="BW250" s="210"/>
      <c r="BX250" s="210"/>
      <c r="BY250" s="210"/>
      <c r="BZ250" s="210"/>
      <c r="CA250" s="210"/>
      <c r="CB250" s="210"/>
      <c r="CC250" s="210"/>
      <c r="CD250" s="210"/>
      <c r="CE250" s="210"/>
      <c r="CF250" s="210"/>
      <c r="CG250" s="210"/>
      <c r="CH250" s="210"/>
      <c r="CI250" s="210"/>
      <c r="CJ250" s="210"/>
      <c r="CK250" s="210"/>
      <c r="CL250" s="210"/>
      <c r="CM250" s="21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  <c r="BM251" s="210"/>
      <c r="BN251" s="210"/>
      <c r="BO251" s="210"/>
      <c r="BP251" s="210"/>
      <c r="BQ251" s="210"/>
      <c r="BR251" s="210"/>
      <c r="BS251" s="210"/>
      <c r="BT251" s="210"/>
      <c r="BU251" s="210"/>
      <c r="BV251" s="210"/>
      <c r="BW251" s="210"/>
      <c r="BX251" s="210"/>
      <c r="BY251" s="210"/>
      <c r="BZ251" s="210"/>
      <c r="CA251" s="210"/>
      <c r="CB251" s="210"/>
      <c r="CC251" s="210"/>
      <c r="CD251" s="210"/>
      <c r="CE251" s="210"/>
      <c r="CF251" s="210"/>
      <c r="CG251" s="210"/>
      <c r="CH251" s="210"/>
      <c r="CI251" s="210"/>
      <c r="CJ251" s="210"/>
      <c r="CK251" s="210"/>
      <c r="CL251" s="210"/>
      <c r="CM251" s="210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  <c r="BM252" s="210"/>
      <c r="BN252" s="210"/>
      <c r="BO252" s="210"/>
      <c r="BP252" s="210"/>
      <c r="BQ252" s="210"/>
      <c r="BR252" s="210"/>
      <c r="BS252" s="210"/>
      <c r="BT252" s="210"/>
      <c r="BU252" s="210"/>
      <c r="BV252" s="210"/>
      <c r="BW252" s="210"/>
      <c r="BX252" s="210"/>
      <c r="BY252" s="210"/>
      <c r="BZ252" s="210"/>
      <c r="CA252" s="210"/>
      <c r="CB252" s="210"/>
      <c r="CC252" s="210"/>
      <c r="CD252" s="210"/>
      <c r="CE252" s="210"/>
      <c r="CF252" s="210"/>
      <c r="CG252" s="210"/>
      <c r="CH252" s="210"/>
      <c r="CI252" s="210"/>
      <c r="CJ252" s="210"/>
      <c r="CK252" s="210"/>
      <c r="CL252" s="210"/>
      <c r="CM252" s="210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  <c r="BX253" s="210"/>
      <c r="BY253" s="210"/>
      <c r="BZ253" s="210"/>
      <c r="CA253" s="210"/>
      <c r="CB253" s="210"/>
      <c r="CC253" s="210"/>
      <c r="CD253" s="210"/>
      <c r="CE253" s="210"/>
      <c r="CF253" s="210"/>
      <c r="CG253" s="210"/>
      <c r="CH253" s="210"/>
      <c r="CI253" s="210"/>
      <c r="CJ253" s="210"/>
      <c r="CK253" s="210"/>
      <c r="CL253" s="210"/>
      <c r="CM253" s="210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  <c r="BM254" s="210"/>
      <c r="BN254" s="210"/>
      <c r="BO254" s="210"/>
      <c r="BP254" s="210"/>
      <c r="BQ254" s="210"/>
      <c r="BR254" s="210"/>
      <c r="BS254" s="210"/>
      <c r="BT254" s="210"/>
      <c r="BU254" s="210"/>
      <c r="BV254" s="210"/>
      <c r="BW254" s="210"/>
      <c r="BX254" s="210"/>
      <c r="BY254" s="210"/>
      <c r="BZ254" s="210"/>
      <c r="CA254" s="210"/>
      <c r="CB254" s="210"/>
      <c r="CC254" s="210"/>
      <c r="CD254" s="210"/>
      <c r="CE254" s="210"/>
      <c r="CF254" s="210"/>
      <c r="CG254" s="210"/>
      <c r="CH254" s="210"/>
      <c r="CI254" s="210"/>
      <c r="CJ254" s="210"/>
      <c r="CK254" s="210"/>
      <c r="CL254" s="210"/>
      <c r="CM254" s="210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  <c r="BM255" s="210"/>
      <c r="BN255" s="210"/>
      <c r="BO255" s="210"/>
      <c r="BP255" s="210"/>
      <c r="BQ255" s="210"/>
      <c r="BR255" s="210"/>
      <c r="BS255" s="210"/>
      <c r="BT255" s="210"/>
      <c r="BU255" s="210"/>
      <c r="BV255" s="210"/>
      <c r="BW255" s="210"/>
      <c r="BX255" s="210"/>
      <c r="BY255" s="210"/>
      <c r="BZ255" s="210"/>
      <c r="CA255" s="210"/>
      <c r="CB255" s="210"/>
      <c r="CC255" s="210"/>
      <c r="CD255" s="210"/>
      <c r="CE255" s="210"/>
      <c r="CF255" s="210"/>
      <c r="CG255" s="210"/>
      <c r="CH255" s="210"/>
      <c r="CI255" s="210"/>
      <c r="CJ255" s="210"/>
      <c r="CK255" s="210"/>
      <c r="CL255" s="210"/>
      <c r="CM255" s="210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  <c r="BM256" s="210"/>
      <c r="BN256" s="210"/>
      <c r="BO256" s="210"/>
      <c r="BP256" s="210"/>
      <c r="BQ256" s="210"/>
      <c r="BR256" s="210"/>
      <c r="BS256" s="210"/>
      <c r="BT256" s="210"/>
      <c r="BU256" s="210"/>
      <c r="BV256" s="210"/>
      <c r="BW256" s="210"/>
      <c r="BX256" s="210"/>
      <c r="BY256" s="210"/>
      <c r="BZ256" s="210"/>
      <c r="CA256" s="210"/>
      <c r="CB256" s="210"/>
      <c r="CC256" s="210"/>
      <c r="CD256" s="210"/>
      <c r="CE256" s="210"/>
      <c r="CF256" s="210"/>
      <c r="CG256" s="210"/>
      <c r="CH256" s="210"/>
      <c r="CI256" s="210"/>
      <c r="CJ256" s="210"/>
      <c r="CK256" s="210"/>
      <c r="CL256" s="210"/>
      <c r="CM256" s="210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210"/>
      <c r="BT257" s="210"/>
      <c r="BU257" s="210"/>
      <c r="BV257" s="210"/>
      <c r="BW257" s="210"/>
      <c r="BX257" s="210"/>
      <c r="BY257" s="210"/>
      <c r="BZ257" s="210"/>
      <c r="CA257" s="210"/>
      <c r="CB257" s="210"/>
      <c r="CC257" s="210"/>
      <c r="CD257" s="210"/>
      <c r="CE257" s="210"/>
      <c r="CF257" s="210"/>
      <c r="CG257" s="210"/>
      <c r="CH257" s="210"/>
      <c r="CI257" s="210"/>
      <c r="CJ257" s="210"/>
      <c r="CK257" s="210"/>
      <c r="CL257" s="210"/>
      <c r="CM257" s="210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  <c r="BM258" s="210"/>
      <c r="BN258" s="210"/>
      <c r="BO258" s="210"/>
      <c r="BP258" s="210"/>
      <c r="BQ258" s="210"/>
      <c r="BR258" s="210"/>
      <c r="BS258" s="210"/>
      <c r="BT258" s="210"/>
      <c r="BU258" s="210"/>
      <c r="BV258" s="210"/>
      <c r="BW258" s="210"/>
      <c r="BX258" s="210"/>
      <c r="BY258" s="210"/>
      <c r="BZ258" s="210"/>
      <c r="CA258" s="210"/>
      <c r="CB258" s="210"/>
      <c r="CC258" s="210"/>
      <c r="CD258" s="210"/>
      <c r="CE258" s="210"/>
      <c r="CF258" s="210"/>
      <c r="CG258" s="210"/>
      <c r="CH258" s="210"/>
      <c r="CI258" s="210"/>
      <c r="CJ258" s="210"/>
      <c r="CK258" s="210"/>
      <c r="CL258" s="210"/>
      <c r="CM258" s="210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  <c r="BM259" s="210"/>
      <c r="BN259" s="210"/>
      <c r="BO259" s="210"/>
      <c r="BP259" s="210"/>
      <c r="BQ259" s="210"/>
      <c r="BR259" s="210"/>
      <c r="BS259" s="210"/>
      <c r="BT259" s="210"/>
      <c r="BU259" s="210"/>
      <c r="BV259" s="210"/>
      <c r="BW259" s="210"/>
      <c r="BX259" s="210"/>
      <c r="BY259" s="210"/>
      <c r="BZ259" s="210"/>
      <c r="CA259" s="210"/>
      <c r="CB259" s="210"/>
      <c r="CC259" s="210"/>
      <c r="CD259" s="210"/>
      <c r="CE259" s="210"/>
      <c r="CF259" s="210"/>
      <c r="CG259" s="210"/>
      <c r="CH259" s="210"/>
      <c r="CI259" s="210"/>
      <c r="CJ259" s="210"/>
      <c r="CK259" s="210"/>
      <c r="CL259" s="210"/>
      <c r="CM259" s="210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  <c r="BM260" s="210"/>
      <c r="BN260" s="210"/>
      <c r="BO260" s="210"/>
      <c r="BP260" s="210"/>
      <c r="BQ260" s="210"/>
      <c r="BR260" s="210"/>
      <c r="BS260" s="210"/>
      <c r="BT260" s="210"/>
      <c r="BU260" s="210"/>
      <c r="BV260" s="210"/>
      <c r="BW260" s="210"/>
      <c r="BX260" s="210"/>
      <c r="BY260" s="210"/>
      <c r="BZ260" s="210"/>
      <c r="CA260" s="210"/>
      <c r="CB260" s="210"/>
      <c r="CC260" s="210"/>
      <c r="CD260" s="210"/>
      <c r="CE260" s="210"/>
      <c r="CF260" s="210"/>
      <c r="CG260" s="210"/>
      <c r="CH260" s="210"/>
      <c r="CI260" s="210"/>
      <c r="CJ260" s="210"/>
      <c r="CK260" s="210"/>
      <c r="CL260" s="210"/>
      <c r="CM260" s="21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  <c r="BM261" s="210"/>
      <c r="BN261" s="210"/>
      <c r="BO261" s="210"/>
      <c r="BP261" s="210"/>
      <c r="BQ261" s="210"/>
      <c r="BR261" s="210"/>
      <c r="BS261" s="210"/>
      <c r="BT261" s="210"/>
      <c r="BU261" s="210"/>
      <c r="BV261" s="210"/>
      <c r="BW261" s="210"/>
      <c r="BX261" s="210"/>
      <c r="BY261" s="210"/>
      <c r="BZ261" s="210"/>
      <c r="CA261" s="210"/>
      <c r="CB261" s="210"/>
      <c r="CC261" s="210"/>
      <c r="CD261" s="210"/>
      <c r="CE261" s="210"/>
      <c r="CF261" s="210"/>
      <c r="CG261" s="210"/>
      <c r="CH261" s="210"/>
      <c r="CI261" s="210"/>
      <c r="CJ261" s="210"/>
      <c r="CK261" s="210"/>
      <c r="CL261" s="210"/>
      <c r="CM261" s="210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  <c r="BM262" s="210"/>
      <c r="BN262" s="210"/>
      <c r="BO262" s="210"/>
      <c r="BP262" s="210"/>
      <c r="BQ262" s="210"/>
      <c r="BR262" s="210"/>
      <c r="BS262" s="210"/>
      <c r="BT262" s="210"/>
      <c r="BU262" s="210"/>
      <c r="BV262" s="210"/>
      <c r="BW262" s="210"/>
      <c r="BX262" s="210"/>
      <c r="BY262" s="210"/>
      <c r="BZ262" s="210"/>
      <c r="CA262" s="210"/>
      <c r="CB262" s="210"/>
      <c r="CC262" s="210"/>
      <c r="CD262" s="210"/>
      <c r="CE262" s="210"/>
      <c r="CF262" s="210"/>
      <c r="CG262" s="210"/>
      <c r="CH262" s="210"/>
      <c r="CI262" s="210"/>
      <c r="CJ262" s="210"/>
      <c r="CK262" s="210"/>
      <c r="CL262" s="210"/>
      <c r="CM262" s="210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  <c r="BM263" s="210"/>
      <c r="BN263" s="210"/>
      <c r="BO263" s="210"/>
      <c r="BP263" s="210"/>
      <c r="BQ263" s="210"/>
      <c r="BR263" s="210"/>
      <c r="BS263" s="210"/>
      <c r="BT263" s="210"/>
      <c r="BU263" s="210"/>
      <c r="BV263" s="210"/>
      <c r="BW263" s="210"/>
      <c r="BX263" s="210"/>
      <c r="BY263" s="210"/>
      <c r="BZ263" s="210"/>
      <c r="CA263" s="210"/>
      <c r="CB263" s="210"/>
      <c r="CC263" s="210"/>
      <c r="CD263" s="210"/>
      <c r="CE263" s="210"/>
      <c r="CF263" s="210"/>
      <c r="CG263" s="210"/>
      <c r="CH263" s="210"/>
      <c r="CI263" s="210"/>
      <c r="CJ263" s="210"/>
      <c r="CK263" s="210"/>
      <c r="CL263" s="210"/>
      <c r="CM263" s="210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  <c r="BM264" s="210"/>
      <c r="BN264" s="210"/>
      <c r="BO264" s="210"/>
      <c r="BP264" s="210"/>
      <c r="BQ264" s="210"/>
      <c r="BR264" s="210"/>
      <c r="BS264" s="210"/>
      <c r="BT264" s="210"/>
      <c r="BU264" s="210"/>
      <c r="BV264" s="210"/>
      <c r="BW264" s="210"/>
      <c r="BX264" s="210"/>
      <c r="BY264" s="210"/>
      <c r="BZ264" s="210"/>
      <c r="CA264" s="210"/>
      <c r="CB264" s="210"/>
      <c r="CC264" s="210"/>
      <c r="CD264" s="210"/>
      <c r="CE264" s="210"/>
      <c r="CF264" s="210"/>
      <c r="CG264" s="210"/>
      <c r="CH264" s="210"/>
      <c r="CI264" s="210"/>
      <c r="CJ264" s="210"/>
      <c r="CK264" s="210"/>
      <c r="CL264" s="210"/>
      <c r="CM264" s="210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 s="210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10"/>
      <c r="AF265" s="210"/>
      <c r="AG265" s="210"/>
      <c r="AH265" s="210"/>
      <c r="AI265" s="210"/>
      <c r="AJ265" s="210"/>
      <c r="AK265" s="210"/>
      <c r="AL265" s="210"/>
      <c r="AM265" s="210"/>
      <c r="AN265" s="210"/>
      <c r="AO265" s="210"/>
      <c r="AP265" s="210"/>
      <c r="AQ265" s="210"/>
      <c r="AR265" s="210"/>
      <c r="AS265" s="210"/>
      <c r="AT265" s="210"/>
      <c r="AU265" s="210"/>
      <c r="AV265" s="210"/>
      <c r="AW265" s="210"/>
      <c r="AX265" s="210"/>
      <c r="AY265" s="210"/>
      <c r="AZ265" s="210"/>
      <c r="BA265" s="210"/>
      <c r="BB265" s="210"/>
      <c r="BC265" s="210"/>
      <c r="BD265" s="210"/>
      <c r="BE265" s="210"/>
      <c r="BF265" s="210"/>
      <c r="BG265" s="210"/>
      <c r="BH265" s="210"/>
      <c r="BI265" s="210"/>
      <c r="BJ265" s="210"/>
      <c r="BK265" s="210"/>
      <c r="BL265" s="210"/>
      <c r="BM265" s="210"/>
      <c r="BN265" s="210"/>
      <c r="BO265" s="210"/>
      <c r="BP265" s="210"/>
      <c r="BQ265" s="210"/>
      <c r="BR265" s="210"/>
      <c r="BS265" s="210"/>
      <c r="BT265" s="210"/>
      <c r="BU265" s="210"/>
      <c r="BV265" s="210"/>
      <c r="BW265" s="210"/>
      <c r="BX265" s="210"/>
      <c r="BY265" s="210"/>
      <c r="BZ265" s="210"/>
      <c r="CA265" s="210"/>
      <c r="CB265" s="210"/>
      <c r="CC265" s="210"/>
      <c r="CD265" s="210"/>
      <c r="CE265" s="210"/>
      <c r="CF265" s="210"/>
      <c r="CG265" s="210"/>
      <c r="CH265" s="210"/>
      <c r="CI265" s="210"/>
      <c r="CJ265" s="210"/>
      <c r="CK265" s="210"/>
      <c r="CL265" s="210"/>
      <c r="CM265" s="210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 s="210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10"/>
      <c r="AF266" s="210"/>
      <c r="AG266" s="210"/>
      <c r="AH266" s="210"/>
      <c r="AI266" s="210"/>
      <c r="AJ266" s="210"/>
      <c r="AK266" s="210"/>
      <c r="AL266" s="210"/>
      <c r="AM266" s="210"/>
      <c r="AN266" s="210"/>
      <c r="AO266" s="210"/>
      <c r="AP266" s="210"/>
      <c r="AQ266" s="210"/>
      <c r="AR266" s="210"/>
      <c r="AS266" s="210"/>
      <c r="AT266" s="210"/>
      <c r="AU266" s="210"/>
      <c r="AV266" s="210"/>
      <c r="AW266" s="210"/>
      <c r="AX266" s="210"/>
      <c r="AY266" s="210"/>
      <c r="AZ266" s="210"/>
      <c r="BA266" s="210"/>
      <c r="BB266" s="210"/>
      <c r="BC266" s="210"/>
      <c r="BD266" s="210"/>
      <c r="BE266" s="210"/>
      <c r="BF266" s="210"/>
      <c r="BG266" s="210"/>
      <c r="BH266" s="210"/>
      <c r="BI266" s="210"/>
      <c r="BJ266" s="210"/>
      <c r="BK266" s="210"/>
      <c r="BL266" s="210"/>
      <c r="BM266" s="210"/>
      <c r="BN266" s="210"/>
      <c r="BO266" s="210"/>
      <c r="BP266" s="210"/>
      <c r="BQ266" s="210"/>
      <c r="BR266" s="210"/>
      <c r="BS266" s="210"/>
      <c r="BT266" s="210"/>
      <c r="BU266" s="210"/>
      <c r="BV266" s="210"/>
      <c r="BW266" s="210"/>
      <c r="BX266" s="210"/>
      <c r="BY266" s="210"/>
      <c r="BZ266" s="210"/>
      <c r="CA266" s="210"/>
      <c r="CB266" s="210"/>
      <c r="CC266" s="210"/>
      <c r="CD266" s="210"/>
      <c r="CE266" s="210"/>
      <c r="CF266" s="210"/>
      <c r="CG266" s="210"/>
      <c r="CH266" s="210"/>
      <c r="CI266" s="210"/>
      <c r="CJ266" s="210"/>
      <c r="CK266" s="210"/>
      <c r="CL266" s="210"/>
      <c r="CM266" s="210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 s="210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10"/>
      <c r="AF267" s="210"/>
      <c r="AG267" s="210"/>
      <c r="AH267" s="210"/>
      <c r="AI267" s="210"/>
      <c r="AJ267" s="210"/>
      <c r="AK267" s="210"/>
      <c r="AL267" s="210"/>
      <c r="AM267" s="210"/>
      <c r="AN267" s="210"/>
      <c r="AO267" s="210"/>
      <c r="AP267" s="210"/>
      <c r="AQ267" s="210"/>
      <c r="AR267" s="210"/>
      <c r="AS267" s="210"/>
      <c r="AT267" s="210"/>
      <c r="AU267" s="210"/>
      <c r="AV267" s="210"/>
      <c r="AW267" s="210"/>
      <c r="AX267" s="210"/>
      <c r="AY267" s="210"/>
      <c r="AZ267" s="210"/>
      <c r="BA267" s="210"/>
      <c r="BB267" s="210"/>
      <c r="BC267" s="210"/>
      <c r="BD267" s="210"/>
      <c r="BE267" s="210"/>
      <c r="BF267" s="210"/>
      <c r="BG267" s="210"/>
      <c r="BH267" s="210"/>
      <c r="BI267" s="210"/>
      <c r="BJ267" s="210"/>
      <c r="BK267" s="210"/>
      <c r="BL267" s="210"/>
      <c r="BM267" s="210"/>
      <c r="BN267" s="210"/>
      <c r="BO267" s="210"/>
      <c r="BP267" s="210"/>
      <c r="BQ267" s="210"/>
      <c r="BR267" s="210"/>
      <c r="BS267" s="210"/>
      <c r="BT267" s="210"/>
      <c r="BU267" s="210"/>
      <c r="BV267" s="210"/>
      <c r="BW267" s="210"/>
      <c r="BX267" s="210"/>
      <c r="BY267" s="210"/>
      <c r="BZ267" s="210"/>
      <c r="CA267" s="210"/>
      <c r="CB267" s="210"/>
      <c r="CC267" s="210"/>
      <c r="CD267" s="210"/>
      <c r="CE267" s="210"/>
      <c r="CF267" s="210"/>
      <c r="CG267" s="210"/>
      <c r="CH267" s="210"/>
      <c r="CI267" s="210"/>
      <c r="CJ267" s="210"/>
      <c r="CK267" s="210"/>
      <c r="CL267" s="210"/>
      <c r="CM267" s="210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 s="210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10"/>
      <c r="AF268" s="210"/>
      <c r="AG268" s="210"/>
      <c r="AH268" s="210"/>
      <c r="AI268" s="210"/>
      <c r="AJ268" s="210"/>
      <c r="AK268" s="210"/>
      <c r="AL268" s="210"/>
      <c r="AM268" s="210"/>
      <c r="AN268" s="210"/>
      <c r="AO268" s="210"/>
      <c r="AP268" s="210"/>
      <c r="AQ268" s="210"/>
      <c r="AR268" s="210"/>
      <c r="AS268" s="210"/>
      <c r="AT268" s="210"/>
      <c r="AU268" s="210"/>
      <c r="AV268" s="210"/>
      <c r="AW268" s="210"/>
      <c r="AX268" s="210"/>
      <c r="AY268" s="210"/>
      <c r="AZ268" s="210"/>
      <c r="BA268" s="210"/>
      <c r="BB268" s="210"/>
      <c r="BC268" s="210"/>
      <c r="BD268" s="210"/>
      <c r="BE268" s="210"/>
      <c r="BF268" s="210"/>
      <c r="BG268" s="210"/>
      <c r="BH268" s="210"/>
      <c r="BI268" s="210"/>
      <c r="BJ268" s="210"/>
      <c r="BK268" s="210"/>
      <c r="BL268" s="210"/>
      <c r="BM268" s="210"/>
      <c r="BN268" s="210"/>
      <c r="BO268" s="210"/>
      <c r="BP268" s="210"/>
      <c r="BQ268" s="210"/>
      <c r="BR268" s="210"/>
      <c r="BS268" s="210"/>
      <c r="BT268" s="210"/>
      <c r="BU268" s="210"/>
      <c r="BV268" s="210"/>
      <c r="BW268" s="210"/>
      <c r="BX268" s="210"/>
      <c r="BY268" s="210"/>
      <c r="BZ268" s="210"/>
      <c r="CA268" s="210"/>
      <c r="CB268" s="210"/>
      <c r="CC268" s="210"/>
      <c r="CD268" s="210"/>
      <c r="CE268" s="210"/>
      <c r="CF268" s="210"/>
      <c r="CG268" s="210"/>
      <c r="CH268" s="210"/>
      <c r="CI268" s="210"/>
      <c r="CJ268" s="210"/>
      <c r="CK268" s="210"/>
      <c r="CL268" s="210"/>
      <c r="CM268" s="210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 s="210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10"/>
      <c r="AF269" s="210"/>
      <c r="AG269" s="210"/>
      <c r="AH269" s="210"/>
      <c r="AI269" s="210"/>
      <c r="AJ269" s="210"/>
      <c r="AK269" s="210"/>
      <c r="AL269" s="210"/>
      <c r="AM269" s="210"/>
      <c r="AN269" s="210"/>
      <c r="AO269" s="210"/>
      <c r="AP269" s="210"/>
      <c r="AQ269" s="210"/>
      <c r="AR269" s="210"/>
      <c r="AS269" s="210"/>
      <c r="AT269" s="210"/>
      <c r="AU269" s="210"/>
      <c r="AV269" s="210"/>
      <c r="AW269" s="210"/>
      <c r="AX269" s="210"/>
      <c r="AY269" s="210"/>
      <c r="AZ269" s="210"/>
      <c r="BA269" s="210"/>
      <c r="BB269" s="210"/>
      <c r="BC269" s="210"/>
      <c r="BD269" s="210"/>
      <c r="BE269" s="210"/>
      <c r="BF269" s="210"/>
      <c r="BG269" s="210"/>
      <c r="BH269" s="210"/>
      <c r="BI269" s="210"/>
      <c r="BJ269" s="210"/>
      <c r="BK269" s="210"/>
      <c r="BL269" s="210"/>
      <c r="BM269" s="210"/>
      <c r="BN269" s="210"/>
      <c r="BO269" s="210"/>
      <c r="BP269" s="210"/>
      <c r="BQ269" s="210"/>
      <c r="BR269" s="210"/>
      <c r="BS269" s="210"/>
      <c r="BT269" s="210"/>
      <c r="BU269" s="210"/>
      <c r="BV269" s="210"/>
      <c r="BW269" s="210"/>
      <c r="BX269" s="210"/>
      <c r="BY269" s="210"/>
      <c r="BZ269" s="210"/>
      <c r="CA269" s="210"/>
      <c r="CB269" s="210"/>
      <c r="CC269" s="210"/>
      <c r="CD269" s="210"/>
      <c r="CE269" s="210"/>
      <c r="CF269" s="210"/>
      <c r="CG269" s="210"/>
      <c r="CH269" s="210"/>
      <c r="CI269" s="210"/>
      <c r="CJ269" s="210"/>
      <c r="CK269" s="210"/>
      <c r="CL269" s="210"/>
      <c r="CM269" s="210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 s="210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10"/>
      <c r="AF270" s="210"/>
      <c r="AG270" s="210"/>
      <c r="AH270" s="210"/>
      <c r="AI270" s="210"/>
      <c r="AJ270" s="210"/>
      <c r="AK270" s="210"/>
      <c r="AL270" s="210"/>
      <c r="AM270" s="210"/>
      <c r="AN270" s="210"/>
      <c r="AO270" s="210"/>
      <c r="AP270" s="210"/>
      <c r="AQ270" s="210"/>
      <c r="AR270" s="210"/>
      <c r="AS270" s="210"/>
      <c r="AT270" s="210"/>
      <c r="AU270" s="210"/>
      <c r="AV270" s="210"/>
      <c r="AW270" s="210"/>
      <c r="AX270" s="210"/>
      <c r="AY270" s="210"/>
      <c r="AZ270" s="210"/>
      <c r="BA270" s="210"/>
      <c r="BB270" s="210"/>
      <c r="BC270" s="210"/>
      <c r="BD270" s="210"/>
      <c r="BE270" s="210"/>
      <c r="BF270" s="210"/>
      <c r="BG270" s="210"/>
      <c r="BH270" s="210"/>
      <c r="BI270" s="210"/>
      <c r="BJ270" s="210"/>
      <c r="BK270" s="210"/>
      <c r="BL270" s="210"/>
      <c r="BM270" s="210"/>
      <c r="BN270" s="210"/>
      <c r="BO270" s="210"/>
      <c r="BP270" s="210"/>
      <c r="BQ270" s="210"/>
      <c r="BR270" s="210"/>
      <c r="BS270" s="210"/>
      <c r="BT270" s="210"/>
      <c r="BU270" s="210"/>
      <c r="BV270" s="210"/>
      <c r="BW270" s="210"/>
      <c r="BX270" s="210"/>
      <c r="BY270" s="210"/>
      <c r="BZ270" s="210"/>
      <c r="CA270" s="210"/>
      <c r="CB270" s="210"/>
      <c r="CC270" s="210"/>
      <c r="CD270" s="210"/>
      <c r="CE270" s="210"/>
      <c r="CF270" s="210"/>
      <c r="CG270" s="210"/>
      <c r="CH270" s="210"/>
      <c r="CI270" s="210"/>
      <c r="CJ270" s="210"/>
      <c r="CK270" s="210"/>
      <c r="CL270" s="210"/>
      <c r="CM270" s="21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 s="210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10"/>
      <c r="AF271" s="210"/>
      <c r="AG271" s="210"/>
      <c r="AH271" s="210"/>
      <c r="AI271" s="210"/>
      <c r="AJ271" s="210"/>
      <c r="AK271" s="210"/>
      <c r="AL271" s="210"/>
      <c r="AM271" s="210"/>
      <c r="AN271" s="210"/>
      <c r="AO271" s="210"/>
      <c r="AP271" s="210"/>
      <c r="AQ271" s="210"/>
      <c r="AR271" s="210"/>
      <c r="AS271" s="210"/>
      <c r="AT271" s="210"/>
      <c r="AU271" s="210"/>
      <c r="AV271" s="210"/>
      <c r="AW271" s="210"/>
      <c r="AX271" s="210"/>
      <c r="AY271" s="210"/>
      <c r="AZ271" s="210"/>
      <c r="BA271" s="210"/>
      <c r="BB271" s="210"/>
      <c r="BC271" s="210"/>
      <c r="BD271" s="210"/>
      <c r="BE271" s="210"/>
      <c r="BF271" s="210"/>
      <c r="BG271" s="210"/>
      <c r="BH271" s="210"/>
      <c r="BI271" s="210"/>
      <c r="BJ271" s="210"/>
      <c r="BK271" s="210"/>
      <c r="BL271" s="210"/>
      <c r="BM271" s="210"/>
      <c r="BN271" s="210"/>
      <c r="BO271" s="210"/>
      <c r="BP271" s="210"/>
      <c r="BQ271" s="210"/>
      <c r="BR271" s="210"/>
      <c r="BS271" s="210"/>
      <c r="BT271" s="210"/>
      <c r="BU271" s="210"/>
      <c r="BV271" s="210"/>
      <c r="BW271" s="210"/>
      <c r="BX271" s="210"/>
      <c r="BY271" s="210"/>
      <c r="BZ271" s="210"/>
      <c r="CA271" s="210"/>
      <c r="CB271" s="210"/>
      <c r="CC271" s="210"/>
      <c r="CD271" s="210"/>
      <c r="CE271" s="210"/>
      <c r="CF271" s="210"/>
      <c r="CG271" s="210"/>
      <c r="CH271" s="210"/>
      <c r="CI271" s="210"/>
      <c r="CJ271" s="210"/>
      <c r="CK271" s="210"/>
      <c r="CL271" s="210"/>
      <c r="CM271" s="210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 s="210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10"/>
      <c r="AF272" s="210"/>
      <c r="AG272" s="210"/>
      <c r="AH272" s="210"/>
      <c r="AI272" s="210"/>
      <c r="AJ272" s="210"/>
      <c r="AK272" s="210"/>
      <c r="AL272" s="210"/>
      <c r="AM272" s="210"/>
      <c r="AN272" s="210"/>
      <c r="AO272" s="210"/>
      <c r="AP272" s="210"/>
      <c r="AQ272" s="210"/>
      <c r="AR272" s="210"/>
      <c r="AS272" s="210"/>
      <c r="AT272" s="210"/>
      <c r="AU272" s="210"/>
      <c r="AV272" s="210"/>
      <c r="AW272" s="210"/>
      <c r="AX272" s="210"/>
      <c r="AY272" s="210"/>
      <c r="AZ272" s="210"/>
      <c r="BA272" s="210"/>
      <c r="BB272" s="210"/>
      <c r="BC272" s="210"/>
      <c r="BD272" s="210"/>
      <c r="BE272" s="210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  <c r="BX272" s="210"/>
      <c r="BY272" s="210"/>
      <c r="BZ272" s="210"/>
      <c r="CA272" s="210"/>
      <c r="CB272" s="210"/>
      <c r="CC272" s="210"/>
      <c r="CD272" s="210"/>
      <c r="CE272" s="210"/>
      <c r="CF272" s="210"/>
      <c r="CG272" s="210"/>
      <c r="CH272" s="210"/>
      <c r="CI272" s="210"/>
      <c r="CJ272" s="210"/>
      <c r="CK272" s="210"/>
      <c r="CL272" s="210"/>
      <c r="CM272" s="210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 s="210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10"/>
      <c r="AF273" s="210"/>
      <c r="AG273" s="210"/>
      <c r="AH273" s="210"/>
      <c r="AI273" s="210"/>
      <c r="AJ273" s="210"/>
      <c r="AK273" s="210"/>
      <c r="AL273" s="210"/>
      <c r="AM273" s="210"/>
      <c r="AN273" s="210"/>
      <c r="AO273" s="210"/>
      <c r="AP273" s="210"/>
      <c r="AQ273" s="210"/>
      <c r="AR273" s="210"/>
      <c r="AS273" s="210"/>
      <c r="AT273" s="210"/>
      <c r="AU273" s="210"/>
      <c r="AV273" s="210"/>
      <c r="AW273" s="210"/>
      <c r="AX273" s="210"/>
      <c r="AY273" s="210"/>
      <c r="AZ273" s="210"/>
      <c r="BA273" s="210"/>
      <c r="BB273" s="210"/>
      <c r="BC273" s="210"/>
      <c r="BD273" s="210"/>
      <c r="BE273" s="210"/>
      <c r="BF273" s="210"/>
      <c r="BG273" s="210"/>
      <c r="BH273" s="210"/>
      <c r="BI273" s="210"/>
      <c r="BJ273" s="210"/>
      <c r="BK273" s="210"/>
      <c r="BL273" s="210"/>
      <c r="BM273" s="210"/>
      <c r="BN273" s="210"/>
      <c r="BO273" s="210"/>
      <c r="BP273" s="210"/>
      <c r="BQ273" s="210"/>
      <c r="BR273" s="210"/>
      <c r="BS273" s="210"/>
      <c r="BT273" s="210"/>
      <c r="BU273" s="210"/>
      <c r="BV273" s="210"/>
      <c r="BW273" s="210"/>
      <c r="BX273" s="210"/>
      <c r="BY273" s="210"/>
      <c r="BZ273" s="210"/>
      <c r="CA273" s="210"/>
      <c r="CB273" s="210"/>
      <c r="CC273" s="210"/>
      <c r="CD273" s="210"/>
      <c r="CE273" s="210"/>
      <c r="CF273" s="210"/>
      <c r="CG273" s="210"/>
      <c r="CH273" s="210"/>
      <c r="CI273" s="210"/>
      <c r="CJ273" s="210"/>
      <c r="CK273" s="210"/>
      <c r="CL273" s="210"/>
      <c r="CM273" s="210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 s="210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10"/>
      <c r="AF274" s="210"/>
      <c r="AG274" s="210"/>
      <c r="AH274" s="210"/>
      <c r="AI274" s="210"/>
      <c r="AJ274" s="210"/>
      <c r="AK274" s="210"/>
      <c r="AL274" s="210"/>
      <c r="AM274" s="210"/>
      <c r="AN274" s="210"/>
      <c r="AO274" s="210"/>
      <c r="AP274" s="210"/>
      <c r="AQ274" s="210"/>
      <c r="AR274" s="210"/>
      <c r="AS274" s="210"/>
      <c r="AT274" s="210"/>
      <c r="AU274" s="210"/>
      <c r="AV274" s="210"/>
      <c r="AW274" s="210"/>
      <c r="AX274" s="210"/>
      <c r="AY274" s="210"/>
      <c r="AZ274" s="210"/>
      <c r="BA274" s="210"/>
      <c r="BB274" s="210"/>
      <c r="BC274" s="210"/>
      <c r="BD274" s="210"/>
      <c r="BE274" s="210"/>
      <c r="BF274" s="210"/>
      <c r="BG274" s="210"/>
      <c r="BH274" s="210"/>
      <c r="BI274" s="210"/>
      <c r="BJ274" s="210"/>
      <c r="BK274" s="210"/>
      <c r="BL274" s="210"/>
      <c r="BM274" s="210"/>
      <c r="BN274" s="210"/>
      <c r="BO274" s="210"/>
      <c r="BP274" s="210"/>
      <c r="BQ274" s="210"/>
      <c r="BR274" s="210"/>
      <c r="BS274" s="210"/>
      <c r="BT274" s="210"/>
      <c r="BU274" s="210"/>
      <c r="BV274" s="210"/>
      <c r="BW274" s="210"/>
      <c r="BX274" s="210"/>
      <c r="BY274" s="210"/>
      <c r="BZ274" s="210"/>
      <c r="CA274" s="210"/>
      <c r="CB274" s="210"/>
      <c r="CC274" s="210"/>
      <c r="CD274" s="210"/>
      <c r="CE274" s="210"/>
      <c r="CF274" s="210"/>
      <c r="CG274" s="210"/>
      <c r="CH274" s="210"/>
      <c r="CI274" s="210"/>
      <c r="CJ274" s="210"/>
      <c r="CK274" s="210"/>
      <c r="CL274" s="210"/>
      <c r="CM274" s="210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 s="210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10"/>
      <c r="AF275" s="210"/>
      <c r="AG275" s="210"/>
      <c r="AH275" s="210"/>
      <c r="AI275" s="210"/>
      <c r="AJ275" s="210"/>
      <c r="AK275" s="210"/>
      <c r="AL275" s="210"/>
      <c r="AM275" s="210"/>
      <c r="AN275" s="210"/>
      <c r="AO275" s="210"/>
      <c r="AP275" s="210"/>
      <c r="AQ275" s="210"/>
      <c r="AR275" s="210"/>
      <c r="AS275" s="210"/>
      <c r="AT275" s="210"/>
      <c r="AU275" s="210"/>
      <c r="AV275" s="210"/>
      <c r="AW275" s="210"/>
      <c r="AX275" s="210"/>
      <c r="AY275" s="210"/>
      <c r="AZ275" s="210"/>
      <c r="BA275" s="210"/>
      <c r="BB275" s="210"/>
      <c r="BC275" s="210"/>
      <c r="BD275" s="210"/>
      <c r="BE275" s="210"/>
      <c r="BF275" s="210"/>
      <c r="BG275" s="210"/>
      <c r="BH275" s="210"/>
      <c r="BI275" s="210"/>
      <c r="BJ275" s="210"/>
      <c r="BK275" s="210"/>
      <c r="BL275" s="210"/>
      <c r="BM275" s="210"/>
      <c r="BN275" s="210"/>
      <c r="BO275" s="210"/>
      <c r="BP275" s="210"/>
      <c r="BQ275" s="210"/>
      <c r="BR275" s="210"/>
      <c r="BS275" s="210"/>
      <c r="BT275" s="210"/>
      <c r="BU275" s="210"/>
      <c r="BV275" s="210"/>
      <c r="BW275" s="210"/>
      <c r="BX275" s="210"/>
      <c r="BY275" s="210"/>
      <c r="BZ275" s="210"/>
      <c r="CA275" s="210"/>
      <c r="CB275" s="210"/>
      <c r="CC275" s="210"/>
      <c r="CD275" s="210"/>
      <c r="CE275" s="210"/>
      <c r="CF275" s="210"/>
      <c r="CG275" s="210"/>
      <c r="CH275" s="210"/>
      <c r="CI275" s="210"/>
      <c r="CJ275" s="210"/>
      <c r="CK275" s="210"/>
      <c r="CL275" s="210"/>
      <c r="CM275" s="210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 s="210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10"/>
      <c r="AF276" s="210"/>
      <c r="AG276" s="210"/>
      <c r="AH276" s="210"/>
      <c r="AI276" s="210"/>
      <c r="AJ276" s="210"/>
      <c r="AK276" s="210"/>
      <c r="AL276" s="210"/>
      <c r="AM276" s="210"/>
      <c r="AN276" s="210"/>
      <c r="AO276" s="210"/>
      <c r="AP276" s="210"/>
      <c r="AQ276" s="210"/>
      <c r="AR276" s="210"/>
      <c r="AS276" s="210"/>
      <c r="AT276" s="210"/>
      <c r="AU276" s="210"/>
      <c r="AV276" s="210"/>
      <c r="AW276" s="210"/>
      <c r="AX276" s="210"/>
      <c r="AY276" s="210"/>
      <c r="AZ276" s="210"/>
      <c r="BA276" s="210"/>
      <c r="BB276" s="210"/>
      <c r="BC276" s="210"/>
      <c r="BD276" s="210"/>
      <c r="BE276" s="210"/>
      <c r="BF276" s="210"/>
      <c r="BG276" s="210"/>
      <c r="BH276" s="210"/>
      <c r="BI276" s="210"/>
      <c r="BJ276" s="210"/>
      <c r="BK276" s="210"/>
      <c r="BL276" s="210"/>
      <c r="BM276" s="210"/>
      <c r="BN276" s="210"/>
      <c r="BO276" s="210"/>
      <c r="BP276" s="210"/>
      <c r="BQ276" s="210"/>
      <c r="BR276" s="210"/>
      <c r="BS276" s="210"/>
      <c r="BT276" s="210"/>
      <c r="BU276" s="210"/>
      <c r="BV276" s="210"/>
      <c r="BW276" s="210"/>
      <c r="BX276" s="210"/>
      <c r="BY276" s="210"/>
      <c r="BZ276" s="210"/>
      <c r="CA276" s="210"/>
      <c r="CB276" s="210"/>
      <c r="CC276" s="210"/>
      <c r="CD276" s="210"/>
      <c r="CE276" s="210"/>
      <c r="CF276" s="210"/>
      <c r="CG276" s="210"/>
      <c r="CH276" s="210"/>
      <c r="CI276" s="210"/>
      <c r="CJ276" s="210"/>
      <c r="CK276" s="210"/>
      <c r="CL276" s="210"/>
      <c r="CM276" s="210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 s="210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10"/>
      <c r="AF277" s="210"/>
      <c r="AG277" s="210"/>
      <c r="AH277" s="210"/>
      <c r="AI277" s="210"/>
      <c r="AJ277" s="210"/>
      <c r="AK277" s="210"/>
      <c r="AL277" s="210"/>
      <c r="AM277" s="210"/>
      <c r="AN277" s="210"/>
      <c r="AO277" s="210"/>
      <c r="AP277" s="210"/>
      <c r="AQ277" s="210"/>
      <c r="AR277" s="210"/>
      <c r="AS277" s="210"/>
      <c r="AT277" s="210"/>
      <c r="AU277" s="210"/>
      <c r="AV277" s="210"/>
      <c r="AW277" s="210"/>
      <c r="AX277" s="210"/>
      <c r="AY277" s="210"/>
      <c r="AZ277" s="210"/>
      <c r="BA277" s="210"/>
      <c r="BB277" s="210"/>
      <c r="BC277" s="210"/>
      <c r="BD277" s="210"/>
      <c r="BE277" s="210"/>
      <c r="BF277" s="210"/>
      <c r="BG277" s="210"/>
      <c r="BH277" s="210"/>
      <c r="BI277" s="210"/>
      <c r="BJ277" s="210"/>
      <c r="BK277" s="210"/>
      <c r="BL277" s="210"/>
      <c r="BM277" s="210"/>
      <c r="BN277" s="210"/>
      <c r="BO277" s="210"/>
      <c r="BP277" s="210"/>
      <c r="BQ277" s="210"/>
      <c r="BR277" s="210"/>
      <c r="BS277" s="210"/>
      <c r="BT277" s="210"/>
      <c r="BU277" s="210"/>
      <c r="BV277" s="210"/>
      <c r="BW277" s="210"/>
      <c r="BX277" s="210"/>
      <c r="BY277" s="210"/>
      <c r="BZ277" s="210"/>
      <c r="CA277" s="210"/>
      <c r="CB277" s="210"/>
      <c r="CC277" s="210"/>
      <c r="CD277" s="210"/>
      <c r="CE277" s="210"/>
      <c r="CF277" s="210"/>
      <c r="CG277" s="210"/>
      <c r="CH277" s="210"/>
      <c r="CI277" s="210"/>
      <c r="CJ277" s="210"/>
      <c r="CK277" s="210"/>
      <c r="CL277" s="210"/>
      <c r="CM277" s="210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 s="210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10"/>
      <c r="AF278" s="210"/>
      <c r="AG278" s="210"/>
      <c r="AH278" s="210"/>
      <c r="AI278" s="210"/>
      <c r="AJ278" s="210"/>
      <c r="AK278" s="210"/>
      <c r="AL278" s="210"/>
      <c r="AM278" s="210"/>
      <c r="AN278" s="210"/>
      <c r="AO278" s="210"/>
      <c r="AP278" s="210"/>
      <c r="AQ278" s="210"/>
      <c r="AR278" s="210"/>
      <c r="AS278" s="210"/>
      <c r="AT278" s="210"/>
      <c r="AU278" s="210"/>
      <c r="AV278" s="210"/>
      <c r="AW278" s="210"/>
      <c r="AX278" s="210"/>
      <c r="AY278" s="210"/>
      <c r="AZ278" s="210"/>
      <c r="BA278" s="210"/>
      <c r="BB278" s="210"/>
      <c r="BC278" s="210"/>
      <c r="BD278" s="210"/>
      <c r="BE278" s="210"/>
      <c r="BF278" s="210"/>
      <c r="BG278" s="210"/>
      <c r="BH278" s="210"/>
      <c r="BI278" s="210"/>
      <c r="BJ278" s="210"/>
      <c r="BK278" s="210"/>
      <c r="BL278" s="210"/>
      <c r="BM278" s="210"/>
      <c r="BN278" s="210"/>
      <c r="BO278" s="210"/>
      <c r="BP278" s="210"/>
      <c r="BQ278" s="210"/>
      <c r="BR278" s="210"/>
      <c r="BS278" s="210"/>
      <c r="BT278" s="210"/>
      <c r="BU278" s="210"/>
      <c r="BV278" s="210"/>
      <c r="BW278" s="210"/>
      <c r="BX278" s="210"/>
      <c r="BY278" s="210"/>
      <c r="BZ278" s="210"/>
      <c r="CA278" s="210"/>
      <c r="CB278" s="210"/>
      <c r="CC278" s="210"/>
      <c r="CD278" s="210"/>
      <c r="CE278" s="210"/>
      <c r="CF278" s="210"/>
      <c r="CG278" s="210"/>
      <c r="CH278" s="210"/>
      <c r="CI278" s="210"/>
      <c r="CJ278" s="210"/>
      <c r="CK278" s="210"/>
      <c r="CL278" s="210"/>
      <c r="CM278" s="210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 s="210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10"/>
      <c r="AF279" s="210"/>
      <c r="AG279" s="210"/>
      <c r="AH279" s="210"/>
      <c r="AI279" s="210"/>
      <c r="AJ279" s="210"/>
      <c r="AK279" s="210"/>
      <c r="AL279" s="210"/>
      <c r="AM279" s="210"/>
      <c r="AN279" s="210"/>
      <c r="AO279" s="210"/>
      <c r="AP279" s="210"/>
      <c r="AQ279" s="210"/>
      <c r="AR279" s="210"/>
      <c r="AS279" s="210"/>
      <c r="AT279" s="210"/>
      <c r="AU279" s="210"/>
      <c r="AV279" s="210"/>
      <c r="AW279" s="210"/>
      <c r="AX279" s="210"/>
      <c r="AY279" s="210"/>
      <c r="AZ279" s="210"/>
      <c r="BA279" s="210"/>
      <c r="BB279" s="210"/>
      <c r="BC279" s="210"/>
      <c r="BD279" s="210"/>
      <c r="BE279" s="210"/>
      <c r="BF279" s="210"/>
      <c r="BG279" s="210"/>
      <c r="BH279" s="210"/>
      <c r="BI279" s="210"/>
      <c r="BJ279" s="210"/>
      <c r="BK279" s="210"/>
      <c r="BL279" s="210"/>
      <c r="BM279" s="210"/>
      <c r="BN279" s="210"/>
      <c r="BO279" s="210"/>
      <c r="BP279" s="210"/>
      <c r="BQ279" s="210"/>
      <c r="BR279" s="210"/>
      <c r="BS279" s="210"/>
      <c r="BT279" s="210"/>
      <c r="BU279" s="210"/>
      <c r="BV279" s="210"/>
      <c r="BW279" s="210"/>
      <c r="BX279" s="210"/>
      <c r="BY279" s="210"/>
      <c r="BZ279" s="210"/>
      <c r="CA279" s="210"/>
      <c r="CB279" s="210"/>
      <c r="CC279" s="210"/>
      <c r="CD279" s="210"/>
      <c r="CE279" s="210"/>
      <c r="CF279" s="210"/>
      <c r="CG279" s="210"/>
      <c r="CH279" s="210"/>
      <c r="CI279" s="210"/>
      <c r="CJ279" s="210"/>
      <c r="CK279" s="210"/>
      <c r="CL279" s="210"/>
      <c r="CM279" s="210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 s="210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10"/>
      <c r="AF280" s="210"/>
      <c r="AG280" s="210"/>
      <c r="AH280" s="210"/>
      <c r="AI280" s="210"/>
      <c r="AJ280" s="210"/>
      <c r="AK280" s="210"/>
      <c r="AL280" s="210"/>
      <c r="AM280" s="210"/>
      <c r="AN280" s="210"/>
      <c r="AO280" s="210"/>
      <c r="AP280" s="210"/>
      <c r="AQ280" s="210"/>
      <c r="AR280" s="210"/>
      <c r="AS280" s="210"/>
      <c r="AT280" s="210"/>
      <c r="AU280" s="210"/>
      <c r="AV280" s="210"/>
      <c r="AW280" s="210"/>
      <c r="AX280" s="210"/>
      <c r="AY280" s="210"/>
      <c r="AZ280" s="210"/>
      <c r="BA280" s="210"/>
      <c r="BB280" s="210"/>
      <c r="BC280" s="210"/>
      <c r="BD280" s="210"/>
      <c r="BE280" s="210"/>
      <c r="BF280" s="210"/>
      <c r="BG280" s="210"/>
      <c r="BH280" s="210"/>
      <c r="BI280" s="210"/>
      <c r="BJ280" s="210"/>
      <c r="BK280" s="210"/>
      <c r="BL280" s="210"/>
      <c r="BM280" s="210"/>
      <c r="BN280" s="210"/>
      <c r="BO280" s="210"/>
      <c r="BP280" s="210"/>
      <c r="BQ280" s="210"/>
      <c r="BR280" s="210"/>
      <c r="BS280" s="210"/>
      <c r="BT280" s="210"/>
      <c r="BU280" s="210"/>
      <c r="BV280" s="210"/>
      <c r="BW280" s="210"/>
      <c r="BX280" s="210"/>
      <c r="BY280" s="210"/>
      <c r="BZ280" s="210"/>
      <c r="CA280" s="210"/>
      <c r="CB280" s="210"/>
      <c r="CC280" s="210"/>
      <c r="CD280" s="210"/>
      <c r="CE280" s="210"/>
      <c r="CF280" s="210"/>
      <c r="CG280" s="210"/>
      <c r="CH280" s="210"/>
      <c r="CI280" s="210"/>
      <c r="CJ280" s="210"/>
      <c r="CK280" s="210"/>
      <c r="CL280" s="210"/>
      <c r="CM280" s="21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 s="210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10"/>
      <c r="AF281" s="210"/>
      <c r="AG281" s="210"/>
      <c r="AH281" s="210"/>
      <c r="AI281" s="210"/>
      <c r="AJ281" s="210"/>
      <c r="AK281" s="210"/>
      <c r="AL281" s="210"/>
      <c r="AM281" s="210"/>
      <c r="AN281" s="210"/>
      <c r="AO281" s="210"/>
      <c r="AP281" s="210"/>
      <c r="AQ281" s="210"/>
      <c r="AR281" s="210"/>
      <c r="AS281" s="210"/>
      <c r="AT281" s="210"/>
      <c r="AU281" s="210"/>
      <c r="AV281" s="210"/>
      <c r="AW281" s="210"/>
      <c r="AX281" s="210"/>
      <c r="AY281" s="210"/>
      <c r="AZ281" s="210"/>
      <c r="BA281" s="210"/>
      <c r="BB281" s="210"/>
      <c r="BC281" s="210"/>
      <c r="BD281" s="210"/>
      <c r="BE281" s="210"/>
      <c r="BF281" s="210"/>
      <c r="BG281" s="210"/>
      <c r="BH281" s="210"/>
      <c r="BI281" s="210"/>
      <c r="BJ281" s="210"/>
      <c r="BK281" s="210"/>
      <c r="BL281" s="210"/>
      <c r="BM281" s="210"/>
      <c r="BN281" s="210"/>
      <c r="BO281" s="210"/>
      <c r="BP281" s="210"/>
      <c r="BQ281" s="210"/>
      <c r="BR281" s="210"/>
      <c r="BS281" s="210"/>
      <c r="BT281" s="210"/>
      <c r="BU281" s="210"/>
      <c r="BV281" s="210"/>
      <c r="BW281" s="210"/>
      <c r="BX281" s="210"/>
      <c r="BY281" s="210"/>
      <c r="BZ281" s="210"/>
      <c r="CA281" s="210"/>
      <c r="CB281" s="210"/>
      <c r="CC281" s="210"/>
      <c r="CD281" s="210"/>
      <c r="CE281" s="210"/>
      <c r="CF281" s="210"/>
      <c r="CG281" s="210"/>
      <c r="CH281" s="210"/>
      <c r="CI281" s="210"/>
      <c r="CJ281" s="210"/>
      <c r="CK281" s="210"/>
      <c r="CL281" s="210"/>
      <c r="CM281" s="210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 s="210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10"/>
      <c r="AF282" s="210"/>
      <c r="AG282" s="210"/>
      <c r="AH282" s="210"/>
      <c r="AI282" s="210"/>
      <c r="AJ282" s="210"/>
      <c r="AK282" s="210"/>
      <c r="AL282" s="210"/>
      <c r="AM282" s="210"/>
      <c r="AN282" s="210"/>
      <c r="AO282" s="210"/>
      <c r="AP282" s="210"/>
      <c r="AQ282" s="210"/>
      <c r="AR282" s="210"/>
      <c r="AS282" s="210"/>
      <c r="AT282" s="210"/>
      <c r="AU282" s="210"/>
      <c r="AV282" s="210"/>
      <c r="AW282" s="210"/>
      <c r="AX282" s="210"/>
      <c r="AY282" s="210"/>
      <c r="AZ282" s="210"/>
      <c r="BA282" s="210"/>
      <c r="BB282" s="210"/>
      <c r="BC282" s="210"/>
      <c r="BD282" s="210"/>
      <c r="BE282" s="210"/>
      <c r="BF282" s="210"/>
      <c r="BG282" s="210"/>
      <c r="BH282" s="210"/>
      <c r="BI282" s="210"/>
      <c r="BJ282" s="210"/>
      <c r="BK282" s="210"/>
      <c r="BL282" s="210"/>
      <c r="BM282" s="210"/>
      <c r="BN282" s="210"/>
      <c r="BO282" s="210"/>
      <c r="BP282" s="210"/>
      <c r="BQ282" s="210"/>
      <c r="BR282" s="210"/>
      <c r="BS282" s="210"/>
      <c r="BT282" s="210"/>
      <c r="BU282" s="210"/>
      <c r="BV282" s="210"/>
      <c r="BW282" s="210"/>
      <c r="BX282" s="210"/>
      <c r="BY282" s="210"/>
      <c r="BZ282" s="210"/>
      <c r="CA282" s="210"/>
      <c r="CB282" s="210"/>
      <c r="CC282" s="210"/>
      <c r="CD282" s="210"/>
      <c r="CE282" s="210"/>
      <c r="CF282" s="210"/>
      <c r="CG282" s="210"/>
      <c r="CH282" s="210"/>
      <c r="CI282" s="210"/>
      <c r="CJ282" s="210"/>
      <c r="CK282" s="210"/>
      <c r="CL282" s="210"/>
      <c r="CM282" s="210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 s="210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10"/>
      <c r="AF283" s="210"/>
      <c r="AG283" s="210"/>
      <c r="AH283" s="210"/>
      <c r="AI283" s="210"/>
      <c r="AJ283" s="210"/>
      <c r="AK283" s="210"/>
      <c r="AL283" s="210"/>
      <c r="AM283" s="210"/>
      <c r="AN283" s="210"/>
      <c r="AO283" s="210"/>
      <c r="AP283" s="210"/>
      <c r="AQ283" s="210"/>
      <c r="AR283" s="210"/>
      <c r="AS283" s="210"/>
      <c r="AT283" s="210"/>
      <c r="AU283" s="210"/>
      <c r="AV283" s="210"/>
      <c r="AW283" s="210"/>
      <c r="AX283" s="210"/>
      <c r="AY283" s="210"/>
      <c r="AZ283" s="210"/>
      <c r="BA283" s="210"/>
      <c r="BB283" s="210"/>
      <c r="BC283" s="210"/>
      <c r="BD283" s="210"/>
      <c r="BE283" s="210"/>
      <c r="BF283" s="210"/>
      <c r="BG283" s="210"/>
      <c r="BH283" s="210"/>
      <c r="BI283" s="210"/>
      <c r="BJ283" s="210"/>
      <c r="BK283" s="210"/>
      <c r="BL283" s="210"/>
      <c r="BM283" s="210"/>
      <c r="BN283" s="210"/>
      <c r="BO283" s="210"/>
      <c r="BP283" s="210"/>
      <c r="BQ283" s="210"/>
      <c r="BR283" s="210"/>
      <c r="BS283" s="210"/>
      <c r="BT283" s="210"/>
      <c r="BU283" s="210"/>
      <c r="BV283" s="210"/>
      <c r="BW283" s="210"/>
      <c r="BX283" s="210"/>
      <c r="BY283" s="210"/>
      <c r="BZ283" s="210"/>
      <c r="CA283" s="210"/>
      <c r="CB283" s="210"/>
      <c r="CC283" s="210"/>
      <c r="CD283" s="210"/>
      <c r="CE283" s="210"/>
      <c r="CF283" s="210"/>
      <c r="CG283" s="210"/>
      <c r="CH283" s="210"/>
      <c r="CI283" s="210"/>
      <c r="CJ283" s="210"/>
      <c r="CK283" s="210"/>
      <c r="CL283" s="210"/>
      <c r="CM283" s="210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 s="210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10"/>
      <c r="AF284" s="210"/>
      <c r="AG284" s="210"/>
      <c r="AH284" s="210"/>
      <c r="AI284" s="210"/>
      <c r="AJ284" s="210"/>
      <c r="AK284" s="210"/>
      <c r="AL284" s="210"/>
      <c r="AM284" s="210"/>
      <c r="AN284" s="210"/>
      <c r="AO284" s="210"/>
      <c r="AP284" s="210"/>
      <c r="AQ284" s="210"/>
      <c r="AR284" s="210"/>
      <c r="AS284" s="210"/>
      <c r="AT284" s="210"/>
      <c r="AU284" s="210"/>
      <c r="AV284" s="210"/>
      <c r="AW284" s="210"/>
      <c r="AX284" s="210"/>
      <c r="AY284" s="210"/>
      <c r="AZ284" s="210"/>
      <c r="BA284" s="210"/>
      <c r="BB284" s="210"/>
      <c r="BC284" s="210"/>
      <c r="BD284" s="210"/>
      <c r="BE284" s="210"/>
      <c r="BF284" s="210"/>
      <c r="BG284" s="210"/>
      <c r="BH284" s="210"/>
      <c r="BI284" s="210"/>
      <c r="BJ284" s="210"/>
      <c r="BK284" s="210"/>
      <c r="BL284" s="210"/>
      <c r="BM284" s="210"/>
      <c r="BN284" s="210"/>
      <c r="BO284" s="210"/>
      <c r="BP284" s="210"/>
      <c r="BQ284" s="210"/>
      <c r="BR284" s="210"/>
      <c r="BS284" s="210"/>
      <c r="BT284" s="210"/>
      <c r="BU284" s="210"/>
      <c r="BV284" s="210"/>
      <c r="BW284" s="210"/>
      <c r="BX284" s="210"/>
      <c r="BY284" s="210"/>
      <c r="BZ284" s="210"/>
      <c r="CA284" s="210"/>
      <c r="CB284" s="210"/>
      <c r="CC284" s="210"/>
      <c r="CD284" s="210"/>
      <c r="CE284" s="210"/>
      <c r="CF284" s="210"/>
      <c r="CG284" s="210"/>
      <c r="CH284" s="210"/>
      <c r="CI284" s="210"/>
      <c r="CJ284" s="210"/>
      <c r="CK284" s="210"/>
      <c r="CL284" s="210"/>
      <c r="CM284" s="210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 s="210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10"/>
      <c r="AF285" s="210"/>
      <c r="AG285" s="210"/>
      <c r="AH285" s="210"/>
      <c r="AI285" s="210"/>
      <c r="AJ285" s="210"/>
      <c r="AK285" s="210"/>
      <c r="AL285" s="210"/>
      <c r="AM285" s="210"/>
      <c r="AN285" s="210"/>
      <c r="AO285" s="210"/>
      <c r="AP285" s="210"/>
      <c r="AQ285" s="210"/>
      <c r="AR285" s="210"/>
      <c r="AS285" s="210"/>
      <c r="AT285" s="210"/>
      <c r="AU285" s="210"/>
      <c r="AV285" s="210"/>
      <c r="AW285" s="210"/>
      <c r="AX285" s="210"/>
      <c r="AY285" s="210"/>
      <c r="AZ285" s="210"/>
      <c r="BA285" s="210"/>
      <c r="BB285" s="210"/>
      <c r="BC285" s="210"/>
      <c r="BD285" s="210"/>
      <c r="BE285" s="210"/>
      <c r="BF285" s="210"/>
      <c r="BG285" s="210"/>
      <c r="BH285" s="210"/>
      <c r="BI285" s="210"/>
      <c r="BJ285" s="210"/>
      <c r="BK285" s="210"/>
      <c r="BL285" s="210"/>
      <c r="BM285" s="210"/>
      <c r="BN285" s="210"/>
      <c r="BO285" s="210"/>
      <c r="BP285" s="210"/>
      <c r="BQ285" s="210"/>
      <c r="BR285" s="210"/>
      <c r="BS285" s="210"/>
      <c r="BT285" s="210"/>
      <c r="BU285" s="210"/>
      <c r="BV285" s="210"/>
      <c r="BW285" s="210"/>
      <c r="BX285" s="210"/>
      <c r="BY285" s="210"/>
      <c r="BZ285" s="210"/>
      <c r="CA285" s="210"/>
      <c r="CB285" s="210"/>
      <c r="CC285" s="210"/>
      <c r="CD285" s="210"/>
      <c r="CE285" s="210"/>
      <c r="CF285" s="210"/>
      <c r="CG285" s="210"/>
      <c r="CH285" s="210"/>
      <c r="CI285" s="210"/>
      <c r="CJ285" s="210"/>
      <c r="CK285" s="210"/>
      <c r="CL285" s="210"/>
      <c r="CM285" s="210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 s="210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10"/>
      <c r="AF286" s="210"/>
      <c r="AG286" s="210"/>
      <c r="AH286" s="210"/>
      <c r="AI286" s="210"/>
      <c r="AJ286" s="210"/>
      <c r="AK286" s="210"/>
      <c r="AL286" s="210"/>
      <c r="AM286" s="210"/>
      <c r="AN286" s="210"/>
      <c r="AO286" s="210"/>
      <c r="AP286" s="210"/>
      <c r="AQ286" s="210"/>
      <c r="AR286" s="210"/>
      <c r="AS286" s="210"/>
      <c r="AT286" s="210"/>
      <c r="AU286" s="210"/>
      <c r="AV286" s="210"/>
      <c r="AW286" s="210"/>
      <c r="AX286" s="210"/>
      <c r="AY286" s="210"/>
      <c r="AZ286" s="210"/>
      <c r="BA286" s="210"/>
      <c r="BB286" s="210"/>
      <c r="BC286" s="210"/>
      <c r="BD286" s="210"/>
      <c r="BE286" s="210"/>
      <c r="BF286" s="210"/>
      <c r="BG286" s="210"/>
      <c r="BH286" s="210"/>
      <c r="BI286" s="210"/>
      <c r="BJ286" s="210"/>
      <c r="BK286" s="210"/>
      <c r="BL286" s="210"/>
      <c r="BM286" s="210"/>
      <c r="BN286" s="210"/>
      <c r="BO286" s="210"/>
      <c r="BP286" s="210"/>
      <c r="BQ286" s="210"/>
      <c r="BR286" s="210"/>
      <c r="BS286" s="210"/>
      <c r="BT286" s="210"/>
      <c r="BU286" s="210"/>
      <c r="BV286" s="210"/>
      <c r="BW286" s="210"/>
      <c r="BX286" s="210"/>
      <c r="BY286" s="210"/>
      <c r="BZ286" s="210"/>
      <c r="CA286" s="210"/>
      <c r="CB286" s="210"/>
      <c r="CC286" s="210"/>
      <c r="CD286" s="210"/>
      <c r="CE286" s="210"/>
      <c r="CF286" s="210"/>
      <c r="CG286" s="210"/>
      <c r="CH286" s="210"/>
      <c r="CI286" s="210"/>
      <c r="CJ286" s="210"/>
      <c r="CK286" s="210"/>
      <c r="CL286" s="210"/>
      <c r="CM286" s="210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 s="210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10"/>
      <c r="AF287" s="210"/>
      <c r="AG287" s="210"/>
      <c r="AH287" s="210"/>
      <c r="AI287" s="210"/>
      <c r="AJ287" s="210"/>
      <c r="AK287" s="210"/>
      <c r="AL287" s="210"/>
      <c r="AM287" s="210"/>
      <c r="AN287" s="210"/>
      <c r="AO287" s="210"/>
      <c r="AP287" s="210"/>
      <c r="AQ287" s="210"/>
      <c r="AR287" s="210"/>
      <c r="AS287" s="210"/>
      <c r="AT287" s="210"/>
      <c r="AU287" s="210"/>
      <c r="AV287" s="210"/>
      <c r="AW287" s="210"/>
      <c r="AX287" s="210"/>
      <c r="AY287" s="210"/>
      <c r="AZ287" s="210"/>
      <c r="BA287" s="210"/>
      <c r="BB287" s="210"/>
      <c r="BC287" s="210"/>
      <c r="BD287" s="210"/>
      <c r="BE287" s="210"/>
      <c r="BF287" s="210"/>
      <c r="BG287" s="210"/>
      <c r="BH287" s="210"/>
      <c r="BI287" s="210"/>
      <c r="BJ287" s="210"/>
      <c r="BK287" s="210"/>
      <c r="BL287" s="210"/>
      <c r="BM287" s="210"/>
      <c r="BN287" s="210"/>
      <c r="BO287" s="210"/>
      <c r="BP287" s="210"/>
      <c r="BQ287" s="210"/>
      <c r="BR287" s="210"/>
      <c r="BS287" s="210"/>
      <c r="BT287" s="210"/>
      <c r="BU287" s="210"/>
      <c r="BV287" s="210"/>
      <c r="BW287" s="210"/>
      <c r="BX287" s="210"/>
      <c r="BY287" s="210"/>
      <c r="BZ287" s="210"/>
      <c r="CA287" s="210"/>
      <c r="CB287" s="210"/>
      <c r="CC287" s="210"/>
      <c r="CD287" s="210"/>
      <c r="CE287" s="210"/>
      <c r="CF287" s="210"/>
      <c r="CG287" s="210"/>
      <c r="CH287" s="210"/>
      <c r="CI287" s="210"/>
      <c r="CJ287" s="210"/>
      <c r="CK287" s="210"/>
      <c r="CL287" s="210"/>
      <c r="CM287" s="210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 s="210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10"/>
      <c r="AF288" s="210"/>
      <c r="AG288" s="210"/>
      <c r="AH288" s="210"/>
      <c r="AI288" s="210"/>
      <c r="AJ288" s="210"/>
      <c r="AK288" s="210"/>
      <c r="AL288" s="210"/>
      <c r="AM288" s="210"/>
      <c r="AN288" s="210"/>
      <c r="AO288" s="210"/>
      <c r="AP288" s="210"/>
      <c r="AQ288" s="210"/>
      <c r="AR288" s="210"/>
      <c r="AS288" s="210"/>
      <c r="AT288" s="210"/>
      <c r="AU288" s="210"/>
      <c r="AV288" s="210"/>
      <c r="AW288" s="210"/>
      <c r="AX288" s="210"/>
      <c r="AY288" s="210"/>
      <c r="AZ288" s="210"/>
      <c r="BA288" s="210"/>
      <c r="BB288" s="210"/>
      <c r="BC288" s="210"/>
      <c r="BD288" s="210"/>
      <c r="BE288" s="210"/>
      <c r="BF288" s="210"/>
      <c r="BG288" s="210"/>
      <c r="BH288" s="210"/>
      <c r="BI288" s="210"/>
      <c r="BJ288" s="210"/>
      <c r="BK288" s="210"/>
      <c r="BL288" s="210"/>
      <c r="BM288" s="210"/>
      <c r="BN288" s="210"/>
      <c r="BO288" s="210"/>
      <c r="BP288" s="210"/>
      <c r="BQ288" s="210"/>
      <c r="BR288" s="210"/>
      <c r="BS288" s="210"/>
      <c r="BT288" s="210"/>
      <c r="BU288" s="210"/>
      <c r="BV288" s="210"/>
      <c r="BW288" s="210"/>
      <c r="BX288" s="210"/>
      <c r="BY288" s="210"/>
      <c r="BZ288" s="210"/>
      <c r="CA288" s="210"/>
      <c r="CB288" s="210"/>
      <c r="CC288" s="210"/>
      <c r="CD288" s="210"/>
      <c r="CE288" s="210"/>
      <c r="CF288" s="210"/>
      <c r="CG288" s="210"/>
      <c r="CH288" s="210"/>
      <c r="CI288" s="210"/>
      <c r="CJ288" s="210"/>
      <c r="CK288" s="210"/>
      <c r="CL288" s="210"/>
      <c r="CM288" s="210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 s="210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10"/>
      <c r="AF289" s="210"/>
      <c r="AG289" s="210"/>
      <c r="AH289" s="210"/>
      <c r="AI289" s="210"/>
      <c r="AJ289" s="210"/>
      <c r="AK289" s="210"/>
      <c r="AL289" s="210"/>
      <c r="AM289" s="210"/>
      <c r="AN289" s="210"/>
      <c r="AO289" s="210"/>
      <c r="AP289" s="210"/>
      <c r="AQ289" s="210"/>
      <c r="AR289" s="210"/>
      <c r="AS289" s="210"/>
      <c r="AT289" s="210"/>
      <c r="AU289" s="210"/>
      <c r="AV289" s="210"/>
      <c r="AW289" s="210"/>
      <c r="AX289" s="210"/>
      <c r="AY289" s="210"/>
      <c r="AZ289" s="210"/>
      <c r="BA289" s="210"/>
      <c r="BB289" s="210"/>
      <c r="BC289" s="210"/>
      <c r="BD289" s="210"/>
      <c r="BE289" s="210"/>
      <c r="BF289" s="210"/>
      <c r="BG289" s="210"/>
      <c r="BH289" s="210"/>
      <c r="BI289" s="210"/>
      <c r="BJ289" s="210"/>
      <c r="BK289" s="210"/>
      <c r="BL289" s="210"/>
      <c r="BM289" s="210"/>
      <c r="BN289" s="210"/>
      <c r="BO289" s="210"/>
      <c r="BP289" s="210"/>
      <c r="BQ289" s="210"/>
      <c r="BR289" s="210"/>
      <c r="BS289" s="210"/>
      <c r="BT289" s="210"/>
      <c r="BU289" s="210"/>
      <c r="BV289" s="210"/>
      <c r="BW289" s="210"/>
      <c r="BX289" s="210"/>
      <c r="BY289" s="210"/>
      <c r="BZ289" s="210"/>
      <c r="CA289" s="210"/>
      <c r="CB289" s="210"/>
      <c r="CC289" s="210"/>
      <c r="CD289" s="210"/>
      <c r="CE289" s="210"/>
      <c r="CF289" s="210"/>
      <c r="CG289" s="210"/>
      <c r="CH289" s="210"/>
      <c r="CI289" s="210"/>
      <c r="CJ289" s="210"/>
      <c r="CK289" s="210"/>
      <c r="CL289" s="210"/>
      <c r="CM289" s="210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 s="210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10"/>
      <c r="AF290" s="210"/>
      <c r="AG290" s="210"/>
      <c r="AH290" s="210"/>
      <c r="AI290" s="210"/>
      <c r="AJ290" s="210"/>
      <c r="AK290" s="210"/>
      <c r="AL290" s="210"/>
      <c r="AM290" s="210"/>
      <c r="AN290" s="210"/>
      <c r="AO290" s="210"/>
      <c r="AP290" s="210"/>
      <c r="AQ290" s="210"/>
      <c r="AR290" s="210"/>
      <c r="AS290" s="210"/>
      <c r="AT290" s="210"/>
      <c r="AU290" s="210"/>
      <c r="AV290" s="210"/>
      <c r="AW290" s="210"/>
      <c r="AX290" s="210"/>
      <c r="AY290" s="210"/>
      <c r="AZ290" s="210"/>
      <c r="BA290" s="210"/>
      <c r="BB290" s="210"/>
      <c r="BC290" s="210"/>
      <c r="BD290" s="210"/>
      <c r="BE290" s="210"/>
      <c r="BF290" s="210"/>
      <c r="BG290" s="210"/>
      <c r="BH290" s="210"/>
      <c r="BI290" s="210"/>
      <c r="BJ290" s="210"/>
      <c r="BK290" s="210"/>
      <c r="BL290" s="210"/>
      <c r="BM290" s="210"/>
      <c r="BN290" s="210"/>
      <c r="BO290" s="210"/>
      <c r="BP290" s="210"/>
      <c r="BQ290" s="210"/>
      <c r="BR290" s="210"/>
      <c r="BS290" s="210"/>
      <c r="BT290" s="210"/>
      <c r="BU290" s="210"/>
      <c r="BV290" s="210"/>
      <c r="BW290" s="210"/>
      <c r="BX290" s="210"/>
      <c r="BY290" s="210"/>
      <c r="BZ290" s="210"/>
      <c r="CA290" s="210"/>
      <c r="CB290" s="210"/>
      <c r="CC290" s="210"/>
      <c r="CD290" s="210"/>
      <c r="CE290" s="210"/>
      <c r="CF290" s="210"/>
      <c r="CG290" s="210"/>
      <c r="CH290" s="210"/>
      <c r="CI290" s="210"/>
      <c r="CJ290" s="210"/>
      <c r="CK290" s="210"/>
      <c r="CL290" s="210"/>
      <c r="CM290" s="21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 s="210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10"/>
      <c r="AF291" s="210"/>
      <c r="AG291" s="210"/>
      <c r="AH291" s="210"/>
      <c r="AI291" s="210"/>
      <c r="AJ291" s="210"/>
      <c r="AK291" s="210"/>
      <c r="AL291" s="210"/>
      <c r="AM291" s="210"/>
      <c r="AN291" s="210"/>
      <c r="AO291" s="210"/>
      <c r="AP291" s="210"/>
      <c r="AQ291" s="210"/>
      <c r="AR291" s="210"/>
      <c r="AS291" s="210"/>
      <c r="AT291" s="210"/>
      <c r="AU291" s="210"/>
      <c r="AV291" s="210"/>
      <c r="AW291" s="210"/>
      <c r="AX291" s="210"/>
      <c r="AY291" s="210"/>
      <c r="AZ291" s="210"/>
      <c r="BA291" s="210"/>
      <c r="BB291" s="210"/>
      <c r="BC291" s="210"/>
      <c r="BD291" s="210"/>
      <c r="BE291" s="210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  <c r="BX291" s="210"/>
      <c r="BY291" s="210"/>
      <c r="BZ291" s="210"/>
      <c r="CA291" s="210"/>
      <c r="CB291" s="210"/>
      <c r="CC291" s="210"/>
      <c r="CD291" s="210"/>
      <c r="CE291" s="210"/>
      <c r="CF291" s="210"/>
      <c r="CG291" s="210"/>
      <c r="CH291" s="210"/>
      <c r="CI291" s="210"/>
      <c r="CJ291" s="210"/>
      <c r="CK291" s="210"/>
      <c r="CL291" s="210"/>
      <c r="CM291" s="210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 s="210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10"/>
      <c r="AF292" s="210"/>
      <c r="AG292" s="210"/>
      <c r="AH292" s="210"/>
      <c r="AI292" s="210"/>
      <c r="AJ292" s="210"/>
      <c r="AK292" s="210"/>
      <c r="AL292" s="210"/>
      <c r="AM292" s="210"/>
      <c r="AN292" s="210"/>
      <c r="AO292" s="210"/>
      <c r="AP292" s="210"/>
      <c r="AQ292" s="210"/>
      <c r="AR292" s="210"/>
      <c r="AS292" s="210"/>
      <c r="AT292" s="210"/>
      <c r="AU292" s="210"/>
      <c r="AV292" s="210"/>
      <c r="AW292" s="210"/>
      <c r="AX292" s="210"/>
      <c r="AY292" s="210"/>
      <c r="AZ292" s="210"/>
      <c r="BA292" s="210"/>
      <c r="BB292" s="210"/>
      <c r="BC292" s="210"/>
      <c r="BD292" s="210"/>
      <c r="BE292" s="210"/>
      <c r="BF292" s="210"/>
      <c r="BG292" s="210"/>
      <c r="BH292" s="210"/>
      <c r="BI292" s="210"/>
      <c r="BJ292" s="210"/>
      <c r="BK292" s="210"/>
      <c r="BL292" s="210"/>
      <c r="BM292" s="210"/>
      <c r="BN292" s="210"/>
      <c r="BO292" s="210"/>
      <c r="BP292" s="210"/>
      <c r="BQ292" s="210"/>
      <c r="BR292" s="210"/>
      <c r="BS292" s="210"/>
      <c r="BT292" s="210"/>
      <c r="BU292" s="210"/>
      <c r="BV292" s="210"/>
      <c r="BW292" s="210"/>
      <c r="BX292" s="210"/>
      <c r="BY292" s="210"/>
      <c r="BZ292" s="210"/>
      <c r="CA292" s="210"/>
      <c r="CB292" s="210"/>
      <c r="CC292" s="210"/>
      <c r="CD292" s="210"/>
      <c r="CE292" s="210"/>
      <c r="CF292" s="210"/>
      <c r="CG292" s="210"/>
      <c r="CH292" s="210"/>
      <c r="CI292" s="210"/>
      <c r="CJ292" s="210"/>
      <c r="CK292" s="210"/>
      <c r="CL292" s="210"/>
      <c r="CM292" s="210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 s="210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10"/>
      <c r="AF293" s="210"/>
      <c r="AG293" s="210"/>
      <c r="AH293" s="210"/>
      <c r="AI293" s="210"/>
      <c r="AJ293" s="210"/>
      <c r="AK293" s="210"/>
      <c r="AL293" s="210"/>
      <c r="AM293" s="210"/>
      <c r="AN293" s="210"/>
      <c r="AO293" s="210"/>
      <c r="AP293" s="210"/>
      <c r="AQ293" s="210"/>
      <c r="AR293" s="210"/>
      <c r="AS293" s="210"/>
      <c r="AT293" s="210"/>
      <c r="AU293" s="210"/>
      <c r="AV293" s="210"/>
      <c r="AW293" s="210"/>
      <c r="AX293" s="210"/>
      <c r="AY293" s="210"/>
      <c r="AZ293" s="210"/>
      <c r="BA293" s="210"/>
      <c r="BB293" s="210"/>
      <c r="BC293" s="210"/>
      <c r="BD293" s="210"/>
      <c r="BE293" s="210"/>
      <c r="BF293" s="210"/>
      <c r="BG293" s="210"/>
      <c r="BH293" s="210"/>
      <c r="BI293" s="210"/>
      <c r="BJ293" s="210"/>
      <c r="BK293" s="210"/>
      <c r="BL293" s="210"/>
      <c r="BM293" s="210"/>
      <c r="BN293" s="210"/>
      <c r="BO293" s="210"/>
      <c r="BP293" s="210"/>
      <c r="BQ293" s="210"/>
      <c r="BR293" s="210"/>
      <c r="BS293" s="210"/>
      <c r="BT293" s="210"/>
      <c r="BU293" s="210"/>
      <c r="BV293" s="210"/>
      <c r="BW293" s="210"/>
      <c r="BX293" s="210"/>
      <c r="BY293" s="210"/>
      <c r="BZ293" s="210"/>
      <c r="CA293" s="210"/>
      <c r="CB293" s="210"/>
      <c r="CC293" s="210"/>
      <c r="CD293" s="210"/>
      <c r="CE293" s="210"/>
      <c r="CF293" s="210"/>
      <c r="CG293" s="210"/>
      <c r="CH293" s="210"/>
      <c r="CI293" s="210"/>
      <c r="CJ293" s="210"/>
      <c r="CK293" s="210"/>
      <c r="CL293" s="210"/>
      <c r="CM293" s="210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 s="210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10"/>
      <c r="AF294" s="210"/>
      <c r="AG294" s="210"/>
      <c r="AH294" s="210"/>
      <c r="AI294" s="210"/>
      <c r="AJ294" s="210"/>
      <c r="AK294" s="210"/>
      <c r="AL294" s="210"/>
      <c r="AM294" s="210"/>
      <c r="AN294" s="210"/>
      <c r="AO294" s="210"/>
      <c r="AP294" s="210"/>
      <c r="AQ294" s="210"/>
      <c r="AR294" s="210"/>
      <c r="AS294" s="210"/>
      <c r="AT294" s="210"/>
      <c r="AU294" s="210"/>
      <c r="AV294" s="210"/>
      <c r="AW294" s="210"/>
      <c r="AX294" s="210"/>
      <c r="AY294" s="210"/>
      <c r="AZ294" s="210"/>
      <c r="BA294" s="210"/>
      <c r="BB294" s="210"/>
      <c r="BC294" s="210"/>
      <c r="BD294" s="210"/>
      <c r="BE294" s="210"/>
      <c r="BF294" s="210"/>
      <c r="BG294" s="210"/>
      <c r="BH294" s="210"/>
      <c r="BI294" s="210"/>
      <c r="BJ294" s="210"/>
      <c r="BK294" s="210"/>
      <c r="BL294" s="210"/>
      <c r="BM294" s="210"/>
      <c r="BN294" s="210"/>
      <c r="BO294" s="210"/>
      <c r="BP294" s="210"/>
      <c r="BQ294" s="210"/>
      <c r="BR294" s="210"/>
      <c r="BS294" s="210"/>
      <c r="BT294" s="210"/>
      <c r="BU294" s="210"/>
      <c r="BV294" s="210"/>
      <c r="BW294" s="210"/>
      <c r="BX294" s="210"/>
      <c r="BY294" s="210"/>
      <c r="BZ294" s="210"/>
      <c r="CA294" s="210"/>
      <c r="CB294" s="210"/>
      <c r="CC294" s="210"/>
      <c r="CD294" s="210"/>
      <c r="CE294" s="210"/>
      <c r="CF294" s="210"/>
      <c r="CG294" s="210"/>
      <c r="CH294" s="210"/>
      <c r="CI294" s="210"/>
      <c r="CJ294" s="210"/>
      <c r="CK294" s="210"/>
      <c r="CL294" s="210"/>
      <c r="CM294" s="210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 s="210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10"/>
      <c r="AF295" s="210"/>
      <c r="AG295" s="210"/>
      <c r="AH295" s="210"/>
      <c r="AI295" s="210"/>
      <c r="AJ295" s="210"/>
      <c r="AK295" s="210"/>
      <c r="AL295" s="210"/>
      <c r="AM295" s="210"/>
      <c r="AN295" s="210"/>
      <c r="AO295" s="210"/>
      <c r="AP295" s="210"/>
      <c r="AQ295" s="210"/>
      <c r="AR295" s="210"/>
      <c r="AS295" s="210"/>
      <c r="AT295" s="210"/>
      <c r="AU295" s="210"/>
      <c r="AV295" s="210"/>
      <c r="AW295" s="210"/>
      <c r="AX295" s="210"/>
      <c r="AY295" s="210"/>
      <c r="AZ295" s="210"/>
      <c r="BA295" s="210"/>
      <c r="BB295" s="210"/>
      <c r="BC295" s="210"/>
      <c r="BD295" s="210"/>
      <c r="BE295" s="210"/>
      <c r="BF295" s="210"/>
      <c r="BG295" s="210"/>
      <c r="BH295" s="210"/>
      <c r="BI295" s="210"/>
      <c r="BJ295" s="210"/>
      <c r="BK295" s="210"/>
      <c r="BL295" s="210"/>
      <c r="BM295" s="210"/>
      <c r="BN295" s="210"/>
      <c r="BO295" s="210"/>
      <c r="BP295" s="210"/>
      <c r="BQ295" s="210"/>
      <c r="BR295" s="210"/>
      <c r="BS295" s="210"/>
      <c r="BT295" s="210"/>
      <c r="BU295" s="210"/>
      <c r="BV295" s="210"/>
      <c r="BW295" s="210"/>
      <c r="BX295" s="210"/>
      <c r="BY295" s="210"/>
      <c r="BZ295" s="210"/>
      <c r="CA295" s="210"/>
      <c r="CB295" s="210"/>
      <c r="CC295" s="210"/>
      <c r="CD295" s="210"/>
      <c r="CE295" s="210"/>
      <c r="CF295" s="210"/>
      <c r="CG295" s="210"/>
      <c r="CH295" s="210"/>
      <c r="CI295" s="210"/>
      <c r="CJ295" s="210"/>
      <c r="CK295" s="210"/>
      <c r="CL295" s="210"/>
      <c r="CM295" s="210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 s="210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10"/>
      <c r="AF296" s="210"/>
      <c r="AG296" s="210"/>
      <c r="AH296" s="210"/>
      <c r="AI296" s="210"/>
      <c r="AJ296" s="210"/>
      <c r="AK296" s="210"/>
      <c r="AL296" s="210"/>
      <c r="AM296" s="210"/>
      <c r="AN296" s="210"/>
      <c r="AO296" s="210"/>
      <c r="AP296" s="210"/>
      <c r="AQ296" s="210"/>
      <c r="AR296" s="210"/>
      <c r="AS296" s="210"/>
      <c r="AT296" s="210"/>
      <c r="AU296" s="210"/>
      <c r="AV296" s="210"/>
      <c r="AW296" s="210"/>
      <c r="AX296" s="210"/>
      <c r="AY296" s="210"/>
      <c r="AZ296" s="210"/>
      <c r="BA296" s="210"/>
      <c r="BB296" s="210"/>
      <c r="BC296" s="210"/>
      <c r="BD296" s="210"/>
      <c r="BE296" s="210"/>
      <c r="BF296" s="210"/>
      <c r="BG296" s="210"/>
      <c r="BH296" s="210"/>
      <c r="BI296" s="210"/>
      <c r="BJ296" s="210"/>
      <c r="BK296" s="210"/>
      <c r="BL296" s="210"/>
      <c r="BM296" s="210"/>
      <c r="BN296" s="210"/>
      <c r="BO296" s="210"/>
      <c r="BP296" s="210"/>
      <c r="BQ296" s="210"/>
      <c r="BR296" s="210"/>
      <c r="BS296" s="210"/>
      <c r="BT296" s="210"/>
      <c r="BU296" s="210"/>
      <c r="BV296" s="210"/>
      <c r="BW296" s="210"/>
      <c r="BX296" s="210"/>
      <c r="BY296" s="210"/>
      <c r="BZ296" s="210"/>
      <c r="CA296" s="210"/>
      <c r="CB296" s="210"/>
      <c r="CC296" s="210"/>
      <c r="CD296" s="210"/>
      <c r="CE296" s="210"/>
      <c r="CF296" s="210"/>
      <c r="CG296" s="210"/>
      <c r="CH296" s="210"/>
      <c r="CI296" s="210"/>
      <c r="CJ296" s="210"/>
      <c r="CK296" s="210"/>
      <c r="CL296" s="210"/>
      <c r="CM296" s="210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 s="210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10"/>
      <c r="AF297" s="210"/>
      <c r="AG297" s="210"/>
      <c r="AH297" s="210"/>
      <c r="AI297" s="210"/>
      <c r="AJ297" s="210"/>
      <c r="AK297" s="210"/>
      <c r="AL297" s="210"/>
      <c r="AM297" s="210"/>
      <c r="AN297" s="210"/>
      <c r="AO297" s="210"/>
      <c r="AP297" s="210"/>
      <c r="AQ297" s="210"/>
      <c r="AR297" s="210"/>
      <c r="AS297" s="210"/>
      <c r="AT297" s="210"/>
      <c r="AU297" s="210"/>
      <c r="AV297" s="210"/>
      <c r="AW297" s="210"/>
      <c r="AX297" s="210"/>
      <c r="AY297" s="210"/>
      <c r="AZ297" s="210"/>
      <c r="BA297" s="210"/>
      <c r="BB297" s="210"/>
      <c r="BC297" s="210"/>
      <c r="BD297" s="210"/>
      <c r="BE297" s="210"/>
      <c r="BF297" s="210"/>
      <c r="BG297" s="210"/>
      <c r="BH297" s="210"/>
      <c r="BI297" s="210"/>
      <c r="BJ297" s="210"/>
      <c r="BK297" s="210"/>
      <c r="BL297" s="210"/>
      <c r="BM297" s="210"/>
      <c r="BN297" s="210"/>
      <c r="BO297" s="210"/>
      <c r="BP297" s="210"/>
      <c r="BQ297" s="210"/>
      <c r="BR297" s="210"/>
      <c r="BS297" s="210"/>
      <c r="BT297" s="210"/>
      <c r="BU297" s="210"/>
      <c r="BV297" s="210"/>
      <c r="BW297" s="210"/>
      <c r="BX297" s="210"/>
      <c r="BY297" s="210"/>
      <c r="BZ297" s="210"/>
      <c r="CA297" s="210"/>
      <c r="CB297" s="210"/>
      <c r="CC297" s="210"/>
      <c r="CD297" s="210"/>
      <c r="CE297" s="210"/>
      <c r="CF297" s="210"/>
      <c r="CG297" s="210"/>
      <c r="CH297" s="210"/>
      <c r="CI297" s="210"/>
      <c r="CJ297" s="210"/>
      <c r="CK297" s="210"/>
      <c r="CL297" s="210"/>
      <c r="CM297" s="210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 s="210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10"/>
      <c r="AF298" s="210"/>
      <c r="AG298" s="210"/>
      <c r="AH298" s="210"/>
      <c r="AI298" s="210"/>
      <c r="AJ298" s="210"/>
      <c r="AK298" s="210"/>
      <c r="AL298" s="210"/>
      <c r="AM298" s="210"/>
      <c r="AN298" s="210"/>
      <c r="AO298" s="210"/>
      <c r="AP298" s="210"/>
      <c r="AQ298" s="210"/>
      <c r="AR298" s="210"/>
      <c r="AS298" s="210"/>
      <c r="AT298" s="210"/>
      <c r="AU298" s="210"/>
      <c r="AV298" s="210"/>
      <c r="AW298" s="210"/>
      <c r="AX298" s="210"/>
      <c r="AY298" s="210"/>
      <c r="AZ298" s="210"/>
      <c r="BA298" s="210"/>
      <c r="BB298" s="210"/>
      <c r="BC298" s="210"/>
      <c r="BD298" s="210"/>
      <c r="BE298" s="210"/>
      <c r="BF298" s="210"/>
      <c r="BG298" s="210"/>
      <c r="BH298" s="210"/>
      <c r="BI298" s="210"/>
      <c r="BJ298" s="210"/>
      <c r="BK298" s="210"/>
      <c r="BL298" s="210"/>
      <c r="BM298" s="210"/>
      <c r="BN298" s="210"/>
      <c r="BO298" s="210"/>
      <c r="BP298" s="210"/>
      <c r="BQ298" s="210"/>
      <c r="BR298" s="210"/>
      <c r="BS298" s="210"/>
      <c r="BT298" s="210"/>
      <c r="BU298" s="210"/>
      <c r="BV298" s="210"/>
      <c r="BW298" s="210"/>
      <c r="BX298" s="210"/>
      <c r="BY298" s="210"/>
      <c r="BZ298" s="210"/>
      <c r="CA298" s="210"/>
      <c r="CB298" s="210"/>
      <c r="CC298" s="210"/>
      <c r="CD298" s="210"/>
      <c r="CE298" s="210"/>
      <c r="CF298" s="210"/>
      <c r="CG298" s="210"/>
      <c r="CH298" s="210"/>
      <c r="CI298" s="210"/>
      <c r="CJ298" s="210"/>
      <c r="CK298" s="210"/>
      <c r="CL298" s="210"/>
      <c r="CM298" s="210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 s="210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10"/>
      <c r="AF299" s="210"/>
      <c r="AG299" s="210"/>
      <c r="AH299" s="210"/>
      <c r="AI299" s="210"/>
      <c r="AJ299" s="210"/>
      <c r="AK299" s="210"/>
      <c r="AL299" s="210"/>
      <c r="AM299" s="210"/>
      <c r="AN299" s="210"/>
      <c r="AO299" s="210"/>
      <c r="AP299" s="210"/>
      <c r="AQ299" s="210"/>
      <c r="AR299" s="210"/>
      <c r="AS299" s="210"/>
      <c r="AT299" s="210"/>
      <c r="AU299" s="210"/>
      <c r="AV299" s="210"/>
      <c r="AW299" s="210"/>
      <c r="AX299" s="210"/>
      <c r="AY299" s="210"/>
      <c r="AZ299" s="210"/>
      <c r="BA299" s="210"/>
      <c r="BB299" s="210"/>
      <c r="BC299" s="210"/>
      <c r="BD299" s="210"/>
      <c r="BE299" s="210"/>
      <c r="BF299" s="210"/>
      <c r="BG299" s="210"/>
      <c r="BH299" s="210"/>
      <c r="BI299" s="210"/>
      <c r="BJ299" s="210"/>
      <c r="BK299" s="210"/>
      <c r="BL299" s="210"/>
      <c r="BM299" s="210"/>
      <c r="BN299" s="210"/>
      <c r="BO299" s="210"/>
      <c r="BP299" s="210"/>
      <c r="BQ299" s="210"/>
      <c r="BR299" s="210"/>
      <c r="BS299" s="210"/>
      <c r="BT299" s="210"/>
      <c r="BU299" s="210"/>
      <c r="BV299" s="210"/>
      <c r="BW299" s="210"/>
      <c r="BX299" s="210"/>
      <c r="BY299" s="210"/>
      <c r="BZ299" s="210"/>
      <c r="CA299" s="210"/>
      <c r="CB299" s="210"/>
      <c r="CC299" s="210"/>
      <c r="CD299" s="210"/>
      <c r="CE299" s="210"/>
      <c r="CF299" s="210"/>
      <c r="CG299" s="210"/>
      <c r="CH299" s="210"/>
      <c r="CI299" s="210"/>
      <c r="CJ299" s="210"/>
      <c r="CK299" s="210"/>
      <c r="CL299" s="210"/>
      <c r="CM299" s="210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 s="210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10"/>
      <c r="AF300" s="210"/>
      <c r="AG300" s="210"/>
      <c r="AH300" s="210"/>
      <c r="AI300" s="210"/>
      <c r="AJ300" s="210"/>
      <c r="AK300" s="210"/>
      <c r="AL300" s="210"/>
      <c r="AM300" s="210"/>
      <c r="AN300" s="210"/>
      <c r="AO300" s="210"/>
      <c r="AP300" s="210"/>
      <c r="AQ300" s="210"/>
      <c r="AR300" s="210"/>
      <c r="AS300" s="210"/>
      <c r="AT300" s="210"/>
      <c r="AU300" s="210"/>
      <c r="AV300" s="210"/>
      <c r="AW300" s="210"/>
      <c r="AX300" s="210"/>
      <c r="AY300" s="210"/>
      <c r="AZ300" s="210"/>
      <c r="BA300" s="210"/>
      <c r="BB300" s="210"/>
      <c r="BC300" s="210"/>
      <c r="BD300" s="210"/>
      <c r="BE300" s="210"/>
      <c r="BF300" s="210"/>
      <c r="BG300" s="210"/>
      <c r="BH300" s="210"/>
      <c r="BI300" s="210"/>
      <c r="BJ300" s="210"/>
      <c r="BK300" s="210"/>
      <c r="BL300" s="210"/>
      <c r="BM300" s="210"/>
      <c r="BN300" s="210"/>
      <c r="BO300" s="210"/>
      <c r="BP300" s="210"/>
      <c r="BQ300" s="210"/>
      <c r="BR300" s="210"/>
      <c r="BS300" s="210"/>
      <c r="BT300" s="210"/>
      <c r="BU300" s="210"/>
      <c r="BV300" s="210"/>
      <c r="BW300" s="210"/>
      <c r="BX300" s="210"/>
      <c r="BY300" s="210"/>
      <c r="BZ300" s="210"/>
      <c r="CA300" s="210"/>
      <c r="CB300" s="210"/>
      <c r="CC300" s="210"/>
      <c r="CD300" s="210"/>
      <c r="CE300" s="210"/>
      <c r="CF300" s="210"/>
      <c r="CG300" s="210"/>
      <c r="CH300" s="210"/>
      <c r="CI300" s="210"/>
      <c r="CJ300" s="210"/>
      <c r="CK300" s="210"/>
      <c r="CL300" s="210"/>
      <c r="CM300" s="21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 s="210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10"/>
      <c r="AF301" s="210"/>
      <c r="AG301" s="210"/>
      <c r="AH301" s="210"/>
      <c r="AI301" s="210"/>
      <c r="AJ301" s="210"/>
      <c r="AK301" s="210"/>
      <c r="AL301" s="210"/>
      <c r="AM301" s="210"/>
      <c r="AN301" s="210"/>
      <c r="AO301" s="210"/>
      <c r="AP301" s="210"/>
      <c r="AQ301" s="210"/>
      <c r="AR301" s="210"/>
      <c r="AS301" s="210"/>
      <c r="AT301" s="210"/>
      <c r="AU301" s="210"/>
      <c r="AV301" s="210"/>
      <c r="AW301" s="210"/>
      <c r="AX301" s="210"/>
      <c r="AY301" s="210"/>
      <c r="AZ301" s="210"/>
      <c r="BA301" s="210"/>
      <c r="BB301" s="210"/>
      <c r="BC301" s="210"/>
      <c r="BD301" s="210"/>
      <c r="BE301" s="210"/>
      <c r="BF301" s="210"/>
      <c r="BG301" s="210"/>
      <c r="BH301" s="210"/>
      <c r="BI301" s="210"/>
      <c r="BJ301" s="210"/>
      <c r="BK301" s="210"/>
      <c r="BL301" s="210"/>
      <c r="BM301" s="210"/>
      <c r="BN301" s="210"/>
      <c r="BO301" s="210"/>
      <c r="BP301" s="210"/>
      <c r="BQ301" s="210"/>
      <c r="BR301" s="210"/>
      <c r="BS301" s="210"/>
      <c r="BT301" s="210"/>
      <c r="BU301" s="210"/>
      <c r="BV301" s="210"/>
      <c r="BW301" s="210"/>
      <c r="BX301" s="210"/>
      <c r="BY301" s="210"/>
      <c r="BZ301" s="210"/>
      <c r="CA301" s="210"/>
      <c r="CB301" s="210"/>
      <c r="CC301" s="210"/>
      <c r="CD301" s="210"/>
      <c r="CE301" s="210"/>
      <c r="CF301" s="210"/>
      <c r="CG301" s="210"/>
      <c r="CH301" s="210"/>
      <c r="CI301" s="210"/>
      <c r="CJ301" s="210"/>
      <c r="CK301" s="210"/>
      <c r="CL301" s="210"/>
      <c r="CM301" s="210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 s="210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10"/>
      <c r="AF302" s="210"/>
      <c r="AG302" s="210"/>
      <c r="AH302" s="210"/>
      <c r="AI302" s="210"/>
      <c r="AJ302" s="210"/>
      <c r="AK302" s="210"/>
      <c r="AL302" s="210"/>
      <c r="AM302" s="210"/>
      <c r="AN302" s="210"/>
      <c r="AO302" s="210"/>
      <c r="AP302" s="210"/>
      <c r="AQ302" s="210"/>
      <c r="AR302" s="210"/>
      <c r="AS302" s="210"/>
      <c r="AT302" s="210"/>
      <c r="AU302" s="210"/>
      <c r="AV302" s="210"/>
      <c r="AW302" s="210"/>
      <c r="AX302" s="210"/>
      <c r="AY302" s="210"/>
      <c r="AZ302" s="210"/>
      <c r="BA302" s="210"/>
      <c r="BB302" s="210"/>
      <c r="BC302" s="210"/>
      <c r="BD302" s="210"/>
      <c r="BE302" s="210"/>
      <c r="BF302" s="210"/>
      <c r="BG302" s="210"/>
      <c r="BH302" s="210"/>
      <c r="BI302" s="210"/>
      <c r="BJ302" s="210"/>
      <c r="BK302" s="210"/>
      <c r="BL302" s="210"/>
      <c r="BM302" s="210"/>
      <c r="BN302" s="210"/>
      <c r="BO302" s="210"/>
      <c r="BP302" s="210"/>
      <c r="BQ302" s="210"/>
      <c r="BR302" s="210"/>
      <c r="BS302" s="210"/>
      <c r="BT302" s="210"/>
      <c r="BU302" s="210"/>
      <c r="BV302" s="210"/>
      <c r="BW302" s="210"/>
      <c r="BX302" s="210"/>
      <c r="BY302" s="210"/>
      <c r="BZ302" s="210"/>
      <c r="CA302" s="210"/>
      <c r="CB302" s="210"/>
      <c r="CC302" s="210"/>
      <c r="CD302" s="210"/>
      <c r="CE302" s="210"/>
      <c r="CF302" s="210"/>
      <c r="CG302" s="210"/>
      <c r="CH302" s="210"/>
      <c r="CI302" s="210"/>
      <c r="CJ302" s="210"/>
      <c r="CK302" s="210"/>
      <c r="CL302" s="210"/>
      <c r="CM302" s="210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 s="210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10"/>
      <c r="AF303" s="210"/>
      <c r="AG303" s="210"/>
      <c r="AH303" s="210"/>
      <c r="AI303" s="210"/>
      <c r="AJ303" s="210"/>
      <c r="AK303" s="210"/>
      <c r="AL303" s="210"/>
      <c r="AM303" s="210"/>
      <c r="AN303" s="210"/>
      <c r="AO303" s="210"/>
      <c r="AP303" s="210"/>
      <c r="AQ303" s="210"/>
      <c r="AR303" s="210"/>
      <c r="AS303" s="210"/>
      <c r="AT303" s="210"/>
      <c r="AU303" s="210"/>
      <c r="AV303" s="210"/>
      <c r="AW303" s="210"/>
      <c r="AX303" s="210"/>
      <c r="AY303" s="210"/>
      <c r="AZ303" s="210"/>
      <c r="BA303" s="210"/>
      <c r="BB303" s="210"/>
      <c r="BC303" s="210"/>
      <c r="BD303" s="210"/>
      <c r="BE303" s="210"/>
      <c r="BF303" s="210"/>
      <c r="BG303" s="210"/>
      <c r="BH303" s="210"/>
      <c r="BI303" s="210"/>
      <c r="BJ303" s="210"/>
      <c r="BK303" s="210"/>
      <c r="BL303" s="210"/>
      <c r="BM303" s="210"/>
      <c r="BN303" s="210"/>
      <c r="BO303" s="210"/>
      <c r="BP303" s="210"/>
      <c r="BQ303" s="210"/>
      <c r="BR303" s="210"/>
      <c r="BS303" s="210"/>
      <c r="BT303" s="210"/>
      <c r="BU303" s="210"/>
      <c r="BV303" s="210"/>
      <c r="BW303" s="210"/>
      <c r="BX303" s="210"/>
      <c r="BY303" s="210"/>
      <c r="BZ303" s="210"/>
      <c r="CA303" s="210"/>
      <c r="CB303" s="210"/>
      <c r="CC303" s="210"/>
      <c r="CD303" s="210"/>
      <c r="CE303" s="210"/>
      <c r="CF303" s="210"/>
      <c r="CG303" s="210"/>
      <c r="CH303" s="210"/>
      <c r="CI303" s="210"/>
      <c r="CJ303" s="210"/>
      <c r="CK303" s="210"/>
      <c r="CL303" s="210"/>
      <c r="CM303" s="210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 s="210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10"/>
      <c r="AF304" s="210"/>
      <c r="AG304" s="210"/>
      <c r="AH304" s="210"/>
      <c r="AI304" s="210"/>
      <c r="AJ304" s="210"/>
      <c r="AK304" s="210"/>
      <c r="AL304" s="210"/>
      <c r="AM304" s="210"/>
      <c r="AN304" s="210"/>
      <c r="AO304" s="210"/>
      <c r="AP304" s="210"/>
      <c r="AQ304" s="210"/>
      <c r="AR304" s="210"/>
      <c r="AS304" s="210"/>
      <c r="AT304" s="210"/>
      <c r="AU304" s="210"/>
      <c r="AV304" s="210"/>
      <c r="AW304" s="210"/>
      <c r="AX304" s="210"/>
      <c r="AY304" s="210"/>
      <c r="AZ304" s="210"/>
      <c r="BA304" s="210"/>
      <c r="BB304" s="210"/>
      <c r="BC304" s="210"/>
      <c r="BD304" s="210"/>
      <c r="BE304" s="210"/>
      <c r="BF304" s="210"/>
      <c r="BG304" s="210"/>
      <c r="BH304" s="210"/>
      <c r="BI304" s="210"/>
      <c r="BJ304" s="210"/>
      <c r="BK304" s="210"/>
      <c r="BL304" s="210"/>
      <c r="BM304" s="210"/>
      <c r="BN304" s="210"/>
      <c r="BO304" s="210"/>
      <c r="BP304" s="210"/>
      <c r="BQ304" s="210"/>
      <c r="BR304" s="210"/>
      <c r="BS304" s="210"/>
      <c r="BT304" s="210"/>
      <c r="BU304" s="210"/>
      <c r="BV304" s="210"/>
      <c r="BW304" s="210"/>
      <c r="BX304" s="210"/>
      <c r="BY304" s="210"/>
      <c r="BZ304" s="210"/>
      <c r="CA304" s="210"/>
      <c r="CB304" s="210"/>
      <c r="CC304" s="210"/>
      <c r="CD304" s="210"/>
      <c r="CE304" s="210"/>
      <c r="CF304" s="210"/>
      <c r="CG304" s="210"/>
      <c r="CH304" s="210"/>
      <c r="CI304" s="210"/>
      <c r="CJ304" s="210"/>
      <c r="CK304" s="210"/>
      <c r="CL304" s="210"/>
      <c r="CM304" s="210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 s="210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10"/>
      <c r="AF305" s="210"/>
      <c r="AG305" s="210"/>
      <c r="AH305" s="210"/>
      <c r="AI305" s="210"/>
      <c r="AJ305" s="210"/>
      <c r="AK305" s="210"/>
      <c r="AL305" s="210"/>
      <c r="AM305" s="210"/>
      <c r="AN305" s="210"/>
      <c r="AO305" s="210"/>
      <c r="AP305" s="210"/>
      <c r="AQ305" s="210"/>
      <c r="AR305" s="210"/>
      <c r="AS305" s="210"/>
      <c r="AT305" s="210"/>
      <c r="AU305" s="210"/>
      <c r="AV305" s="210"/>
      <c r="AW305" s="210"/>
      <c r="AX305" s="210"/>
      <c r="AY305" s="210"/>
      <c r="AZ305" s="210"/>
      <c r="BA305" s="210"/>
      <c r="BB305" s="210"/>
      <c r="BC305" s="210"/>
      <c r="BD305" s="210"/>
      <c r="BE305" s="210"/>
      <c r="BF305" s="210"/>
      <c r="BG305" s="210"/>
      <c r="BH305" s="210"/>
      <c r="BI305" s="210"/>
      <c r="BJ305" s="210"/>
      <c r="BK305" s="210"/>
      <c r="BL305" s="210"/>
      <c r="BM305" s="210"/>
      <c r="BN305" s="210"/>
      <c r="BO305" s="210"/>
      <c r="BP305" s="210"/>
      <c r="BQ305" s="210"/>
      <c r="BR305" s="210"/>
      <c r="BS305" s="210"/>
      <c r="BT305" s="210"/>
      <c r="BU305" s="210"/>
      <c r="BV305" s="210"/>
      <c r="BW305" s="210"/>
      <c r="BX305" s="210"/>
      <c r="BY305" s="210"/>
      <c r="BZ305" s="210"/>
      <c r="CA305" s="210"/>
      <c r="CB305" s="210"/>
      <c r="CC305" s="210"/>
      <c r="CD305" s="210"/>
      <c r="CE305" s="210"/>
      <c r="CF305" s="210"/>
      <c r="CG305" s="210"/>
      <c r="CH305" s="210"/>
      <c r="CI305" s="210"/>
      <c r="CJ305" s="210"/>
      <c r="CK305" s="210"/>
      <c r="CL305" s="210"/>
      <c r="CM305" s="210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 s="210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10"/>
      <c r="AF306" s="210"/>
      <c r="AG306" s="210"/>
      <c r="AH306" s="210"/>
      <c r="AI306" s="210"/>
      <c r="AJ306" s="210"/>
      <c r="AK306" s="210"/>
      <c r="AL306" s="210"/>
      <c r="AM306" s="210"/>
      <c r="AN306" s="210"/>
      <c r="AO306" s="210"/>
      <c r="AP306" s="210"/>
      <c r="AQ306" s="210"/>
      <c r="AR306" s="210"/>
      <c r="AS306" s="210"/>
      <c r="AT306" s="210"/>
      <c r="AU306" s="210"/>
      <c r="AV306" s="210"/>
      <c r="AW306" s="210"/>
      <c r="AX306" s="210"/>
      <c r="AY306" s="210"/>
      <c r="AZ306" s="210"/>
      <c r="BA306" s="210"/>
      <c r="BB306" s="210"/>
      <c r="BC306" s="210"/>
      <c r="BD306" s="210"/>
      <c r="BE306" s="210"/>
      <c r="BF306" s="210"/>
      <c r="BG306" s="210"/>
      <c r="BH306" s="210"/>
      <c r="BI306" s="210"/>
      <c r="BJ306" s="210"/>
      <c r="BK306" s="210"/>
      <c r="BL306" s="210"/>
      <c r="BM306" s="210"/>
      <c r="BN306" s="210"/>
      <c r="BO306" s="210"/>
      <c r="BP306" s="210"/>
      <c r="BQ306" s="210"/>
      <c r="BR306" s="210"/>
      <c r="BS306" s="210"/>
      <c r="BT306" s="210"/>
      <c r="BU306" s="210"/>
      <c r="BV306" s="210"/>
      <c r="BW306" s="210"/>
      <c r="BX306" s="210"/>
      <c r="BY306" s="210"/>
      <c r="BZ306" s="210"/>
      <c r="CA306" s="210"/>
      <c r="CB306" s="210"/>
      <c r="CC306" s="210"/>
      <c r="CD306" s="210"/>
      <c r="CE306" s="210"/>
      <c r="CF306" s="210"/>
      <c r="CG306" s="210"/>
      <c r="CH306" s="210"/>
      <c r="CI306" s="210"/>
      <c r="CJ306" s="210"/>
      <c r="CK306" s="210"/>
      <c r="CL306" s="210"/>
      <c r="CM306" s="210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 s="210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10"/>
      <c r="AF307" s="210"/>
      <c r="AG307" s="210"/>
      <c r="AH307" s="210"/>
      <c r="AI307" s="210"/>
      <c r="AJ307" s="210"/>
      <c r="AK307" s="210"/>
      <c r="AL307" s="210"/>
      <c r="AM307" s="210"/>
      <c r="AN307" s="210"/>
      <c r="AO307" s="210"/>
      <c r="AP307" s="210"/>
      <c r="AQ307" s="210"/>
      <c r="AR307" s="210"/>
      <c r="AS307" s="210"/>
      <c r="AT307" s="210"/>
      <c r="AU307" s="210"/>
      <c r="AV307" s="210"/>
      <c r="AW307" s="210"/>
      <c r="AX307" s="210"/>
      <c r="AY307" s="210"/>
      <c r="AZ307" s="210"/>
      <c r="BA307" s="210"/>
      <c r="BB307" s="210"/>
      <c r="BC307" s="210"/>
      <c r="BD307" s="210"/>
      <c r="BE307" s="210"/>
      <c r="BF307" s="210"/>
      <c r="BG307" s="210"/>
      <c r="BH307" s="210"/>
      <c r="BI307" s="210"/>
      <c r="BJ307" s="210"/>
      <c r="BK307" s="210"/>
      <c r="BL307" s="210"/>
      <c r="BM307" s="210"/>
      <c r="BN307" s="210"/>
      <c r="BO307" s="210"/>
      <c r="BP307" s="210"/>
      <c r="BQ307" s="210"/>
      <c r="BR307" s="210"/>
      <c r="BS307" s="210"/>
      <c r="BT307" s="210"/>
      <c r="BU307" s="210"/>
      <c r="BV307" s="210"/>
      <c r="BW307" s="210"/>
      <c r="BX307" s="210"/>
      <c r="BY307" s="210"/>
      <c r="BZ307" s="210"/>
      <c r="CA307" s="210"/>
      <c r="CB307" s="210"/>
      <c r="CC307" s="210"/>
      <c r="CD307" s="210"/>
      <c r="CE307" s="210"/>
      <c r="CF307" s="210"/>
      <c r="CG307" s="210"/>
      <c r="CH307" s="210"/>
      <c r="CI307" s="210"/>
      <c r="CJ307" s="210"/>
      <c r="CK307" s="210"/>
      <c r="CL307" s="210"/>
      <c r="CM307" s="210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 s="210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10"/>
      <c r="AF308" s="210"/>
      <c r="AG308" s="210"/>
      <c r="AH308" s="210"/>
      <c r="AI308" s="210"/>
      <c r="AJ308" s="210"/>
      <c r="AK308" s="210"/>
      <c r="AL308" s="210"/>
      <c r="AM308" s="210"/>
      <c r="AN308" s="210"/>
      <c r="AO308" s="210"/>
      <c r="AP308" s="210"/>
      <c r="AQ308" s="210"/>
      <c r="AR308" s="210"/>
      <c r="AS308" s="210"/>
      <c r="AT308" s="210"/>
      <c r="AU308" s="210"/>
      <c r="AV308" s="210"/>
      <c r="AW308" s="210"/>
      <c r="AX308" s="210"/>
      <c r="AY308" s="210"/>
      <c r="AZ308" s="210"/>
      <c r="BA308" s="210"/>
      <c r="BB308" s="210"/>
      <c r="BC308" s="210"/>
      <c r="BD308" s="210"/>
      <c r="BE308" s="210"/>
      <c r="BF308" s="210"/>
      <c r="BG308" s="210"/>
      <c r="BH308" s="210"/>
      <c r="BI308" s="210"/>
      <c r="BJ308" s="210"/>
      <c r="BK308" s="210"/>
      <c r="BL308" s="210"/>
      <c r="BM308" s="210"/>
      <c r="BN308" s="210"/>
      <c r="BO308" s="210"/>
      <c r="BP308" s="210"/>
      <c r="BQ308" s="210"/>
      <c r="BR308" s="210"/>
      <c r="BS308" s="210"/>
      <c r="BT308" s="210"/>
      <c r="BU308" s="210"/>
      <c r="BV308" s="210"/>
      <c r="BW308" s="210"/>
      <c r="BX308" s="210"/>
      <c r="BY308" s="210"/>
      <c r="BZ308" s="210"/>
      <c r="CA308" s="210"/>
      <c r="CB308" s="210"/>
      <c r="CC308" s="210"/>
      <c r="CD308" s="210"/>
      <c r="CE308" s="210"/>
      <c r="CF308" s="210"/>
      <c r="CG308" s="210"/>
      <c r="CH308" s="210"/>
      <c r="CI308" s="210"/>
      <c r="CJ308" s="210"/>
      <c r="CK308" s="210"/>
      <c r="CL308" s="210"/>
      <c r="CM308" s="210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 s="210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10"/>
      <c r="AF309" s="210"/>
      <c r="AG309" s="210"/>
      <c r="AH309" s="210"/>
      <c r="AI309" s="210"/>
      <c r="AJ309" s="210"/>
      <c r="AK309" s="210"/>
      <c r="AL309" s="210"/>
      <c r="AM309" s="210"/>
      <c r="AN309" s="210"/>
      <c r="AO309" s="210"/>
      <c r="AP309" s="210"/>
      <c r="AQ309" s="210"/>
      <c r="AR309" s="210"/>
      <c r="AS309" s="210"/>
      <c r="AT309" s="210"/>
      <c r="AU309" s="210"/>
      <c r="AV309" s="210"/>
      <c r="AW309" s="210"/>
      <c r="AX309" s="210"/>
      <c r="AY309" s="210"/>
      <c r="AZ309" s="210"/>
      <c r="BA309" s="210"/>
      <c r="BB309" s="210"/>
      <c r="BC309" s="210"/>
      <c r="BD309" s="210"/>
      <c r="BE309" s="210"/>
      <c r="BF309" s="210"/>
      <c r="BG309" s="210"/>
      <c r="BH309" s="210"/>
      <c r="BI309" s="210"/>
      <c r="BJ309" s="210"/>
      <c r="BK309" s="210"/>
      <c r="BL309" s="210"/>
      <c r="BM309" s="210"/>
      <c r="BN309" s="210"/>
      <c r="BO309" s="210"/>
      <c r="BP309" s="210"/>
      <c r="BQ309" s="210"/>
      <c r="BR309" s="210"/>
      <c r="BS309" s="210"/>
      <c r="BT309" s="210"/>
      <c r="BU309" s="210"/>
      <c r="BV309" s="210"/>
      <c r="BW309" s="210"/>
      <c r="BX309" s="210"/>
      <c r="BY309" s="210"/>
      <c r="BZ309" s="210"/>
      <c r="CA309" s="210"/>
      <c r="CB309" s="210"/>
      <c r="CC309" s="210"/>
      <c r="CD309" s="210"/>
      <c r="CE309" s="210"/>
      <c r="CF309" s="210"/>
      <c r="CG309" s="210"/>
      <c r="CH309" s="210"/>
      <c r="CI309" s="210"/>
      <c r="CJ309" s="210"/>
      <c r="CK309" s="210"/>
      <c r="CL309" s="210"/>
      <c r="CM309" s="210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 s="210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10"/>
      <c r="AF310" s="210"/>
      <c r="AG310" s="210"/>
      <c r="AH310" s="210"/>
      <c r="AI310" s="210"/>
      <c r="AJ310" s="210"/>
      <c r="AK310" s="210"/>
      <c r="AL310" s="210"/>
      <c r="AM310" s="210"/>
      <c r="AN310" s="210"/>
      <c r="AO310" s="210"/>
      <c r="AP310" s="210"/>
      <c r="AQ310" s="210"/>
      <c r="AR310" s="210"/>
      <c r="AS310" s="210"/>
      <c r="AT310" s="210"/>
      <c r="AU310" s="210"/>
      <c r="AV310" s="210"/>
      <c r="AW310" s="210"/>
      <c r="AX310" s="210"/>
      <c r="AY310" s="210"/>
      <c r="AZ310" s="210"/>
      <c r="BA310" s="210"/>
      <c r="BB310" s="210"/>
      <c r="BC310" s="210"/>
      <c r="BD310" s="210"/>
      <c r="BE310" s="210"/>
      <c r="BF310" s="210"/>
      <c r="BG310" s="210"/>
      <c r="BH310" s="210"/>
      <c r="BI310" s="210"/>
      <c r="BJ310" s="210"/>
      <c r="BK310" s="210"/>
      <c r="BL310" s="210"/>
      <c r="BM310" s="210"/>
      <c r="BN310" s="210"/>
      <c r="BO310" s="210"/>
      <c r="BP310" s="210"/>
      <c r="BQ310" s="210"/>
      <c r="BR310" s="210"/>
      <c r="BS310" s="210"/>
      <c r="BT310" s="210"/>
      <c r="BU310" s="210"/>
      <c r="BV310" s="210"/>
      <c r="BW310" s="210"/>
      <c r="BX310" s="210"/>
      <c r="BY310" s="210"/>
      <c r="BZ310" s="210"/>
      <c r="CA310" s="210"/>
      <c r="CB310" s="210"/>
      <c r="CC310" s="210"/>
      <c r="CD310" s="210"/>
      <c r="CE310" s="210"/>
      <c r="CF310" s="210"/>
      <c r="CG310" s="210"/>
      <c r="CH310" s="210"/>
      <c r="CI310" s="210"/>
      <c r="CJ310" s="210"/>
      <c r="CK310" s="210"/>
      <c r="CL310" s="210"/>
      <c r="CM310" s="2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 s="210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10"/>
      <c r="AF311" s="210"/>
      <c r="AG311" s="210"/>
      <c r="AH311" s="210"/>
      <c r="AI311" s="210"/>
      <c r="AJ311" s="210"/>
      <c r="AK311" s="210"/>
      <c r="AL311" s="210"/>
      <c r="AM311" s="210"/>
      <c r="AN311" s="210"/>
      <c r="AO311" s="210"/>
      <c r="AP311" s="210"/>
      <c r="AQ311" s="210"/>
      <c r="AR311" s="210"/>
      <c r="AS311" s="210"/>
      <c r="AT311" s="210"/>
      <c r="AU311" s="210"/>
      <c r="AV311" s="210"/>
      <c r="AW311" s="210"/>
      <c r="AX311" s="210"/>
      <c r="AY311" s="210"/>
      <c r="AZ311" s="210"/>
      <c r="BA311" s="210"/>
      <c r="BB311" s="210"/>
      <c r="BC311" s="210"/>
      <c r="BD311" s="210"/>
      <c r="BE311" s="210"/>
      <c r="BF311" s="210"/>
      <c r="BG311" s="210"/>
      <c r="BH311" s="210"/>
      <c r="BI311" s="210"/>
      <c r="BJ311" s="210"/>
      <c r="BK311" s="210"/>
      <c r="BL311" s="210"/>
      <c r="BM311" s="210"/>
      <c r="BN311" s="210"/>
      <c r="BO311" s="210"/>
      <c r="BP311" s="210"/>
      <c r="BQ311" s="210"/>
      <c r="BR311" s="210"/>
      <c r="BS311" s="210"/>
      <c r="BT311" s="210"/>
      <c r="BU311" s="210"/>
      <c r="BV311" s="210"/>
      <c r="BW311" s="210"/>
      <c r="BX311" s="210"/>
      <c r="BY311" s="210"/>
      <c r="BZ311" s="210"/>
      <c r="CA311" s="210"/>
      <c r="CB311" s="210"/>
      <c r="CC311" s="210"/>
      <c r="CD311" s="210"/>
      <c r="CE311" s="210"/>
      <c r="CF311" s="210"/>
      <c r="CG311" s="210"/>
      <c r="CH311" s="210"/>
      <c r="CI311" s="210"/>
      <c r="CJ311" s="210"/>
      <c r="CK311" s="210"/>
      <c r="CL311" s="210"/>
      <c r="CM311" s="210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 s="210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10"/>
      <c r="AF312" s="210"/>
      <c r="AG312" s="210"/>
      <c r="AH312" s="210"/>
      <c r="AI312" s="210"/>
      <c r="AJ312" s="210"/>
      <c r="AK312" s="210"/>
      <c r="AL312" s="210"/>
      <c r="AM312" s="210"/>
      <c r="AN312" s="210"/>
      <c r="AO312" s="210"/>
      <c r="AP312" s="210"/>
      <c r="AQ312" s="210"/>
      <c r="AR312" s="210"/>
      <c r="AS312" s="210"/>
      <c r="AT312" s="210"/>
      <c r="AU312" s="210"/>
      <c r="AV312" s="210"/>
      <c r="AW312" s="210"/>
      <c r="AX312" s="210"/>
      <c r="AY312" s="210"/>
      <c r="AZ312" s="210"/>
      <c r="BA312" s="210"/>
      <c r="BB312" s="210"/>
      <c r="BC312" s="210"/>
      <c r="BD312" s="210"/>
      <c r="BE312" s="210"/>
      <c r="BF312" s="210"/>
      <c r="BG312" s="210"/>
      <c r="BH312" s="210"/>
      <c r="BI312" s="210"/>
      <c r="BJ312" s="210"/>
      <c r="BK312" s="210"/>
      <c r="BL312" s="210"/>
      <c r="BM312" s="210"/>
      <c r="BN312" s="210"/>
      <c r="BO312" s="210"/>
      <c r="BP312" s="210"/>
      <c r="BQ312" s="210"/>
      <c r="BR312" s="210"/>
      <c r="BS312" s="210"/>
      <c r="BT312" s="210"/>
      <c r="BU312" s="210"/>
      <c r="BV312" s="210"/>
      <c r="BW312" s="210"/>
      <c r="BX312" s="210"/>
      <c r="BY312" s="210"/>
      <c r="BZ312" s="210"/>
      <c r="CA312" s="210"/>
      <c r="CB312" s="210"/>
      <c r="CC312" s="210"/>
      <c r="CD312" s="210"/>
      <c r="CE312" s="210"/>
      <c r="CF312" s="210"/>
      <c r="CG312" s="210"/>
      <c r="CH312" s="210"/>
      <c r="CI312" s="210"/>
      <c r="CJ312" s="210"/>
      <c r="CK312" s="210"/>
      <c r="CL312" s="210"/>
      <c r="CM312" s="210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 s="210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10"/>
      <c r="AF313" s="210"/>
      <c r="AG313" s="210"/>
      <c r="AH313" s="210"/>
      <c r="AI313" s="210"/>
      <c r="AJ313" s="210"/>
      <c r="AK313" s="210"/>
      <c r="AL313" s="210"/>
      <c r="AM313" s="210"/>
      <c r="AN313" s="210"/>
      <c r="AO313" s="210"/>
      <c r="AP313" s="210"/>
      <c r="AQ313" s="210"/>
      <c r="AR313" s="210"/>
      <c r="AS313" s="210"/>
      <c r="AT313" s="210"/>
      <c r="AU313" s="210"/>
      <c r="AV313" s="210"/>
      <c r="AW313" s="210"/>
      <c r="AX313" s="210"/>
      <c r="AY313" s="210"/>
      <c r="AZ313" s="210"/>
      <c r="BA313" s="210"/>
      <c r="BB313" s="210"/>
      <c r="BC313" s="210"/>
      <c r="BD313" s="210"/>
      <c r="BE313" s="210"/>
      <c r="BF313" s="210"/>
      <c r="BG313" s="210"/>
      <c r="BH313" s="210"/>
      <c r="BI313" s="210"/>
      <c r="BJ313" s="210"/>
      <c r="BK313" s="210"/>
      <c r="BL313" s="210"/>
      <c r="BM313" s="210"/>
      <c r="BN313" s="210"/>
      <c r="BO313" s="210"/>
      <c r="BP313" s="210"/>
      <c r="BQ313" s="210"/>
      <c r="BR313" s="210"/>
      <c r="BS313" s="210"/>
      <c r="BT313" s="210"/>
      <c r="BU313" s="210"/>
      <c r="BV313" s="210"/>
      <c r="BW313" s="210"/>
      <c r="BX313" s="210"/>
      <c r="BY313" s="210"/>
      <c r="BZ313" s="210"/>
      <c r="CA313" s="210"/>
      <c r="CB313" s="210"/>
      <c r="CC313" s="210"/>
      <c r="CD313" s="210"/>
      <c r="CE313" s="210"/>
      <c r="CF313" s="210"/>
      <c r="CG313" s="210"/>
      <c r="CH313" s="210"/>
      <c r="CI313" s="210"/>
      <c r="CJ313" s="210"/>
      <c r="CK313" s="210"/>
      <c r="CL313" s="210"/>
      <c r="CM313" s="210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 s="210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10"/>
      <c r="AF314" s="210"/>
      <c r="AG314" s="210"/>
      <c r="AH314" s="210"/>
      <c r="AI314" s="210"/>
      <c r="AJ314" s="210"/>
      <c r="AK314" s="210"/>
      <c r="AL314" s="210"/>
      <c r="AM314" s="210"/>
      <c r="AN314" s="210"/>
      <c r="AO314" s="210"/>
      <c r="AP314" s="210"/>
      <c r="AQ314" s="210"/>
      <c r="AR314" s="210"/>
      <c r="AS314" s="210"/>
      <c r="AT314" s="210"/>
      <c r="AU314" s="210"/>
      <c r="AV314" s="210"/>
      <c r="AW314" s="210"/>
      <c r="AX314" s="210"/>
      <c r="AY314" s="210"/>
      <c r="AZ314" s="210"/>
      <c r="BA314" s="210"/>
      <c r="BB314" s="210"/>
      <c r="BC314" s="210"/>
      <c r="BD314" s="210"/>
      <c r="BE314" s="210"/>
      <c r="BF314" s="210"/>
      <c r="BG314" s="210"/>
      <c r="BH314" s="210"/>
      <c r="BI314" s="210"/>
      <c r="BJ314" s="210"/>
      <c r="BK314" s="210"/>
      <c r="BL314" s="210"/>
      <c r="BM314" s="210"/>
      <c r="BN314" s="210"/>
      <c r="BO314" s="210"/>
      <c r="BP314" s="210"/>
      <c r="BQ314" s="210"/>
      <c r="BR314" s="210"/>
      <c r="BS314" s="210"/>
      <c r="BT314" s="210"/>
      <c r="BU314" s="210"/>
      <c r="BV314" s="210"/>
      <c r="BW314" s="210"/>
      <c r="BX314" s="210"/>
      <c r="BY314" s="210"/>
      <c r="BZ314" s="210"/>
      <c r="CA314" s="210"/>
      <c r="CB314" s="210"/>
      <c r="CC314" s="210"/>
      <c r="CD314" s="210"/>
      <c r="CE314" s="210"/>
      <c r="CF314" s="210"/>
      <c r="CG314" s="210"/>
      <c r="CH314" s="210"/>
      <c r="CI314" s="210"/>
      <c r="CJ314" s="210"/>
      <c r="CK314" s="210"/>
      <c r="CL314" s="210"/>
      <c r="CM314" s="210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 s="210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10"/>
      <c r="AF315" s="210"/>
      <c r="AG315" s="210"/>
      <c r="AH315" s="210"/>
      <c r="AI315" s="210"/>
      <c r="AJ315" s="210"/>
      <c r="AK315" s="210"/>
      <c r="AL315" s="210"/>
      <c r="AM315" s="210"/>
      <c r="AN315" s="210"/>
      <c r="AO315" s="210"/>
      <c r="AP315" s="210"/>
      <c r="AQ315" s="210"/>
      <c r="AR315" s="210"/>
      <c r="AS315" s="210"/>
      <c r="AT315" s="210"/>
      <c r="AU315" s="210"/>
      <c r="AV315" s="210"/>
      <c r="AW315" s="210"/>
      <c r="AX315" s="210"/>
      <c r="AY315" s="210"/>
      <c r="AZ315" s="210"/>
      <c r="BA315" s="210"/>
      <c r="BB315" s="210"/>
      <c r="BC315" s="210"/>
      <c r="BD315" s="210"/>
      <c r="BE315" s="210"/>
      <c r="BF315" s="210"/>
      <c r="BG315" s="210"/>
      <c r="BH315" s="210"/>
      <c r="BI315" s="210"/>
      <c r="BJ315" s="210"/>
      <c r="BK315" s="210"/>
      <c r="BL315" s="210"/>
      <c r="BM315" s="210"/>
      <c r="BN315" s="210"/>
      <c r="BO315" s="210"/>
      <c r="BP315" s="210"/>
      <c r="BQ315" s="210"/>
      <c r="BR315" s="210"/>
      <c r="BS315" s="210"/>
      <c r="BT315" s="210"/>
      <c r="BU315" s="210"/>
      <c r="BV315" s="210"/>
      <c r="BW315" s="210"/>
      <c r="BX315" s="210"/>
      <c r="BY315" s="210"/>
      <c r="BZ315" s="210"/>
      <c r="CA315" s="210"/>
      <c r="CB315" s="210"/>
      <c r="CC315" s="210"/>
      <c r="CD315" s="210"/>
      <c r="CE315" s="210"/>
      <c r="CF315" s="210"/>
      <c r="CG315" s="210"/>
      <c r="CH315" s="210"/>
      <c r="CI315" s="210"/>
      <c r="CJ315" s="210"/>
      <c r="CK315" s="210"/>
      <c r="CL315" s="210"/>
      <c r="CM315" s="210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 s="210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10"/>
      <c r="AF316" s="210"/>
      <c r="AG316" s="210"/>
      <c r="AH316" s="210"/>
      <c r="AI316" s="210"/>
      <c r="AJ316" s="210"/>
      <c r="AK316" s="210"/>
      <c r="AL316" s="210"/>
      <c r="AM316" s="210"/>
      <c r="AN316" s="210"/>
      <c r="AO316" s="210"/>
      <c r="AP316" s="210"/>
      <c r="AQ316" s="210"/>
      <c r="AR316" s="210"/>
      <c r="AS316" s="210"/>
      <c r="AT316" s="210"/>
      <c r="AU316" s="210"/>
      <c r="AV316" s="210"/>
      <c r="AW316" s="210"/>
      <c r="AX316" s="210"/>
      <c r="AY316" s="210"/>
      <c r="AZ316" s="210"/>
      <c r="BA316" s="210"/>
      <c r="BB316" s="210"/>
      <c r="BC316" s="210"/>
      <c r="BD316" s="210"/>
      <c r="BE316" s="210"/>
      <c r="BF316" s="210"/>
      <c r="BG316" s="210"/>
      <c r="BH316" s="210"/>
      <c r="BI316" s="210"/>
      <c r="BJ316" s="210"/>
      <c r="BK316" s="210"/>
      <c r="BL316" s="210"/>
      <c r="BM316" s="210"/>
      <c r="BN316" s="210"/>
      <c r="BO316" s="210"/>
      <c r="BP316" s="210"/>
      <c r="BQ316" s="210"/>
      <c r="BR316" s="210"/>
      <c r="BS316" s="210"/>
      <c r="BT316" s="210"/>
      <c r="BU316" s="210"/>
      <c r="BV316" s="210"/>
      <c r="BW316" s="210"/>
      <c r="BX316" s="210"/>
      <c r="BY316" s="210"/>
      <c r="BZ316" s="210"/>
      <c r="CA316" s="210"/>
      <c r="CB316" s="210"/>
      <c r="CC316" s="210"/>
      <c r="CD316" s="210"/>
      <c r="CE316" s="210"/>
      <c r="CF316" s="210"/>
      <c r="CG316" s="210"/>
      <c r="CH316" s="210"/>
      <c r="CI316" s="210"/>
      <c r="CJ316" s="210"/>
      <c r="CK316" s="210"/>
      <c r="CL316" s="210"/>
      <c r="CM316" s="210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 s="210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10"/>
      <c r="AF317" s="210"/>
      <c r="AG317" s="210"/>
      <c r="AH317" s="210"/>
      <c r="AI317" s="210"/>
      <c r="AJ317" s="210"/>
      <c r="AK317" s="210"/>
      <c r="AL317" s="210"/>
      <c r="AM317" s="210"/>
      <c r="AN317" s="210"/>
      <c r="AO317" s="210"/>
      <c r="AP317" s="210"/>
      <c r="AQ317" s="210"/>
      <c r="AR317" s="210"/>
      <c r="AS317" s="210"/>
      <c r="AT317" s="210"/>
      <c r="AU317" s="210"/>
      <c r="AV317" s="210"/>
      <c r="AW317" s="210"/>
      <c r="AX317" s="210"/>
      <c r="AY317" s="210"/>
      <c r="AZ317" s="210"/>
      <c r="BA317" s="210"/>
      <c r="BB317" s="210"/>
      <c r="BC317" s="210"/>
      <c r="BD317" s="210"/>
      <c r="BE317" s="210"/>
      <c r="BF317" s="210"/>
      <c r="BG317" s="210"/>
      <c r="BH317" s="210"/>
      <c r="BI317" s="210"/>
      <c r="BJ317" s="210"/>
      <c r="BK317" s="210"/>
      <c r="BL317" s="210"/>
      <c r="BM317" s="210"/>
      <c r="BN317" s="210"/>
      <c r="BO317" s="210"/>
      <c r="BP317" s="210"/>
      <c r="BQ317" s="210"/>
      <c r="BR317" s="210"/>
      <c r="BS317" s="210"/>
      <c r="BT317" s="210"/>
      <c r="BU317" s="210"/>
      <c r="BV317" s="210"/>
      <c r="BW317" s="210"/>
      <c r="BX317" s="210"/>
      <c r="BY317" s="210"/>
      <c r="BZ317" s="210"/>
      <c r="CA317" s="210"/>
      <c r="CB317" s="210"/>
      <c r="CC317" s="210"/>
      <c r="CD317" s="210"/>
      <c r="CE317" s="210"/>
      <c r="CF317" s="210"/>
      <c r="CG317" s="210"/>
      <c r="CH317" s="210"/>
      <c r="CI317" s="210"/>
      <c r="CJ317" s="210"/>
      <c r="CK317" s="210"/>
      <c r="CL317" s="210"/>
      <c r="CM317" s="210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 s="210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10"/>
      <c r="AF318" s="210"/>
      <c r="AG318" s="210"/>
      <c r="AH318" s="210"/>
      <c r="AI318" s="210"/>
      <c r="AJ318" s="210"/>
      <c r="AK318" s="210"/>
      <c r="AL318" s="210"/>
      <c r="AM318" s="210"/>
      <c r="AN318" s="210"/>
      <c r="AO318" s="210"/>
      <c r="AP318" s="210"/>
      <c r="AQ318" s="210"/>
      <c r="AR318" s="210"/>
      <c r="AS318" s="210"/>
      <c r="AT318" s="210"/>
      <c r="AU318" s="210"/>
      <c r="AV318" s="210"/>
      <c r="AW318" s="210"/>
      <c r="AX318" s="210"/>
      <c r="AY318" s="210"/>
      <c r="AZ318" s="210"/>
      <c r="BA318" s="210"/>
      <c r="BB318" s="210"/>
      <c r="BC318" s="210"/>
      <c r="BD318" s="210"/>
      <c r="BE318" s="210"/>
      <c r="BF318" s="210"/>
      <c r="BG318" s="210"/>
      <c r="BH318" s="210"/>
      <c r="BI318" s="210"/>
      <c r="BJ318" s="210"/>
      <c r="BK318" s="210"/>
      <c r="BL318" s="210"/>
      <c r="BM318" s="210"/>
      <c r="BN318" s="210"/>
      <c r="BO318" s="210"/>
      <c r="BP318" s="210"/>
      <c r="BQ318" s="210"/>
      <c r="BR318" s="210"/>
      <c r="BS318" s="210"/>
      <c r="BT318" s="210"/>
      <c r="BU318" s="210"/>
      <c r="BV318" s="210"/>
      <c r="BW318" s="210"/>
      <c r="BX318" s="210"/>
      <c r="BY318" s="210"/>
      <c r="BZ318" s="210"/>
      <c r="CA318" s="210"/>
      <c r="CB318" s="210"/>
      <c r="CC318" s="210"/>
      <c r="CD318" s="210"/>
      <c r="CE318" s="210"/>
      <c r="CF318" s="210"/>
      <c r="CG318" s="210"/>
      <c r="CH318" s="210"/>
      <c r="CI318" s="210"/>
      <c r="CJ318" s="210"/>
      <c r="CK318" s="210"/>
      <c r="CL318" s="210"/>
      <c r="CM318" s="210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 s="210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10"/>
      <c r="AF319" s="210"/>
      <c r="AG319" s="210"/>
      <c r="AH319" s="210"/>
      <c r="AI319" s="210"/>
      <c r="AJ319" s="210"/>
      <c r="AK319" s="210"/>
      <c r="AL319" s="210"/>
      <c r="AM319" s="210"/>
      <c r="AN319" s="210"/>
      <c r="AO319" s="210"/>
      <c r="AP319" s="210"/>
      <c r="AQ319" s="210"/>
      <c r="AR319" s="210"/>
      <c r="AS319" s="210"/>
      <c r="AT319" s="210"/>
      <c r="AU319" s="210"/>
      <c r="AV319" s="210"/>
      <c r="AW319" s="210"/>
      <c r="AX319" s="210"/>
      <c r="AY319" s="210"/>
      <c r="AZ319" s="210"/>
      <c r="BA319" s="210"/>
      <c r="BB319" s="210"/>
      <c r="BC319" s="210"/>
      <c r="BD319" s="210"/>
      <c r="BE319" s="210"/>
      <c r="BF319" s="210"/>
      <c r="BG319" s="210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  <c r="BR319" s="210"/>
      <c r="BS319" s="210"/>
      <c r="BT319" s="210"/>
      <c r="BU319" s="210"/>
      <c r="BV319" s="210"/>
      <c r="BW319" s="210"/>
      <c r="BX319" s="210"/>
      <c r="BY319" s="210"/>
      <c r="BZ319" s="210"/>
      <c r="CA319" s="210"/>
      <c r="CB319" s="210"/>
      <c r="CC319" s="210"/>
      <c r="CD319" s="210"/>
      <c r="CE319" s="210"/>
      <c r="CF319" s="210"/>
      <c r="CG319" s="210"/>
      <c r="CH319" s="210"/>
      <c r="CI319" s="210"/>
      <c r="CJ319" s="210"/>
      <c r="CK319" s="210"/>
      <c r="CL319" s="210"/>
      <c r="CM319" s="210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 s="210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10"/>
      <c r="AF320" s="210"/>
      <c r="AG320" s="210"/>
      <c r="AH320" s="210"/>
      <c r="AI320" s="210"/>
      <c r="AJ320" s="210"/>
      <c r="AK320" s="210"/>
      <c r="AL320" s="210"/>
      <c r="AM320" s="210"/>
      <c r="AN320" s="210"/>
      <c r="AO320" s="210"/>
      <c r="AP320" s="210"/>
      <c r="AQ320" s="210"/>
      <c r="AR320" s="210"/>
      <c r="AS320" s="210"/>
      <c r="AT320" s="210"/>
      <c r="AU320" s="210"/>
      <c r="AV320" s="210"/>
      <c r="AW320" s="210"/>
      <c r="AX320" s="210"/>
      <c r="AY320" s="210"/>
      <c r="AZ320" s="210"/>
      <c r="BA320" s="210"/>
      <c r="BB320" s="210"/>
      <c r="BC320" s="210"/>
      <c r="BD320" s="210"/>
      <c r="BE320" s="210"/>
      <c r="BF320" s="210"/>
      <c r="BG320" s="210"/>
      <c r="BH320" s="210"/>
      <c r="BI320" s="210"/>
      <c r="BJ320" s="210"/>
      <c r="BK320" s="210"/>
      <c r="BL320" s="210"/>
      <c r="BM320" s="210"/>
      <c r="BN320" s="210"/>
      <c r="BO320" s="210"/>
      <c r="BP320" s="210"/>
      <c r="BQ320" s="210"/>
      <c r="BR320" s="210"/>
      <c r="BS320" s="210"/>
      <c r="BT320" s="210"/>
      <c r="BU320" s="210"/>
      <c r="BV320" s="210"/>
      <c r="BW320" s="210"/>
      <c r="BX320" s="210"/>
      <c r="BY320" s="210"/>
      <c r="BZ320" s="210"/>
      <c r="CA320" s="210"/>
      <c r="CB320" s="210"/>
      <c r="CC320" s="210"/>
      <c r="CD320" s="210"/>
      <c r="CE320" s="210"/>
      <c r="CF320" s="210"/>
      <c r="CG320" s="210"/>
      <c r="CH320" s="210"/>
      <c r="CI320" s="210"/>
      <c r="CJ320" s="210"/>
      <c r="CK320" s="210"/>
      <c r="CL320" s="210"/>
      <c r="CM320" s="21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 s="210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10"/>
      <c r="AF321" s="210"/>
      <c r="AG321" s="210"/>
      <c r="AH321" s="210"/>
      <c r="AI321" s="210"/>
      <c r="AJ321" s="210"/>
      <c r="AK321" s="210"/>
      <c r="AL321" s="210"/>
      <c r="AM321" s="210"/>
      <c r="AN321" s="210"/>
      <c r="AO321" s="210"/>
      <c r="AP321" s="210"/>
      <c r="AQ321" s="210"/>
      <c r="AR321" s="210"/>
      <c r="AS321" s="210"/>
      <c r="AT321" s="210"/>
      <c r="AU321" s="210"/>
      <c r="AV321" s="210"/>
      <c r="AW321" s="210"/>
      <c r="AX321" s="210"/>
      <c r="AY321" s="210"/>
      <c r="AZ321" s="210"/>
      <c r="BA321" s="210"/>
      <c r="BB321" s="210"/>
      <c r="BC321" s="210"/>
      <c r="BD321" s="210"/>
      <c r="BE321" s="210"/>
      <c r="BF321" s="210"/>
      <c r="BG321" s="210"/>
      <c r="BH321" s="210"/>
      <c r="BI321" s="210"/>
      <c r="BJ321" s="210"/>
      <c r="BK321" s="210"/>
      <c r="BL321" s="210"/>
      <c r="BM321" s="210"/>
      <c r="BN321" s="210"/>
      <c r="BO321" s="210"/>
      <c r="BP321" s="210"/>
      <c r="BQ321" s="210"/>
      <c r="BR321" s="210"/>
      <c r="BS321" s="210"/>
      <c r="BT321" s="210"/>
      <c r="BU321" s="210"/>
      <c r="BV321" s="210"/>
      <c r="BW321" s="210"/>
      <c r="BX321" s="210"/>
      <c r="BY321" s="210"/>
      <c r="BZ321" s="210"/>
      <c r="CA321" s="210"/>
      <c r="CB321" s="210"/>
      <c r="CC321" s="210"/>
      <c r="CD321" s="210"/>
      <c r="CE321" s="210"/>
      <c r="CF321" s="210"/>
      <c r="CG321" s="210"/>
      <c r="CH321" s="210"/>
      <c r="CI321" s="210"/>
      <c r="CJ321" s="210"/>
      <c r="CK321" s="210"/>
      <c r="CL321" s="210"/>
      <c r="CM321" s="210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 s="210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10"/>
      <c r="AF322" s="210"/>
      <c r="AG322" s="210"/>
      <c r="AH322" s="210"/>
      <c r="AI322" s="210"/>
      <c r="AJ322" s="210"/>
      <c r="AK322" s="210"/>
      <c r="AL322" s="210"/>
      <c r="AM322" s="210"/>
      <c r="AN322" s="210"/>
      <c r="AO322" s="210"/>
      <c r="AP322" s="210"/>
      <c r="AQ322" s="210"/>
      <c r="AR322" s="210"/>
      <c r="AS322" s="210"/>
      <c r="AT322" s="210"/>
      <c r="AU322" s="210"/>
      <c r="AV322" s="210"/>
      <c r="AW322" s="210"/>
      <c r="AX322" s="210"/>
      <c r="AY322" s="210"/>
      <c r="AZ322" s="210"/>
      <c r="BA322" s="210"/>
      <c r="BB322" s="210"/>
      <c r="BC322" s="210"/>
      <c r="BD322" s="210"/>
      <c r="BE322" s="210"/>
      <c r="BF322" s="210"/>
      <c r="BG322" s="210"/>
      <c r="BH322" s="210"/>
      <c r="BI322" s="210"/>
      <c r="BJ322" s="210"/>
      <c r="BK322" s="210"/>
      <c r="BL322" s="210"/>
      <c r="BM322" s="210"/>
      <c r="BN322" s="210"/>
      <c r="BO322" s="210"/>
      <c r="BP322" s="210"/>
      <c r="BQ322" s="210"/>
      <c r="BR322" s="210"/>
      <c r="BS322" s="210"/>
      <c r="BT322" s="210"/>
      <c r="BU322" s="210"/>
      <c r="BV322" s="210"/>
      <c r="BW322" s="210"/>
      <c r="BX322" s="210"/>
      <c r="BY322" s="210"/>
      <c r="BZ322" s="210"/>
      <c r="CA322" s="210"/>
      <c r="CB322" s="210"/>
      <c r="CC322" s="210"/>
      <c r="CD322" s="210"/>
      <c r="CE322" s="210"/>
      <c r="CF322" s="210"/>
      <c r="CG322" s="210"/>
      <c r="CH322" s="210"/>
      <c r="CI322" s="210"/>
      <c r="CJ322" s="210"/>
      <c r="CK322" s="210"/>
      <c r="CL322" s="210"/>
      <c r="CM322" s="210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 s="210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10"/>
      <c r="AF323" s="210"/>
      <c r="AG323" s="210"/>
      <c r="AH323" s="210"/>
      <c r="AI323" s="210"/>
      <c r="AJ323" s="210"/>
      <c r="AK323" s="210"/>
      <c r="AL323" s="210"/>
      <c r="AM323" s="210"/>
      <c r="AN323" s="210"/>
      <c r="AO323" s="210"/>
      <c r="AP323" s="210"/>
      <c r="AQ323" s="210"/>
      <c r="AR323" s="210"/>
      <c r="AS323" s="210"/>
      <c r="AT323" s="210"/>
      <c r="AU323" s="210"/>
      <c r="AV323" s="210"/>
      <c r="AW323" s="210"/>
      <c r="AX323" s="210"/>
      <c r="AY323" s="210"/>
      <c r="AZ323" s="210"/>
      <c r="BA323" s="210"/>
      <c r="BB323" s="210"/>
      <c r="BC323" s="210"/>
      <c r="BD323" s="210"/>
      <c r="BE323" s="210"/>
      <c r="BF323" s="210"/>
      <c r="BG323" s="210"/>
      <c r="BH323" s="210"/>
      <c r="BI323" s="210"/>
      <c r="BJ323" s="210"/>
      <c r="BK323" s="210"/>
      <c r="BL323" s="210"/>
      <c r="BM323" s="210"/>
      <c r="BN323" s="210"/>
      <c r="BO323" s="210"/>
      <c r="BP323" s="210"/>
      <c r="BQ323" s="210"/>
      <c r="BR323" s="210"/>
      <c r="BS323" s="210"/>
      <c r="BT323" s="210"/>
      <c r="BU323" s="210"/>
      <c r="BV323" s="210"/>
      <c r="BW323" s="210"/>
      <c r="BX323" s="210"/>
      <c r="BY323" s="210"/>
      <c r="BZ323" s="210"/>
      <c r="CA323" s="210"/>
      <c r="CB323" s="210"/>
      <c r="CC323" s="210"/>
      <c r="CD323" s="210"/>
      <c r="CE323" s="210"/>
      <c r="CF323" s="210"/>
      <c r="CG323" s="210"/>
      <c r="CH323" s="210"/>
      <c r="CI323" s="210"/>
      <c r="CJ323" s="210"/>
      <c r="CK323" s="210"/>
      <c r="CL323" s="210"/>
      <c r="CM323" s="210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 s="210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10"/>
      <c r="AF324" s="210"/>
      <c r="AG324" s="210"/>
      <c r="AH324" s="210"/>
      <c r="AI324" s="210"/>
      <c r="AJ324" s="210"/>
      <c r="AK324" s="210"/>
      <c r="AL324" s="210"/>
      <c r="AM324" s="210"/>
      <c r="AN324" s="210"/>
      <c r="AO324" s="210"/>
      <c r="AP324" s="210"/>
      <c r="AQ324" s="210"/>
      <c r="AR324" s="210"/>
      <c r="AS324" s="210"/>
      <c r="AT324" s="210"/>
      <c r="AU324" s="210"/>
      <c r="AV324" s="210"/>
      <c r="AW324" s="210"/>
      <c r="AX324" s="210"/>
      <c r="AY324" s="210"/>
      <c r="AZ324" s="210"/>
      <c r="BA324" s="210"/>
      <c r="BB324" s="210"/>
      <c r="BC324" s="210"/>
      <c r="BD324" s="210"/>
      <c r="BE324" s="210"/>
      <c r="BF324" s="210"/>
      <c r="BG324" s="210"/>
      <c r="BH324" s="210"/>
      <c r="BI324" s="210"/>
      <c r="BJ324" s="210"/>
      <c r="BK324" s="210"/>
      <c r="BL324" s="210"/>
      <c r="BM324" s="210"/>
      <c r="BN324" s="210"/>
      <c r="BO324" s="210"/>
      <c r="BP324" s="210"/>
      <c r="BQ324" s="210"/>
      <c r="BR324" s="210"/>
      <c r="BS324" s="210"/>
      <c r="BT324" s="210"/>
      <c r="BU324" s="210"/>
      <c r="BV324" s="210"/>
      <c r="BW324" s="210"/>
      <c r="BX324" s="210"/>
      <c r="BY324" s="210"/>
      <c r="BZ324" s="210"/>
      <c r="CA324" s="210"/>
      <c r="CB324" s="210"/>
      <c r="CC324" s="210"/>
      <c r="CD324" s="210"/>
      <c r="CE324" s="210"/>
      <c r="CF324" s="210"/>
      <c r="CG324" s="210"/>
      <c r="CH324" s="210"/>
      <c r="CI324" s="210"/>
      <c r="CJ324" s="210"/>
      <c r="CK324" s="210"/>
      <c r="CL324" s="210"/>
      <c r="CM324" s="210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 s="210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10"/>
      <c r="AF325" s="210"/>
      <c r="AG325" s="210"/>
      <c r="AH325" s="210"/>
      <c r="AI325" s="210"/>
      <c r="AJ325" s="210"/>
      <c r="AK325" s="210"/>
      <c r="AL325" s="210"/>
      <c r="AM325" s="210"/>
      <c r="AN325" s="210"/>
      <c r="AO325" s="210"/>
      <c r="AP325" s="210"/>
      <c r="AQ325" s="210"/>
      <c r="AR325" s="210"/>
      <c r="AS325" s="210"/>
      <c r="AT325" s="210"/>
      <c r="AU325" s="210"/>
      <c r="AV325" s="210"/>
      <c r="AW325" s="210"/>
      <c r="AX325" s="210"/>
      <c r="AY325" s="210"/>
      <c r="AZ325" s="210"/>
      <c r="BA325" s="210"/>
      <c r="BB325" s="210"/>
      <c r="BC325" s="210"/>
      <c r="BD325" s="210"/>
      <c r="BE325" s="210"/>
      <c r="BF325" s="210"/>
      <c r="BG325" s="210"/>
      <c r="BH325" s="210"/>
      <c r="BI325" s="210"/>
      <c r="BJ325" s="210"/>
      <c r="BK325" s="210"/>
      <c r="BL325" s="210"/>
      <c r="BM325" s="210"/>
      <c r="BN325" s="210"/>
      <c r="BO325" s="210"/>
      <c r="BP325" s="210"/>
      <c r="BQ325" s="210"/>
      <c r="BR325" s="210"/>
      <c r="BS325" s="210"/>
      <c r="BT325" s="210"/>
      <c r="BU325" s="210"/>
      <c r="BV325" s="210"/>
      <c r="BW325" s="210"/>
      <c r="BX325" s="210"/>
      <c r="BY325" s="210"/>
      <c r="BZ325" s="210"/>
      <c r="CA325" s="210"/>
      <c r="CB325" s="210"/>
      <c r="CC325" s="210"/>
      <c r="CD325" s="210"/>
      <c r="CE325" s="210"/>
      <c r="CF325" s="210"/>
      <c r="CG325" s="210"/>
      <c r="CH325" s="210"/>
      <c r="CI325" s="210"/>
      <c r="CJ325" s="210"/>
      <c r="CK325" s="210"/>
      <c r="CL325" s="210"/>
      <c r="CM325" s="210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 s="210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10"/>
      <c r="AF326" s="210"/>
      <c r="AG326" s="210"/>
      <c r="AH326" s="210"/>
      <c r="AI326" s="210"/>
      <c r="AJ326" s="210"/>
      <c r="AK326" s="210"/>
      <c r="AL326" s="210"/>
      <c r="AM326" s="210"/>
      <c r="AN326" s="210"/>
      <c r="AO326" s="210"/>
      <c r="AP326" s="210"/>
      <c r="AQ326" s="210"/>
      <c r="AR326" s="210"/>
      <c r="AS326" s="210"/>
      <c r="AT326" s="210"/>
      <c r="AU326" s="210"/>
      <c r="AV326" s="210"/>
      <c r="AW326" s="210"/>
      <c r="AX326" s="210"/>
      <c r="AY326" s="210"/>
      <c r="AZ326" s="210"/>
      <c r="BA326" s="210"/>
      <c r="BB326" s="210"/>
      <c r="BC326" s="210"/>
      <c r="BD326" s="210"/>
      <c r="BE326" s="210"/>
      <c r="BF326" s="210"/>
      <c r="BG326" s="210"/>
      <c r="BH326" s="210"/>
      <c r="BI326" s="210"/>
      <c r="BJ326" s="210"/>
      <c r="BK326" s="210"/>
      <c r="BL326" s="210"/>
      <c r="BM326" s="210"/>
      <c r="BN326" s="210"/>
      <c r="BO326" s="210"/>
      <c r="BP326" s="210"/>
      <c r="BQ326" s="210"/>
      <c r="BR326" s="210"/>
      <c r="BS326" s="210"/>
      <c r="BT326" s="210"/>
      <c r="BU326" s="210"/>
      <c r="BV326" s="210"/>
      <c r="BW326" s="210"/>
      <c r="BX326" s="210"/>
      <c r="BY326" s="210"/>
      <c r="BZ326" s="210"/>
      <c r="CA326" s="210"/>
      <c r="CB326" s="210"/>
      <c r="CC326" s="210"/>
      <c r="CD326" s="210"/>
      <c r="CE326" s="210"/>
      <c r="CF326" s="210"/>
      <c r="CG326" s="210"/>
      <c r="CH326" s="210"/>
      <c r="CI326" s="210"/>
      <c r="CJ326" s="210"/>
      <c r="CK326" s="210"/>
      <c r="CL326" s="210"/>
      <c r="CM326" s="210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 s="210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10"/>
      <c r="AF327" s="210"/>
      <c r="AG327" s="210"/>
      <c r="AH327" s="210"/>
      <c r="AI327" s="210"/>
      <c r="AJ327" s="210"/>
      <c r="AK327" s="210"/>
      <c r="AL327" s="210"/>
      <c r="AM327" s="210"/>
      <c r="AN327" s="210"/>
      <c r="AO327" s="210"/>
      <c r="AP327" s="210"/>
      <c r="AQ327" s="210"/>
      <c r="AR327" s="210"/>
      <c r="AS327" s="210"/>
      <c r="AT327" s="210"/>
      <c r="AU327" s="210"/>
      <c r="AV327" s="210"/>
      <c r="AW327" s="210"/>
      <c r="AX327" s="210"/>
      <c r="AY327" s="210"/>
      <c r="AZ327" s="210"/>
      <c r="BA327" s="210"/>
      <c r="BB327" s="210"/>
      <c r="BC327" s="210"/>
      <c r="BD327" s="210"/>
      <c r="BE327" s="210"/>
      <c r="BF327" s="210"/>
      <c r="BG327" s="210"/>
      <c r="BH327" s="210"/>
      <c r="BI327" s="210"/>
      <c r="BJ327" s="210"/>
      <c r="BK327" s="210"/>
      <c r="BL327" s="210"/>
      <c r="BM327" s="210"/>
      <c r="BN327" s="210"/>
      <c r="BO327" s="210"/>
      <c r="BP327" s="210"/>
      <c r="BQ327" s="210"/>
      <c r="BR327" s="210"/>
      <c r="BS327" s="210"/>
      <c r="BT327" s="210"/>
      <c r="BU327" s="210"/>
      <c r="BV327" s="210"/>
      <c r="BW327" s="210"/>
      <c r="BX327" s="210"/>
      <c r="BY327" s="210"/>
      <c r="BZ327" s="210"/>
      <c r="CA327" s="210"/>
      <c r="CB327" s="210"/>
      <c r="CC327" s="210"/>
      <c r="CD327" s="210"/>
      <c r="CE327" s="210"/>
      <c r="CF327" s="210"/>
      <c r="CG327" s="210"/>
      <c r="CH327" s="210"/>
      <c r="CI327" s="210"/>
      <c r="CJ327" s="210"/>
      <c r="CK327" s="210"/>
      <c r="CL327" s="210"/>
      <c r="CM327" s="210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 s="210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10"/>
      <c r="AF328" s="210"/>
      <c r="AG328" s="210"/>
      <c r="AH328" s="210"/>
      <c r="AI328" s="210"/>
      <c r="AJ328" s="210"/>
      <c r="AK328" s="210"/>
      <c r="AL328" s="210"/>
      <c r="AM328" s="210"/>
      <c r="AN328" s="210"/>
      <c r="AO328" s="210"/>
      <c r="AP328" s="210"/>
      <c r="AQ328" s="210"/>
      <c r="AR328" s="210"/>
      <c r="AS328" s="210"/>
      <c r="AT328" s="210"/>
      <c r="AU328" s="210"/>
      <c r="AV328" s="210"/>
      <c r="AW328" s="210"/>
      <c r="AX328" s="210"/>
      <c r="AY328" s="210"/>
      <c r="AZ328" s="210"/>
      <c r="BA328" s="210"/>
      <c r="BB328" s="210"/>
      <c r="BC328" s="210"/>
      <c r="BD328" s="210"/>
      <c r="BE328" s="210"/>
      <c r="BF328" s="210"/>
      <c r="BG328" s="210"/>
      <c r="BH328" s="210"/>
      <c r="BI328" s="210"/>
      <c r="BJ328" s="210"/>
      <c r="BK328" s="210"/>
      <c r="BL328" s="210"/>
      <c r="BM328" s="210"/>
      <c r="BN328" s="210"/>
      <c r="BO328" s="210"/>
      <c r="BP328" s="210"/>
      <c r="BQ328" s="210"/>
      <c r="BR328" s="210"/>
      <c r="BS328" s="210"/>
      <c r="BT328" s="210"/>
      <c r="BU328" s="210"/>
      <c r="BV328" s="210"/>
      <c r="BW328" s="210"/>
      <c r="BX328" s="210"/>
      <c r="BY328" s="210"/>
      <c r="BZ328" s="210"/>
      <c r="CA328" s="210"/>
      <c r="CB328" s="210"/>
      <c r="CC328" s="210"/>
      <c r="CD328" s="210"/>
      <c r="CE328" s="210"/>
      <c r="CF328" s="210"/>
      <c r="CG328" s="210"/>
      <c r="CH328" s="210"/>
      <c r="CI328" s="210"/>
      <c r="CJ328" s="210"/>
      <c r="CK328" s="210"/>
      <c r="CL328" s="210"/>
      <c r="CM328" s="210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 s="210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10"/>
      <c r="AF329" s="210"/>
      <c r="AG329" s="210"/>
      <c r="AH329" s="210"/>
      <c r="AI329" s="210"/>
      <c r="AJ329" s="210"/>
      <c r="AK329" s="210"/>
      <c r="AL329" s="210"/>
      <c r="AM329" s="210"/>
      <c r="AN329" s="210"/>
      <c r="AO329" s="210"/>
      <c r="AP329" s="210"/>
      <c r="AQ329" s="210"/>
      <c r="AR329" s="210"/>
      <c r="AS329" s="210"/>
      <c r="AT329" s="210"/>
      <c r="AU329" s="210"/>
      <c r="AV329" s="210"/>
      <c r="AW329" s="210"/>
      <c r="AX329" s="210"/>
      <c r="AY329" s="210"/>
      <c r="AZ329" s="210"/>
      <c r="BA329" s="210"/>
      <c r="BB329" s="210"/>
      <c r="BC329" s="210"/>
      <c r="BD329" s="210"/>
      <c r="BE329" s="210"/>
      <c r="BF329" s="210"/>
      <c r="BG329" s="210"/>
      <c r="BH329" s="210"/>
      <c r="BI329" s="210"/>
      <c r="BJ329" s="210"/>
      <c r="BK329" s="210"/>
      <c r="BL329" s="210"/>
      <c r="BM329" s="210"/>
      <c r="BN329" s="210"/>
      <c r="BO329" s="210"/>
      <c r="BP329" s="210"/>
      <c r="BQ329" s="210"/>
      <c r="BR329" s="210"/>
      <c r="BS329" s="210"/>
      <c r="BT329" s="210"/>
      <c r="BU329" s="210"/>
      <c r="BV329" s="210"/>
      <c r="BW329" s="210"/>
      <c r="BX329" s="210"/>
      <c r="BY329" s="210"/>
      <c r="BZ329" s="210"/>
      <c r="CA329" s="210"/>
      <c r="CB329" s="210"/>
      <c r="CC329" s="210"/>
      <c r="CD329" s="210"/>
      <c r="CE329" s="210"/>
      <c r="CF329" s="210"/>
      <c r="CG329" s="210"/>
      <c r="CH329" s="210"/>
      <c r="CI329" s="210"/>
      <c r="CJ329" s="210"/>
      <c r="CK329" s="210"/>
      <c r="CL329" s="210"/>
      <c r="CM329" s="210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 s="210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10"/>
      <c r="AF330" s="210"/>
      <c r="AG330" s="210"/>
      <c r="AH330" s="210"/>
      <c r="AI330" s="210"/>
      <c r="AJ330" s="210"/>
      <c r="AK330" s="210"/>
      <c r="AL330" s="210"/>
      <c r="AM330" s="210"/>
      <c r="AN330" s="210"/>
      <c r="AO330" s="210"/>
      <c r="AP330" s="210"/>
      <c r="AQ330" s="210"/>
      <c r="AR330" s="210"/>
      <c r="AS330" s="210"/>
      <c r="AT330" s="210"/>
      <c r="AU330" s="210"/>
      <c r="AV330" s="210"/>
      <c r="AW330" s="210"/>
      <c r="AX330" s="210"/>
      <c r="AY330" s="210"/>
      <c r="AZ330" s="210"/>
      <c r="BA330" s="210"/>
      <c r="BB330" s="210"/>
      <c r="BC330" s="210"/>
      <c r="BD330" s="210"/>
      <c r="BE330" s="210"/>
      <c r="BF330" s="210"/>
      <c r="BG330" s="210"/>
      <c r="BH330" s="210"/>
      <c r="BI330" s="210"/>
      <c r="BJ330" s="210"/>
      <c r="BK330" s="210"/>
      <c r="BL330" s="210"/>
      <c r="BM330" s="210"/>
      <c r="BN330" s="210"/>
      <c r="BO330" s="210"/>
      <c r="BP330" s="210"/>
      <c r="BQ330" s="210"/>
      <c r="BR330" s="210"/>
      <c r="BS330" s="210"/>
      <c r="BT330" s="210"/>
      <c r="BU330" s="210"/>
      <c r="BV330" s="210"/>
      <c r="BW330" s="210"/>
      <c r="BX330" s="210"/>
      <c r="BY330" s="210"/>
      <c r="BZ330" s="210"/>
      <c r="CA330" s="210"/>
      <c r="CB330" s="210"/>
      <c r="CC330" s="210"/>
      <c r="CD330" s="210"/>
      <c r="CE330" s="210"/>
      <c r="CF330" s="210"/>
      <c r="CG330" s="210"/>
      <c r="CH330" s="210"/>
      <c r="CI330" s="210"/>
      <c r="CJ330" s="210"/>
      <c r="CK330" s="210"/>
      <c r="CL330" s="210"/>
      <c r="CM330" s="21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 s="210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10"/>
      <c r="AF331" s="210"/>
      <c r="AG331" s="210"/>
      <c r="AH331" s="210"/>
      <c r="AI331" s="210"/>
      <c r="AJ331" s="210"/>
      <c r="AK331" s="210"/>
      <c r="AL331" s="210"/>
      <c r="AM331" s="210"/>
      <c r="AN331" s="210"/>
      <c r="AO331" s="210"/>
      <c r="AP331" s="210"/>
      <c r="AQ331" s="210"/>
      <c r="AR331" s="210"/>
      <c r="AS331" s="210"/>
      <c r="AT331" s="210"/>
      <c r="AU331" s="210"/>
      <c r="AV331" s="210"/>
      <c r="AW331" s="210"/>
      <c r="AX331" s="210"/>
      <c r="AY331" s="210"/>
      <c r="AZ331" s="210"/>
      <c r="BA331" s="210"/>
      <c r="BB331" s="210"/>
      <c r="BC331" s="210"/>
      <c r="BD331" s="210"/>
      <c r="BE331" s="210"/>
      <c r="BF331" s="210"/>
      <c r="BG331" s="210"/>
      <c r="BH331" s="210"/>
      <c r="BI331" s="210"/>
      <c r="BJ331" s="210"/>
      <c r="BK331" s="210"/>
      <c r="BL331" s="210"/>
      <c r="BM331" s="210"/>
      <c r="BN331" s="210"/>
      <c r="BO331" s="210"/>
      <c r="BP331" s="210"/>
      <c r="BQ331" s="210"/>
      <c r="BR331" s="210"/>
      <c r="BS331" s="210"/>
      <c r="BT331" s="210"/>
      <c r="BU331" s="210"/>
      <c r="BV331" s="210"/>
      <c r="BW331" s="210"/>
      <c r="BX331" s="210"/>
      <c r="BY331" s="210"/>
      <c r="BZ331" s="210"/>
      <c r="CA331" s="210"/>
      <c r="CB331" s="210"/>
      <c r="CC331" s="210"/>
      <c r="CD331" s="210"/>
      <c r="CE331" s="210"/>
      <c r="CF331" s="210"/>
      <c r="CG331" s="210"/>
      <c r="CH331" s="210"/>
      <c r="CI331" s="210"/>
      <c r="CJ331" s="210"/>
      <c r="CK331" s="210"/>
      <c r="CL331" s="210"/>
      <c r="CM331" s="210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 s="210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10"/>
      <c r="AF332" s="210"/>
      <c r="AG332" s="210"/>
      <c r="AH332" s="210"/>
      <c r="AI332" s="210"/>
      <c r="AJ332" s="210"/>
      <c r="AK332" s="210"/>
      <c r="AL332" s="210"/>
      <c r="AM332" s="210"/>
      <c r="AN332" s="210"/>
      <c r="AO332" s="210"/>
      <c r="AP332" s="210"/>
      <c r="AQ332" s="210"/>
      <c r="AR332" s="210"/>
      <c r="AS332" s="210"/>
      <c r="AT332" s="210"/>
      <c r="AU332" s="210"/>
      <c r="AV332" s="210"/>
      <c r="AW332" s="210"/>
      <c r="AX332" s="210"/>
      <c r="AY332" s="210"/>
      <c r="AZ332" s="210"/>
      <c r="BA332" s="210"/>
      <c r="BB332" s="210"/>
      <c r="BC332" s="210"/>
      <c r="BD332" s="210"/>
      <c r="BE332" s="210"/>
      <c r="BF332" s="210"/>
      <c r="BG332" s="210"/>
      <c r="BH332" s="210"/>
      <c r="BI332" s="210"/>
      <c r="BJ332" s="210"/>
      <c r="BK332" s="210"/>
      <c r="BL332" s="210"/>
      <c r="BM332" s="210"/>
      <c r="BN332" s="210"/>
      <c r="BO332" s="210"/>
      <c r="BP332" s="210"/>
      <c r="BQ332" s="210"/>
      <c r="BR332" s="210"/>
      <c r="BS332" s="210"/>
      <c r="BT332" s="210"/>
      <c r="BU332" s="210"/>
      <c r="BV332" s="210"/>
      <c r="BW332" s="210"/>
      <c r="BX332" s="210"/>
      <c r="BY332" s="210"/>
      <c r="BZ332" s="210"/>
      <c r="CA332" s="210"/>
      <c r="CB332" s="210"/>
      <c r="CC332" s="210"/>
      <c r="CD332" s="210"/>
      <c r="CE332" s="210"/>
      <c r="CF332" s="210"/>
      <c r="CG332" s="210"/>
      <c r="CH332" s="210"/>
      <c r="CI332" s="210"/>
      <c r="CJ332" s="210"/>
      <c r="CK332" s="210"/>
      <c r="CL332" s="210"/>
      <c r="CM332" s="210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 s="210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10"/>
      <c r="AF333" s="210"/>
      <c r="AG333" s="210"/>
      <c r="AH333" s="210"/>
      <c r="AI333" s="210"/>
      <c r="AJ333" s="210"/>
      <c r="AK333" s="210"/>
      <c r="AL333" s="210"/>
      <c r="AM333" s="210"/>
      <c r="AN333" s="210"/>
      <c r="AO333" s="210"/>
      <c r="AP333" s="210"/>
      <c r="AQ333" s="210"/>
      <c r="AR333" s="210"/>
      <c r="AS333" s="210"/>
      <c r="AT333" s="210"/>
      <c r="AU333" s="210"/>
      <c r="AV333" s="210"/>
      <c r="AW333" s="210"/>
      <c r="AX333" s="210"/>
      <c r="AY333" s="210"/>
      <c r="AZ333" s="210"/>
      <c r="BA333" s="210"/>
      <c r="BB333" s="210"/>
      <c r="BC333" s="210"/>
      <c r="BD333" s="210"/>
      <c r="BE333" s="210"/>
      <c r="BF333" s="210"/>
      <c r="BG333" s="210"/>
      <c r="BH333" s="210"/>
      <c r="BI333" s="210"/>
      <c r="BJ333" s="210"/>
      <c r="BK333" s="210"/>
      <c r="BL333" s="210"/>
      <c r="BM333" s="210"/>
      <c r="BN333" s="210"/>
      <c r="BO333" s="210"/>
      <c r="BP333" s="210"/>
      <c r="BQ333" s="210"/>
      <c r="BR333" s="210"/>
      <c r="BS333" s="210"/>
      <c r="BT333" s="210"/>
      <c r="BU333" s="210"/>
      <c r="BV333" s="210"/>
      <c r="BW333" s="210"/>
      <c r="BX333" s="210"/>
      <c r="BY333" s="210"/>
      <c r="BZ333" s="210"/>
      <c r="CA333" s="210"/>
      <c r="CB333" s="210"/>
      <c r="CC333" s="210"/>
      <c r="CD333" s="210"/>
      <c r="CE333" s="210"/>
      <c r="CF333" s="210"/>
      <c r="CG333" s="210"/>
      <c r="CH333" s="210"/>
      <c r="CI333" s="210"/>
      <c r="CJ333" s="210"/>
      <c r="CK333" s="210"/>
      <c r="CL333" s="210"/>
      <c r="CM333" s="210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 s="210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10"/>
      <c r="AF334" s="210"/>
      <c r="AG334" s="210"/>
      <c r="AH334" s="210"/>
      <c r="AI334" s="210"/>
      <c r="AJ334" s="210"/>
      <c r="AK334" s="210"/>
      <c r="AL334" s="210"/>
      <c r="AM334" s="210"/>
      <c r="AN334" s="210"/>
      <c r="AO334" s="210"/>
      <c r="AP334" s="210"/>
      <c r="AQ334" s="210"/>
      <c r="AR334" s="210"/>
      <c r="AS334" s="210"/>
      <c r="AT334" s="210"/>
      <c r="AU334" s="210"/>
      <c r="AV334" s="210"/>
      <c r="AW334" s="210"/>
      <c r="AX334" s="210"/>
      <c r="AY334" s="210"/>
      <c r="AZ334" s="210"/>
      <c r="BA334" s="210"/>
      <c r="BB334" s="210"/>
      <c r="BC334" s="210"/>
      <c r="BD334" s="210"/>
      <c r="BE334" s="210"/>
      <c r="BF334" s="210"/>
      <c r="BG334" s="210"/>
      <c r="BH334" s="210"/>
      <c r="BI334" s="210"/>
      <c r="BJ334" s="210"/>
      <c r="BK334" s="210"/>
      <c r="BL334" s="210"/>
      <c r="BM334" s="210"/>
      <c r="BN334" s="210"/>
      <c r="BO334" s="210"/>
      <c r="BP334" s="210"/>
      <c r="BQ334" s="210"/>
      <c r="BR334" s="210"/>
      <c r="BS334" s="210"/>
      <c r="BT334" s="210"/>
      <c r="BU334" s="210"/>
      <c r="BV334" s="210"/>
      <c r="BW334" s="210"/>
      <c r="BX334" s="210"/>
      <c r="BY334" s="210"/>
      <c r="BZ334" s="210"/>
      <c r="CA334" s="210"/>
      <c r="CB334" s="210"/>
      <c r="CC334" s="210"/>
      <c r="CD334" s="210"/>
      <c r="CE334" s="210"/>
      <c r="CF334" s="210"/>
      <c r="CG334" s="210"/>
      <c r="CH334" s="210"/>
      <c r="CI334" s="210"/>
      <c r="CJ334" s="210"/>
      <c r="CK334" s="210"/>
      <c r="CL334" s="210"/>
      <c r="CM334" s="210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 s="210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10"/>
      <c r="AF335" s="210"/>
      <c r="AG335" s="210"/>
      <c r="AH335" s="210"/>
      <c r="AI335" s="210"/>
      <c r="AJ335" s="210"/>
      <c r="AK335" s="210"/>
      <c r="AL335" s="210"/>
      <c r="AM335" s="210"/>
      <c r="AN335" s="210"/>
      <c r="AO335" s="210"/>
      <c r="AP335" s="210"/>
      <c r="AQ335" s="210"/>
      <c r="AR335" s="210"/>
      <c r="AS335" s="210"/>
      <c r="AT335" s="210"/>
      <c r="AU335" s="210"/>
      <c r="AV335" s="210"/>
      <c r="AW335" s="210"/>
      <c r="AX335" s="210"/>
      <c r="AY335" s="210"/>
      <c r="AZ335" s="210"/>
      <c r="BA335" s="210"/>
      <c r="BB335" s="210"/>
      <c r="BC335" s="210"/>
      <c r="BD335" s="210"/>
      <c r="BE335" s="210"/>
      <c r="BF335" s="210"/>
      <c r="BG335" s="210"/>
      <c r="BH335" s="210"/>
      <c r="BI335" s="210"/>
      <c r="BJ335" s="210"/>
      <c r="BK335" s="210"/>
      <c r="BL335" s="210"/>
      <c r="BM335" s="210"/>
      <c r="BN335" s="210"/>
      <c r="BO335" s="210"/>
      <c r="BP335" s="210"/>
      <c r="BQ335" s="210"/>
      <c r="BR335" s="210"/>
      <c r="BS335" s="210"/>
      <c r="BT335" s="210"/>
      <c r="BU335" s="210"/>
      <c r="BV335" s="210"/>
      <c r="BW335" s="210"/>
      <c r="BX335" s="210"/>
      <c r="BY335" s="210"/>
      <c r="BZ335" s="210"/>
      <c r="CA335" s="210"/>
      <c r="CB335" s="210"/>
      <c r="CC335" s="210"/>
      <c r="CD335" s="210"/>
      <c r="CE335" s="210"/>
      <c r="CF335" s="210"/>
      <c r="CG335" s="210"/>
      <c r="CH335" s="210"/>
      <c r="CI335" s="210"/>
      <c r="CJ335" s="210"/>
      <c r="CK335" s="210"/>
      <c r="CL335" s="210"/>
      <c r="CM335" s="210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 s="210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10"/>
      <c r="AF336" s="210"/>
      <c r="AG336" s="210"/>
      <c r="AH336" s="210"/>
      <c r="AI336" s="210"/>
      <c r="AJ336" s="210"/>
      <c r="AK336" s="210"/>
      <c r="AL336" s="210"/>
      <c r="AM336" s="210"/>
      <c r="AN336" s="210"/>
      <c r="AO336" s="210"/>
      <c r="AP336" s="210"/>
      <c r="AQ336" s="210"/>
      <c r="AR336" s="210"/>
      <c r="AS336" s="210"/>
      <c r="AT336" s="210"/>
      <c r="AU336" s="210"/>
      <c r="AV336" s="210"/>
      <c r="AW336" s="210"/>
      <c r="AX336" s="210"/>
      <c r="AY336" s="210"/>
      <c r="AZ336" s="210"/>
      <c r="BA336" s="210"/>
      <c r="BB336" s="210"/>
      <c r="BC336" s="210"/>
      <c r="BD336" s="210"/>
      <c r="BE336" s="210"/>
      <c r="BF336" s="210"/>
      <c r="BG336" s="210"/>
      <c r="BH336" s="210"/>
      <c r="BI336" s="210"/>
      <c r="BJ336" s="210"/>
      <c r="BK336" s="210"/>
      <c r="BL336" s="210"/>
      <c r="BM336" s="210"/>
      <c r="BN336" s="210"/>
      <c r="BO336" s="210"/>
      <c r="BP336" s="210"/>
      <c r="BQ336" s="210"/>
      <c r="BR336" s="210"/>
      <c r="BS336" s="210"/>
      <c r="BT336" s="210"/>
      <c r="BU336" s="210"/>
      <c r="BV336" s="210"/>
      <c r="BW336" s="210"/>
      <c r="BX336" s="210"/>
      <c r="BY336" s="210"/>
      <c r="BZ336" s="210"/>
      <c r="CA336" s="210"/>
      <c r="CB336" s="210"/>
      <c r="CC336" s="210"/>
      <c r="CD336" s="210"/>
      <c r="CE336" s="210"/>
      <c r="CF336" s="210"/>
      <c r="CG336" s="210"/>
      <c r="CH336" s="210"/>
      <c r="CI336" s="210"/>
      <c r="CJ336" s="210"/>
      <c r="CK336" s="210"/>
      <c r="CL336" s="210"/>
      <c r="CM336" s="210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 s="210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10"/>
      <c r="AF337" s="210"/>
      <c r="AG337" s="210"/>
      <c r="AH337" s="210"/>
      <c r="AI337" s="210"/>
      <c r="AJ337" s="210"/>
      <c r="AK337" s="210"/>
      <c r="AL337" s="210"/>
      <c r="AM337" s="210"/>
      <c r="AN337" s="210"/>
      <c r="AO337" s="210"/>
      <c r="AP337" s="210"/>
      <c r="AQ337" s="210"/>
      <c r="AR337" s="210"/>
      <c r="AS337" s="210"/>
      <c r="AT337" s="210"/>
      <c r="AU337" s="210"/>
      <c r="AV337" s="210"/>
      <c r="AW337" s="210"/>
      <c r="AX337" s="210"/>
      <c r="AY337" s="210"/>
      <c r="AZ337" s="210"/>
      <c r="BA337" s="210"/>
      <c r="BB337" s="210"/>
      <c r="BC337" s="210"/>
      <c r="BD337" s="210"/>
      <c r="BE337" s="210"/>
      <c r="BF337" s="210"/>
      <c r="BG337" s="210"/>
      <c r="BH337" s="210"/>
      <c r="BI337" s="210"/>
      <c r="BJ337" s="210"/>
      <c r="BK337" s="210"/>
      <c r="BL337" s="210"/>
      <c r="BM337" s="210"/>
      <c r="BN337" s="210"/>
      <c r="BO337" s="210"/>
      <c r="BP337" s="210"/>
      <c r="BQ337" s="210"/>
      <c r="BR337" s="210"/>
      <c r="BS337" s="210"/>
      <c r="BT337" s="210"/>
      <c r="BU337" s="210"/>
      <c r="BV337" s="210"/>
      <c r="BW337" s="210"/>
      <c r="BX337" s="210"/>
      <c r="BY337" s="210"/>
      <c r="BZ337" s="210"/>
      <c r="CA337" s="210"/>
      <c r="CB337" s="210"/>
      <c r="CC337" s="210"/>
      <c r="CD337" s="210"/>
      <c r="CE337" s="210"/>
      <c r="CF337" s="210"/>
      <c r="CG337" s="210"/>
      <c r="CH337" s="210"/>
      <c r="CI337" s="210"/>
      <c r="CJ337" s="210"/>
      <c r="CK337" s="210"/>
      <c r="CL337" s="210"/>
      <c r="CM337" s="210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 s="210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10"/>
      <c r="AF338" s="210"/>
      <c r="AG338" s="210"/>
      <c r="AH338" s="210"/>
      <c r="AI338" s="210"/>
      <c r="AJ338" s="210"/>
      <c r="AK338" s="210"/>
      <c r="AL338" s="210"/>
      <c r="AM338" s="210"/>
      <c r="AN338" s="210"/>
      <c r="AO338" s="210"/>
      <c r="AP338" s="210"/>
      <c r="AQ338" s="210"/>
      <c r="AR338" s="210"/>
      <c r="AS338" s="210"/>
      <c r="AT338" s="210"/>
      <c r="AU338" s="210"/>
      <c r="AV338" s="210"/>
      <c r="AW338" s="210"/>
      <c r="AX338" s="210"/>
      <c r="AY338" s="210"/>
      <c r="AZ338" s="210"/>
      <c r="BA338" s="210"/>
      <c r="BB338" s="210"/>
      <c r="BC338" s="210"/>
      <c r="BD338" s="210"/>
      <c r="BE338" s="210"/>
      <c r="BF338" s="210"/>
      <c r="BG338" s="210"/>
      <c r="BH338" s="210"/>
      <c r="BI338" s="210"/>
      <c r="BJ338" s="210"/>
      <c r="BK338" s="210"/>
      <c r="BL338" s="210"/>
      <c r="BM338" s="210"/>
      <c r="BN338" s="210"/>
      <c r="BO338" s="210"/>
      <c r="BP338" s="210"/>
      <c r="BQ338" s="210"/>
      <c r="BR338" s="210"/>
      <c r="BS338" s="210"/>
      <c r="BT338" s="210"/>
      <c r="BU338" s="210"/>
      <c r="BV338" s="210"/>
      <c r="BW338" s="210"/>
      <c r="BX338" s="210"/>
      <c r="BY338" s="210"/>
      <c r="BZ338" s="210"/>
      <c r="CA338" s="210"/>
      <c r="CB338" s="210"/>
      <c r="CC338" s="210"/>
      <c r="CD338" s="210"/>
      <c r="CE338" s="210"/>
      <c r="CF338" s="210"/>
      <c r="CG338" s="210"/>
      <c r="CH338" s="210"/>
      <c r="CI338" s="210"/>
      <c r="CJ338" s="210"/>
      <c r="CK338" s="210"/>
      <c r="CL338" s="210"/>
      <c r="CM338" s="210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 s="210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10"/>
      <c r="AF339" s="210"/>
      <c r="AG339" s="210"/>
      <c r="AH339" s="210"/>
      <c r="AI339" s="210"/>
      <c r="AJ339" s="210"/>
      <c r="AK339" s="210"/>
      <c r="AL339" s="210"/>
      <c r="AM339" s="210"/>
      <c r="AN339" s="210"/>
      <c r="AO339" s="210"/>
      <c r="AP339" s="210"/>
      <c r="AQ339" s="210"/>
      <c r="AR339" s="210"/>
      <c r="AS339" s="210"/>
      <c r="AT339" s="210"/>
      <c r="AU339" s="210"/>
      <c r="AV339" s="210"/>
      <c r="AW339" s="210"/>
      <c r="AX339" s="210"/>
      <c r="AY339" s="210"/>
      <c r="AZ339" s="210"/>
      <c r="BA339" s="210"/>
      <c r="BB339" s="210"/>
      <c r="BC339" s="210"/>
      <c r="BD339" s="210"/>
      <c r="BE339" s="210"/>
      <c r="BF339" s="210"/>
      <c r="BG339" s="210"/>
      <c r="BH339" s="210"/>
      <c r="BI339" s="210"/>
      <c r="BJ339" s="210"/>
      <c r="BK339" s="210"/>
      <c r="BL339" s="210"/>
      <c r="BM339" s="210"/>
      <c r="BN339" s="210"/>
      <c r="BO339" s="210"/>
      <c r="BP339" s="210"/>
      <c r="BQ339" s="210"/>
      <c r="BR339" s="210"/>
      <c r="BS339" s="210"/>
      <c r="BT339" s="210"/>
      <c r="BU339" s="210"/>
      <c r="BV339" s="210"/>
      <c r="BW339" s="210"/>
      <c r="BX339" s="210"/>
      <c r="BY339" s="210"/>
      <c r="BZ339" s="210"/>
      <c r="CA339" s="210"/>
      <c r="CB339" s="210"/>
      <c r="CC339" s="210"/>
      <c r="CD339" s="210"/>
      <c r="CE339" s="210"/>
      <c r="CF339" s="210"/>
      <c r="CG339" s="210"/>
      <c r="CH339" s="210"/>
      <c r="CI339" s="210"/>
      <c r="CJ339" s="210"/>
      <c r="CK339" s="210"/>
      <c r="CL339" s="210"/>
      <c r="CM339" s="210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 s="210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10"/>
      <c r="AF340" s="210"/>
      <c r="AG340" s="210"/>
      <c r="AH340" s="210"/>
      <c r="AI340" s="210"/>
      <c r="AJ340" s="210"/>
      <c r="AK340" s="210"/>
      <c r="AL340" s="210"/>
      <c r="AM340" s="210"/>
      <c r="AN340" s="210"/>
      <c r="AO340" s="210"/>
      <c r="AP340" s="210"/>
      <c r="AQ340" s="210"/>
      <c r="AR340" s="210"/>
      <c r="AS340" s="210"/>
      <c r="AT340" s="210"/>
      <c r="AU340" s="210"/>
      <c r="AV340" s="210"/>
      <c r="AW340" s="210"/>
      <c r="AX340" s="210"/>
      <c r="AY340" s="210"/>
      <c r="AZ340" s="210"/>
      <c r="BA340" s="210"/>
      <c r="BB340" s="210"/>
      <c r="BC340" s="210"/>
      <c r="BD340" s="210"/>
      <c r="BE340" s="210"/>
      <c r="BF340" s="210"/>
      <c r="BG340" s="210"/>
      <c r="BH340" s="210"/>
      <c r="BI340" s="210"/>
      <c r="BJ340" s="210"/>
      <c r="BK340" s="210"/>
      <c r="BL340" s="210"/>
      <c r="BM340" s="210"/>
      <c r="BN340" s="210"/>
      <c r="BO340" s="210"/>
      <c r="BP340" s="210"/>
      <c r="BQ340" s="210"/>
      <c r="BR340" s="210"/>
      <c r="BS340" s="210"/>
      <c r="BT340" s="210"/>
      <c r="BU340" s="210"/>
      <c r="BV340" s="210"/>
      <c r="BW340" s="210"/>
      <c r="BX340" s="210"/>
      <c r="BY340" s="210"/>
      <c r="BZ340" s="210"/>
      <c r="CA340" s="210"/>
      <c r="CB340" s="210"/>
      <c r="CC340" s="210"/>
      <c r="CD340" s="210"/>
      <c r="CE340" s="210"/>
      <c r="CF340" s="210"/>
      <c r="CG340" s="210"/>
      <c r="CH340" s="210"/>
      <c r="CI340" s="210"/>
      <c r="CJ340" s="210"/>
      <c r="CK340" s="210"/>
      <c r="CL340" s="210"/>
      <c r="CM340" s="21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 s="210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10"/>
      <c r="AF341" s="210"/>
      <c r="AG341" s="210"/>
      <c r="AH341" s="210"/>
      <c r="AI341" s="210"/>
      <c r="AJ341" s="210"/>
      <c r="AK341" s="210"/>
      <c r="AL341" s="210"/>
      <c r="AM341" s="210"/>
      <c r="AN341" s="210"/>
      <c r="AO341" s="210"/>
      <c r="AP341" s="210"/>
      <c r="AQ341" s="210"/>
      <c r="AR341" s="210"/>
      <c r="AS341" s="210"/>
      <c r="AT341" s="210"/>
      <c r="AU341" s="210"/>
      <c r="AV341" s="210"/>
      <c r="AW341" s="210"/>
      <c r="AX341" s="210"/>
      <c r="AY341" s="210"/>
      <c r="AZ341" s="210"/>
      <c r="BA341" s="210"/>
      <c r="BB341" s="210"/>
      <c r="BC341" s="210"/>
      <c r="BD341" s="210"/>
      <c r="BE341" s="210"/>
      <c r="BF341" s="210"/>
      <c r="BG341" s="210"/>
      <c r="BH341" s="210"/>
      <c r="BI341" s="210"/>
      <c r="BJ341" s="210"/>
      <c r="BK341" s="210"/>
      <c r="BL341" s="210"/>
      <c r="BM341" s="210"/>
      <c r="BN341" s="210"/>
      <c r="BO341" s="210"/>
      <c r="BP341" s="210"/>
      <c r="BQ341" s="210"/>
      <c r="BR341" s="210"/>
      <c r="BS341" s="210"/>
      <c r="BT341" s="210"/>
      <c r="BU341" s="210"/>
      <c r="BV341" s="210"/>
      <c r="BW341" s="210"/>
      <c r="BX341" s="210"/>
      <c r="BY341" s="210"/>
      <c r="BZ341" s="210"/>
      <c r="CA341" s="210"/>
      <c r="CB341" s="210"/>
      <c r="CC341" s="210"/>
      <c r="CD341" s="210"/>
      <c r="CE341" s="210"/>
      <c r="CF341" s="210"/>
      <c r="CG341" s="210"/>
      <c r="CH341" s="210"/>
      <c r="CI341" s="210"/>
      <c r="CJ341" s="210"/>
      <c r="CK341" s="210"/>
      <c r="CL341" s="210"/>
      <c r="CM341" s="210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 s="210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10"/>
      <c r="AF342" s="210"/>
      <c r="AG342" s="210"/>
      <c r="AH342" s="210"/>
      <c r="AI342" s="210"/>
      <c r="AJ342" s="210"/>
      <c r="AK342" s="210"/>
      <c r="AL342" s="210"/>
      <c r="AM342" s="210"/>
      <c r="AN342" s="210"/>
      <c r="AO342" s="210"/>
      <c r="AP342" s="210"/>
      <c r="AQ342" s="210"/>
      <c r="AR342" s="210"/>
      <c r="AS342" s="210"/>
      <c r="AT342" s="210"/>
      <c r="AU342" s="210"/>
      <c r="AV342" s="210"/>
      <c r="AW342" s="210"/>
      <c r="AX342" s="210"/>
      <c r="AY342" s="210"/>
      <c r="AZ342" s="210"/>
      <c r="BA342" s="210"/>
      <c r="BB342" s="210"/>
      <c r="BC342" s="210"/>
      <c r="BD342" s="210"/>
      <c r="BE342" s="210"/>
      <c r="BF342" s="210"/>
      <c r="BG342" s="210"/>
      <c r="BH342" s="210"/>
      <c r="BI342" s="210"/>
      <c r="BJ342" s="210"/>
      <c r="BK342" s="210"/>
      <c r="BL342" s="210"/>
      <c r="BM342" s="210"/>
      <c r="BN342" s="210"/>
      <c r="BO342" s="210"/>
      <c r="BP342" s="210"/>
      <c r="BQ342" s="210"/>
      <c r="BR342" s="210"/>
      <c r="BS342" s="210"/>
      <c r="BT342" s="210"/>
      <c r="BU342" s="210"/>
      <c r="BV342" s="210"/>
      <c r="BW342" s="210"/>
      <c r="BX342" s="210"/>
      <c r="BY342" s="210"/>
      <c r="BZ342" s="210"/>
      <c r="CA342" s="210"/>
      <c r="CB342" s="210"/>
      <c r="CC342" s="210"/>
      <c r="CD342" s="210"/>
      <c r="CE342" s="210"/>
      <c r="CF342" s="210"/>
      <c r="CG342" s="210"/>
      <c r="CH342" s="210"/>
      <c r="CI342" s="210"/>
      <c r="CJ342" s="210"/>
      <c r="CK342" s="210"/>
      <c r="CL342" s="210"/>
      <c r="CM342" s="210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 s="210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10"/>
      <c r="AF343" s="210"/>
      <c r="AG343" s="210"/>
      <c r="AH343" s="210"/>
      <c r="AI343" s="210"/>
      <c r="AJ343" s="210"/>
      <c r="AK343" s="210"/>
      <c r="AL343" s="210"/>
      <c r="AM343" s="210"/>
      <c r="AN343" s="210"/>
      <c r="AO343" s="210"/>
      <c r="AP343" s="210"/>
      <c r="AQ343" s="210"/>
      <c r="AR343" s="210"/>
      <c r="AS343" s="210"/>
      <c r="AT343" s="210"/>
      <c r="AU343" s="210"/>
      <c r="AV343" s="210"/>
      <c r="AW343" s="210"/>
      <c r="AX343" s="210"/>
      <c r="AY343" s="210"/>
      <c r="AZ343" s="210"/>
      <c r="BA343" s="210"/>
      <c r="BB343" s="210"/>
      <c r="BC343" s="210"/>
      <c r="BD343" s="210"/>
      <c r="BE343" s="210"/>
      <c r="BF343" s="210"/>
      <c r="BG343" s="210"/>
      <c r="BH343" s="210"/>
      <c r="BI343" s="210"/>
      <c r="BJ343" s="210"/>
      <c r="BK343" s="210"/>
      <c r="BL343" s="210"/>
      <c r="BM343" s="210"/>
      <c r="BN343" s="210"/>
      <c r="BO343" s="210"/>
      <c r="BP343" s="210"/>
      <c r="BQ343" s="210"/>
      <c r="BR343" s="210"/>
      <c r="BS343" s="210"/>
      <c r="BT343" s="210"/>
      <c r="BU343" s="210"/>
      <c r="BV343" s="210"/>
      <c r="BW343" s="210"/>
      <c r="BX343" s="210"/>
      <c r="BY343" s="210"/>
      <c r="BZ343" s="210"/>
      <c r="CA343" s="210"/>
      <c r="CB343" s="210"/>
      <c r="CC343" s="210"/>
      <c r="CD343" s="210"/>
      <c r="CE343" s="210"/>
      <c r="CF343" s="210"/>
      <c r="CG343" s="210"/>
      <c r="CH343" s="210"/>
      <c r="CI343" s="210"/>
      <c r="CJ343" s="210"/>
      <c r="CK343" s="210"/>
      <c r="CL343" s="210"/>
      <c r="CM343" s="210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 s="210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10"/>
      <c r="AF344" s="210"/>
      <c r="AG344" s="210"/>
      <c r="AH344" s="210"/>
      <c r="AI344" s="210"/>
      <c r="AJ344" s="210"/>
      <c r="AK344" s="210"/>
      <c r="AL344" s="210"/>
      <c r="AM344" s="210"/>
      <c r="AN344" s="210"/>
      <c r="AO344" s="210"/>
      <c r="AP344" s="210"/>
      <c r="AQ344" s="210"/>
      <c r="AR344" s="210"/>
      <c r="AS344" s="210"/>
      <c r="AT344" s="210"/>
      <c r="AU344" s="210"/>
      <c r="AV344" s="210"/>
      <c r="AW344" s="210"/>
      <c r="AX344" s="210"/>
      <c r="AY344" s="210"/>
      <c r="AZ344" s="210"/>
      <c r="BA344" s="210"/>
      <c r="BB344" s="210"/>
      <c r="BC344" s="210"/>
      <c r="BD344" s="210"/>
      <c r="BE344" s="210"/>
      <c r="BF344" s="210"/>
      <c r="BG344" s="210"/>
      <c r="BH344" s="210"/>
      <c r="BI344" s="210"/>
      <c r="BJ344" s="210"/>
      <c r="BK344" s="210"/>
      <c r="BL344" s="210"/>
      <c r="BM344" s="210"/>
      <c r="BN344" s="210"/>
      <c r="BO344" s="210"/>
      <c r="BP344" s="210"/>
      <c r="BQ344" s="210"/>
      <c r="BR344" s="210"/>
      <c r="BS344" s="210"/>
      <c r="BT344" s="210"/>
      <c r="BU344" s="210"/>
      <c r="BV344" s="210"/>
      <c r="BW344" s="210"/>
      <c r="BX344" s="210"/>
      <c r="BY344" s="210"/>
      <c r="BZ344" s="210"/>
      <c r="CA344" s="210"/>
      <c r="CB344" s="210"/>
      <c r="CC344" s="210"/>
      <c r="CD344" s="210"/>
      <c r="CE344" s="210"/>
      <c r="CF344" s="210"/>
      <c r="CG344" s="210"/>
      <c r="CH344" s="210"/>
      <c r="CI344" s="210"/>
      <c r="CJ344" s="210"/>
      <c r="CK344" s="210"/>
      <c r="CL344" s="210"/>
      <c r="CM344" s="210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 s="210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10"/>
      <c r="AF345" s="210"/>
      <c r="AG345" s="210"/>
      <c r="AH345" s="210"/>
      <c r="AI345" s="210"/>
      <c r="AJ345" s="210"/>
      <c r="AK345" s="210"/>
      <c r="AL345" s="210"/>
      <c r="AM345" s="210"/>
      <c r="AN345" s="210"/>
      <c r="AO345" s="210"/>
      <c r="AP345" s="210"/>
      <c r="AQ345" s="210"/>
      <c r="AR345" s="210"/>
      <c r="AS345" s="210"/>
      <c r="AT345" s="210"/>
      <c r="AU345" s="210"/>
      <c r="AV345" s="210"/>
      <c r="AW345" s="210"/>
      <c r="AX345" s="210"/>
      <c r="AY345" s="210"/>
      <c r="AZ345" s="210"/>
      <c r="BA345" s="210"/>
      <c r="BB345" s="210"/>
      <c r="BC345" s="210"/>
      <c r="BD345" s="210"/>
      <c r="BE345" s="210"/>
      <c r="BF345" s="210"/>
      <c r="BG345" s="210"/>
      <c r="BH345" s="210"/>
      <c r="BI345" s="210"/>
      <c r="BJ345" s="210"/>
      <c r="BK345" s="210"/>
      <c r="BL345" s="210"/>
      <c r="BM345" s="210"/>
      <c r="BN345" s="210"/>
      <c r="BO345" s="210"/>
      <c r="BP345" s="210"/>
      <c r="BQ345" s="210"/>
      <c r="BR345" s="210"/>
      <c r="BS345" s="210"/>
      <c r="BT345" s="210"/>
      <c r="BU345" s="210"/>
      <c r="BV345" s="210"/>
      <c r="BW345" s="210"/>
      <c r="BX345" s="210"/>
      <c r="BY345" s="210"/>
      <c r="BZ345" s="210"/>
      <c r="CA345" s="210"/>
      <c r="CB345" s="210"/>
      <c r="CC345" s="210"/>
      <c r="CD345" s="210"/>
      <c r="CE345" s="210"/>
      <c r="CF345" s="210"/>
      <c r="CG345" s="210"/>
      <c r="CH345" s="210"/>
      <c r="CI345" s="210"/>
      <c r="CJ345" s="210"/>
      <c r="CK345" s="210"/>
      <c r="CL345" s="210"/>
      <c r="CM345" s="210"/>
    </row>
  </sheetData>
  <autoFilter ref="A12:AG340">
    <sortState ref="A13:AG336">
      <sortCondition ref="AG13:AG241"/>
      <sortCondition ref="AD13:AD241"/>
    </sortState>
  </autoFilter>
  <sortState ref="A13:AN269">
    <sortCondition ref="AG13:AG269"/>
    <sortCondition ref="AD13:AD269"/>
  </sortState>
  <mergeCells count="1">
    <mergeCell ref="A11:P11"/>
  </mergeCells>
  <conditionalFormatting sqref="W11:W12 W346:X1048576 W13:X245">
    <cfRule type="cellIs" dxfId="10" priority="422" operator="equal">
      <formula>"Y"</formula>
    </cfRule>
  </conditionalFormatting>
  <conditionalFormatting sqref="X346:X1048576 X13:X245">
    <cfRule type="cellIs" dxfId="9" priority="405" operator="greaterThan">
      <formula>1</formula>
    </cfRule>
  </conditionalFormatting>
  <conditionalFormatting sqref="X346:X1048576 X12:X245">
    <cfRule type="cellIs" dxfId="8" priority="402" operator="equal">
      <formula>0</formula>
    </cfRule>
  </conditionalFormatting>
  <conditionalFormatting sqref="A13:S24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0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9" customWidth="1"/>
    <col min="5" max="5" width="29.42578125" style="109" customWidth="1"/>
    <col min="6" max="6" width="5.7109375" style="109" customWidth="1"/>
    <col min="7" max="7" width="5.85546875" style="109" customWidth="1"/>
    <col min="8" max="8" width="7.85546875" style="109" customWidth="1"/>
    <col min="9" max="9" width="9" style="109" customWidth="1"/>
    <col min="10" max="10" width="11.5703125" style="109" hidden="1" customWidth="1"/>
    <col min="11" max="11" width="9.140625" style="109" customWidth="1"/>
    <col min="12" max="12" width="4.85546875" style="109" customWidth="1"/>
    <col min="13" max="13" width="7.85546875" style="2" customWidth="1"/>
    <col min="14" max="14" width="16" style="108" customWidth="1"/>
    <col min="15" max="15" width="4.42578125" style="163" customWidth="1"/>
    <col min="16" max="16" width="30.42578125" style="109" customWidth="1"/>
    <col min="17" max="17" width="5" hidden="1" customWidth="1"/>
    <col min="18" max="18" width="5.5703125" style="72" customWidth="1"/>
    <col min="19" max="19" width="5.5703125" style="78" customWidth="1"/>
    <col min="20" max="20" width="6" style="70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2" customWidth="1"/>
    <col min="27" max="27" width="5.28515625" customWidth="1"/>
    <col min="28" max="28" width="5.5703125" customWidth="1"/>
    <col min="29" max="29" width="5.28515625" style="111" customWidth="1"/>
    <col min="30" max="30" width="6.7109375" customWidth="1"/>
    <col min="31" max="31" width="9.140625" style="138"/>
  </cols>
  <sheetData>
    <row r="1" spans="1:32" s="20" customFormat="1" ht="15.75" hidden="1" thickBot="1" x14ac:dyDescent="0.3">
      <c r="A1" s="8"/>
      <c r="D1" s="109"/>
      <c r="E1" s="109"/>
      <c r="F1" s="109"/>
      <c r="G1" s="109"/>
      <c r="H1" s="109"/>
      <c r="I1" s="109"/>
      <c r="J1" s="109"/>
      <c r="K1" s="109"/>
      <c r="L1" s="109"/>
      <c r="M1" s="2"/>
      <c r="N1" s="108"/>
      <c r="O1" s="163"/>
      <c r="P1" s="109"/>
      <c r="R1" s="72"/>
      <c r="S1" s="78"/>
      <c r="T1" s="70"/>
      <c r="V1" s="43"/>
      <c r="X1" s="2"/>
      <c r="Z1" s="152"/>
      <c r="AC1" s="111"/>
      <c r="AE1" s="138"/>
    </row>
    <row r="2" spans="1:32" s="20" customFormat="1" x14ac:dyDescent="0.25">
      <c r="A2" s="8"/>
      <c r="D2" s="109"/>
      <c r="E2" s="109"/>
      <c r="F2" s="109"/>
      <c r="G2" s="109"/>
      <c r="H2" s="109"/>
      <c r="I2" s="109"/>
      <c r="J2" s="109"/>
      <c r="K2" s="109"/>
      <c r="L2" s="120" t="s">
        <v>80</v>
      </c>
      <c r="M2" s="104"/>
      <c r="N2" s="121"/>
      <c r="O2" s="203">
        <f>COUNTIF($O$7:$O$243,"=Y")</f>
        <v>14</v>
      </c>
      <c r="P2" s="106"/>
      <c r="R2" s="72"/>
      <c r="S2" s="78"/>
      <c r="T2" s="70"/>
      <c r="V2" s="43"/>
      <c r="X2" s="2"/>
      <c r="Z2" s="152"/>
      <c r="AC2" s="112"/>
      <c r="AE2" s="138"/>
    </row>
    <row r="3" spans="1:32" s="20" customFormat="1" ht="15.75" thickBot="1" x14ac:dyDescent="0.3">
      <c r="A3" s="8"/>
      <c r="D3" s="109"/>
      <c r="E3" s="109"/>
      <c r="F3" s="109"/>
      <c r="G3" s="109"/>
      <c r="H3" s="109"/>
      <c r="I3" s="109"/>
      <c r="J3" s="109"/>
      <c r="K3" s="109"/>
      <c r="L3" s="122" t="s">
        <v>81</v>
      </c>
      <c r="M3" s="105"/>
      <c r="N3" s="123"/>
      <c r="O3" s="204">
        <f>COUNTA($O$7:$O$243)-O2</f>
        <v>16</v>
      </c>
      <c r="P3" s="106"/>
      <c r="R3" s="72"/>
      <c r="S3" s="78"/>
      <c r="T3" s="70"/>
      <c r="V3" s="43"/>
      <c r="X3" s="2"/>
      <c r="Z3" s="152"/>
      <c r="AC3" s="112"/>
      <c r="AE3" s="138"/>
    </row>
    <row r="4" spans="1:32" s="20" customFormat="1" x14ac:dyDescent="0.25">
      <c r="A4" s="8"/>
      <c r="D4" s="109"/>
      <c r="E4" s="109"/>
      <c r="F4" s="109"/>
      <c r="G4" s="109"/>
      <c r="H4" s="109"/>
      <c r="I4" s="109"/>
      <c r="J4" s="109"/>
      <c r="K4" s="109"/>
      <c r="L4" s="109"/>
      <c r="M4" s="2"/>
      <c r="N4" s="108"/>
      <c r="O4" s="190"/>
      <c r="P4" s="109"/>
      <c r="R4" s="72"/>
      <c r="S4" s="78"/>
      <c r="T4" s="70"/>
      <c r="V4" s="43"/>
      <c r="X4" s="2"/>
      <c r="Z4" s="152"/>
      <c r="AC4" s="112"/>
      <c r="AE4" s="138"/>
    </row>
    <row r="5" spans="1:32" s="10" customFormat="1" ht="15" customHeight="1" x14ac:dyDescent="0.25">
      <c r="A5" s="233" t="str">
        <f>"Eagle P3 Braking Events - "&amp;TEXT(Variables!$A$2,"YYYY-mm-dd")</f>
        <v>Eagle P3 Braking Events - 2017-10-03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124"/>
      <c r="R5" s="76"/>
      <c r="S5" s="79"/>
      <c r="T5" s="81"/>
      <c r="V5" s="44"/>
      <c r="X5" s="174"/>
      <c r="AC5" s="113"/>
      <c r="AE5" s="140"/>
    </row>
    <row r="6" spans="1:32" s="103" customFormat="1" ht="69.75" customHeight="1" x14ac:dyDescent="0.2">
      <c r="A6" s="93" t="s">
        <v>38</v>
      </c>
      <c r="B6" s="94" t="s">
        <v>37</v>
      </c>
      <c r="C6" s="94" t="s">
        <v>36</v>
      </c>
      <c r="D6" s="110" t="s">
        <v>35</v>
      </c>
      <c r="E6" s="110" t="s">
        <v>34</v>
      </c>
      <c r="F6" s="110" t="s">
        <v>33</v>
      </c>
      <c r="G6" s="110" t="s">
        <v>32</v>
      </c>
      <c r="H6" s="110" t="s">
        <v>31</v>
      </c>
      <c r="I6" s="110" t="s">
        <v>147</v>
      </c>
      <c r="J6" s="110" t="s">
        <v>30</v>
      </c>
      <c r="K6" s="110" t="s">
        <v>29</v>
      </c>
      <c r="L6" s="110" t="s">
        <v>28</v>
      </c>
      <c r="M6" s="95" t="s">
        <v>148</v>
      </c>
      <c r="N6" s="125" t="s">
        <v>47</v>
      </c>
      <c r="O6" s="170" t="s">
        <v>27</v>
      </c>
      <c r="P6" s="110" t="s">
        <v>24</v>
      </c>
      <c r="Q6" s="96"/>
      <c r="R6" s="97" t="s">
        <v>89</v>
      </c>
      <c r="S6" s="98" t="s">
        <v>55</v>
      </c>
      <c r="T6" s="99" t="s">
        <v>88</v>
      </c>
      <c r="U6" s="94" t="s">
        <v>83</v>
      </c>
      <c r="V6" s="100" t="s">
        <v>84</v>
      </c>
      <c r="W6" s="96" t="s">
        <v>354</v>
      </c>
      <c r="X6" s="175" t="s">
        <v>347</v>
      </c>
      <c r="Y6" s="101" t="s">
        <v>141</v>
      </c>
      <c r="Z6" s="153" t="s">
        <v>142</v>
      </c>
      <c r="AA6" s="102" t="s">
        <v>115</v>
      </c>
      <c r="AB6" s="102" t="s">
        <v>143</v>
      </c>
      <c r="AC6" s="114" t="s">
        <v>167</v>
      </c>
      <c r="AD6" s="103" t="s">
        <v>184</v>
      </c>
      <c r="AE6" s="139" t="s">
        <v>189</v>
      </c>
    </row>
    <row r="7" spans="1:32" s="1" customFormat="1" x14ac:dyDescent="0.25">
      <c r="A7" s="31">
        <v>43011.448391203703</v>
      </c>
      <c r="B7" s="30" t="s">
        <v>603</v>
      </c>
      <c r="C7" s="30" t="s">
        <v>611</v>
      </c>
      <c r="D7" s="30" t="s">
        <v>95</v>
      </c>
      <c r="E7" s="30" t="s">
        <v>185</v>
      </c>
      <c r="F7" s="42">
        <v>530</v>
      </c>
      <c r="G7" s="42">
        <v>586</v>
      </c>
      <c r="H7" s="42">
        <v>103657</v>
      </c>
      <c r="I7" s="42">
        <v>100924</v>
      </c>
      <c r="J7" s="30" t="s">
        <v>186</v>
      </c>
      <c r="K7" s="42">
        <v>103800</v>
      </c>
      <c r="L7" s="127" t="s">
        <v>51</v>
      </c>
      <c r="M7" s="128">
        <f t="shared" ref="M7:M36" si="0">CONVERT((I7-K7)/10000,"mi","ft")*IF(L7="Increasing Mileposts (1)",-1,1)</f>
        <v>-1518.528</v>
      </c>
      <c r="N7" s="129" t="str">
        <f>VLOOKUP(C7,'Trips&amp;Operators'!$C$1:$G$99911,5,FALSE)</f>
        <v>THOMPSON LESTER</v>
      </c>
      <c r="O7" s="171" t="s">
        <v>178</v>
      </c>
      <c r="P7" s="130" t="s">
        <v>361</v>
      </c>
      <c r="Q7" s="30"/>
      <c r="R7" s="77" t="str">
        <f>VLOOKUP(C7,'Train Runs'!$A$13:$AE$9999,31,0)</f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S7" s="80" t="str">
        <f>VLOOKUP(C7,'Train Runs'!$A$13:$AE$9999,22,0)</f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2" t="str">
        <f t="shared" ref="T7:T3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/stypes="*4031*201710031*" /stext=" 16:.+((SYSTEM_STATE.+slice.+state.+changed )|(ment ac)|(multiple cpu faults)|(system.+state.+changed )|(\[timeout)|(PRM\|1\|D)|(kpr)|(kdp)|(train st.+moving)|(\|lc)|(penalty))"</v>
      </c>
      <c r="U7" s="9" t="str">
        <f t="shared" ref="U7:U36" si="2">MID(B7,13,4)</f>
        <v>4031</v>
      </c>
      <c r="V7" s="31">
        <f t="shared" ref="V7:V36" si="3">A7-utc_offset/24</f>
        <v>43011.698391203703</v>
      </c>
      <c r="W7" s="45" t="str">
        <f t="shared" ref="W7:W36" si="4">DetSubdiv(C7)</f>
        <v>EC</v>
      </c>
      <c r="X7" s="22">
        <f t="shared" ref="X7:X36" si="5">VALUE(LEFT(C7,LEN(C7)-3))</f>
        <v>148</v>
      </c>
      <c r="Y7" s="92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Arrival","project_id":79,"tracker_id":40,"status_id":1,"priority_id":2,"assigned_to_id":338,"start_date":"2017-10-03","description":"","custom_fields":[{"id":1,"name":"Subdivision","value":"EC"},{"id":4,"name":"Milepost","value":"10.38"},{"id":17,"name":"Train ID","value":"148-03"},{"id":16,"name":"Locomotive ID","value":"4031"},{"id":130,"name":"Impact","value":""},{"id":150,"name":"Time of Event (Mountain Time)","value":"10:45:41"},{"id":151,"name":"Denver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4"/>
      <c r="AA7" s="47"/>
      <c r="AB7" s="47"/>
      <c r="AC7" s="111" t="str">
        <f t="shared" ref="AC7:AC3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/c/Users/stu/AppData/Local/Temp/OnboardLogs/RTDC4031 --include="*4031*201710031*"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"%USERPROFILE%\AppData\Local\Temp\OnboardLogs"\RTDC4031\*4031*201710031* &gt;&gt; 2017-10-03-SliceDisagreementCheck.txt</v>
      </c>
      <c r="AE7" s="141" t="str">
        <f t="shared" ref="AE7" si="8">"start /low /b "&amp;dls3logs&amp;" --loco "&amp;U7&amp;" --day "&amp;TEXT(V7,"YYYY-MM-DD")</f>
        <v>start /low /b %USERPROFILE%\Documents\GitHub\eaglep3\Utilities\DownloadLogsFromS3.py --loco 4031 --day 2017-10-03</v>
      </c>
    </row>
    <row r="8" spans="1:32" s="1" customFormat="1" x14ac:dyDescent="0.25">
      <c r="A8" s="31">
        <v>43011.447337962964</v>
      </c>
      <c r="B8" s="30" t="s">
        <v>603</v>
      </c>
      <c r="C8" s="30" t="s">
        <v>611</v>
      </c>
      <c r="D8" s="30" t="s">
        <v>95</v>
      </c>
      <c r="E8" s="30" t="s">
        <v>185</v>
      </c>
      <c r="F8" s="42">
        <v>380</v>
      </c>
      <c r="G8" s="42">
        <v>439</v>
      </c>
      <c r="H8" s="42">
        <v>108992</v>
      </c>
      <c r="I8" s="42">
        <v>107514</v>
      </c>
      <c r="J8" s="30" t="s">
        <v>186</v>
      </c>
      <c r="K8" s="42">
        <v>109135</v>
      </c>
      <c r="L8" s="127" t="s">
        <v>51</v>
      </c>
      <c r="M8" s="128">
        <f t="shared" si="0"/>
        <v>-855.88800000000003</v>
      </c>
      <c r="N8" s="129" t="str">
        <f>VLOOKUP(C8,'Trips&amp;Operators'!$C$1:$G$99911,5,FALSE)</f>
        <v>THOMPSON LESTER</v>
      </c>
      <c r="O8" s="171" t="s">
        <v>178</v>
      </c>
      <c r="P8" s="130" t="s">
        <v>361</v>
      </c>
      <c r="Q8" s="30"/>
      <c r="R8" s="77" t="str">
        <f>VLOOKUP(C8,'Train Runs'!$A$13:$AE$9999,31,0)</f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S8" s="80" t="str">
        <f>VLOOKUP(C8,'Train Runs'!$A$13:$AE$9999,22,0)</f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2" t="str">
        <f t="shared" si="1"/>
        <v>"C:\Program Files (x86)\AstroGrep\AstroGrep.exe" /e /r /s /spath="%USERPROFILE%\AppData\Local\Temp\OnboardLogs" /stypes="*4031*201710031*"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43011.697337962964</v>
      </c>
      <c r="W8" s="45" t="str">
        <f t="shared" si="4"/>
        <v>EC</v>
      </c>
      <c r="X8" s="22">
        <f t="shared" si="5"/>
        <v>148</v>
      </c>
      <c r="Y8" s="92" t="str">
        <f t="shared" si="6"/>
        <v>echo {"issue":{"subject":"Early Arrival","project_id":79,"tracker_id":40,"status_id":1,"priority_id":2,"assigned_to_id":338,"start_date":"2017-10-03","description":"","custom_fields":[{"id":1,"name":"Subdivision","value":"EC"},{"id":4,"name":"Milepost","value":"10.9135"},{"id":17,"name":"Train ID","value":"148-03"},{"id":16,"name":"Locomotive ID","value":"4031"},{"id":130,"name":"Impact","value":""},{"id":150,"name":"Time of Event (Mountain Time)","value":"10:44:10"},{"id":151,"name":"Denver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4"/>
      <c r="AA8" s="47"/>
      <c r="AB8" s="47"/>
      <c r="AC8" s="111" t="str">
        <f t="shared" si="7"/>
        <v>grep -hrE -A400 "Enforcement Action" /c/Users/stu/AppData/Local/Temp/OnboardLogs/RTDC4031 --include="*4031*201710031*"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"%USERPROFILE%\AppData\Local\Temp\OnboardLogs"\RTDC4031\*4031*201710031* &gt;&gt; 2017-10-03-SliceDisagreementCheck.txt</v>
      </c>
      <c r="AE8" s="141" t="str">
        <f t="shared" ref="AE8:AE36" si="9">"start /low /b "&amp;dls3logs&amp;" --loco "&amp;U8&amp;" --day "&amp;TEXT(V8,"YYYY-MM-DD")</f>
        <v>start /low /b %USERPROFILE%\Documents\GitHub\eaglep3\Utilities\DownloadLogsFromS3.py --loco 4031 --day 2017-10-03</v>
      </c>
    </row>
    <row r="9" spans="1:32" s="1" customFormat="1" x14ac:dyDescent="0.25">
      <c r="A9" s="31">
        <v>43011.467569444445</v>
      </c>
      <c r="B9" s="30" t="s">
        <v>465</v>
      </c>
      <c r="C9" s="30" t="s">
        <v>612</v>
      </c>
      <c r="D9" s="30" t="s">
        <v>49</v>
      </c>
      <c r="E9" s="30" t="s">
        <v>185</v>
      </c>
      <c r="F9" s="42">
        <v>390</v>
      </c>
      <c r="G9" s="42">
        <v>443</v>
      </c>
      <c r="H9" s="42">
        <v>110224</v>
      </c>
      <c r="I9" s="42">
        <v>108944</v>
      </c>
      <c r="J9" s="30" t="s">
        <v>186</v>
      </c>
      <c r="K9" s="42">
        <v>109135</v>
      </c>
      <c r="L9" s="127" t="s">
        <v>51</v>
      </c>
      <c r="M9" s="128">
        <f t="shared" si="0"/>
        <v>-100.848</v>
      </c>
      <c r="N9" s="129" t="str">
        <f>VLOOKUP(C9,'Trips&amp;Operators'!$C$1:$G$99911,5,FALSE)</f>
        <v>BIRENBAUM THOMAS</v>
      </c>
      <c r="O9" s="171" t="s">
        <v>178</v>
      </c>
      <c r="P9" s="130" t="s">
        <v>361</v>
      </c>
      <c r="Q9" s="30"/>
      <c r="R9" s="77" t="str">
        <f>VLOOKUP(C9,'Train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9" s="80" t="str">
        <f>VLOOKUP(C9,'Train Runs'!$A$13:$AE$9999,22,0)</f>
        <v>https://d0f6bd738d7f1b3e5a7ca70fe4ff75f0.us-east-1.aws.found.io/app/kibana#/discover/Steve-Slow-Train-Analysis-(2080s-and-2083s)?_g=(refreshInterval:(display:Off,pause:!f,section:0,value:0),time:(from:'2017-10-03T09:38:21-0600',mode:absolute,to:'2017-10-03T12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2" t="str">
        <f t="shared" si="1"/>
        <v>"C:\Program Files (x86)\AstroGrep\AstroGrep.exe" /e /r /s /spath="%USERPROFILE%\AppData\Local\Temp\OnboardLogs" /stypes="*4059*201710031*"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43011.717569444445</v>
      </c>
      <c r="W9" s="45" t="str">
        <f t="shared" si="4"/>
        <v>EC</v>
      </c>
      <c r="X9" s="22">
        <f t="shared" si="5"/>
        <v>152</v>
      </c>
      <c r="Y9" s="92" t="str">
        <f t="shared" si="6"/>
        <v>echo {"issue":{"subject":"Early Arrival","project_id":79,"tracker_id":40,"status_id":1,"priority_id":2,"assigned_to_id":338,"start_date":"2017-10-03","description":"","custom_fields":[{"id":1,"name":"Subdivision","value":"EC"},{"id":4,"name":"Milepost","value":"10.9135"},{"id":17,"name":"Train ID","value":"152-03"},{"id":16,"name":"Locomotive ID","value":"4059"},{"id":130,"name":"Impact","value":""},{"id":150,"name":"Time of Event (Mountain Time)","value":"11:13:18"},{"id":151,"name":"Denver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4"/>
      <c r="AA9" s="47"/>
      <c r="AB9" s="47"/>
      <c r="AC9" s="111" t="str">
        <f t="shared" si="7"/>
        <v>grep -hrE -A400 "Enforcement Action" /c/Users/stu/AppData/Local/Temp/OnboardLogs/RTDC4059 --include="*4059*201710031*"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9" s="141" t="str">
        <f t="shared" si="9"/>
        <v>start /low /b %USERPROFILE%\Documents\GitHub\eaglep3\Utilities\DownloadLogsFromS3.py --loco 4059 --day 2017-10-03</v>
      </c>
    </row>
    <row r="10" spans="1:32" s="1" customFormat="1" x14ac:dyDescent="0.25">
      <c r="A10" s="31">
        <v>43011.30196759259</v>
      </c>
      <c r="B10" s="30" t="s">
        <v>601</v>
      </c>
      <c r="C10" s="30" t="s">
        <v>602</v>
      </c>
      <c r="D10" s="30" t="s">
        <v>49</v>
      </c>
      <c r="E10" s="30" t="s">
        <v>192</v>
      </c>
      <c r="F10" s="42">
        <v>300</v>
      </c>
      <c r="G10" s="42">
        <v>384</v>
      </c>
      <c r="H10" s="42">
        <v>22614</v>
      </c>
      <c r="I10" s="42">
        <v>21822</v>
      </c>
      <c r="J10" s="30" t="s">
        <v>193</v>
      </c>
      <c r="K10" s="42">
        <v>21848</v>
      </c>
      <c r="L10" s="127" t="s">
        <v>51</v>
      </c>
      <c r="M10" s="128">
        <f t="shared" si="0"/>
        <v>-13.728</v>
      </c>
      <c r="N10" s="129" t="str">
        <f>VLOOKUP(C10,'Trips&amp;Operators'!$C$1:$G$99911,5,FALSE)</f>
        <v>MACDONALD THOMAS</v>
      </c>
      <c r="O10" s="171" t="s">
        <v>178</v>
      </c>
      <c r="P10" s="130"/>
      <c r="Q10" s="30"/>
      <c r="R10" s="77" t="str">
        <f>VLOOKUP(C10,'Train Runs'!$A$13:$AE$9999,31,0)</f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S10" s="80" t="str">
        <f>VLOOKUP(C10,'Train Runs'!$A$13:$AE$9999,22,0)</f>
        <v>https://d0f6bd738d7f1b3e5a7ca70fe4ff75f0.us-east-1.aws.found.io/app/kibana#/discover/Steve-Slow-Train-Analysis-(2080s-and-2083s)?_g=(refreshInterval:(display:Off,pause:!f,section:0,value:0),time:(from:'2017-10-03T05:38:11-0600',mode:absolute,to:'2017-10-03T08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2" t="str">
        <f t="shared" si="1"/>
        <v>"C:\Program Files (x86)\AstroGrep\AstroGrep.exe" /e /r /s /spath="%USERPROFILE%\AppData\Local\Temp\OnboardLogs" /stypes="*4011*201710031*"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43011.55196759259</v>
      </c>
      <c r="W10" s="45" t="str">
        <f t="shared" si="4"/>
        <v>EC</v>
      </c>
      <c r="X10" s="22">
        <f t="shared" si="5"/>
        <v>118</v>
      </c>
      <c r="Y10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{"issue":{"subject":"","project_id":79,"tracker_id":40,"status_id":1,"priority_id":2,"assigned_to_id":338,"start_date":"2017-10-03","description":"","custom_fields":[{"id":1,"name":"Subdivision","value":"EC"},{"id":4,"name":"Milepost","value":"2.1848"},{"id":17,"name":"Train ID","value":"118-03"},{"id":16,"name":"Locomotive ID","value":"4011"},{"id":130,"name":"Impact","value":""},{"id":150,"name":"Time of Event (Mountain Time)","value":"07:14:50"},{"id":151,"name":"Denver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4"/>
      <c r="AA10" s="47"/>
      <c r="AB10" s="47"/>
      <c r="AC10" s="111" t="str">
        <f t="shared" si="7"/>
        <v>grep -hrE -A400 "Enforcement Action" /c/Users/stu/AppData/Local/Temp/OnboardLogs/RTDC4011 --include="*4011*201710031*"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"%USERPROFILE%\AppData\Local\Temp\OnboardLogs"\RTDC4011\*4011*201710031* &gt;&gt; 2017-10-03-SliceDisagreementCheck.txt</v>
      </c>
      <c r="AE10" s="141" t="str">
        <f t="shared" si="9"/>
        <v>start /low /b %USERPROFILE%\Documents\GitHub\eaglep3\Utilities\DownloadLogsFromS3.py --loco 4011 --day 2017-10-03</v>
      </c>
    </row>
    <row r="11" spans="1:32" s="1" customFormat="1" x14ac:dyDescent="0.25">
      <c r="A11" s="31">
        <v>43011.350393518522</v>
      </c>
      <c r="B11" s="30" t="s">
        <v>597</v>
      </c>
      <c r="C11" s="30" t="s">
        <v>606</v>
      </c>
      <c r="D11" s="30" t="s">
        <v>49</v>
      </c>
      <c r="E11" s="30" t="s">
        <v>192</v>
      </c>
      <c r="F11" s="42">
        <v>550</v>
      </c>
      <c r="G11" s="42">
        <v>776</v>
      </c>
      <c r="H11" s="42">
        <v>217943</v>
      </c>
      <c r="I11" s="42">
        <v>221488</v>
      </c>
      <c r="J11" s="30" t="s">
        <v>193</v>
      </c>
      <c r="K11" s="42">
        <v>222090</v>
      </c>
      <c r="L11" s="127" t="s">
        <v>50</v>
      </c>
      <c r="M11" s="128">
        <f t="shared" si="0"/>
        <v>317.85599999999999</v>
      </c>
      <c r="N11" s="129" t="str">
        <f>VLOOKUP(C11,'Trips&amp;Operators'!$C$1:$G$99911,5,FALSE)</f>
        <v>THOMPSON LESTER</v>
      </c>
      <c r="O11" s="171" t="s">
        <v>178</v>
      </c>
      <c r="P11" s="130"/>
      <c r="Q11" s="30"/>
      <c r="R11" s="77" t="str">
        <f>VLOOKUP(C11,'Train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11" s="80" t="str">
        <f>VLOOKUP(C11,'Train Runs'!$A$13:$AE$9999,22,0)</f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82" t="str">
        <f t="shared" si="1"/>
        <v>"C:\Program Files (x86)\AstroGrep\AstroGrep.exe" /e /r /s /spath="%USERPROFILE%\AppData\Local\Temp\OnboardLogs" /stypes="*4032*201710031*"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4032</v>
      </c>
      <c r="V11" s="31">
        <f t="shared" si="3"/>
        <v>43011.600393518522</v>
      </c>
      <c r="W11" s="45" t="str">
        <f t="shared" si="4"/>
        <v>EC</v>
      </c>
      <c r="X11" s="22">
        <f t="shared" si="5"/>
        <v>133</v>
      </c>
      <c r="Y11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{"issue":{"subject":"","project_id":79,"tracker_id":40,"status_id":1,"priority_id":2,"assigned_to_id":338,"start_date":"2017-10-03","description":"","custom_fields":[{"id":1,"name":"Subdivision","value":"EC"},{"id":4,"name":"Milepost","value":"22.209"},{"id":17,"name":"Train ID","value":"133-03"},{"id":16,"name":"Locomotive ID","value":"4032"},{"id":130,"name":"Impact","value":""},{"id":150,"name":"Time of Event (Mountain Time)","value":"08:24:34"},{"id":151,"name":"Denver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4"/>
      <c r="AA11" s="47"/>
      <c r="AB11" s="47"/>
      <c r="AC11" s="111" t="str">
        <f t="shared" si="7"/>
        <v>grep -hrE -A400 "Enforcement Action" /c/Users/stu/AppData/Local/Temp/OnboardLogs/RTDC4032 --include="*4032*201710031*"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"%USERPROFILE%\AppData\Local\Temp\OnboardLogs"\RTDC4032\*4032*201710031* &gt;&gt; 2017-10-03-SliceDisagreementCheck.txt</v>
      </c>
      <c r="AE11" s="141" t="str">
        <f t="shared" si="9"/>
        <v>start /low /b %USERPROFILE%\Documents\GitHub\eaglep3\Utilities\DownloadLogsFromS3.py --loco 4032 --day 2017-10-03</v>
      </c>
    </row>
    <row r="12" spans="1:32" x14ac:dyDescent="0.25">
      <c r="A12" s="31">
        <v>43011.40865740741</v>
      </c>
      <c r="B12" s="30" t="s">
        <v>594</v>
      </c>
      <c r="C12" s="30" t="s">
        <v>609</v>
      </c>
      <c r="D12" s="30" t="s">
        <v>49</v>
      </c>
      <c r="E12" s="30" t="s">
        <v>192</v>
      </c>
      <c r="F12" s="42">
        <v>350</v>
      </c>
      <c r="G12" s="42">
        <v>567</v>
      </c>
      <c r="H12" s="42">
        <v>221961</v>
      </c>
      <c r="I12" s="42">
        <v>223977</v>
      </c>
      <c r="J12" s="30" t="s">
        <v>193</v>
      </c>
      <c r="K12" s="42">
        <v>224578</v>
      </c>
      <c r="L12" s="127" t="s">
        <v>50</v>
      </c>
      <c r="M12" s="128">
        <f t="shared" si="0"/>
        <v>317.32799999999997</v>
      </c>
      <c r="N12" s="129" t="str">
        <f>VLOOKUP(C12,'Trips&amp;Operators'!$C$1:$G$99911,5,FALSE)</f>
        <v>MACDONALD THOMAS</v>
      </c>
      <c r="O12" s="171" t="s">
        <v>178</v>
      </c>
      <c r="P12" s="130"/>
      <c r="Q12" s="30"/>
      <c r="R12" s="77" t="str">
        <f>VLOOKUP(C12,'Train Runs'!$A$13:$AE$9999,31,0)</f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S12" s="80" t="str">
        <f>VLOOKUP(C12,'Train Runs'!$A$13:$AE$9999,22,0)</f>
        <v>https://d0f6bd738d7f1b3e5a7ca70fe4ff75f0.us-east-1.aws.found.io/app/kibana#/discover/Steve-Slow-Train-Analysis-(2080s-and-2083s)?_g=(refreshInterval:(display:Off,pause:!f,section:0,value:0),time:(from:'2017-10-03T08:14:10-0600',mode:absolute,to:'2017-10-03T10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82" t="str">
        <f t="shared" si="1"/>
        <v>"C:\Program Files (x86)\AstroGrep\AstroGrep.exe" /e /r /s /spath="%USERPROFILE%\AppData\Local\Temp\OnboardLogs" /stypes="*4012*201710031*"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4012</v>
      </c>
      <c r="V12" s="31">
        <f t="shared" si="3"/>
        <v>43011.65865740741</v>
      </c>
      <c r="W12" s="45" t="str">
        <f t="shared" si="4"/>
        <v>EC</v>
      </c>
      <c r="X12" s="22">
        <f t="shared" si="5"/>
        <v>145</v>
      </c>
      <c r="Y12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{"issue":{"subject":"","project_id":79,"tracker_id":40,"status_id":1,"priority_id":2,"assigned_to_id":338,"start_date":"2017-10-03","description":"","custom_fields":[{"id":1,"name":"Subdivision","value":"EC"},{"id":4,"name":"Milepost","value":"22.4578"},{"id":17,"name":"Train ID","value":"145-03"},{"id":16,"name":"Locomotive ID","value":"4012"},{"id":130,"name":"Impact","value":""},{"id":150,"name":"Time of Event (Mountain Time)","value":"09:48:28"},{"id":151,"name":"Denver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4"/>
      <c r="AA12" s="47"/>
      <c r="AB12" s="47"/>
      <c r="AC12" s="111" t="str">
        <f t="shared" si="7"/>
        <v>grep -hrE -A400 "Enforcement Action" /c/Users/stu/AppData/Local/Temp/OnboardLogs/RTDC4012 --include="*4012*201710031*"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"%USERPROFILE%\AppData\Local\Temp\OnboardLogs"\RTDC4012\*4012*201710031* &gt;&gt; 2017-10-03-SliceDisagreementCheck.txt</v>
      </c>
      <c r="AE12" s="141" t="str">
        <f t="shared" si="9"/>
        <v>start /low /b %USERPROFILE%\Documents\GitHub\eaglep3\Utilities\DownloadLogsFromS3.py --loco 4012 --day 2017-10-03</v>
      </c>
      <c r="AF12" s="1"/>
    </row>
    <row r="13" spans="1:32" x14ac:dyDescent="0.25">
      <c r="A13" s="31">
        <v>43011.354502314818</v>
      </c>
      <c r="B13" s="30" t="s">
        <v>463</v>
      </c>
      <c r="C13" s="30" t="s">
        <v>607</v>
      </c>
      <c r="D13" s="30" t="s">
        <v>95</v>
      </c>
      <c r="E13" s="30" t="s">
        <v>357</v>
      </c>
      <c r="F13" s="42">
        <v>0</v>
      </c>
      <c r="G13" s="42">
        <v>68</v>
      </c>
      <c r="H13" s="42">
        <v>1836</v>
      </c>
      <c r="I13" s="42">
        <v>1954</v>
      </c>
      <c r="J13" s="30" t="s">
        <v>358</v>
      </c>
      <c r="K13" s="42">
        <v>1692</v>
      </c>
      <c r="L13" s="127" t="s">
        <v>50</v>
      </c>
      <c r="M13" s="128">
        <f t="shared" si="0"/>
        <v>-138.33600000000001</v>
      </c>
      <c r="N13" s="129" t="str">
        <f>VLOOKUP(C13,'Trips&amp;Operators'!$C$1:$G$99911,5,FALSE)</f>
        <v>SPECTOR MICHAEL</v>
      </c>
      <c r="O13" s="171" t="s">
        <v>396</v>
      </c>
      <c r="P13" s="130" t="s">
        <v>1016</v>
      </c>
      <c r="Q13" s="30"/>
      <c r="R13" s="77" t="str">
        <f>VLOOKUP(C13,'Train Runs'!$A$13:$AE$9999,31,0)</f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S13" s="80" t="str">
        <f>VLOOKUP(C13,'Train Runs'!$A$13:$AE$9999,22,0)</f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3" s="82" t="str">
        <f t="shared" si="1"/>
        <v>"C:\Program Files (x86)\AstroGrep\AstroGrep.exe" /e /r /s /spath="%USERPROFILE%\AppData\Local\Temp\OnboardLogs" /stypes="*4062*201710031*"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4062</v>
      </c>
      <c r="V13" s="31">
        <f t="shared" si="3"/>
        <v>43011.604502314818</v>
      </c>
      <c r="W13" s="45" t="str">
        <f t="shared" si="4"/>
        <v>EC</v>
      </c>
      <c r="X13" s="22">
        <f t="shared" si="5"/>
        <v>139</v>
      </c>
      <c r="Y13" s="92" t="str">
        <f t="shared" si="6"/>
        <v>echo {"issue":{"subject":"DUS Main 3 Departure","project_id":79,"tracker_id":40,"status_id":1,"priority_id":2,"assigned_to_id":338,"start_date":"2017-10-03","description":"","custom_fields":[{"id":1,"name":"Subdivision","value":"EC"},{"id":4,"name":"Milepost","value":"0.1692"},{"id":17,"name":"Train ID","value":"139-03"},{"id":16,"name":"Locomotive ID","value":"4062"},{"id":130,"name":"Impact","value":""},{"id":150,"name":"Time of Event (Mountain Time)","value":"08:30:29"},{"id":151,"name":"Denver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4"/>
      <c r="AA13" s="47"/>
      <c r="AB13" s="47"/>
      <c r="AC13" s="111" t="str">
        <f t="shared" si="7"/>
        <v>grep -hrE -A400 "Enforcement Action" /c/Users/stu/AppData/Local/Temp/OnboardLogs/RTDC4062 --include="*4062*201710031*"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"%USERPROFILE%\AppData\Local\Temp\OnboardLogs"\RTDC4062\*4062*201710031* &gt;&gt; 2017-10-03-SliceDisagreementCheck.txt</v>
      </c>
      <c r="AE13" s="141" t="str">
        <f t="shared" si="9"/>
        <v>start /low /b %USERPROFILE%\Documents\GitHub\eaglep3\Utilities\DownloadLogsFromS3.py --loco 4062 --day 2017-10-03</v>
      </c>
      <c r="AF13" s="1"/>
    </row>
    <row r="14" spans="1:32" x14ac:dyDescent="0.25">
      <c r="A14" s="31">
        <v>43011.611863425926</v>
      </c>
      <c r="B14" s="30" t="s">
        <v>594</v>
      </c>
      <c r="C14" s="30" t="s">
        <v>616</v>
      </c>
      <c r="D14" s="30" t="s">
        <v>49</v>
      </c>
      <c r="E14" s="30" t="s">
        <v>357</v>
      </c>
      <c r="F14" s="42">
        <v>0</v>
      </c>
      <c r="G14" s="42">
        <v>423</v>
      </c>
      <c r="H14" s="42">
        <v>41672</v>
      </c>
      <c r="I14" s="42">
        <v>42877</v>
      </c>
      <c r="J14" s="30" t="s">
        <v>358</v>
      </c>
      <c r="K14" s="42">
        <v>43651</v>
      </c>
      <c r="L14" s="127" t="s">
        <v>50</v>
      </c>
      <c r="M14" s="128">
        <f t="shared" si="0"/>
        <v>408.67200000000003</v>
      </c>
      <c r="N14" s="129" t="str">
        <f>VLOOKUP(C14,'Trips&amp;Operators'!$C$1:$G$99911,5,FALSE)</f>
        <v>SMITH MICHAEL</v>
      </c>
      <c r="O14" s="171" t="s">
        <v>396</v>
      </c>
      <c r="P14" s="130" t="s">
        <v>485</v>
      </c>
      <c r="Q14" s="30"/>
      <c r="R14" s="77" t="str">
        <f>VLOOKUP(C14,'Train Runs'!$A$13:$AE$9999,31,0)</f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S14" s="80" t="str">
        <f>VLOOKUP(C14,'Train Runs'!$A$13:$AE$9999,22,0)</f>
        <v>https://d0f6bd738d7f1b3e5a7ca70fe4ff75f0.us-east-1.aws.found.io/app/kibana#/discover/Steve-Slow-Train-Analysis-(2080s-and-2083s)?_g=(refreshInterval:(display:Off,pause:!f,section:0,value:0),time:(from:'2017-10-03T13:22:31-0600',mode:absolute,to:'2017-10-03T16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2" t="str">
        <f t="shared" si="1"/>
        <v>"C:\Program Files (x86)\AstroGrep\AstroGrep.exe" /e /r /s /spath="%USERPROFILE%\AppData\Local\Temp\OnboardLogs" /stypes="*4012*201710032*"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4012</v>
      </c>
      <c r="V14" s="31">
        <f t="shared" si="3"/>
        <v>43011.861863425926</v>
      </c>
      <c r="W14" s="45" t="str">
        <f t="shared" si="4"/>
        <v>EC</v>
      </c>
      <c r="X14" s="22">
        <f t="shared" si="5"/>
        <v>187</v>
      </c>
      <c r="Y14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drop","project_id":79,"tracker_id":40,"status_id":1,"priority_id":2,"assigned_to_id":338,"start_date":"2017-10-03","description":"","custom_fields":[{"id":1,"name":"Subdivision","value":"EC"},{"id":4,"name":"Milepost","value":"4.3651"},{"id":17,"name":"Train ID","value":"187-03"},{"id":16,"name":"Locomotive ID","value":"4012"},{"id":130,"name":"Impact","value":""},{"id":150,"name":"Time of Event (Mountain Time)","value":"14:41:05"},{"id":151,"name":"Denver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4"/>
      <c r="AA14" s="47"/>
      <c r="AB14" s="47"/>
      <c r="AC14" s="111" t="str">
        <f t="shared" si="7"/>
        <v>grep -hrE -A400 "Enforcement Action" /c/Users/stu/AppData/Local/Temp/OnboardLogs/RTDC4012 --include="*4012*201710032*"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"%USERPROFILE%\AppData\Local\Temp\OnboardLogs"\RTDC4012\*4012*201710032* &gt;&gt; 2017-10-03-SliceDisagreementCheck.txt</v>
      </c>
      <c r="AE14" s="141" t="str">
        <f t="shared" si="9"/>
        <v>start /low /b %USERPROFILE%\Documents\GitHub\eaglep3\Utilities\DownloadLogsFromS3.py --loco 4012 --day 2017-10-03</v>
      </c>
      <c r="AF14" s="1"/>
    </row>
    <row r="15" spans="1:32" x14ac:dyDescent="0.25">
      <c r="A15" s="31">
        <v>43011.248622685183</v>
      </c>
      <c r="B15" s="30" t="s">
        <v>594</v>
      </c>
      <c r="C15" s="30" t="s">
        <v>595</v>
      </c>
      <c r="D15" s="30" t="s">
        <v>49</v>
      </c>
      <c r="E15" s="30" t="s">
        <v>357</v>
      </c>
      <c r="F15" s="42">
        <v>0</v>
      </c>
      <c r="G15" s="42">
        <v>485</v>
      </c>
      <c r="H15" s="42">
        <v>62636</v>
      </c>
      <c r="I15" s="42">
        <v>63959</v>
      </c>
      <c r="J15" s="30" t="s">
        <v>358</v>
      </c>
      <c r="K15" s="42">
        <v>63995</v>
      </c>
      <c r="L15" s="127" t="s">
        <v>50</v>
      </c>
      <c r="M15" s="128">
        <f t="shared" si="0"/>
        <v>19.007999999999999</v>
      </c>
      <c r="N15" s="129" t="str">
        <f>VLOOKUP(C15,'Trips&amp;Operators'!$C$1:$G$99911,5,FALSE)</f>
        <v>MACDONALD THOMAS</v>
      </c>
      <c r="O15" s="171" t="s">
        <v>396</v>
      </c>
      <c r="P15" s="130" t="s">
        <v>485</v>
      </c>
      <c r="Q15" s="30"/>
      <c r="R15" s="77" t="str">
        <f>VLOOKUP(C15,'Train Runs'!$A$13:$AE$9999,31,0)</f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S15" s="80" t="str">
        <f>VLOOKUP(C15,'Train Runs'!$A$13:$AE$9999,22,0)</f>
        <v>https://d0f6bd738d7f1b3e5a7ca70fe4ff75f0.us-east-1.aws.found.io/app/kibana#/discover/Steve-Slow-Train-Analysis-(2080s-and-2083s)?_g=(refreshInterval:(display:Off,pause:!f,section:0,value:0),time:(from:'2017-10-03T04:39:07-0600',mode:absolute,to:'2017-10-03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82" t="str">
        <f t="shared" si="1"/>
        <v>"C:\Program Files (x86)\AstroGrep\AstroGrep.exe" /e /r /s /spath="%USERPROFILE%\AppData\Local\Temp\OnboardLogs" /stypes="*4012*201710031*"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4012</v>
      </c>
      <c r="V15" s="31">
        <f t="shared" si="3"/>
        <v>43011.498622685183</v>
      </c>
      <c r="W15" s="45" t="str">
        <f t="shared" si="4"/>
        <v>EC</v>
      </c>
      <c r="X15" s="22">
        <f t="shared" si="5"/>
        <v>117</v>
      </c>
      <c r="Y15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drop","project_id":79,"tracker_id":40,"status_id":1,"priority_id":2,"assigned_to_id":338,"start_date":"2017-10-03","description":"","custom_fields":[{"id":1,"name":"Subdivision","value":"EC"},{"id":4,"name":"Milepost","value":"6.3995"},{"id":17,"name":"Train ID","value":"117-03"},{"id":16,"name":"Locomotive ID","value":"4012"},{"id":130,"name":"Impact","value":""},{"id":150,"name":"Time of Event (Mountain Time)","value":"05:58:01"},{"id":151,"name":"Denver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4"/>
      <c r="AA15" s="47"/>
      <c r="AB15" s="47"/>
      <c r="AC15" s="111" t="str">
        <f t="shared" si="7"/>
        <v>grep -hrE -A400 "Enforcement Action" /c/Users/stu/AppData/Local/Temp/OnboardLogs/RTDC4012 --include="*4012*201710031*"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"%USERPROFILE%\AppData\Local\Temp\OnboardLogs"\RTDC4012\*4012*201710031* &gt;&gt; 2017-10-03-SliceDisagreementCheck.txt</v>
      </c>
      <c r="AE15" s="141" t="str">
        <f t="shared" si="9"/>
        <v>start /low /b %USERPROFILE%\Documents\GitHub\eaglep3\Utilities\DownloadLogsFromS3.py --loco 4012 --day 2017-10-03</v>
      </c>
      <c r="AF15" s="1"/>
    </row>
    <row r="16" spans="1:32" x14ac:dyDescent="0.25">
      <c r="A16" s="31">
        <v>43011.391643518517</v>
      </c>
      <c r="B16" s="30" t="s">
        <v>467</v>
      </c>
      <c r="C16" s="30" t="s">
        <v>608</v>
      </c>
      <c r="D16" s="30" t="s">
        <v>49</v>
      </c>
      <c r="E16" s="30" t="s">
        <v>357</v>
      </c>
      <c r="F16" s="42">
        <v>0</v>
      </c>
      <c r="G16" s="42">
        <v>717</v>
      </c>
      <c r="H16" s="42">
        <v>77844</v>
      </c>
      <c r="I16" s="42">
        <v>73706</v>
      </c>
      <c r="J16" s="30" t="s">
        <v>358</v>
      </c>
      <c r="K16" s="42">
        <v>75579</v>
      </c>
      <c r="L16" s="127" t="s">
        <v>51</v>
      </c>
      <c r="M16" s="128">
        <f t="shared" si="0"/>
        <v>-988.94399999999996</v>
      </c>
      <c r="N16" s="129" t="str">
        <f>VLOOKUP(C16,'Trips&amp;Operators'!$C$1:$G$99911,5,FALSE)</f>
        <v>LALONDE GREGORY</v>
      </c>
      <c r="O16" s="171" t="s">
        <v>396</v>
      </c>
      <c r="P16" s="130" t="s">
        <v>485</v>
      </c>
      <c r="Q16" s="30"/>
      <c r="R16" s="77" t="str">
        <f>VLOOKUP(C16,'Train Runs'!$A$13:$AE$9999,31,0)</f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S16" s="80" t="str">
        <f>VLOOKUP(C16,'Train Runs'!$A$13:$AE$9999,22,0)</f>
        <v>https://d0f6bd738d7f1b3e5a7ca70fe4ff75f0.us-east-1.aws.found.io/app/kibana#/discover/Steve-Slow-Train-Analysis-(2080s-and-2083s)?_g=(refreshInterval:(display:Off,pause:!f,section:0,value:0),time:(from:'2017-10-03T07:40:33-0600',mode:absolute,to:'2017-10-03T10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6" s="82" t="str">
        <f t="shared" si="1"/>
        <v>"C:\Program Files (x86)\AstroGrep\AstroGrep.exe" /e /r /s /spath="%USERPROFILE%\AppData\Local\Temp\OnboardLogs" /stypes="*4055*201710031*"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4055</v>
      </c>
      <c r="V16" s="31">
        <f t="shared" si="3"/>
        <v>43011.641643518517</v>
      </c>
      <c r="W16" s="45" t="str">
        <f t="shared" si="4"/>
        <v>EC</v>
      </c>
      <c r="X16" s="22">
        <f t="shared" si="5"/>
        <v>136</v>
      </c>
      <c r="Y16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drop","project_id":79,"tracker_id":40,"status_id":1,"priority_id":2,"assigned_to_id":338,"start_date":"2017-10-03","description":"","custom_fields":[{"id":1,"name":"Subdivision","value":"EC"},{"id":4,"name":"Milepost","value":"7.5579"},{"id":17,"name":"Train ID","value":"136-03"},{"id":16,"name":"Locomotive ID","value":"4055"},{"id":130,"name":"Impact","value":""},{"id":150,"name":"Time of Event (Mountain Time)","value":"09:23:58"},{"id":151,"name":"Denver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4"/>
      <c r="AA16" s="47"/>
      <c r="AB16" s="47"/>
      <c r="AC16" s="111" t="str">
        <f t="shared" si="7"/>
        <v>grep -hrE -A400 "Enforcement Action" /c/Users/stu/AppData/Local/Temp/OnboardLogs/RTDC4055 --include="*4055*201710031*"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"%USERPROFILE%\AppData\Local\Temp\OnboardLogs"\RTDC4055\*4055*201710031* &gt;&gt; 2017-10-03-SliceDisagreementCheck.txt</v>
      </c>
      <c r="AE16" s="141" t="str">
        <f t="shared" si="9"/>
        <v>start /low /b %USERPROFILE%\Documents\GitHub\eaglep3\Utilities\DownloadLogsFromS3.py --loco 4055 --day 2017-10-03</v>
      </c>
      <c r="AF16" s="1"/>
    </row>
    <row r="17" spans="1:32" x14ac:dyDescent="0.25">
      <c r="A17" s="31">
        <v>43012.053946759261</v>
      </c>
      <c r="B17" s="30" t="s">
        <v>603</v>
      </c>
      <c r="C17" s="30" t="s">
        <v>624</v>
      </c>
      <c r="D17" s="30" t="s">
        <v>49</v>
      </c>
      <c r="E17" s="30" t="s">
        <v>357</v>
      </c>
      <c r="F17" s="42">
        <v>0</v>
      </c>
      <c r="G17" s="42">
        <v>669</v>
      </c>
      <c r="H17" s="42">
        <v>79814</v>
      </c>
      <c r="I17" s="42">
        <v>76783</v>
      </c>
      <c r="J17" s="30" t="s">
        <v>358</v>
      </c>
      <c r="K17" s="42">
        <v>75579</v>
      </c>
      <c r="L17" s="127" t="s">
        <v>51</v>
      </c>
      <c r="M17" s="128">
        <f t="shared" si="0"/>
        <v>635.71199999999999</v>
      </c>
      <c r="N17" s="129" t="str">
        <f>VLOOKUP(C17,'Trips&amp;Operators'!$C$1:$G$99911,5,FALSE)</f>
        <v>RESPASS AARON</v>
      </c>
      <c r="O17" s="171" t="s">
        <v>396</v>
      </c>
      <c r="P17" s="130" t="s">
        <v>485</v>
      </c>
      <c r="Q17" s="30"/>
      <c r="R17" s="77" t="str">
        <f>VLOOKUP(C17,'Train Runs'!$A$13:$AE$9999,31,0)</f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S17" s="80" t="str">
        <f>VLOOKUP(C17,'Train Runs'!$A$13:$AE$9999,22,0)</f>
        <v>https://d0f6bd738d7f1b3e5a7ca70fe4ff75f0.us-east-1.aws.found.io/app/kibana#/discover/Steve-Slow-Train-Analysis-(2080s-and-2083s)?_g=(refreshInterval:(display:Off,pause:!f,section:0,value:0),time:(from:'2017-10-03T23:38:22-0600',mode:absolute,to:'2017-10-04T02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7" s="82" t="str">
        <f t="shared" si="1"/>
        <v>"C:\Program Files (x86)\AstroGrep\AstroGrep.exe" /e /r /s /spath="%USERPROFILE%\AppData\Local\Temp\OnboardLogs" /stypes="*4031*201710040*" /stext=" 07:.+((SYSTEM_STATE.+slice.+state.+changed )|(ment ac)|(multiple cpu faults)|(system.+state.+changed )|(\[timeout)|(PRM\|1\|D)|(kpr)|(kdp)|(train st.+moving)|(\|lc)|(penalty))"</v>
      </c>
      <c r="U17" s="9" t="str">
        <f t="shared" si="2"/>
        <v>4031</v>
      </c>
      <c r="V17" s="31">
        <f t="shared" si="3"/>
        <v>43012.303946759261</v>
      </c>
      <c r="W17" s="45" t="str">
        <f t="shared" si="4"/>
        <v>EC</v>
      </c>
      <c r="X17" s="22">
        <f t="shared" si="5"/>
        <v>242</v>
      </c>
      <c r="Y17" s="92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drop","project_id":79,"tracker_id":40,"status_id":1,"priority_id":2,"assigned_to_id":338,"start_date":"2017-10-04","description":"","custom_fields":[{"id":1,"name":"Subdivision","value":"EC"},{"id":4,"name":"Milepost","value":"7.5579"},{"id":17,"name":"Train ID","value":"242-03"},{"id":16,"name":"Locomotive ID","value":"4031"},{"id":130,"name":"Impact","value":""},{"id":150,"name":"Time of Event (Mountain Time)","value":"01:17:41"},{"id":151,"name":"Denver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4"/>
      <c r="AA17" s="47"/>
      <c r="AB17" s="47"/>
      <c r="AC17" s="111" t="str">
        <f t="shared" si="7"/>
        <v>grep -hrE -A400 "Enforcement Action" /c/Users/stu/AppData/Local/Temp/OnboardLogs/RTDC4031 --include="*4031*201710040*"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"%USERPROFILE%\AppData\Local\Temp\OnboardLogs"\RTDC4031\*4031*201710040* &gt;&gt; 2017-10-03-SliceDisagreementCheck.txt</v>
      </c>
      <c r="AE17" s="141" t="str">
        <f t="shared" si="9"/>
        <v>start /low /b %USERPROFILE%\Documents\GitHub\eaglep3\Utilities\DownloadLogsFromS3.py --loco 4031 --day 2017-10-04</v>
      </c>
      <c r="AF17" s="1"/>
    </row>
    <row r="18" spans="1:32" x14ac:dyDescent="0.25">
      <c r="A18" s="31">
        <v>43011.253784722219</v>
      </c>
      <c r="B18" s="30" t="s">
        <v>465</v>
      </c>
      <c r="C18" s="30" t="s">
        <v>593</v>
      </c>
      <c r="D18" s="30" t="s">
        <v>49</v>
      </c>
      <c r="E18" s="30" t="s">
        <v>357</v>
      </c>
      <c r="F18" s="42">
        <v>0</v>
      </c>
      <c r="G18" s="42">
        <v>141</v>
      </c>
      <c r="H18" s="42">
        <v>82192</v>
      </c>
      <c r="I18" s="42">
        <v>81939</v>
      </c>
      <c r="J18" s="30" t="s">
        <v>358</v>
      </c>
      <c r="K18" s="42">
        <v>81751</v>
      </c>
      <c r="L18" s="127" t="s">
        <v>51</v>
      </c>
      <c r="M18" s="128">
        <f t="shared" si="0"/>
        <v>99.263999999999996</v>
      </c>
      <c r="N18" s="129" t="str">
        <f>VLOOKUP(C18,'Trips&amp;Operators'!$C$1:$G$99911,5,FALSE)</f>
        <v>LAMAR NEKESHA</v>
      </c>
      <c r="O18" s="171" t="s">
        <v>396</v>
      </c>
      <c r="P18" s="130" t="s">
        <v>485</v>
      </c>
      <c r="Q18" s="30"/>
      <c r="R18" s="77" t="str">
        <f>VLOOKUP(C18,'Train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18" s="80" t="str">
        <f>VLOOKUP(C18,'Train Runs'!$A$13:$AE$9999,22,0)</f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82" t="str">
        <f t="shared" si="1"/>
        <v>"C:\Program Files (x86)\AstroGrep\AstroGrep.exe" /e /r /s /spath="%USERPROFILE%\AppData\Local\Temp\OnboardLogs" /stypes="*4059*201710031*"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4059</v>
      </c>
      <c r="V18" s="31">
        <f t="shared" si="3"/>
        <v>43011.503784722219</v>
      </c>
      <c r="W18" s="45" t="str">
        <f t="shared" si="4"/>
        <v>EC</v>
      </c>
      <c r="X18" s="22">
        <f t="shared" si="5"/>
        <v>110</v>
      </c>
      <c r="Y18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drop","project_id":79,"tracker_id":40,"status_id":1,"priority_id":2,"assigned_to_id":338,"start_date":"2017-10-03","description":"","custom_fields":[{"id":1,"name":"Subdivision","value":"EC"},{"id":4,"name":"Milepost","value":"8.1751"},{"id":17,"name":"Train ID","value":"110-03"},{"id":16,"name":"Locomotive ID","value":"4059"},{"id":130,"name":"Impact","value":""},{"id":150,"name":"Time of Event (Mountain Time)","value":"06:05:27"},{"id":151,"name":"Denver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4"/>
      <c r="AA18" s="47"/>
      <c r="AB18" s="47"/>
      <c r="AC18" s="111" t="str">
        <f t="shared" si="7"/>
        <v>grep -hrE -A400 "Enforcement Action" /c/Users/stu/AppData/Local/Temp/OnboardLogs/RTDC4059 --include="*4059*201710031*"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18" s="141" t="str">
        <f t="shared" si="9"/>
        <v>start /low /b %USERPROFILE%\Documents\GitHub\eaglep3\Utilities\DownloadLogsFromS3.py --loco 4059 --day 2017-10-03</v>
      </c>
      <c r="AF18" s="1"/>
    </row>
    <row r="19" spans="1:32" x14ac:dyDescent="0.25">
      <c r="A19" s="31">
        <v>43012.011944444443</v>
      </c>
      <c r="B19" s="30" t="s">
        <v>597</v>
      </c>
      <c r="C19" s="30" t="s">
        <v>623</v>
      </c>
      <c r="D19" s="30" t="s">
        <v>49</v>
      </c>
      <c r="E19" s="30" t="s">
        <v>357</v>
      </c>
      <c r="F19" s="42">
        <v>0</v>
      </c>
      <c r="G19" s="42">
        <v>88</v>
      </c>
      <c r="H19" s="42">
        <v>86378</v>
      </c>
      <c r="I19" s="42">
        <v>86502</v>
      </c>
      <c r="J19" s="30" t="s">
        <v>358</v>
      </c>
      <c r="K19" s="42">
        <v>87889</v>
      </c>
      <c r="L19" s="127" t="s">
        <v>50</v>
      </c>
      <c r="M19" s="128">
        <f t="shared" si="0"/>
        <v>732.33600000000001</v>
      </c>
      <c r="N19" s="129" t="str">
        <f>VLOOKUP(C19,'Trips&amp;Operators'!$C$1:$G$99911,5,FALSE)</f>
        <v>RESPASS AARON</v>
      </c>
      <c r="O19" s="171" t="s">
        <v>396</v>
      </c>
      <c r="P19" s="130" t="s">
        <v>485</v>
      </c>
      <c r="Q19" s="30"/>
      <c r="R19" s="77" t="str">
        <f>VLOOKUP(C19,'Train Runs'!$A$13:$AE$9999,31,0)</f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S19" s="80" t="str">
        <f>VLOOKUP(C19,'Train Runs'!$A$13:$AE$9999,22,0)</f>
        <v>https://d0f6bd738d7f1b3e5a7ca70fe4ff75f0.us-east-1.aws.found.io/app/kibana#/discover/Steve-Slow-Train-Analysis-(2080s-and-2083s)?_g=(refreshInterval:(display:Off,pause:!f,section:0,value:0),time:(from:'2017-10-03T22:45:51-0600',mode:absolute,to:'2017-10-04T01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2" t="str">
        <f t="shared" si="1"/>
        <v>"C:\Program Files (x86)\AstroGrep\AstroGrep.exe" /e /r /s /spath="%USERPROFILE%\AppData\Local\Temp\OnboardLogs" /stypes="*4032*201710040*"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43012.261944444443</v>
      </c>
      <c r="W19" s="45" t="str">
        <f t="shared" si="4"/>
        <v>EC</v>
      </c>
      <c r="X19" s="22">
        <f t="shared" si="5"/>
        <v>241</v>
      </c>
      <c r="Y19" s="92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drop","project_id":79,"tracker_id":40,"status_id":1,"priority_id":2,"assigned_to_id":338,"start_date":"2017-10-04","description":"","custom_fields":[{"id":1,"name":"Subdivision","value":"EC"},{"id":4,"name":"Milepost","value":"8.7889"},{"id":17,"name":"Train ID","value":"241-03"},{"id":16,"name":"Locomotive ID","value":"4032"},{"id":130,"name":"Impact","value":""},{"id":150,"name":"Time of Event (Mountain Time)","value":"00:17:12"},{"id":151,"name":"Denver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4"/>
      <c r="AA19" s="47"/>
      <c r="AB19" s="47"/>
      <c r="AC19" s="111" t="str">
        <f t="shared" si="7"/>
        <v>grep -hrE -A400 "Enforcement Action" /c/Users/stu/AppData/Local/Temp/OnboardLogs/RTDC4032 --include="*4032*201710040*"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"%USERPROFILE%\AppData\Local\Temp\OnboardLogs"\RTDC4032\*4032*201710040* &gt;&gt; 2017-10-03-SliceDisagreementCheck.txt</v>
      </c>
      <c r="AE19" s="141" t="str">
        <f t="shared" si="9"/>
        <v>start /low /b %USERPROFILE%\Documents\GitHub\eaglep3\Utilities\DownloadLogsFromS3.py --loco 4032 --day 2017-10-04</v>
      </c>
      <c r="AF19" s="1"/>
    </row>
    <row r="20" spans="1:32" x14ac:dyDescent="0.25">
      <c r="A20" s="31">
        <v>43011.541932870372</v>
      </c>
      <c r="B20" s="30" t="s">
        <v>465</v>
      </c>
      <c r="C20" s="30" t="s">
        <v>614</v>
      </c>
      <c r="D20" s="30" t="s">
        <v>49</v>
      </c>
      <c r="E20" s="30" t="s">
        <v>357</v>
      </c>
      <c r="F20" s="42">
        <v>0</v>
      </c>
      <c r="G20" s="42">
        <v>317</v>
      </c>
      <c r="H20" s="42">
        <v>112234</v>
      </c>
      <c r="I20" s="42">
        <v>111537</v>
      </c>
      <c r="J20" s="30" t="s">
        <v>358</v>
      </c>
      <c r="K20" s="42">
        <v>110714</v>
      </c>
      <c r="L20" s="127" t="s">
        <v>51</v>
      </c>
      <c r="M20" s="128">
        <f t="shared" si="0"/>
        <v>434.54399999999998</v>
      </c>
      <c r="N20" s="129" t="str">
        <f>VLOOKUP(C20,'Trips&amp;Operators'!$C$1:$G$99911,5,FALSE)</f>
        <v>LEVIN SCOTT</v>
      </c>
      <c r="O20" s="171" t="s">
        <v>396</v>
      </c>
      <c r="P20" s="130" t="s">
        <v>485</v>
      </c>
      <c r="Q20" s="30"/>
      <c r="R20" s="77" t="str">
        <f>VLOOKUP(C20,'Train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20" s="80" t="str">
        <f>VLOOKUP(C20,'Train Runs'!$A$13:$AE$9999,22,0)</f>
        <v>https://d0f6bd738d7f1b3e5a7ca70fe4ff75f0.us-east-1.aws.found.io/app/kibana#/discover/Steve-Slow-Train-Analysis-(2080s-and-2083s)?_g=(refreshInterval:(display:Off,pause:!f,section:0,value:0),time:(from:'2017-10-03T11:32:44-0600',mode:absolute,to:'2017-10-03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0" s="82" t="str">
        <f t="shared" si="1"/>
        <v>"C:\Program Files (x86)\AstroGrep\AstroGrep.exe" /e /r /s /spath="%USERPROFILE%\AppData\Local\Temp\OnboardLogs" /stypes="*4059*201710031*"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4059</v>
      </c>
      <c r="V20" s="31">
        <f t="shared" si="3"/>
        <v>43011.791932870372</v>
      </c>
      <c r="W20" s="45" t="str">
        <f t="shared" si="4"/>
        <v>EC</v>
      </c>
      <c r="X20" s="22">
        <f t="shared" si="5"/>
        <v>166</v>
      </c>
      <c r="Y20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drop","project_id":79,"tracker_id":40,"status_id":1,"priority_id":2,"assigned_to_id":338,"start_date":"2017-10-03","description":"","custom_fields":[{"id":1,"name":"Subdivision","value":"EC"},{"id":4,"name":"Milepost","value":"11.0714"},{"id":17,"name":"Train ID","value":"166-03"},{"id":16,"name":"Locomotive ID","value":"4059"},{"id":130,"name":"Impact","value":""},{"id":150,"name":"Time of Event (Mountain Time)","value":"13:00:23"},{"id":151,"name":"Denver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4"/>
      <c r="AA20" s="47"/>
      <c r="AB20" s="47"/>
      <c r="AC20" s="111" t="str">
        <f t="shared" si="7"/>
        <v>grep -hrE -A400 "Enforcement Action" /c/Users/stu/AppData/Local/Temp/OnboardLogs/RTDC4059 --include="*4059*201710031*"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20" s="141" t="str">
        <f t="shared" si="9"/>
        <v>start /low /b %USERPROFILE%\Documents\GitHub\eaglep3\Utilities\DownloadLogsFromS3.py --loco 4059 --day 2017-10-03</v>
      </c>
      <c r="AF20" s="1"/>
    </row>
    <row r="21" spans="1:32" x14ac:dyDescent="0.25">
      <c r="A21" s="31">
        <v>43011.576874999999</v>
      </c>
      <c r="B21" s="30" t="s">
        <v>469</v>
      </c>
      <c r="C21" s="30" t="s">
        <v>615</v>
      </c>
      <c r="D21" s="30" t="s">
        <v>49</v>
      </c>
      <c r="E21" s="30" t="s">
        <v>357</v>
      </c>
      <c r="F21" s="42">
        <v>0</v>
      </c>
      <c r="G21" s="42">
        <v>286</v>
      </c>
      <c r="H21" s="42">
        <v>117477</v>
      </c>
      <c r="I21" s="42">
        <v>118042</v>
      </c>
      <c r="J21" s="30" t="s">
        <v>358</v>
      </c>
      <c r="K21" s="42">
        <v>118739</v>
      </c>
      <c r="L21" s="127" t="s">
        <v>50</v>
      </c>
      <c r="M21" s="128">
        <f t="shared" si="0"/>
        <v>368.01600000000002</v>
      </c>
      <c r="N21" s="129" t="str">
        <f>VLOOKUP(C21,'Trips&amp;Operators'!$C$1:$G$99911,5,FALSE)</f>
        <v>LEVIN SCOTT</v>
      </c>
      <c r="O21" s="171" t="s">
        <v>396</v>
      </c>
      <c r="P21" s="130" t="s">
        <v>485</v>
      </c>
      <c r="Q21" s="30"/>
      <c r="R21" s="77" t="str">
        <f>VLOOKUP(C21,'Train Runs'!$A$13:$AE$9999,31,0)</f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S21" s="80" t="str">
        <f>VLOOKUP(C21,'Train Runs'!$A$13:$AE$9999,22,0)</f>
        <v>https://d0f6bd738d7f1b3e5a7ca70fe4ff75f0.us-east-1.aws.found.io/app/kibana#/discover/Steve-Slow-Train-Analysis-(2080s-and-2083s)?_g=(refreshInterval:(display:Off,pause:!f,section:0,value:0),time:(from:'2017-10-03T12:23:09-0600',mode:absolute,to:'2017-10-03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1" s="82" t="str">
        <f t="shared" si="1"/>
        <v>"C:\Program Files (x86)\AstroGrep\AstroGrep.exe" /e /r /s /spath="%USERPROFILE%\AppData\Local\Temp\OnboardLogs" /stypes="*4060*201710031*"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4060</v>
      </c>
      <c r="V21" s="31">
        <f t="shared" si="3"/>
        <v>43011.826874999999</v>
      </c>
      <c r="W21" s="45" t="str">
        <f t="shared" si="4"/>
        <v>EC</v>
      </c>
      <c r="X21" s="22">
        <f t="shared" si="5"/>
        <v>179</v>
      </c>
      <c r="Y21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drop","project_id":79,"tracker_id":40,"status_id":1,"priority_id":2,"assigned_to_id":338,"start_date":"2017-10-03","description":"","custom_fields":[{"id":1,"name":"Subdivision","value":"EC"},{"id":4,"name":"Milepost","value":"11.8739"},{"id":17,"name":"Train ID","value":"179-03"},{"id":16,"name":"Locomotive ID","value":"4060"},{"id":130,"name":"Impact","value":""},{"id":150,"name":"Time of Event (Mountain Time)","value":"13:50:42"},{"id":151,"name":"Denver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4"/>
      <c r="AA21" s="47"/>
      <c r="AB21" s="47"/>
      <c r="AC21" s="111" t="str">
        <f t="shared" si="7"/>
        <v>grep -hrE -A400 "Enforcement Action" /c/Users/stu/AppData/Local/Temp/OnboardLogs/RTDC4060 --include="*4060*201710031*"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"%USERPROFILE%\AppData\Local\Temp\OnboardLogs"\RTDC4060\*4060*201710031* &gt;&gt; 2017-10-03-SliceDisagreementCheck.txt</v>
      </c>
      <c r="AE21" s="141" t="str">
        <f t="shared" si="9"/>
        <v>start /low /b %USERPROFILE%\Documents\GitHub\eaglep3\Utilities\DownloadLogsFromS3.py --loco 4060 --day 2017-10-03</v>
      </c>
      <c r="AF21" s="1"/>
    </row>
    <row r="22" spans="1:32" x14ac:dyDescent="0.25">
      <c r="A22" s="31">
        <v>43011.24832175926</v>
      </c>
      <c r="B22" s="30" t="s">
        <v>465</v>
      </c>
      <c r="C22" s="30" t="s">
        <v>593</v>
      </c>
      <c r="D22" s="30" t="s">
        <v>49</v>
      </c>
      <c r="E22" s="30" t="s">
        <v>357</v>
      </c>
      <c r="F22" s="42">
        <v>0</v>
      </c>
      <c r="G22" s="42">
        <v>294</v>
      </c>
      <c r="H22" s="42">
        <v>119805</v>
      </c>
      <c r="I22" s="42">
        <v>119319</v>
      </c>
      <c r="J22" s="30" t="s">
        <v>358</v>
      </c>
      <c r="K22" s="42">
        <v>118741</v>
      </c>
      <c r="L22" s="127" t="s">
        <v>51</v>
      </c>
      <c r="M22" s="128">
        <f t="shared" si="0"/>
        <v>305.18400000000003</v>
      </c>
      <c r="N22" s="129" t="str">
        <f>VLOOKUP(C22,'Trips&amp;Operators'!$C$1:$G$99911,5,FALSE)</f>
        <v>LAMAR NEKESHA</v>
      </c>
      <c r="O22" s="171" t="s">
        <v>396</v>
      </c>
      <c r="P22" s="130" t="s">
        <v>485</v>
      </c>
      <c r="Q22" s="30"/>
      <c r="R22" s="77" t="str">
        <f>VLOOKUP(C22,'Train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22" s="80" t="str">
        <f>VLOOKUP(C22,'Train Runs'!$A$13:$AE$9999,22,0)</f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2" t="str">
        <f t="shared" si="1"/>
        <v>"C:\Program Files (x86)\AstroGrep\AstroGrep.exe" /e /r /s /spath="%USERPROFILE%\AppData\Local\Temp\OnboardLogs" /stypes="*4059*201710031*"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43011.49832175926</v>
      </c>
      <c r="W22" s="45" t="str">
        <f t="shared" si="4"/>
        <v>EC</v>
      </c>
      <c r="X22" s="22">
        <f t="shared" si="5"/>
        <v>110</v>
      </c>
      <c r="Y22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drop","project_id":79,"tracker_id":40,"status_id":1,"priority_id":2,"assigned_to_id":338,"start_date":"2017-10-03","description":"","custom_fields":[{"id":1,"name":"Subdivision","value":"EC"},{"id":4,"name":"Milepost","value":"11.8741"},{"id":17,"name":"Train ID","value":"110-03"},{"id":16,"name":"Locomotive ID","value":"4059"},{"id":130,"name":"Impact","value":""},{"id":150,"name":"Time of Event (Mountain Time)","value":"05:57:35"},{"id":151,"name":"Denver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4"/>
      <c r="AA22" s="47"/>
      <c r="AB22" s="47"/>
      <c r="AC22" s="111" t="str">
        <f t="shared" si="7"/>
        <v>grep -hrE -A400 "Enforcement Action" /c/Users/stu/AppData/Local/Temp/OnboardLogs/RTDC4059 --include="*4059*201710031*"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22" s="141" t="str">
        <f t="shared" si="9"/>
        <v>start /low /b %USERPROFILE%\Documents\GitHub\eaglep3\Utilities\DownloadLogsFromS3.py --loco 4059 --day 2017-10-03</v>
      </c>
      <c r="AF22" s="1"/>
    </row>
    <row r="23" spans="1:32" x14ac:dyDescent="0.25">
      <c r="A23" s="31">
        <v>43011.931840277779</v>
      </c>
      <c r="B23" s="30" t="s">
        <v>597</v>
      </c>
      <c r="C23" s="30" t="s">
        <v>621</v>
      </c>
      <c r="D23" s="30" t="s">
        <v>49</v>
      </c>
      <c r="E23" s="30" t="s">
        <v>357</v>
      </c>
      <c r="F23" s="42">
        <v>0</v>
      </c>
      <c r="G23" s="42">
        <v>451</v>
      </c>
      <c r="H23" s="42">
        <v>126112</v>
      </c>
      <c r="I23" s="42">
        <v>127272</v>
      </c>
      <c r="J23" s="30" t="s">
        <v>358</v>
      </c>
      <c r="K23" s="42">
        <v>126585</v>
      </c>
      <c r="L23" s="127" t="s">
        <v>50</v>
      </c>
      <c r="M23" s="128">
        <f t="shared" si="0"/>
        <v>-362.73599999999999</v>
      </c>
      <c r="N23" s="129" t="str">
        <f>VLOOKUP(C23,'Trips&amp;Operators'!$C$1:$G$99911,5,FALSE)</f>
        <v>RESPASS AARON</v>
      </c>
      <c r="O23" s="171" t="s">
        <v>396</v>
      </c>
      <c r="P23" s="130" t="s">
        <v>1014</v>
      </c>
      <c r="Q23" s="30"/>
      <c r="R23" s="77" t="str">
        <f>VLOOKUP(C23,'Train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23" s="80" t="str">
        <f>VLOOKUP(C23,'Train Runs'!$A$13:$AE$9999,22,0)</f>
        <v>https://d0f6bd738d7f1b3e5a7ca70fe4ff75f0.us-east-1.aws.found.io/app/kibana#/discover/Steve-Slow-Train-Analysis-(2080s-and-2083s)?_g=(refreshInterval:(display:Off,pause:!f,section:0,value:0),time:(from:'2017-10-03T20:44:40-0600',mode:absolute,to:'2017-10-03T23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2" t="str">
        <f t="shared" si="1"/>
        <v>"C:\Program Files (x86)\AstroGrep\AstroGrep.exe" /e /r /s /spath="%USERPROFILE%\AppData\Local\Temp\OnboardLogs" /stypes="*4032*201710040*" /stext=" 04:.+((SYSTEM_STATE.+slice.+state.+changed )|(ment ac)|(multiple cpu faults)|(system.+state.+changed )|(\[timeout)|(PRM\|1\|D)|(kpr)|(kdp)|(train st.+moving)|(\|lc)|(penalty))"</v>
      </c>
      <c r="U23" s="9" t="str">
        <f t="shared" si="2"/>
        <v>4032</v>
      </c>
      <c r="V23" s="31">
        <f t="shared" si="3"/>
        <v>43012.181840277779</v>
      </c>
      <c r="W23" s="45" t="str">
        <f t="shared" si="4"/>
        <v>EC</v>
      </c>
      <c r="X23" s="22">
        <f t="shared" si="5"/>
        <v>233</v>
      </c>
      <c r="Y23" s="92" t="str">
        <f t="shared" si="6"/>
        <v>echo {"issue":{"subject":"Premature downgrade 40th 2N","project_id":79,"tracker_id":40,"status_id":1,"priority_id":2,"assigned_to_id":338,"start_date":"2017-10-03","description":"2017/10/03 22:21:30.366 40th 2N dropped from Proceed Cab to Stop while train was about 250 ft away.  Do logs indicate anything unusual at this time?","custom_fields":[{"id":1,"name":"Subdivision","value":"EC"},{"id":4,"name":"Milepost","value":"12.6585"},{"id":17,"name":"Train ID","value":"233-03"},{"id":16,"name":"Locomotive ID","value":"4032"},{"id":130,"name":"Impact","value":"Enforcement"},{"id":150,"name":"Time of Event (Mountain Time)","value":"22:21:51"},{"id":151,"name":"Denver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23" s="154" t="s">
        <v>1015</v>
      </c>
      <c r="AA23" s="47" t="s">
        <v>118</v>
      </c>
      <c r="AB23" s="47" t="s">
        <v>123</v>
      </c>
      <c r="AC23" s="111" t="str">
        <f t="shared" si="7"/>
        <v>grep -hrE -A400 "Enforcement Action" /c/Users/stu/AppData/Local/Temp/OnboardLogs/RTDC4032 --include="*4032*201710040*"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"%USERPROFILE%\AppData\Local\Temp\OnboardLogs"\RTDC4032\*4032*201710040* &gt;&gt; 2017-10-03-SliceDisagreementCheck.txt</v>
      </c>
      <c r="AE23" s="141" t="str">
        <f t="shared" si="9"/>
        <v>start /low /b %USERPROFILE%\Documents\GitHub\eaglep3\Utilities\DownloadLogsFromS3.py --loco 4032 --day 2017-10-04</v>
      </c>
      <c r="AF23" s="1"/>
    </row>
    <row r="24" spans="1:32" x14ac:dyDescent="0.25">
      <c r="A24" s="31">
        <v>43011.304826388892</v>
      </c>
      <c r="B24" s="30" t="s">
        <v>603</v>
      </c>
      <c r="C24" s="30" t="s">
        <v>604</v>
      </c>
      <c r="D24" s="30" t="s">
        <v>95</v>
      </c>
      <c r="E24" s="30" t="s">
        <v>605</v>
      </c>
      <c r="F24" s="42">
        <v>150</v>
      </c>
      <c r="G24" s="42">
        <v>208</v>
      </c>
      <c r="H24" s="42">
        <v>108378</v>
      </c>
      <c r="I24" s="42">
        <v>107722</v>
      </c>
      <c r="J24" s="30" t="s">
        <v>186</v>
      </c>
      <c r="K24" s="42">
        <v>109100</v>
      </c>
      <c r="L24" s="127" t="s">
        <v>51</v>
      </c>
      <c r="M24" s="128">
        <f t="shared" si="0"/>
        <v>-727.58399999999995</v>
      </c>
      <c r="N24" s="129" t="str">
        <f>VLOOKUP(C24,'Trips&amp;Operators'!$C$1:$G$99911,5,FALSE)</f>
        <v>BIRENBAUM THOMAS</v>
      </c>
      <c r="O24" s="171" t="s">
        <v>178</v>
      </c>
      <c r="P24" s="130"/>
      <c r="Q24" s="30"/>
      <c r="R24" s="77" t="str">
        <f>VLOOKUP(C24,'Train Runs'!$A$13:$AE$9999,31,0)</f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S24" s="80" t="str">
        <f>VLOOKUP(C24,'Train Runs'!$A$13:$AE$9999,22,0)</f>
        <v>https://d0f6bd738d7f1b3e5a7ca70fe4ff75f0.us-east-1.aws.found.io/app/kibana#/discover/Steve-Slow-Train-Analysis-(2080s-and-2083s)?_g=(refreshInterval:(display:Off,pause:!f,section:0,value:0),time:(from:'2017-10-03T05:39:04-0600',mode:absolute,to:'2017-10-03T08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2" t="str">
        <f t="shared" si="1"/>
        <v>"C:\Program Files (x86)\AstroGrep\AstroGrep.exe" /e /r /s /spath="%USERPROFILE%\AppData\Local\Temp\OnboardLogs" /stypes="*4031*201710031*"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43011.554826388892</v>
      </c>
      <c r="W24" s="45" t="str">
        <f t="shared" si="4"/>
        <v>EC</v>
      </c>
      <c r="X24" s="22">
        <f t="shared" si="5"/>
        <v>120</v>
      </c>
      <c r="Y24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{"issue":{"subject":"","project_id":79,"tracker_id":40,"status_id":1,"priority_id":2,"assigned_to_id":338,"start_date":"2017-10-03","description":"","custom_fields":[{"id":1,"name":"Subdivision","value":"EC"},{"id":4,"name":"Milepost","value":"10.91"},{"id":17,"name":"Train ID","value":"120-03"},{"id":16,"name":"Locomotive ID","value":"4031"},{"id":130,"name":"Impact","value":""},{"id":150,"name":"Time of Event (Mountain Time)","value":"07:18:57"},{"id":151,"name":"Denver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4"/>
      <c r="AA24" s="47"/>
      <c r="AB24" s="47"/>
      <c r="AC24" s="111" t="str">
        <f t="shared" si="7"/>
        <v>grep -hrE -A400 "Enforcement Action" /c/Users/stu/AppData/Local/Temp/OnboardLogs/RTDC4031 --include="*4031*201710031*"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"%USERPROFILE%\AppData\Local\Temp\OnboardLogs"\RTDC4031\*4031*201710031* &gt;&gt; 2017-10-03-SliceDisagreementCheck.txt</v>
      </c>
      <c r="AE24" s="141" t="str">
        <f t="shared" si="9"/>
        <v>start /low /b %USERPROFILE%\Documents\GitHub\eaglep3\Utilities\DownloadLogsFromS3.py --loco 4031 --day 2017-10-03</v>
      </c>
      <c r="AF24" s="1"/>
    </row>
    <row r="25" spans="1:32" x14ac:dyDescent="0.25">
      <c r="A25" s="31">
        <v>43011.440405092595</v>
      </c>
      <c r="B25" s="30" t="s">
        <v>486</v>
      </c>
      <c r="C25" s="30" t="s">
        <v>610</v>
      </c>
      <c r="D25" s="30" t="s">
        <v>49</v>
      </c>
      <c r="E25" s="30" t="s">
        <v>179</v>
      </c>
      <c r="F25" s="42">
        <v>0</v>
      </c>
      <c r="G25" s="42">
        <v>53</v>
      </c>
      <c r="H25" s="42">
        <v>172</v>
      </c>
      <c r="I25" s="42">
        <v>116</v>
      </c>
      <c r="J25" s="30" t="s">
        <v>180</v>
      </c>
      <c r="K25" s="42">
        <v>1</v>
      </c>
      <c r="L25" s="127" t="s">
        <v>51</v>
      </c>
      <c r="M25" s="128">
        <f t="shared" si="0"/>
        <v>60.72</v>
      </c>
      <c r="N25" s="129" t="str">
        <f>VLOOKUP(C25,'Trips&amp;Operators'!$C$1:$G$99911,5,FALSE)</f>
        <v>BONDS REYNALDO</v>
      </c>
      <c r="O25" s="171" t="s">
        <v>178</v>
      </c>
      <c r="P25" s="130"/>
      <c r="Q25" s="30"/>
      <c r="R25" s="77" t="str">
        <f>VLOOKUP(C25,'Train Runs'!$A$13:$AE$9999,31,0)</f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S25" s="80" t="str">
        <f>VLOOKUP(C25,'Train Runs'!$A$13:$AE$9999,22,0)</f>
        <v>https://d0f6bd738d7f1b3e5a7ca70fe4ff75f0.us-east-1.aws.found.io/app/kibana#/discover/Steve-Slow-Train-Analysis-(2080s-and-2083s)?_g=(refreshInterval:(display:Off,pause:!f,section:0,value:0),time:(from:'2017-10-03T08:51:41-0600',mode:absolute,to:'2017-10-03T11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2" t="str">
        <f t="shared" si="1"/>
        <v>"C:\Program Files (x86)\AstroGrep\AstroGrep.exe" /e /r /s /spath="%USERPROFILE%\AppData\Local\Temp\OnboardLogs" /stypes="*4041*201710031*"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43011.690405092595</v>
      </c>
      <c r="W25" s="45" t="str">
        <f t="shared" si="4"/>
        <v>EC</v>
      </c>
      <c r="X25" s="22">
        <f t="shared" si="5"/>
        <v>144</v>
      </c>
      <c r="Y25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{"issue":{"subject":"","project_id":79,"tracker_id":40,"status_id":1,"priority_id":2,"assigned_to_id":338,"start_date":"2017-10-03","description":"","custom_fields":[{"id":1,"name":"Subdivision","value":"EC"},{"id":4,"name":"Milepost","value":"0.0001"},{"id":17,"name":"Train ID","value":"144-03"},{"id":16,"name":"Locomotive ID","value":"4041"},{"id":130,"name":"Impact","value":""},{"id":150,"name":"Time of Event (Mountain Time)","value":"10:34:11"},{"id":151,"name":"Denver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4"/>
      <c r="AA25" s="47"/>
      <c r="AB25" s="47"/>
      <c r="AC25" s="111" t="str">
        <f t="shared" si="7"/>
        <v>grep -hrE -A400 "Enforcement Action" /c/Users/stu/AppData/Local/Temp/OnboardLogs/RTDC4041 --include="*4041*201710031*"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"%USERPROFILE%\AppData\Local\Temp\OnboardLogs"\RTDC4041\*4041*201710031* &gt;&gt; 2017-10-03-SliceDisagreementCheck.txt</v>
      </c>
      <c r="AE25" s="141" t="str">
        <f t="shared" si="9"/>
        <v>start /low /b %USERPROFILE%\Documents\GitHub\eaglep3\Utilities\DownloadLogsFromS3.py --loco 4041 --day 2017-10-03</v>
      </c>
      <c r="AF25" s="1"/>
    </row>
    <row r="26" spans="1:32" x14ac:dyDescent="0.25">
      <c r="A26" s="31">
        <v>43011.254907407405</v>
      </c>
      <c r="B26" s="30" t="s">
        <v>409</v>
      </c>
      <c r="C26" s="30" t="s">
        <v>596</v>
      </c>
      <c r="D26" s="30" t="s">
        <v>49</v>
      </c>
      <c r="E26" s="30" t="s">
        <v>179</v>
      </c>
      <c r="F26" s="42">
        <v>0</v>
      </c>
      <c r="G26" s="42">
        <v>36</v>
      </c>
      <c r="H26" s="42">
        <v>233264</v>
      </c>
      <c r="I26" s="42">
        <v>233321</v>
      </c>
      <c r="J26" s="30" t="s">
        <v>180</v>
      </c>
      <c r="K26" s="42">
        <v>233491</v>
      </c>
      <c r="L26" s="127" t="s">
        <v>50</v>
      </c>
      <c r="M26" s="128">
        <f t="shared" si="0"/>
        <v>89.76</v>
      </c>
      <c r="N26" s="129" t="str">
        <f>VLOOKUP(C26,'Trips&amp;Operators'!$C$1:$G$99911,5,FALSE)</f>
        <v>BONDS REYNALDO</v>
      </c>
      <c r="O26" s="171" t="s">
        <v>178</v>
      </c>
      <c r="P26" s="130"/>
      <c r="Q26" s="30"/>
      <c r="R26" s="77" t="str">
        <f>VLOOKUP(C26,'Train Runs'!$A$13:$AE$9999,31,0)</f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S26" s="80" t="str">
        <f>VLOOKUP(C26,'Train Runs'!$A$13:$AE$9999,22,0)</f>
        <v>https://d0f6bd738d7f1b3e5a7ca70fe4ff75f0.us-east-1.aws.found.io/app/kibana#/discover/Steve-Slow-Train-Analysis-(2080s-and-2083s)?_g=(refreshInterval:(display:Off,pause:!f,section:0,value:0),time:(from:'2017-10-03T04:26:02-0600',mode:absolute,to:'2017-10-03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2" t="str">
        <f t="shared" si="1"/>
        <v>"C:\Program Files (x86)\AstroGrep\AstroGrep.exe" /e /r /s /spath="%USERPROFILE%\AppData\Local\Temp\OnboardLogs" /stypes="*4042*201710031*"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43011.504907407405</v>
      </c>
      <c r="W26" s="45" t="str">
        <f t="shared" si="4"/>
        <v>EC</v>
      </c>
      <c r="X26" s="22">
        <f t="shared" si="5"/>
        <v>115</v>
      </c>
      <c r="Y26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ID","value":"115-03"},{"id":16,"name":"Locomotive ID","value":"4042"},{"id":130,"name":"Impact","value":""},{"id":150,"name":"Time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4"/>
      <c r="AA26" s="47"/>
      <c r="AB26" s="47"/>
      <c r="AC26" s="111" t="str">
        <f t="shared" si="7"/>
        <v>grep -hrE -A400 "Enforcement Action" /c/Users/stu/AppData/Local/Temp/OnboardLogs/RTDC4042 --include="*4042*201710031*"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"%USERPROFILE%\AppData\Local\Temp\OnboardLogs"\RTDC4042\*4042*201710031* &gt;&gt; 2017-10-03-SliceDisagreementCheck.txt</v>
      </c>
      <c r="AE26" s="141" t="str">
        <f t="shared" si="9"/>
        <v>start /low /b %USERPROFILE%\Documents\GitHub\eaglep3\Utilities\DownloadLogsFromS3.py --loco 4042 --day 2017-10-03</v>
      </c>
      <c r="AF26" s="1"/>
    </row>
    <row r="27" spans="1:32" x14ac:dyDescent="0.25">
      <c r="A27" s="31">
        <v>43011.274629629632</v>
      </c>
      <c r="B27" s="30" t="s">
        <v>597</v>
      </c>
      <c r="C27" s="30" t="s">
        <v>598</v>
      </c>
      <c r="D27" s="30" t="s">
        <v>49</v>
      </c>
      <c r="E27" s="30" t="s">
        <v>179</v>
      </c>
      <c r="F27" s="42">
        <v>0</v>
      </c>
      <c r="G27" s="42">
        <v>139</v>
      </c>
      <c r="H27" s="42">
        <v>232892</v>
      </c>
      <c r="I27" s="42">
        <v>233087</v>
      </c>
      <c r="J27" s="30" t="s">
        <v>180</v>
      </c>
      <c r="K27" s="42">
        <v>233491</v>
      </c>
      <c r="L27" s="127" t="s">
        <v>50</v>
      </c>
      <c r="M27" s="128">
        <f t="shared" si="0"/>
        <v>213.31200000000001</v>
      </c>
      <c r="N27" s="129" t="str">
        <f>VLOOKUP(C27,'Trips&amp;Operators'!$C$1:$G$99911,5,FALSE)</f>
        <v>BIRENBAUM THOMAS</v>
      </c>
      <c r="O27" s="171" t="s">
        <v>178</v>
      </c>
      <c r="P27" s="130"/>
      <c r="Q27" s="30"/>
      <c r="R27" s="77" t="str">
        <f>VLOOKUP(C27,'Train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27" s="80" t="str">
        <f>VLOOKUP(C27,'Train Runs'!$A$13:$AE$9999,22,0)</f>
        <v>https://d0f6bd738d7f1b3e5a7ca70fe4ff75f0.us-east-1.aws.found.io/app/kibana#/discover/Steve-Slow-Train-Analysis-(2080s-and-2083s)?_g=(refreshInterval:(display:Off,pause:!f,section:0,value:0),time:(from:'2017-10-03T04:55:04-0600',mode:absolute,to:'2017-10-03T07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82" t="str">
        <f t="shared" si="1"/>
        <v>"C:\Program Files (x86)\AstroGrep\AstroGrep.exe" /e /r /s /spath="%USERPROFILE%\AppData\Local\Temp\OnboardLogs" /stypes="*4032*201710031*"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4032</v>
      </c>
      <c r="V27" s="31">
        <f t="shared" si="3"/>
        <v>43011.524629629632</v>
      </c>
      <c r="W27" s="45" t="str">
        <f t="shared" si="4"/>
        <v>EC</v>
      </c>
      <c r="X27" s="22">
        <f t="shared" si="5"/>
        <v>119</v>
      </c>
      <c r="Y27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ID","value":"119-03"},{"id":16,"name":"Locomotive ID","value":"4032"},{"id":130,"name":"Impact","value":""},{"id":150,"name":"Time of Event (Mountain Time)","value":"06:35:28"},{"id":151,"name":"Denver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4"/>
      <c r="AA27" s="47"/>
      <c r="AB27" s="47"/>
      <c r="AC27" s="111" t="str">
        <f t="shared" si="7"/>
        <v>grep -hrE -A400 "Enforcement Action" /c/Users/stu/AppData/Local/Temp/OnboardLogs/RTDC4032 --include="*4032*201710031*"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"%USERPROFILE%\AppData\Local\Temp\OnboardLogs"\RTDC4032\*4032*201710031* &gt;&gt; 2017-10-03-SliceDisagreementCheck.txt</v>
      </c>
      <c r="AE27" s="141" t="str">
        <f t="shared" si="9"/>
        <v>start /low /b %USERPROFILE%\Documents\GitHub\eaglep3\Utilities\DownloadLogsFromS3.py --loco 4032 --day 2017-10-03</v>
      </c>
      <c r="AF27" s="1"/>
    </row>
    <row r="28" spans="1:32" x14ac:dyDescent="0.25">
      <c r="A28" s="31">
        <v>43011.353067129632</v>
      </c>
      <c r="B28" s="30" t="s">
        <v>597</v>
      </c>
      <c r="C28" s="30" t="s">
        <v>606</v>
      </c>
      <c r="D28" s="30" t="s">
        <v>49</v>
      </c>
      <c r="E28" s="30" t="s">
        <v>179</v>
      </c>
      <c r="F28" s="42">
        <v>0</v>
      </c>
      <c r="G28" s="42">
        <v>47</v>
      </c>
      <c r="H28" s="42">
        <v>233312</v>
      </c>
      <c r="I28" s="42">
        <v>233343</v>
      </c>
      <c r="J28" s="30" t="s">
        <v>180</v>
      </c>
      <c r="K28" s="42">
        <v>233491</v>
      </c>
      <c r="L28" s="127" t="s">
        <v>50</v>
      </c>
      <c r="M28" s="128">
        <f t="shared" si="0"/>
        <v>78.144000000000005</v>
      </c>
      <c r="N28" s="129" t="str">
        <f>VLOOKUP(C28,'Trips&amp;Operators'!$C$1:$G$99911,5,FALSE)</f>
        <v>THOMPSON LESTER</v>
      </c>
      <c r="O28" s="171" t="s">
        <v>178</v>
      </c>
      <c r="P28" s="130"/>
      <c r="Q28" s="30"/>
      <c r="R28" s="77" t="str">
        <f>VLOOKUP(C28,'Train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28" s="80" t="str">
        <f>VLOOKUP(C28,'Train Runs'!$A$13:$AE$9999,22,0)</f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82" t="str">
        <f t="shared" si="1"/>
        <v>"C:\Program Files (x86)\AstroGrep\AstroGrep.exe" /e /r /s /spath="%USERPROFILE%\AppData\Local\Temp\OnboardLogs" /stypes="*4032*201710031*"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4032</v>
      </c>
      <c r="V28" s="31">
        <f t="shared" si="3"/>
        <v>43011.603067129632</v>
      </c>
      <c r="W28" s="45" t="str">
        <f t="shared" si="4"/>
        <v>EC</v>
      </c>
      <c r="X28" s="22">
        <f t="shared" si="5"/>
        <v>133</v>
      </c>
      <c r="Y28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ID","value":"133-03"},{"id":16,"name":"Locomotive ID","value":"4032"},{"id":130,"name":"Impact","value":""},{"id":150,"name":"Time of Event (Mountain Time)","value":"08:28:25"},{"id":151,"name":"Denver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4"/>
      <c r="AA28" s="47"/>
      <c r="AB28" s="47"/>
      <c r="AC28" s="111" t="str">
        <f t="shared" si="7"/>
        <v>grep -hrE -A400 "Enforcement Action" /c/Users/stu/AppData/Local/Temp/OnboardLogs/RTDC4032 --include="*4032*201710031*"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"%USERPROFILE%\AppData\Local\Temp\OnboardLogs"\RTDC4032\*4032*201710031* &gt;&gt; 2017-10-03-SliceDisagreementCheck.txt</v>
      </c>
      <c r="AE28" s="141" t="str">
        <f t="shared" si="9"/>
        <v>start /low /b %USERPROFILE%\Documents\GitHub\eaglep3\Utilities\DownloadLogsFromS3.py --loco 4032 --day 2017-10-03</v>
      </c>
      <c r="AF28" s="1"/>
    </row>
    <row r="29" spans="1:32" x14ac:dyDescent="0.25">
      <c r="A29" s="31">
        <v>43011.384525462963</v>
      </c>
      <c r="B29" s="30" t="s">
        <v>463</v>
      </c>
      <c r="C29" s="30" t="s">
        <v>607</v>
      </c>
      <c r="D29" s="30" t="s">
        <v>49</v>
      </c>
      <c r="E29" s="30" t="s">
        <v>179</v>
      </c>
      <c r="F29" s="42">
        <v>0</v>
      </c>
      <c r="G29" s="42">
        <v>47</v>
      </c>
      <c r="H29" s="42">
        <v>233310</v>
      </c>
      <c r="I29" s="42">
        <v>233351</v>
      </c>
      <c r="J29" s="30" t="s">
        <v>180</v>
      </c>
      <c r="K29" s="42">
        <v>233491</v>
      </c>
      <c r="L29" s="127" t="s">
        <v>50</v>
      </c>
      <c r="M29" s="128">
        <f t="shared" si="0"/>
        <v>73.92</v>
      </c>
      <c r="N29" s="129" t="str">
        <f>VLOOKUP(C29,'Trips&amp;Operators'!$C$1:$G$99911,5,FALSE)</f>
        <v>SPECTOR MICHAEL</v>
      </c>
      <c r="O29" s="171" t="s">
        <v>178</v>
      </c>
      <c r="P29" s="130"/>
      <c r="Q29" s="30"/>
      <c r="R29" s="77" t="str">
        <f>VLOOKUP(C29,'Train Runs'!$A$13:$AE$9999,31,0)</f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S29" s="80" t="str">
        <f>VLOOKUP(C29,'Train Runs'!$A$13:$AE$9999,22,0)</f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9" s="82" t="str">
        <f t="shared" si="1"/>
        <v>"C:\Program Files (x86)\AstroGrep\AstroGrep.exe" /e /r /s /spath="%USERPROFILE%\AppData\Local\Temp\OnboardLogs" /stypes="*4062*201710031*"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4062</v>
      </c>
      <c r="V29" s="31">
        <f t="shared" si="3"/>
        <v>43011.634525462963</v>
      </c>
      <c r="W29" s="45" t="str">
        <f t="shared" si="4"/>
        <v>EC</v>
      </c>
      <c r="X29" s="22">
        <f t="shared" si="5"/>
        <v>139</v>
      </c>
      <c r="Y29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ID","value":"139-03"},{"id":16,"name":"Locomotive ID","value":"4062"},{"id":130,"name":"Impact","value":""},{"id":150,"name":"Time of Event (Mountain Time)","value":"09:13:43"},{"id":151,"name":"Denver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4"/>
      <c r="AA29" s="47"/>
      <c r="AB29" s="47"/>
      <c r="AC29" s="111" t="str">
        <f t="shared" si="7"/>
        <v>grep -hrE -A400 "Enforcement Action" /c/Users/stu/AppData/Local/Temp/OnboardLogs/RTDC4062 --include="*4062*201710031*"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"%USERPROFILE%\AppData\Local\Temp\OnboardLogs"\RTDC4062\*4062*201710031* &gt;&gt; 2017-10-03-SliceDisagreementCheck.txt</v>
      </c>
      <c r="AE29" s="141" t="str">
        <f t="shared" si="9"/>
        <v>start /low /b %USERPROFILE%\Documents\GitHub\eaglep3\Utilities\DownloadLogsFromS3.py --loco 4062 --day 2017-10-03</v>
      </c>
      <c r="AF29" s="1"/>
    </row>
    <row r="30" spans="1:32" x14ac:dyDescent="0.25">
      <c r="A30" s="31">
        <v>43011.692962962959</v>
      </c>
      <c r="B30" s="30" t="s">
        <v>409</v>
      </c>
      <c r="C30" s="30" t="s">
        <v>618</v>
      </c>
      <c r="D30" s="30" t="s">
        <v>49</v>
      </c>
      <c r="E30" s="30" t="s">
        <v>179</v>
      </c>
      <c r="F30" s="42">
        <v>0</v>
      </c>
      <c r="G30" s="42">
        <v>48</v>
      </c>
      <c r="H30" s="42">
        <v>233314</v>
      </c>
      <c r="I30" s="42">
        <v>233346</v>
      </c>
      <c r="J30" s="30" t="s">
        <v>180</v>
      </c>
      <c r="K30" s="42">
        <v>233491</v>
      </c>
      <c r="L30" s="127" t="s">
        <v>50</v>
      </c>
      <c r="M30" s="128">
        <f t="shared" si="0"/>
        <v>76.56</v>
      </c>
      <c r="N30" s="129" t="str">
        <f>VLOOKUP(C30,'Trips&amp;Operators'!$C$1:$G$99911,5,FALSE)</f>
        <v>DAVIS MICHAEL</v>
      </c>
      <c r="O30" s="171" t="s">
        <v>178</v>
      </c>
      <c r="P30" s="130"/>
      <c r="Q30" s="30"/>
      <c r="R30" s="77" t="str">
        <f>VLOOKUP(C30,'Train Runs'!$A$13:$AE$9999,31,0)</f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S30" s="80" t="str">
        <f>VLOOKUP(C30,'Train Runs'!$A$13:$AE$9999,22,0)</f>
        <v>https://d0f6bd738d7f1b3e5a7ca70fe4ff75f0.us-east-1.aws.found.io/app/kibana#/discover/Steve-Slow-Train-Analysis-(2080s-and-2083s)?_g=(refreshInterval:(display:Off,pause:!f,section:0,value:0),time:(from:'2017-10-03T14:56:01-0600',mode:absolute,to:'2017-10-03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2" t="str">
        <f t="shared" si="1"/>
        <v>"C:\Program Files (x86)\AstroGrep\AstroGrep.exe" /e /r /s /spath="%USERPROFILE%\AppData\Local\Temp\OnboardLogs" /stypes="*4042*201710032*"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4042</v>
      </c>
      <c r="V30" s="31">
        <f t="shared" si="3"/>
        <v>43011.942962962959</v>
      </c>
      <c r="W30" s="45" t="str">
        <f t="shared" si="4"/>
        <v>EC</v>
      </c>
      <c r="X30" s="22">
        <f t="shared" si="5"/>
        <v>199</v>
      </c>
      <c r="Y30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ID","value":"199-03"},{"id":16,"name":"Locomotive ID","value":"4042"},{"id":130,"name":"Impact","value":""},{"id":150,"name":"Time of Event (Mountain Time)","value":"16:37:52"},{"id":151,"name":"Denver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4"/>
      <c r="AA30" s="47"/>
      <c r="AB30" s="47"/>
      <c r="AC30" s="111" t="str">
        <f t="shared" si="7"/>
        <v>grep -hrE -A400 "Enforcement Action" /c/Users/stu/AppData/Local/Temp/OnboardLogs/RTDC4042 --include="*4042*201710032*"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"%USERPROFILE%\AppData\Local\Temp\OnboardLogs"\RTDC4042\*4042*201710032* &gt;&gt; 2017-10-03-SliceDisagreementCheck.txt</v>
      </c>
      <c r="AE30" s="141" t="str">
        <f t="shared" si="9"/>
        <v>start /low /b %USERPROFILE%\Documents\GitHub\eaglep3\Utilities\DownloadLogsFromS3.py --loco 4042 --day 2017-10-03</v>
      </c>
      <c r="AF30" s="1"/>
    </row>
    <row r="31" spans="1:32" x14ac:dyDescent="0.25">
      <c r="A31" s="31">
        <v>43011.718043981484</v>
      </c>
      <c r="B31" s="30" t="s">
        <v>392</v>
      </c>
      <c r="C31" s="30" t="s">
        <v>619</v>
      </c>
      <c r="D31" s="30" t="s">
        <v>95</v>
      </c>
      <c r="E31" s="30" t="s">
        <v>192</v>
      </c>
      <c r="F31" s="42">
        <v>150</v>
      </c>
      <c r="G31" s="42">
        <v>201</v>
      </c>
      <c r="H31" s="42">
        <v>56986</v>
      </c>
      <c r="I31" s="42">
        <v>56659</v>
      </c>
      <c r="J31" s="30" t="s">
        <v>193</v>
      </c>
      <c r="K31" s="42">
        <v>59050</v>
      </c>
      <c r="L31" s="127" t="s">
        <v>51</v>
      </c>
      <c r="M31" s="128">
        <f t="shared" si="0"/>
        <v>-1262.4480000000001</v>
      </c>
      <c r="N31" s="129" t="str">
        <f>VLOOKUP(C31,'Trips&amp;Operators'!$C$1:$G$99911,5,FALSE)</f>
        <v>STAMBAUGH JAMES</v>
      </c>
      <c r="O31" s="171" t="s">
        <v>178</v>
      </c>
      <c r="P31" s="130"/>
      <c r="Q31" s="30"/>
      <c r="R31" s="77" t="str">
        <f>VLOOKUP(C31,'Train Runs'!$A$13:$AE$9999,31,0)</f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S31" s="80" t="str">
        <f>VLOOKUP(C31,'Train Runs'!$A$13:$AE$9999,22,0)</f>
        <v>https://d0f6bd738d7f1b3e5a7ca70fe4ff75f0.us-east-1.aws.found.io/app/kibana#/discover/Steve-Slow-Train-Analysis-(2080s-and-2083s)?_g=(refreshInterval:(display:Off,pause:!f,section:0,value:0),time:(from:'2017-10-03T15:54:39-0600',mode:absolute,to:'2017-10-03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2" t="str">
        <f t="shared" si="1"/>
        <v>"C:\Program Files (x86)\AstroGrep\AstroGrep.exe" /e /r /s /spath="%USERPROFILE%\AppData\Local\Temp\OnboardLogs" /stypes="*4043*201710032*"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43011.968043981484</v>
      </c>
      <c r="W31" s="45" t="str">
        <f t="shared" si="4"/>
        <v>NW</v>
      </c>
      <c r="X31" s="22">
        <f t="shared" si="5"/>
        <v>832</v>
      </c>
      <c r="Y31" s="92" t="str">
        <f t="shared" si="6"/>
        <v>echo {"issue":{"subject":"","project_id":79,"tracker_id":40,"status_id":1,"priority_id":2,"assigned_to_id":338,"start_date":"2017-10-03","description":"","custom_fields":[{"id":1,"name":"Subdivision","value":"NW"},{"id":4,"name":"Milepost","value":"5.905"},{"id":17,"name":"Train ID","value":"832-03"},{"id":16,"name":"Locomotive ID","value":"4043"},{"id":130,"name":"Impact","value":""},{"id":150,"name":"Time of Event (Mountain Time)","value":"17:13:59"},{"id":151,"name":"Denver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4"/>
      <c r="AA31" s="47"/>
      <c r="AB31" s="47"/>
      <c r="AC31" s="111" t="str">
        <f t="shared" si="7"/>
        <v>grep -hrE -A400 "Enforcement Action" /c/Users/stu/AppData/Local/Temp/OnboardLogs/RTDC4043 --include="*4043*201710032*"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"%USERPROFILE%\AppData\Local\Temp\OnboardLogs"\RTDC4043\*4043*201710032* &gt;&gt; 2017-10-03-SliceDisagreementCheck.txt</v>
      </c>
      <c r="AE31" s="141" t="str">
        <f t="shared" si="9"/>
        <v>start /low /b %USERPROFILE%\Documents\GitHub\eaglep3\Utilities\DownloadLogsFromS3.py --loco 4043 --day 2017-10-03</v>
      </c>
      <c r="AF31" s="1"/>
    </row>
    <row r="32" spans="1:32" x14ac:dyDescent="0.25">
      <c r="A32" s="31">
        <v>43011.286851851852</v>
      </c>
      <c r="B32" s="30" t="s">
        <v>599</v>
      </c>
      <c r="C32" s="30" t="s">
        <v>600</v>
      </c>
      <c r="D32" s="30" t="s">
        <v>49</v>
      </c>
      <c r="E32" s="30" t="s">
        <v>357</v>
      </c>
      <c r="F32" s="42">
        <v>0</v>
      </c>
      <c r="G32" s="42">
        <v>92</v>
      </c>
      <c r="H32" s="42">
        <v>4826</v>
      </c>
      <c r="I32" s="42">
        <v>4705</v>
      </c>
      <c r="J32" s="30" t="s">
        <v>358</v>
      </c>
      <c r="K32" s="42">
        <v>4798</v>
      </c>
      <c r="L32" s="127" t="s">
        <v>51</v>
      </c>
      <c r="M32" s="128">
        <f t="shared" si="0"/>
        <v>-49.103999999999999</v>
      </c>
      <c r="N32" s="129" t="str">
        <f>VLOOKUP(C32,'Trips&amp;Operators'!$C$1:$G$99911,5,FALSE)</f>
        <v>FORTUNATO FRANK</v>
      </c>
      <c r="O32" s="171" t="s">
        <v>396</v>
      </c>
      <c r="P32" s="130" t="s">
        <v>1018</v>
      </c>
      <c r="Q32" s="30"/>
      <c r="R32" s="77" t="str">
        <f>VLOOKUP(C32,'Train Runs'!$A$13:$AE$9999,31,0)</f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S32" s="80" t="str">
        <f>VLOOKUP(C32,'Train Runs'!$A$13:$AE$9999,22,0)</f>
        <v>https://d0f6bd738d7f1b3e5a7ca70fe4ff75f0.us-east-1.aws.found.io/app/kibana#/discover/Steve-Slow-Train-Analysis-(2080s-and-2083s)?_g=(refreshInterval:(display:Off,pause:!f,section:0,value:0),time:(from:'2017-10-03T05:31:31-0600',mode:absolute,to:'2017-10-03T07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82" t="str">
        <f t="shared" si="1"/>
        <v>"C:\Program Files (x86)\AstroGrep\AstroGrep.exe" /e /r /s /spath="%USERPROFILE%\AppData\Local\Temp\OnboardLogs" /stypes="*4007*201710031*"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4007</v>
      </c>
      <c r="V32" s="31">
        <f t="shared" si="3"/>
        <v>43011.536851851852</v>
      </c>
      <c r="W32" s="45" t="str">
        <f t="shared" si="4"/>
        <v>NW</v>
      </c>
      <c r="X32" s="22">
        <f t="shared" si="5"/>
        <v>804</v>
      </c>
      <c r="Y32" s="92" t="str">
        <f t="shared" si="6"/>
        <v>echo {"issue":{"subject":"Poor GPS under Wewatta St. overpass","project_id":79,"tracker_id":40,"status_id":1,"priority_id":2,"assigned_to_id":338,"start_date":"2017-10-03","description":"","custom_fields":[{"id":1,"name":"Subdivision","value":"NW"},{"id":4,"name":"Milepost","value":"0.4798"},{"id":17,"name":"Train ID","value":"804-03"},{"id":16,"name":"Locomotive ID","value":"4007"},{"id":130,"name":"Impact","value":""},{"id":150,"name":"Time of Event (Mountain Time)","value":"06:53:04"},{"id":151,"name":"Denver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4"/>
      <c r="AA32" s="47"/>
      <c r="AB32" s="47"/>
      <c r="AC32" s="111" t="str">
        <f t="shared" si="7"/>
        <v>grep -hrE -A400 "Enforcement Action" /c/Users/stu/AppData/Local/Temp/OnboardLogs/RTDC4007 --include="*4007*201710031*"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"%USERPROFILE%\AppData\Local\Temp\OnboardLogs"\RTDC4007\*4007*201710031* &gt;&gt; 2017-10-03-SliceDisagreementCheck.txt</v>
      </c>
      <c r="AE32" s="141" t="str">
        <f t="shared" si="9"/>
        <v>start /low /b %USERPROFILE%\Documents\GitHub\eaglep3\Utilities\DownloadLogsFromS3.py --loco 4007 --day 2017-10-03</v>
      </c>
      <c r="AF32" s="1"/>
    </row>
    <row r="33" spans="1:32" x14ac:dyDescent="0.25">
      <c r="A33" s="31">
        <v>43011.663124999999</v>
      </c>
      <c r="B33" s="30" t="s">
        <v>599</v>
      </c>
      <c r="C33" s="30" t="s">
        <v>617</v>
      </c>
      <c r="D33" s="30" t="s">
        <v>49</v>
      </c>
      <c r="E33" s="30" t="s">
        <v>357</v>
      </c>
      <c r="F33" s="42">
        <v>0</v>
      </c>
      <c r="G33" s="42">
        <v>102</v>
      </c>
      <c r="H33" s="42">
        <v>4900</v>
      </c>
      <c r="I33" s="42">
        <v>4748</v>
      </c>
      <c r="J33" s="30" t="s">
        <v>358</v>
      </c>
      <c r="K33" s="42">
        <v>4798</v>
      </c>
      <c r="L33" s="127" t="s">
        <v>51</v>
      </c>
      <c r="M33" s="128">
        <f t="shared" si="0"/>
        <v>-26.4</v>
      </c>
      <c r="N33" s="129" t="str">
        <f>VLOOKUP(C33,'Trips&amp;Operators'!$C$1:$G$99911,5,FALSE)</f>
        <v>GUZMAN DANNY</v>
      </c>
      <c r="O33" s="171" t="s">
        <v>396</v>
      </c>
      <c r="P33" s="130" t="s">
        <v>1018</v>
      </c>
      <c r="Q33" s="30"/>
      <c r="R33" s="77" t="str">
        <f>VLOOKUP(C33,'Train Runs'!$A$13:$AE$9999,31,0)</f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S33" s="80" t="str">
        <f>VLOOKUP(C33,'Train Runs'!$A$13:$AE$9999,22,0)</f>
        <v>https://d0f6bd738d7f1b3e5a7ca70fe4ff75f0.us-east-1.aws.found.io/app/kibana#/discover/Steve-Slow-Train-Analysis-(2080s-and-2083s)?_g=(refreshInterval:(display:Off,pause:!f,section:0,value:0),time:(from:'2017-10-03T14:24:26-0600',mode:absolute,to:'2017-10-03T16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3" s="82" t="str">
        <f t="shared" si="1"/>
        <v>"C:\Program Files (x86)\AstroGrep\AstroGrep.exe" /e /r /s /spath="%USERPROFILE%\AppData\Local\Temp\OnboardLogs" /stypes="*4007*201710032*"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4007</v>
      </c>
      <c r="V33" s="31">
        <f t="shared" si="3"/>
        <v>43011.913124999999</v>
      </c>
      <c r="W33" s="45" t="str">
        <f t="shared" si="4"/>
        <v>NW</v>
      </c>
      <c r="X33" s="22">
        <f t="shared" si="5"/>
        <v>826</v>
      </c>
      <c r="Y33" s="92" t="str">
        <f t="shared" si="6"/>
        <v>echo {"issue":{"subject":"Poor GPS under Wewatta St. overpass","project_id":79,"tracker_id":40,"status_id":1,"priority_id":2,"assigned_to_id":338,"start_date":"2017-10-03","description":"","custom_fields":[{"id":1,"name":"Subdivision","value":"NW"},{"id":4,"name":"Milepost","value":"0.4798"},{"id":17,"name":"Train ID","value":"826-03"},{"id":16,"name":"Locomotive ID","value":"4007"},{"id":130,"name":"Impact","value":""},{"id":150,"name":"Time of Event (Mountain Time)","value":"15:54:54"},{"id":151,"name":"Denver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4"/>
      <c r="AA33" s="47"/>
      <c r="AB33" s="47"/>
      <c r="AC33" s="111" t="str">
        <f t="shared" si="7"/>
        <v>grep -hrE -A400 "Enforcement Action" /c/Users/stu/AppData/Local/Temp/OnboardLogs/RTDC4007 --include="*4007*201710032*"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"%USERPROFILE%\AppData\Local\Temp\OnboardLogs"\RTDC4007\*4007*201710032* &gt;&gt; 2017-10-03-SliceDisagreementCheck.txt</v>
      </c>
      <c r="AE33" s="141" t="str">
        <f t="shared" si="9"/>
        <v>start /low /b %USERPROFILE%\Documents\GitHub\eaglep3\Utilities\DownloadLogsFromS3.py --loco 4007 --day 2017-10-03</v>
      </c>
      <c r="AF33" s="1"/>
    </row>
    <row r="34" spans="1:32" x14ac:dyDescent="0.25">
      <c r="A34" s="31">
        <v>43011.954062500001</v>
      </c>
      <c r="B34" s="30" t="s">
        <v>410</v>
      </c>
      <c r="C34" s="30" t="s">
        <v>622</v>
      </c>
      <c r="D34" s="30" t="s">
        <v>49</v>
      </c>
      <c r="E34" s="30" t="s">
        <v>179</v>
      </c>
      <c r="F34" s="42">
        <v>0</v>
      </c>
      <c r="G34" s="42">
        <v>119</v>
      </c>
      <c r="H34" s="42">
        <v>1462</v>
      </c>
      <c r="I34" s="42">
        <v>1322</v>
      </c>
      <c r="J34" s="30" t="s">
        <v>180</v>
      </c>
      <c r="K34" s="42">
        <v>839</v>
      </c>
      <c r="L34" s="127" t="s">
        <v>51</v>
      </c>
      <c r="M34" s="128">
        <f t="shared" si="0"/>
        <v>255.024</v>
      </c>
      <c r="N34" s="129" t="str">
        <f>VLOOKUP(C34,'Trips&amp;Operators'!$C$1:$G$99911,5,FALSE)</f>
        <v>STAMBAUGH JAMES</v>
      </c>
      <c r="O34" s="171" t="s">
        <v>178</v>
      </c>
      <c r="P34" s="130"/>
      <c r="Q34" s="30"/>
      <c r="R34" s="77" t="str">
        <f>VLOOKUP(C34,'Train Runs'!$A$13:$AE$9999,31,0)</f>
        <v>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 &amp; aws s3 cp s3://rtdc.mdm.uploadarchive.raw/RTDC4001/ "%USERPROFILE%\AppData\Local\Temp\OnboardLogs"\RTDC4001\2017-10-04 --exclude "*" --recursive --include "*20171004*" &amp; "%USERPROFILE%\Documents\GitHub\mrs-test-scripts\Headless Mode &amp; Sideloading\WalkAndUnGZ.bat" "%USERPROFILE%\AppData\Local\Temp\OnboardLogs"\RTDC4001\2017-10-04</v>
      </c>
      <c r="S34" s="80" t="str">
        <f>VLOOKUP(C34,'Train Runs'!$A$13:$AE$9999,22,0)</f>
        <v>https://d0f6bd738d7f1b3e5a7ca70fe4ff75f0.us-east-1.aws.found.io/app/kibana#/discover/Steve-Slow-Train-Analysis-(2080s-and-2083s)?_g=(refreshInterval:(display:Off,pause:!f,section:0,value:0),time:(from:'2017-10-03T21:23:59-0600',mode:absolute,to:'2017-10-03T23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4" s="82" t="str">
        <f t="shared" si="1"/>
        <v>"C:\Program Files (x86)\AstroGrep\AstroGrep.exe" /e /r /s /spath="%USERPROFILE%\AppData\Local\Temp\OnboardLogs" /stypes="*4001*201710040*" /stext=" 04:.+((SYSTEM_STATE.+slice.+state.+changed )|(ment ac)|(multiple cpu faults)|(system.+state.+changed )|(\[timeout)|(PRM\|1\|D)|(kpr)|(kdp)|(train st.+moving)|(\|lc)|(penalty))"</v>
      </c>
      <c r="U34" s="9" t="str">
        <f t="shared" si="2"/>
        <v>4001</v>
      </c>
      <c r="V34" s="31">
        <f t="shared" si="3"/>
        <v>43012.204062500001</v>
      </c>
      <c r="W34" s="45" t="str">
        <f t="shared" si="4"/>
        <v>NW</v>
      </c>
      <c r="X34" s="22">
        <f t="shared" si="5"/>
        <v>846</v>
      </c>
      <c r="Y34" s="92" t="str">
        <f t="shared" si="6"/>
        <v>echo {"issue":{"subject":"","project_id":79,"tracker_id":40,"status_id":1,"priority_id":2,"assigned_to_id":338,"start_date":"2017-10-03","description":"","custom_fields":[{"id":1,"name":"Subdivision","value":"NW"},{"id":4,"name":"Milepost","value":"0.0839"},{"id":17,"name":"Train ID","value":"846-03"},{"id":16,"name":"Locomotive ID","value":"4001"},{"id":130,"name":"Impact","value":""},{"id":150,"name":"Time of Event (Mountain Time)","value":"22:53:51"},{"id":151,"name":"Denver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4"/>
      <c r="AA34" s="47"/>
      <c r="AB34" s="47"/>
      <c r="AC34" s="111" t="str">
        <f t="shared" si="7"/>
        <v>grep -hrE -A400 "Enforcement Action" /c/Users/stu/AppData/Local/Temp/OnboardLogs/RTDC4001 --include="*4001*201710040*"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"%USERPROFILE%\AppData\Local\Temp\OnboardLogs"\RTDC4001\*4001*201710040* &gt;&gt; 2017-10-03-SliceDisagreementCheck.txt</v>
      </c>
      <c r="AE34" s="141" t="str">
        <f t="shared" si="9"/>
        <v>start /low /b %USERPROFILE%\Documents\GitHub\eaglep3\Utilities\DownloadLogsFromS3.py --loco 4001 --day 2017-10-04</v>
      </c>
      <c r="AF34" s="1"/>
    </row>
    <row r="35" spans="1:32" x14ac:dyDescent="0.25">
      <c r="A35" s="31">
        <v>43011.745810185188</v>
      </c>
      <c r="B35" s="30" t="s">
        <v>407</v>
      </c>
      <c r="C35" s="30" t="s">
        <v>620</v>
      </c>
      <c r="D35" s="30" t="s">
        <v>49</v>
      </c>
      <c r="E35" s="30" t="s">
        <v>179</v>
      </c>
      <c r="F35" s="42">
        <v>0</v>
      </c>
      <c r="G35" s="42">
        <v>55</v>
      </c>
      <c r="H35" s="42">
        <v>58911</v>
      </c>
      <c r="I35" s="42">
        <v>58950</v>
      </c>
      <c r="J35" s="30" t="s">
        <v>180</v>
      </c>
      <c r="K35" s="42">
        <v>59048</v>
      </c>
      <c r="L35" s="127" t="s">
        <v>50</v>
      </c>
      <c r="M35" s="128">
        <f t="shared" si="0"/>
        <v>51.744</v>
      </c>
      <c r="N35" s="129" t="str">
        <f>VLOOKUP(C35,'Trips&amp;Operators'!$C$1:$G$99911,5,FALSE)</f>
        <v>STAMBAUGH JAMES</v>
      </c>
      <c r="O35" s="171" t="s">
        <v>178</v>
      </c>
      <c r="P35" s="130"/>
      <c r="Q35" s="30"/>
      <c r="R35" s="77" t="str">
        <f>VLOOKUP(C35,'Train Runs'!$A$13:$AE$9999,31,0)</f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S35" s="80" t="str">
        <f>VLOOKUP(C35,'Train Runs'!$A$13:$AE$9999,22,0)</f>
        <v>https://d0f6bd738d7f1b3e5a7ca70fe4ff75f0.us-east-1.aws.found.io/app/kibana#/discover/Steve-Slow-Train-Analysis-(2080s-and-2083s)?_g=(refreshInterval:(display:Off,pause:!f,section:0,value:0),time:(from:'2017-10-03T16:35:16-0600',mode:absolute,to:'2017-10-03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2" t="str">
        <f t="shared" si="1"/>
        <v>"C:\Program Files (x86)\AstroGrep\AstroGrep.exe" /e /r /s /spath="%USERPROFILE%\AppData\Local\Temp\OnboardLogs" /stypes="*4044*201710032*"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43011.995810185188</v>
      </c>
      <c r="W35" s="45" t="str">
        <f t="shared" si="4"/>
        <v>NW</v>
      </c>
      <c r="X35" s="22">
        <f t="shared" si="5"/>
        <v>835</v>
      </c>
      <c r="Y35" s="92" t="str">
        <f t="shared" si="6"/>
        <v>echo {"issue":{"subject":"","project_id":79,"tracker_id":40,"status_id":1,"priority_id":2,"assigned_to_id":338,"start_date":"2017-10-03","description":"","custom_fields":[{"id":1,"name":"Subdivision","value":"NW"},{"id":4,"name":"Milepost","value":"5.9048"},{"id":17,"name":"Train ID","value":"835-03"},{"id":16,"name":"Locomotive ID","value":"4044"},{"id":130,"name":"Impact","value":""},{"id":150,"name":"Time of Event (Mountain Time)","value":"17:53:58"},{"id":151,"name":"Denver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4"/>
      <c r="AA35" s="47"/>
      <c r="AB35" s="47"/>
      <c r="AC35" s="111" t="str">
        <f t="shared" si="7"/>
        <v>grep -hrE -A400 "Enforcement Action" /c/Users/stu/AppData/Local/Temp/OnboardLogs/RTDC4044 --include="*4044*201710032*"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"%USERPROFILE%\AppData\Local\Temp\OnboardLogs"\RTDC4044\*4044*201710032* &gt;&gt; 2017-10-03-SliceDisagreementCheck.txt</v>
      </c>
      <c r="AE35" s="141" t="str">
        <f t="shared" si="9"/>
        <v>start /low /b %USERPROFILE%\Documents\GitHub\eaglep3\Utilities\DownloadLogsFromS3.py --loco 4044 --day 2017-10-03</v>
      </c>
      <c r="AF35" s="1"/>
    </row>
    <row r="36" spans="1:32" x14ac:dyDescent="0.25">
      <c r="A36" s="31">
        <v>43011.534583333334</v>
      </c>
      <c r="B36" s="30" t="s">
        <v>524</v>
      </c>
      <c r="C36" s="30" t="s">
        <v>613</v>
      </c>
      <c r="D36" s="30" t="s">
        <v>95</v>
      </c>
      <c r="E36" s="30" t="s">
        <v>357</v>
      </c>
      <c r="F36" s="42">
        <v>0</v>
      </c>
      <c r="G36" s="42">
        <v>107</v>
      </c>
      <c r="H36" s="42">
        <v>1990</v>
      </c>
      <c r="I36" s="42">
        <v>2138</v>
      </c>
      <c r="J36" s="30" t="s">
        <v>358</v>
      </c>
      <c r="K36" s="42">
        <v>1725</v>
      </c>
      <c r="L36" s="127" t="s">
        <v>50</v>
      </c>
      <c r="M36" s="128">
        <f t="shared" si="0"/>
        <v>-218.06399999999999</v>
      </c>
      <c r="N36" s="129" t="str">
        <f>VLOOKUP(C36,'Trips&amp;Operators'!$C$1:$G$99911,5,FALSE)</f>
        <v>NEWELL JAMES</v>
      </c>
      <c r="O36" s="171" t="s">
        <v>396</v>
      </c>
      <c r="P36" s="130"/>
      <c r="Q36" s="30"/>
      <c r="R36" s="77" t="str">
        <f>VLOOKUP(C36,'Train Runs'!$A$13:$AE$9999,31,0)</f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S36" s="80" t="str">
        <f>VLOOKUP(C36,'Train Runs'!$A$13:$AE$9999,22,0)</f>
        <v>https://d0f6bd738d7f1b3e5a7ca70fe4ff75f0.us-east-1.aws.found.io/app/kibana#/discover/Steve-Slow-Train-Analysis-(2080s-and-2083s)?_g=(refreshInterval:(display:Off,pause:!f,section:0,value:0),time:(from:'2017-10-03T10:47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82" t="str">
        <f t="shared" si="1"/>
        <v>"C:\Program Files (x86)\AstroGrep\AstroGrep.exe" /e /r /s /spath="%USERPROFILE%\AppData\Local\Temp\OnboardLogs" /stypes="*4020*201710031*"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4020</v>
      </c>
      <c r="V36" s="31">
        <f t="shared" si="3"/>
        <v>43011.784583333334</v>
      </c>
      <c r="W36" s="45" t="str">
        <f t="shared" si="4"/>
        <v>Shuttle/Test</v>
      </c>
      <c r="X36" s="22">
        <f t="shared" si="5"/>
        <v>57</v>
      </c>
      <c r="Y36" s="92" t="str">
        <f t="shared" si="6"/>
        <v>echo {"issue":{"subject":"","project_id":79,"tracker_id":40,"status_id":1,"priority_id":2,"assigned_to_id":338,"start_date":"2017-10-03","description":"","custom_fields":[{"id":1,"name":"Subdivision","value":"Shuttle/Test"},{"id":4,"name":"Milepost","value":"0.1725"},{"id":17,"name":"Train ID","value":"57-03"},{"id":16,"name":"Locomotive ID","value":"4020"},{"id":130,"name":"Impact","value":""},{"id":150,"name":"Time of Event (Mountain Time)","value":"12:49:48"},{"id":151,"name":"Denver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4"/>
      <c r="AA36" s="47"/>
      <c r="AB36" s="47"/>
      <c r="AC36" s="111" t="str">
        <f t="shared" si="7"/>
        <v>grep -hrE -A400 "Enforcement Action" /c/Users/stu/AppData/Local/Temp/OnboardLogs/RTDC4020 --include="*4020*201710031*"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"%USERPROFILE%\AppData\Local\Temp\OnboardLogs"\RTDC4020\*4020*201710031* &gt;&gt; 2017-10-03-SliceDisagreementCheck.txt</v>
      </c>
      <c r="AE36" s="141" t="str">
        <f t="shared" si="9"/>
        <v>start /low /b %USERPROFILE%\Documents\GitHub\eaglep3\Utilities\DownloadLogsFromS3.py --loco 4020 --day 2017-10-03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</sheetData>
  <autoFilter ref="A6:AC42">
    <sortState ref="A7:AC43">
      <sortCondition ref="W7:W37"/>
      <sortCondition ref="E7:E37"/>
      <sortCondition ref="K7:K37"/>
      <sortCondition ref="F7:F37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1:O1048576 O7:O3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6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0" customWidth="1"/>
    <col min="2" max="2" width="9.140625" style="2" customWidth="1"/>
    <col min="3" max="3" width="8" style="84" bestFit="1" customWidth="1"/>
    <col min="4" max="4" width="9.85546875" style="135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3" customWidth="1"/>
    <col min="10" max="10" width="9.140625" customWidth="1"/>
  </cols>
  <sheetData>
    <row r="1" spans="1:10" s="20" customFormat="1" x14ac:dyDescent="0.25">
      <c r="A1" s="190"/>
      <c r="B1" s="234" t="str">
        <f>"Trips that did not appear in PTC Data "&amp;TEXT(Variables!$A$2,"YYYY-mm-dd")</f>
        <v>Trips that did not appear in PTC Data 2017-10-03</v>
      </c>
      <c r="C1" s="234"/>
      <c r="D1" s="234"/>
      <c r="E1" s="234"/>
      <c r="F1" s="234"/>
      <c r="I1" s="183"/>
    </row>
    <row r="2" spans="1:10" s="23" customFormat="1" ht="45" x14ac:dyDescent="0.25">
      <c r="A2" s="205" t="s">
        <v>146</v>
      </c>
      <c r="B2" s="86" t="s">
        <v>58</v>
      </c>
      <c r="C2" s="83" t="s">
        <v>59</v>
      </c>
      <c r="D2" s="147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4" t="s">
        <v>101</v>
      </c>
      <c r="J2" s="28" t="s">
        <v>60</v>
      </c>
    </row>
    <row r="3" spans="1:10" x14ac:dyDescent="0.25">
      <c r="A3" s="192"/>
      <c r="B3" s="42" t="str">
        <f>A3&amp;"-"&amp;IF(DAY(Variables!$A$2)&lt;10,0,"")&amp;DAY(Variables!$A$2)</f>
        <v>-03</v>
      </c>
      <c r="C3" s="131"/>
      <c r="D3" s="148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5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Runs'!$A$13:$A$99996,1,FALSE)</f>
        <v>#N/A</v>
      </c>
    </row>
    <row r="4" spans="1:10" x14ac:dyDescent="0.25">
      <c r="A4" s="192"/>
      <c r="B4" s="42" t="str">
        <f>A4&amp;"-"&amp;IF(DAY(Variables!$A$2)&lt;10,0,"")&amp;DAY(Variables!$A$2)</f>
        <v>-03</v>
      </c>
      <c r="C4" s="131"/>
      <c r="D4" s="148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Runs'!$A$13:$A$99996,1,FALSE)</f>
        <v>#N/A</v>
      </c>
    </row>
    <row r="5" spans="1:10" x14ac:dyDescent="0.25">
      <c r="A5" s="192"/>
      <c r="B5" s="42" t="str">
        <f>A5&amp;"-"&amp;IF(DAY(Variables!$A$2)&lt;10,0,"")&amp;DAY(Variables!$A$2)</f>
        <v>-03</v>
      </c>
      <c r="C5" s="131"/>
      <c r="D5" s="148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Runs'!$A$13:$A$99996,1,FALSE)</f>
        <v>#N/A</v>
      </c>
    </row>
    <row r="6" spans="1:10" x14ac:dyDescent="0.25">
      <c r="A6" s="192"/>
      <c r="B6" s="42" t="str">
        <f>A6&amp;"-"&amp;IF(DAY(Variables!$A$2)&lt;10,0,"")&amp;DAY(Variables!$A$2)</f>
        <v>-03</v>
      </c>
      <c r="C6" s="131"/>
      <c r="D6" s="148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Runs'!$A$13:$A$99996,1,FALSE)</f>
        <v>#N/A</v>
      </c>
    </row>
    <row r="7" spans="1:10" x14ac:dyDescent="0.25">
      <c r="A7" s="192"/>
      <c r="B7" s="42" t="str">
        <f>A7&amp;"-"&amp;IF(DAY(Variables!$A$2)&lt;10,0,"")&amp;DAY(Variables!$A$2)</f>
        <v>-03</v>
      </c>
      <c r="C7" s="131"/>
      <c r="D7" s="148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Runs'!$A$13:$A$99996,1,FALSE)</f>
        <v>#N/A</v>
      </c>
    </row>
    <row r="8" spans="1:10" x14ac:dyDescent="0.25">
      <c r="A8" s="192"/>
      <c r="B8" s="42" t="str">
        <f>A8&amp;"-"&amp;IF(DAY(Variables!$A$2)&lt;10,0,"")&amp;DAY(Variables!$A$2)</f>
        <v>-03</v>
      </c>
      <c r="C8" s="131"/>
      <c r="D8" s="148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Runs'!$A$13:$A$99996,1,FALSE)</f>
        <v>#N/A</v>
      </c>
    </row>
    <row r="9" spans="1:10" x14ac:dyDescent="0.25">
      <c r="A9" s="192"/>
      <c r="B9" s="42" t="str">
        <f>A9&amp;"-"&amp;IF(DAY(Variables!$A$2)&lt;10,0,"")&amp;DAY(Variables!$A$2)</f>
        <v>-03</v>
      </c>
      <c r="C9" s="131"/>
      <c r="D9" s="148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Runs'!$A$13:$A$99996,1,FALSE)</f>
        <v>#N/A</v>
      </c>
    </row>
    <row r="10" spans="1:10" x14ac:dyDescent="0.25">
      <c r="A10" s="192"/>
      <c r="B10" s="42" t="str">
        <f>A10&amp;"-"&amp;IF(DAY(Variables!$A$2)&lt;10,0,"")&amp;DAY(Variables!$A$2)</f>
        <v>-03</v>
      </c>
      <c r="C10" s="131"/>
      <c r="D10" s="148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Runs'!$A$13:$A$99996,1,FALSE)</f>
        <v>#N/A</v>
      </c>
    </row>
    <row r="11" spans="1:10" x14ac:dyDescent="0.25">
      <c r="A11" s="192"/>
      <c r="B11" s="42" t="str">
        <f>A11&amp;"-"&amp;IF(DAY(Variables!$A$2)&lt;10,0,"")&amp;DAY(Variables!$A$2)</f>
        <v>-03</v>
      </c>
      <c r="C11" s="131"/>
      <c r="D11" s="148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Runs'!$A$13:$A$99996,1,FALSE)</f>
        <v>#N/A</v>
      </c>
    </row>
    <row r="12" spans="1:10" x14ac:dyDescent="0.25">
      <c r="A12" s="192"/>
      <c r="B12" s="42" t="str">
        <f>A12&amp;"-"&amp;IF(DAY(Variables!$A$2)&lt;10,0,"")&amp;DAY(Variables!$A$2)</f>
        <v>-03</v>
      </c>
      <c r="C12" s="131"/>
      <c r="D12" s="148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Runs'!$A$13:$A$99996,1,FALSE)</f>
        <v>#N/A</v>
      </c>
    </row>
    <row r="13" spans="1:10" x14ac:dyDescent="0.25">
      <c r="A13" s="192"/>
      <c r="B13" s="42" t="str">
        <f>A13&amp;"-"&amp;IF(DAY(Variables!$A$2)&lt;10,0,"")&amp;DAY(Variables!$A$2)</f>
        <v>-03</v>
      </c>
      <c r="C13" s="131"/>
      <c r="D13" s="148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Runs'!$A$13:$A$99996,1,FALSE)</f>
        <v>#N/A</v>
      </c>
    </row>
    <row r="14" spans="1:10" x14ac:dyDescent="0.25">
      <c r="A14" s="192"/>
      <c r="B14" s="42" t="str">
        <f>A14&amp;"-"&amp;IF(DAY(Variables!$A$2)&lt;10,0,"")&amp;DAY(Variables!$A$2)</f>
        <v>-03</v>
      </c>
      <c r="C14" s="131"/>
      <c r="D14" s="148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Runs'!$A$13:$A$99996,1,FALSE)</f>
        <v>#N/A</v>
      </c>
    </row>
    <row r="15" spans="1:10" x14ac:dyDescent="0.25">
      <c r="A15" s="192"/>
      <c r="B15" s="42" t="str">
        <f>A15&amp;"-"&amp;IF(DAY(Variables!$A$2)&lt;10,0,"")&amp;DAY(Variables!$A$2)</f>
        <v>-03</v>
      </c>
      <c r="C15" s="131"/>
      <c r="D15" s="148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Runs'!$A$13:$A$99996,1,FALSE)</f>
        <v>#N/A</v>
      </c>
    </row>
    <row r="16" spans="1:10" x14ac:dyDescent="0.25">
      <c r="A16" s="192"/>
      <c r="B16" s="42" t="str">
        <f>A16&amp;"-"&amp;IF(DAY(Variables!$A$2)&lt;10,0,"")&amp;DAY(Variables!$A$2)</f>
        <v>-03</v>
      </c>
      <c r="C16" s="131"/>
      <c r="D16" s="148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Runs'!$A$13:$A$99996,1,FALSE)</f>
        <v>#N/A</v>
      </c>
    </row>
    <row r="17" spans="1:10" x14ac:dyDescent="0.25">
      <c r="A17" s="192"/>
      <c r="B17" s="42" t="str">
        <f>A17&amp;"-"&amp;IF(DAY(Variables!$A$2)&lt;10,0,"")&amp;DAY(Variables!$A$2)</f>
        <v>-03</v>
      </c>
      <c r="C17" s="131"/>
      <c r="D17" s="148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Runs'!$A$13:$A$99996,1,FALSE)</f>
        <v>#N/A</v>
      </c>
    </row>
    <row r="18" spans="1:10" x14ac:dyDescent="0.25">
      <c r="A18" s="192"/>
      <c r="B18" s="42" t="str">
        <f>A18&amp;"-"&amp;IF(DAY(Variables!$A$2)&lt;10,0,"")&amp;DAY(Variables!$A$2)</f>
        <v>-03</v>
      </c>
      <c r="C18" s="131"/>
      <c r="D18" s="148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Runs'!$A$13:$A$99996,1,FALSE)</f>
        <v>#N/A</v>
      </c>
    </row>
    <row r="19" spans="1:10" x14ac:dyDescent="0.25">
      <c r="A19" s="192"/>
      <c r="B19" s="42"/>
      <c r="C19" s="131"/>
      <c r="D19" s="148"/>
      <c r="E19" s="30"/>
      <c r="F19" s="21"/>
      <c r="G19" s="21"/>
      <c r="H19" s="29"/>
      <c r="I19" s="185"/>
      <c r="J19" s="30"/>
    </row>
    <row r="20" spans="1:10" x14ac:dyDescent="0.25">
      <c r="A20" s="192"/>
      <c r="B20" s="42"/>
      <c r="C20" s="131"/>
      <c r="D20" s="148"/>
      <c r="E20" s="30"/>
      <c r="F20" s="21"/>
      <c r="G20" s="21"/>
      <c r="H20" s="29"/>
      <c r="I20" s="185"/>
      <c r="J20" s="30"/>
    </row>
    <row r="21" spans="1:10" x14ac:dyDescent="0.25">
      <c r="A21" s="192"/>
      <c r="B21" s="42"/>
      <c r="C21" s="131"/>
      <c r="D21" s="148"/>
      <c r="E21" s="30"/>
      <c r="F21" s="21"/>
      <c r="G21" s="21"/>
      <c r="H21" s="29"/>
      <c r="I21" s="185"/>
      <c r="J21" s="30"/>
    </row>
    <row r="22" spans="1:10" x14ac:dyDescent="0.25">
      <c r="A22" s="192"/>
      <c r="B22" s="42"/>
      <c r="C22" s="131"/>
      <c r="D22" s="148"/>
      <c r="E22" s="30"/>
      <c r="F22" s="21"/>
      <c r="G22" s="21"/>
      <c r="H22" s="29"/>
      <c r="I22" s="185"/>
      <c r="J22" s="30"/>
    </row>
    <row r="23" spans="1:10" x14ac:dyDescent="0.25">
      <c r="A23" s="192"/>
      <c r="B23" s="42"/>
      <c r="C23" s="131"/>
      <c r="D23" s="148"/>
      <c r="E23" s="30"/>
      <c r="F23" s="21"/>
      <c r="G23" s="21"/>
      <c r="H23" s="29"/>
      <c r="I23" s="185"/>
      <c r="J23" s="30"/>
    </row>
    <row r="24" spans="1:10" x14ac:dyDescent="0.25">
      <c r="A24" s="192"/>
      <c r="B24" s="42"/>
      <c r="C24" s="131"/>
      <c r="D24" s="148"/>
      <c r="E24" s="30"/>
      <c r="F24" s="21"/>
      <c r="G24" s="21"/>
      <c r="H24" s="29"/>
      <c r="I24" s="185"/>
      <c r="J24" s="30"/>
    </row>
    <row r="25" spans="1:10" x14ac:dyDescent="0.25">
      <c r="A25" s="192"/>
      <c r="B25" s="42"/>
      <c r="C25" s="131"/>
      <c r="D25" s="148"/>
      <c r="E25" s="30"/>
      <c r="F25" s="21"/>
      <c r="G25" s="21"/>
      <c r="H25" s="29"/>
      <c r="I25" s="185"/>
      <c r="J25" s="30"/>
    </row>
    <row r="26" spans="1:10" x14ac:dyDescent="0.25">
      <c r="A26" s="192"/>
      <c r="B26" s="42"/>
      <c r="C26" s="131"/>
      <c r="D26" s="148"/>
      <c r="E26" s="30"/>
      <c r="F26" s="21"/>
      <c r="G26" s="21"/>
      <c r="H26" s="29"/>
      <c r="I26" s="185"/>
      <c r="J26" s="30"/>
    </row>
    <row r="27" spans="1:10" x14ac:dyDescent="0.25">
      <c r="A27" s="192"/>
      <c r="B27" s="42"/>
      <c r="C27" s="131"/>
      <c r="D27" s="148"/>
      <c r="E27" s="30"/>
      <c r="F27" s="21"/>
      <c r="G27" s="21"/>
      <c r="H27" s="29"/>
      <c r="I27" s="185"/>
      <c r="J27" s="30"/>
    </row>
    <row r="28" spans="1:10" x14ac:dyDescent="0.25">
      <c r="A28" s="192"/>
      <c r="B28" s="42"/>
      <c r="C28" s="131"/>
      <c r="D28" s="148"/>
      <c r="E28" s="30"/>
      <c r="F28" s="21"/>
      <c r="G28" s="21"/>
      <c r="H28" s="29"/>
      <c r="I28" s="185"/>
      <c r="J28" s="30"/>
    </row>
    <row r="29" spans="1:10" x14ac:dyDescent="0.25">
      <c r="A29" s="192"/>
      <c r="B29" s="42"/>
      <c r="C29" s="131"/>
      <c r="D29" s="148"/>
      <c r="E29" s="30"/>
      <c r="F29" s="21"/>
      <c r="G29" s="21"/>
      <c r="H29" s="29"/>
      <c r="I29" s="185"/>
      <c r="J29" s="30"/>
    </row>
    <row r="30" spans="1:10" x14ac:dyDescent="0.25">
      <c r="A30" s="192"/>
      <c r="B30" s="42"/>
      <c r="C30" s="131"/>
      <c r="D30" s="148"/>
      <c r="E30" s="30"/>
      <c r="F30" s="21"/>
      <c r="G30" s="21"/>
      <c r="H30" s="29"/>
      <c r="I30" s="185"/>
      <c r="J30" s="30"/>
    </row>
    <row r="31" spans="1:10" x14ac:dyDescent="0.25">
      <c r="A31" s="192"/>
      <c r="B31" s="42"/>
      <c r="C31" s="131"/>
      <c r="D31" s="148"/>
      <c r="E31" s="30"/>
      <c r="F31" s="21"/>
      <c r="G31" s="21"/>
      <c r="H31" s="29"/>
      <c r="I31" s="185"/>
      <c r="J31" s="30"/>
    </row>
    <row r="32" spans="1:10" x14ac:dyDescent="0.25">
      <c r="A32" s="192"/>
      <c r="B32" s="42"/>
      <c r="C32" s="131"/>
      <c r="D32" s="148"/>
      <c r="E32" s="30"/>
      <c r="F32" s="21"/>
      <c r="G32" s="21"/>
      <c r="H32" s="29"/>
      <c r="I32" s="185"/>
      <c r="J32" s="30"/>
    </row>
    <row r="33" spans="1:10" x14ac:dyDescent="0.25">
      <c r="A33" s="192"/>
      <c r="B33" s="42"/>
      <c r="C33" s="131"/>
      <c r="D33" s="148"/>
      <c r="E33" s="30"/>
      <c r="F33" s="21"/>
      <c r="G33" s="21"/>
      <c r="H33" s="29"/>
      <c r="I33" s="185"/>
      <c r="J33" s="30"/>
    </row>
    <row r="34" spans="1:10" x14ac:dyDescent="0.25">
      <c r="A34" s="192"/>
      <c r="B34" s="42"/>
      <c r="C34" s="131"/>
      <c r="D34" s="148"/>
      <c r="E34" s="30"/>
      <c r="F34" s="21"/>
      <c r="G34" s="21"/>
      <c r="H34" s="29"/>
      <c r="I34" s="185"/>
      <c r="J34" s="30"/>
    </row>
    <row r="35" spans="1:10" x14ac:dyDescent="0.25">
      <c r="A35" s="192"/>
      <c r="B35" s="42"/>
      <c r="C35" s="131"/>
      <c r="D35" s="148"/>
      <c r="E35" s="30"/>
      <c r="F35" s="21"/>
      <c r="G35" s="21"/>
      <c r="H35" s="29"/>
      <c r="I35" s="185"/>
      <c r="J35" s="30"/>
    </row>
    <row r="36" spans="1:10" x14ac:dyDescent="0.25">
      <c r="A36" s="192"/>
      <c r="B36" s="42"/>
      <c r="C36" s="131"/>
      <c r="D36" s="148"/>
      <c r="E36" s="30"/>
      <c r="F36" s="21"/>
      <c r="G36" s="21"/>
      <c r="H36" s="29"/>
      <c r="I36" s="185"/>
      <c r="J36" s="30"/>
    </row>
    <row r="37" spans="1:10" x14ac:dyDescent="0.25">
      <c r="A37" s="192"/>
      <c r="B37" s="42"/>
      <c r="C37" s="131"/>
      <c r="D37" s="148"/>
      <c r="E37" s="30"/>
      <c r="F37" s="21"/>
      <c r="G37" s="21"/>
      <c r="H37" s="29"/>
      <c r="I37" s="185"/>
      <c r="J37" s="30"/>
    </row>
    <row r="38" spans="1:10" x14ac:dyDescent="0.25">
      <c r="A38" s="192"/>
      <c r="B38" s="42"/>
      <c r="C38" s="131"/>
      <c r="D38" s="148"/>
      <c r="E38" s="30"/>
      <c r="F38" s="21"/>
      <c r="G38" s="21"/>
      <c r="H38" s="29"/>
      <c r="I38" s="185"/>
      <c r="J38" s="30"/>
    </row>
    <row r="39" spans="1:10" x14ac:dyDescent="0.25">
      <c r="A39" s="192"/>
      <c r="B39" s="42"/>
      <c r="C39" s="131"/>
      <c r="D39" s="148"/>
      <c r="E39" s="30"/>
      <c r="F39" s="21"/>
      <c r="G39" s="21"/>
      <c r="H39" s="29"/>
      <c r="I39" s="185"/>
      <c r="J39" s="30"/>
    </row>
    <row r="40" spans="1:10" x14ac:dyDescent="0.25">
      <c r="A40" s="192"/>
      <c r="B40" s="42"/>
      <c r="C40" s="131"/>
      <c r="D40" s="148"/>
      <c r="E40" s="30"/>
      <c r="F40" s="21"/>
      <c r="G40" s="21"/>
      <c r="H40" s="29"/>
      <c r="I40" s="185"/>
      <c r="J40" s="30"/>
    </row>
    <row r="41" spans="1:10" x14ac:dyDescent="0.25">
      <c r="A41" s="192"/>
      <c r="B41" s="42"/>
      <c r="C41" s="131"/>
      <c r="D41" s="148"/>
      <c r="E41" s="30"/>
      <c r="F41" s="21"/>
      <c r="G41" s="21"/>
      <c r="H41" s="29"/>
      <c r="I41" s="185"/>
      <c r="J41" s="30"/>
    </row>
    <row r="42" spans="1:10" x14ac:dyDescent="0.25">
      <c r="A42" s="192"/>
      <c r="B42" s="42"/>
      <c r="C42" s="131"/>
      <c r="D42" s="148"/>
      <c r="E42" s="30"/>
      <c r="F42" s="21"/>
      <c r="G42" s="21"/>
      <c r="H42" s="29"/>
      <c r="I42" s="185"/>
      <c r="J42" s="30"/>
    </row>
    <row r="43" spans="1:10" x14ac:dyDescent="0.25">
      <c r="A43" s="192"/>
      <c r="B43" s="42"/>
      <c r="C43" s="131"/>
      <c r="D43" s="148"/>
      <c r="E43" s="30"/>
      <c r="F43" s="21"/>
      <c r="G43" s="21"/>
      <c r="H43" s="29"/>
      <c r="I43" s="185"/>
      <c r="J43" s="30"/>
    </row>
    <row r="44" spans="1:10" x14ac:dyDescent="0.25">
      <c r="A44" s="192"/>
      <c r="B44" s="42"/>
      <c r="C44" s="131"/>
      <c r="D44" s="148"/>
      <c r="E44" s="30"/>
      <c r="F44" s="21"/>
      <c r="G44" s="21"/>
      <c r="H44" s="29"/>
      <c r="I44" s="185"/>
      <c r="J44" s="30"/>
    </row>
    <row r="45" spans="1:10" x14ac:dyDescent="0.25">
      <c r="A45" s="192"/>
      <c r="B45" s="42"/>
      <c r="C45" s="131"/>
      <c r="D45" s="148"/>
      <c r="E45" s="30"/>
      <c r="F45" s="21"/>
      <c r="G45" s="21"/>
      <c r="H45" s="29"/>
      <c r="I45" s="185"/>
      <c r="J45" s="30"/>
    </row>
    <row r="46" spans="1:10" x14ac:dyDescent="0.25">
      <c r="A46" s="192"/>
      <c r="B46" s="42"/>
      <c r="C46" s="131"/>
      <c r="D46" s="148"/>
      <c r="E46" s="30"/>
      <c r="F46" s="21"/>
      <c r="G46" s="21"/>
      <c r="H46" s="29"/>
      <c r="I46" s="185"/>
      <c r="J46" s="30"/>
    </row>
    <row r="47" spans="1:10" x14ac:dyDescent="0.25">
      <c r="A47" s="192"/>
      <c r="B47" s="42"/>
      <c r="C47" s="131"/>
      <c r="D47" s="148"/>
      <c r="E47" s="30"/>
      <c r="F47" s="21"/>
      <c r="G47" s="21"/>
      <c r="H47" s="29"/>
      <c r="I47" s="185"/>
      <c r="J47" s="30"/>
    </row>
    <row r="48" spans="1:10" x14ac:dyDescent="0.25">
      <c r="A48" s="192"/>
      <c r="B48" s="42"/>
      <c r="C48" s="131"/>
      <c r="D48" s="148"/>
      <c r="E48" s="30"/>
      <c r="F48" s="21"/>
      <c r="G48" s="21"/>
      <c r="H48" s="29"/>
      <c r="I48" s="185"/>
      <c r="J48" s="30"/>
    </row>
    <row r="49" spans="1:10" x14ac:dyDescent="0.25">
      <c r="A49" s="192"/>
      <c r="B49" s="42"/>
      <c r="C49" s="131"/>
      <c r="D49" s="148"/>
      <c r="E49" s="30"/>
      <c r="F49" s="21"/>
      <c r="G49" s="21"/>
      <c r="H49" s="29"/>
      <c r="I49" s="185"/>
      <c r="J49" s="30"/>
    </row>
    <row r="50" spans="1:10" x14ac:dyDescent="0.25">
      <c r="A50" s="192"/>
      <c r="B50" s="42"/>
      <c r="C50" s="131"/>
      <c r="D50" s="148"/>
      <c r="E50" s="30"/>
      <c r="F50" s="21"/>
      <c r="G50" s="21"/>
      <c r="H50" s="29"/>
      <c r="I50" s="185"/>
      <c r="J50" s="30"/>
    </row>
    <row r="51" spans="1:10" x14ac:dyDescent="0.25">
      <c r="A51" s="192"/>
      <c r="B51" s="42"/>
      <c r="C51" s="131"/>
      <c r="D51" s="148"/>
      <c r="E51" s="30"/>
      <c r="F51" s="21"/>
      <c r="G51" s="21"/>
      <c r="H51" s="29"/>
      <c r="I51" s="185"/>
      <c r="J51" s="30"/>
    </row>
    <row r="52" spans="1:10" x14ac:dyDescent="0.25">
      <c r="A52" s="192"/>
      <c r="B52" s="42"/>
      <c r="C52" s="131"/>
      <c r="D52" s="148"/>
      <c r="E52" s="30"/>
      <c r="F52" s="21"/>
      <c r="G52" s="21"/>
      <c r="H52" s="29"/>
      <c r="I52" s="185"/>
      <c r="J52" s="30"/>
    </row>
    <row r="53" spans="1:10" x14ac:dyDescent="0.25">
      <c r="A53" s="192"/>
      <c r="B53" s="42"/>
      <c r="C53" s="131"/>
      <c r="D53" s="148"/>
      <c r="E53" s="30"/>
      <c r="F53" s="21"/>
      <c r="G53" s="21"/>
      <c r="H53" s="29"/>
      <c r="I53" s="185"/>
      <c r="J53" s="30"/>
    </row>
    <row r="54" spans="1:10" x14ac:dyDescent="0.25">
      <c r="A54" s="192"/>
      <c r="B54" s="42"/>
      <c r="C54" s="131"/>
      <c r="D54" s="148"/>
      <c r="E54" s="30"/>
      <c r="F54" s="21"/>
      <c r="G54" s="21"/>
      <c r="H54" s="29"/>
      <c r="I54" s="185"/>
      <c r="J54" s="30"/>
    </row>
    <row r="55" spans="1:10" x14ac:dyDescent="0.25">
      <c r="A55" s="192"/>
      <c r="B55" s="42"/>
      <c r="C55" s="131"/>
      <c r="D55" s="148"/>
      <c r="E55" s="30"/>
      <c r="F55" s="21"/>
      <c r="G55" s="21"/>
      <c r="H55" s="29"/>
      <c r="I55" s="185"/>
      <c r="J55" s="30"/>
    </row>
    <row r="56" spans="1:10" x14ac:dyDescent="0.25">
      <c r="A56" s="192"/>
      <c r="B56" s="42"/>
      <c r="C56" s="131"/>
      <c r="D56" s="148"/>
      <c r="E56" s="30"/>
      <c r="F56" s="21"/>
      <c r="G56" s="21"/>
      <c r="H56" s="29"/>
      <c r="I56" s="185"/>
      <c r="J56" s="30"/>
    </row>
    <row r="57" spans="1:10" x14ac:dyDescent="0.25">
      <c r="A57" s="192"/>
      <c r="B57" s="42"/>
      <c r="C57" s="131"/>
      <c r="D57" s="148"/>
      <c r="E57" s="30"/>
      <c r="F57" s="21"/>
      <c r="G57" s="21"/>
      <c r="H57" s="29"/>
      <c r="I57" s="185"/>
      <c r="J57" s="30"/>
    </row>
    <row r="58" spans="1:10" x14ac:dyDescent="0.25">
      <c r="A58" s="192"/>
      <c r="B58" s="42"/>
      <c r="C58" s="131"/>
      <c r="D58" s="148"/>
      <c r="E58" s="30"/>
      <c r="F58" s="21"/>
      <c r="G58" s="21"/>
      <c r="H58" s="29"/>
      <c r="I58" s="185"/>
      <c r="J58" s="30"/>
    </row>
    <row r="59" spans="1:10" x14ac:dyDescent="0.25">
      <c r="A59" s="192"/>
      <c r="B59" s="42"/>
      <c r="C59" s="131"/>
      <c r="D59" s="148"/>
      <c r="E59" s="30"/>
      <c r="F59" s="21"/>
      <c r="G59" s="21"/>
      <c r="H59" s="29"/>
      <c r="I59" s="185"/>
      <c r="J59" s="30"/>
    </row>
    <row r="60" spans="1:10" x14ac:dyDescent="0.25">
      <c r="A60" s="192"/>
      <c r="B60" s="42"/>
      <c r="C60" s="131"/>
      <c r="D60" s="148"/>
      <c r="E60" s="30"/>
      <c r="F60" s="21"/>
      <c r="G60" s="21"/>
      <c r="H60" s="29"/>
      <c r="I60" s="185"/>
      <c r="J60" s="30"/>
    </row>
    <row r="61" spans="1:10" x14ac:dyDescent="0.25">
      <c r="A61" s="192"/>
      <c r="B61" s="42"/>
      <c r="C61" s="131"/>
      <c r="D61" s="148"/>
      <c r="E61" s="30"/>
      <c r="F61" s="21"/>
      <c r="G61" s="21"/>
      <c r="H61" s="29"/>
      <c r="I61" s="185"/>
      <c r="J61" s="30"/>
    </row>
    <row r="62" spans="1:10" x14ac:dyDescent="0.25">
      <c r="A62" s="192"/>
      <c r="B62" s="42"/>
      <c r="C62" s="131"/>
      <c r="D62" s="148"/>
      <c r="E62" s="30"/>
      <c r="F62" s="21"/>
      <c r="G62" s="21"/>
      <c r="H62" s="29"/>
      <c r="I62" s="185"/>
      <c r="J62" s="30"/>
    </row>
    <row r="63" spans="1:10" x14ac:dyDescent="0.25">
      <c r="A63" s="192"/>
      <c r="B63" s="42"/>
      <c r="C63" s="131"/>
      <c r="D63" s="148"/>
      <c r="E63" s="30"/>
      <c r="F63" s="21"/>
      <c r="G63" s="21"/>
      <c r="H63" s="29"/>
      <c r="I63" s="185"/>
      <c r="J63" s="30"/>
    </row>
    <row r="64" spans="1:10" x14ac:dyDescent="0.25">
      <c r="A64" s="192"/>
      <c r="B64" s="42"/>
      <c r="C64" s="131"/>
      <c r="D64" s="148"/>
      <c r="E64" s="30"/>
      <c r="F64" s="21"/>
      <c r="G64" s="21"/>
      <c r="H64" s="29"/>
      <c r="I64" s="185"/>
      <c r="J64" s="30"/>
    </row>
    <row r="65" spans="1:10" x14ac:dyDescent="0.25">
      <c r="A65" s="192"/>
      <c r="B65" s="42"/>
      <c r="C65" s="131"/>
      <c r="D65" s="148"/>
      <c r="E65" s="30"/>
      <c r="F65" s="21"/>
      <c r="G65" s="21"/>
      <c r="H65" s="29"/>
      <c r="I65" s="185"/>
      <c r="J65" s="30"/>
    </row>
    <row r="66" spans="1:10" x14ac:dyDescent="0.25">
      <c r="A66" s="192"/>
      <c r="B66" s="42"/>
      <c r="C66" s="131"/>
      <c r="D66" s="148"/>
      <c r="E66" s="30"/>
      <c r="F66" s="21"/>
      <c r="G66" s="21"/>
      <c r="H66" s="29"/>
      <c r="I66" s="185"/>
      <c r="J66" s="30"/>
    </row>
    <row r="67" spans="1:10" x14ac:dyDescent="0.25">
      <c r="A67" s="192"/>
      <c r="B67" s="42"/>
      <c r="C67" s="131"/>
      <c r="D67" s="148"/>
      <c r="E67" s="30"/>
      <c r="F67" s="21"/>
      <c r="G67" s="21"/>
      <c r="H67" s="29"/>
      <c r="I67" s="185"/>
      <c r="J67" s="30"/>
    </row>
    <row r="68" spans="1:10" x14ac:dyDescent="0.25">
      <c r="A68" s="192"/>
      <c r="B68" s="42"/>
      <c r="C68" s="131"/>
      <c r="D68" s="148"/>
      <c r="E68" s="30"/>
      <c r="F68" s="21"/>
      <c r="G68" s="21"/>
      <c r="H68" s="29"/>
      <c r="I68" s="185"/>
      <c r="J68" s="30"/>
    </row>
    <row r="69" spans="1:10" x14ac:dyDescent="0.25">
      <c r="A69" s="192"/>
      <c r="B69" s="42"/>
      <c r="C69" s="131"/>
      <c r="D69" s="148"/>
      <c r="E69" s="30"/>
      <c r="F69" s="21"/>
      <c r="G69" s="21"/>
      <c r="H69" s="29"/>
      <c r="I69" s="185"/>
      <c r="J69" s="30"/>
    </row>
    <row r="70" spans="1:10" x14ac:dyDescent="0.25">
      <c r="A70" s="192"/>
      <c r="B70" s="42"/>
      <c r="C70" s="131"/>
      <c r="D70" s="148"/>
      <c r="E70" s="30"/>
      <c r="F70" s="21"/>
      <c r="G70" s="21"/>
      <c r="H70" s="29"/>
      <c r="I70" s="185"/>
      <c r="J70" s="30"/>
    </row>
    <row r="71" spans="1:10" x14ac:dyDescent="0.25">
      <c r="A71" s="192"/>
      <c r="B71" s="42"/>
      <c r="C71" s="131"/>
      <c r="D71" s="148"/>
      <c r="E71" s="30"/>
      <c r="F71" s="21"/>
      <c r="G71" s="21"/>
      <c r="H71" s="29"/>
      <c r="I71" s="185"/>
      <c r="J71" s="30"/>
    </row>
    <row r="72" spans="1:10" x14ac:dyDescent="0.25">
      <c r="A72" s="192"/>
      <c r="B72" s="42"/>
      <c r="C72" s="131"/>
      <c r="D72" s="148"/>
      <c r="E72" s="30"/>
      <c r="F72" s="21"/>
      <c r="G72" s="21"/>
      <c r="H72" s="29"/>
      <c r="I72" s="185"/>
      <c r="J72" s="30"/>
    </row>
    <row r="73" spans="1:10" x14ac:dyDescent="0.25">
      <c r="A73" s="192"/>
      <c r="B73" s="42"/>
      <c r="C73" s="131"/>
      <c r="D73" s="148"/>
      <c r="E73" s="30"/>
      <c r="F73" s="21"/>
      <c r="G73" s="21"/>
      <c r="H73" s="29"/>
      <c r="I73" s="185"/>
      <c r="J73" s="30"/>
    </row>
    <row r="74" spans="1:10" x14ac:dyDescent="0.25">
      <c r="A74" s="192"/>
      <c r="B74" s="42"/>
      <c r="C74" s="131"/>
      <c r="D74" s="148"/>
      <c r="E74" s="30"/>
      <c r="F74" s="21"/>
      <c r="G74" s="21"/>
      <c r="H74" s="29"/>
      <c r="I74" s="185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4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4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43011.032858796294</v>
      </c>
      <c r="B2" s="20" t="s">
        <v>404</v>
      </c>
      <c r="C2" s="20" t="s">
        <v>520</v>
      </c>
      <c r="D2" s="134">
        <v>3500000</v>
      </c>
      <c r="E2" s="20" t="s">
        <v>498</v>
      </c>
      <c r="F2" s="20" t="s">
        <v>499</v>
      </c>
      <c r="G2" s="8" t="str">
        <f>E2&amp;" "&amp;F2</f>
        <v>GUNTHIER ERIC</v>
      </c>
      <c r="H2" t="str">
        <f>MID(B2,13,4)</f>
        <v>4039</v>
      </c>
    </row>
    <row r="3" spans="1:8" x14ac:dyDescent="0.25">
      <c r="A3" s="8">
        <v>43011.047152777777</v>
      </c>
      <c r="B3" s="20" t="s">
        <v>424</v>
      </c>
      <c r="C3" s="20" t="s">
        <v>543</v>
      </c>
      <c r="D3" s="134">
        <v>890000</v>
      </c>
      <c r="E3" s="20" t="s">
        <v>363</v>
      </c>
      <c r="F3" s="20" t="s">
        <v>364</v>
      </c>
      <c r="G3" s="8" t="str">
        <f t="shared" ref="G3:G66" si="0">E3&amp;" "&amp;F3</f>
        <v>LOZA FIDEL</v>
      </c>
      <c r="H3" s="20" t="str">
        <f t="shared" ref="H3:H66" si="1">MID(B3,13,4)</f>
        <v>4052</v>
      </c>
    </row>
    <row r="4" spans="1:8" x14ac:dyDescent="0.25">
      <c r="A4" s="8">
        <v>43011.056527777779</v>
      </c>
      <c r="B4" s="20" t="s">
        <v>398</v>
      </c>
      <c r="C4" s="20" t="s">
        <v>544</v>
      </c>
      <c r="D4" s="134">
        <v>3040000</v>
      </c>
      <c r="E4" s="20" t="s">
        <v>470</v>
      </c>
      <c r="F4" s="20" t="s">
        <v>471</v>
      </c>
      <c r="G4" s="8" t="str">
        <f t="shared" si="0"/>
        <v>WILLIAMS DONTE</v>
      </c>
      <c r="H4" s="20" t="str">
        <f t="shared" si="1"/>
        <v>4023</v>
      </c>
    </row>
    <row r="5" spans="1:8" x14ac:dyDescent="0.25">
      <c r="A5" s="8">
        <v>43011.070844907408</v>
      </c>
      <c r="B5" s="20" t="s">
        <v>406</v>
      </c>
      <c r="C5" s="20" t="s">
        <v>545</v>
      </c>
      <c r="D5" s="134">
        <v>3500000</v>
      </c>
      <c r="E5" s="20" t="s">
        <v>498</v>
      </c>
      <c r="F5" s="20" t="s">
        <v>499</v>
      </c>
      <c r="G5" s="8" t="str">
        <f t="shared" si="0"/>
        <v>GUNTHIER ERIC</v>
      </c>
      <c r="H5" s="20" t="str">
        <f t="shared" si="1"/>
        <v>4040</v>
      </c>
    </row>
    <row r="6" spans="1:8" x14ac:dyDescent="0.25">
      <c r="A6" s="8">
        <v>43011.091932870368</v>
      </c>
      <c r="B6" s="20" t="s">
        <v>399</v>
      </c>
      <c r="C6" s="20" t="s">
        <v>546</v>
      </c>
      <c r="D6" s="134">
        <v>3040000</v>
      </c>
      <c r="E6" s="20" t="s">
        <v>470</v>
      </c>
      <c r="F6" s="20" t="s">
        <v>471</v>
      </c>
      <c r="G6" s="8" t="str">
        <f t="shared" si="0"/>
        <v>WILLIAMS DONTE</v>
      </c>
      <c r="H6" s="20" t="str">
        <f t="shared" si="1"/>
        <v>4024</v>
      </c>
    </row>
    <row r="7" spans="1:8" x14ac:dyDescent="0.25">
      <c r="A7" s="8">
        <v>43011.11383101852</v>
      </c>
      <c r="B7" s="20" t="s">
        <v>464</v>
      </c>
      <c r="C7" s="20" t="s">
        <v>547</v>
      </c>
      <c r="D7" s="134">
        <v>1830000</v>
      </c>
      <c r="E7" s="20" t="s">
        <v>393</v>
      </c>
      <c r="F7" s="20" t="s">
        <v>394</v>
      </c>
      <c r="G7" s="8" t="str">
        <f t="shared" si="0"/>
        <v>YORK EDGAR</v>
      </c>
      <c r="H7" s="20" t="str">
        <f t="shared" si="1"/>
        <v>4061</v>
      </c>
    </row>
    <row r="8" spans="1:8" x14ac:dyDescent="0.25">
      <c r="A8" s="8">
        <v>43011.114571759259</v>
      </c>
      <c r="B8" s="20" t="s">
        <v>464</v>
      </c>
      <c r="C8" s="20" t="s">
        <v>547</v>
      </c>
      <c r="D8" s="134">
        <v>1830000</v>
      </c>
      <c r="E8" s="20" t="s">
        <v>393</v>
      </c>
      <c r="F8" s="20" t="s">
        <v>394</v>
      </c>
      <c r="G8" s="8" t="str">
        <f t="shared" si="0"/>
        <v>YORK EDGAR</v>
      </c>
      <c r="H8" s="20" t="str">
        <f t="shared" si="1"/>
        <v>4061</v>
      </c>
    </row>
    <row r="9" spans="1:8" ht="15.75" thickBot="1" x14ac:dyDescent="0.3">
      <c r="A9" s="24">
        <v>43011.11509259259</v>
      </c>
      <c r="B9" s="20" t="s">
        <v>464</v>
      </c>
      <c r="C9" s="20" t="s">
        <v>547</v>
      </c>
      <c r="D9" s="134">
        <v>1830000</v>
      </c>
      <c r="E9" s="20" t="s">
        <v>393</v>
      </c>
      <c r="F9" s="20" t="s">
        <v>394</v>
      </c>
      <c r="G9" s="8" t="str">
        <f t="shared" si="0"/>
        <v>YORK EDGAR</v>
      </c>
      <c r="H9" s="20" t="str">
        <f t="shared" si="1"/>
        <v>4061</v>
      </c>
    </row>
    <row r="10" spans="1:8" x14ac:dyDescent="0.25">
      <c r="A10" s="8">
        <v>43011.123912037037</v>
      </c>
      <c r="B10" s="20" t="s">
        <v>463</v>
      </c>
      <c r="C10" s="20" t="s">
        <v>625</v>
      </c>
      <c r="D10" s="134">
        <v>1090000</v>
      </c>
      <c r="E10" s="20" t="s">
        <v>525</v>
      </c>
      <c r="F10" s="20" t="s">
        <v>493</v>
      </c>
      <c r="G10" s="8" t="str">
        <f t="shared" si="0"/>
        <v>SPECTOR MICHAEL</v>
      </c>
      <c r="H10" s="20" t="str">
        <f t="shared" si="1"/>
        <v>4062</v>
      </c>
    </row>
    <row r="11" spans="1:8" x14ac:dyDescent="0.25">
      <c r="A11" s="8">
        <v>43011.124722222223</v>
      </c>
      <c r="B11" s="20" t="s">
        <v>435</v>
      </c>
      <c r="C11" s="20" t="s">
        <v>626</v>
      </c>
      <c r="D11" s="134">
        <v>1830000</v>
      </c>
      <c r="E11" s="20" t="s">
        <v>393</v>
      </c>
      <c r="F11" s="20" t="s">
        <v>394</v>
      </c>
      <c r="G11" s="8" t="str">
        <f t="shared" si="0"/>
        <v>YORK EDGAR</v>
      </c>
      <c r="H11" s="20" t="str">
        <f t="shared" si="1"/>
        <v>4050</v>
      </c>
    </row>
    <row r="12" spans="1:8" x14ac:dyDescent="0.25">
      <c r="A12" s="8">
        <v>43011.139351851853</v>
      </c>
      <c r="B12" s="20" t="s">
        <v>464</v>
      </c>
      <c r="C12" s="20" t="s">
        <v>627</v>
      </c>
      <c r="D12" s="134">
        <v>1090000</v>
      </c>
      <c r="E12" s="20" t="s">
        <v>525</v>
      </c>
      <c r="F12" s="20" t="s">
        <v>493</v>
      </c>
      <c r="G12" s="8" t="str">
        <f t="shared" si="0"/>
        <v>SPECTOR MICHAEL</v>
      </c>
      <c r="H12" s="20" t="str">
        <f t="shared" si="1"/>
        <v>4061</v>
      </c>
    </row>
    <row r="13" spans="1:8" x14ac:dyDescent="0.25">
      <c r="A13" s="8">
        <v>43011.139652777776</v>
      </c>
      <c r="B13" s="20" t="s">
        <v>486</v>
      </c>
      <c r="C13" s="20" t="s">
        <v>628</v>
      </c>
      <c r="D13" s="134">
        <v>940000</v>
      </c>
      <c r="E13" s="20" t="s">
        <v>526</v>
      </c>
      <c r="F13" s="20" t="s">
        <v>527</v>
      </c>
      <c r="G13" s="8" t="str">
        <f t="shared" si="0"/>
        <v>BONDS REYNALDO</v>
      </c>
      <c r="H13" s="20" t="str">
        <f t="shared" si="1"/>
        <v>4041</v>
      </c>
    </row>
    <row r="14" spans="1:8" x14ac:dyDescent="0.25">
      <c r="A14" s="8">
        <v>43011.149907407409</v>
      </c>
      <c r="B14" s="20" t="s">
        <v>409</v>
      </c>
      <c r="C14" s="20" t="s">
        <v>629</v>
      </c>
      <c r="D14" s="134">
        <v>940000</v>
      </c>
      <c r="E14" s="20" t="s">
        <v>526</v>
      </c>
      <c r="F14" s="20" t="s">
        <v>527</v>
      </c>
      <c r="G14" s="8" t="str">
        <f t="shared" si="0"/>
        <v>BONDS REYNALDO</v>
      </c>
      <c r="H14" s="20" t="str">
        <f t="shared" si="1"/>
        <v>4042</v>
      </c>
    </row>
    <row r="15" spans="1:8" x14ac:dyDescent="0.25">
      <c r="A15" s="8">
        <v>43011.161053240743</v>
      </c>
      <c r="B15" s="20" t="s">
        <v>630</v>
      </c>
      <c r="C15" s="20" t="s">
        <v>631</v>
      </c>
      <c r="D15" s="134">
        <v>1830000</v>
      </c>
      <c r="E15" s="20" t="s">
        <v>393</v>
      </c>
      <c r="F15" s="20" t="s">
        <v>394</v>
      </c>
      <c r="G15" s="8" t="str">
        <f t="shared" si="0"/>
        <v>YORK EDGAR</v>
      </c>
      <c r="H15" s="20" t="str">
        <f t="shared" si="1"/>
        <v>4049</v>
      </c>
    </row>
    <row r="16" spans="1:8" x14ac:dyDescent="0.25">
      <c r="A16" s="8">
        <v>43011.162361111114</v>
      </c>
      <c r="B16" s="20" t="s">
        <v>603</v>
      </c>
      <c r="C16" s="20" t="s">
        <v>632</v>
      </c>
      <c r="D16" s="134">
        <v>3120000</v>
      </c>
      <c r="E16" s="20" t="s">
        <v>522</v>
      </c>
      <c r="F16" s="20" t="s">
        <v>523</v>
      </c>
      <c r="G16" s="8" t="str">
        <f t="shared" si="0"/>
        <v>THOMPSON LESTER</v>
      </c>
      <c r="H16" s="20" t="str">
        <f t="shared" si="1"/>
        <v>4031</v>
      </c>
    </row>
    <row r="17" spans="1:8" x14ac:dyDescent="0.25">
      <c r="A17" s="8">
        <v>43011.166122685187</v>
      </c>
      <c r="B17" s="20" t="s">
        <v>467</v>
      </c>
      <c r="C17" s="20" t="s">
        <v>633</v>
      </c>
      <c r="D17" s="134">
        <v>2530000</v>
      </c>
      <c r="E17" s="20" t="s">
        <v>528</v>
      </c>
      <c r="F17" s="20" t="s">
        <v>529</v>
      </c>
      <c r="G17" s="8" t="str">
        <f t="shared" si="0"/>
        <v>LALONDE GREGORY</v>
      </c>
      <c r="H17" s="20" t="str">
        <f t="shared" si="1"/>
        <v>4055</v>
      </c>
    </row>
    <row r="18" spans="1:8" x14ac:dyDescent="0.25">
      <c r="A18" s="8">
        <v>43011.17528935185</v>
      </c>
      <c r="B18" s="20" t="s">
        <v>597</v>
      </c>
      <c r="C18" s="20" t="s">
        <v>634</v>
      </c>
      <c r="D18" s="134">
        <v>3120000</v>
      </c>
      <c r="E18" s="20" t="s">
        <v>522</v>
      </c>
      <c r="F18" s="20" t="s">
        <v>523</v>
      </c>
      <c r="G18" s="8" t="str">
        <f t="shared" si="0"/>
        <v>THOMPSON LESTER</v>
      </c>
      <c r="H18" s="20" t="str">
        <f t="shared" si="1"/>
        <v>4032</v>
      </c>
    </row>
    <row r="19" spans="1:8" x14ac:dyDescent="0.25">
      <c r="A19" s="8">
        <v>43011.182789351849</v>
      </c>
      <c r="B19" s="20" t="s">
        <v>465</v>
      </c>
      <c r="C19" s="20" t="s">
        <v>635</v>
      </c>
      <c r="D19" s="134">
        <v>3090000</v>
      </c>
      <c r="E19" s="20" t="s">
        <v>491</v>
      </c>
      <c r="F19" s="20" t="s">
        <v>492</v>
      </c>
      <c r="G19" s="8" t="str">
        <f t="shared" si="0"/>
        <v>LAMAR NEKESHA</v>
      </c>
      <c r="H19" s="20" t="str">
        <f t="shared" si="1"/>
        <v>4059</v>
      </c>
    </row>
    <row r="20" spans="1:8" x14ac:dyDescent="0.25">
      <c r="A20" s="8">
        <v>43011.184212962966</v>
      </c>
      <c r="B20" s="20" t="s">
        <v>468</v>
      </c>
      <c r="C20" s="20" t="s">
        <v>636</v>
      </c>
      <c r="D20" s="134">
        <v>2530000</v>
      </c>
      <c r="E20" s="20" t="s">
        <v>528</v>
      </c>
      <c r="F20" s="20" t="s">
        <v>529</v>
      </c>
      <c r="G20" s="8" t="str">
        <f t="shared" si="0"/>
        <v>LALONDE GREGORY</v>
      </c>
      <c r="H20" s="20" t="str">
        <f t="shared" si="1"/>
        <v>4056</v>
      </c>
    </row>
    <row r="21" spans="1:8" x14ac:dyDescent="0.25">
      <c r="A21" s="8">
        <v>43011.192175925928</v>
      </c>
      <c r="B21" s="20" t="s">
        <v>486</v>
      </c>
      <c r="C21" s="20" t="s">
        <v>637</v>
      </c>
      <c r="D21" s="134">
        <v>940000</v>
      </c>
      <c r="E21" s="20" t="s">
        <v>526</v>
      </c>
      <c r="F21" s="20" t="s">
        <v>527</v>
      </c>
      <c r="G21" s="8" t="str">
        <f t="shared" si="0"/>
        <v>BONDS REYNALDO</v>
      </c>
      <c r="H21" s="20" t="str">
        <f t="shared" si="1"/>
        <v>4041</v>
      </c>
    </row>
    <row r="22" spans="1:8" x14ac:dyDescent="0.25">
      <c r="A22" s="26">
        <v>43011.194282407407</v>
      </c>
      <c r="B22" s="20" t="s">
        <v>469</v>
      </c>
      <c r="C22" s="20" t="s">
        <v>638</v>
      </c>
      <c r="D22" s="134">
        <v>3090000</v>
      </c>
      <c r="E22" s="20" t="s">
        <v>491</v>
      </c>
      <c r="F22" s="20" t="s">
        <v>492</v>
      </c>
      <c r="G22" s="8" t="str">
        <f t="shared" si="0"/>
        <v>LAMAR NEKESHA</v>
      </c>
      <c r="H22" s="20" t="str">
        <f t="shared" si="1"/>
        <v>4060</v>
      </c>
    </row>
    <row r="23" spans="1:8" x14ac:dyDescent="0.25">
      <c r="A23" s="8">
        <v>43011.195983796293</v>
      </c>
      <c r="B23" s="20" t="s">
        <v>521</v>
      </c>
      <c r="C23" s="20" t="s">
        <v>639</v>
      </c>
      <c r="D23" s="134">
        <v>1230000</v>
      </c>
      <c r="E23" s="20" t="s">
        <v>533</v>
      </c>
      <c r="F23" s="20" t="s">
        <v>534</v>
      </c>
      <c r="G23" s="8" t="str">
        <f t="shared" si="0"/>
        <v>YANAI IAN</v>
      </c>
      <c r="H23" s="20" t="str">
        <f t="shared" si="1"/>
        <v>4019</v>
      </c>
    </row>
    <row r="24" spans="1:8" x14ac:dyDescent="0.25">
      <c r="A24" s="8">
        <v>43011.197291666664</v>
      </c>
      <c r="B24" s="20" t="s">
        <v>521</v>
      </c>
      <c r="C24" s="20" t="s">
        <v>639</v>
      </c>
      <c r="D24" s="134">
        <v>1230000</v>
      </c>
      <c r="E24" s="20" t="s">
        <v>533</v>
      </c>
      <c r="F24" s="20" t="s">
        <v>534</v>
      </c>
      <c r="G24" s="8" t="str">
        <f t="shared" si="0"/>
        <v>YANAI IAN</v>
      </c>
      <c r="H24" s="20" t="str">
        <f t="shared" si="1"/>
        <v>4019</v>
      </c>
    </row>
    <row r="25" spans="1:8" x14ac:dyDescent="0.25">
      <c r="A25" s="8">
        <v>43011.197395833333</v>
      </c>
      <c r="B25" s="20" t="s">
        <v>407</v>
      </c>
      <c r="C25" s="20" t="s">
        <v>640</v>
      </c>
      <c r="D25" s="134">
        <v>2730000</v>
      </c>
      <c r="E25" s="20" t="s">
        <v>530</v>
      </c>
      <c r="F25" s="20" t="s">
        <v>531</v>
      </c>
      <c r="G25" s="8" t="str">
        <f t="shared" si="0"/>
        <v>YANG JAN</v>
      </c>
      <c r="H25" s="20" t="str">
        <f t="shared" si="1"/>
        <v>4044</v>
      </c>
    </row>
    <row r="26" spans="1:8" x14ac:dyDescent="0.25">
      <c r="A26" s="8">
        <v>43011.197893518518</v>
      </c>
      <c r="B26" s="20" t="s">
        <v>521</v>
      </c>
      <c r="C26" s="20" t="s">
        <v>639</v>
      </c>
      <c r="D26" s="134">
        <v>1230000</v>
      </c>
      <c r="E26" s="20" t="s">
        <v>533</v>
      </c>
      <c r="F26" s="20" t="s">
        <v>534</v>
      </c>
      <c r="G26" s="8" t="str">
        <f t="shared" si="0"/>
        <v>YANAI IAN</v>
      </c>
      <c r="H26" s="20" t="str">
        <f t="shared" si="1"/>
        <v>4019</v>
      </c>
    </row>
    <row r="27" spans="1:8" x14ac:dyDescent="0.25">
      <c r="A27" s="8">
        <v>43011.202465277776</v>
      </c>
      <c r="B27" s="20" t="s">
        <v>435</v>
      </c>
      <c r="C27" s="20" t="s">
        <v>641</v>
      </c>
      <c r="D27" s="134">
        <v>1830000</v>
      </c>
      <c r="E27" s="20" t="s">
        <v>393</v>
      </c>
      <c r="F27" s="20" t="s">
        <v>394</v>
      </c>
      <c r="G27" s="8" t="str">
        <f t="shared" si="0"/>
        <v>YORK EDGAR</v>
      </c>
      <c r="H27" s="20" t="str">
        <f t="shared" si="1"/>
        <v>4050</v>
      </c>
    </row>
    <row r="28" spans="1:8" x14ac:dyDescent="0.25">
      <c r="A28" s="8">
        <v>43011.206782407404</v>
      </c>
      <c r="B28" s="20" t="s">
        <v>524</v>
      </c>
      <c r="C28" s="20" t="s">
        <v>642</v>
      </c>
      <c r="D28" s="134">
        <v>1230000</v>
      </c>
      <c r="E28" s="20" t="s">
        <v>533</v>
      </c>
      <c r="F28" s="20" t="s">
        <v>534</v>
      </c>
      <c r="G28" s="8" t="str">
        <f t="shared" si="0"/>
        <v>YANAI IAN</v>
      </c>
      <c r="H28" s="20" t="str">
        <f t="shared" si="1"/>
        <v>4020</v>
      </c>
    </row>
    <row r="29" spans="1:8" x14ac:dyDescent="0.25">
      <c r="A29" s="8">
        <v>43011.207476851851</v>
      </c>
      <c r="B29" s="20" t="s">
        <v>524</v>
      </c>
      <c r="C29" s="20" t="s">
        <v>642</v>
      </c>
      <c r="D29" s="134">
        <v>1230000</v>
      </c>
      <c r="E29" s="20" t="s">
        <v>533</v>
      </c>
      <c r="F29" s="20" t="s">
        <v>534</v>
      </c>
      <c r="G29" s="8" t="str">
        <f t="shared" si="0"/>
        <v>YANAI IAN</v>
      </c>
      <c r="H29" s="20" t="str">
        <f t="shared" si="1"/>
        <v>4020</v>
      </c>
    </row>
    <row r="30" spans="1:8" x14ac:dyDescent="0.25">
      <c r="A30" s="8">
        <v>43011.211747685185</v>
      </c>
      <c r="B30" s="20" t="s">
        <v>392</v>
      </c>
      <c r="C30" s="20" t="s">
        <v>643</v>
      </c>
      <c r="D30" s="134">
        <v>2730000</v>
      </c>
      <c r="E30" s="20" t="s">
        <v>530</v>
      </c>
      <c r="F30" s="20" t="s">
        <v>531</v>
      </c>
      <c r="G30" s="8" t="str">
        <f t="shared" si="0"/>
        <v>YANG JAN</v>
      </c>
      <c r="H30" s="20" t="str">
        <f t="shared" si="1"/>
        <v>4043</v>
      </c>
    </row>
    <row r="31" spans="1:8" x14ac:dyDescent="0.25">
      <c r="A31" s="8">
        <v>43011.215798611112</v>
      </c>
      <c r="B31" s="20" t="s">
        <v>603</v>
      </c>
      <c r="C31" s="20" t="s">
        <v>644</v>
      </c>
      <c r="D31" s="134">
        <v>3120000</v>
      </c>
      <c r="E31" s="20" t="s">
        <v>522</v>
      </c>
      <c r="F31" s="20" t="s">
        <v>523</v>
      </c>
      <c r="G31" s="8" t="str">
        <f t="shared" si="0"/>
        <v>THOMPSON LESTER</v>
      </c>
      <c r="H31" s="20" t="str">
        <f t="shared" si="1"/>
        <v>4031</v>
      </c>
    </row>
    <row r="32" spans="1:8" x14ac:dyDescent="0.25">
      <c r="A32" s="8">
        <v>43011.216041666667</v>
      </c>
      <c r="B32" s="20" t="s">
        <v>467</v>
      </c>
      <c r="C32" s="20" t="s">
        <v>645</v>
      </c>
      <c r="D32" s="134">
        <v>2530000</v>
      </c>
      <c r="E32" s="20" t="s">
        <v>528</v>
      </c>
      <c r="F32" s="20" t="s">
        <v>529</v>
      </c>
      <c r="G32" s="8" t="str">
        <f t="shared" si="0"/>
        <v>LALONDE GREGORY</v>
      </c>
      <c r="H32" s="20" t="str">
        <f t="shared" si="1"/>
        <v>4055</v>
      </c>
    </row>
    <row r="33" spans="1:8" x14ac:dyDescent="0.25">
      <c r="A33" s="8">
        <v>43011.224212962959</v>
      </c>
      <c r="B33" s="20" t="s">
        <v>601</v>
      </c>
      <c r="C33" s="20" t="s">
        <v>646</v>
      </c>
      <c r="D33" s="134">
        <v>2560000</v>
      </c>
      <c r="E33" s="20" t="s">
        <v>489</v>
      </c>
      <c r="F33" s="20" t="s">
        <v>490</v>
      </c>
      <c r="G33" s="8" t="str">
        <f t="shared" si="0"/>
        <v>MACDONALD THOMAS</v>
      </c>
      <c r="H33" s="20" t="str">
        <f t="shared" si="1"/>
        <v>4011</v>
      </c>
    </row>
    <row r="34" spans="1:8" x14ac:dyDescent="0.25">
      <c r="A34" s="8">
        <v>43011.226770833331</v>
      </c>
      <c r="B34" s="20" t="s">
        <v>409</v>
      </c>
      <c r="C34" s="20" t="s">
        <v>596</v>
      </c>
      <c r="D34" s="134">
        <v>940000</v>
      </c>
      <c r="E34" s="20" t="s">
        <v>526</v>
      </c>
      <c r="F34" s="20" t="s">
        <v>527</v>
      </c>
      <c r="G34" s="8" t="str">
        <f t="shared" si="0"/>
        <v>BONDS REYNALDO</v>
      </c>
      <c r="H34" s="20" t="str">
        <f t="shared" si="1"/>
        <v>4042</v>
      </c>
    </row>
    <row r="35" spans="1:8" x14ac:dyDescent="0.25">
      <c r="A35" s="8">
        <v>43011.233217592591</v>
      </c>
      <c r="B35" s="20" t="s">
        <v>407</v>
      </c>
      <c r="C35" s="20" t="s">
        <v>647</v>
      </c>
      <c r="D35" s="134">
        <v>3300000</v>
      </c>
      <c r="E35" s="20" t="s">
        <v>648</v>
      </c>
      <c r="F35" s="20" t="s">
        <v>649</v>
      </c>
      <c r="G35" s="8" t="str">
        <f t="shared" si="0"/>
        <v>LANGERAK WILLIAM</v>
      </c>
      <c r="H35" s="20" t="str">
        <f t="shared" si="1"/>
        <v>4044</v>
      </c>
    </row>
    <row r="36" spans="1:8" x14ac:dyDescent="0.25">
      <c r="A36" s="8">
        <v>43011.235682870371</v>
      </c>
      <c r="B36" s="20" t="s">
        <v>465</v>
      </c>
      <c r="C36" s="20" t="s">
        <v>593</v>
      </c>
      <c r="D36" s="134">
        <v>3090000</v>
      </c>
      <c r="E36" s="20" t="s">
        <v>491</v>
      </c>
      <c r="F36" s="20" t="s">
        <v>492</v>
      </c>
      <c r="G36" s="8" t="str">
        <f t="shared" si="0"/>
        <v>LAMAR NEKESHA</v>
      </c>
      <c r="H36" s="20" t="str">
        <f t="shared" si="1"/>
        <v>4059</v>
      </c>
    </row>
    <row r="37" spans="1:8" x14ac:dyDescent="0.25">
      <c r="A37" s="8">
        <v>43011.235937500001</v>
      </c>
      <c r="B37" s="20" t="s">
        <v>594</v>
      </c>
      <c r="C37" s="20" t="s">
        <v>595</v>
      </c>
      <c r="D37" s="134">
        <v>2560000</v>
      </c>
      <c r="E37" s="20" t="s">
        <v>489</v>
      </c>
      <c r="F37" s="20" t="s">
        <v>490</v>
      </c>
      <c r="G37" s="8" t="str">
        <f t="shared" si="0"/>
        <v>MACDONALD THOMAS</v>
      </c>
      <c r="H37" s="20" t="str">
        <f t="shared" si="1"/>
        <v>4012</v>
      </c>
    </row>
    <row r="38" spans="1:8" x14ac:dyDescent="0.25">
      <c r="A38" s="8">
        <v>43011.237743055557</v>
      </c>
      <c r="B38" s="20" t="s">
        <v>630</v>
      </c>
      <c r="C38" s="20" t="s">
        <v>650</v>
      </c>
      <c r="D38" s="134">
        <v>1830000</v>
      </c>
      <c r="E38" s="20" t="s">
        <v>393</v>
      </c>
      <c r="F38" s="20" t="s">
        <v>394</v>
      </c>
      <c r="G38" s="8" t="str">
        <f t="shared" si="0"/>
        <v>YORK EDGAR</v>
      </c>
      <c r="H38" s="20" t="str">
        <f t="shared" si="1"/>
        <v>4049</v>
      </c>
    </row>
    <row r="39" spans="1:8" x14ac:dyDescent="0.25">
      <c r="A39" s="8">
        <v>43011.23846064815</v>
      </c>
      <c r="B39" s="20" t="s">
        <v>651</v>
      </c>
      <c r="C39" s="20" t="s">
        <v>652</v>
      </c>
      <c r="D39" s="134">
        <v>3000000</v>
      </c>
      <c r="E39" s="20" t="s">
        <v>653</v>
      </c>
      <c r="F39" s="20" t="s">
        <v>654</v>
      </c>
      <c r="G39" s="8" t="str">
        <f t="shared" si="0"/>
        <v>FORTUNATO FRANK</v>
      </c>
      <c r="H39" s="20" t="str">
        <f t="shared" si="1"/>
        <v>4035</v>
      </c>
    </row>
    <row r="40" spans="1:8" x14ac:dyDescent="0.25">
      <c r="A40" s="8">
        <v>43011.245983796296</v>
      </c>
      <c r="B40" s="25" t="s">
        <v>521</v>
      </c>
      <c r="C40" s="20" t="s">
        <v>655</v>
      </c>
      <c r="D40" s="134">
        <v>1230000</v>
      </c>
      <c r="E40" s="20" t="s">
        <v>533</v>
      </c>
      <c r="F40" s="20" t="s">
        <v>534</v>
      </c>
      <c r="G40" s="8" t="str">
        <f t="shared" si="0"/>
        <v>YANAI IAN</v>
      </c>
      <c r="H40" s="20" t="str">
        <f t="shared" si="1"/>
        <v>4019</v>
      </c>
    </row>
    <row r="41" spans="1:8" x14ac:dyDescent="0.25">
      <c r="A41" s="8">
        <v>43011.247048611112</v>
      </c>
      <c r="B41" s="20" t="s">
        <v>597</v>
      </c>
      <c r="C41" s="20" t="s">
        <v>598</v>
      </c>
      <c r="D41" s="134">
        <v>3030000</v>
      </c>
      <c r="E41" s="20" t="s">
        <v>535</v>
      </c>
      <c r="F41" s="20" t="s">
        <v>490</v>
      </c>
      <c r="G41" s="8" t="str">
        <f t="shared" si="0"/>
        <v>BIRENBAUM THOMAS</v>
      </c>
      <c r="H41" s="20" t="str">
        <f t="shared" si="1"/>
        <v>4032</v>
      </c>
    </row>
    <row r="42" spans="1:8" x14ac:dyDescent="0.25">
      <c r="A42" s="8">
        <v>43011.247245370374</v>
      </c>
      <c r="B42" s="20" t="s">
        <v>392</v>
      </c>
      <c r="C42" s="20" t="s">
        <v>656</v>
      </c>
      <c r="D42" s="134">
        <v>3300000</v>
      </c>
      <c r="E42" s="20" t="s">
        <v>648</v>
      </c>
      <c r="F42" s="20" t="s">
        <v>649</v>
      </c>
      <c r="G42" s="8" t="str">
        <f t="shared" si="0"/>
        <v>LANGERAK WILLIAM</v>
      </c>
      <c r="H42" s="20" t="str">
        <f t="shared" si="1"/>
        <v>4043</v>
      </c>
    </row>
    <row r="43" spans="1:8" x14ac:dyDescent="0.25">
      <c r="A43" s="8">
        <v>43011.249664351853</v>
      </c>
      <c r="B43" s="20" t="s">
        <v>599</v>
      </c>
      <c r="C43" s="20" t="s">
        <v>652</v>
      </c>
      <c r="D43" s="134">
        <v>3000000</v>
      </c>
      <c r="E43" s="20" t="s">
        <v>653</v>
      </c>
      <c r="F43" s="20" t="s">
        <v>654</v>
      </c>
      <c r="G43" s="8" t="str">
        <f t="shared" si="0"/>
        <v>FORTUNATO FRANK</v>
      </c>
      <c r="H43" s="20" t="str">
        <f t="shared" si="1"/>
        <v>4007</v>
      </c>
    </row>
    <row r="44" spans="1:8" x14ac:dyDescent="0.25">
      <c r="A44" s="8">
        <v>43011.251863425925</v>
      </c>
      <c r="B44" s="20" t="s">
        <v>465</v>
      </c>
      <c r="C44" s="20" t="s">
        <v>593</v>
      </c>
      <c r="D44" s="134">
        <v>3090000</v>
      </c>
      <c r="E44" s="20" t="s">
        <v>491</v>
      </c>
      <c r="F44" s="20" t="s">
        <v>492</v>
      </c>
      <c r="G44" s="8" t="str">
        <f t="shared" si="0"/>
        <v>LAMAR NEKESHA</v>
      </c>
      <c r="H44" s="20" t="str">
        <f t="shared" si="1"/>
        <v>4059</v>
      </c>
    </row>
    <row r="45" spans="1:8" x14ac:dyDescent="0.25">
      <c r="A45" s="8">
        <v>43011.253576388888</v>
      </c>
      <c r="B45" s="20" t="s">
        <v>594</v>
      </c>
      <c r="C45" s="20" t="s">
        <v>595</v>
      </c>
      <c r="D45" s="134">
        <v>2560000</v>
      </c>
      <c r="E45" s="20" t="s">
        <v>489</v>
      </c>
      <c r="F45" s="20" t="s">
        <v>490</v>
      </c>
      <c r="G45" s="8" t="str">
        <f t="shared" si="0"/>
        <v>MACDONALD THOMAS</v>
      </c>
      <c r="H45" s="20" t="str">
        <f t="shared" si="1"/>
        <v>4012</v>
      </c>
    </row>
    <row r="46" spans="1:8" x14ac:dyDescent="0.25">
      <c r="A46" s="8">
        <v>43011.255891203706</v>
      </c>
      <c r="B46" s="20" t="s">
        <v>468</v>
      </c>
      <c r="C46" s="20" t="s">
        <v>657</v>
      </c>
      <c r="D46" s="134">
        <v>2470000</v>
      </c>
      <c r="E46" s="20" t="s">
        <v>658</v>
      </c>
      <c r="F46" s="20" t="s">
        <v>659</v>
      </c>
      <c r="G46" s="8" t="str">
        <f t="shared" si="0"/>
        <v>ROMERO CHAD</v>
      </c>
      <c r="H46" s="20" t="str">
        <f t="shared" si="1"/>
        <v>4056</v>
      </c>
    </row>
    <row r="47" spans="1:8" x14ac:dyDescent="0.25">
      <c r="A47" s="8">
        <v>43011.259710648148</v>
      </c>
      <c r="B47" s="20" t="s">
        <v>503</v>
      </c>
      <c r="C47" s="20" t="s">
        <v>660</v>
      </c>
      <c r="D47" s="134">
        <v>3000000</v>
      </c>
      <c r="E47" s="20" t="s">
        <v>653</v>
      </c>
      <c r="F47" s="20" t="s">
        <v>654</v>
      </c>
      <c r="G47" s="8" t="str">
        <f t="shared" si="0"/>
        <v>FORTUNATO FRANK</v>
      </c>
      <c r="H47" s="20" t="str">
        <f t="shared" si="1"/>
        <v>4008</v>
      </c>
    </row>
    <row r="48" spans="1:8" x14ac:dyDescent="0.25">
      <c r="A48" s="8">
        <v>43011.261296296296</v>
      </c>
      <c r="B48" s="20" t="s">
        <v>465</v>
      </c>
      <c r="C48" s="20" t="s">
        <v>593</v>
      </c>
      <c r="D48" s="134">
        <v>3090000</v>
      </c>
      <c r="E48" s="20" t="s">
        <v>491</v>
      </c>
      <c r="F48" s="20" t="s">
        <v>492</v>
      </c>
      <c r="G48" s="8" t="str">
        <f t="shared" si="0"/>
        <v>LAMAR NEKESHA</v>
      </c>
      <c r="H48" s="20" t="str">
        <f t="shared" si="1"/>
        <v>4059</v>
      </c>
    </row>
    <row r="49" spans="1:8" x14ac:dyDescent="0.25">
      <c r="A49" s="8">
        <v>43011.266689814816</v>
      </c>
      <c r="B49" s="20" t="s">
        <v>486</v>
      </c>
      <c r="C49" s="20" t="s">
        <v>661</v>
      </c>
      <c r="D49" s="134">
        <v>940000</v>
      </c>
      <c r="E49" s="20" t="s">
        <v>526</v>
      </c>
      <c r="F49" s="20" t="s">
        <v>527</v>
      </c>
      <c r="G49" s="8" t="str">
        <f t="shared" si="0"/>
        <v>BONDS REYNALDO</v>
      </c>
      <c r="H49" s="20" t="str">
        <f t="shared" si="1"/>
        <v>4041</v>
      </c>
    </row>
    <row r="50" spans="1:8" x14ac:dyDescent="0.25">
      <c r="A50" s="8">
        <v>43011.271805555552</v>
      </c>
      <c r="B50" s="20" t="s">
        <v>469</v>
      </c>
      <c r="C50" s="20" t="s">
        <v>662</v>
      </c>
      <c r="D50" s="134">
        <v>3090000</v>
      </c>
      <c r="E50" s="20" t="s">
        <v>491</v>
      </c>
      <c r="F50" s="20" t="s">
        <v>492</v>
      </c>
      <c r="G50" s="8" t="str">
        <f t="shared" si="0"/>
        <v>LAMAR NEKESHA</v>
      </c>
      <c r="H50" s="20" t="str">
        <f t="shared" si="1"/>
        <v>4060</v>
      </c>
    </row>
    <row r="51" spans="1:8" x14ac:dyDescent="0.25">
      <c r="A51" s="8">
        <v>43011.272245370368</v>
      </c>
      <c r="B51" s="20" t="s">
        <v>599</v>
      </c>
      <c r="C51" s="20" t="s">
        <v>600</v>
      </c>
      <c r="D51" s="134">
        <v>3000000</v>
      </c>
      <c r="E51" s="20" t="s">
        <v>653</v>
      </c>
      <c r="F51" s="20" t="s">
        <v>654</v>
      </c>
      <c r="G51" s="8" t="str">
        <f t="shared" si="0"/>
        <v>FORTUNATO FRANK</v>
      </c>
      <c r="H51" s="20" t="str">
        <f t="shared" si="1"/>
        <v>4007</v>
      </c>
    </row>
    <row r="52" spans="1:8" x14ac:dyDescent="0.25">
      <c r="A52" s="8">
        <v>43011.275787037041</v>
      </c>
      <c r="B52" s="20" t="s">
        <v>407</v>
      </c>
      <c r="C52" s="20" t="s">
        <v>663</v>
      </c>
      <c r="D52" s="134">
        <v>2730000</v>
      </c>
      <c r="E52" s="20" t="s">
        <v>530</v>
      </c>
      <c r="F52" s="20" t="s">
        <v>531</v>
      </c>
      <c r="G52" s="8" t="str">
        <f t="shared" si="0"/>
        <v>YANG JAN</v>
      </c>
      <c r="H52" s="20" t="str">
        <f t="shared" si="1"/>
        <v>4044</v>
      </c>
    </row>
    <row r="53" spans="1:8" x14ac:dyDescent="0.25">
      <c r="A53" s="8">
        <v>43011.276608796295</v>
      </c>
      <c r="B53" s="20" t="s">
        <v>435</v>
      </c>
      <c r="C53" s="20" t="s">
        <v>664</v>
      </c>
      <c r="D53" s="134">
        <v>1830000</v>
      </c>
      <c r="E53" s="20" t="s">
        <v>393</v>
      </c>
      <c r="F53" s="20" t="s">
        <v>394</v>
      </c>
      <c r="G53" s="8" t="str">
        <f t="shared" si="0"/>
        <v>YORK EDGAR</v>
      </c>
      <c r="H53" s="20" t="str">
        <f t="shared" si="1"/>
        <v>4050</v>
      </c>
    </row>
    <row r="54" spans="1:8" x14ac:dyDescent="0.25">
      <c r="A54" s="8">
        <v>43011.276944444442</v>
      </c>
      <c r="B54" s="20" t="s">
        <v>601</v>
      </c>
      <c r="C54" s="20" t="s">
        <v>602</v>
      </c>
      <c r="D54" s="134">
        <v>2560000</v>
      </c>
      <c r="E54" s="20" t="s">
        <v>489</v>
      </c>
      <c r="F54" s="20" t="s">
        <v>490</v>
      </c>
      <c r="G54" s="8" t="str">
        <f t="shared" si="0"/>
        <v>MACDONALD THOMAS</v>
      </c>
      <c r="H54" s="20" t="str">
        <f t="shared" si="1"/>
        <v>4011</v>
      </c>
    </row>
    <row r="55" spans="1:8" x14ac:dyDescent="0.25">
      <c r="A55" s="8">
        <v>43011.277569444443</v>
      </c>
      <c r="B55" s="20" t="s">
        <v>603</v>
      </c>
      <c r="C55" s="20" t="s">
        <v>604</v>
      </c>
      <c r="D55" s="134">
        <v>3030000</v>
      </c>
      <c r="E55" s="20" t="s">
        <v>535</v>
      </c>
      <c r="F55" s="20" t="s">
        <v>490</v>
      </c>
      <c r="G55" s="8" t="str">
        <f t="shared" si="0"/>
        <v>BIRENBAUM THOMAS</v>
      </c>
      <c r="H55" s="20" t="str">
        <f t="shared" si="1"/>
        <v>4031</v>
      </c>
    </row>
    <row r="56" spans="1:8" x14ac:dyDescent="0.25">
      <c r="A56" s="8">
        <v>43011.282233796293</v>
      </c>
      <c r="B56" s="20" t="s">
        <v>435</v>
      </c>
      <c r="C56" s="20" t="s">
        <v>664</v>
      </c>
      <c r="D56" s="134">
        <v>1830000</v>
      </c>
      <c r="E56" s="20" t="s">
        <v>393</v>
      </c>
      <c r="F56" s="20" t="s">
        <v>394</v>
      </c>
      <c r="G56" s="8" t="str">
        <f t="shared" si="0"/>
        <v>YORK EDGAR</v>
      </c>
      <c r="H56" s="20" t="str">
        <f t="shared" si="1"/>
        <v>4050</v>
      </c>
    </row>
    <row r="57" spans="1:8" x14ac:dyDescent="0.25">
      <c r="A57" s="8">
        <v>43011.287557870368</v>
      </c>
      <c r="B57" s="20" t="s">
        <v>524</v>
      </c>
      <c r="C57" s="20" t="s">
        <v>665</v>
      </c>
      <c r="D57" s="134">
        <v>1230000</v>
      </c>
      <c r="E57" s="20" t="s">
        <v>533</v>
      </c>
      <c r="F57" s="20" t="s">
        <v>534</v>
      </c>
      <c r="G57" s="8" t="str">
        <f t="shared" si="0"/>
        <v>YANAI IAN</v>
      </c>
      <c r="H57" s="20" t="str">
        <f t="shared" si="1"/>
        <v>4020</v>
      </c>
    </row>
    <row r="58" spans="1:8" x14ac:dyDescent="0.25">
      <c r="A58" s="8">
        <v>43011.287673611114</v>
      </c>
      <c r="B58" s="20" t="s">
        <v>467</v>
      </c>
      <c r="C58" s="20" t="s">
        <v>666</v>
      </c>
      <c r="D58" s="134">
        <v>2470000</v>
      </c>
      <c r="E58" s="20" t="s">
        <v>658</v>
      </c>
      <c r="F58" s="20" t="s">
        <v>659</v>
      </c>
      <c r="G58" s="8" t="str">
        <f t="shared" si="0"/>
        <v>ROMERO CHAD</v>
      </c>
      <c r="H58" s="20" t="str">
        <f t="shared" si="1"/>
        <v>4055</v>
      </c>
    </row>
    <row r="59" spans="1:8" x14ac:dyDescent="0.25">
      <c r="A59" s="8">
        <v>43011.289872685185</v>
      </c>
      <c r="B59" s="20" t="s">
        <v>392</v>
      </c>
      <c r="C59" s="20" t="s">
        <v>667</v>
      </c>
      <c r="D59" s="134">
        <v>2730000</v>
      </c>
      <c r="E59" s="20" t="s">
        <v>530</v>
      </c>
      <c r="F59" s="20" t="s">
        <v>531</v>
      </c>
      <c r="G59" s="8" t="str">
        <f t="shared" si="0"/>
        <v>YANG JAN</v>
      </c>
      <c r="H59" s="20" t="str">
        <f t="shared" si="1"/>
        <v>4043</v>
      </c>
    </row>
    <row r="60" spans="1:8" x14ac:dyDescent="0.25">
      <c r="A60" s="8">
        <v>43011.291250000002</v>
      </c>
      <c r="B60" s="20" t="s">
        <v>503</v>
      </c>
      <c r="C60" s="20" t="s">
        <v>668</v>
      </c>
      <c r="D60" s="134">
        <v>3000000</v>
      </c>
      <c r="E60" s="20" t="s">
        <v>653</v>
      </c>
      <c r="F60" s="20" t="s">
        <v>654</v>
      </c>
      <c r="G60" s="8" t="str">
        <f t="shared" si="0"/>
        <v>FORTUNATO FRANK</v>
      </c>
      <c r="H60" s="20" t="str">
        <f t="shared" si="1"/>
        <v>4008</v>
      </c>
    </row>
    <row r="61" spans="1:8" x14ac:dyDescent="0.25">
      <c r="A61" s="8">
        <v>43011.297268518516</v>
      </c>
      <c r="B61" s="20" t="s">
        <v>409</v>
      </c>
      <c r="C61" s="20" t="s">
        <v>669</v>
      </c>
      <c r="D61" s="134">
        <v>940000</v>
      </c>
      <c r="E61" s="20" t="s">
        <v>526</v>
      </c>
      <c r="F61" s="20" t="s">
        <v>527</v>
      </c>
      <c r="G61" s="8" t="str">
        <f t="shared" si="0"/>
        <v>BONDS REYNALDO</v>
      </c>
      <c r="H61" s="20" t="str">
        <f t="shared" si="1"/>
        <v>4042</v>
      </c>
    </row>
    <row r="62" spans="1:8" x14ac:dyDescent="0.25">
      <c r="A62" s="8">
        <v>43011.307534722226</v>
      </c>
      <c r="B62" s="20" t="s">
        <v>465</v>
      </c>
      <c r="C62" s="20" t="s">
        <v>670</v>
      </c>
      <c r="D62" s="134">
        <v>3090000</v>
      </c>
      <c r="E62" s="20" t="s">
        <v>491</v>
      </c>
      <c r="F62" s="20" t="s">
        <v>492</v>
      </c>
      <c r="G62" s="8" t="str">
        <f t="shared" si="0"/>
        <v>LAMAR NEKESHA</v>
      </c>
      <c r="H62" s="20" t="str">
        <f t="shared" si="1"/>
        <v>4059</v>
      </c>
    </row>
    <row r="63" spans="1:8" x14ac:dyDescent="0.25">
      <c r="A63" s="8">
        <v>43011.309675925928</v>
      </c>
      <c r="B63" s="20" t="s">
        <v>599</v>
      </c>
      <c r="C63" s="20" t="s">
        <v>671</v>
      </c>
      <c r="D63" s="134">
        <v>3000000</v>
      </c>
      <c r="E63" s="20" t="s">
        <v>653</v>
      </c>
      <c r="F63" s="20" t="s">
        <v>654</v>
      </c>
      <c r="G63" s="8" t="str">
        <f t="shared" si="0"/>
        <v>FORTUNATO FRANK</v>
      </c>
      <c r="H63" s="20" t="str">
        <f t="shared" si="1"/>
        <v>4007</v>
      </c>
    </row>
    <row r="64" spans="1:8" x14ac:dyDescent="0.25">
      <c r="A64" s="26">
        <v>43011.310937499999</v>
      </c>
      <c r="B64" s="20" t="s">
        <v>594</v>
      </c>
      <c r="C64" s="20" t="s">
        <v>672</v>
      </c>
      <c r="D64" s="134">
        <v>2560000</v>
      </c>
      <c r="E64" s="20" t="s">
        <v>489</v>
      </c>
      <c r="F64" s="20" t="s">
        <v>490</v>
      </c>
      <c r="G64" s="8" t="str">
        <f t="shared" si="0"/>
        <v>MACDONALD THOMAS</v>
      </c>
      <c r="H64" s="20" t="str">
        <f t="shared" si="1"/>
        <v>4012</v>
      </c>
    </row>
    <row r="65" spans="1:8" x14ac:dyDescent="0.25">
      <c r="A65" s="8">
        <v>43011.313032407408</v>
      </c>
      <c r="B65" s="20" t="s">
        <v>407</v>
      </c>
      <c r="C65" s="20" t="s">
        <v>673</v>
      </c>
      <c r="D65" s="134">
        <v>2730000</v>
      </c>
      <c r="E65" s="20" t="s">
        <v>530</v>
      </c>
      <c r="F65" s="20" t="s">
        <v>531</v>
      </c>
      <c r="G65" s="8" t="str">
        <f t="shared" si="0"/>
        <v>YANG JAN</v>
      </c>
      <c r="H65" s="20" t="str">
        <f t="shared" si="1"/>
        <v>4044</v>
      </c>
    </row>
    <row r="66" spans="1:8" x14ac:dyDescent="0.25">
      <c r="A66" s="8">
        <v>43011.31821759259</v>
      </c>
      <c r="B66" s="20" t="s">
        <v>630</v>
      </c>
      <c r="C66" s="20" t="s">
        <v>674</v>
      </c>
      <c r="D66" s="134">
        <v>1830000</v>
      </c>
      <c r="E66" s="20" t="s">
        <v>393</v>
      </c>
      <c r="F66" s="20" t="s">
        <v>394</v>
      </c>
      <c r="G66" s="8" t="str">
        <f t="shared" si="0"/>
        <v>YORK EDGAR</v>
      </c>
      <c r="H66" s="20" t="str">
        <f t="shared" si="1"/>
        <v>4049</v>
      </c>
    </row>
    <row r="67" spans="1:8" x14ac:dyDescent="0.25">
      <c r="A67" s="8">
        <v>43011.318819444445</v>
      </c>
      <c r="B67" s="20" t="s">
        <v>521</v>
      </c>
      <c r="C67" s="20" t="s">
        <v>675</v>
      </c>
      <c r="D67" s="134">
        <v>1230000</v>
      </c>
      <c r="E67" s="20" t="s">
        <v>533</v>
      </c>
      <c r="F67" s="20" t="s">
        <v>534</v>
      </c>
      <c r="G67" s="8" t="str">
        <f t="shared" ref="G67:G130" si="2">E67&amp;" "&amp;F67</f>
        <v>YANAI IAN</v>
      </c>
      <c r="H67" s="20" t="str">
        <f t="shared" ref="H67:H130" si="3">MID(B67,13,4)</f>
        <v>4019</v>
      </c>
    </row>
    <row r="68" spans="1:8" x14ac:dyDescent="0.25">
      <c r="A68" s="8">
        <v>43011.322384259256</v>
      </c>
      <c r="B68" s="20" t="s">
        <v>597</v>
      </c>
      <c r="C68" s="20" t="s">
        <v>606</v>
      </c>
      <c r="D68" s="134">
        <v>3120000</v>
      </c>
      <c r="E68" s="20" t="s">
        <v>522</v>
      </c>
      <c r="F68" s="20" t="s">
        <v>523</v>
      </c>
      <c r="G68" s="8" t="str">
        <f t="shared" si="2"/>
        <v>THOMPSON LESTER</v>
      </c>
      <c r="H68" s="20" t="str">
        <f t="shared" si="3"/>
        <v>4032</v>
      </c>
    </row>
    <row r="69" spans="1:8" x14ac:dyDescent="0.25">
      <c r="A69" s="8">
        <v>43011.33</v>
      </c>
      <c r="B69" s="20" t="s">
        <v>468</v>
      </c>
      <c r="C69" s="20" t="s">
        <v>676</v>
      </c>
      <c r="D69" s="134">
        <v>2530000</v>
      </c>
      <c r="E69" s="20" t="s">
        <v>528</v>
      </c>
      <c r="F69" s="20" t="s">
        <v>529</v>
      </c>
      <c r="G69" s="8" t="str">
        <f t="shared" si="2"/>
        <v>LALONDE GREGORY</v>
      </c>
      <c r="H69" s="20" t="str">
        <f t="shared" si="3"/>
        <v>4056</v>
      </c>
    </row>
    <row r="70" spans="1:8" x14ac:dyDescent="0.25">
      <c r="A70" s="8">
        <v>43011.330555555556</v>
      </c>
      <c r="B70" s="20" t="s">
        <v>392</v>
      </c>
      <c r="C70" s="20" t="s">
        <v>677</v>
      </c>
      <c r="D70" s="134">
        <v>2730000</v>
      </c>
      <c r="E70" s="20" t="s">
        <v>530</v>
      </c>
      <c r="F70" s="20" t="s">
        <v>531</v>
      </c>
      <c r="G70" s="8" t="str">
        <f t="shared" si="2"/>
        <v>YANG JAN</v>
      </c>
      <c r="H70" s="20" t="str">
        <f t="shared" si="3"/>
        <v>4043</v>
      </c>
    </row>
    <row r="71" spans="1:8" x14ac:dyDescent="0.25">
      <c r="A71" s="8">
        <v>43011.332037037035</v>
      </c>
      <c r="B71" s="20" t="s">
        <v>503</v>
      </c>
      <c r="C71" s="20" t="s">
        <v>678</v>
      </c>
      <c r="D71" s="134">
        <v>3000000</v>
      </c>
      <c r="E71" s="20" t="s">
        <v>653</v>
      </c>
      <c r="F71" s="20" t="s">
        <v>654</v>
      </c>
      <c r="G71" s="8" t="str">
        <f t="shared" si="2"/>
        <v>FORTUNATO FRANK</v>
      </c>
      <c r="H71" s="20" t="str">
        <f t="shared" si="3"/>
        <v>4008</v>
      </c>
    </row>
    <row r="72" spans="1:8" x14ac:dyDescent="0.25">
      <c r="A72" s="8">
        <v>43011.338831018518</v>
      </c>
      <c r="B72" s="20" t="s">
        <v>486</v>
      </c>
      <c r="C72" s="20" t="s">
        <v>679</v>
      </c>
      <c r="D72" s="134">
        <v>940000</v>
      </c>
      <c r="E72" s="20" t="s">
        <v>526</v>
      </c>
      <c r="F72" s="20" t="s">
        <v>527</v>
      </c>
      <c r="G72" s="8" t="str">
        <f t="shared" si="2"/>
        <v>BONDS REYNALDO</v>
      </c>
      <c r="H72" s="20" t="str">
        <f t="shared" si="3"/>
        <v>4041</v>
      </c>
    </row>
    <row r="73" spans="1:8" x14ac:dyDescent="0.25">
      <c r="A73" s="8">
        <v>43011.341307870367</v>
      </c>
      <c r="B73" s="20" t="s">
        <v>469</v>
      </c>
      <c r="C73" s="20" t="s">
        <v>680</v>
      </c>
      <c r="D73" s="134">
        <v>3090000</v>
      </c>
      <c r="E73" s="20" t="s">
        <v>491</v>
      </c>
      <c r="F73" s="20" t="s">
        <v>492</v>
      </c>
      <c r="G73" s="8" t="str">
        <f t="shared" si="2"/>
        <v>LAMAR NEKESHA</v>
      </c>
      <c r="H73" s="20" t="str">
        <f t="shared" si="3"/>
        <v>4060</v>
      </c>
    </row>
    <row r="74" spans="1:8" x14ac:dyDescent="0.25">
      <c r="A74" s="8">
        <v>43011.342604166668</v>
      </c>
      <c r="B74" s="20" t="s">
        <v>463</v>
      </c>
      <c r="C74" s="20" t="s">
        <v>607</v>
      </c>
      <c r="D74" s="134">
        <v>1090000</v>
      </c>
      <c r="E74" s="20" t="s">
        <v>525</v>
      </c>
      <c r="F74" s="20" t="s">
        <v>493</v>
      </c>
      <c r="G74" s="8" t="str">
        <f t="shared" si="2"/>
        <v>SPECTOR MICHAEL</v>
      </c>
      <c r="H74" s="20" t="str">
        <f t="shared" si="3"/>
        <v>4062</v>
      </c>
    </row>
    <row r="75" spans="1:8" x14ac:dyDescent="0.25">
      <c r="A75" s="8">
        <v>43011.351284722223</v>
      </c>
      <c r="B75" s="20" t="s">
        <v>601</v>
      </c>
      <c r="C75" s="20" t="s">
        <v>681</v>
      </c>
      <c r="D75" s="134">
        <v>2560000</v>
      </c>
      <c r="E75" s="20" t="s">
        <v>489</v>
      </c>
      <c r="F75" s="20" t="s">
        <v>490</v>
      </c>
      <c r="G75" s="8" t="str">
        <f t="shared" si="2"/>
        <v>MACDONALD THOMAS</v>
      </c>
      <c r="H75" s="20" t="str">
        <f t="shared" si="3"/>
        <v>4011</v>
      </c>
    </row>
    <row r="76" spans="1:8" x14ac:dyDescent="0.25">
      <c r="A76" s="8">
        <v>43011.351655092592</v>
      </c>
      <c r="B76" s="20" t="s">
        <v>599</v>
      </c>
      <c r="C76" s="20" t="s">
        <v>682</v>
      </c>
      <c r="D76" s="134">
        <v>3000000</v>
      </c>
      <c r="E76" s="20" t="s">
        <v>653</v>
      </c>
      <c r="F76" s="20" t="s">
        <v>654</v>
      </c>
      <c r="G76" s="8" t="str">
        <f t="shared" si="2"/>
        <v>FORTUNATO FRANK</v>
      </c>
      <c r="H76" s="20" t="str">
        <f t="shared" si="3"/>
        <v>4007</v>
      </c>
    </row>
    <row r="77" spans="1:8" x14ac:dyDescent="0.25">
      <c r="A77" s="8">
        <v>43011.353310185186</v>
      </c>
      <c r="B77" s="20" t="s">
        <v>407</v>
      </c>
      <c r="C77" s="20" t="s">
        <v>683</v>
      </c>
      <c r="D77" s="134">
        <v>2730000</v>
      </c>
      <c r="E77" s="20" t="s">
        <v>530</v>
      </c>
      <c r="F77" s="20" t="s">
        <v>531</v>
      </c>
      <c r="G77" s="8" t="str">
        <f t="shared" si="2"/>
        <v>YANG JAN</v>
      </c>
      <c r="H77" s="20" t="str">
        <f t="shared" si="3"/>
        <v>4044</v>
      </c>
    </row>
    <row r="78" spans="1:8" x14ac:dyDescent="0.25">
      <c r="A78" s="8">
        <v>43011.357928240737</v>
      </c>
      <c r="B78" s="20" t="s">
        <v>463</v>
      </c>
      <c r="C78" s="20" t="s">
        <v>607</v>
      </c>
      <c r="D78" s="134">
        <v>1090000</v>
      </c>
      <c r="E78" s="20" t="s">
        <v>525</v>
      </c>
      <c r="F78" s="20" t="s">
        <v>493</v>
      </c>
      <c r="G78" s="8" t="str">
        <f t="shared" si="2"/>
        <v>SPECTOR MICHAEL</v>
      </c>
      <c r="H78" s="20" t="str">
        <f t="shared" si="3"/>
        <v>4062</v>
      </c>
    </row>
    <row r="79" spans="1:8" x14ac:dyDescent="0.25">
      <c r="A79" s="8">
        <v>43011.360960648148</v>
      </c>
      <c r="B79" s="20" t="s">
        <v>435</v>
      </c>
      <c r="C79" s="20" t="s">
        <v>625</v>
      </c>
      <c r="D79" s="134">
        <v>1830000</v>
      </c>
      <c r="E79" s="20" t="s">
        <v>393</v>
      </c>
      <c r="F79" s="20" t="s">
        <v>394</v>
      </c>
      <c r="G79" s="8" t="str">
        <f t="shared" si="2"/>
        <v>YORK EDGAR</v>
      </c>
      <c r="H79" s="20" t="str">
        <f t="shared" si="3"/>
        <v>4050</v>
      </c>
    </row>
    <row r="80" spans="1:8" x14ac:dyDescent="0.25">
      <c r="A80" s="8">
        <v>43011.361192129632</v>
      </c>
      <c r="B80" s="20" t="s">
        <v>603</v>
      </c>
      <c r="C80" s="20" t="s">
        <v>684</v>
      </c>
      <c r="D80" s="134">
        <v>3120000</v>
      </c>
      <c r="E80" s="20" t="s">
        <v>522</v>
      </c>
      <c r="F80" s="20" t="s">
        <v>523</v>
      </c>
      <c r="G80" s="8" t="str">
        <f t="shared" si="2"/>
        <v>THOMPSON LESTER</v>
      </c>
      <c r="H80" s="20" t="str">
        <f t="shared" si="3"/>
        <v>4031</v>
      </c>
    </row>
    <row r="81" spans="1:8" x14ac:dyDescent="0.25">
      <c r="A81" s="8">
        <v>43011.361851851849</v>
      </c>
      <c r="B81" s="20" t="s">
        <v>524</v>
      </c>
      <c r="C81" s="20" t="s">
        <v>685</v>
      </c>
      <c r="D81" s="134">
        <v>1230000</v>
      </c>
      <c r="E81" s="20" t="s">
        <v>533</v>
      </c>
      <c r="F81" s="20" t="s">
        <v>534</v>
      </c>
      <c r="G81" s="8" t="str">
        <f t="shared" si="2"/>
        <v>YANAI IAN</v>
      </c>
      <c r="H81" s="20" t="str">
        <f t="shared" si="3"/>
        <v>4020</v>
      </c>
    </row>
    <row r="82" spans="1:8" x14ac:dyDescent="0.25">
      <c r="A82" s="8">
        <v>43011.362025462964</v>
      </c>
      <c r="B82" s="20" t="s">
        <v>467</v>
      </c>
      <c r="C82" s="20" t="s">
        <v>608</v>
      </c>
      <c r="D82" s="134">
        <v>2530000</v>
      </c>
      <c r="E82" s="20" t="s">
        <v>528</v>
      </c>
      <c r="F82" s="20" t="s">
        <v>529</v>
      </c>
      <c r="G82" s="8" t="str">
        <f t="shared" si="2"/>
        <v>LALONDE GREGORY</v>
      </c>
      <c r="H82" s="20" t="str">
        <f t="shared" si="3"/>
        <v>4055</v>
      </c>
    </row>
    <row r="83" spans="1:8" x14ac:dyDescent="0.25">
      <c r="A83" s="8">
        <v>43011.363576388889</v>
      </c>
      <c r="B83" s="20" t="s">
        <v>630</v>
      </c>
      <c r="C83" s="20" t="s">
        <v>625</v>
      </c>
      <c r="D83" s="134">
        <v>1830000</v>
      </c>
      <c r="E83" s="20" t="s">
        <v>393</v>
      </c>
      <c r="F83" s="20" t="s">
        <v>394</v>
      </c>
      <c r="G83" s="8" t="str">
        <f t="shared" si="2"/>
        <v>YORK EDGAR</v>
      </c>
      <c r="H83" s="20" t="str">
        <f t="shared" si="3"/>
        <v>4049</v>
      </c>
    </row>
    <row r="84" spans="1:8" x14ac:dyDescent="0.25">
      <c r="A84" s="8">
        <v>43011.364155092589</v>
      </c>
      <c r="B84" s="20" t="s">
        <v>601</v>
      </c>
      <c r="C84" s="20" t="s">
        <v>681</v>
      </c>
      <c r="D84" s="134">
        <v>2560000</v>
      </c>
      <c r="E84" s="20" t="s">
        <v>489</v>
      </c>
      <c r="F84" s="20" t="s">
        <v>490</v>
      </c>
      <c r="G84" s="8" t="str">
        <f t="shared" si="2"/>
        <v>MACDONALD THOMAS</v>
      </c>
      <c r="H84" s="20" t="str">
        <f t="shared" si="3"/>
        <v>4011</v>
      </c>
    </row>
    <row r="85" spans="1:8" x14ac:dyDescent="0.25">
      <c r="A85" s="8">
        <v>43011.373738425929</v>
      </c>
      <c r="B85" s="20" t="s">
        <v>503</v>
      </c>
      <c r="C85" s="20" t="s">
        <v>686</v>
      </c>
      <c r="D85" s="134">
        <v>3000000</v>
      </c>
      <c r="E85" s="20" t="s">
        <v>653</v>
      </c>
      <c r="F85" s="20" t="s">
        <v>654</v>
      </c>
      <c r="G85" s="8" t="str">
        <f t="shared" si="2"/>
        <v>FORTUNATO FRANK</v>
      </c>
      <c r="H85" s="20" t="str">
        <f t="shared" si="3"/>
        <v>4008</v>
      </c>
    </row>
    <row r="86" spans="1:8" x14ac:dyDescent="0.25">
      <c r="A86" s="8">
        <v>43011.373865740738</v>
      </c>
      <c r="B86" s="20" t="s">
        <v>409</v>
      </c>
      <c r="C86" s="20" t="s">
        <v>687</v>
      </c>
      <c r="D86" s="134">
        <v>940000</v>
      </c>
      <c r="E86" s="20" t="s">
        <v>526</v>
      </c>
      <c r="F86" s="20" t="s">
        <v>527</v>
      </c>
      <c r="G86" s="8" t="str">
        <f t="shared" si="2"/>
        <v>BONDS REYNALDO</v>
      </c>
      <c r="H86" s="20" t="str">
        <f t="shared" si="3"/>
        <v>4042</v>
      </c>
    </row>
    <row r="87" spans="1:8" x14ac:dyDescent="0.25">
      <c r="A87" s="8">
        <v>43011.382337962961</v>
      </c>
      <c r="B87" s="20" t="s">
        <v>465</v>
      </c>
      <c r="C87" s="20" t="s">
        <v>688</v>
      </c>
      <c r="D87" s="134">
        <v>3090000</v>
      </c>
      <c r="E87" s="20" t="s">
        <v>491</v>
      </c>
      <c r="F87" s="20" t="s">
        <v>492</v>
      </c>
      <c r="G87" s="8" t="str">
        <f t="shared" si="2"/>
        <v>LAMAR NEKESHA</v>
      </c>
      <c r="H87" s="20" t="str">
        <f t="shared" si="3"/>
        <v>4059</v>
      </c>
    </row>
    <row r="88" spans="1:8" x14ac:dyDescent="0.25">
      <c r="A88" s="8">
        <v>43011.385243055556</v>
      </c>
      <c r="B88" s="20" t="s">
        <v>594</v>
      </c>
      <c r="C88" s="20" t="s">
        <v>609</v>
      </c>
      <c r="D88" s="134">
        <v>2560000</v>
      </c>
      <c r="E88" s="20" t="s">
        <v>489</v>
      </c>
      <c r="F88" s="20" t="s">
        <v>490</v>
      </c>
      <c r="G88" s="8" t="str">
        <f t="shared" si="2"/>
        <v>MACDONALD THOMAS</v>
      </c>
      <c r="H88" s="20" t="str">
        <f t="shared" si="3"/>
        <v>4012</v>
      </c>
    </row>
    <row r="89" spans="1:8" x14ac:dyDescent="0.25">
      <c r="A89" s="8">
        <v>43011.388981481483</v>
      </c>
      <c r="B89" s="20" t="s">
        <v>464</v>
      </c>
      <c r="C89" s="20" t="s">
        <v>689</v>
      </c>
      <c r="D89" s="134">
        <v>1090000</v>
      </c>
      <c r="E89" s="20" t="s">
        <v>525</v>
      </c>
      <c r="F89" s="20" t="s">
        <v>493</v>
      </c>
      <c r="G89" s="8" t="str">
        <f t="shared" si="2"/>
        <v>SPECTOR MICHAEL</v>
      </c>
      <c r="H89" s="20" t="str">
        <f t="shared" si="3"/>
        <v>4061</v>
      </c>
    </row>
    <row r="90" spans="1:8" x14ac:dyDescent="0.25">
      <c r="A90" s="8">
        <v>43011.392708333333</v>
      </c>
      <c r="B90" s="20" t="s">
        <v>521</v>
      </c>
      <c r="C90" s="20" t="s">
        <v>690</v>
      </c>
      <c r="D90" s="134">
        <v>1230000</v>
      </c>
      <c r="E90" s="20" t="s">
        <v>533</v>
      </c>
      <c r="F90" s="20" t="s">
        <v>534</v>
      </c>
      <c r="G90" s="8" t="str">
        <f t="shared" si="2"/>
        <v>YANAI IAN</v>
      </c>
      <c r="H90" s="20" t="str">
        <f t="shared" si="3"/>
        <v>4019</v>
      </c>
    </row>
    <row r="91" spans="1:8" x14ac:dyDescent="0.25">
      <c r="A91" s="8">
        <v>43011.393136574072</v>
      </c>
      <c r="B91" s="20" t="s">
        <v>599</v>
      </c>
      <c r="C91" s="20" t="s">
        <v>691</v>
      </c>
      <c r="D91" s="134">
        <v>3000000</v>
      </c>
      <c r="E91" s="20" t="s">
        <v>653</v>
      </c>
      <c r="F91" s="20" t="s">
        <v>654</v>
      </c>
      <c r="G91" s="8" t="str">
        <f t="shared" si="2"/>
        <v>FORTUNATO FRANK</v>
      </c>
      <c r="H91" s="20" t="str">
        <f t="shared" si="3"/>
        <v>4007</v>
      </c>
    </row>
    <row r="92" spans="1:8" x14ac:dyDescent="0.25">
      <c r="A92" s="8">
        <v>43011.395185185182</v>
      </c>
      <c r="B92" s="20" t="s">
        <v>597</v>
      </c>
      <c r="C92" s="20" t="s">
        <v>692</v>
      </c>
      <c r="D92" s="134">
        <v>3120000</v>
      </c>
      <c r="E92" s="20" t="s">
        <v>522</v>
      </c>
      <c r="F92" s="20" t="s">
        <v>523</v>
      </c>
      <c r="G92" s="8" t="str">
        <f t="shared" si="2"/>
        <v>THOMPSON LESTER</v>
      </c>
      <c r="H92" s="20" t="str">
        <f t="shared" si="3"/>
        <v>4032</v>
      </c>
    </row>
    <row r="93" spans="1:8" x14ac:dyDescent="0.25">
      <c r="A93" s="8">
        <v>43011.405752314815</v>
      </c>
      <c r="B93" s="20" t="s">
        <v>468</v>
      </c>
      <c r="C93" s="20" t="s">
        <v>693</v>
      </c>
      <c r="D93" s="134">
        <v>2530000</v>
      </c>
      <c r="E93" s="20" t="s">
        <v>528</v>
      </c>
      <c r="F93" s="20" t="s">
        <v>529</v>
      </c>
      <c r="G93" s="8" t="str">
        <f t="shared" si="2"/>
        <v>LALONDE GREGORY</v>
      </c>
      <c r="H93" s="20" t="str">
        <f t="shared" si="3"/>
        <v>4056</v>
      </c>
    </row>
    <row r="94" spans="1:8" x14ac:dyDescent="0.25">
      <c r="A94" s="8">
        <v>43011.41128472222</v>
      </c>
      <c r="B94" s="20" t="s">
        <v>486</v>
      </c>
      <c r="C94" s="20" t="s">
        <v>610</v>
      </c>
      <c r="D94" s="134">
        <v>940000</v>
      </c>
      <c r="E94" s="20" t="s">
        <v>526</v>
      </c>
      <c r="F94" s="20" t="s">
        <v>527</v>
      </c>
      <c r="G94" s="8" t="str">
        <f t="shared" si="2"/>
        <v>BONDS REYNALDO</v>
      </c>
      <c r="H94" s="20" t="str">
        <f t="shared" si="3"/>
        <v>4041</v>
      </c>
    </row>
    <row r="95" spans="1:8" x14ac:dyDescent="0.25">
      <c r="A95" s="8">
        <v>43011.415208333332</v>
      </c>
      <c r="B95" s="20" t="s">
        <v>503</v>
      </c>
      <c r="C95" s="20" t="s">
        <v>694</v>
      </c>
      <c r="D95" s="134">
        <v>3000000</v>
      </c>
      <c r="E95" s="20" t="s">
        <v>653</v>
      </c>
      <c r="F95" s="20" t="s">
        <v>654</v>
      </c>
      <c r="G95" s="8" t="str">
        <f t="shared" si="2"/>
        <v>FORTUNATO FRANK</v>
      </c>
      <c r="H95" s="20" t="str">
        <f t="shared" si="3"/>
        <v>4008</v>
      </c>
    </row>
    <row r="96" spans="1:8" x14ac:dyDescent="0.25">
      <c r="A96" s="8">
        <v>43011.416331018518</v>
      </c>
      <c r="B96" s="20" t="s">
        <v>469</v>
      </c>
      <c r="C96" s="20" t="s">
        <v>695</v>
      </c>
      <c r="D96" s="134">
        <v>3030000</v>
      </c>
      <c r="E96" s="20" t="s">
        <v>535</v>
      </c>
      <c r="F96" s="20" t="s">
        <v>490</v>
      </c>
      <c r="G96" s="8" t="str">
        <f t="shared" si="2"/>
        <v>BIRENBAUM THOMAS</v>
      </c>
      <c r="H96" s="20" t="str">
        <f t="shared" si="3"/>
        <v>4060</v>
      </c>
    </row>
    <row r="97" spans="1:8" x14ac:dyDescent="0.25">
      <c r="A97" s="8">
        <v>43011.423368055555</v>
      </c>
      <c r="B97" s="20" t="s">
        <v>601</v>
      </c>
      <c r="C97" s="20" t="s">
        <v>696</v>
      </c>
      <c r="D97" s="134">
        <v>2560000</v>
      </c>
      <c r="E97" s="20" t="s">
        <v>489</v>
      </c>
      <c r="F97" s="20" t="s">
        <v>490</v>
      </c>
      <c r="G97" s="8" t="str">
        <f t="shared" si="2"/>
        <v>MACDONALD THOMAS</v>
      </c>
      <c r="H97" s="20" t="str">
        <f t="shared" si="3"/>
        <v>4011</v>
      </c>
    </row>
    <row r="98" spans="1:8" x14ac:dyDescent="0.25">
      <c r="A98" s="8">
        <v>43011.424803240741</v>
      </c>
      <c r="B98" s="20" t="s">
        <v>463</v>
      </c>
      <c r="C98" s="20" t="s">
        <v>697</v>
      </c>
      <c r="D98" s="134">
        <v>2730000</v>
      </c>
      <c r="E98" s="20" t="s">
        <v>530</v>
      </c>
      <c r="F98" s="20" t="s">
        <v>531</v>
      </c>
      <c r="G98" s="8" t="str">
        <f t="shared" si="2"/>
        <v>YANG JAN</v>
      </c>
      <c r="H98" s="20" t="str">
        <f t="shared" si="3"/>
        <v>4062</v>
      </c>
    </row>
    <row r="99" spans="1:8" x14ac:dyDescent="0.25">
      <c r="A99" s="8">
        <v>43011.432256944441</v>
      </c>
      <c r="B99" s="20" t="s">
        <v>467</v>
      </c>
      <c r="C99" s="20" t="s">
        <v>698</v>
      </c>
      <c r="D99" s="134">
        <v>2530000</v>
      </c>
      <c r="E99" s="20" t="s">
        <v>528</v>
      </c>
      <c r="F99" s="20" t="s">
        <v>529</v>
      </c>
      <c r="G99" s="8" t="str">
        <f t="shared" si="2"/>
        <v>LALONDE GREGORY</v>
      </c>
      <c r="H99" s="20" t="str">
        <f t="shared" si="3"/>
        <v>4055</v>
      </c>
    </row>
    <row r="100" spans="1:8" x14ac:dyDescent="0.25">
      <c r="A100" s="8">
        <v>43011.434479166666</v>
      </c>
      <c r="B100" s="20" t="s">
        <v>603</v>
      </c>
      <c r="C100" s="20" t="s">
        <v>611</v>
      </c>
      <c r="D100" s="134">
        <v>3120000</v>
      </c>
      <c r="E100" s="20" t="s">
        <v>522</v>
      </c>
      <c r="F100" s="20" t="s">
        <v>523</v>
      </c>
      <c r="G100" s="8" t="str">
        <f t="shared" si="2"/>
        <v>THOMPSON LESTER</v>
      </c>
      <c r="H100" s="20" t="str">
        <f t="shared" si="3"/>
        <v>4031</v>
      </c>
    </row>
    <row r="101" spans="1:8" x14ac:dyDescent="0.25">
      <c r="A101" s="8">
        <v>43011.434976851851</v>
      </c>
      <c r="B101" s="20" t="s">
        <v>599</v>
      </c>
      <c r="C101" s="20" t="s">
        <v>699</v>
      </c>
      <c r="D101" s="134">
        <v>3000000</v>
      </c>
      <c r="E101" s="20" t="s">
        <v>653</v>
      </c>
      <c r="F101" s="20" t="s">
        <v>654</v>
      </c>
      <c r="G101" s="8" t="str">
        <f t="shared" si="2"/>
        <v>FORTUNATO FRANK</v>
      </c>
      <c r="H101" s="20" t="str">
        <f t="shared" si="3"/>
        <v>4007</v>
      </c>
    </row>
    <row r="102" spans="1:8" x14ac:dyDescent="0.25">
      <c r="A102" s="8">
        <v>43011.43509259259</v>
      </c>
      <c r="B102" s="20" t="s">
        <v>435</v>
      </c>
      <c r="C102" s="20" t="s">
        <v>700</v>
      </c>
      <c r="D102" s="134">
        <v>1230000</v>
      </c>
      <c r="E102" s="20" t="s">
        <v>533</v>
      </c>
      <c r="F102" s="20" t="s">
        <v>534</v>
      </c>
      <c r="G102" s="8" t="str">
        <f t="shared" si="2"/>
        <v>YANAI IAN</v>
      </c>
      <c r="H102" s="20" t="str">
        <f t="shared" si="3"/>
        <v>4050</v>
      </c>
    </row>
    <row r="103" spans="1:8" x14ac:dyDescent="0.25">
      <c r="A103" s="8">
        <v>43011.444016203706</v>
      </c>
      <c r="B103" s="20" t="s">
        <v>465</v>
      </c>
      <c r="C103" s="20" t="s">
        <v>612</v>
      </c>
      <c r="D103" s="134">
        <v>3030000</v>
      </c>
      <c r="E103" s="20" t="s">
        <v>535</v>
      </c>
      <c r="F103" s="20" t="s">
        <v>490</v>
      </c>
      <c r="G103" s="8" t="str">
        <f t="shared" si="2"/>
        <v>BIRENBAUM THOMAS</v>
      </c>
      <c r="H103" s="20" t="str">
        <f t="shared" si="3"/>
        <v>4059</v>
      </c>
    </row>
    <row r="104" spans="1:8" x14ac:dyDescent="0.25">
      <c r="A104" s="8">
        <v>43011.444710648146</v>
      </c>
      <c r="B104" s="20" t="s">
        <v>409</v>
      </c>
      <c r="C104" s="20" t="s">
        <v>701</v>
      </c>
      <c r="D104" s="134">
        <v>920000</v>
      </c>
      <c r="E104" s="20" t="s">
        <v>342</v>
      </c>
      <c r="F104" s="20" t="s">
        <v>493</v>
      </c>
      <c r="G104" s="8" t="str">
        <f t="shared" si="2"/>
        <v>DAVIS MICHAEL</v>
      </c>
      <c r="H104" s="20" t="str">
        <f t="shared" si="3"/>
        <v>4042</v>
      </c>
    </row>
    <row r="105" spans="1:8" x14ac:dyDescent="0.25">
      <c r="A105" s="8">
        <v>43011.444791666669</v>
      </c>
      <c r="B105" s="20" t="s">
        <v>651</v>
      </c>
      <c r="C105" s="20" t="s">
        <v>702</v>
      </c>
      <c r="D105" s="134">
        <v>2040000</v>
      </c>
      <c r="E105" s="20" t="s">
        <v>703</v>
      </c>
      <c r="F105" s="20" t="s">
        <v>704</v>
      </c>
      <c r="G105" s="8" t="str">
        <f t="shared" si="2"/>
        <v>MOSES BRADLEY</v>
      </c>
      <c r="H105" s="20" t="str">
        <f t="shared" si="3"/>
        <v>4035</v>
      </c>
    </row>
    <row r="106" spans="1:8" x14ac:dyDescent="0.25">
      <c r="A106" s="8">
        <v>43011.456331018519</v>
      </c>
      <c r="B106" s="20" t="s">
        <v>594</v>
      </c>
      <c r="C106" s="20" t="s">
        <v>705</v>
      </c>
      <c r="D106" s="134">
        <v>2560000</v>
      </c>
      <c r="E106" s="20" t="s">
        <v>489</v>
      </c>
      <c r="F106" s="20" t="s">
        <v>490</v>
      </c>
      <c r="G106" s="8" t="str">
        <f t="shared" si="2"/>
        <v>MACDONALD THOMAS</v>
      </c>
      <c r="H106" s="20" t="str">
        <f t="shared" si="3"/>
        <v>4012</v>
      </c>
    </row>
    <row r="107" spans="1:8" x14ac:dyDescent="0.25">
      <c r="A107" s="8">
        <v>43011.457546296297</v>
      </c>
      <c r="B107" s="20" t="s">
        <v>503</v>
      </c>
      <c r="C107" s="20" t="s">
        <v>706</v>
      </c>
      <c r="D107" s="134">
        <v>3000000</v>
      </c>
      <c r="E107" s="20" t="s">
        <v>653</v>
      </c>
      <c r="F107" s="20" t="s">
        <v>654</v>
      </c>
      <c r="G107" s="8" t="str">
        <f t="shared" si="2"/>
        <v>FORTUNATO FRANK</v>
      </c>
      <c r="H107" s="20" t="str">
        <f t="shared" si="3"/>
        <v>4008</v>
      </c>
    </row>
    <row r="108" spans="1:8" x14ac:dyDescent="0.25">
      <c r="A108" s="8">
        <v>43011.461087962962</v>
      </c>
      <c r="B108" s="20" t="s">
        <v>464</v>
      </c>
      <c r="C108" s="20" t="s">
        <v>707</v>
      </c>
      <c r="D108" s="134">
        <v>2730000</v>
      </c>
      <c r="E108" s="20" t="s">
        <v>530</v>
      </c>
      <c r="F108" s="20" t="s">
        <v>531</v>
      </c>
      <c r="G108" s="8" t="str">
        <f t="shared" si="2"/>
        <v>YANG JAN</v>
      </c>
      <c r="H108" s="20" t="str">
        <f t="shared" si="3"/>
        <v>4061</v>
      </c>
    </row>
    <row r="109" spans="1:8" x14ac:dyDescent="0.25">
      <c r="A109" s="8">
        <v>43011.464479166665</v>
      </c>
      <c r="B109" s="20" t="s">
        <v>630</v>
      </c>
      <c r="C109" s="20" t="s">
        <v>708</v>
      </c>
      <c r="D109" s="134">
        <v>1230000</v>
      </c>
      <c r="E109" s="20" t="s">
        <v>533</v>
      </c>
      <c r="F109" s="20" t="s">
        <v>534</v>
      </c>
      <c r="G109" s="8" t="str">
        <f t="shared" si="2"/>
        <v>YANAI IAN</v>
      </c>
      <c r="H109" s="20" t="str">
        <f t="shared" si="3"/>
        <v>4049</v>
      </c>
    </row>
    <row r="110" spans="1:8" x14ac:dyDescent="0.25">
      <c r="A110" s="8">
        <v>43011.466620370367</v>
      </c>
      <c r="B110" s="20" t="s">
        <v>597</v>
      </c>
      <c r="C110" s="20" t="s">
        <v>709</v>
      </c>
      <c r="D110" s="134">
        <v>1770000</v>
      </c>
      <c r="E110" s="20" t="s">
        <v>710</v>
      </c>
      <c r="F110" s="20" t="s">
        <v>711</v>
      </c>
      <c r="G110" s="8" t="str">
        <f t="shared" si="2"/>
        <v>BRUDER RICHARD</v>
      </c>
      <c r="H110" s="20" t="str">
        <f t="shared" si="3"/>
        <v>4032</v>
      </c>
    </row>
    <row r="111" spans="1:8" x14ac:dyDescent="0.25">
      <c r="A111" s="8">
        <v>43011.473819444444</v>
      </c>
      <c r="B111" s="20" t="s">
        <v>468</v>
      </c>
      <c r="C111" s="20" t="s">
        <v>712</v>
      </c>
      <c r="D111" s="134">
        <v>2600000</v>
      </c>
      <c r="E111" s="20" t="s">
        <v>536</v>
      </c>
      <c r="F111" s="20" t="s">
        <v>472</v>
      </c>
      <c r="G111" s="8" t="str">
        <f t="shared" si="2"/>
        <v>DAVIDSON DAVID</v>
      </c>
      <c r="H111" s="20" t="str">
        <f t="shared" si="3"/>
        <v>4056</v>
      </c>
    </row>
    <row r="112" spans="1:8" x14ac:dyDescent="0.25">
      <c r="A112" s="8">
        <v>43011.4762962963</v>
      </c>
      <c r="B112" s="20" t="s">
        <v>599</v>
      </c>
      <c r="C112" s="20" t="s">
        <v>713</v>
      </c>
      <c r="D112" s="134">
        <v>3000000</v>
      </c>
      <c r="E112" s="20" t="s">
        <v>653</v>
      </c>
      <c r="F112" s="20" t="s">
        <v>654</v>
      </c>
      <c r="G112" s="8" t="str">
        <f t="shared" si="2"/>
        <v>FORTUNATO FRANK</v>
      </c>
      <c r="H112" s="20" t="str">
        <f t="shared" si="3"/>
        <v>4007</v>
      </c>
    </row>
    <row r="113" spans="1:8" x14ac:dyDescent="0.25">
      <c r="A113" s="8">
        <v>43011.476770833331</v>
      </c>
      <c r="B113" s="20" t="s">
        <v>714</v>
      </c>
      <c r="C113" s="20" t="s">
        <v>715</v>
      </c>
      <c r="D113" s="134">
        <v>2470000</v>
      </c>
      <c r="E113" s="20" t="s">
        <v>658</v>
      </c>
      <c r="F113" s="20" t="s">
        <v>659</v>
      </c>
      <c r="G113" s="8" t="str">
        <f t="shared" si="2"/>
        <v>ROMERO CHAD</v>
      </c>
      <c r="H113" s="20" t="str">
        <f t="shared" si="3"/>
        <v>4036</v>
      </c>
    </row>
    <row r="114" spans="1:8" x14ac:dyDescent="0.25">
      <c r="A114" s="8">
        <v>43011.484953703701</v>
      </c>
      <c r="B114" s="20" t="s">
        <v>469</v>
      </c>
      <c r="C114" s="20" t="s">
        <v>716</v>
      </c>
      <c r="D114" s="134">
        <v>1300000</v>
      </c>
      <c r="E114" s="20" t="s">
        <v>539</v>
      </c>
      <c r="F114" s="20" t="s">
        <v>540</v>
      </c>
      <c r="G114" s="8" t="str">
        <f t="shared" si="2"/>
        <v>LEVIN SCOTT</v>
      </c>
      <c r="H114" s="20" t="str">
        <f t="shared" si="3"/>
        <v>4060</v>
      </c>
    </row>
    <row r="115" spans="1:8" x14ac:dyDescent="0.25">
      <c r="A115" s="8">
        <v>43011.485902777778</v>
      </c>
      <c r="B115" s="20" t="s">
        <v>486</v>
      </c>
      <c r="C115" s="20" t="s">
        <v>717</v>
      </c>
      <c r="D115" s="134">
        <v>920000</v>
      </c>
      <c r="E115" s="20" t="s">
        <v>342</v>
      </c>
      <c r="F115" s="20" t="s">
        <v>493</v>
      </c>
      <c r="G115" s="8" t="str">
        <f t="shared" si="2"/>
        <v>DAVIS MICHAEL</v>
      </c>
      <c r="H115" s="20" t="str">
        <f t="shared" si="3"/>
        <v>4041</v>
      </c>
    </row>
    <row r="116" spans="1:8" x14ac:dyDescent="0.25">
      <c r="A116" s="8">
        <v>43011.495555555557</v>
      </c>
      <c r="B116" s="20" t="s">
        <v>651</v>
      </c>
      <c r="C116" s="20" t="s">
        <v>718</v>
      </c>
      <c r="D116" s="134">
        <v>2230000</v>
      </c>
      <c r="E116" s="20" t="s">
        <v>500</v>
      </c>
      <c r="F116" s="20" t="s">
        <v>493</v>
      </c>
      <c r="G116" s="8" t="str">
        <f t="shared" si="2"/>
        <v>SMITH MICHAEL</v>
      </c>
      <c r="H116" s="20" t="str">
        <f t="shared" si="3"/>
        <v>4035</v>
      </c>
    </row>
    <row r="117" spans="1:8" x14ac:dyDescent="0.25">
      <c r="A117" s="8">
        <v>43011.496122685188</v>
      </c>
      <c r="B117" s="20" t="s">
        <v>524</v>
      </c>
      <c r="C117" s="20" t="s">
        <v>613</v>
      </c>
      <c r="D117" s="134">
        <v>1810000</v>
      </c>
      <c r="E117" s="20" t="s">
        <v>719</v>
      </c>
      <c r="F117" s="20" t="s">
        <v>368</v>
      </c>
      <c r="G117" s="8" t="str">
        <f t="shared" si="2"/>
        <v>NEWELL JAMES</v>
      </c>
      <c r="H117" s="20" t="str">
        <f t="shared" si="3"/>
        <v>4020</v>
      </c>
    </row>
    <row r="118" spans="1:8" x14ac:dyDescent="0.25">
      <c r="A118" s="8">
        <v>43011.496504629627</v>
      </c>
      <c r="B118" s="20" t="s">
        <v>463</v>
      </c>
      <c r="C118" s="20" t="s">
        <v>720</v>
      </c>
      <c r="D118" s="134">
        <v>1180000</v>
      </c>
      <c r="E118" s="20" t="s">
        <v>537</v>
      </c>
      <c r="F118" s="20" t="s">
        <v>538</v>
      </c>
      <c r="G118" s="8" t="str">
        <f t="shared" si="2"/>
        <v>LEVERE CRAIG</v>
      </c>
      <c r="H118" s="20" t="str">
        <f t="shared" si="3"/>
        <v>4062</v>
      </c>
    </row>
    <row r="119" spans="1:8" x14ac:dyDescent="0.25">
      <c r="A119" s="8">
        <v>43011.49695601852</v>
      </c>
      <c r="B119" s="20" t="s">
        <v>601</v>
      </c>
      <c r="C119" s="20" t="s">
        <v>721</v>
      </c>
      <c r="D119" s="134">
        <v>2560000</v>
      </c>
      <c r="E119" s="20" t="s">
        <v>489</v>
      </c>
      <c r="F119" s="20" t="s">
        <v>490</v>
      </c>
      <c r="G119" s="8" t="str">
        <f t="shared" si="2"/>
        <v>MACDONALD THOMAS</v>
      </c>
      <c r="H119" s="20" t="str">
        <f t="shared" si="3"/>
        <v>4011</v>
      </c>
    </row>
    <row r="120" spans="1:8" x14ac:dyDescent="0.25">
      <c r="A120" s="8">
        <v>43011.498460648145</v>
      </c>
      <c r="B120" s="20" t="s">
        <v>503</v>
      </c>
      <c r="C120" s="20" t="s">
        <v>722</v>
      </c>
      <c r="D120" s="134">
        <v>3000000</v>
      </c>
      <c r="E120" s="20" t="s">
        <v>653</v>
      </c>
      <c r="F120" s="20" t="s">
        <v>654</v>
      </c>
      <c r="G120" s="8" t="str">
        <f t="shared" si="2"/>
        <v>FORTUNATO FRANK</v>
      </c>
      <c r="H120" s="20" t="str">
        <f t="shared" si="3"/>
        <v>4008</v>
      </c>
    </row>
    <row r="121" spans="1:8" x14ac:dyDescent="0.25">
      <c r="A121" s="8">
        <v>43011.506481481483</v>
      </c>
      <c r="B121" s="20" t="s">
        <v>603</v>
      </c>
      <c r="C121" s="20" t="s">
        <v>723</v>
      </c>
      <c r="D121" s="134">
        <v>1770000</v>
      </c>
      <c r="E121" s="20" t="s">
        <v>710</v>
      </c>
      <c r="F121" s="20" t="s">
        <v>711</v>
      </c>
      <c r="G121" s="8" t="str">
        <f t="shared" si="2"/>
        <v>BRUDER RICHARD</v>
      </c>
      <c r="H121" s="20" t="str">
        <f t="shared" si="3"/>
        <v>4031</v>
      </c>
    </row>
    <row r="122" spans="1:8" x14ac:dyDescent="0.25">
      <c r="A122" s="8">
        <v>43011.506909722222</v>
      </c>
      <c r="B122" s="25" t="s">
        <v>467</v>
      </c>
      <c r="C122" s="20" t="s">
        <v>724</v>
      </c>
      <c r="D122" s="134">
        <v>2600000</v>
      </c>
      <c r="E122" s="20" t="s">
        <v>536</v>
      </c>
      <c r="F122" s="20" t="s">
        <v>472</v>
      </c>
      <c r="G122" s="8" t="str">
        <f t="shared" si="2"/>
        <v>DAVIDSON DAVID</v>
      </c>
      <c r="H122" s="20" t="str">
        <f t="shared" si="3"/>
        <v>4055</v>
      </c>
    </row>
    <row r="123" spans="1:8" x14ac:dyDescent="0.25">
      <c r="A123" s="8">
        <v>43011.508240740739</v>
      </c>
      <c r="B123" s="20" t="s">
        <v>435</v>
      </c>
      <c r="C123" s="20" t="s">
        <v>725</v>
      </c>
      <c r="D123" s="134">
        <v>2630000</v>
      </c>
      <c r="E123" s="20" t="s">
        <v>494</v>
      </c>
      <c r="F123" s="20" t="s">
        <v>495</v>
      </c>
      <c r="G123" s="8" t="str">
        <f t="shared" si="2"/>
        <v>SAFIEF AEIMEN</v>
      </c>
      <c r="H123" s="20" t="str">
        <f t="shared" si="3"/>
        <v>4050</v>
      </c>
    </row>
    <row r="124" spans="1:8" x14ac:dyDescent="0.25">
      <c r="A124" s="8">
        <v>43011.516770833332</v>
      </c>
      <c r="B124" s="20" t="s">
        <v>714</v>
      </c>
      <c r="C124" s="20" t="s">
        <v>726</v>
      </c>
      <c r="D124" s="134">
        <v>1780000</v>
      </c>
      <c r="E124" s="20" t="s">
        <v>727</v>
      </c>
      <c r="F124" s="20" t="s">
        <v>728</v>
      </c>
      <c r="G124" s="8" t="str">
        <f t="shared" si="2"/>
        <v>DE LA ROSA ALEX</v>
      </c>
      <c r="H124" s="20" t="str">
        <f t="shared" si="3"/>
        <v>4036</v>
      </c>
    </row>
    <row r="125" spans="1:8" x14ac:dyDescent="0.25">
      <c r="A125" s="8">
        <v>43011.518460648149</v>
      </c>
      <c r="B125" s="20" t="s">
        <v>599</v>
      </c>
      <c r="C125" s="20" t="s">
        <v>729</v>
      </c>
      <c r="D125" s="134">
        <v>3000000</v>
      </c>
      <c r="E125" s="20" t="s">
        <v>653</v>
      </c>
      <c r="F125" s="20" t="s">
        <v>654</v>
      </c>
      <c r="G125" s="8" t="str">
        <f t="shared" si="2"/>
        <v>FORTUNATO FRANK</v>
      </c>
      <c r="H125" s="20" t="str">
        <f t="shared" si="3"/>
        <v>4007</v>
      </c>
    </row>
    <row r="126" spans="1:8" x14ac:dyDescent="0.25">
      <c r="A126" s="8">
        <v>43011.518912037034</v>
      </c>
      <c r="B126" s="20" t="s">
        <v>409</v>
      </c>
      <c r="C126" s="20" t="s">
        <v>730</v>
      </c>
      <c r="D126" s="134">
        <v>920000</v>
      </c>
      <c r="E126" s="20" t="s">
        <v>342</v>
      </c>
      <c r="F126" s="20" t="s">
        <v>493</v>
      </c>
      <c r="G126" s="8" t="str">
        <f t="shared" si="2"/>
        <v>DAVIS MICHAEL</v>
      </c>
      <c r="H126" s="20" t="str">
        <f t="shared" si="3"/>
        <v>4042</v>
      </c>
    </row>
    <row r="127" spans="1:8" x14ac:dyDescent="0.25">
      <c r="A127" s="8">
        <v>43011.520532407405</v>
      </c>
      <c r="B127" s="20" t="s">
        <v>651</v>
      </c>
      <c r="C127" s="20" t="s">
        <v>726</v>
      </c>
      <c r="D127" s="134">
        <v>1780000</v>
      </c>
      <c r="E127" s="20" t="s">
        <v>727</v>
      </c>
      <c r="F127" s="20" t="s">
        <v>728</v>
      </c>
      <c r="G127" s="8" t="str">
        <f t="shared" si="2"/>
        <v>DE LA ROSA ALEX</v>
      </c>
      <c r="H127" s="20" t="str">
        <f t="shared" si="3"/>
        <v>4035</v>
      </c>
    </row>
    <row r="128" spans="1:8" x14ac:dyDescent="0.25">
      <c r="A128" s="8">
        <v>43011.521238425928</v>
      </c>
      <c r="B128" s="20" t="s">
        <v>651</v>
      </c>
      <c r="C128" s="20" t="s">
        <v>726</v>
      </c>
      <c r="D128" s="134">
        <v>1780000</v>
      </c>
      <c r="E128" s="20" t="s">
        <v>727</v>
      </c>
      <c r="F128" s="20" t="s">
        <v>728</v>
      </c>
      <c r="G128" s="8" t="str">
        <f t="shared" si="2"/>
        <v>DE LA ROSA ALEX</v>
      </c>
      <c r="H128" s="20" t="str">
        <f t="shared" si="3"/>
        <v>4035</v>
      </c>
    </row>
    <row r="129" spans="1:8" x14ac:dyDescent="0.25">
      <c r="A129" s="8">
        <v>43011.5233912037</v>
      </c>
      <c r="B129" s="20" t="s">
        <v>465</v>
      </c>
      <c r="C129" s="20" t="s">
        <v>614</v>
      </c>
      <c r="D129" s="134">
        <v>1300000</v>
      </c>
      <c r="E129" s="20" t="s">
        <v>539</v>
      </c>
      <c r="F129" s="20" t="s">
        <v>540</v>
      </c>
      <c r="G129" s="8" t="str">
        <f t="shared" si="2"/>
        <v>LEVIN SCOTT</v>
      </c>
      <c r="H129" s="20" t="str">
        <f t="shared" si="3"/>
        <v>4059</v>
      </c>
    </row>
    <row r="130" spans="1:8" x14ac:dyDescent="0.25">
      <c r="A130" s="8">
        <v>43011.528148148151</v>
      </c>
      <c r="B130" s="20" t="s">
        <v>594</v>
      </c>
      <c r="C130" s="20" t="s">
        <v>731</v>
      </c>
      <c r="D130" s="134">
        <v>2040000</v>
      </c>
      <c r="E130" s="20" t="s">
        <v>703</v>
      </c>
      <c r="F130" s="20" t="s">
        <v>704</v>
      </c>
      <c r="G130" s="8" t="str">
        <f t="shared" si="2"/>
        <v>MOSES BRADLEY</v>
      </c>
      <c r="H130" s="20" t="str">
        <f t="shared" si="3"/>
        <v>4012</v>
      </c>
    </row>
    <row r="131" spans="1:8" x14ac:dyDescent="0.25">
      <c r="A131" s="8">
        <v>43011.533020833333</v>
      </c>
      <c r="B131" s="20" t="s">
        <v>524</v>
      </c>
      <c r="C131" s="20" t="s">
        <v>721</v>
      </c>
      <c r="D131" s="134">
        <v>2560000</v>
      </c>
      <c r="E131" s="20" t="s">
        <v>489</v>
      </c>
      <c r="F131" s="20" t="s">
        <v>490</v>
      </c>
      <c r="G131" s="8" t="str">
        <f t="shared" ref="G131:G194" si="4">E131&amp;" "&amp;F131</f>
        <v>MACDONALD THOMAS</v>
      </c>
      <c r="H131" s="20" t="str">
        <f t="shared" ref="H131:H194" si="5">MID(B131,13,4)</f>
        <v>4020</v>
      </c>
    </row>
    <row r="132" spans="1:8" x14ac:dyDescent="0.25">
      <c r="A132" s="8">
        <v>43011.533831018518</v>
      </c>
      <c r="B132" s="20" t="s">
        <v>524</v>
      </c>
      <c r="C132" s="20" t="s">
        <v>613</v>
      </c>
      <c r="D132" s="134">
        <v>2560000</v>
      </c>
      <c r="E132" s="20" t="s">
        <v>489</v>
      </c>
      <c r="F132" s="20" t="s">
        <v>490</v>
      </c>
      <c r="G132" s="8" t="str">
        <f t="shared" si="4"/>
        <v>MACDONALD THOMAS</v>
      </c>
      <c r="H132" s="20" t="str">
        <f t="shared" si="5"/>
        <v>4020</v>
      </c>
    </row>
    <row r="133" spans="1:8" x14ac:dyDescent="0.25">
      <c r="A133" s="8">
        <v>43011.534050925926</v>
      </c>
      <c r="B133" s="20" t="s">
        <v>464</v>
      </c>
      <c r="C133" s="20" t="s">
        <v>732</v>
      </c>
      <c r="D133" s="134">
        <v>1180000</v>
      </c>
      <c r="E133" s="20" t="s">
        <v>537</v>
      </c>
      <c r="F133" s="20" t="s">
        <v>538</v>
      </c>
      <c r="G133" s="8" t="str">
        <f t="shared" si="4"/>
        <v>LEVERE CRAIG</v>
      </c>
      <c r="H133" s="20" t="str">
        <f t="shared" si="5"/>
        <v>4061</v>
      </c>
    </row>
    <row r="134" spans="1:8" x14ac:dyDescent="0.25">
      <c r="A134" s="8">
        <v>43011.535810185182</v>
      </c>
      <c r="B134" s="20" t="s">
        <v>524</v>
      </c>
      <c r="C134" s="20" t="s">
        <v>613</v>
      </c>
      <c r="D134" s="134">
        <v>2560000</v>
      </c>
      <c r="E134" s="20" t="s">
        <v>489</v>
      </c>
      <c r="F134" s="20" t="s">
        <v>490</v>
      </c>
      <c r="G134" s="8" t="str">
        <f t="shared" si="4"/>
        <v>MACDONALD THOMAS</v>
      </c>
      <c r="H134" s="20" t="str">
        <f t="shared" si="5"/>
        <v>4020</v>
      </c>
    </row>
    <row r="135" spans="1:8" x14ac:dyDescent="0.25">
      <c r="A135" s="8">
        <v>43011.537569444445</v>
      </c>
      <c r="B135" s="20" t="s">
        <v>597</v>
      </c>
      <c r="C135" s="20" t="s">
        <v>733</v>
      </c>
      <c r="D135" s="134">
        <v>1770000</v>
      </c>
      <c r="E135" s="20" t="s">
        <v>710</v>
      </c>
      <c r="F135" s="20" t="s">
        <v>711</v>
      </c>
      <c r="G135" s="8" t="str">
        <f t="shared" si="4"/>
        <v>BRUDER RICHARD</v>
      </c>
      <c r="H135" s="20" t="str">
        <f t="shared" si="5"/>
        <v>4032</v>
      </c>
    </row>
    <row r="136" spans="1:8" x14ac:dyDescent="0.25">
      <c r="A136" s="8">
        <v>43011.542673611111</v>
      </c>
      <c r="B136" s="20" t="s">
        <v>503</v>
      </c>
      <c r="C136" s="20" t="s">
        <v>734</v>
      </c>
      <c r="D136" s="134">
        <v>2970000</v>
      </c>
      <c r="E136" s="20" t="s">
        <v>496</v>
      </c>
      <c r="F136" s="20" t="s">
        <v>497</v>
      </c>
      <c r="G136" s="8" t="str">
        <f t="shared" si="4"/>
        <v>GUZMAN DANNY</v>
      </c>
      <c r="H136" s="20" t="str">
        <f t="shared" si="5"/>
        <v>4008</v>
      </c>
    </row>
    <row r="137" spans="1:8" x14ac:dyDescent="0.25">
      <c r="A137" s="8">
        <v>43011.545844907407</v>
      </c>
      <c r="B137" s="20" t="s">
        <v>630</v>
      </c>
      <c r="C137" s="20" t="s">
        <v>735</v>
      </c>
      <c r="D137" s="134">
        <v>2630000</v>
      </c>
      <c r="E137" s="20" t="s">
        <v>494</v>
      </c>
      <c r="F137" s="20" t="s">
        <v>495</v>
      </c>
      <c r="G137" s="8" t="str">
        <f t="shared" si="4"/>
        <v>SAFIEF AEIMEN</v>
      </c>
      <c r="H137" s="20" t="str">
        <f t="shared" si="5"/>
        <v>4049</v>
      </c>
    </row>
    <row r="138" spans="1:8" x14ac:dyDescent="0.25">
      <c r="A138" s="8">
        <v>43011.547951388886</v>
      </c>
      <c r="B138" s="20" t="s">
        <v>468</v>
      </c>
      <c r="C138" s="20" t="s">
        <v>736</v>
      </c>
      <c r="D138" s="134">
        <v>2600000</v>
      </c>
      <c r="E138" s="20" t="s">
        <v>536</v>
      </c>
      <c r="F138" s="20" t="s">
        <v>472</v>
      </c>
      <c r="G138" s="8" t="str">
        <f t="shared" si="4"/>
        <v>DAVIDSON DAVID</v>
      </c>
      <c r="H138" s="20" t="str">
        <f t="shared" si="5"/>
        <v>4056</v>
      </c>
    </row>
    <row r="139" spans="1:8" x14ac:dyDescent="0.25">
      <c r="A139" s="8">
        <v>43011.557708333334</v>
      </c>
      <c r="B139" s="20" t="s">
        <v>486</v>
      </c>
      <c r="C139" s="20" t="s">
        <v>737</v>
      </c>
      <c r="D139" s="134">
        <v>920000</v>
      </c>
      <c r="E139" s="20" t="s">
        <v>342</v>
      </c>
      <c r="F139" s="20" t="s">
        <v>493</v>
      </c>
      <c r="G139" s="8" t="str">
        <f t="shared" si="4"/>
        <v>DAVIS MICHAEL</v>
      </c>
      <c r="H139" s="20" t="str">
        <f t="shared" si="5"/>
        <v>4041</v>
      </c>
    </row>
    <row r="140" spans="1:8" x14ac:dyDescent="0.25">
      <c r="A140" s="8">
        <v>43011.558148148149</v>
      </c>
      <c r="B140" s="20" t="s">
        <v>469</v>
      </c>
      <c r="C140" s="20" t="s">
        <v>615</v>
      </c>
      <c r="D140" s="134">
        <v>1300000</v>
      </c>
      <c r="E140" s="20" t="s">
        <v>539</v>
      </c>
      <c r="F140" s="20" t="s">
        <v>540</v>
      </c>
      <c r="G140" s="8" t="str">
        <f t="shared" si="4"/>
        <v>LEVIN SCOTT</v>
      </c>
      <c r="H140" s="20" t="str">
        <f t="shared" si="5"/>
        <v>4060</v>
      </c>
    </row>
    <row r="141" spans="1:8" x14ac:dyDescent="0.25">
      <c r="A141" s="8">
        <v>43011.559351851851</v>
      </c>
      <c r="B141" s="20" t="s">
        <v>599</v>
      </c>
      <c r="C141" s="20" t="s">
        <v>738</v>
      </c>
      <c r="D141" s="134">
        <v>2970000</v>
      </c>
      <c r="E141" s="20" t="s">
        <v>496</v>
      </c>
      <c r="F141" s="20" t="s">
        <v>497</v>
      </c>
      <c r="G141" s="8" t="str">
        <f t="shared" si="4"/>
        <v>GUZMAN DANNY</v>
      </c>
      <c r="H141" s="20" t="str">
        <f t="shared" si="5"/>
        <v>4007</v>
      </c>
    </row>
    <row r="142" spans="1:8" x14ac:dyDescent="0.25">
      <c r="A142" s="8">
        <v>43011.560891203706</v>
      </c>
      <c r="B142" s="20" t="s">
        <v>601</v>
      </c>
      <c r="C142" s="20" t="s">
        <v>739</v>
      </c>
      <c r="D142" s="134">
        <v>2040000</v>
      </c>
      <c r="E142" s="20" t="s">
        <v>703</v>
      </c>
      <c r="F142" s="20" t="s">
        <v>704</v>
      </c>
      <c r="G142" s="8" t="str">
        <f t="shared" si="4"/>
        <v>MOSES BRADLEY</v>
      </c>
      <c r="H142" s="20" t="str">
        <f t="shared" si="5"/>
        <v>4011</v>
      </c>
    </row>
    <row r="143" spans="1:8" x14ac:dyDescent="0.25">
      <c r="A143" s="8">
        <v>43011.570775462962</v>
      </c>
      <c r="B143" s="20" t="s">
        <v>463</v>
      </c>
      <c r="C143" s="20" t="s">
        <v>740</v>
      </c>
      <c r="D143" s="134">
        <v>1180000</v>
      </c>
      <c r="E143" s="20" t="s">
        <v>537</v>
      </c>
      <c r="F143" s="20" t="s">
        <v>538</v>
      </c>
      <c r="G143" s="8" t="str">
        <f t="shared" si="4"/>
        <v>LEVERE CRAIG</v>
      </c>
      <c r="H143" s="20" t="str">
        <f t="shared" si="5"/>
        <v>4062</v>
      </c>
    </row>
    <row r="144" spans="1:8" x14ac:dyDescent="0.25">
      <c r="A144" s="8">
        <v>43011.579155092593</v>
      </c>
      <c r="B144" s="20" t="s">
        <v>603</v>
      </c>
      <c r="C144" s="20" t="s">
        <v>741</v>
      </c>
      <c r="D144" s="134">
        <v>1770000</v>
      </c>
      <c r="E144" s="20" t="s">
        <v>710</v>
      </c>
      <c r="F144" s="20" t="s">
        <v>711</v>
      </c>
      <c r="G144" s="8" t="str">
        <f t="shared" si="4"/>
        <v>BRUDER RICHARD</v>
      </c>
      <c r="H144" s="20" t="str">
        <f t="shared" si="5"/>
        <v>4031</v>
      </c>
    </row>
    <row r="145" spans="1:8" x14ac:dyDescent="0.25">
      <c r="A145" s="8">
        <v>43011.579837962963</v>
      </c>
      <c r="B145" s="20" t="s">
        <v>467</v>
      </c>
      <c r="C145" s="20" t="s">
        <v>742</v>
      </c>
      <c r="D145" s="134">
        <v>2600000</v>
      </c>
      <c r="E145" s="20" t="s">
        <v>536</v>
      </c>
      <c r="F145" s="20" t="s">
        <v>472</v>
      </c>
      <c r="G145" s="8" t="str">
        <f t="shared" si="4"/>
        <v>DAVIDSON DAVID</v>
      </c>
      <c r="H145" s="20" t="str">
        <f t="shared" si="5"/>
        <v>4055</v>
      </c>
    </row>
    <row r="146" spans="1:8" x14ac:dyDescent="0.25">
      <c r="A146" s="8">
        <v>43011.582152777781</v>
      </c>
      <c r="B146" s="20" t="s">
        <v>435</v>
      </c>
      <c r="C146" s="20" t="s">
        <v>743</v>
      </c>
      <c r="D146" s="134">
        <v>2630000</v>
      </c>
      <c r="E146" s="20" t="s">
        <v>494</v>
      </c>
      <c r="F146" s="20" t="s">
        <v>495</v>
      </c>
      <c r="G146" s="8" t="str">
        <f t="shared" si="4"/>
        <v>SAFIEF AEIMEN</v>
      </c>
      <c r="H146" s="20" t="str">
        <f t="shared" si="5"/>
        <v>4050</v>
      </c>
    </row>
    <row r="147" spans="1:8" x14ac:dyDescent="0.25">
      <c r="A147" s="8">
        <v>43011.586527777778</v>
      </c>
      <c r="B147" s="20" t="s">
        <v>503</v>
      </c>
      <c r="C147" s="20" t="s">
        <v>744</v>
      </c>
      <c r="D147" s="134">
        <v>2970000</v>
      </c>
      <c r="E147" s="20" t="s">
        <v>496</v>
      </c>
      <c r="F147" s="20" t="s">
        <v>497</v>
      </c>
      <c r="G147" s="8" t="str">
        <f t="shared" si="4"/>
        <v>GUZMAN DANNY</v>
      </c>
      <c r="H147" s="20" t="str">
        <f t="shared" si="5"/>
        <v>4008</v>
      </c>
    </row>
    <row r="148" spans="1:8" x14ac:dyDescent="0.25">
      <c r="A148" s="8">
        <v>43011.591990740744</v>
      </c>
      <c r="B148" s="20" t="s">
        <v>409</v>
      </c>
      <c r="C148" s="20" t="s">
        <v>745</v>
      </c>
      <c r="D148" s="134">
        <v>920000</v>
      </c>
      <c r="E148" s="20" t="s">
        <v>342</v>
      </c>
      <c r="F148" s="20" t="s">
        <v>493</v>
      </c>
      <c r="G148" s="8" t="str">
        <f t="shared" si="4"/>
        <v>DAVIS MICHAEL</v>
      </c>
      <c r="H148" s="20" t="str">
        <f t="shared" si="5"/>
        <v>4042</v>
      </c>
    </row>
    <row r="149" spans="1:8" x14ac:dyDescent="0.25">
      <c r="A149" s="8">
        <v>43011.595266203702</v>
      </c>
      <c r="B149" s="20" t="s">
        <v>465</v>
      </c>
      <c r="C149" s="20" t="s">
        <v>746</v>
      </c>
      <c r="D149" s="134">
        <v>1300000</v>
      </c>
      <c r="E149" s="20" t="s">
        <v>539</v>
      </c>
      <c r="F149" s="20" t="s">
        <v>540</v>
      </c>
      <c r="G149" s="8" t="str">
        <f t="shared" si="4"/>
        <v>LEVIN SCOTT</v>
      </c>
      <c r="H149" s="20" t="str">
        <f t="shared" si="5"/>
        <v>4059</v>
      </c>
    </row>
    <row r="150" spans="1:8" x14ac:dyDescent="0.25">
      <c r="A150" s="8">
        <v>43011.599641203706</v>
      </c>
      <c r="B150" s="20" t="s">
        <v>594</v>
      </c>
      <c r="C150" s="20" t="s">
        <v>616</v>
      </c>
      <c r="D150" s="134">
        <v>2230000</v>
      </c>
      <c r="E150" s="20" t="s">
        <v>500</v>
      </c>
      <c r="F150" s="20" t="s">
        <v>493</v>
      </c>
      <c r="G150" s="8" t="str">
        <f t="shared" si="4"/>
        <v>SMITH MICHAEL</v>
      </c>
      <c r="H150" s="20" t="str">
        <f t="shared" si="5"/>
        <v>4012</v>
      </c>
    </row>
    <row r="151" spans="1:8" x14ac:dyDescent="0.25">
      <c r="A151" s="8">
        <v>43011.600740740738</v>
      </c>
      <c r="B151" s="20" t="s">
        <v>599</v>
      </c>
      <c r="C151" s="20" t="s">
        <v>747</v>
      </c>
      <c r="D151" s="134">
        <v>2970000</v>
      </c>
      <c r="E151" s="20" t="s">
        <v>496</v>
      </c>
      <c r="F151" s="20" t="s">
        <v>497</v>
      </c>
      <c r="G151" s="8" t="str">
        <f t="shared" si="4"/>
        <v>GUZMAN DANNY</v>
      </c>
      <c r="H151" s="20" t="str">
        <f t="shared" si="5"/>
        <v>4007</v>
      </c>
    </row>
    <row r="152" spans="1:8" x14ac:dyDescent="0.25">
      <c r="A152" s="8">
        <v>43011.607939814814</v>
      </c>
      <c r="B152" s="20" t="s">
        <v>464</v>
      </c>
      <c r="C152" s="20" t="s">
        <v>748</v>
      </c>
      <c r="D152" s="134">
        <v>1180000</v>
      </c>
      <c r="E152" s="20" t="s">
        <v>537</v>
      </c>
      <c r="F152" s="20" t="s">
        <v>538</v>
      </c>
      <c r="G152" s="8" t="str">
        <f t="shared" si="4"/>
        <v>LEVERE CRAIG</v>
      </c>
      <c r="H152" s="20" t="str">
        <f t="shared" si="5"/>
        <v>4061</v>
      </c>
    </row>
    <row r="153" spans="1:8" x14ac:dyDescent="0.25">
      <c r="A153" s="8">
        <v>43011.610347222224</v>
      </c>
      <c r="B153" s="20" t="s">
        <v>597</v>
      </c>
      <c r="C153" s="20" t="s">
        <v>749</v>
      </c>
      <c r="D153" s="134">
        <v>1770000</v>
      </c>
      <c r="E153" s="20" t="s">
        <v>710</v>
      </c>
      <c r="F153" s="20" t="s">
        <v>711</v>
      </c>
      <c r="G153" s="8" t="str">
        <f t="shared" si="4"/>
        <v>BRUDER RICHARD</v>
      </c>
      <c r="H153" s="20" t="str">
        <f t="shared" si="5"/>
        <v>4032</v>
      </c>
    </row>
    <row r="154" spans="1:8" x14ac:dyDescent="0.25">
      <c r="A154" s="8">
        <v>43011.614444444444</v>
      </c>
      <c r="B154" s="20" t="s">
        <v>630</v>
      </c>
      <c r="C154" s="20" t="s">
        <v>750</v>
      </c>
      <c r="D154" s="134">
        <v>2630000</v>
      </c>
      <c r="E154" s="20" t="s">
        <v>494</v>
      </c>
      <c r="F154" s="20" t="s">
        <v>495</v>
      </c>
      <c r="G154" s="8" t="str">
        <f t="shared" si="4"/>
        <v>SAFIEF AEIMEN</v>
      </c>
      <c r="H154" s="20" t="str">
        <f t="shared" si="5"/>
        <v>4049</v>
      </c>
    </row>
    <row r="155" spans="1:8" x14ac:dyDescent="0.25">
      <c r="A155" s="8">
        <v>43011.620671296296</v>
      </c>
      <c r="B155" s="20" t="s">
        <v>468</v>
      </c>
      <c r="C155" s="20" t="s">
        <v>751</v>
      </c>
      <c r="D155" s="134">
        <v>2600000</v>
      </c>
      <c r="E155" s="20" t="s">
        <v>536</v>
      </c>
      <c r="F155" s="20" t="s">
        <v>472</v>
      </c>
      <c r="G155" s="8" t="str">
        <f t="shared" si="4"/>
        <v>DAVIDSON DAVID</v>
      </c>
      <c r="H155" s="20" t="str">
        <f t="shared" si="5"/>
        <v>4056</v>
      </c>
    </row>
    <row r="156" spans="1:8" x14ac:dyDescent="0.25">
      <c r="A156" s="8">
        <v>43011.627743055556</v>
      </c>
      <c r="B156" s="20" t="s">
        <v>503</v>
      </c>
      <c r="C156" s="20" t="s">
        <v>752</v>
      </c>
      <c r="D156" s="134">
        <v>2970000</v>
      </c>
      <c r="E156" s="20" t="s">
        <v>496</v>
      </c>
      <c r="F156" s="20" t="s">
        <v>497</v>
      </c>
      <c r="G156" s="8" t="str">
        <f t="shared" si="4"/>
        <v>GUZMAN DANNY</v>
      </c>
      <c r="H156" s="20" t="str">
        <f t="shared" si="5"/>
        <v>4008</v>
      </c>
    </row>
    <row r="157" spans="1:8" x14ac:dyDescent="0.25">
      <c r="A157" s="8">
        <v>43011.63076388889</v>
      </c>
      <c r="B157" s="20" t="s">
        <v>469</v>
      </c>
      <c r="C157" s="20" t="s">
        <v>753</v>
      </c>
      <c r="D157" s="134">
        <v>1300000</v>
      </c>
      <c r="E157" s="20" t="s">
        <v>539</v>
      </c>
      <c r="F157" s="20" t="s">
        <v>540</v>
      </c>
      <c r="G157" s="8" t="str">
        <f t="shared" si="4"/>
        <v>LEVIN SCOTT</v>
      </c>
      <c r="H157" s="20" t="str">
        <f t="shared" si="5"/>
        <v>4060</v>
      </c>
    </row>
    <row r="158" spans="1:8" x14ac:dyDescent="0.25">
      <c r="A158" s="8">
        <v>43011.632418981484</v>
      </c>
      <c r="B158" s="20" t="s">
        <v>486</v>
      </c>
      <c r="C158" s="20" t="s">
        <v>754</v>
      </c>
      <c r="D158" s="134">
        <v>920000</v>
      </c>
      <c r="E158" s="20" t="s">
        <v>342</v>
      </c>
      <c r="F158" s="20" t="s">
        <v>493</v>
      </c>
      <c r="G158" s="8" t="str">
        <f t="shared" si="4"/>
        <v>DAVIS MICHAEL</v>
      </c>
      <c r="H158" s="20" t="str">
        <f t="shared" si="5"/>
        <v>4041</v>
      </c>
    </row>
    <row r="159" spans="1:8" x14ac:dyDescent="0.25">
      <c r="A159" s="8">
        <v>43011.632824074077</v>
      </c>
      <c r="B159" s="20" t="s">
        <v>392</v>
      </c>
      <c r="C159" s="20" t="s">
        <v>755</v>
      </c>
      <c r="D159" s="134">
        <v>2000000</v>
      </c>
      <c r="E159" s="20" t="s">
        <v>385</v>
      </c>
      <c r="F159" s="20" t="s">
        <v>368</v>
      </c>
      <c r="G159" s="8" t="str">
        <f t="shared" si="4"/>
        <v>STAMBAUGH JAMES</v>
      </c>
      <c r="H159" s="20" t="str">
        <f t="shared" si="5"/>
        <v>4043</v>
      </c>
    </row>
    <row r="160" spans="1:8" x14ac:dyDescent="0.25">
      <c r="A160" s="8">
        <v>43011.636018518519</v>
      </c>
      <c r="B160" s="20" t="s">
        <v>601</v>
      </c>
      <c r="C160" s="20" t="s">
        <v>756</v>
      </c>
      <c r="D160" s="134">
        <v>2230000</v>
      </c>
      <c r="E160" s="20" t="s">
        <v>500</v>
      </c>
      <c r="F160" s="20" t="s">
        <v>493</v>
      </c>
      <c r="G160" s="8" t="str">
        <f t="shared" si="4"/>
        <v>SMITH MICHAEL</v>
      </c>
      <c r="H160" s="20" t="str">
        <f t="shared" si="5"/>
        <v>4011</v>
      </c>
    </row>
    <row r="161" spans="1:8" x14ac:dyDescent="0.25">
      <c r="A161" s="8">
        <v>43011.641504629632</v>
      </c>
      <c r="B161" s="20" t="s">
        <v>463</v>
      </c>
      <c r="C161" s="20" t="s">
        <v>757</v>
      </c>
      <c r="D161" s="134">
        <v>1180000</v>
      </c>
      <c r="E161" s="20" t="s">
        <v>537</v>
      </c>
      <c r="F161" s="20" t="s">
        <v>538</v>
      </c>
      <c r="G161" s="8" t="str">
        <f t="shared" si="4"/>
        <v>LEVERE CRAIG</v>
      </c>
      <c r="H161" s="20" t="str">
        <f t="shared" si="5"/>
        <v>4062</v>
      </c>
    </row>
    <row r="162" spans="1:8" x14ac:dyDescent="0.25">
      <c r="A162" s="8">
        <v>43011.642361111109</v>
      </c>
      <c r="B162" s="20" t="s">
        <v>599</v>
      </c>
      <c r="C162" s="20" t="s">
        <v>617</v>
      </c>
      <c r="D162" s="134">
        <v>2970000</v>
      </c>
      <c r="E162" s="20" t="s">
        <v>496</v>
      </c>
      <c r="F162" s="20" t="s">
        <v>497</v>
      </c>
      <c r="G162" s="8" t="str">
        <f t="shared" si="4"/>
        <v>GUZMAN DANNY</v>
      </c>
      <c r="H162" s="20" t="str">
        <f t="shared" si="5"/>
        <v>4007</v>
      </c>
    </row>
    <row r="163" spans="1:8" x14ac:dyDescent="0.25">
      <c r="A163" s="8">
        <v>43011.6487037037</v>
      </c>
      <c r="B163" s="20" t="s">
        <v>407</v>
      </c>
      <c r="C163" s="20" t="s">
        <v>758</v>
      </c>
      <c r="D163" s="134">
        <v>1780000</v>
      </c>
      <c r="E163" s="20" t="s">
        <v>727</v>
      </c>
      <c r="F163" s="20" t="s">
        <v>728</v>
      </c>
      <c r="G163" s="8" t="str">
        <f t="shared" si="4"/>
        <v>DE LA ROSA ALEX</v>
      </c>
      <c r="H163" s="20" t="str">
        <f t="shared" si="5"/>
        <v>4044</v>
      </c>
    </row>
    <row r="164" spans="1:8" x14ac:dyDescent="0.25">
      <c r="A164" s="8">
        <v>43011.650636574072</v>
      </c>
      <c r="B164" s="20" t="s">
        <v>435</v>
      </c>
      <c r="C164" s="20" t="s">
        <v>759</v>
      </c>
      <c r="D164" s="134">
        <v>2150000</v>
      </c>
      <c r="E164" s="20" t="s">
        <v>541</v>
      </c>
      <c r="F164" s="20" t="s">
        <v>542</v>
      </c>
      <c r="G164" s="8" t="str">
        <f t="shared" si="4"/>
        <v>SWANSON BRYCE</v>
      </c>
      <c r="H164" s="20" t="str">
        <f t="shared" si="5"/>
        <v>4050</v>
      </c>
    </row>
    <row r="165" spans="1:8" x14ac:dyDescent="0.25">
      <c r="A165" s="8">
        <v>43011.651412037034</v>
      </c>
      <c r="B165" s="20" t="s">
        <v>603</v>
      </c>
      <c r="C165" s="20" t="s">
        <v>760</v>
      </c>
      <c r="D165" s="134">
        <v>1770000</v>
      </c>
      <c r="E165" s="20" t="s">
        <v>710</v>
      </c>
      <c r="F165" s="20" t="s">
        <v>711</v>
      </c>
      <c r="G165" s="8" t="str">
        <f t="shared" si="4"/>
        <v>BRUDER RICHARD</v>
      </c>
      <c r="H165" s="20" t="str">
        <f t="shared" si="5"/>
        <v>4031</v>
      </c>
    </row>
    <row r="166" spans="1:8" x14ac:dyDescent="0.25">
      <c r="A166" s="8">
        <v>43011.653009259258</v>
      </c>
      <c r="B166" s="20" t="s">
        <v>467</v>
      </c>
      <c r="C166" s="20" t="s">
        <v>761</v>
      </c>
      <c r="D166" s="134">
        <v>2600000</v>
      </c>
      <c r="E166" s="20" t="s">
        <v>536</v>
      </c>
      <c r="F166" s="20" t="s">
        <v>472</v>
      </c>
      <c r="G166" s="8" t="str">
        <f t="shared" si="4"/>
        <v>DAVIDSON DAVID</v>
      </c>
      <c r="H166" s="20" t="str">
        <f t="shared" si="5"/>
        <v>4055</v>
      </c>
    </row>
    <row r="167" spans="1:8" x14ac:dyDescent="0.25">
      <c r="A167" s="8">
        <v>43011.664409722223</v>
      </c>
      <c r="B167" s="20" t="s">
        <v>409</v>
      </c>
      <c r="C167" s="20" t="s">
        <v>618</v>
      </c>
      <c r="D167" s="134">
        <v>920000</v>
      </c>
      <c r="E167" s="20" t="s">
        <v>342</v>
      </c>
      <c r="F167" s="20" t="s">
        <v>493</v>
      </c>
      <c r="G167" s="8" t="str">
        <f t="shared" si="4"/>
        <v>DAVIS MICHAEL</v>
      </c>
      <c r="H167" s="20" t="str">
        <f t="shared" si="5"/>
        <v>4042</v>
      </c>
    </row>
    <row r="168" spans="1:8" x14ac:dyDescent="0.25">
      <c r="A168" s="8">
        <v>43011.665092592593</v>
      </c>
      <c r="B168" s="20" t="s">
        <v>465</v>
      </c>
      <c r="C168" s="20" t="s">
        <v>762</v>
      </c>
      <c r="D168" s="134">
        <v>1300000</v>
      </c>
      <c r="E168" s="20" t="s">
        <v>539</v>
      </c>
      <c r="F168" s="20" t="s">
        <v>540</v>
      </c>
      <c r="G168" s="8" t="str">
        <f t="shared" si="4"/>
        <v>LEVIN SCOTT</v>
      </c>
      <c r="H168" s="20" t="str">
        <f t="shared" si="5"/>
        <v>4059</v>
      </c>
    </row>
    <row r="169" spans="1:8" x14ac:dyDescent="0.25">
      <c r="A169" s="8">
        <v>43011.66909722222</v>
      </c>
      <c r="B169" s="20" t="s">
        <v>503</v>
      </c>
      <c r="C169" s="20" t="s">
        <v>763</v>
      </c>
      <c r="D169" s="134">
        <v>2450000</v>
      </c>
      <c r="E169" s="20" t="s">
        <v>764</v>
      </c>
      <c r="F169" s="20" t="s">
        <v>765</v>
      </c>
      <c r="G169" s="8" t="str">
        <f t="shared" si="4"/>
        <v>NELSON ARIANE</v>
      </c>
      <c r="H169" s="20" t="str">
        <f t="shared" si="5"/>
        <v>4008</v>
      </c>
    </row>
    <row r="170" spans="1:8" x14ac:dyDescent="0.25">
      <c r="A170" s="8">
        <v>43011.672233796293</v>
      </c>
      <c r="B170" s="20" t="s">
        <v>594</v>
      </c>
      <c r="C170" s="20" t="s">
        <v>766</v>
      </c>
      <c r="D170" s="134">
        <v>2230000</v>
      </c>
      <c r="E170" s="20" t="s">
        <v>500</v>
      </c>
      <c r="F170" s="20" t="s">
        <v>493</v>
      </c>
      <c r="G170" s="8" t="str">
        <f t="shared" si="4"/>
        <v>SMITH MICHAEL</v>
      </c>
      <c r="H170" s="20" t="str">
        <f t="shared" si="5"/>
        <v>4012</v>
      </c>
    </row>
    <row r="171" spans="1:8" x14ac:dyDescent="0.25">
      <c r="A171" s="8">
        <v>43011.673981481479</v>
      </c>
      <c r="B171" s="20" t="s">
        <v>392</v>
      </c>
      <c r="C171" s="20" t="s">
        <v>767</v>
      </c>
      <c r="D171" s="134">
        <v>1780000</v>
      </c>
      <c r="E171" s="20" t="s">
        <v>727</v>
      </c>
      <c r="F171" s="20" t="s">
        <v>728</v>
      </c>
      <c r="G171" s="8" t="str">
        <f t="shared" si="4"/>
        <v>DE LA ROSA ALEX</v>
      </c>
      <c r="H171" s="20" t="str">
        <f t="shared" si="5"/>
        <v>4043</v>
      </c>
    </row>
    <row r="172" spans="1:8" x14ac:dyDescent="0.25">
      <c r="A172" s="8">
        <v>43011.679467592592</v>
      </c>
      <c r="B172" s="20" t="s">
        <v>464</v>
      </c>
      <c r="C172" s="20" t="s">
        <v>768</v>
      </c>
      <c r="D172" s="134">
        <v>1180000</v>
      </c>
      <c r="E172" s="20" t="s">
        <v>537</v>
      </c>
      <c r="F172" s="20" t="s">
        <v>538</v>
      </c>
      <c r="G172" s="8" t="str">
        <f t="shared" si="4"/>
        <v>LEVERE CRAIG</v>
      </c>
      <c r="H172" s="20" t="str">
        <f t="shared" si="5"/>
        <v>4061</v>
      </c>
    </row>
    <row r="173" spans="1:8" x14ac:dyDescent="0.25">
      <c r="A173" s="8">
        <v>43011.68304398148</v>
      </c>
      <c r="B173" s="20" t="s">
        <v>597</v>
      </c>
      <c r="C173" s="20" t="s">
        <v>769</v>
      </c>
      <c r="D173" s="134">
        <v>1770000</v>
      </c>
      <c r="E173" s="20" t="s">
        <v>710</v>
      </c>
      <c r="F173" s="20" t="s">
        <v>711</v>
      </c>
      <c r="G173" s="8" t="str">
        <f t="shared" si="4"/>
        <v>BRUDER RICHARD</v>
      </c>
      <c r="H173" s="20" t="str">
        <f t="shared" si="5"/>
        <v>4032</v>
      </c>
    </row>
    <row r="174" spans="1:8" x14ac:dyDescent="0.25">
      <c r="A174" s="8">
        <v>43011.685312499998</v>
      </c>
      <c r="B174" s="20" t="s">
        <v>630</v>
      </c>
      <c r="C174" s="20" t="s">
        <v>770</v>
      </c>
      <c r="D174" s="134">
        <v>2150000</v>
      </c>
      <c r="E174" s="20" t="s">
        <v>541</v>
      </c>
      <c r="F174" s="20" t="s">
        <v>542</v>
      </c>
      <c r="G174" s="8" t="str">
        <f t="shared" si="4"/>
        <v>SWANSON BRYCE</v>
      </c>
      <c r="H174" s="20" t="str">
        <f t="shared" si="5"/>
        <v>4049</v>
      </c>
    </row>
    <row r="175" spans="1:8" x14ac:dyDescent="0.25">
      <c r="A175" s="8">
        <v>43011.69091435185</v>
      </c>
      <c r="B175" s="20" t="s">
        <v>714</v>
      </c>
      <c r="C175" s="20" t="s">
        <v>771</v>
      </c>
      <c r="D175" s="134">
        <v>1810000</v>
      </c>
      <c r="E175" s="20" t="s">
        <v>719</v>
      </c>
      <c r="F175" s="20" t="s">
        <v>368</v>
      </c>
      <c r="G175" s="8" t="str">
        <f t="shared" si="4"/>
        <v>NEWELL JAMES</v>
      </c>
      <c r="H175" s="20" t="str">
        <f t="shared" si="5"/>
        <v>4036</v>
      </c>
    </row>
    <row r="176" spans="1:8" x14ac:dyDescent="0.25">
      <c r="A176" s="8">
        <v>43011.69222222222</v>
      </c>
      <c r="B176" s="20" t="s">
        <v>407</v>
      </c>
      <c r="C176" s="20" t="s">
        <v>772</v>
      </c>
      <c r="D176" s="134">
        <v>2000000</v>
      </c>
      <c r="E176" s="20" t="s">
        <v>385</v>
      </c>
      <c r="F176" s="20" t="s">
        <v>368</v>
      </c>
      <c r="G176" s="8" t="str">
        <f t="shared" si="4"/>
        <v>STAMBAUGH JAMES</v>
      </c>
      <c r="H176" s="20" t="str">
        <f t="shared" si="5"/>
        <v>4044</v>
      </c>
    </row>
    <row r="177" spans="1:8" x14ac:dyDescent="0.25">
      <c r="A177" s="8">
        <v>43011.69326388889</v>
      </c>
      <c r="B177" s="20" t="s">
        <v>599</v>
      </c>
      <c r="C177" s="20" t="s">
        <v>773</v>
      </c>
      <c r="D177" s="134">
        <v>2450000</v>
      </c>
      <c r="E177" s="20" t="s">
        <v>764</v>
      </c>
      <c r="F177" s="20" t="s">
        <v>765</v>
      </c>
      <c r="G177" s="8" t="str">
        <f t="shared" si="4"/>
        <v>NELSON ARIANE</v>
      </c>
      <c r="H177" s="20" t="str">
        <f t="shared" si="5"/>
        <v>4007</v>
      </c>
    </row>
    <row r="178" spans="1:8" x14ac:dyDescent="0.25">
      <c r="A178" s="8">
        <v>43011.693715277775</v>
      </c>
      <c r="B178" s="20" t="s">
        <v>468</v>
      </c>
      <c r="C178" s="20" t="s">
        <v>774</v>
      </c>
      <c r="D178" s="134">
        <v>2600000</v>
      </c>
      <c r="E178" s="20" t="s">
        <v>536</v>
      </c>
      <c r="F178" s="20" t="s">
        <v>472</v>
      </c>
      <c r="G178" s="8" t="str">
        <f t="shared" si="4"/>
        <v>DAVIDSON DAVID</v>
      </c>
      <c r="H178" s="20" t="str">
        <f t="shared" si="5"/>
        <v>4056</v>
      </c>
    </row>
    <row r="179" spans="1:8" x14ac:dyDescent="0.25">
      <c r="A179" s="8">
        <v>43011.704259259262</v>
      </c>
      <c r="B179" s="20" t="s">
        <v>486</v>
      </c>
      <c r="C179" s="20" t="s">
        <v>775</v>
      </c>
      <c r="D179" s="134">
        <v>920000</v>
      </c>
      <c r="E179" s="20" t="s">
        <v>342</v>
      </c>
      <c r="F179" s="20" t="s">
        <v>493</v>
      </c>
      <c r="G179" s="8" t="str">
        <f t="shared" si="4"/>
        <v>DAVIS MICHAEL</v>
      </c>
      <c r="H179" s="20" t="str">
        <f t="shared" si="5"/>
        <v>4041</v>
      </c>
    </row>
    <row r="180" spans="1:8" x14ac:dyDescent="0.25">
      <c r="A180" s="8">
        <v>43011.704525462963</v>
      </c>
      <c r="B180" s="20" t="s">
        <v>469</v>
      </c>
      <c r="C180" s="20" t="s">
        <v>776</v>
      </c>
      <c r="D180" s="134">
        <v>1300000</v>
      </c>
      <c r="E180" s="20" t="s">
        <v>539</v>
      </c>
      <c r="F180" s="20" t="s">
        <v>540</v>
      </c>
      <c r="G180" s="8" t="str">
        <f t="shared" si="4"/>
        <v>LEVIN SCOTT</v>
      </c>
      <c r="H180" s="20" t="str">
        <f t="shared" si="5"/>
        <v>4060</v>
      </c>
    </row>
    <row r="181" spans="1:8" x14ac:dyDescent="0.25">
      <c r="A181" s="8">
        <v>43011.705081018517</v>
      </c>
      <c r="B181" s="20" t="s">
        <v>392</v>
      </c>
      <c r="C181" s="20" t="s">
        <v>619</v>
      </c>
      <c r="D181" s="134">
        <v>2000000</v>
      </c>
      <c r="E181" s="20" t="s">
        <v>385</v>
      </c>
      <c r="F181" s="20" t="s">
        <v>368</v>
      </c>
      <c r="G181" s="8" t="str">
        <f t="shared" si="4"/>
        <v>STAMBAUGH JAMES</v>
      </c>
      <c r="H181" s="20" t="str">
        <f t="shared" si="5"/>
        <v>4043</v>
      </c>
    </row>
    <row r="182" spans="1:8" x14ac:dyDescent="0.25">
      <c r="A182" s="8">
        <v>43011.708692129629</v>
      </c>
      <c r="B182" s="20" t="s">
        <v>503</v>
      </c>
      <c r="C182" s="20" t="s">
        <v>777</v>
      </c>
      <c r="D182" s="134">
        <v>2970000</v>
      </c>
      <c r="E182" s="20" t="s">
        <v>496</v>
      </c>
      <c r="F182" s="20" t="s">
        <v>497</v>
      </c>
      <c r="G182" s="8" t="str">
        <f t="shared" si="4"/>
        <v>GUZMAN DANNY</v>
      </c>
      <c r="H182" s="20" t="str">
        <f t="shared" si="5"/>
        <v>4008</v>
      </c>
    </row>
    <row r="183" spans="1:8" x14ac:dyDescent="0.25">
      <c r="A183" s="8">
        <v>43011.709629629629</v>
      </c>
      <c r="B183" s="20" t="s">
        <v>601</v>
      </c>
      <c r="C183" s="20" t="s">
        <v>778</v>
      </c>
      <c r="D183" s="134">
        <v>2230000</v>
      </c>
      <c r="E183" s="20" t="s">
        <v>500</v>
      </c>
      <c r="F183" s="20" t="s">
        <v>493</v>
      </c>
      <c r="G183" s="8" t="str">
        <f t="shared" si="4"/>
        <v>SMITH MICHAEL</v>
      </c>
      <c r="H183" s="20" t="str">
        <f t="shared" si="5"/>
        <v>4011</v>
      </c>
    </row>
    <row r="184" spans="1:8" x14ac:dyDescent="0.25">
      <c r="A184" s="8">
        <v>43011.716157407405</v>
      </c>
      <c r="B184" s="20" t="s">
        <v>463</v>
      </c>
      <c r="C184" s="20" t="s">
        <v>779</v>
      </c>
      <c r="D184" s="134">
        <v>3280000</v>
      </c>
      <c r="E184" s="20" t="s">
        <v>780</v>
      </c>
      <c r="F184" s="20" t="s">
        <v>781</v>
      </c>
      <c r="G184" s="8" t="str">
        <f t="shared" si="4"/>
        <v>BIRKHOLZ NADINE</v>
      </c>
      <c r="H184" s="20" t="str">
        <f t="shared" si="5"/>
        <v>4062</v>
      </c>
    </row>
    <row r="185" spans="1:8" x14ac:dyDescent="0.25">
      <c r="A185" s="8">
        <v>43011.723865740743</v>
      </c>
      <c r="B185" s="20" t="s">
        <v>603</v>
      </c>
      <c r="C185" s="20" t="s">
        <v>782</v>
      </c>
      <c r="D185" s="134">
        <v>1770000</v>
      </c>
      <c r="E185" s="20" t="s">
        <v>710</v>
      </c>
      <c r="F185" s="20" t="s">
        <v>711</v>
      </c>
      <c r="G185" s="8" t="str">
        <f t="shared" si="4"/>
        <v>BRUDER RICHARD</v>
      </c>
      <c r="H185" s="20" t="str">
        <f t="shared" si="5"/>
        <v>4031</v>
      </c>
    </row>
    <row r="186" spans="1:8" x14ac:dyDescent="0.25">
      <c r="A186" s="8">
        <v>43011.725810185184</v>
      </c>
      <c r="B186" s="20" t="s">
        <v>467</v>
      </c>
      <c r="C186" s="20" t="s">
        <v>783</v>
      </c>
      <c r="D186" s="134">
        <v>2600000</v>
      </c>
      <c r="E186" s="20" t="s">
        <v>536</v>
      </c>
      <c r="F186" s="20" t="s">
        <v>472</v>
      </c>
      <c r="G186" s="8" t="str">
        <f t="shared" si="4"/>
        <v>DAVIDSON DAVID</v>
      </c>
      <c r="H186" s="20" t="str">
        <f t="shared" si="5"/>
        <v>4055</v>
      </c>
    </row>
    <row r="187" spans="1:8" x14ac:dyDescent="0.25">
      <c r="A187" s="8">
        <v>43011.72583333333</v>
      </c>
      <c r="B187" s="20" t="s">
        <v>435</v>
      </c>
      <c r="C187" s="20" t="s">
        <v>784</v>
      </c>
      <c r="D187" s="134">
        <v>2630000</v>
      </c>
      <c r="E187" s="20" t="s">
        <v>494</v>
      </c>
      <c r="F187" s="20" t="s">
        <v>495</v>
      </c>
      <c r="G187" s="8" t="str">
        <f t="shared" si="4"/>
        <v>SAFIEF AEIMEN</v>
      </c>
      <c r="H187" s="20" t="str">
        <f t="shared" si="5"/>
        <v>4050</v>
      </c>
    </row>
    <row r="188" spans="1:8" x14ac:dyDescent="0.25">
      <c r="A188" s="8">
        <v>43011.727164351854</v>
      </c>
      <c r="B188" s="20" t="s">
        <v>599</v>
      </c>
      <c r="C188" s="20" t="s">
        <v>785</v>
      </c>
      <c r="D188" s="134">
        <v>2970000</v>
      </c>
      <c r="E188" s="20" t="s">
        <v>496</v>
      </c>
      <c r="F188" s="20" t="s">
        <v>497</v>
      </c>
      <c r="G188" s="8" t="str">
        <f t="shared" si="4"/>
        <v>GUZMAN DANNY</v>
      </c>
      <c r="H188" s="20" t="str">
        <f t="shared" si="5"/>
        <v>4007</v>
      </c>
    </row>
    <row r="189" spans="1:8" x14ac:dyDescent="0.25">
      <c r="A189" s="8">
        <v>43011.728449074071</v>
      </c>
      <c r="B189" s="20" t="s">
        <v>462</v>
      </c>
      <c r="C189" s="20" t="s">
        <v>786</v>
      </c>
      <c r="D189" s="134">
        <v>2040000</v>
      </c>
      <c r="E189" s="20" t="s">
        <v>703</v>
      </c>
      <c r="F189" s="20" t="s">
        <v>704</v>
      </c>
      <c r="G189" s="8" t="str">
        <f t="shared" si="4"/>
        <v>MOSES BRADLEY</v>
      </c>
      <c r="H189" s="20" t="str">
        <f t="shared" si="5"/>
        <v>4016</v>
      </c>
    </row>
    <row r="190" spans="1:8" x14ac:dyDescent="0.25">
      <c r="A190" s="8">
        <v>43011.733182870368</v>
      </c>
      <c r="B190" s="20" t="s">
        <v>407</v>
      </c>
      <c r="C190" s="20" t="s">
        <v>620</v>
      </c>
      <c r="D190" s="134">
        <v>2000000</v>
      </c>
      <c r="E190" s="20" t="s">
        <v>385</v>
      </c>
      <c r="F190" s="20" t="s">
        <v>368</v>
      </c>
      <c r="G190" s="8" t="str">
        <f t="shared" si="4"/>
        <v>STAMBAUGH JAMES</v>
      </c>
      <c r="H190" s="20" t="str">
        <f t="shared" si="5"/>
        <v>4044</v>
      </c>
    </row>
    <row r="191" spans="1:8" x14ac:dyDescent="0.25">
      <c r="A191" s="8">
        <v>43011.738495370373</v>
      </c>
      <c r="B191" s="20" t="s">
        <v>409</v>
      </c>
      <c r="C191" s="20" t="s">
        <v>787</v>
      </c>
      <c r="D191" s="134">
        <v>890000</v>
      </c>
      <c r="E191" s="20" t="s">
        <v>363</v>
      </c>
      <c r="F191" s="20" t="s">
        <v>364</v>
      </c>
      <c r="G191" s="8" t="str">
        <f t="shared" si="4"/>
        <v>LOZA FIDEL</v>
      </c>
      <c r="H191" s="20" t="str">
        <f t="shared" si="5"/>
        <v>4042</v>
      </c>
    </row>
    <row r="192" spans="1:8" x14ac:dyDescent="0.25">
      <c r="A192" s="8">
        <v>43011.739560185182</v>
      </c>
      <c r="B192" s="20" t="s">
        <v>410</v>
      </c>
      <c r="C192" s="20" t="s">
        <v>788</v>
      </c>
      <c r="D192" s="134">
        <v>3500000</v>
      </c>
      <c r="E192" s="20" t="s">
        <v>498</v>
      </c>
      <c r="F192" s="20" t="s">
        <v>499</v>
      </c>
      <c r="G192" s="8" t="str">
        <f t="shared" si="4"/>
        <v>GUNTHIER ERIC</v>
      </c>
      <c r="H192" s="20" t="str">
        <f t="shared" si="5"/>
        <v>4001</v>
      </c>
    </row>
    <row r="193" spans="1:8" x14ac:dyDescent="0.25">
      <c r="A193" s="8">
        <v>43011.740995370368</v>
      </c>
      <c r="B193" s="20" t="s">
        <v>465</v>
      </c>
      <c r="C193" s="20" t="s">
        <v>789</v>
      </c>
      <c r="D193" s="134">
        <v>1300000</v>
      </c>
      <c r="E193" s="20" t="s">
        <v>539</v>
      </c>
      <c r="F193" s="20" t="s">
        <v>540</v>
      </c>
      <c r="G193" s="8" t="str">
        <f t="shared" si="4"/>
        <v>LEVIN SCOTT</v>
      </c>
      <c r="H193" s="20" t="str">
        <f t="shared" si="5"/>
        <v>4059</v>
      </c>
    </row>
    <row r="194" spans="1:8" x14ac:dyDescent="0.25">
      <c r="A194" s="8">
        <v>43011.745092592595</v>
      </c>
      <c r="B194" s="20" t="s">
        <v>594</v>
      </c>
      <c r="C194" s="20" t="s">
        <v>790</v>
      </c>
      <c r="D194" s="134">
        <v>2230000</v>
      </c>
      <c r="E194" s="20" t="s">
        <v>500</v>
      </c>
      <c r="F194" s="20" t="s">
        <v>493</v>
      </c>
      <c r="G194" s="8" t="str">
        <f t="shared" si="4"/>
        <v>SMITH MICHAEL</v>
      </c>
      <c r="H194" s="20" t="str">
        <f t="shared" si="5"/>
        <v>4012</v>
      </c>
    </row>
    <row r="195" spans="1:8" x14ac:dyDescent="0.25">
      <c r="A195" s="8">
        <v>43011.748229166667</v>
      </c>
      <c r="B195" s="20" t="s">
        <v>464</v>
      </c>
      <c r="C195" s="20" t="s">
        <v>791</v>
      </c>
      <c r="D195" s="134">
        <v>3280000</v>
      </c>
      <c r="E195" s="20" t="s">
        <v>780</v>
      </c>
      <c r="F195" s="20" t="s">
        <v>781</v>
      </c>
      <c r="G195" s="8" t="str">
        <f t="shared" ref="G195:G258" si="6">E195&amp;" "&amp;F195</f>
        <v>BIRKHOLZ NADINE</v>
      </c>
      <c r="H195" s="20" t="str">
        <f t="shared" ref="H195:H258" si="7">MID(B195,13,4)</f>
        <v>4061</v>
      </c>
    </row>
    <row r="196" spans="1:8" x14ac:dyDescent="0.25">
      <c r="A196" s="8">
        <v>43011.748622685183</v>
      </c>
      <c r="B196" s="20" t="s">
        <v>392</v>
      </c>
      <c r="C196" s="20" t="s">
        <v>792</v>
      </c>
      <c r="D196" s="134">
        <v>2000000</v>
      </c>
      <c r="E196" s="20" t="s">
        <v>385</v>
      </c>
      <c r="F196" s="20" t="s">
        <v>368</v>
      </c>
      <c r="G196" s="8" t="str">
        <f t="shared" si="6"/>
        <v>STAMBAUGH JAMES</v>
      </c>
      <c r="H196" s="20" t="str">
        <f t="shared" si="7"/>
        <v>4043</v>
      </c>
    </row>
    <row r="197" spans="1:8" x14ac:dyDescent="0.25">
      <c r="A197" s="8">
        <v>43011.751030092593</v>
      </c>
      <c r="B197" s="20" t="s">
        <v>503</v>
      </c>
      <c r="C197" s="20" t="s">
        <v>793</v>
      </c>
      <c r="D197" s="134">
        <v>3130000</v>
      </c>
      <c r="E197" s="20" t="s">
        <v>794</v>
      </c>
      <c r="F197" s="20" t="s">
        <v>795</v>
      </c>
      <c r="G197" s="8" t="str">
        <f t="shared" si="6"/>
        <v>ZEWDU DEREJE</v>
      </c>
      <c r="H197" s="20" t="str">
        <f t="shared" si="7"/>
        <v>4008</v>
      </c>
    </row>
    <row r="198" spans="1:8" x14ac:dyDescent="0.25">
      <c r="A198" s="8">
        <v>43011.754826388889</v>
      </c>
      <c r="B198" s="20" t="s">
        <v>597</v>
      </c>
      <c r="C198" s="20" t="s">
        <v>796</v>
      </c>
      <c r="D198" s="134">
        <v>3220000</v>
      </c>
      <c r="E198" s="20" t="s">
        <v>487</v>
      </c>
      <c r="F198" s="20" t="s">
        <v>488</v>
      </c>
      <c r="G198" s="8" t="str">
        <f t="shared" si="6"/>
        <v>RESPASS AARON</v>
      </c>
      <c r="H198" s="20" t="str">
        <f t="shared" si="7"/>
        <v>4032</v>
      </c>
    </row>
    <row r="199" spans="1:8" x14ac:dyDescent="0.25">
      <c r="A199" s="8">
        <v>43011.766574074078</v>
      </c>
      <c r="B199" s="20" t="s">
        <v>630</v>
      </c>
      <c r="C199" s="20" t="s">
        <v>797</v>
      </c>
      <c r="D199" s="134">
        <v>2630000</v>
      </c>
      <c r="E199" s="20" t="s">
        <v>494</v>
      </c>
      <c r="F199" s="20" t="s">
        <v>495</v>
      </c>
      <c r="G199" s="8" t="str">
        <f t="shared" si="6"/>
        <v>SAFIEF AEIMEN</v>
      </c>
      <c r="H199" s="20" t="str">
        <f t="shared" si="7"/>
        <v>4049</v>
      </c>
    </row>
    <row r="200" spans="1:8" x14ac:dyDescent="0.25">
      <c r="A200" s="8">
        <v>43011.768564814818</v>
      </c>
      <c r="B200" s="20" t="s">
        <v>468</v>
      </c>
      <c r="C200" s="20" t="s">
        <v>798</v>
      </c>
      <c r="D200" s="134">
        <v>3190000</v>
      </c>
      <c r="E200" s="20" t="s">
        <v>375</v>
      </c>
      <c r="F200" s="20" t="s">
        <v>376</v>
      </c>
      <c r="G200" s="8" t="str">
        <f t="shared" si="6"/>
        <v>HART KEVIN</v>
      </c>
      <c r="H200" s="20" t="str">
        <f t="shared" si="7"/>
        <v>4056</v>
      </c>
    </row>
    <row r="201" spans="1:8" x14ac:dyDescent="0.25">
      <c r="A201" s="8">
        <v>43011.774317129632</v>
      </c>
      <c r="B201" s="20" t="s">
        <v>599</v>
      </c>
      <c r="C201" s="20" t="s">
        <v>799</v>
      </c>
      <c r="D201" s="134">
        <v>3130000</v>
      </c>
      <c r="E201" s="20" t="s">
        <v>794</v>
      </c>
      <c r="F201" s="20" t="s">
        <v>795</v>
      </c>
      <c r="G201" s="8" t="str">
        <f t="shared" si="6"/>
        <v>ZEWDU DEREJE</v>
      </c>
      <c r="H201" s="20" t="str">
        <f t="shared" si="7"/>
        <v>4007</v>
      </c>
    </row>
    <row r="202" spans="1:8" x14ac:dyDescent="0.25">
      <c r="A202" s="26">
        <v>43011.775509259256</v>
      </c>
      <c r="B202" s="20" t="s">
        <v>407</v>
      </c>
      <c r="C202" s="20" t="s">
        <v>800</v>
      </c>
      <c r="D202" s="134">
        <v>2000000</v>
      </c>
      <c r="E202" s="20" t="s">
        <v>385</v>
      </c>
      <c r="F202" s="20" t="s">
        <v>368</v>
      </c>
      <c r="G202" s="8" t="str">
        <f t="shared" si="6"/>
        <v>STAMBAUGH JAMES</v>
      </c>
      <c r="H202" s="20" t="str">
        <f t="shared" si="7"/>
        <v>4044</v>
      </c>
    </row>
    <row r="203" spans="1:8" x14ac:dyDescent="0.25">
      <c r="A203" s="8">
        <v>43011.775879629633</v>
      </c>
      <c r="B203" s="20" t="s">
        <v>469</v>
      </c>
      <c r="C203" s="20" t="s">
        <v>801</v>
      </c>
      <c r="D203" s="134">
        <v>1300000</v>
      </c>
      <c r="E203" s="20" t="s">
        <v>539</v>
      </c>
      <c r="F203" s="20" t="s">
        <v>540</v>
      </c>
      <c r="G203" s="8" t="str">
        <f t="shared" si="6"/>
        <v>LEVIN SCOTT</v>
      </c>
      <c r="H203" s="20" t="str">
        <f t="shared" si="7"/>
        <v>4060</v>
      </c>
    </row>
    <row r="204" spans="1:8" x14ac:dyDescent="0.25">
      <c r="A204" s="8">
        <v>43011.776307870372</v>
      </c>
      <c r="B204" s="20" t="s">
        <v>486</v>
      </c>
      <c r="C204" s="20" t="s">
        <v>802</v>
      </c>
      <c r="D204" s="134">
        <v>890000</v>
      </c>
      <c r="E204" s="20" t="s">
        <v>363</v>
      </c>
      <c r="F204" s="20" t="s">
        <v>364</v>
      </c>
      <c r="G204" s="8" t="str">
        <f t="shared" si="6"/>
        <v>LOZA FIDEL</v>
      </c>
      <c r="H204" s="20" t="str">
        <f t="shared" si="7"/>
        <v>4041</v>
      </c>
    </row>
    <row r="205" spans="1:8" x14ac:dyDescent="0.25">
      <c r="A205" s="8">
        <v>43011.780972222223</v>
      </c>
      <c r="B205" s="20" t="s">
        <v>601</v>
      </c>
      <c r="C205" s="20" t="s">
        <v>803</v>
      </c>
      <c r="D205" s="134">
        <v>2230000</v>
      </c>
      <c r="E205" s="20" t="s">
        <v>500</v>
      </c>
      <c r="F205" s="20" t="s">
        <v>493</v>
      </c>
      <c r="G205" s="8" t="str">
        <f t="shared" si="6"/>
        <v>SMITH MICHAEL</v>
      </c>
      <c r="H205" s="20" t="str">
        <f t="shared" si="7"/>
        <v>4011</v>
      </c>
    </row>
    <row r="206" spans="1:8" x14ac:dyDescent="0.25">
      <c r="A206" s="8">
        <v>43011.78670138889</v>
      </c>
      <c r="B206" s="20" t="s">
        <v>463</v>
      </c>
      <c r="C206" s="20" t="s">
        <v>804</v>
      </c>
      <c r="D206" s="134">
        <v>2680000</v>
      </c>
      <c r="E206" s="20" t="s">
        <v>371</v>
      </c>
      <c r="F206" s="20" t="s">
        <v>372</v>
      </c>
      <c r="G206" s="8" t="str">
        <f t="shared" si="6"/>
        <v>DUNCAN SHEILA</v>
      </c>
      <c r="H206" s="20" t="str">
        <f t="shared" si="7"/>
        <v>4062</v>
      </c>
    </row>
    <row r="207" spans="1:8" x14ac:dyDescent="0.25">
      <c r="A207" s="8">
        <v>43011.787326388891</v>
      </c>
      <c r="B207" s="20" t="s">
        <v>603</v>
      </c>
      <c r="C207" s="20" t="s">
        <v>805</v>
      </c>
      <c r="D207" s="134">
        <v>3220000</v>
      </c>
      <c r="E207" s="20" t="s">
        <v>487</v>
      </c>
      <c r="F207" s="20" t="s">
        <v>488</v>
      </c>
      <c r="G207" s="8" t="str">
        <f t="shared" si="6"/>
        <v>RESPASS AARON</v>
      </c>
      <c r="H207" s="20" t="str">
        <f t="shared" si="7"/>
        <v>4031</v>
      </c>
    </row>
    <row r="208" spans="1:8" x14ac:dyDescent="0.25">
      <c r="A208" s="8">
        <v>43011.788958333331</v>
      </c>
      <c r="B208" s="20" t="s">
        <v>392</v>
      </c>
      <c r="C208" s="20" t="s">
        <v>806</v>
      </c>
      <c r="D208" s="134">
        <v>2000000</v>
      </c>
      <c r="E208" s="20" t="s">
        <v>385</v>
      </c>
      <c r="F208" s="20" t="s">
        <v>368</v>
      </c>
      <c r="G208" s="8" t="str">
        <f t="shared" si="6"/>
        <v>STAMBAUGH JAMES</v>
      </c>
      <c r="H208" s="20" t="str">
        <f t="shared" si="7"/>
        <v>4043</v>
      </c>
    </row>
    <row r="209" spans="1:8" x14ac:dyDescent="0.25">
      <c r="A209" s="8">
        <v>43011.79315972222</v>
      </c>
      <c r="B209" s="20" t="s">
        <v>503</v>
      </c>
      <c r="C209" s="20" t="s">
        <v>807</v>
      </c>
      <c r="D209" s="134">
        <v>3130000</v>
      </c>
      <c r="E209" s="20" t="s">
        <v>794</v>
      </c>
      <c r="F209" s="20" t="s">
        <v>795</v>
      </c>
      <c r="G209" s="8" t="str">
        <f t="shared" si="6"/>
        <v>ZEWDU DEREJE</v>
      </c>
      <c r="H209" s="20" t="str">
        <f t="shared" si="7"/>
        <v>4008</v>
      </c>
    </row>
    <row r="210" spans="1:8" x14ac:dyDescent="0.25">
      <c r="A210" s="8">
        <v>43011.794189814813</v>
      </c>
      <c r="B210" s="20" t="s">
        <v>503</v>
      </c>
      <c r="C210" s="20" t="s">
        <v>808</v>
      </c>
      <c r="D210" s="134">
        <v>3130000</v>
      </c>
      <c r="E210" s="20" t="s">
        <v>794</v>
      </c>
      <c r="F210" s="20" t="s">
        <v>795</v>
      </c>
      <c r="G210" s="8" t="str">
        <f t="shared" si="6"/>
        <v>ZEWDU DEREJE</v>
      </c>
      <c r="H210" s="20" t="str">
        <f t="shared" si="7"/>
        <v>4008</v>
      </c>
    </row>
    <row r="211" spans="1:8" x14ac:dyDescent="0.25">
      <c r="A211" s="8">
        <v>43011.797581018516</v>
      </c>
      <c r="B211" s="20" t="s">
        <v>435</v>
      </c>
      <c r="C211" s="20" t="s">
        <v>809</v>
      </c>
      <c r="D211" s="134">
        <v>2630000</v>
      </c>
      <c r="E211" s="20" t="s">
        <v>494</v>
      </c>
      <c r="F211" s="20" t="s">
        <v>495</v>
      </c>
      <c r="G211" s="8" t="str">
        <f t="shared" si="6"/>
        <v>SAFIEF AEIMEN</v>
      </c>
      <c r="H211" s="20" t="str">
        <f t="shared" si="7"/>
        <v>4050</v>
      </c>
    </row>
    <row r="212" spans="1:8" x14ac:dyDescent="0.25">
      <c r="A212" s="8">
        <v>43011.806331018517</v>
      </c>
      <c r="B212" s="20" t="s">
        <v>409</v>
      </c>
      <c r="C212" s="20" t="s">
        <v>810</v>
      </c>
      <c r="D212" s="134">
        <v>890000</v>
      </c>
      <c r="E212" s="20" t="s">
        <v>363</v>
      </c>
      <c r="F212" s="20" t="s">
        <v>364</v>
      </c>
      <c r="G212" s="8" t="str">
        <f t="shared" si="6"/>
        <v>LOZA FIDEL</v>
      </c>
      <c r="H212" s="20" t="str">
        <f t="shared" si="7"/>
        <v>4042</v>
      </c>
    </row>
    <row r="213" spans="1:8" x14ac:dyDescent="0.25">
      <c r="A213" s="8">
        <v>43011.807280092595</v>
      </c>
      <c r="B213" s="20" t="s">
        <v>467</v>
      </c>
      <c r="C213" s="20" t="s">
        <v>811</v>
      </c>
      <c r="D213" s="134">
        <v>3190000</v>
      </c>
      <c r="E213" s="20" t="s">
        <v>375</v>
      </c>
      <c r="F213" s="20" t="s">
        <v>376</v>
      </c>
      <c r="G213" s="8" t="str">
        <f t="shared" si="6"/>
        <v>HART KEVIN</v>
      </c>
      <c r="H213" s="20" t="str">
        <f t="shared" si="7"/>
        <v>4055</v>
      </c>
    </row>
    <row r="214" spans="1:8" x14ac:dyDescent="0.25">
      <c r="A214" s="8">
        <v>43011.816655092596</v>
      </c>
      <c r="B214" s="20" t="s">
        <v>599</v>
      </c>
      <c r="C214" s="20" t="s">
        <v>807</v>
      </c>
      <c r="D214" s="134">
        <v>3130000</v>
      </c>
      <c r="E214" s="20" t="s">
        <v>794</v>
      </c>
      <c r="F214" s="20" t="s">
        <v>795</v>
      </c>
      <c r="G214" s="8" t="str">
        <f t="shared" si="6"/>
        <v>ZEWDU DEREJE</v>
      </c>
      <c r="H214" s="20" t="str">
        <f t="shared" si="7"/>
        <v>4007</v>
      </c>
    </row>
    <row r="215" spans="1:8" x14ac:dyDescent="0.25">
      <c r="A215" s="8">
        <v>43011.818749999999</v>
      </c>
      <c r="B215" s="20" t="s">
        <v>594</v>
      </c>
      <c r="C215" s="20" t="s">
        <v>812</v>
      </c>
      <c r="D215" s="134">
        <v>2230000</v>
      </c>
      <c r="E215" s="20" t="s">
        <v>500</v>
      </c>
      <c r="F215" s="20" t="s">
        <v>493</v>
      </c>
      <c r="G215" s="8" t="str">
        <f t="shared" si="6"/>
        <v>SMITH MICHAEL</v>
      </c>
      <c r="H215" s="20" t="str">
        <f t="shared" si="7"/>
        <v>4012</v>
      </c>
    </row>
    <row r="216" spans="1:8" x14ac:dyDescent="0.25">
      <c r="A216" s="8">
        <v>43011.828761574077</v>
      </c>
      <c r="B216" s="20" t="s">
        <v>597</v>
      </c>
      <c r="C216" s="20" t="s">
        <v>813</v>
      </c>
      <c r="D216" s="134">
        <v>3500000</v>
      </c>
      <c r="E216" s="20" t="s">
        <v>498</v>
      </c>
      <c r="F216" s="20" t="s">
        <v>499</v>
      </c>
      <c r="G216" s="8" t="str">
        <f t="shared" si="6"/>
        <v>GUNTHIER ERIC</v>
      </c>
      <c r="H216" s="20" t="str">
        <f t="shared" si="7"/>
        <v>4032</v>
      </c>
    </row>
    <row r="217" spans="1:8" x14ac:dyDescent="0.25">
      <c r="A217" s="8">
        <v>43011.829826388886</v>
      </c>
      <c r="B217" s="20" t="s">
        <v>464</v>
      </c>
      <c r="C217" s="20" t="s">
        <v>814</v>
      </c>
      <c r="D217" s="134">
        <v>2680000</v>
      </c>
      <c r="E217" s="20" t="s">
        <v>371</v>
      </c>
      <c r="F217" s="20" t="s">
        <v>372</v>
      </c>
      <c r="G217" s="8" t="str">
        <f t="shared" si="6"/>
        <v>DUNCAN SHEILA</v>
      </c>
      <c r="H217" s="20" t="str">
        <f t="shared" si="7"/>
        <v>4061</v>
      </c>
    </row>
    <row r="218" spans="1:8" x14ac:dyDescent="0.25">
      <c r="A218" s="8">
        <v>43011.835243055553</v>
      </c>
      <c r="B218" s="20" t="s">
        <v>503</v>
      </c>
      <c r="C218" s="20" t="s">
        <v>815</v>
      </c>
      <c r="D218" s="134">
        <v>2970000</v>
      </c>
      <c r="E218" s="20" t="s">
        <v>496</v>
      </c>
      <c r="F218" s="20" t="s">
        <v>497</v>
      </c>
      <c r="G218" s="8" t="str">
        <f t="shared" si="6"/>
        <v>GUZMAN DANNY</v>
      </c>
      <c r="H218" s="20" t="str">
        <f t="shared" si="7"/>
        <v>4008</v>
      </c>
    </row>
    <row r="219" spans="1:8" x14ac:dyDescent="0.25">
      <c r="A219" s="8">
        <v>43011.844270833331</v>
      </c>
      <c r="B219" s="20" t="s">
        <v>468</v>
      </c>
      <c r="C219" s="20" t="s">
        <v>816</v>
      </c>
      <c r="D219" s="134">
        <v>3510000</v>
      </c>
      <c r="E219" s="20" t="s">
        <v>501</v>
      </c>
      <c r="F219" s="20" t="s">
        <v>502</v>
      </c>
      <c r="G219" s="8" t="str">
        <f t="shared" si="6"/>
        <v>BARRON PERLA</v>
      </c>
      <c r="H219" s="20" t="str">
        <f t="shared" si="7"/>
        <v>4056</v>
      </c>
    </row>
    <row r="220" spans="1:8" x14ac:dyDescent="0.25">
      <c r="A220" s="8">
        <v>43011.849861111114</v>
      </c>
      <c r="B220" s="20" t="s">
        <v>486</v>
      </c>
      <c r="C220" s="20" t="s">
        <v>817</v>
      </c>
      <c r="D220" s="134">
        <v>2140000</v>
      </c>
      <c r="E220" s="20" t="s">
        <v>447</v>
      </c>
      <c r="F220" s="20" t="s">
        <v>448</v>
      </c>
      <c r="G220" s="8" t="str">
        <f t="shared" si="6"/>
        <v>ROBINSON KADDIBA</v>
      </c>
      <c r="H220" s="20" t="str">
        <f t="shared" si="7"/>
        <v>4041</v>
      </c>
    </row>
    <row r="221" spans="1:8" x14ac:dyDescent="0.25">
      <c r="A221" s="8">
        <v>43011.85361111111</v>
      </c>
      <c r="B221" s="20" t="s">
        <v>599</v>
      </c>
      <c r="C221" s="20" t="s">
        <v>818</v>
      </c>
      <c r="D221" s="134">
        <v>2970000</v>
      </c>
      <c r="E221" s="20" t="s">
        <v>496</v>
      </c>
      <c r="F221" s="20" t="s">
        <v>497</v>
      </c>
      <c r="G221" s="8" t="str">
        <f t="shared" si="6"/>
        <v>GUZMAN DANNY</v>
      </c>
      <c r="H221" s="20" t="str">
        <f t="shared" si="7"/>
        <v>4007</v>
      </c>
    </row>
    <row r="222" spans="1:8" x14ac:dyDescent="0.25">
      <c r="A222" s="8">
        <v>43011.858437499999</v>
      </c>
      <c r="B222" s="20" t="s">
        <v>463</v>
      </c>
      <c r="C222" s="20" t="s">
        <v>819</v>
      </c>
      <c r="D222" s="134">
        <v>2680000</v>
      </c>
      <c r="E222" s="20" t="s">
        <v>371</v>
      </c>
      <c r="F222" s="20" t="s">
        <v>372</v>
      </c>
      <c r="G222" s="8" t="str">
        <f t="shared" si="6"/>
        <v>DUNCAN SHEILA</v>
      </c>
      <c r="H222" s="20" t="str">
        <f t="shared" si="7"/>
        <v>4062</v>
      </c>
    </row>
    <row r="223" spans="1:8" x14ac:dyDescent="0.25">
      <c r="A223" s="8">
        <v>43011.865347222221</v>
      </c>
      <c r="B223" s="20" t="s">
        <v>603</v>
      </c>
      <c r="C223" s="20" t="s">
        <v>820</v>
      </c>
      <c r="D223" s="134">
        <v>3500000</v>
      </c>
      <c r="E223" s="20" t="s">
        <v>498</v>
      </c>
      <c r="F223" s="20" t="s">
        <v>499</v>
      </c>
      <c r="G223" s="8" t="str">
        <f t="shared" si="6"/>
        <v>GUNTHIER ERIC</v>
      </c>
      <c r="H223" s="20" t="str">
        <f t="shared" si="7"/>
        <v>4031</v>
      </c>
    </row>
    <row r="224" spans="1:8" x14ac:dyDescent="0.25">
      <c r="A224" s="8">
        <v>43011.878460648149</v>
      </c>
      <c r="B224" t="s">
        <v>503</v>
      </c>
      <c r="C224" t="s">
        <v>821</v>
      </c>
      <c r="D224" s="134">
        <v>2000000</v>
      </c>
      <c r="E224" t="s">
        <v>385</v>
      </c>
      <c r="F224" s="20" t="s">
        <v>368</v>
      </c>
      <c r="G224" s="8" t="str">
        <f t="shared" si="6"/>
        <v>STAMBAUGH JAMES</v>
      </c>
      <c r="H224" s="20" t="str">
        <f t="shared" si="7"/>
        <v>4008</v>
      </c>
    </row>
    <row r="225" spans="1:8" x14ac:dyDescent="0.25">
      <c r="A225" s="8">
        <v>43011.881990740738</v>
      </c>
      <c r="B225" t="s">
        <v>467</v>
      </c>
      <c r="C225" t="s">
        <v>816</v>
      </c>
      <c r="D225" s="134">
        <v>3510000</v>
      </c>
      <c r="E225" t="s">
        <v>501</v>
      </c>
      <c r="F225" s="20" t="s">
        <v>502</v>
      </c>
      <c r="G225" s="8" t="str">
        <f t="shared" si="6"/>
        <v>BARRON PERLA</v>
      </c>
      <c r="H225" s="20" t="str">
        <f t="shared" si="7"/>
        <v>4055</v>
      </c>
    </row>
    <row r="226" spans="1:8" x14ac:dyDescent="0.25">
      <c r="A226" s="8">
        <v>43011.882997685185</v>
      </c>
      <c r="B226" t="s">
        <v>467</v>
      </c>
      <c r="C226" t="s">
        <v>822</v>
      </c>
      <c r="D226" s="134">
        <v>3510000</v>
      </c>
      <c r="E226" t="s">
        <v>501</v>
      </c>
      <c r="F226" s="20" t="s">
        <v>502</v>
      </c>
      <c r="G226" s="8" t="str">
        <f t="shared" si="6"/>
        <v>BARRON PERLA</v>
      </c>
      <c r="H226" s="20" t="str">
        <f t="shared" si="7"/>
        <v>4055</v>
      </c>
    </row>
    <row r="227" spans="1:8" x14ac:dyDescent="0.25">
      <c r="A227" s="8">
        <v>43011.88962962963</v>
      </c>
      <c r="B227" t="s">
        <v>532</v>
      </c>
      <c r="C227" t="s">
        <v>823</v>
      </c>
      <c r="D227" s="134">
        <v>3310000</v>
      </c>
      <c r="E227" t="s">
        <v>416</v>
      </c>
      <c r="F227" s="20" t="s">
        <v>417</v>
      </c>
      <c r="G227" s="8" t="str">
        <f t="shared" si="6"/>
        <v>ANDERS STEVEN</v>
      </c>
      <c r="H227" s="20" t="str">
        <f t="shared" si="7"/>
        <v>4002</v>
      </c>
    </row>
    <row r="228" spans="1:8" x14ac:dyDescent="0.25">
      <c r="A228" s="8">
        <v>43011.89298611111</v>
      </c>
      <c r="B228" t="s">
        <v>599</v>
      </c>
      <c r="C228" t="s">
        <v>821</v>
      </c>
      <c r="D228" s="134">
        <v>2000000</v>
      </c>
      <c r="E228" t="s">
        <v>385</v>
      </c>
      <c r="F228" s="20" t="s">
        <v>368</v>
      </c>
      <c r="G228" s="8" t="str">
        <f t="shared" si="6"/>
        <v>STAMBAUGH JAMES</v>
      </c>
      <c r="H228" s="20" t="str">
        <f t="shared" si="7"/>
        <v>4007</v>
      </c>
    </row>
    <row r="229" spans="1:8" x14ac:dyDescent="0.25">
      <c r="A229" s="8">
        <v>43011.893530092595</v>
      </c>
      <c r="B229" t="s">
        <v>599</v>
      </c>
      <c r="C229" t="s">
        <v>824</v>
      </c>
      <c r="D229" s="134">
        <v>2000000</v>
      </c>
      <c r="E229" t="s">
        <v>385</v>
      </c>
      <c r="F229" s="20" t="s">
        <v>368</v>
      </c>
      <c r="G229" s="8" t="str">
        <f t="shared" si="6"/>
        <v>STAMBAUGH JAMES</v>
      </c>
      <c r="H229" s="20" t="str">
        <f t="shared" si="7"/>
        <v>4007</v>
      </c>
    </row>
    <row r="230" spans="1:8" x14ac:dyDescent="0.25">
      <c r="A230" s="8">
        <v>43011.894699074073</v>
      </c>
      <c r="B230" t="s">
        <v>409</v>
      </c>
      <c r="C230" t="s">
        <v>825</v>
      </c>
      <c r="D230" s="134">
        <v>890000</v>
      </c>
      <c r="E230" t="s">
        <v>363</v>
      </c>
      <c r="F230" s="20" t="s">
        <v>364</v>
      </c>
      <c r="G230" s="8" t="str">
        <f t="shared" si="6"/>
        <v>LOZA FIDEL</v>
      </c>
      <c r="H230" s="20" t="str">
        <f t="shared" si="7"/>
        <v>4042</v>
      </c>
    </row>
    <row r="231" spans="1:8" x14ac:dyDescent="0.25">
      <c r="A231" s="8">
        <v>43011.897083333337</v>
      </c>
      <c r="B231" t="s">
        <v>410</v>
      </c>
      <c r="C231" t="s">
        <v>823</v>
      </c>
      <c r="D231" s="134">
        <v>3310000</v>
      </c>
      <c r="E231" t="s">
        <v>416</v>
      </c>
      <c r="F231" s="20" t="s">
        <v>417</v>
      </c>
      <c r="G231" s="8" t="str">
        <f t="shared" si="6"/>
        <v>ANDERS STEVEN</v>
      </c>
      <c r="H231" s="20" t="str">
        <f t="shared" si="7"/>
        <v>4001</v>
      </c>
    </row>
    <row r="232" spans="1:8" x14ac:dyDescent="0.25">
      <c r="A232" s="8">
        <v>43011.90252314815</v>
      </c>
      <c r="B232" t="s">
        <v>464</v>
      </c>
      <c r="C232" t="s">
        <v>826</v>
      </c>
      <c r="D232" s="134">
        <v>2680000</v>
      </c>
      <c r="E232" t="s">
        <v>371</v>
      </c>
      <c r="F232" s="20" t="s">
        <v>372</v>
      </c>
      <c r="G232" s="8" t="str">
        <f t="shared" si="6"/>
        <v>DUNCAN SHEILA</v>
      </c>
      <c r="H232" s="20" t="str">
        <f t="shared" si="7"/>
        <v>4061</v>
      </c>
    </row>
    <row r="233" spans="1:8" x14ac:dyDescent="0.25">
      <c r="A233" s="8">
        <v>43011.906759259262</v>
      </c>
      <c r="B233" t="s">
        <v>597</v>
      </c>
      <c r="C233" t="s">
        <v>621</v>
      </c>
      <c r="D233" s="134">
        <v>3220000</v>
      </c>
      <c r="E233" t="s">
        <v>487</v>
      </c>
      <c r="F233" s="20" t="s">
        <v>488</v>
      </c>
      <c r="G233" s="8" t="str">
        <f t="shared" si="6"/>
        <v>RESPASS AARON</v>
      </c>
      <c r="H233" s="20" t="str">
        <f t="shared" si="7"/>
        <v>4032</v>
      </c>
    </row>
    <row r="234" spans="1:8" x14ac:dyDescent="0.25">
      <c r="A234" s="8">
        <v>43011.921458333331</v>
      </c>
      <c r="B234" t="s">
        <v>532</v>
      </c>
      <c r="C234" t="s">
        <v>827</v>
      </c>
      <c r="D234" s="134">
        <v>2000000</v>
      </c>
      <c r="E234" t="s">
        <v>385</v>
      </c>
      <c r="F234" s="20" t="s">
        <v>368</v>
      </c>
      <c r="G234" s="8" t="str">
        <f t="shared" si="6"/>
        <v>STAMBAUGH JAMES</v>
      </c>
      <c r="H234" s="20" t="str">
        <f t="shared" si="7"/>
        <v>4002</v>
      </c>
    </row>
    <row r="235" spans="1:8" x14ac:dyDescent="0.25">
      <c r="A235" s="8">
        <v>43011.932800925926</v>
      </c>
      <c r="B235" t="s">
        <v>486</v>
      </c>
      <c r="C235" t="s">
        <v>828</v>
      </c>
      <c r="D235" s="134">
        <v>890000</v>
      </c>
      <c r="E235" t="s">
        <v>363</v>
      </c>
      <c r="F235" s="20" t="s">
        <v>364</v>
      </c>
      <c r="G235" s="8" t="str">
        <f t="shared" si="6"/>
        <v>LOZA FIDEL</v>
      </c>
      <c r="H235" s="20" t="str">
        <f t="shared" si="7"/>
        <v>4041</v>
      </c>
    </row>
    <row r="236" spans="1:8" x14ac:dyDescent="0.25">
      <c r="A236" s="8">
        <v>43011.933379629627</v>
      </c>
      <c r="B236" t="s">
        <v>597</v>
      </c>
      <c r="C236" t="s">
        <v>621</v>
      </c>
      <c r="D236" s="134">
        <v>3220000</v>
      </c>
      <c r="E236" t="s">
        <v>487</v>
      </c>
      <c r="F236" s="20" t="s">
        <v>488</v>
      </c>
      <c r="G236" s="8" t="str">
        <f t="shared" si="6"/>
        <v>RESPASS AARON</v>
      </c>
      <c r="H236" s="20" t="str">
        <f t="shared" si="7"/>
        <v>4032</v>
      </c>
    </row>
    <row r="237" spans="1:8" x14ac:dyDescent="0.25">
      <c r="A237" s="8">
        <v>43011.933865740742</v>
      </c>
      <c r="B237" t="s">
        <v>410</v>
      </c>
      <c r="C237" t="s">
        <v>622</v>
      </c>
      <c r="D237" s="134">
        <v>2000000</v>
      </c>
      <c r="E237" t="s">
        <v>385</v>
      </c>
      <c r="F237" s="20" t="s">
        <v>368</v>
      </c>
      <c r="G237" s="8" t="str">
        <f t="shared" si="6"/>
        <v>STAMBAUGH JAMES</v>
      </c>
      <c r="H237" s="20" t="str">
        <f t="shared" si="7"/>
        <v>4001</v>
      </c>
    </row>
    <row r="238" spans="1:8" x14ac:dyDescent="0.25">
      <c r="A238" s="8">
        <v>43011.935787037037</v>
      </c>
      <c r="B238" t="s">
        <v>468</v>
      </c>
      <c r="C238" t="s">
        <v>829</v>
      </c>
      <c r="D238" s="134">
        <v>3190000</v>
      </c>
      <c r="E238" t="s">
        <v>375</v>
      </c>
      <c r="F238" s="20" t="s">
        <v>376</v>
      </c>
      <c r="G238" s="8" t="str">
        <f t="shared" si="6"/>
        <v>HART KEVIN</v>
      </c>
      <c r="H238" s="20" t="str">
        <f t="shared" si="7"/>
        <v>4056</v>
      </c>
    </row>
    <row r="239" spans="1:8" x14ac:dyDescent="0.25">
      <c r="A239" s="8">
        <v>43011.951956018522</v>
      </c>
      <c r="B239" t="s">
        <v>603</v>
      </c>
      <c r="C239" t="s">
        <v>830</v>
      </c>
      <c r="D239" s="134">
        <v>3220000</v>
      </c>
      <c r="E239" t="s">
        <v>487</v>
      </c>
      <c r="F239" s="20" t="s">
        <v>488</v>
      </c>
      <c r="G239" s="8" t="str">
        <f t="shared" si="6"/>
        <v>RESPASS AARON</v>
      </c>
      <c r="H239" s="20" t="str">
        <f t="shared" si="7"/>
        <v>4031</v>
      </c>
    </row>
    <row r="240" spans="1:8" x14ac:dyDescent="0.25">
      <c r="A240" s="8">
        <v>43011.956030092595</v>
      </c>
      <c r="B240" t="s">
        <v>463</v>
      </c>
      <c r="C240" t="s">
        <v>831</v>
      </c>
      <c r="D240" s="134">
        <v>3310000</v>
      </c>
      <c r="E240" t="s">
        <v>416</v>
      </c>
      <c r="F240" s="20" t="s">
        <v>417</v>
      </c>
      <c r="G240" s="8" t="str">
        <f t="shared" si="6"/>
        <v>ANDERS STEVEN</v>
      </c>
      <c r="H240" s="20" t="str">
        <f t="shared" si="7"/>
        <v>4062</v>
      </c>
    </row>
    <row r="241" spans="1:8" x14ac:dyDescent="0.25">
      <c r="A241" s="8">
        <v>43011.963379629633</v>
      </c>
      <c r="B241" t="s">
        <v>503</v>
      </c>
      <c r="C241" t="s">
        <v>832</v>
      </c>
      <c r="D241" s="134">
        <v>2000000</v>
      </c>
      <c r="E241" t="s">
        <v>385</v>
      </c>
      <c r="F241" s="20" t="s">
        <v>368</v>
      </c>
      <c r="G241" s="8" t="str">
        <f t="shared" si="6"/>
        <v>STAMBAUGH JAMES</v>
      </c>
      <c r="H241" s="20" t="str">
        <f t="shared" si="7"/>
        <v>4008</v>
      </c>
    </row>
    <row r="242" spans="1:8" x14ac:dyDescent="0.25">
      <c r="A242" s="8">
        <v>43011.9687037037</v>
      </c>
      <c r="B242" t="s">
        <v>409</v>
      </c>
      <c r="C242" t="s">
        <v>833</v>
      </c>
      <c r="D242" s="134">
        <v>890000</v>
      </c>
      <c r="E242" t="s">
        <v>363</v>
      </c>
      <c r="F242" s="20" t="s">
        <v>364</v>
      </c>
      <c r="G242" s="8" t="str">
        <f t="shared" si="6"/>
        <v>LOZA FIDEL</v>
      </c>
      <c r="H242" s="20" t="str">
        <f t="shared" si="7"/>
        <v>4042</v>
      </c>
    </row>
    <row r="243" spans="1:8" x14ac:dyDescent="0.25">
      <c r="A243" s="8">
        <v>43011.975763888891</v>
      </c>
      <c r="B243" t="s">
        <v>599</v>
      </c>
      <c r="C243" t="s">
        <v>834</v>
      </c>
      <c r="D243" s="134">
        <v>2000000</v>
      </c>
      <c r="E243" t="s">
        <v>385</v>
      </c>
      <c r="F243" s="20" t="s">
        <v>368</v>
      </c>
      <c r="G243" s="8" t="str">
        <f t="shared" si="6"/>
        <v>STAMBAUGH JAMES</v>
      </c>
      <c r="H243" s="20" t="str">
        <f t="shared" si="7"/>
        <v>4007</v>
      </c>
    </row>
    <row r="244" spans="1:8" x14ac:dyDescent="0.25">
      <c r="A244" s="8">
        <v>43011.976226851853</v>
      </c>
      <c r="B244" t="s">
        <v>467</v>
      </c>
      <c r="C244" t="s">
        <v>835</v>
      </c>
      <c r="D244" s="134">
        <v>3190000</v>
      </c>
      <c r="E244" t="s">
        <v>375</v>
      </c>
      <c r="F244" s="20" t="s">
        <v>376</v>
      </c>
      <c r="G244" s="8" t="str">
        <f t="shared" si="6"/>
        <v>HART KEVIN</v>
      </c>
      <c r="H244" s="20" t="str">
        <f t="shared" si="7"/>
        <v>4055</v>
      </c>
    </row>
    <row r="245" spans="1:8" x14ac:dyDescent="0.25">
      <c r="A245" s="8">
        <v>43011.986608796295</v>
      </c>
      <c r="B245" t="s">
        <v>464</v>
      </c>
      <c r="C245" t="s">
        <v>836</v>
      </c>
      <c r="D245" s="134">
        <v>3310000</v>
      </c>
      <c r="E245" t="s">
        <v>416</v>
      </c>
      <c r="F245" s="20" t="s">
        <v>417</v>
      </c>
      <c r="G245" s="8" t="str">
        <f t="shared" si="6"/>
        <v>ANDERS STEVEN</v>
      </c>
      <c r="H245" s="20" t="str">
        <f t="shared" si="7"/>
        <v>4061</v>
      </c>
    </row>
    <row r="246" spans="1:8" x14ac:dyDescent="0.25">
      <c r="A246" s="8">
        <v>43011.990578703706</v>
      </c>
      <c r="B246" t="s">
        <v>597</v>
      </c>
      <c r="C246" t="s">
        <v>623</v>
      </c>
      <c r="D246" s="134">
        <v>3220000</v>
      </c>
      <c r="E246" t="s">
        <v>487</v>
      </c>
      <c r="F246" s="20" t="s">
        <v>488</v>
      </c>
      <c r="G246" s="8" t="str">
        <f t="shared" si="6"/>
        <v>RESPASS AARON</v>
      </c>
      <c r="H246" s="20" t="str">
        <f t="shared" si="7"/>
        <v>4032</v>
      </c>
    </row>
    <row r="247" spans="1:8" x14ac:dyDescent="0.25">
      <c r="A247" s="8">
        <v>43012.017627314817</v>
      </c>
      <c r="B247" t="s">
        <v>486</v>
      </c>
      <c r="C247" t="s">
        <v>837</v>
      </c>
      <c r="D247" s="134">
        <v>890000</v>
      </c>
      <c r="E247" t="s">
        <v>363</v>
      </c>
      <c r="F247" s="20" t="s">
        <v>364</v>
      </c>
      <c r="G247" s="8" t="str">
        <f t="shared" si="6"/>
        <v>LOZA FIDEL</v>
      </c>
      <c r="H247" s="20" t="str">
        <f t="shared" si="7"/>
        <v>4041</v>
      </c>
    </row>
    <row r="248" spans="1:8" x14ac:dyDescent="0.25">
      <c r="A248" s="8">
        <v>43012.019004629627</v>
      </c>
      <c r="B248" t="s">
        <v>468</v>
      </c>
      <c r="C248" t="s">
        <v>838</v>
      </c>
      <c r="D248" s="134">
        <v>3190000</v>
      </c>
      <c r="E248" t="s">
        <v>375</v>
      </c>
      <c r="F248" s="20" t="s">
        <v>376</v>
      </c>
      <c r="G248" s="8" t="str">
        <f t="shared" si="6"/>
        <v>HART KEVIN</v>
      </c>
      <c r="H248" s="20" t="str">
        <f t="shared" si="7"/>
        <v>4056</v>
      </c>
    </row>
    <row r="249" spans="1:8" x14ac:dyDescent="0.25">
      <c r="A249" s="8">
        <v>43012.02716435185</v>
      </c>
      <c r="B249" t="s">
        <v>603</v>
      </c>
      <c r="C249" t="s">
        <v>624</v>
      </c>
      <c r="D249" s="134">
        <v>3220000</v>
      </c>
      <c r="E249" t="s">
        <v>487</v>
      </c>
      <c r="F249" s="20" t="s">
        <v>488</v>
      </c>
      <c r="G249" s="8" t="str">
        <f t="shared" si="6"/>
        <v>RESPASS AARON</v>
      </c>
      <c r="H249" s="20" t="str">
        <f t="shared" si="7"/>
        <v>4031</v>
      </c>
    </row>
    <row r="250" spans="1:8" x14ac:dyDescent="0.25">
      <c r="A250" s="8">
        <v>43012.027303240742</v>
      </c>
      <c r="B250" t="s">
        <v>463</v>
      </c>
      <c r="C250" t="s">
        <v>839</v>
      </c>
      <c r="D250" s="134">
        <v>2680000</v>
      </c>
      <c r="E250" t="s">
        <v>371</v>
      </c>
      <c r="F250" s="20" t="s">
        <v>372</v>
      </c>
      <c r="G250" s="8" t="str">
        <f t="shared" si="6"/>
        <v>DUNCAN SHEILA</v>
      </c>
      <c r="H250" s="20" t="str">
        <f t="shared" si="7"/>
        <v>4062</v>
      </c>
    </row>
    <row r="251" spans="1:8" x14ac:dyDescent="0.25">
      <c r="A251" s="8">
        <v>43012.046053240738</v>
      </c>
      <c r="B251" t="s">
        <v>409</v>
      </c>
      <c r="C251" t="s">
        <v>840</v>
      </c>
      <c r="D251" s="134">
        <v>890000</v>
      </c>
      <c r="E251" t="s">
        <v>363</v>
      </c>
      <c r="F251" s="20" t="s">
        <v>364</v>
      </c>
      <c r="G251" s="8" t="str">
        <f t="shared" si="6"/>
        <v>LOZA FIDEL</v>
      </c>
      <c r="H251" s="20" t="str">
        <f t="shared" si="7"/>
        <v>4042</v>
      </c>
    </row>
    <row r="252" spans="1:8" x14ac:dyDescent="0.25">
      <c r="A252" s="8">
        <v>43012.058587962965</v>
      </c>
      <c r="B252" t="s">
        <v>467</v>
      </c>
      <c r="C252" t="s">
        <v>841</v>
      </c>
      <c r="D252" s="134">
        <v>3190000</v>
      </c>
      <c r="E252" t="s">
        <v>375</v>
      </c>
      <c r="F252" s="20" t="s">
        <v>376</v>
      </c>
      <c r="G252" s="8" t="str">
        <f t="shared" si="6"/>
        <v>HART KEVIN</v>
      </c>
      <c r="H252" s="20" t="str">
        <f t="shared" si="7"/>
        <v>4055</v>
      </c>
    </row>
    <row r="253" spans="1:8" x14ac:dyDescent="0.25">
      <c r="A253" s="8">
        <v>43012.068495370368</v>
      </c>
      <c r="B253" t="s">
        <v>597</v>
      </c>
      <c r="C253" t="s">
        <v>842</v>
      </c>
      <c r="D253" s="134">
        <v>3220000</v>
      </c>
      <c r="E253" t="s">
        <v>487</v>
      </c>
      <c r="F253" s="20" t="s">
        <v>488</v>
      </c>
      <c r="G253" s="8" t="str">
        <f t="shared" si="6"/>
        <v>RESPASS AARON</v>
      </c>
      <c r="H253" s="20" t="str">
        <f t="shared" si="7"/>
        <v>4032</v>
      </c>
    </row>
    <row r="254" spans="1:8" x14ac:dyDescent="0.25">
      <c r="A254" s="8">
        <v>43012.087106481478</v>
      </c>
      <c r="B254" t="s">
        <v>468</v>
      </c>
      <c r="C254" t="s">
        <v>843</v>
      </c>
      <c r="D254" s="134">
        <v>3190000</v>
      </c>
      <c r="E254" t="s">
        <v>375</v>
      </c>
      <c r="F254" s="20" t="s">
        <v>376</v>
      </c>
      <c r="G254" s="8" t="str">
        <f t="shared" si="6"/>
        <v>HART KEVIN</v>
      </c>
      <c r="H254" s="20" t="str">
        <f t="shared" si="7"/>
        <v>4056</v>
      </c>
    </row>
    <row r="255" spans="1:8" x14ac:dyDescent="0.25">
      <c r="A255" s="8">
        <v>43007.088275462964</v>
      </c>
      <c r="B255" t="s">
        <v>424</v>
      </c>
      <c r="C255" t="s">
        <v>466</v>
      </c>
      <c r="D255" s="134">
        <v>2620000</v>
      </c>
      <c r="E255" t="s">
        <v>373</v>
      </c>
      <c r="F255" s="20" t="s">
        <v>374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455</v>
      </c>
      <c r="C256" t="s">
        <v>473</v>
      </c>
      <c r="D256" s="134">
        <v>1830000</v>
      </c>
      <c r="E256" t="s">
        <v>393</v>
      </c>
      <c r="F256" s="20" t="s">
        <v>394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425</v>
      </c>
      <c r="C257" t="s">
        <v>428</v>
      </c>
      <c r="D257" s="134">
        <v>3340000</v>
      </c>
      <c r="E257" t="s">
        <v>426</v>
      </c>
      <c r="F257" s="20" t="s">
        <v>427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386</v>
      </c>
      <c r="C258" t="s">
        <v>429</v>
      </c>
      <c r="D258" s="134">
        <v>3320000</v>
      </c>
      <c r="E258" t="s">
        <v>378</v>
      </c>
      <c r="F258" s="20" t="s">
        <v>379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405</v>
      </c>
      <c r="C259" t="s">
        <v>430</v>
      </c>
      <c r="D259" s="134">
        <v>2620000</v>
      </c>
      <c r="E259" t="s">
        <v>373</v>
      </c>
      <c r="F259" s="20" t="s">
        <v>374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410</v>
      </c>
      <c r="C260" t="s">
        <v>431</v>
      </c>
      <c r="D260" s="134">
        <v>1830000</v>
      </c>
      <c r="E260" t="s">
        <v>393</v>
      </c>
      <c r="F260" s="20" t="s">
        <v>394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395</v>
      </c>
      <c r="C261" t="s">
        <v>432</v>
      </c>
      <c r="D261" s="134">
        <v>900000</v>
      </c>
      <c r="E261" t="s">
        <v>414</v>
      </c>
      <c r="F261" s="20" t="s">
        <v>415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409</v>
      </c>
      <c r="C262" t="s">
        <v>418</v>
      </c>
      <c r="D262" s="134">
        <v>2620000</v>
      </c>
      <c r="E262" t="s">
        <v>373</v>
      </c>
      <c r="F262" s="20" t="s">
        <v>374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398</v>
      </c>
      <c r="C263" t="s">
        <v>412</v>
      </c>
      <c r="D263" s="134">
        <v>3310000</v>
      </c>
      <c r="E263" t="s">
        <v>416</v>
      </c>
      <c r="F263" s="20" t="s">
        <v>417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398</v>
      </c>
      <c r="C264" t="s">
        <v>412</v>
      </c>
      <c r="D264" s="134">
        <v>3310000</v>
      </c>
      <c r="E264" t="s">
        <v>416</v>
      </c>
      <c r="F264" s="20" t="s">
        <v>417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404</v>
      </c>
      <c r="C265" t="s">
        <v>419</v>
      </c>
      <c r="D265" s="134">
        <v>890000</v>
      </c>
      <c r="E265" t="s">
        <v>363</v>
      </c>
      <c r="F265" s="20" t="s">
        <v>364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411</v>
      </c>
      <c r="C266" t="s">
        <v>420</v>
      </c>
      <c r="D266" s="134">
        <v>2680000</v>
      </c>
      <c r="E266" t="s">
        <v>371</v>
      </c>
      <c r="F266" s="20" t="s">
        <v>372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408</v>
      </c>
      <c r="C267" t="s">
        <v>420</v>
      </c>
      <c r="D267" s="134">
        <v>2680000</v>
      </c>
      <c r="E267" t="s">
        <v>371</v>
      </c>
      <c r="F267" s="20" t="s">
        <v>372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392</v>
      </c>
      <c r="C268" t="s">
        <v>413</v>
      </c>
      <c r="D268" s="134">
        <v>3190000</v>
      </c>
      <c r="E268" t="s">
        <v>375</v>
      </c>
      <c r="F268" s="20" t="s">
        <v>376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406</v>
      </c>
      <c r="C269" t="s">
        <v>421</v>
      </c>
      <c r="D269" s="134">
        <v>890000</v>
      </c>
      <c r="E269" t="s">
        <v>363</v>
      </c>
      <c r="F269" s="20" t="s">
        <v>364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411</v>
      </c>
      <c r="C270" t="s">
        <v>420</v>
      </c>
      <c r="D270" s="134">
        <v>2680000</v>
      </c>
      <c r="E270" t="s">
        <v>371</v>
      </c>
      <c r="F270" s="20" t="s">
        <v>372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392</v>
      </c>
      <c r="C271" t="s">
        <v>413</v>
      </c>
      <c r="D271" s="134">
        <v>3190000</v>
      </c>
      <c r="E271" t="s">
        <v>375</v>
      </c>
      <c r="F271" s="20" t="s">
        <v>376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407</v>
      </c>
      <c r="C272" t="s">
        <v>422</v>
      </c>
      <c r="D272" s="134">
        <v>3190000</v>
      </c>
      <c r="E272" t="s">
        <v>375</v>
      </c>
      <c r="F272" s="20" t="s">
        <v>376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400</v>
      </c>
      <c r="C273" t="s">
        <v>423</v>
      </c>
      <c r="D273" s="134">
        <v>1830000</v>
      </c>
      <c r="E273" t="s">
        <v>393</v>
      </c>
      <c r="F273" s="20" t="s">
        <v>394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37" customWidth="1"/>
    <col min="2" max="2" width="8.42578125" style="137" bestFit="1" customWidth="1"/>
    <col min="3" max="3" width="12.5703125" style="137" bestFit="1" customWidth="1"/>
    <col min="4" max="4" width="18.5703125" style="126" bestFit="1" customWidth="1"/>
    <col min="5" max="5" width="9.85546875" style="137" bestFit="1" customWidth="1"/>
    <col min="6" max="6" width="9" style="137" bestFit="1" customWidth="1"/>
    <col min="7" max="7" width="8.85546875" style="137" bestFit="1" customWidth="1"/>
    <col min="8" max="8" width="14" style="137" bestFit="1" customWidth="1"/>
    <col min="9" max="9" width="21.140625" style="137" bestFit="1" customWidth="1"/>
    <col min="10" max="10" width="8.7109375" style="137" bestFit="1" customWidth="1"/>
    <col min="11" max="11" width="11.28515625" style="137" bestFit="1" customWidth="1"/>
    <col min="12" max="12" width="11" style="137" bestFit="1" customWidth="1"/>
    <col min="13" max="13" width="11.28515625" style="137" bestFit="1" customWidth="1"/>
    <col min="14" max="14" width="13.7109375" style="137" bestFit="1" customWidth="1"/>
    <col min="15" max="15" width="14.85546875" style="137" bestFit="1" customWidth="1"/>
    <col min="16" max="16" width="16.7109375" style="137" bestFit="1" customWidth="1"/>
    <col min="17" max="17" width="9.42578125" style="106" bestFit="1" customWidth="1"/>
    <col min="18" max="16384" width="9.140625" style="106"/>
  </cols>
  <sheetData>
    <row r="1" spans="1:19" s="107" customFormat="1" x14ac:dyDescent="0.25">
      <c r="A1" s="199" t="s">
        <v>156</v>
      </c>
      <c r="B1" s="199" t="s">
        <v>159</v>
      </c>
      <c r="C1" s="199" t="s">
        <v>152</v>
      </c>
      <c r="D1" s="132" t="s">
        <v>164</v>
      </c>
      <c r="E1" s="199" t="s">
        <v>153</v>
      </c>
      <c r="F1" s="199" t="s">
        <v>151</v>
      </c>
      <c r="G1" s="199" t="s">
        <v>149</v>
      </c>
      <c r="H1" s="199" t="s">
        <v>162</v>
      </c>
      <c r="I1" s="199" t="s">
        <v>163</v>
      </c>
      <c r="J1" s="199" t="s">
        <v>436</v>
      </c>
      <c r="K1" s="199" t="s">
        <v>157</v>
      </c>
      <c r="L1" s="199" t="s">
        <v>155</v>
      </c>
      <c r="M1" s="199" t="s">
        <v>150</v>
      </c>
      <c r="N1" s="199" t="s">
        <v>160</v>
      </c>
      <c r="O1" s="199" t="s">
        <v>344</v>
      </c>
      <c r="P1" s="199" t="s">
        <v>154</v>
      </c>
      <c r="Q1" s="199" t="s">
        <v>161</v>
      </c>
      <c r="R1" s="199" t="s">
        <v>345</v>
      </c>
      <c r="S1" s="199" t="s">
        <v>158</v>
      </c>
    </row>
    <row r="2" spans="1:19" x14ac:dyDescent="0.25">
      <c r="A2" s="190">
        <v>38.630000000000003</v>
      </c>
      <c r="B2" s="190">
        <v>0.89</v>
      </c>
      <c r="C2" s="190">
        <v>36.54</v>
      </c>
      <c r="D2" s="8">
        <v>43011</v>
      </c>
      <c r="E2" s="190">
        <v>0.92</v>
      </c>
      <c r="F2" s="190" t="s">
        <v>438</v>
      </c>
      <c r="G2" s="190">
        <v>301.75</v>
      </c>
      <c r="H2" s="190">
        <v>0</v>
      </c>
      <c r="I2" s="190">
        <v>0</v>
      </c>
      <c r="J2" s="190"/>
      <c r="K2" s="190">
        <v>1014.57</v>
      </c>
      <c r="L2" s="190" t="s">
        <v>439</v>
      </c>
      <c r="M2" s="190">
        <v>38.630000000000003</v>
      </c>
      <c r="N2" s="190">
        <v>1507010400</v>
      </c>
      <c r="O2" s="190">
        <v>0</v>
      </c>
      <c r="P2" s="190">
        <v>3.43</v>
      </c>
      <c r="Q2" s="190">
        <v>355</v>
      </c>
      <c r="R2" s="190">
        <v>1.77</v>
      </c>
      <c r="S2" s="190">
        <v>0.08</v>
      </c>
    </row>
    <row r="3" spans="1:19" x14ac:dyDescent="0.25">
      <c r="A3" s="190">
        <v>38.21</v>
      </c>
      <c r="B3" s="190">
        <v>0.48</v>
      </c>
      <c r="C3" s="190">
        <v>36.28</v>
      </c>
      <c r="D3" s="8">
        <v>43011.041666666664</v>
      </c>
      <c r="E3" s="190">
        <v>0.93</v>
      </c>
      <c r="F3" s="190" t="s">
        <v>438</v>
      </c>
      <c r="G3" s="190">
        <v>301.10000000000002</v>
      </c>
      <c r="H3" s="190">
        <v>0</v>
      </c>
      <c r="I3" s="190">
        <v>0</v>
      </c>
      <c r="J3" s="190"/>
      <c r="K3" s="190">
        <v>1015.01</v>
      </c>
      <c r="L3" s="190" t="s">
        <v>449</v>
      </c>
      <c r="M3" s="190">
        <v>38.21</v>
      </c>
      <c r="N3" s="190">
        <v>1507014000</v>
      </c>
      <c r="O3" s="190">
        <v>0</v>
      </c>
      <c r="P3" s="190">
        <v>2.92</v>
      </c>
      <c r="Q3" s="190">
        <v>138</v>
      </c>
      <c r="R3" s="190">
        <v>1.56</v>
      </c>
      <c r="S3" s="190">
        <v>0.17</v>
      </c>
    </row>
    <row r="4" spans="1:19" x14ac:dyDescent="0.25">
      <c r="A4" s="190">
        <v>37.94</v>
      </c>
      <c r="B4" s="190">
        <v>0.39</v>
      </c>
      <c r="C4" s="190">
        <v>35.94</v>
      </c>
      <c r="D4" s="8">
        <v>43011.083333333336</v>
      </c>
      <c r="E4" s="190">
        <v>0.92</v>
      </c>
      <c r="F4" s="190" t="s">
        <v>438</v>
      </c>
      <c r="G4" s="190">
        <v>301.20999999999998</v>
      </c>
      <c r="H4" s="190">
        <v>0</v>
      </c>
      <c r="I4" s="190">
        <v>0</v>
      </c>
      <c r="J4" s="190"/>
      <c r="K4" s="190">
        <v>1016.18</v>
      </c>
      <c r="L4" s="190" t="s">
        <v>449</v>
      </c>
      <c r="M4" s="190">
        <v>37.94</v>
      </c>
      <c r="N4" s="190">
        <v>1507017600</v>
      </c>
      <c r="O4" s="190">
        <v>0</v>
      </c>
      <c r="P4" s="190">
        <v>2.93</v>
      </c>
      <c r="Q4" s="190">
        <v>197</v>
      </c>
      <c r="R4" s="190">
        <v>2.2000000000000002</v>
      </c>
      <c r="S4" s="190">
        <v>0.26</v>
      </c>
    </row>
    <row r="5" spans="1:19" x14ac:dyDescent="0.25">
      <c r="A5" s="190">
        <v>37.57</v>
      </c>
      <c r="B5" s="190">
        <v>0.34</v>
      </c>
      <c r="C5" s="190">
        <v>35.42</v>
      </c>
      <c r="D5" s="8">
        <v>43011.125</v>
      </c>
      <c r="E5" s="190">
        <v>0.92</v>
      </c>
      <c r="F5" s="190" t="s">
        <v>438</v>
      </c>
      <c r="G5" s="190">
        <v>301</v>
      </c>
      <c r="H5" s="190">
        <v>0</v>
      </c>
      <c r="I5" s="190">
        <v>0</v>
      </c>
      <c r="J5" s="190"/>
      <c r="K5" s="190">
        <v>1017.03</v>
      </c>
      <c r="L5" s="190" t="s">
        <v>449</v>
      </c>
      <c r="M5" s="190">
        <v>37.57</v>
      </c>
      <c r="N5" s="190">
        <v>1507021200</v>
      </c>
      <c r="O5" s="190">
        <v>0</v>
      </c>
      <c r="P5" s="190">
        <v>2.52</v>
      </c>
      <c r="Q5" s="190">
        <v>232</v>
      </c>
      <c r="R5" s="190">
        <v>1.91</v>
      </c>
      <c r="S5" s="190">
        <v>0.38</v>
      </c>
    </row>
    <row r="6" spans="1:19" x14ac:dyDescent="0.25">
      <c r="A6" s="190">
        <v>37.369999999999997</v>
      </c>
      <c r="B6" s="190">
        <v>0.27</v>
      </c>
      <c r="C6" s="190">
        <v>35.31</v>
      </c>
      <c r="D6" s="8">
        <v>43011.166666666664</v>
      </c>
      <c r="E6" s="190">
        <v>0.92</v>
      </c>
      <c r="F6" s="190" t="s">
        <v>438</v>
      </c>
      <c r="G6" s="190">
        <v>300.02</v>
      </c>
      <c r="H6" s="190">
        <v>0</v>
      </c>
      <c r="I6" s="190">
        <v>0</v>
      </c>
      <c r="J6" s="190"/>
      <c r="K6" s="190">
        <v>1018.52</v>
      </c>
      <c r="L6" s="190" t="s">
        <v>449</v>
      </c>
      <c r="M6" s="190">
        <v>37.369999999999997</v>
      </c>
      <c r="N6" s="190">
        <v>1507024800</v>
      </c>
      <c r="O6" s="190">
        <v>0</v>
      </c>
      <c r="P6" s="190">
        <v>2.77</v>
      </c>
      <c r="Q6" s="190">
        <v>110</v>
      </c>
      <c r="R6" s="190">
        <v>1.49</v>
      </c>
      <c r="S6" s="190">
        <v>0.15</v>
      </c>
    </row>
    <row r="7" spans="1:19" x14ac:dyDescent="0.25">
      <c r="A7" s="190">
        <v>37.58</v>
      </c>
      <c r="B7" s="190">
        <v>0.28000000000000003</v>
      </c>
      <c r="C7" s="190">
        <v>35.36</v>
      </c>
      <c r="D7" s="8">
        <v>43011.208333333336</v>
      </c>
      <c r="E7" s="190">
        <v>0.92</v>
      </c>
      <c r="F7" s="190" t="s">
        <v>438</v>
      </c>
      <c r="G7" s="190">
        <v>298.60000000000002</v>
      </c>
      <c r="H7" s="190">
        <v>0</v>
      </c>
      <c r="I7" s="190">
        <v>0</v>
      </c>
      <c r="J7" s="190"/>
      <c r="K7" s="190">
        <v>1019.74</v>
      </c>
      <c r="L7" s="190" t="s">
        <v>449</v>
      </c>
      <c r="M7" s="190">
        <v>37.58</v>
      </c>
      <c r="N7" s="190">
        <v>1507028400</v>
      </c>
      <c r="O7" s="190">
        <v>0</v>
      </c>
      <c r="P7" s="190">
        <v>2.38</v>
      </c>
      <c r="Q7" s="190">
        <v>235</v>
      </c>
      <c r="R7" s="190">
        <v>1.53</v>
      </c>
      <c r="S7" s="190">
        <v>0.27</v>
      </c>
    </row>
    <row r="8" spans="1:19" x14ac:dyDescent="0.25">
      <c r="A8" s="190">
        <v>37.21</v>
      </c>
      <c r="B8" s="190">
        <v>0.22</v>
      </c>
      <c r="C8" s="190">
        <v>35.11</v>
      </c>
      <c r="D8" s="8">
        <v>43011.25</v>
      </c>
      <c r="E8" s="190">
        <v>0.92</v>
      </c>
      <c r="F8" s="190" t="s">
        <v>844</v>
      </c>
      <c r="G8" s="190">
        <v>297.5</v>
      </c>
      <c r="H8" s="190">
        <v>0</v>
      </c>
      <c r="I8" s="190">
        <v>0</v>
      </c>
      <c r="J8" s="190"/>
      <c r="K8" s="190">
        <v>1021.35</v>
      </c>
      <c r="L8" s="190" t="s">
        <v>845</v>
      </c>
      <c r="M8" s="190">
        <v>37.21</v>
      </c>
      <c r="N8" s="190">
        <v>1507032000</v>
      </c>
      <c r="O8" s="190">
        <v>0</v>
      </c>
      <c r="P8" s="190">
        <v>2.71</v>
      </c>
      <c r="Q8" s="190">
        <v>173</v>
      </c>
      <c r="R8" s="190">
        <v>1.76</v>
      </c>
      <c r="S8" s="190">
        <v>0.49</v>
      </c>
    </row>
    <row r="9" spans="1:19" x14ac:dyDescent="0.25">
      <c r="A9" s="190">
        <v>37.770000000000003</v>
      </c>
      <c r="B9" s="190">
        <v>0.46</v>
      </c>
      <c r="C9" s="190">
        <v>35.67</v>
      </c>
      <c r="D9" s="8">
        <v>43011.291666666664</v>
      </c>
      <c r="E9" s="190">
        <v>0.92</v>
      </c>
      <c r="F9" s="190" t="s">
        <v>438</v>
      </c>
      <c r="G9" s="190">
        <v>296.39999999999998</v>
      </c>
      <c r="H9" s="190">
        <v>0</v>
      </c>
      <c r="I9" s="190">
        <v>0</v>
      </c>
      <c r="J9" s="190"/>
      <c r="K9" s="190">
        <v>1022.6</v>
      </c>
      <c r="L9" s="190" t="s">
        <v>449</v>
      </c>
      <c r="M9" s="190">
        <v>37.770000000000003</v>
      </c>
      <c r="N9" s="190">
        <v>1507035600</v>
      </c>
      <c r="O9" s="190">
        <v>0</v>
      </c>
      <c r="P9" s="190">
        <v>3.01</v>
      </c>
      <c r="Q9" s="190">
        <v>152</v>
      </c>
      <c r="R9" s="190">
        <v>1.55</v>
      </c>
      <c r="S9" s="190">
        <v>0.42</v>
      </c>
    </row>
    <row r="10" spans="1:19" x14ac:dyDescent="0.25">
      <c r="A10" s="190">
        <v>39.21</v>
      </c>
      <c r="B10" s="190">
        <v>0.72</v>
      </c>
      <c r="C10" s="190">
        <v>36.96</v>
      </c>
      <c r="D10" s="8">
        <v>43011.333333333336</v>
      </c>
      <c r="E10" s="190">
        <v>0.92</v>
      </c>
      <c r="F10" s="190" t="s">
        <v>440</v>
      </c>
      <c r="G10" s="190">
        <v>295.27999999999997</v>
      </c>
      <c r="H10" s="190">
        <v>1.1999999999999999E-3</v>
      </c>
      <c r="I10" s="190">
        <v>0.05</v>
      </c>
      <c r="J10" s="190" t="s">
        <v>437</v>
      </c>
      <c r="K10" s="190">
        <v>1022.63</v>
      </c>
      <c r="L10" s="190" t="s">
        <v>439</v>
      </c>
      <c r="M10" s="190">
        <v>39.21</v>
      </c>
      <c r="N10" s="190">
        <v>1507039200</v>
      </c>
      <c r="O10" s="190">
        <v>0</v>
      </c>
      <c r="P10" s="190">
        <v>10</v>
      </c>
      <c r="Q10" s="190">
        <v>61</v>
      </c>
      <c r="R10" s="190">
        <v>3.1</v>
      </c>
      <c r="S10" s="190">
        <v>2.2000000000000002</v>
      </c>
    </row>
    <row r="11" spans="1:19" x14ac:dyDescent="0.25">
      <c r="A11" s="190">
        <v>38.5</v>
      </c>
      <c r="B11" s="190">
        <v>0.85</v>
      </c>
      <c r="C11" s="190">
        <v>37.07</v>
      </c>
      <c r="D11" s="8">
        <v>43011.375</v>
      </c>
      <c r="E11" s="190">
        <v>0.87</v>
      </c>
      <c r="F11" s="190" t="s">
        <v>440</v>
      </c>
      <c r="G11" s="190">
        <v>294.05</v>
      </c>
      <c r="H11" s="190">
        <v>1.6000000000000001E-3</v>
      </c>
      <c r="I11" s="190">
        <v>0.06</v>
      </c>
      <c r="J11" s="190" t="s">
        <v>437</v>
      </c>
      <c r="K11" s="190">
        <v>1022.71</v>
      </c>
      <c r="L11" s="190" t="s">
        <v>439</v>
      </c>
      <c r="M11" s="190">
        <v>40.520000000000003</v>
      </c>
      <c r="N11" s="190">
        <v>1507042800</v>
      </c>
      <c r="O11" s="190">
        <v>1</v>
      </c>
      <c r="P11" s="190">
        <v>10</v>
      </c>
      <c r="Q11" s="190">
        <v>68</v>
      </c>
      <c r="R11" s="190">
        <v>4.33</v>
      </c>
      <c r="S11" s="190">
        <v>3.41</v>
      </c>
    </row>
    <row r="12" spans="1:19" x14ac:dyDescent="0.25">
      <c r="A12" s="190">
        <v>39.58</v>
      </c>
      <c r="B12" s="190">
        <v>0.76</v>
      </c>
      <c r="C12" s="190">
        <v>36.81</v>
      </c>
      <c r="D12" s="8">
        <v>43011.416666666664</v>
      </c>
      <c r="E12" s="190">
        <v>0.8</v>
      </c>
      <c r="F12" s="190" t="s">
        <v>440</v>
      </c>
      <c r="G12" s="190">
        <v>292.93</v>
      </c>
      <c r="H12" s="190">
        <v>1.4E-3</v>
      </c>
      <c r="I12" s="190">
        <v>0.06</v>
      </c>
      <c r="J12" s="190" t="s">
        <v>437</v>
      </c>
      <c r="K12" s="190">
        <v>1022.1</v>
      </c>
      <c r="L12" s="190" t="s">
        <v>439</v>
      </c>
      <c r="M12" s="190">
        <v>42.69</v>
      </c>
      <c r="N12" s="190">
        <v>1507046400</v>
      </c>
      <c r="O12" s="190">
        <v>2</v>
      </c>
      <c r="P12" s="190">
        <v>10</v>
      </c>
      <c r="Q12" s="190">
        <v>87</v>
      </c>
      <c r="R12" s="190">
        <v>6.54</v>
      </c>
      <c r="S12" s="190">
        <v>5.08</v>
      </c>
    </row>
    <row r="13" spans="1:19" x14ac:dyDescent="0.25">
      <c r="A13" s="190">
        <v>41.67</v>
      </c>
      <c r="B13" s="190">
        <v>0.56999999999999995</v>
      </c>
      <c r="C13" s="190">
        <v>36.409999999999997</v>
      </c>
      <c r="D13" s="8">
        <v>43011.458333333336</v>
      </c>
      <c r="E13" s="190">
        <v>0.7</v>
      </c>
      <c r="F13" s="190" t="s">
        <v>440</v>
      </c>
      <c r="G13" s="190">
        <v>291.8</v>
      </c>
      <c r="H13" s="190">
        <v>1.1000000000000001E-3</v>
      </c>
      <c r="I13" s="190">
        <v>0.05</v>
      </c>
      <c r="J13" s="190" t="s">
        <v>437</v>
      </c>
      <c r="K13" s="190">
        <v>1020.92</v>
      </c>
      <c r="L13" s="190" t="s">
        <v>449</v>
      </c>
      <c r="M13" s="190">
        <v>45.46</v>
      </c>
      <c r="N13" s="190">
        <v>1507050000</v>
      </c>
      <c r="O13" s="190">
        <v>3</v>
      </c>
      <c r="P13" s="190">
        <v>10</v>
      </c>
      <c r="Q13" s="190">
        <v>111</v>
      </c>
      <c r="R13" s="190">
        <v>9.26</v>
      </c>
      <c r="S13" s="190">
        <v>7.11</v>
      </c>
    </row>
    <row r="14" spans="1:19" x14ac:dyDescent="0.25">
      <c r="A14" s="190">
        <v>44.67</v>
      </c>
      <c r="B14" s="190">
        <v>0.27</v>
      </c>
      <c r="C14" s="190">
        <v>34.75</v>
      </c>
      <c r="D14" s="8">
        <v>43011.5</v>
      </c>
      <c r="E14" s="190">
        <v>0.57999999999999996</v>
      </c>
      <c r="F14" s="190" t="s">
        <v>440</v>
      </c>
      <c r="G14" s="190">
        <v>291.57</v>
      </c>
      <c r="H14" s="190">
        <v>1E-3</v>
      </c>
      <c r="I14" s="190">
        <v>0.04</v>
      </c>
      <c r="J14" s="190" t="s">
        <v>437</v>
      </c>
      <c r="K14" s="190">
        <v>1020.59</v>
      </c>
      <c r="L14" s="190" t="s">
        <v>449</v>
      </c>
      <c r="M14" s="190">
        <v>48.76</v>
      </c>
      <c r="N14" s="190">
        <v>1507053600</v>
      </c>
      <c r="O14" s="190">
        <v>5</v>
      </c>
      <c r="P14" s="190">
        <v>10</v>
      </c>
      <c r="Q14" s="190">
        <v>116</v>
      </c>
      <c r="R14" s="190">
        <v>12.53</v>
      </c>
      <c r="S14" s="190">
        <v>9.51</v>
      </c>
    </row>
    <row r="15" spans="1:19" x14ac:dyDescent="0.25">
      <c r="A15" s="190">
        <v>55.06</v>
      </c>
      <c r="B15" s="190">
        <v>0.56000000000000005</v>
      </c>
      <c r="C15" s="190">
        <v>38.130000000000003</v>
      </c>
      <c r="D15" s="8">
        <v>43011.541666666664</v>
      </c>
      <c r="E15" s="190">
        <v>0.53</v>
      </c>
      <c r="F15" s="190" t="s">
        <v>440</v>
      </c>
      <c r="G15" s="190">
        <v>290.89</v>
      </c>
      <c r="H15" s="190">
        <v>0</v>
      </c>
      <c r="I15" s="190">
        <v>0</v>
      </c>
      <c r="J15" s="190"/>
      <c r="K15" s="190">
        <v>1021.79</v>
      </c>
      <c r="L15" s="190" t="s">
        <v>449</v>
      </c>
      <c r="M15" s="190">
        <v>55.06</v>
      </c>
      <c r="N15" s="190">
        <v>1507057200</v>
      </c>
      <c r="O15" s="190">
        <v>4</v>
      </c>
      <c r="P15" s="190">
        <v>3.83</v>
      </c>
      <c r="Q15" s="190">
        <v>114</v>
      </c>
      <c r="R15" s="190">
        <v>9.09</v>
      </c>
      <c r="S15" s="190">
        <v>3.01</v>
      </c>
    </row>
    <row r="16" spans="1:19" x14ac:dyDescent="0.25">
      <c r="A16" s="190">
        <v>57.01</v>
      </c>
      <c r="B16" s="190">
        <v>0.63</v>
      </c>
      <c r="C16" s="190">
        <v>38.619999999999997</v>
      </c>
      <c r="D16" s="8">
        <v>43011.583333333336</v>
      </c>
      <c r="E16" s="190">
        <v>0.5</v>
      </c>
      <c r="F16" s="190" t="s">
        <v>440</v>
      </c>
      <c r="G16" s="190">
        <v>290.10000000000002</v>
      </c>
      <c r="H16" s="190">
        <v>0</v>
      </c>
      <c r="I16" s="190">
        <v>0</v>
      </c>
      <c r="J16" s="190"/>
      <c r="K16" s="190">
        <v>1021.13</v>
      </c>
      <c r="L16" s="190" t="s">
        <v>439</v>
      </c>
      <c r="M16" s="190">
        <v>57.01</v>
      </c>
      <c r="N16" s="190">
        <v>1507060800</v>
      </c>
      <c r="O16" s="190">
        <v>3</v>
      </c>
      <c r="P16" s="190">
        <v>3.83</v>
      </c>
      <c r="Q16" s="190">
        <v>97</v>
      </c>
      <c r="R16" s="190">
        <v>8.35</v>
      </c>
      <c r="S16" s="190">
        <v>2.54</v>
      </c>
    </row>
    <row r="17" spans="1:19" x14ac:dyDescent="0.25">
      <c r="A17" s="190">
        <v>57.9</v>
      </c>
      <c r="B17" s="190">
        <v>0.72</v>
      </c>
      <c r="C17" s="190">
        <v>38.28</v>
      </c>
      <c r="D17" s="8">
        <v>43011.625</v>
      </c>
      <c r="E17" s="190">
        <v>0.48</v>
      </c>
      <c r="F17" s="190" t="s">
        <v>440</v>
      </c>
      <c r="G17" s="190">
        <v>289.3</v>
      </c>
      <c r="H17" s="190">
        <v>0</v>
      </c>
      <c r="I17" s="190">
        <v>0</v>
      </c>
      <c r="J17" s="190"/>
      <c r="K17" s="190">
        <v>1020.73</v>
      </c>
      <c r="L17" s="190" t="s">
        <v>439</v>
      </c>
      <c r="M17" s="190">
        <v>57.9</v>
      </c>
      <c r="N17" s="190">
        <v>1507064400</v>
      </c>
      <c r="O17" s="190">
        <v>2</v>
      </c>
      <c r="P17" s="190">
        <v>3.96</v>
      </c>
      <c r="Q17" s="190">
        <v>37</v>
      </c>
      <c r="R17" s="190">
        <v>9.07</v>
      </c>
      <c r="S17" s="190">
        <v>1.86</v>
      </c>
    </row>
    <row r="18" spans="1:19" x14ac:dyDescent="0.25">
      <c r="A18" s="190">
        <v>58.6</v>
      </c>
      <c r="B18" s="190">
        <v>0.48</v>
      </c>
      <c r="C18" s="190">
        <v>38.31</v>
      </c>
      <c r="D18" s="8">
        <v>43011.666666666664</v>
      </c>
      <c r="E18" s="190">
        <v>0.47</v>
      </c>
      <c r="F18" s="190" t="s">
        <v>440</v>
      </c>
      <c r="G18" s="190">
        <v>288.5</v>
      </c>
      <c r="H18" s="190">
        <v>0</v>
      </c>
      <c r="I18" s="190">
        <v>0</v>
      </c>
      <c r="J18" s="190"/>
      <c r="K18" s="190">
        <v>1020.52</v>
      </c>
      <c r="L18" s="190" t="s">
        <v>449</v>
      </c>
      <c r="M18" s="190">
        <v>58.6</v>
      </c>
      <c r="N18" s="190">
        <v>1507068000</v>
      </c>
      <c r="O18" s="190">
        <v>1</v>
      </c>
      <c r="P18" s="190">
        <v>3.96</v>
      </c>
      <c r="Q18" s="190">
        <v>347</v>
      </c>
      <c r="R18" s="190">
        <v>10.76</v>
      </c>
      <c r="S18" s="190">
        <v>2.46</v>
      </c>
    </row>
    <row r="19" spans="1:19" x14ac:dyDescent="0.25">
      <c r="A19" s="190">
        <v>57.01</v>
      </c>
      <c r="B19" s="190">
        <v>0.26</v>
      </c>
      <c r="C19" s="190">
        <v>38.44</v>
      </c>
      <c r="D19" s="8">
        <v>43011.708333333336</v>
      </c>
      <c r="E19" s="190">
        <v>0.5</v>
      </c>
      <c r="F19" s="190" t="s">
        <v>440</v>
      </c>
      <c r="G19" s="190">
        <v>287.45999999999998</v>
      </c>
      <c r="H19" s="190">
        <v>4.0000000000000002E-4</v>
      </c>
      <c r="I19" s="190">
        <v>0.01</v>
      </c>
      <c r="J19" s="190" t="s">
        <v>437</v>
      </c>
      <c r="K19" s="190">
        <v>1021.38</v>
      </c>
      <c r="L19" s="190" t="s">
        <v>449</v>
      </c>
      <c r="M19" s="190">
        <v>57.01</v>
      </c>
      <c r="N19" s="190">
        <v>1507071600</v>
      </c>
      <c r="O19" s="190">
        <v>1</v>
      </c>
      <c r="P19" s="190">
        <v>3.96</v>
      </c>
      <c r="Q19" s="190">
        <v>336</v>
      </c>
      <c r="R19" s="190">
        <v>10.47</v>
      </c>
      <c r="S19" s="190">
        <v>2.98</v>
      </c>
    </row>
    <row r="20" spans="1:19" x14ac:dyDescent="0.25">
      <c r="A20" s="190">
        <v>53.97</v>
      </c>
      <c r="B20" s="190">
        <v>0.53</v>
      </c>
      <c r="C20" s="190">
        <v>38.57</v>
      </c>
      <c r="D20" s="8">
        <v>43011.75</v>
      </c>
      <c r="E20" s="190">
        <v>0.56000000000000005</v>
      </c>
      <c r="F20" s="190" t="s">
        <v>440</v>
      </c>
      <c r="G20" s="190">
        <v>285.83999999999997</v>
      </c>
      <c r="H20" s="190">
        <v>5.0000000000000001E-4</v>
      </c>
      <c r="I20" s="190">
        <v>0.01</v>
      </c>
      <c r="J20" s="190" t="s">
        <v>437</v>
      </c>
      <c r="K20" s="190">
        <v>1022</v>
      </c>
      <c r="L20" s="190" t="s">
        <v>449</v>
      </c>
      <c r="M20" s="190">
        <v>53.97</v>
      </c>
      <c r="N20" s="190">
        <v>1507075200</v>
      </c>
      <c r="O20" s="190">
        <v>0</v>
      </c>
      <c r="P20" s="190">
        <v>3.43</v>
      </c>
      <c r="Q20" s="190">
        <v>328</v>
      </c>
      <c r="R20" s="190">
        <v>8.74</v>
      </c>
      <c r="S20" s="190">
        <v>2.41</v>
      </c>
    </row>
    <row r="21" spans="1:19" x14ac:dyDescent="0.25">
      <c r="A21" s="190">
        <v>51.54</v>
      </c>
      <c r="B21" s="190">
        <v>0.84</v>
      </c>
      <c r="C21" s="190">
        <v>39.049999999999997</v>
      </c>
      <c r="D21" s="8">
        <v>43011.791666666664</v>
      </c>
      <c r="E21" s="190">
        <v>0.62</v>
      </c>
      <c r="F21" s="190" t="s">
        <v>438</v>
      </c>
      <c r="G21" s="190">
        <v>284.68</v>
      </c>
      <c r="H21" s="190">
        <v>5.0000000000000001E-4</v>
      </c>
      <c r="I21" s="190">
        <v>0.01</v>
      </c>
      <c r="J21" s="190" t="s">
        <v>437</v>
      </c>
      <c r="K21" s="190">
        <v>1022.76</v>
      </c>
      <c r="L21" s="190" t="s">
        <v>439</v>
      </c>
      <c r="M21" s="190">
        <v>51.54</v>
      </c>
      <c r="N21" s="190">
        <v>1507078800</v>
      </c>
      <c r="O21" s="190">
        <v>0</v>
      </c>
      <c r="P21" s="190">
        <v>4.2300000000000004</v>
      </c>
      <c r="Q21" s="190">
        <v>325</v>
      </c>
      <c r="R21" s="190">
        <v>5.41</v>
      </c>
      <c r="S21" s="190">
        <v>2.3199999999999998</v>
      </c>
    </row>
    <row r="22" spans="1:19" x14ac:dyDescent="0.25">
      <c r="A22" s="190">
        <v>50.39</v>
      </c>
      <c r="B22" s="190">
        <v>0.9</v>
      </c>
      <c r="C22" s="190">
        <v>39.17</v>
      </c>
      <c r="D22" s="8">
        <v>43011.833333333336</v>
      </c>
      <c r="E22" s="190">
        <v>0.65</v>
      </c>
      <c r="F22" s="190" t="s">
        <v>438</v>
      </c>
      <c r="G22" s="190">
        <v>283.52</v>
      </c>
      <c r="H22" s="190">
        <v>5.0000000000000001E-4</v>
      </c>
      <c r="I22" s="190">
        <v>0.01</v>
      </c>
      <c r="J22" s="190" t="s">
        <v>437</v>
      </c>
      <c r="K22" s="190">
        <v>1024.6300000000001</v>
      </c>
      <c r="L22" s="190" t="s">
        <v>439</v>
      </c>
      <c r="M22" s="190">
        <v>50.39</v>
      </c>
      <c r="N22" s="190">
        <v>1507082400</v>
      </c>
      <c r="O22" s="190">
        <v>0</v>
      </c>
      <c r="P22" s="190">
        <v>4.3600000000000003</v>
      </c>
      <c r="Q22" s="190">
        <v>329</v>
      </c>
      <c r="R22" s="190">
        <v>3.93</v>
      </c>
      <c r="S22" s="190">
        <v>1.52</v>
      </c>
    </row>
    <row r="23" spans="1:19" x14ac:dyDescent="0.25">
      <c r="A23" s="190">
        <v>50.01</v>
      </c>
      <c r="B23" s="190">
        <v>0.95</v>
      </c>
      <c r="C23" s="190">
        <v>39.58</v>
      </c>
      <c r="D23" s="8">
        <v>43011.875</v>
      </c>
      <c r="E23" s="190">
        <v>0.67</v>
      </c>
      <c r="F23" s="190" t="s">
        <v>548</v>
      </c>
      <c r="G23" s="190">
        <v>282.58</v>
      </c>
      <c r="H23" s="190">
        <v>4.0000000000000002E-4</v>
      </c>
      <c r="I23" s="190">
        <v>0.01</v>
      </c>
      <c r="J23" s="190" t="s">
        <v>437</v>
      </c>
      <c r="K23" s="190">
        <v>1025.76</v>
      </c>
      <c r="L23" s="190" t="s">
        <v>549</v>
      </c>
      <c r="M23" s="190">
        <v>50.01</v>
      </c>
      <c r="N23" s="190">
        <v>1507086000</v>
      </c>
      <c r="O23" s="190">
        <v>0</v>
      </c>
      <c r="P23" s="190">
        <v>4.3600000000000003</v>
      </c>
      <c r="Q23" s="190">
        <v>318</v>
      </c>
      <c r="R23" s="190">
        <v>2.68</v>
      </c>
      <c r="S23" s="190">
        <v>0.97</v>
      </c>
    </row>
    <row r="24" spans="1:19" x14ac:dyDescent="0.25">
      <c r="A24" s="190">
        <v>49.66</v>
      </c>
      <c r="B24" s="190">
        <v>0.88</v>
      </c>
      <c r="C24" s="190">
        <v>40</v>
      </c>
      <c r="D24" s="8">
        <v>43011.916666666664</v>
      </c>
      <c r="E24" s="190">
        <v>0.69</v>
      </c>
      <c r="F24" s="190" t="s">
        <v>438</v>
      </c>
      <c r="G24" s="190">
        <v>281.52999999999997</v>
      </c>
      <c r="H24" s="190">
        <v>2.9999999999999997E-4</v>
      </c>
      <c r="I24" s="190">
        <v>0.02</v>
      </c>
      <c r="J24" s="190" t="s">
        <v>437</v>
      </c>
      <c r="K24" s="190">
        <v>1026.1199999999999</v>
      </c>
      <c r="L24" s="190" t="s">
        <v>439</v>
      </c>
      <c r="M24" s="190">
        <v>49.66</v>
      </c>
      <c r="N24" s="190">
        <v>1507089600</v>
      </c>
      <c r="O24" s="190">
        <v>0</v>
      </c>
      <c r="P24" s="190">
        <v>4.2300000000000004</v>
      </c>
      <c r="Q24" s="190">
        <v>311</v>
      </c>
      <c r="R24" s="190">
        <v>1.83</v>
      </c>
      <c r="S24" s="190">
        <v>0.57999999999999996</v>
      </c>
    </row>
    <row r="25" spans="1:19" x14ac:dyDescent="0.25">
      <c r="A25" s="190">
        <v>49.18</v>
      </c>
      <c r="B25" s="190">
        <v>0.84</v>
      </c>
      <c r="C25" s="190">
        <v>40.58</v>
      </c>
      <c r="D25" s="8">
        <v>43011.958333333336</v>
      </c>
      <c r="E25" s="190">
        <v>0.72</v>
      </c>
      <c r="F25" s="190" t="s">
        <v>438</v>
      </c>
      <c r="G25" s="190">
        <v>280.7</v>
      </c>
      <c r="H25" s="190">
        <v>2.0000000000000001E-4</v>
      </c>
      <c r="I25" s="190">
        <v>0.01</v>
      </c>
      <c r="J25" s="190" t="s">
        <v>437</v>
      </c>
      <c r="K25" s="190">
        <v>1025.6600000000001</v>
      </c>
      <c r="L25" s="190" t="s">
        <v>439</v>
      </c>
      <c r="M25" s="190">
        <v>49.18</v>
      </c>
      <c r="N25" s="190">
        <v>1507093200</v>
      </c>
      <c r="O25" s="190">
        <v>0</v>
      </c>
      <c r="P25" s="190">
        <v>3.69</v>
      </c>
      <c r="Q25" s="190">
        <v>223</v>
      </c>
      <c r="R25" s="190">
        <v>1.28</v>
      </c>
      <c r="S25" s="190">
        <v>0.21</v>
      </c>
    </row>
    <row r="26" spans="1:19" x14ac:dyDescent="0.25">
      <c r="A26" s="190">
        <v>48.45</v>
      </c>
      <c r="B26" s="190">
        <v>0.49</v>
      </c>
      <c r="C26" s="190">
        <v>40.4</v>
      </c>
      <c r="D26" s="8">
        <v>43012</v>
      </c>
      <c r="E26" s="190">
        <v>0.74</v>
      </c>
      <c r="F26" s="190" t="s">
        <v>438</v>
      </c>
      <c r="G26" s="190">
        <v>280.82</v>
      </c>
      <c r="H26" s="190">
        <v>1E-4</v>
      </c>
      <c r="I26" s="190">
        <v>0.01</v>
      </c>
      <c r="J26" s="190" t="s">
        <v>437</v>
      </c>
      <c r="K26" s="190">
        <v>1025.24</v>
      </c>
      <c r="L26" s="190" t="s">
        <v>449</v>
      </c>
      <c r="M26" s="190">
        <v>48.45</v>
      </c>
      <c r="N26" s="190">
        <v>1507096800</v>
      </c>
      <c r="O26" s="190">
        <v>0</v>
      </c>
      <c r="P26" s="190">
        <v>3.54</v>
      </c>
      <c r="Q26" s="190">
        <v>175</v>
      </c>
      <c r="R26" s="190">
        <v>1.46</v>
      </c>
      <c r="S26" s="190">
        <v>0.52</v>
      </c>
    </row>
    <row r="27" spans="1:19" x14ac:dyDescent="0.25">
      <c r="A27" s="190">
        <v>46.94</v>
      </c>
      <c r="B27" s="190">
        <v>0.37</v>
      </c>
      <c r="C27" s="190">
        <v>40.21</v>
      </c>
      <c r="D27" s="8">
        <v>43012.041666666664</v>
      </c>
      <c r="E27" s="190">
        <v>0.77</v>
      </c>
      <c r="F27" s="190" t="s">
        <v>438</v>
      </c>
      <c r="G27" s="190">
        <v>280.58</v>
      </c>
      <c r="H27" s="190">
        <v>1E-4</v>
      </c>
      <c r="I27" s="190">
        <v>0.01</v>
      </c>
      <c r="J27" s="190" t="s">
        <v>437</v>
      </c>
      <c r="K27" s="190">
        <v>1024.6400000000001</v>
      </c>
      <c r="L27" s="190" t="s">
        <v>449</v>
      </c>
      <c r="M27" s="190">
        <v>46.94</v>
      </c>
      <c r="N27" s="190">
        <v>1507100400</v>
      </c>
      <c r="O27" s="190">
        <v>0</v>
      </c>
      <c r="P27" s="190">
        <v>3.52</v>
      </c>
      <c r="Q27" s="190">
        <v>168</v>
      </c>
      <c r="R27" s="190">
        <v>1.55</v>
      </c>
      <c r="S27" s="190">
        <v>0.47</v>
      </c>
    </row>
    <row r="28" spans="1:19" x14ac:dyDescent="0.25">
      <c r="A28" s="190">
        <v>46.51</v>
      </c>
      <c r="B28" s="190">
        <v>0.32</v>
      </c>
      <c r="C28" s="190">
        <v>40.520000000000003</v>
      </c>
      <c r="D28" s="8">
        <v>43012.083333333336</v>
      </c>
      <c r="E28" s="190">
        <v>0.8</v>
      </c>
      <c r="F28" s="190" t="s">
        <v>438</v>
      </c>
      <c r="G28" s="190">
        <v>280.69</v>
      </c>
      <c r="H28" s="190">
        <v>1E-4</v>
      </c>
      <c r="I28" s="190">
        <v>0.01</v>
      </c>
      <c r="J28" s="190" t="s">
        <v>437</v>
      </c>
      <c r="K28" s="190">
        <v>1024.21</v>
      </c>
      <c r="L28" s="190" t="s">
        <v>449</v>
      </c>
      <c r="M28" s="190">
        <v>46.51</v>
      </c>
      <c r="N28" s="190">
        <v>1507104000</v>
      </c>
      <c r="O28" s="190">
        <v>0</v>
      </c>
      <c r="P28" s="190">
        <v>3.69</v>
      </c>
      <c r="Q28" s="190">
        <v>77</v>
      </c>
      <c r="R28" s="190">
        <v>1.66</v>
      </c>
      <c r="S28" s="190">
        <v>0.1</v>
      </c>
    </row>
    <row r="29" spans="1:19" x14ac:dyDescent="0.25">
      <c r="A29" s="190">
        <v>46.8</v>
      </c>
      <c r="B29" s="190">
        <v>0.38</v>
      </c>
      <c r="C29" s="190">
        <v>40.729999999999997</v>
      </c>
      <c r="D29" s="8">
        <v>43012.125</v>
      </c>
      <c r="E29" s="190">
        <v>0.79</v>
      </c>
      <c r="F29" s="190" t="s">
        <v>438</v>
      </c>
      <c r="G29" s="190">
        <v>280.58</v>
      </c>
      <c r="H29" s="190">
        <v>1E-4</v>
      </c>
      <c r="I29" s="190">
        <v>0.01</v>
      </c>
      <c r="J29" s="190" t="s">
        <v>437</v>
      </c>
      <c r="K29" s="190">
        <v>1023.86</v>
      </c>
      <c r="L29" s="190" t="s">
        <v>449</v>
      </c>
      <c r="M29" s="190">
        <v>46.8</v>
      </c>
      <c r="N29" s="190">
        <v>1507107600</v>
      </c>
      <c r="O29" s="190">
        <v>0</v>
      </c>
      <c r="P29" s="190">
        <v>3.69</v>
      </c>
      <c r="Q29" s="190">
        <v>276</v>
      </c>
      <c r="R29" s="190">
        <v>2.4900000000000002</v>
      </c>
      <c r="S29" s="190">
        <v>0.27</v>
      </c>
    </row>
    <row r="30" spans="1:19" x14ac:dyDescent="0.25">
      <c r="A30" s="136"/>
      <c r="B30" s="136"/>
      <c r="C30" s="136"/>
      <c r="D30" s="8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</row>
    <row r="31" spans="1:19" x14ac:dyDescent="0.25">
      <c r="A31" s="137" t="s">
        <v>181</v>
      </c>
    </row>
    <row r="33" spans="1:1" x14ac:dyDescent="0.25">
      <c r="A33" s="137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M27" sqref="M27"/>
    </sheetView>
  </sheetViews>
  <sheetFormatPr defaultRowHeight="15" x14ac:dyDescent="0.25"/>
  <cols>
    <col min="1" max="1" width="32.140625" customWidth="1"/>
    <col min="3" max="3" width="24" customWidth="1"/>
    <col min="4" max="4" width="19.140625" style="54" customWidth="1"/>
    <col min="10" max="10" width="24.28515625" style="136" bestFit="1" customWidth="1"/>
    <col min="11" max="11" width="15.28515625" style="136" hidden="1" customWidth="1"/>
    <col min="12" max="12" width="13.5703125" style="136" hidden="1" customWidth="1"/>
    <col min="13" max="13" width="9" style="149" bestFit="1" customWidth="1"/>
    <col min="14" max="17" width="9.140625" style="136"/>
    <col min="20" max="24" width="9.140625" style="149"/>
    <col min="29" max="29" width="12.42578125" customWidth="1"/>
    <col min="30" max="30" width="9.140625" style="163"/>
    <col min="31" max="32" width="9.140625" style="54"/>
  </cols>
  <sheetData>
    <row r="1" spans="1:32" ht="45.75" x14ac:dyDescent="0.3">
      <c r="A1" s="11" t="s">
        <v>25</v>
      </c>
      <c r="C1" s="115" t="s">
        <v>96</v>
      </c>
      <c r="D1" s="116" t="s">
        <v>97</v>
      </c>
      <c r="J1" s="142" t="s">
        <v>98</v>
      </c>
      <c r="K1" s="142" t="s">
        <v>66</v>
      </c>
      <c r="L1" s="142" t="s">
        <v>67</v>
      </c>
      <c r="O1" s="143" t="s">
        <v>99</v>
      </c>
      <c r="T1" s="151" t="s">
        <v>326</v>
      </c>
      <c r="U1" s="151"/>
      <c r="V1" s="151"/>
      <c r="W1" s="151"/>
      <c r="X1" s="151"/>
    </row>
    <row r="2" spans="1:32" ht="15.75" thickBot="1" x14ac:dyDescent="0.3">
      <c r="A2" s="12">
        <v>43011</v>
      </c>
      <c r="B2" s="4"/>
      <c r="C2" s="117">
        <v>50</v>
      </c>
      <c r="D2" s="118">
        <v>25</v>
      </c>
      <c r="F2" t="s">
        <v>110</v>
      </c>
      <c r="J2" s="142"/>
      <c r="K2" s="142" t="s">
        <v>66</v>
      </c>
      <c r="L2" s="142" t="s">
        <v>67</v>
      </c>
      <c r="T2" s="150" t="s">
        <v>327</v>
      </c>
      <c r="U2" s="150">
        <v>167</v>
      </c>
      <c r="V2" s="150">
        <v>168</v>
      </c>
      <c r="W2" s="150">
        <v>199</v>
      </c>
      <c r="X2" s="150">
        <v>200</v>
      </c>
      <c r="AD2" t="s">
        <v>348</v>
      </c>
      <c r="AE2" s="54" t="s">
        <v>351</v>
      </c>
      <c r="AF2" s="54" t="s">
        <v>352</v>
      </c>
    </row>
    <row r="3" spans="1:32" x14ac:dyDescent="0.25">
      <c r="C3" s="54"/>
      <c r="F3" t="s">
        <v>52</v>
      </c>
      <c r="J3" s="144" t="s">
        <v>68</v>
      </c>
      <c r="K3" s="145">
        <v>2.7052</v>
      </c>
      <c r="L3" s="145">
        <v>2.7349999999999999</v>
      </c>
      <c r="M3" s="149">
        <f t="shared" ref="M3:M14" si="0">AVERAGE(K3:L3)</f>
        <v>2.7201</v>
      </c>
      <c r="O3" s="136" t="s">
        <v>100</v>
      </c>
      <c r="P3" s="136">
        <f>AVERAGE(1.0714,1.1016)</f>
        <v>1.0865</v>
      </c>
      <c r="T3" s="150" t="s">
        <v>328</v>
      </c>
      <c r="U3" s="150">
        <v>174</v>
      </c>
      <c r="V3" s="150">
        <v>176</v>
      </c>
      <c r="W3" s="150">
        <v>207</v>
      </c>
      <c r="X3" s="150">
        <v>210</v>
      </c>
      <c r="AC3" s="30" t="s">
        <v>102</v>
      </c>
      <c r="AD3" s="127">
        <v>23</v>
      </c>
      <c r="AE3" s="42">
        <v>100</v>
      </c>
      <c r="AF3" s="42">
        <v>299</v>
      </c>
    </row>
    <row r="4" spans="1:32" ht="45" x14ac:dyDescent="0.25">
      <c r="C4" s="115" t="s">
        <v>96</v>
      </c>
      <c r="D4" s="116" t="s">
        <v>97</v>
      </c>
      <c r="F4" t="s">
        <v>53</v>
      </c>
      <c r="J4" s="144" t="s">
        <v>69</v>
      </c>
      <c r="K4" s="145">
        <v>3.0830000000000002</v>
      </c>
      <c r="L4" s="145">
        <v>3.097</v>
      </c>
      <c r="M4" s="149">
        <f t="shared" si="0"/>
        <v>3.09</v>
      </c>
      <c r="T4" s="150" t="s">
        <v>329</v>
      </c>
      <c r="U4" s="150">
        <v>173</v>
      </c>
      <c r="V4" s="150">
        <v>175</v>
      </c>
      <c r="W4" s="150">
        <v>208</v>
      </c>
      <c r="X4" s="150">
        <v>209</v>
      </c>
      <c r="AC4" s="30" t="s">
        <v>103</v>
      </c>
      <c r="AD4" s="127">
        <v>5.65</v>
      </c>
      <c r="AE4" s="42">
        <v>800</v>
      </c>
      <c r="AF4" s="42">
        <v>899</v>
      </c>
    </row>
    <row r="5" spans="1:32" x14ac:dyDescent="0.25">
      <c r="C5" s="54">
        <v>30</v>
      </c>
      <c r="D5" s="54">
        <v>9</v>
      </c>
      <c r="J5" s="144" t="s">
        <v>70</v>
      </c>
      <c r="K5" s="145">
        <v>3.3136000000000001</v>
      </c>
      <c r="L5" s="145">
        <v>3.3256999999999999</v>
      </c>
      <c r="M5" s="149">
        <f t="shared" si="0"/>
        <v>3.3196500000000002</v>
      </c>
      <c r="T5" s="150" t="s">
        <v>330</v>
      </c>
      <c r="U5" s="150">
        <v>187</v>
      </c>
      <c r="V5" s="150">
        <v>188</v>
      </c>
      <c r="W5" s="150">
        <v>223</v>
      </c>
      <c r="X5" s="150">
        <v>224</v>
      </c>
      <c r="AC5" s="30" t="s">
        <v>349</v>
      </c>
      <c r="AD5" s="127">
        <v>11.15</v>
      </c>
      <c r="AE5" s="42">
        <v>400</v>
      </c>
      <c r="AF5" s="42">
        <v>600</v>
      </c>
    </row>
    <row r="6" spans="1:32" x14ac:dyDescent="0.25">
      <c r="C6" s="54"/>
      <c r="F6" t="s">
        <v>111</v>
      </c>
      <c r="J6" s="144" t="s">
        <v>71</v>
      </c>
      <c r="K6" s="145">
        <v>4.2778999999999998</v>
      </c>
      <c r="L6" s="145">
        <v>4.2961</v>
      </c>
      <c r="M6" s="149">
        <f t="shared" si="0"/>
        <v>4.2869999999999999</v>
      </c>
      <c r="T6" s="150"/>
      <c r="U6" s="150"/>
      <c r="V6" s="150"/>
      <c r="W6" s="150"/>
      <c r="X6" s="150"/>
      <c r="AC6" s="45" t="s">
        <v>103</v>
      </c>
      <c r="AD6" s="177">
        <v>5.65</v>
      </c>
      <c r="AE6" s="42">
        <v>1800</v>
      </c>
      <c r="AF6" s="42">
        <v>1899</v>
      </c>
    </row>
    <row r="7" spans="1:32" x14ac:dyDescent="0.25">
      <c r="C7" s="54"/>
      <c r="F7" t="s">
        <v>343</v>
      </c>
      <c r="J7" s="144" t="s">
        <v>72</v>
      </c>
      <c r="K7" s="145">
        <v>4.7865000000000002</v>
      </c>
      <c r="L7" s="145">
        <v>4.8048000000000002</v>
      </c>
      <c r="M7" s="149">
        <f t="shared" si="0"/>
        <v>4.7956500000000002</v>
      </c>
      <c r="T7" s="150"/>
      <c r="U7" s="150"/>
      <c r="V7" s="150"/>
      <c r="W7" s="150"/>
      <c r="X7" s="150"/>
      <c r="AC7" s="30" t="s">
        <v>350</v>
      </c>
      <c r="AD7" s="127">
        <v>99</v>
      </c>
      <c r="AE7" s="42">
        <v>0</v>
      </c>
      <c r="AF7" s="42">
        <v>99</v>
      </c>
    </row>
    <row r="8" spans="1:32" x14ac:dyDescent="0.25">
      <c r="C8" s="54"/>
      <c r="F8" t="s">
        <v>402</v>
      </c>
      <c r="J8" s="144" t="s">
        <v>73</v>
      </c>
      <c r="K8" s="145">
        <v>5.3155000000000001</v>
      </c>
      <c r="L8" s="145">
        <v>5.3277000000000001</v>
      </c>
      <c r="M8" s="149">
        <f t="shared" si="0"/>
        <v>5.3216000000000001</v>
      </c>
      <c r="T8" s="150"/>
      <c r="U8" s="150"/>
      <c r="V8" s="150"/>
      <c r="W8" s="150"/>
      <c r="X8" s="150"/>
      <c r="AC8" s="45" t="s">
        <v>353</v>
      </c>
      <c r="AD8" s="169">
        <v>9999</v>
      </c>
      <c r="AE8" s="127">
        <v>9999</v>
      </c>
      <c r="AF8" s="127">
        <v>9999</v>
      </c>
    </row>
    <row r="9" spans="1:32" x14ac:dyDescent="0.25">
      <c r="C9" s="54"/>
      <c r="J9" s="144" t="s">
        <v>74</v>
      </c>
      <c r="K9" s="145">
        <v>5.8117000000000001</v>
      </c>
      <c r="L9" s="145">
        <v>5.8300999999999998</v>
      </c>
      <c r="M9" s="149">
        <f t="shared" si="0"/>
        <v>5.8209</v>
      </c>
      <c r="T9" s="150"/>
      <c r="U9" s="150"/>
      <c r="V9" s="150"/>
      <c r="W9" s="150"/>
      <c r="X9" s="150"/>
    </row>
    <row r="10" spans="1:32" x14ac:dyDescent="0.25">
      <c r="C10" s="54"/>
      <c r="J10" s="144" t="s">
        <v>75</v>
      </c>
      <c r="K10" s="145">
        <v>5.8783000000000003</v>
      </c>
      <c r="L10" s="145">
        <v>5.8903999999999996</v>
      </c>
      <c r="M10" s="149">
        <f t="shared" si="0"/>
        <v>5.8843499999999995</v>
      </c>
      <c r="T10" s="150"/>
      <c r="U10" s="150"/>
      <c r="V10" s="150"/>
      <c r="W10" s="150"/>
      <c r="X10" s="150"/>
    </row>
    <row r="11" spans="1:32" x14ac:dyDescent="0.25">
      <c r="C11" s="54"/>
      <c r="J11" s="144" t="s">
        <v>76</v>
      </c>
      <c r="K11" s="145">
        <v>6.3068</v>
      </c>
      <c r="L11" s="145">
        <v>6.3308999999999997</v>
      </c>
      <c r="M11" s="149">
        <f t="shared" si="0"/>
        <v>6.3188499999999994</v>
      </c>
      <c r="T11" s="150"/>
      <c r="U11" s="150"/>
      <c r="V11" s="150"/>
      <c r="W11" s="150"/>
      <c r="X11" s="150"/>
    </row>
    <row r="12" spans="1:32" x14ac:dyDescent="0.25">
      <c r="C12" s="54"/>
      <c r="J12" s="144" t="s">
        <v>77</v>
      </c>
      <c r="K12" s="145">
        <v>7.8349000000000002</v>
      </c>
      <c r="L12" s="145">
        <v>7.8468999999999998</v>
      </c>
      <c r="M12" s="149">
        <f t="shared" si="0"/>
        <v>7.8408999999999995</v>
      </c>
      <c r="T12" s="150"/>
      <c r="U12" s="150"/>
      <c r="V12" s="150"/>
      <c r="W12" s="150"/>
      <c r="X12" s="150"/>
    </row>
    <row r="13" spans="1:32" x14ac:dyDescent="0.25">
      <c r="C13" s="54"/>
      <c r="J13" s="144" t="s">
        <v>78</v>
      </c>
      <c r="K13" s="145">
        <v>10.373799999999999</v>
      </c>
      <c r="L13" s="145">
        <v>10.38</v>
      </c>
      <c r="M13" s="149">
        <f t="shared" si="0"/>
        <v>10.376899999999999</v>
      </c>
      <c r="T13" s="150"/>
      <c r="U13" s="150"/>
      <c r="V13" s="150"/>
      <c r="W13" s="150"/>
      <c r="X13" s="150"/>
    </row>
    <row r="14" spans="1:32" x14ac:dyDescent="0.25">
      <c r="C14" s="54"/>
      <c r="J14" s="144" t="s">
        <v>79</v>
      </c>
      <c r="K14" s="145">
        <v>10.8954</v>
      </c>
      <c r="L14" s="145">
        <v>10.913500000000001</v>
      </c>
      <c r="M14" s="149">
        <f t="shared" si="0"/>
        <v>10.904450000000001</v>
      </c>
      <c r="T14" s="150"/>
      <c r="U14" s="150"/>
      <c r="V14" s="150"/>
      <c r="W14" s="150"/>
      <c r="X14" s="150"/>
    </row>
    <row r="15" spans="1:32" x14ac:dyDescent="0.25">
      <c r="C15" s="54"/>
      <c r="J15" s="144"/>
      <c r="K15" s="145"/>
      <c r="L15" s="145"/>
      <c r="T15" s="150"/>
      <c r="U15" s="150"/>
      <c r="V15" s="150"/>
      <c r="W15" s="150"/>
      <c r="X15" s="150"/>
    </row>
    <row r="16" spans="1:32" x14ac:dyDescent="0.25">
      <c r="C16" s="54"/>
      <c r="J16" s="144"/>
      <c r="K16" s="145"/>
      <c r="L16" s="145"/>
      <c r="T16" s="150"/>
      <c r="U16" s="150"/>
      <c r="V16" s="150"/>
      <c r="W16" s="150"/>
      <c r="X16" s="150"/>
    </row>
    <row r="17" spans="3:24" x14ac:dyDescent="0.25">
      <c r="C17" s="133" t="s">
        <v>182</v>
      </c>
      <c r="J17" s="144"/>
      <c r="K17" s="145"/>
      <c r="L17" s="145"/>
      <c r="T17" s="150"/>
      <c r="U17" s="150"/>
      <c r="V17" s="150"/>
      <c r="W17" s="150"/>
      <c r="X17" s="150"/>
    </row>
    <row r="18" spans="3:24" x14ac:dyDescent="0.25">
      <c r="C18" t="s">
        <v>997</v>
      </c>
      <c r="J18" s="144" t="s">
        <v>85</v>
      </c>
      <c r="K18" s="145"/>
      <c r="L18" s="145"/>
      <c r="M18" s="149" t="str">
        <f>"""C:\Program Files (x86)\AstroGrep\AstroGrep.exe"""</f>
        <v>"C:\Program Files (x86)\AstroGrep\AstroGrep.exe"</v>
      </c>
      <c r="T18" s="150"/>
      <c r="U18" s="150"/>
      <c r="V18" s="150"/>
      <c r="W18" s="150"/>
      <c r="X18" s="150"/>
    </row>
    <row r="19" spans="3:24" x14ac:dyDescent="0.25">
      <c r="C19" t="s">
        <v>998</v>
      </c>
      <c r="J19" s="144" t="s">
        <v>86</v>
      </c>
      <c r="K19" s="145"/>
      <c r="L19" s="145"/>
      <c r="M19" s="149" t="s">
        <v>109</v>
      </c>
      <c r="T19" s="150"/>
      <c r="U19" s="150"/>
      <c r="V19" s="150"/>
      <c r="W19" s="150"/>
      <c r="X19" s="150"/>
    </row>
    <row r="20" spans="3:24" x14ac:dyDescent="0.25">
      <c r="C20" t="s">
        <v>999</v>
      </c>
      <c r="J20" s="136" t="s">
        <v>87</v>
      </c>
      <c r="M20" s="149" t="s">
        <v>341</v>
      </c>
      <c r="N20" s="149" t="s">
        <v>325</v>
      </c>
      <c r="T20" s="150"/>
      <c r="U20" s="150"/>
      <c r="V20" s="150"/>
      <c r="W20" s="150"/>
      <c r="X20" s="150"/>
    </row>
    <row r="21" spans="3:24" x14ac:dyDescent="0.25">
      <c r="C21" t="s">
        <v>1000</v>
      </c>
      <c r="J21" s="136" t="s">
        <v>90</v>
      </c>
      <c r="K21" s="136" t="s">
        <v>91</v>
      </c>
      <c r="M21" s="149" t="s">
        <v>172</v>
      </c>
      <c r="T21" s="150"/>
      <c r="U21" s="150"/>
      <c r="V21" s="150"/>
      <c r="W21" s="150"/>
      <c r="X21" s="150"/>
    </row>
    <row r="22" spans="3:24" x14ac:dyDescent="0.25">
      <c r="C22" t="s">
        <v>1001</v>
      </c>
      <c r="J22" s="136" t="s">
        <v>92</v>
      </c>
      <c r="K22" s="136" t="s">
        <v>108</v>
      </c>
      <c r="M22" s="149" t="s">
        <v>108</v>
      </c>
      <c r="T22" s="150"/>
      <c r="U22" s="150"/>
      <c r="V22" s="150"/>
      <c r="W22" s="150"/>
      <c r="X22" s="150"/>
    </row>
    <row r="23" spans="3:24" x14ac:dyDescent="0.25">
      <c r="C23" t="s">
        <v>1002</v>
      </c>
      <c r="J23" s="146" t="s">
        <v>94</v>
      </c>
      <c r="M23" s="149" t="str">
        <f>"-06"</f>
        <v>-06</v>
      </c>
      <c r="T23" s="150"/>
      <c r="U23" s="150"/>
      <c r="V23" s="150"/>
      <c r="W23" s="150"/>
      <c r="X23" s="150"/>
    </row>
    <row r="24" spans="3:24" x14ac:dyDescent="0.25">
      <c r="C24" t="s">
        <v>1003</v>
      </c>
      <c r="J24" s="136" t="s">
        <v>105</v>
      </c>
      <c r="M24" s="149" t="s">
        <v>107</v>
      </c>
      <c r="T24" s="150"/>
      <c r="U24" s="150"/>
      <c r="V24" s="150"/>
      <c r="W24" s="150"/>
      <c r="X24" s="150"/>
    </row>
    <row r="25" spans="3:24" x14ac:dyDescent="0.25">
      <c r="C25" t="s">
        <v>1004</v>
      </c>
      <c r="J25" s="136" t="s">
        <v>144</v>
      </c>
      <c r="M25" s="149" t="b">
        <v>1</v>
      </c>
    </row>
    <row r="26" spans="3:24" x14ac:dyDescent="0.25">
      <c r="C26" t="s">
        <v>1005</v>
      </c>
      <c r="J26" s="136" t="s">
        <v>145</v>
      </c>
      <c r="M26" s="149" t="str">
        <f>"%USERPROFILE%\Documents\GitHub\eaglep3-reporting\EC\"&amp;TEXT(A2,"yyyy-mm-dd")&amp;"-refined-times.txt"</f>
        <v>%USERPROFILE%\Documents\GitHub\eaglep3-reporting\EC\2017-10-03-refined-times.txt</v>
      </c>
    </row>
    <row r="27" spans="3:24" x14ac:dyDescent="0.25">
      <c r="C27" t="s">
        <v>1006</v>
      </c>
      <c r="J27" s="136" t="s">
        <v>174</v>
      </c>
      <c r="M27" s="149" t="str">
        <f>"%USERPROFILE%\Documents\GitHub\eaglep3-reporting\EC\"&amp;TEXT(A2,"YYYY-MM-DD")&amp;"-Enforcements.txt"</f>
        <v>%USERPROFILE%\Documents\GitHub\eaglep3-reporting\EC\2017-10-03-Enforcements.txt</v>
      </c>
    </row>
    <row r="28" spans="3:24" x14ac:dyDescent="0.25">
      <c r="C28" t="s">
        <v>1007</v>
      </c>
      <c r="J28" s="136" t="s">
        <v>175</v>
      </c>
      <c r="M28" s="149" t="str">
        <f>"%USERPROFILE%\Documents\GitHub\eaglep3-reporting\EC\"&amp;TEXT(A2,"YYYY-MM-DD")&amp;"-Runs-refined.txt"</f>
        <v>%USERPROFILE%\Documents\GitHub\eaglep3-reporting\EC\2017-10-03-Runs-refined.txt</v>
      </c>
    </row>
    <row r="29" spans="3:24" x14ac:dyDescent="0.25">
      <c r="C29" t="s">
        <v>1008</v>
      </c>
      <c r="J29" s="136" t="s">
        <v>176</v>
      </c>
      <c r="M29" s="149" t="str">
        <f>"%USERPROFILE%\Documents\GitHub\eaglep3-reporting\EC\"&amp;TEXT(A2,"YYYY-MM-DD")&amp;"-Trips.txt"</f>
        <v>%USERPROFILE%\Documents\GitHub\eaglep3-reporting\EC\2017-10-03-Trips.txt</v>
      </c>
    </row>
    <row r="30" spans="3:24" x14ac:dyDescent="0.25">
      <c r="C30" t="s">
        <v>1009</v>
      </c>
      <c r="J30" s="136" t="s">
        <v>177</v>
      </c>
      <c r="M30" s="149" t="str">
        <f>"%USERPROFILE%\Documents\GitHub\eaglep3-reporting\EC\"&amp;TEXT(A2,"YYYY-MM-DD")&amp;"-Weather.txt"</f>
        <v>%USERPROFILE%\Documents\GitHub\eaglep3-reporting\EC\2017-10-03-Weather.txt</v>
      </c>
    </row>
    <row r="31" spans="3:24" x14ac:dyDescent="0.25">
      <c r="C31" t="s">
        <v>1010</v>
      </c>
      <c r="J31" s="136" t="s">
        <v>190</v>
      </c>
      <c r="M31" s="149" t="s">
        <v>191</v>
      </c>
    </row>
    <row r="32" spans="3:24" x14ac:dyDescent="0.25">
      <c r="C32" t="s">
        <v>1011</v>
      </c>
    </row>
    <row r="33" spans="3:3" x14ac:dyDescent="0.25">
      <c r="C33" t="s">
        <v>1012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9" bestFit="1" customWidth="1"/>
    <col min="2" max="7" width="9.140625" style="89"/>
    <col min="8" max="8" width="17.7109375" style="182" bestFit="1" customWidth="1"/>
    <col min="9" max="10" width="9.140625" style="182"/>
    <col min="11" max="16384" width="9.140625" style="89"/>
  </cols>
  <sheetData>
    <row r="1" spans="1:11" x14ac:dyDescent="0.25">
      <c r="A1" s="88" t="s">
        <v>115</v>
      </c>
      <c r="B1" s="88" t="s">
        <v>116</v>
      </c>
      <c r="C1" s="89" t="s">
        <v>117</v>
      </c>
      <c r="H1" s="163" t="s">
        <v>112</v>
      </c>
      <c r="I1" s="180" t="s">
        <v>1024</v>
      </c>
      <c r="J1" s="163" t="s">
        <v>332</v>
      </c>
    </row>
    <row r="2" spans="1:11" x14ac:dyDescent="0.25">
      <c r="A2" s="89" t="s">
        <v>118</v>
      </c>
      <c r="B2" s="89" t="s">
        <v>119</v>
      </c>
      <c r="C2" s="89" t="s">
        <v>120</v>
      </c>
      <c r="H2" s="163" t="s">
        <v>113</v>
      </c>
      <c r="I2" s="163" t="s">
        <v>114</v>
      </c>
      <c r="J2" s="163" t="s">
        <v>333</v>
      </c>
    </row>
    <row r="3" spans="1:11" x14ac:dyDescent="0.25">
      <c r="A3" s="89" t="s">
        <v>121</v>
      </c>
      <c r="B3" s="89" t="s">
        <v>122</v>
      </c>
      <c r="C3" s="89" t="s">
        <v>123</v>
      </c>
      <c r="H3" s="163" t="s">
        <v>137</v>
      </c>
      <c r="I3" s="163">
        <v>1</v>
      </c>
      <c r="J3" s="163">
        <v>1</v>
      </c>
      <c r="K3" s="53"/>
    </row>
    <row r="4" spans="1:11" x14ac:dyDescent="0.25">
      <c r="A4" s="89" t="s">
        <v>124</v>
      </c>
      <c r="C4" s="89" t="s">
        <v>125</v>
      </c>
      <c r="H4" s="163" t="s">
        <v>138</v>
      </c>
      <c r="I4" s="163">
        <v>2</v>
      </c>
      <c r="J4" s="163">
        <v>1</v>
      </c>
      <c r="K4" s="53"/>
    </row>
    <row r="5" spans="1:11" x14ac:dyDescent="0.25">
      <c r="A5" s="89" t="s">
        <v>126</v>
      </c>
      <c r="C5" s="89" t="s">
        <v>127</v>
      </c>
      <c r="H5" s="163" t="s">
        <v>139</v>
      </c>
      <c r="I5" s="163">
        <v>338</v>
      </c>
      <c r="J5" s="163">
        <v>10</v>
      </c>
      <c r="K5" s="53"/>
    </row>
    <row r="6" spans="1:11" x14ac:dyDescent="0.25">
      <c r="A6" s="89" t="s">
        <v>128</v>
      </c>
      <c r="C6" s="89" t="s">
        <v>129</v>
      </c>
      <c r="H6" s="181" t="s">
        <v>140</v>
      </c>
      <c r="I6" s="181" t="s">
        <v>119</v>
      </c>
    </row>
    <row r="7" spans="1:11" x14ac:dyDescent="0.25">
      <c r="A7" s="89" t="s">
        <v>130</v>
      </c>
      <c r="C7" s="89" t="s">
        <v>131</v>
      </c>
    </row>
    <row r="8" spans="1:11" x14ac:dyDescent="0.25">
      <c r="C8" s="89" t="s">
        <v>132</v>
      </c>
    </row>
    <row r="9" spans="1:11" x14ac:dyDescent="0.25">
      <c r="C9" s="90" t="s">
        <v>165</v>
      </c>
    </row>
    <row r="10" spans="1:11" x14ac:dyDescent="0.25">
      <c r="C10" s="89" t="s">
        <v>133</v>
      </c>
    </row>
    <row r="11" spans="1:11" x14ac:dyDescent="0.25">
      <c r="C11" s="89" t="s">
        <v>134</v>
      </c>
    </row>
    <row r="12" spans="1:11" x14ac:dyDescent="0.25">
      <c r="C12" s="89" t="s">
        <v>135</v>
      </c>
    </row>
    <row r="13" spans="1:11" x14ac:dyDescent="0.25">
      <c r="C13" s="89" t="s">
        <v>136</v>
      </c>
    </row>
    <row r="14" spans="1:11" x14ac:dyDescent="0.25">
      <c r="C14" s="90" t="s">
        <v>166</v>
      </c>
    </row>
    <row r="15" spans="1:11" x14ac:dyDescent="0.25">
      <c r="C15" s="90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2017-10-04T20:11:44Z</dcterms:modified>
</cp:coreProperties>
</file>